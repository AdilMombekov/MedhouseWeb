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65BFC29-E3EC-4B69-A611-4CAC160DF314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План февраль   2025" sheetId="4" r:id="rId1"/>
    <sheet name="Январь    2025" sheetId="3" r:id="rId2"/>
    <sheet name="Редактор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K4" i="5"/>
  <c r="H39" i="4"/>
  <c r="H40" i="4"/>
  <c r="H38" i="4"/>
  <c r="H45" i="4"/>
  <c r="H46" i="4"/>
  <c r="H44" i="4"/>
  <c r="H43" i="4"/>
  <c r="H42" i="4"/>
  <c r="H36" i="4"/>
  <c r="H35" i="4"/>
  <c r="H47" i="4"/>
  <c r="H41" i="4"/>
  <c r="H34" i="4"/>
  <c r="H33" i="4"/>
  <c r="L22" i="4"/>
  <c r="L11" i="4"/>
  <c r="L10" i="4"/>
  <c r="L20" i="4"/>
  <c r="L15" i="4"/>
  <c r="L9" i="4"/>
  <c r="L8" i="4"/>
  <c r="L13" i="4"/>
  <c r="L19" i="4"/>
  <c r="L18" i="4"/>
  <c r="L17" i="4"/>
  <c r="L14" i="4"/>
  <c r="E10" i="4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K10" i="4"/>
  <c r="K17" i="4" l="1"/>
  <c r="K9" i="4"/>
  <c r="K11" i="4"/>
  <c r="K12" i="4"/>
  <c r="K13" i="4"/>
  <c r="K14" i="4"/>
  <c r="K15" i="4"/>
  <c r="K16" i="4"/>
  <c r="K18" i="4"/>
  <c r="K19" i="4"/>
  <c r="K20" i="4"/>
  <c r="K21" i="4"/>
  <c r="K22" i="4"/>
  <c r="K8" i="4"/>
  <c r="J8" i="4"/>
  <c r="D4" i="4"/>
  <c r="D28" i="4"/>
  <c r="O9" i="4" l="1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8" i="4"/>
  <c r="I34" i="4"/>
  <c r="I33" i="4"/>
  <c r="D18" i="3"/>
  <c r="C18" i="3"/>
  <c r="J18" i="3"/>
  <c r="I18" i="3"/>
  <c r="N22" i="4"/>
  <c r="N18" i="4"/>
  <c r="N14" i="4"/>
  <c r="N9" i="4"/>
  <c r="N8" i="4"/>
  <c r="I47" i="4" l="1"/>
  <c r="K41" i="4"/>
  <c r="P41" i="4" s="1"/>
  <c r="O46" i="4"/>
  <c r="O45" i="4"/>
  <c r="O42" i="4"/>
  <c r="O41" i="4"/>
  <c r="O40" i="4"/>
  <c r="O38" i="4"/>
  <c r="O37" i="4"/>
  <c r="O36" i="4"/>
  <c r="O35" i="4"/>
  <c r="O34" i="4"/>
  <c r="O33" i="4"/>
  <c r="C3" i="4" l="1"/>
  <c r="M10" i="4" l="1"/>
  <c r="K33" i="4" l="1"/>
  <c r="P33" i="4" s="1"/>
  <c r="M35" i="4"/>
  <c r="N35" i="4" s="1"/>
  <c r="M34" i="4"/>
  <c r="N34" i="4" s="1"/>
  <c r="C27" i="4"/>
  <c r="D3" i="4" l="1"/>
  <c r="D27" i="4"/>
  <c r="F26" i="4" s="1"/>
  <c r="L32" i="4" s="1"/>
  <c r="H48" i="4"/>
  <c r="H49" i="4" s="1"/>
  <c r="M8" i="4"/>
  <c r="M46" i="4"/>
  <c r="N46" i="4" s="1"/>
  <c r="K46" i="4"/>
  <c r="P46" i="4" s="1"/>
  <c r="M36" i="4" l="1"/>
  <c r="N36" i="4" s="1"/>
  <c r="M37" i="4"/>
  <c r="N37" i="4" s="1"/>
  <c r="M38" i="4"/>
  <c r="N38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7" i="4"/>
  <c r="N47" i="4" s="1"/>
  <c r="P8" i="4" l="1"/>
  <c r="J9" i="4"/>
  <c r="N11" i="4"/>
  <c r="M12" i="4"/>
  <c r="M13" i="4"/>
  <c r="N16" i="4"/>
  <c r="N20" i="4"/>
  <c r="D23" i="4"/>
  <c r="D16" i="5"/>
  <c r="D4" i="5"/>
  <c r="D5" i="5"/>
  <c r="D6" i="5"/>
  <c r="D7" i="5"/>
  <c r="D8" i="5"/>
  <c r="D9" i="5"/>
  <c r="D10" i="5"/>
  <c r="D11" i="5"/>
  <c r="D12" i="5"/>
  <c r="D13" i="5"/>
  <c r="D14" i="5"/>
  <c r="D15" i="5"/>
  <c r="D17" i="5"/>
  <c r="D3" i="5"/>
  <c r="I35" i="4"/>
  <c r="I38" i="4"/>
  <c r="K40" i="4"/>
  <c r="P40" i="4" s="1"/>
  <c r="I42" i="4"/>
  <c r="M19" i="4"/>
  <c r="C48" i="4"/>
  <c r="K23" i="4"/>
  <c r="L24" i="4" s="1"/>
  <c r="J13" i="4"/>
  <c r="J12" i="4"/>
  <c r="N17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M17" i="4"/>
  <c r="J22" i="4"/>
  <c r="J21" i="4"/>
  <c r="J20" i="4"/>
  <c r="J19" i="4"/>
  <c r="J18" i="4"/>
  <c r="J17" i="4"/>
  <c r="J16" i="4"/>
  <c r="J15" i="4"/>
  <c r="J14" i="4"/>
  <c r="J11" i="4"/>
  <c r="J10" i="4"/>
  <c r="C23" i="4"/>
  <c r="E3" i="4" s="1"/>
  <c r="I23" i="4"/>
  <c r="I40" i="4"/>
  <c r="I43" i="4"/>
  <c r="J38" i="4" l="1"/>
  <c r="J34" i="4"/>
  <c r="J33" i="4"/>
  <c r="E27" i="4"/>
  <c r="F2" i="4"/>
  <c r="Q7" i="4" s="1"/>
  <c r="L23" i="4"/>
  <c r="I45" i="4"/>
  <c r="K36" i="4"/>
  <c r="P36" i="4" s="1"/>
  <c r="M22" i="4"/>
  <c r="N15" i="4"/>
  <c r="N21" i="4"/>
  <c r="M15" i="4"/>
  <c r="N13" i="4"/>
  <c r="N10" i="4"/>
  <c r="J43" i="4"/>
  <c r="J40" i="4"/>
  <c r="K45" i="4"/>
  <c r="P45" i="4" s="1"/>
  <c r="K43" i="4"/>
  <c r="J42" i="4"/>
  <c r="K44" i="4"/>
  <c r="P44" i="4" s="1"/>
  <c r="K42" i="4"/>
  <c r="P42" i="4" s="1"/>
  <c r="K38" i="4"/>
  <c r="P38" i="4" s="1"/>
  <c r="K37" i="4"/>
  <c r="P37" i="4" s="1"/>
  <c r="I46" i="4"/>
  <c r="I37" i="4"/>
  <c r="K47" i="4"/>
  <c r="P47" i="4" s="1"/>
  <c r="I39" i="4"/>
  <c r="K39" i="4"/>
  <c r="J35" i="4"/>
  <c r="K34" i="4"/>
  <c r="P34" i="4" s="1"/>
  <c r="K35" i="4"/>
  <c r="P35" i="4" s="1"/>
  <c r="I36" i="4"/>
  <c r="I44" i="4"/>
  <c r="I41" i="4"/>
  <c r="M14" i="4"/>
  <c r="M18" i="4"/>
  <c r="M16" i="4"/>
  <c r="N19" i="4"/>
  <c r="N12" i="4"/>
  <c r="M11" i="4"/>
  <c r="M9" i="4"/>
  <c r="M21" i="4"/>
  <c r="M20" i="4"/>
  <c r="P23" i="4"/>
  <c r="J23" i="4"/>
  <c r="Q9" i="4" l="1"/>
  <c r="Q8" i="4"/>
  <c r="D48" i="4"/>
  <c r="J45" i="4"/>
  <c r="M23" i="4"/>
  <c r="M24" i="4" s="1"/>
  <c r="J36" i="4"/>
  <c r="J44" i="4"/>
  <c r="J41" i="4"/>
  <c r="J47" i="4"/>
  <c r="J39" i="4"/>
  <c r="J37" i="4"/>
  <c r="J46" i="4"/>
  <c r="O23" i="4"/>
  <c r="Q10" i="4" l="1"/>
  <c r="R10" i="4" s="1"/>
  <c r="S10" i="4" s="1"/>
  <c r="Q16" i="4"/>
  <c r="R16" i="4" s="1"/>
  <c r="S16" i="4" s="1"/>
  <c r="R9" i="4"/>
  <c r="S9" i="4" s="1"/>
  <c r="Q14" i="4"/>
  <c r="R14" i="4" s="1"/>
  <c r="S14" i="4" s="1"/>
  <c r="Q20" i="4"/>
  <c r="R20" i="4" s="1"/>
  <c r="S20" i="4" s="1"/>
  <c r="Q17" i="4"/>
  <c r="R17" i="4" s="1"/>
  <c r="S17" i="4" s="1"/>
  <c r="Q19" i="4"/>
  <c r="R19" i="4" s="1"/>
  <c r="S19" i="4" s="1"/>
  <c r="Q13" i="4"/>
  <c r="R13" i="4" s="1"/>
  <c r="S13" i="4" s="1"/>
  <c r="Q15" i="4"/>
  <c r="R15" i="4" s="1"/>
  <c r="S15" i="4" s="1"/>
  <c r="Q12" i="4"/>
  <c r="R12" i="4" s="1"/>
  <c r="S12" i="4" s="1"/>
  <c r="Q11" i="4"/>
  <c r="R11" i="4" s="1"/>
  <c r="S11" i="4" s="1"/>
  <c r="Q22" i="4"/>
  <c r="R22" i="4" s="1"/>
  <c r="S22" i="4" s="1"/>
  <c r="Q21" i="4"/>
  <c r="R21" i="4" s="1"/>
  <c r="S21" i="4" s="1"/>
  <c r="Q18" i="4"/>
  <c r="R18" i="4" s="1"/>
  <c r="S18" i="4" s="1"/>
  <c r="R8" i="4" l="1"/>
  <c r="S8" i="4" s="1"/>
  <c r="Q23" i="4"/>
  <c r="S23" i="4" l="1"/>
  <c r="R23" i="4"/>
  <c r="M33" i="4"/>
  <c r="L48" i="4"/>
  <c r="M48" i="4" l="1"/>
  <c r="N33" i="4"/>
</calcChain>
</file>

<file path=xl/sharedStrings.xml><?xml version="1.0" encoding="utf-8"?>
<sst xmlns="http://schemas.openxmlformats.org/spreadsheetml/2006/main" count="209" uniqueCount="95">
  <si>
    <t>№ п/п</t>
  </si>
  <si>
    <t>Представительство</t>
  </si>
  <si>
    <t>план, тг.</t>
  </si>
  <si>
    <t>факт, тг.</t>
  </si>
  <si>
    <t>Выполнение плана, %</t>
  </si>
  <si>
    <t>Актау</t>
  </si>
  <si>
    <t>Актобе</t>
  </si>
  <si>
    <t>Алматы</t>
  </si>
  <si>
    <t>Астана</t>
  </si>
  <si>
    <t>Атырау</t>
  </si>
  <si>
    <t>Караганда</t>
  </si>
  <si>
    <t>Костанай</t>
  </si>
  <si>
    <t>Павлодар</t>
  </si>
  <si>
    <t>Петропавловск</t>
  </si>
  <si>
    <t>Семей</t>
  </si>
  <si>
    <t>Тараз</t>
  </si>
  <si>
    <t>Уральск</t>
  </si>
  <si>
    <t>Усть-Каменогорск</t>
  </si>
  <si>
    <t>Шымкент</t>
  </si>
  <si>
    <t>Результаты ОТГРУЗКИ</t>
  </si>
  <si>
    <t>Возврат денег,  %</t>
  </si>
  <si>
    <t>Результаты ВОЗВРАТА ДЕНЕГ</t>
  </si>
  <si>
    <t>РК</t>
  </si>
  <si>
    <t>Кокшетау</t>
  </si>
  <si>
    <t xml:space="preserve">новый план </t>
  </si>
  <si>
    <t xml:space="preserve">старый план </t>
  </si>
  <si>
    <t xml:space="preserve">разница </t>
  </si>
  <si>
    <t>Город</t>
  </si>
  <si>
    <t>новый план по городам</t>
  </si>
  <si>
    <t>Отгрузка</t>
  </si>
  <si>
    <t xml:space="preserve">Возврат </t>
  </si>
  <si>
    <t>Разница на 15 регионов</t>
  </si>
  <si>
    <t>Планы</t>
  </si>
  <si>
    <t>ИТОГ</t>
  </si>
  <si>
    <t>Потенциал городов от 1С</t>
  </si>
  <si>
    <t xml:space="preserve">Черным - могут        Красным - не могут </t>
  </si>
  <si>
    <t>Процент добавления по городу %</t>
  </si>
  <si>
    <t>Сумма добавления к городу</t>
  </si>
  <si>
    <t>План на Разницу +15</t>
  </si>
  <si>
    <t>План делишь на Мухамедияра</t>
  </si>
  <si>
    <t xml:space="preserve">Средний процент увеличения </t>
  </si>
  <si>
    <t>Зависит от разницы на 15</t>
  </si>
  <si>
    <t>План если / 15</t>
  </si>
  <si>
    <t>Вставляем отгрузку прошлого месяца с контроля</t>
  </si>
  <si>
    <t xml:space="preserve">Процент увеличения </t>
  </si>
  <si>
    <t>Вставляем план от Бахтияра потенциальный план</t>
  </si>
  <si>
    <t xml:space="preserve">План отгрузки с Мотивации от google </t>
  </si>
  <si>
    <t>потенциал минус план   прошлого месяца</t>
  </si>
  <si>
    <t xml:space="preserve">Дублируем потенциальный план </t>
  </si>
  <si>
    <t xml:space="preserve">к прошлому месяцу добавляем % увеличения </t>
  </si>
  <si>
    <t>редактируем в ручную %</t>
  </si>
  <si>
    <t>Разница Прошлого / с Новым редактируемым</t>
  </si>
  <si>
    <t>Разница между потенциал и новый план</t>
  </si>
  <si>
    <t>Вставляем план возврата прошлого месяца</t>
  </si>
  <si>
    <t xml:space="preserve">Начало </t>
  </si>
  <si>
    <t>Конец</t>
  </si>
  <si>
    <t>Вставляем</t>
  </si>
  <si>
    <t xml:space="preserve">Вставляем </t>
  </si>
  <si>
    <t>Процент увеличчения</t>
  </si>
  <si>
    <t>Новый план минус старый план</t>
  </si>
  <si>
    <t xml:space="preserve">Разница увеличения </t>
  </si>
  <si>
    <t>10 756 764</t>
  </si>
  <si>
    <t>17 243 759</t>
  </si>
  <si>
    <t>53 531 562</t>
  </si>
  <si>
    <t>34 751 098</t>
  </si>
  <si>
    <t>4 483 460</t>
  </si>
  <si>
    <t>12 172 568</t>
  </si>
  <si>
    <t>8 145 696</t>
  </si>
  <si>
    <t>16 980 687</t>
  </si>
  <si>
    <t>14 182 641</t>
  </si>
  <si>
    <t>11 240 741</t>
  </si>
  <si>
    <t>18 677 101</t>
  </si>
  <si>
    <t>10 406 350</t>
  </si>
  <si>
    <t>8 753 568</t>
  </si>
  <si>
    <t>7 515 797</t>
  </si>
  <si>
    <t>45 175 880</t>
  </si>
  <si>
    <t>Разница на 15</t>
  </si>
  <si>
    <t>План если по ровну</t>
  </si>
  <si>
    <t>ДАННЫЕ НОВОГО ПЛАНА</t>
  </si>
  <si>
    <t xml:space="preserve">Данные Нового  плана </t>
  </si>
  <si>
    <t>Курс</t>
  </si>
  <si>
    <t>Разница</t>
  </si>
  <si>
    <t xml:space="preserve">Зерде/Инкар </t>
  </si>
  <si>
    <t xml:space="preserve">Инкар </t>
  </si>
  <si>
    <t xml:space="preserve">Результаты ОТГРУЗКИ </t>
  </si>
  <si>
    <t>Курс 2026</t>
  </si>
  <si>
    <t xml:space="preserve">январь 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</si>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</sst>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* #,##0\ &quot;₽&quot;_-;\-* #,##0\ &quot;₽&quot;_-;_-* &quot;-&quot;\ &quot;₽&quot;_-;_-@_-"/>
    <numFmt numFmtId="43" formatCode="_-* #,##0.00_-;\-* #,##0.00_-;_-* &quot;-&quot;??_-;_-@_-"/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_р_._-;\-* #,##0.00_р_._-;_-* &quot;-&quot;??_р_._-;_-@_-"/>
    <numFmt numFmtId="167" formatCode="_-* #,##0_-;\-* #,##0_-;_-* &quot;-&quot;??_-;_-@_-"/>
    <numFmt numFmtId="168" formatCode="#,##0_ ;[Red]\-#,##0\ "/>
    <numFmt numFmtId="169" formatCode="#,##0_ ;\-#,##0\ "/>
    <numFmt numFmtId="170" formatCode="0.00_ ;\-0.00\ "/>
    <numFmt numFmtId="171" formatCode="_-* #,##0.00\ _₸_-;\-* #,##0.00\ _₸_-;_-* &quot;-&quot;??\ _₸_-;_-@_-"/>
    <numFmt numFmtId="172" formatCode="_-* #,##0_р_._-;\-* #,##0_р_._-;_-* &quot;-&quot;_р_.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</font>
    <font>
      <sz val="1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9"/>
      <name val="Arial"/>
      <family val="2"/>
      <charset val="204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b/>
      <i/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9">
    <xf numFmtId="0" fontId="0" fillId="0" borderId="0"/>
    <xf numFmtId="9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0" fillId="0" borderId="0"/>
    <xf numFmtId="43" fontId="4" fillId="0" borderId="0" applyFont="0" applyFill="0" applyBorder="0" applyAlignment="0" applyProtection="0"/>
    <xf numFmtId="0" fontId="10" fillId="0" borderId="0"/>
    <xf numFmtId="0" fontId="3" fillId="0" borderId="0"/>
    <xf numFmtId="9" fontId="20" fillId="0" borderId="0" applyFont="0" applyFill="0" applyBorder="0" applyAlignment="0" applyProtection="0"/>
    <xf numFmtId="0" fontId="2" fillId="0" borderId="0"/>
    <xf numFmtId="4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0" fillId="0" borderId="0"/>
    <xf numFmtId="0" fontId="2" fillId="0" borderId="0"/>
    <xf numFmtId="0" fontId="9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2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184">
    <xf numFmtId="0" fontId="0" fillId="0" borderId="0" xfId="0"/>
    <xf numFmtId="0" fontId="6" fillId="3" borderId="10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wrapText="1"/>
    </xf>
    <xf numFmtId="3" fontId="0" fillId="0" borderId="0" xfId="0" applyNumberFormat="1"/>
    <xf numFmtId="0" fontId="6" fillId="3" borderId="19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  <xf numFmtId="0" fontId="6" fillId="3" borderId="26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164" fontId="8" fillId="0" borderId="0" xfId="10" applyNumberFormat="1" applyFont="1" applyFill="1" applyBorder="1" applyAlignment="1"/>
    <xf numFmtId="10" fontId="0" fillId="0" borderId="0" xfId="1" applyNumberFormat="1" applyFont="1" applyFill="1" applyBorder="1" applyAlignment="1">
      <alignment horizontal="center" vertical="center"/>
    </xf>
    <xf numFmtId="164" fontId="8" fillId="0" borderId="0" xfId="9" applyNumberFormat="1" applyFont="1" applyFill="1" applyBorder="1" applyAlignment="1"/>
    <xf numFmtId="164" fontId="8" fillId="0" borderId="0" xfId="4" applyNumberFormat="1" applyFont="1" applyFill="1" applyBorder="1" applyAlignment="1"/>
    <xf numFmtId="164" fontId="8" fillId="0" borderId="0" xfId="2" applyNumberFormat="1" applyFont="1" applyFill="1" applyBorder="1" applyAlignment="1"/>
    <xf numFmtId="164" fontId="8" fillId="0" borderId="0" xfId="5" applyNumberFormat="1" applyFont="1" applyFill="1" applyBorder="1" applyAlignment="1"/>
    <xf numFmtId="164" fontId="8" fillId="0" borderId="0" xfId="7" applyNumberFormat="1" applyFont="1" applyFill="1" applyBorder="1" applyAlignment="1"/>
    <xf numFmtId="164" fontId="8" fillId="0" borderId="0" xfId="6" applyNumberFormat="1" applyFont="1" applyFill="1" applyBorder="1" applyAlignment="1"/>
    <xf numFmtId="164" fontId="8" fillId="0" borderId="0" xfId="3" applyNumberFormat="1" applyFont="1" applyFill="1" applyBorder="1" applyAlignment="1"/>
    <xf numFmtId="164" fontId="8" fillId="0" borderId="0" xfId="8" applyNumberFormat="1" applyFont="1" applyFill="1" applyBorder="1" applyAlignment="1"/>
    <xf numFmtId="10" fontId="0" fillId="0" borderId="6" xfId="1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25" xfId="0" applyBorder="1" applyAlignment="1">
      <alignment vertical="top"/>
    </xf>
    <xf numFmtId="164" fontId="8" fillId="0" borderId="28" xfId="9" applyNumberFormat="1" applyFont="1" applyFill="1" applyBorder="1" applyAlignment="1"/>
    <xf numFmtId="164" fontId="8" fillId="0" borderId="29" xfId="9" applyNumberFormat="1" applyFont="1" applyFill="1" applyBorder="1" applyAlignment="1"/>
    <xf numFmtId="164" fontId="8" fillId="0" borderId="30" xfId="9" applyNumberFormat="1" applyFont="1" applyFill="1" applyBorder="1" applyAlignment="1"/>
    <xf numFmtId="167" fontId="0" fillId="0" borderId="0" xfId="0" applyNumberFormat="1"/>
    <xf numFmtId="0" fontId="5" fillId="7" borderId="1" xfId="0" applyFont="1" applyFill="1" applyBorder="1" applyAlignment="1">
      <alignment horizontal="center"/>
    </xf>
    <xf numFmtId="167" fontId="0" fillId="7" borderId="1" xfId="1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7" fontId="0" fillId="7" borderId="1" xfId="1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7" fontId="0" fillId="2" borderId="1" xfId="12" applyNumberFormat="1" applyFont="1" applyFill="1" applyBorder="1" applyAlignment="1">
      <alignment horizontal="center" vertical="center"/>
    </xf>
    <xf numFmtId="168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3" fontId="11" fillId="0" borderId="0" xfId="11" applyNumberFormat="1" applyFont="1" applyAlignment="1">
      <alignment horizontal="right" vertical="top"/>
    </xf>
    <xf numFmtId="0" fontId="0" fillId="0" borderId="1" xfId="0" applyBorder="1"/>
    <xf numFmtId="0" fontId="0" fillId="9" borderId="1" xfId="0" applyFill="1" applyBorder="1" applyAlignment="1">
      <alignment horizontal="center" wrapText="1"/>
    </xf>
    <xf numFmtId="3" fontId="0" fillId="0" borderId="0" xfId="0" applyNumberFormat="1" applyAlignment="1">
      <alignment horizontal="center"/>
    </xf>
    <xf numFmtId="0" fontId="0" fillId="0" borderId="18" xfId="0" applyBorder="1"/>
    <xf numFmtId="2" fontId="0" fillId="0" borderId="1" xfId="0" applyNumberFormat="1" applyBorder="1" applyAlignment="1">
      <alignment horizontal="center"/>
    </xf>
    <xf numFmtId="0" fontId="14" fillId="0" borderId="1" xfId="0" applyFont="1" applyBorder="1" applyAlignment="1">
      <alignment wrapText="1"/>
    </xf>
    <xf numFmtId="0" fontId="0" fillId="7" borderId="1" xfId="0" applyFill="1" applyBorder="1" applyAlignment="1">
      <alignment horizontal="center" wrapText="1"/>
    </xf>
    <xf numFmtId="168" fontId="0" fillId="7" borderId="1" xfId="0" applyNumberFormat="1" applyFill="1" applyBorder="1" applyAlignment="1">
      <alignment horizontal="center" wrapText="1"/>
    </xf>
    <xf numFmtId="0" fontId="14" fillId="7" borderId="1" xfId="0" applyFont="1" applyFill="1" applyBorder="1" applyAlignment="1">
      <alignment wrapText="1"/>
    </xf>
    <xf numFmtId="2" fontId="14" fillId="7" borderId="1" xfId="0" applyNumberFormat="1" applyFont="1" applyFill="1" applyBorder="1" applyAlignment="1">
      <alignment horizontal="center" wrapText="1"/>
    </xf>
    <xf numFmtId="3" fontId="0" fillId="7" borderId="1" xfId="0" applyNumberFormat="1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14" fillId="7" borderId="1" xfId="0" applyFont="1" applyFill="1" applyBorder="1" applyAlignment="1">
      <alignment horizontal="center" wrapText="1"/>
    </xf>
    <xf numFmtId="2" fontId="0" fillId="0" borderId="1" xfId="1" applyNumberFormat="1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7" fillId="7" borderId="1" xfId="0" applyFont="1" applyFill="1" applyBorder="1"/>
    <xf numFmtId="3" fontId="17" fillId="7" borderId="1" xfId="0" applyNumberFormat="1" applyFont="1" applyFill="1" applyBorder="1" applyAlignment="1">
      <alignment horizontal="center"/>
    </xf>
    <xf numFmtId="168" fontId="17" fillId="7" borderId="1" xfId="0" applyNumberFormat="1" applyFont="1" applyFill="1" applyBorder="1" applyAlignment="1">
      <alignment horizontal="center"/>
    </xf>
    <xf numFmtId="2" fontId="17" fillId="7" borderId="1" xfId="0" applyNumberFormat="1" applyFont="1" applyFill="1" applyBorder="1" applyAlignment="1">
      <alignment horizontal="center"/>
    </xf>
    <xf numFmtId="3" fontId="17" fillId="7" borderId="1" xfId="0" applyNumberFormat="1" applyFont="1" applyFill="1" applyBorder="1"/>
    <xf numFmtId="170" fontId="17" fillId="7" borderId="1" xfId="12" applyNumberFormat="1" applyFont="1" applyFill="1" applyBorder="1" applyAlignment="1">
      <alignment horizontal="center"/>
    </xf>
    <xf numFmtId="3" fontId="8" fillId="11" borderId="34" xfId="11" applyNumberFormat="1" applyFont="1" applyFill="1" applyBorder="1" applyAlignment="1">
      <alignment horizontal="center" vertical="top"/>
    </xf>
    <xf numFmtId="3" fontId="8" fillId="9" borderId="34" xfId="11" applyNumberFormat="1" applyFont="1" applyFill="1" applyBorder="1" applyAlignment="1">
      <alignment horizontal="center" vertical="top"/>
    </xf>
    <xf numFmtId="0" fontId="5" fillId="2" borderId="34" xfId="0" applyFont="1" applyFill="1" applyBorder="1" applyAlignment="1">
      <alignment horizontal="center"/>
    </xf>
    <xf numFmtId="167" fontId="0" fillId="2" borderId="34" xfId="12" applyNumberFormat="1" applyFont="1" applyFill="1" applyBorder="1" applyAlignment="1">
      <alignment horizontal="center"/>
    </xf>
    <xf numFmtId="2" fontId="0" fillId="0" borderId="1" xfId="0" applyNumberFormat="1" applyBorder="1"/>
    <xf numFmtId="0" fontId="5" fillId="9" borderId="1" xfId="0" applyFont="1" applyFill="1" applyBorder="1" applyAlignment="1">
      <alignment wrapText="1"/>
    </xf>
    <xf numFmtId="168" fontId="5" fillId="9" borderId="1" xfId="0" applyNumberFormat="1" applyFont="1" applyFill="1" applyBorder="1" applyAlignment="1">
      <alignment wrapText="1"/>
    </xf>
    <xf numFmtId="3" fontId="0" fillId="9" borderId="1" xfId="0" applyNumberFormat="1" applyFill="1" applyBorder="1" applyAlignment="1">
      <alignment horizontal="center" wrapText="1"/>
    </xf>
    <xf numFmtId="167" fontId="0" fillId="0" borderId="0" xfId="12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wrapText="1"/>
    </xf>
    <xf numFmtId="10" fontId="5" fillId="0" borderId="9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" xfId="13" applyFont="1" applyBorder="1" applyAlignment="1">
      <alignment horizontal="left" vertical="top" wrapText="1"/>
    </xf>
    <xf numFmtId="3" fontId="19" fillId="0" borderId="1" xfId="13" applyNumberFormat="1" applyFont="1" applyBorder="1" applyAlignment="1">
      <alignment horizontal="center" vertical="top" wrapText="1"/>
    </xf>
    <xf numFmtId="3" fontId="0" fillId="0" borderId="1" xfId="0" applyNumberFormat="1" applyBorder="1" applyAlignment="1">
      <alignment horizontal="right"/>
    </xf>
    <xf numFmtId="0" fontId="0" fillId="9" borderId="0" xfId="0" applyFill="1"/>
    <xf numFmtId="0" fontId="18" fillId="12" borderId="0" xfId="0" applyFont="1" applyFill="1" applyAlignment="1">
      <alignment horizontal="center" wrapText="1"/>
    </xf>
    <xf numFmtId="3" fontId="5" fillId="9" borderId="1" xfId="0" applyNumberFormat="1" applyFont="1" applyFill="1" applyBorder="1" applyAlignment="1">
      <alignment horizontal="center" wrapText="1"/>
    </xf>
    <xf numFmtId="167" fontId="0" fillId="0" borderId="3" xfId="12" applyNumberFormat="1" applyFont="1" applyBorder="1" applyAlignment="1">
      <alignment horizontal="center"/>
    </xf>
    <xf numFmtId="167" fontId="0" fillId="0" borderId="1" xfId="12" applyNumberFormat="1" applyFont="1" applyBorder="1" applyAlignment="1">
      <alignment horizontal="center"/>
    </xf>
    <xf numFmtId="167" fontId="0" fillId="0" borderId="1" xfId="12" applyNumberFormat="1" applyFont="1" applyFill="1" applyBorder="1" applyAlignment="1">
      <alignment horizontal="center"/>
    </xf>
    <xf numFmtId="167" fontId="0" fillId="0" borderId="18" xfId="12" applyNumberFormat="1" applyFont="1" applyBorder="1" applyAlignment="1">
      <alignment horizontal="center"/>
    </xf>
    <xf numFmtId="0" fontId="14" fillId="0" borderId="0" xfId="0" applyFont="1"/>
    <xf numFmtId="0" fontId="16" fillId="0" borderId="0" xfId="0" applyFont="1" applyAlignment="1">
      <alignment horizontal="center" vertical="center"/>
    </xf>
    <xf numFmtId="1" fontId="14" fillId="0" borderId="0" xfId="0" applyNumberFormat="1" applyFont="1"/>
    <xf numFmtId="2" fontId="0" fillId="0" borderId="1" xfId="1" applyNumberFormat="1" applyFont="1" applyBorder="1"/>
    <xf numFmtId="168" fontId="0" fillId="0" borderId="1" xfId="0" applyNumberFormat="1" applyBorder="1"/>
    <xf numFmtId="3" fontId="0" fillId="9" borderId="1" xfId="0" applyNumberForma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0" fillId="13" borderId="0" xfId="0" applyNumberFormat="1" applyFill="1" applyAlignment="1">
      <alignment horizontal="center" wrapText="1"/>
    </xf>
    <xf numFmtId="3" fontId="0" fillId="13" borderId="1" xfId="0" applyNumberForma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/>
    </xf>
    <xf numFmtId="3" fontId="17" fillId="13" borderId="1" xfId="0" applyNumberFormat="1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 wrapText="1"/>
    </xf>
    <xf numFmtId="167" fontId="0" fillId="13" borderId="1" xfId="12" applyNumberFormat="1" applyFont="1" applyFill="1" applyBorder="1" applyAlignment="1">
      <alignment horizontal="center"/>
    </xf>
    <xf numFmtId="167" fontId="5" fillId="13" borderId="0" xfId="0" applyNumberFormat="1" applyFont="1" applyFill="1" applyAlignment="1">
      <alignment horizontal="center"/>
    </xf>
    <xf numFmtId="167" fontId="0" fillId="13" borderId="0" xfId="0" applyNumberFormat="1" applyFill="1" applyAlignment="1">
      <alignment horizontal="center"/>
    </xf>
    <xf numFmtId="0" fontId="0" fillId="13" borderId="0" xfId="0" applyFill="1" applyAlignment="1">
      <alignment wrapText="1"/>
    </xf>
    <xf numFmtId="167" fontId="0" fillId="2" borderId="1" xfId="12" applyNumberFormat="1" applyFont="1" applyFill="1" applyBorder="1" applyAlignment="1">
      <alignment horizontal="center"/>
    </xf>
    <xf numFmtId="43" fontId="0" fillId="7" borderId="1" xfId="12" applyFont="1" applyFill="1" applyBorder="1" applyAlignment="1">
      <alignment horizontal="center"/>
    </xf>
    <xf numFmtId="167" fontId="0" fillId="8" borderId="18" xfId="12" applyNumberFormat="1" applyFont="1" applyFill="1" applyBorder="1" applyAlignment="1">
      <alignment horizontal="center" vertical="center"/>
    </xf>
    <xf numFmtId="0" fontId="5" fillId="11" borderId="1" xfId="0" applyFont="1" applyFill="1" applyBorder="1"/>
    <xf numFmtId="167" fontId="5" fillId="11" borderId="1" xfId="12" applyNumberFormat="1" applyFont="1" applyFill="1" applyBorder="1" applyAlignment="1">
      <alignment horizontal="center" vertical="center"/>
    </xf>
    <xf numFmtId="167" fontId="0" fillId="8" borderId="18" xfId="12" applyNumberFormat="1" applyFont="1" applyFill="1" applyBorder="1" applyAlignment="1">
      <alignment horizontal="center"/>
    </xf>
    <xf numFmtId="167" fontId="5" fillId="11" borderId="1" xfId="12" applyNumberFormat="1" applyFont="1" applyFill="1" applyBorder="1" applyAlignment="1">
      <alignment horizontal="center"/>
    </xf>
    <xf numFmtId="168" fontId="0" fillId="14" borderId="1" xfId="0" applyNumberFormat="1" applyFill="1" applyBorder="1" applyAlignment="1">
      <alignment wrapText="1"/>
    </xf>
    <xf numFmtId="168" fontId="0" fillId="14" borderId="1" xfId="0" applyNumberFormat="1" applyFill="1" applyBorder="1"/>
    <xf numFmtId="0" fontId="0" fillId="14" borderId="0" xfId="0" applyFill="1"/>
    <xf numFmtId="0" fontId="0" fillId="14" borderId="0" xfId="0" applyFill="1" applyAlignment="1">
      <alignment horizontal="center"/>
    </xf>
    <xf numFmtId="10" fontId="12" fillId="4" borderId="9" xfId="0" applyNumberFormat="1" applyFont="1" applyFill="1" applyBorder="1" applyAlignment="1">
      <alignment horizontal="center"/>
    </xf>
    <xf numFmtId="2" fontId="19" fillId="0" borderId="0" xfId="13" applyNumberFormat="1" applyFont="1" applyAlignment="1">
      <alignment horizontal="left" vertical="top" wrapText="1"/>
    </xf>
    <xf numFmtId="0" fontId="0" fillId="9" borderId="1" xfId="0" applyFill="1" applyBorder="1"/>
    <xf numFmtId="3" fontId="23" fillId="13" borderId="34" xfId="11" applyNumberFormat="1" applyFont="1" applyFill="1" applyBorder="1" applyAlignment="1">
      <alignment horizontal="right" vertical="top"/>
    </xf>
    <xf numFmtId="164" fontId="0" fillId="0" borderId="39" xfId="0" applyNumberFormat="1" applyBorder="1"/>
    <xf numFmtId="167" fontId="0" fillId="0" borderId="39" xfId="0" applyNumberFormat="1" applyBorder="1"/>
    <xf numFmtId="167" fontId="0" fillId="14" borderId="34" xfId="12" applyNumberFormat="1" applyFont="1" applyFill="1" applyBorder="1" applyAlignment="1">
      <alignment horizontal="center"/>
    </xf>
    <xf numFmtId="164" fontId="0" fillId="0" borderId="8" xfId="0" applyNumberFormat="1" applyBorder="1"/>
    <xf numFmtId="167" fontId="0" fillId="0" borderId="8" xfId="0" applyNumberFormat="1" applyBorder="1"/>
    <xf numFmtId="3" fontId="25" fillId="0" borderId="8" xfId="0" applyNumberFormat="1" applyFont="1" applyBorder="1"/>
    <xf numFmtId="0" fontId="5" fillId="2" borderId="25" xfId="0" applyFont="1" applyFill="1" applyBorder="1" applyAlignment="1">
      <alignment wrapText="1"/>
    </xf>
    <xf numFmtId="0" fontId="0" fillId="0" borderId="1" xfId="0" applyBorder="1" applyAlignment="1">
      <alignment vertical="top"/>
    </xf>
    <xf numFmtId="164" fontId="8" fillId="0" borderId="1" xfId="9" applyNumberFormat="1" applyFont="1" applyFill="1" applyBorder="1" applyAlignment="1"/>
    <xf numFmtId="10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3" fontId="11" fillId="7" borderId="39" xfId="11" applyNumberFormat="1" applyFont="1" applyFill="1" applyBorder="1" applyAlignment="1">
      <alignment horizontal="right" vertical="top"/>
    </xf>
    <xf numFmtId="3" fontId="17" fillId="9" borderId="39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3" fontId="8" fillId="15" borderId="34" xfId="11" applyNumberFormat="1" applyFont="1" applyFill="1" applyBorder="1" applyAlignment="1">
      <alignment horizontal="center" vertical="top"/>
    </xf>
    <xf numFmtId="0" fontId="24" fillId="0" borderId="43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10" fontId="21" fillId="0" borderId="17" xfId="41" applyNumberFormat="1" applyFont="1" applyFill="1" applyBorder="1" applyAlignment="1">
      <alignment horizontal="center" vertical="center"/>
    </xf>
    <xf numFmtId="10" fontId="21" fillId="0" borderId="37" xfId="41" applyNumberFormat="1" applyFont="1" applyFill="1" applyBorder="1" applyAlignment="1">
      <alignment horizontal="center" vertical="center"/>
    </xf>
    <xf numFmtId="0" fontId="22" fillId="0" borderId="43" xfId="134" applyFont="1" applyBorder="1" applyAlignment="1">
      <alignment horizontal="center" vertical="center" wrapText="1"/>
    </xf>
    <xf numFmtId="0" fontId="24" fillId="0" borderId="43" xfId="134" applyFont="1" applyBorder="1" applyAlignment="1">
      <alignment horizontal="center" vertical="center" wrapText="1"/>
    </xf>
    <xf numFmtId="10" fontId="21" fillId="0" borderId="38" xfId="41" applyNumberFormat="1" applyFont="1" applyFill="1" applyBorder="1" applyAlignment="1">
      <alignment horizontal="center" vertical="center"/>
    </xf>
    <xf numFmtId="3" fontId="23" fillId="0" borderId="34" xfId="11" applyNumberFormat="1" applyFont="1" applyBorder="1" applyAlignment="1">
      <alignment horizontal="right" vertical="top"/>
    </xf>
    <xf numFmtId="3" fontId="11" fillId="0" borderId="1" xfId="11" applyNumberFormat="1" applyFont="1" applyBorder="1" applyAlignment="1">
      <alignment horizontal="right" vertical="top"/>
    </xf>
    <xf numFmtId="3" fontId="8" fillId="0" borderId="34" xfId="11" applyNumberFormat="1" applyFont="1" applyBorder="1" applyAlignment="1">
      <alignment horizontal="center" vertical="top"/>
    </xf>
    <xf numFmtId="4" fontId="8" fillId="0" borderId="34" xfId="11" applyNumberFormat="1" applyFont="1" applyBorder="1" applyAlignment="1">
      <alignment horizontal="center" vertical="top"/>
    </xf>
    <xf numFmtId="168" fontId="0" fillId="0" borderId="1" xfId="0" applyNumberFormat="1" applyBorder="1" applyAlignment="1">
      <alignment horizontal="center"/>
    </xf>
    <xf numFmtId="169" fontId="0" fillId="0" borderId="18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67" fontId="0" fillId="0" borderId="0" xfId="12" applyNumberFormat="1" applyFont="1"/>
    <xf numFmtId="0" fontId="5" fillId="5" borderId="40" xfId="0" applyFont="1" applyFill="1" applyBorder="1" applyAlignment="1">
      <alignment horizontal="center"/>
    </xf>
    <xf numFmtId="0" fontId="5" fillId="5" borderId="41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13" fillId="10" borderId="32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6" fillId="10" borderId="33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69" fontId="16" fillId="10" borderId="33" xfId="12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wrapText="1"/>
    </xf>
    <xf numFmtId="3" fontId="0" fillId="10" borderId="1" xfId="0" applyNumberFormat="1" applyFill="1" applyBorder="1" applyAlignment="1">
      <alignment horizontal="center"/>
    </xf>
    <xf numFmtId="0" fontId="0" fillId="0" borderId="3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9" borderId="35" xfId="0" applyFill="1" applyBorder="1" applyAlignment="1">
      <alignment horizontal="center"/>
    </xf>
    <xf numFmtId="0" fontId="0" fillId="9" borderId="31" xfId="0" applyFill="1" applyBorder="1" applyAlignment="1">
      <alignment horizontal="center" wrapText="1"/>
    </xf>
    <xf numFmtId="0" fontId="0" fillId="9" borderId="36" xfId="0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479">
    <cellStyle name="Денежный [0] 2" xfId="17" xr:uid="{E7877037-6E9D-486A-A986-0DEEF7A65F4D}"/>
    <cellStyle name="Денежный [0] 2 2" xfId="133" xr:uid="{04058045-AF06-4686-8915-55CD858391E8}"/>
    <cellStyle name="Обычный" xfId="0" builtinId="0"/>
    <cellStyle name="Обычный 10" xfId="18" xr:uid="{10B46695-7D6F-4F66-A8F0-56FF2DD77870}"/>
    <cellStyle name="Обычный 10 2" xfId="134" xr:uid="{6636453C-D0D6-4300-8C27-638C40214B67}"/>
    <cellStyle name="Обычный 11" xfId="19" xr:uid="{FEFC01E5-9705-4B64-BBAD-4433037BB745}"/>
    <cellStyle name="Обычный 11 2" xfId="135" xr:uid="{3544050A-99D8-4F44-BC8B-34966AAFCDBD}"/>
    <cellStyle name="Обычный 12" xfId="20" xr:uid="{A021CCD9-405D-4DEA-8FB6-026DFD357D9F}"/>
    <cellStyle name="Обычный 12 2" xfId="136" xr:uid="{D6F301D2-7999-4195-8BA6-52884A6801DD}"/>
    <cellStyle name="Обычный 13" xfId="16" xr:uid="{1E6D007A-C3A6-4332-8A19-6B0A12B7831F}"/>
    <cellStyle name="Обычный 13 2" xfId="137" xr:uid="{05C1E212-34E8-4833-9673-CB93131095E4}"/>
    <cellStyle name="Обычный 14" xfId="138" xr:uid="{697DA132-370F-44DD-AF37-ABC79E7FC478}"/>
    <cellStyle name="Обычный 15" xfId="139" xr:uid="{0EA0A958-B7F4-4639-8BB5-D34CD5D639F1}"/>
    <cellStyle name="Обычный 16" xfId="140" xr:uid="{D57EFBBD-79F0-4BA8-B182-FEC2BB582CF0}"/>
    <cellStyle name="Обычный 17" xfId="141" xr:uid="{75CE8C05-C05F-46C8-A0C4-425534E3FFD7}"/>
    <cellStyle name="Обычный 18" xfId="142" xr:uid="{5945E01A-4462-4CA7-8D34-808B94209565}"/>
    <cellStyle name="Обычный 19" xfId="132" xr:uid="{D1259503-81A8-4F13-B1DD-63E3D21959D5}"/>
    <cellStyle name="Обычный 2" xfId="14" xr:uid="{00000000-0005-0000-0000-000001000000}"/>
    <cellStyle name="Обычный 2 2" xfId="22" xr:uid="{A31F9677-168A-47A3-A07E-F3B132705E79}"/>
    <cellStyle name="Обычный 2 3" xfId="23" xr:uid="{F0307F5B-1C91-4EEF-9585-CBE73B010EC4}"/>
    <cellStyle name="Обычный 2 30" xfId="24" xr:uid="{CE135730-9541-409B-B536-5BE408C4EECE}"/>
    <cellStyle name="Обычный 2 30 2" xfId="144" xr:uid="{E2D6F47C-D680-4220-ABE1-0D116D4209D3}"/>
    <cellStyle name="Обычный 2 4" xfId="25" xr:uid="{13A7D842-3227-4418-95C8-FF06A5EF4B95}"/>
    <cellStyle name="Обычный 2 5" xfId="21" xr:uid="{75B4B34F-F992-419E-BD1E-9EF3C407469C}"/>
    <cellStyle name="Обычный 2 6" xfId="143" xr:uid="{5D137792-C7E5-48B5-A983-C310ED1CE4E2}"/>
    <cellStyle name="Обычный 3" xfId="26" xr:uid="{650F1FBB-6A97-448C-8F28-9846ABE32C27}"/>
    <cellStyle name="Обычный 3 2" xfId="27" xr:uid="{D95ABB42-7455-4B14-8A5C-A19637D2DF3D}"/>
    <cellStyle name="Обычный 3 2 2" xfId="28" xr:uid="{7983B2CC-56E2-4879-8C33-BF1F172FD3F4}"/>
    <cellStyle name="Обычный 3 2 2 2" xfId="146" xr:uid="{C3E21DBC-477D-496C-942E-7B0583BA9B47}"/>
    <cellStyle name="Обычный 3 2 3" xfId="145" xr:uid="{A527002E-3C36-4E3A-B179-6D74BCEAE698}"/>
    <cellStyle name="Обычный 3 3" xfId="29" xr:uid="{45162562-78A5-4E55-BDD6-026A3640A625}"/>
    <cellStyle name="Обычный 3 3 2" xfId="147" xr:uid="{2AD20BA2-EC54-4A53-9E32-636666D090CE}"/>
    <cellStyle name="Обычный 3 4" xfId="30" xr:uid="{C581C703-3637-4BD1-9F33-2675B9877E38}"/>
    <cellStyle name="Обычный 3 4 2" xfId="148" xr:uid="{4A27F398-2149-4966-935B-04927EA37225}"/>
    <cellStyle name="Обычный 4" xfId="31" xr:uid="{54F662D1-EFE9-4861-916A-1CFB34DB8C99}"/>
    <cellStyle name="Обычный 4 2" xfId="32" xr:uid="{F45030A3-9DB3-4711-B854-52FA219CA2E8}"/>
    <cellStyle name="Обычный 4 2 2" xfId="150" xr:uid="{6519D755-954E-4F69-9F9E-BC2FD0A962F3}"/>
    <cellStyle name="Обычный 4 3" xfId="33" xr:uid="{613B7150-EF4F-4381-A682-965DA608654B}"/>
    <cellStyle name="Обычный 4 4" xfId="149" xr:uid="{285D0112-5D26-4191-A2AE-3865192F5248}"/>
    <cellStyle name="Обычный 5" xfId="34" xr:uid="{AF1DB781-3B0E-488D-8F49-C85E1211060C}"/>
    <cellStyle name="Обычный 5 2" xfId="151" xr:uid="{09FB28D6-5601-4218-BCCD-7C623A820E6E}"/>
    <cellStyle name="Обычный 6" xfId="35" xr:uid="{346931EA-030A-452F-83F6-B5F5B954D9CA}"/>
    <cellStyle name="Обычный 7" xfId="36" xr:uid="{C20BC54E-486A-43C4-A6D4-267F50250302}"/>
    <cellStyle name="Обычный 7 2" xfId="152" xr:uid="{F9DA5612-810C-4FB8-B1EC-686E84044A82}"/>
    <cellStyle name="Обычный 8" xfId="37" xr:uid="{20B18D00-C59F-4D9F-8185-296E3AE4F511}"/>
    <cellStyle name="Обычный 8 2" xfId="153" xr:uid="{50654FB0-01F0-4F70-893C-6BCC8D62D64E}"/>
    <cellStyle name="Обычный 9" xfId="38" xr:uid="{9E75EDDB-DD64-4732-BAB4-059493C35642}"/>
    <cellStyle name="Обычный 9 2" xfId="154" xr:uid="{8A508941-26C9-40F2-9E2C-BC6FC64F167D}"/>
    <cellStyle name="Обычный_Контроль П.П. в разрезе Регион_1" xfId="11" xr:uid="{00000000-0005-0000-0000-000002000000}"/>
    <cellStyle name="Обычный_Лист1" xfId="13" xr:uid="{00000000-0005-0000-0000-000003000000}"/>
    <cellStyle name="Процентный" xfId="1" builtinId="5"/>
    <cellStyle name="Процентный 2" xfId="15" xr:uid="{00000000-0005-0000-0000-000005000000}"/>
    <cellStyle name="Процентный 2 2" xfId="40" xr:uid="{49FCB594-15C4-462D-9660-AB27539ECBAF}"/>
    <cellStyle name="Процентный 3" xfId="41" xr:uid="{EF8C22E8-8CEB-431F-A4CB-B65778942906}"/>
    <cellStyle name="Процентный 3 2" xfId="42" xr:uid="{8D871633-2723-4DE4-872A-AB97C25B99DF}"/>
    <cellStyle name="Процентный 4" xfId="43" xr:uid="{C76EF988-38BE-4699-B808-95DA865AAE4B}"/>
    <cellStyle name="Процентный 4 2" xfId="44" xr:uid="{B5FA6702-92D1-4AB4-95DD-D17A6012219F}"/>
    <cellStyle name="Процентный 5" xfId="39" xr:uid="{24C8CD0B-3AA9-49BD-9DB9-C7C165B961DE}"/>
    <cellStyle name="Финансовый" xfId="12" builtinId="3"/>
    <cellStyle name="Финансовый [0] 2" xfId="46" xr:uid="{147D8759-0203-4C0E-934C-D326709F3D38}"/>
    <cellStyle name="Финансовый 10" xfId="47" xr:uid="{8E3BDF17-E17A-47C9-A295-C58A8B1171B5}"/>
    <cellStyle name="Финансовый 10 2" xfId="48" xr:uid="{3540B40A-7E8D-4B6B-8B1F-E6A13336AC98}"/>
    <cellStyle name="Финансовый 10 2 2" xfId="158" xr:uid="{5BEF5842-6366-477C-857D-6081DB3A4F20}"/>
    <cellStyle name="Финансовый 10 2 3" xfId="157" xr:uid="{BD6CED50-3221-4B5D-8C0E-FC3D85B2AB04}"/>
    <cellStyle name="Финансовый 10 3" xfId="159" xr:uid="{45CFA706-F08A-4E75-87CE-803416B04AB4}"/>
    <cellStyle name="Финансовый 10 4" xfId="156" xr:uid="{82BA66FF-3EA3-4120-86AF-5ED71445A153}"/>
    <cellStyle name="Финансовый 100" xfId="49" xr:uid="{004E1609-62D8-4D64-ABF4-ED5749A3EE92}"/>
    <cellStyle name="Финансовый 100 2" xfId="160" xr:uid="{414317F6-FA15-4371-85AE-79E2FCA67FB1}"/>
    <cellStyle name="Финансовый 101" xfId="161" xr:uid="{7E25BCF7-5D97-40D4-BD75-A0A063E1B55C}"/>
    <cellStyle name="Финансовый 102" xfId="162" xr:uid="{9E775D77-8142-4BF7-AF1C-E0EB557ED9C5}"/>
    <cellStyle name="Финансовый 103" xfId="50" xr:uid="{8669CD0B-0157-4ACD-AF28-FB61174DF151}"/>
    <cellStyle name="Финансовый 103 2" xfId="163" xr:uid="{F7514AC2-59FB-4D19-98F2-CCE9D73B8DE2}"/>
    <cellStyle name="Финансовый 104" xfId="164" xr:uid="{58F5C682-3BB0-4653-BDB9-13E8A448AC4D}"/>
    <cellStyle name="Финансовый 105" xfId="165" xr:uid="{A042441C-E7BA-4110-83E0-D03D94B23E5B}"/>
    <cellStyle name="Финансовый 106" xfId="166" xr:uid="{7A10DCE0-1BBB-4A99-81C6-9282FA2A94DF}"/>
    <cellStyle name="Финансовый 107" xfId="167" xr:uid="{85034299-FF19-4C92-8B4D-03BB4659EDA0}"/>
    <cellStyle name="Финансовый 108" xfId="168" xr:uid="{A3794794-6321-40DC-A9AC-475022863E79}"/>
    <cellStyle name="Финансовый 109" xfId="169" xr:uid="{6CED0C9B-5528-4E7A-8DC8-215DB7CCC588}"/>
    <cellStyle name="Финансовый 11" xfId="51" xr:uid="{F7697673-9D79-46C1-A1FB-352538021BE7}"/>
    <cellStyle name="Финансовый 11 10" xfId="9" xr:uid="{00000000-0005-0000-0000-000007000000}"/>
    <cellStyle name="Финансовый 11 10 2" xfId="53" xr:uid="{1330E08F-18F3-43A7-9A88-58AE5440ACEC}"/>
    <cellStyle name="Финансовый 11 10 2 2" xfId="173" xr:uid="{7D537B5F-540D-4701-91C2-FF5F60A1115F}"/>
    <cellStyle name="Финансовый 11 10 2 3" xfId="172" xr:uid="{64C69BE1-DBB2-4C55-ACC5-411708F5D978}"/>
    <cellStyle name="Финансовый 11 10 3" xfId="52" xr:uid="{C7B2631C-AC46-4D12-8F38-E8C668EBC325}"/>
    <cellStyle name="Финансовый 11 10 3 2" xfId="174" xr:uid="{E53416D1-11CC-4BBF-9046-3C64ACFC444E}"/>
    <cellStyle name="Финансовый 11 10 4" xfId="171" xr:uid="{529A1374-1136-4698-97A6-6F6CE47618D7}"/>
    <cellStyle name="Финансовый 11 2" xfId="54" xr:uid="{F9F957D3-D7B5-4EA3-939B-5DD4764AA2AB}"/>
    <cellStyle name="Финансовый 11 2 2" xfId="176" xr:uid="{EB77772D-9CC3-42CF-9CD4-878DC3EFC628}"/>
    <cellStyle name="Финансовый 11 2 3" xfId="175" xr:uid="{83B9C1EB-E13A-4114-B087-3AE83402D253}"/>
    <cellStyle name="Финансовый 11 3" xfId="177" xr:uid="{CB82FD1E-C529-489E-92FA-02FE5C61AC50}"/>
    <cellStyle name="Финансовый 11 4" xfId="170" xr:uid="{9E8CA803-3BED-421D-940B-7B37AB24FE30}"/>
    <cellStyle name="Финансовый 110" xfId="178" xr:uid="{58E12AE6-1084-416E-AB1F-FE1D02D8AB5A}"/>
    <cellStyle name="Финансовый 111" xfId="179" xr:uid="{1EBD7691-7E17-4A8F-A60E-CC8000DFE82A}"/>
    <cellStyle name="Финансовый 112" xfId="180" xr:uid="{4F3668B5-D2C1-428B-8421-B45A828A22CF}"/>
    <cellStyle name="Финансовый 113" xfId="181" xr:uid="{B7964F37-6503-4B86-8EC0-D6B679BBCE8E}"/>
    <cellStyle name="Финансовый 114" xfId="182" xr:uid="{38AB823B-ADBA-4DA2-9D38-F4682EFD0AC4}"/>
    <cellStyle name="Финансовый 115" xfId="183" xr:uid="{93901054-9DA5-4BF5-A603-CA81F7635003}"/>
    <cellStyle name="Финансовый 116" xfId="184" xr:uid="{B9A81EDD-7F9D-46E1-8D14-54E21CACFBD5}"/>
    <cellStyle name="Финансовый 117" xfId="185" xr:uid="{241078BD-C903-404D-A04E-EE7E4DD41395}"/>
    <cellStyle name="Финансовый 118" xfId="186" xr:uid="{FB87ED5F-E2DA-4CC3-A07D-615EC1747093}"/>
    <cellStyle name="Финансовый 119" xfId="187" xr:uid="{41D6CB01-CC29-4DC9-9C11-2E940EEA259C}"/>
    <cellStyle name="Финансовый 12" xfId="55" xr:uid="{79185552-96F1-4B02-B598-CB48B3F8409A}"/>
    <cellStyle name="Финансовый 12 2" xfId="3" xr:uid="{00000000-0005-0000-0000-000008000000}"/>
    <cellStyle name="Финансовый 120" xfId="188" xr:uid="{6FE267BD-E737-4F77-9305-82DB5ABB0976}"/>
    <cellStyle name="Финансовый 121" xfId="189" xr:uid="{C60CBB99-DDEB-4FEE-A017-4156E6543EEA}"/>
    <cellStyle name="Финансовый 122" xfId="190" xr:uid="{35FB5A2D-E773-4340-8F4C-28C9A98514FB}"/>
    <cellStyle name="Финансовый 123" xfId="191" xr:uid="{C57FBB05-7381-43A1-8773-93508AFB079F}"/>
    <cellStyle name="Финансовый 124" xfId="192" xr:uid="{8D406ECD-460C-41CB-BEE6-2965FF4A59E4}"/>
    <cellStyle name="Финансовый 125" xfId="193" xr:uid="{6ED351D5-773D-430D-9C6E-4F4B41FD211E}"/>
    <cellStyle name="Финансовый 126" xfId="194" xr:uid="{CDD42BC7-BAA3-468A-AD06-14B586FF841A}"/>
    <cellStyle name="Финансовый 127" xfId="195" xr:uid="{77C85F3C-0248-4012-9F18-335857E3113F}"/>
    <cellStyle name="Финансовый 128" xfId="196" xr:uid="{51436155-E3D4-4208-B50A-52B59FBEF323}"/>
    <cellStyle name="Финансовый 129" xfId="197" xr:uid="{E7DAA3A2-697E-4CCF-8447-44AB8AD615A8}"/>
    <cellStyle name="Финансовый 13" xfId="56" xr:uid="{9B4A1D3D-5B50-438A-B1FE-C2A7D8E0EF7A}"/>
    <cellStyle name="Финансовый 13 2" xfId="57" xr:uid="{6D13C021-CB49-4580-92D5-3A01D6B17A8C}"/>
    <cellStyle name="Финансовый 130" xfId="198" xr:uid="{A437DA5B-0F32-4B1F-88EE-4ADA2F91C10B}"/>
    <cellStyle name="Финансовый 131" xfId="199" xr:uid="{5E410C14-35AF-47D4-9F50-C34BBBF68FBD}"/>
    <cellStyle name="Финансовый 132" xfId="200" xr:uid="{480D8DDB-CC63-4EFD-ADD9-2AAE6599F534}"/>
    <cellStyle name="Финансовый 133" xfId="201" xr:uid="{87A10FCC-83D6-4A62-B3F4-BBE24D089B20}"/>
    <cellStyle name="Финансовый 134" xfId="202" xr:uid="{2DF6AF5B-EF97-4BBB-89FF-13DF0347D421}"/>
    <cellStyle name="Финансовый 135" xfId="203" xr:uid="{85D5DCD7-932E-4510-B325-66FD8924900E}"/>
    <cellStyle name="Финансовый 136" xfId="204" xr:uid="{DD7478DF-4D89-4032-901A-68446DE54CB0}"/>
    <cellStyle name="Финансовый 137" xfId="205" xr:uid="{B5539F3D-6BD0-4C32-968B-A8751D053837}"/>
    <cellStyle name="Финансовый 138" xfId="206" xr:uid="{58B9E739-2313-4EE1-AAEB-5C460E09001F}"/>
    <cellStyle name="Финансовый 139" xfId="207" xr:uid="{CB053152-EEE7-4380-85F7-B9B5CC7AF9E6}"/>
    <cellStyle name="Финансовый 14" xfId="58" xr:uid="{2CD9F87E-53CE-4439-85FD-285EF926E56A}"/>
    <cellStyle name="Финансовый 14 2" xfId="59" xr:uid="{BE056CFB-7191-4879-9EF4-4426B88B5CA0}"/>
    <cellStyle name="Финансовый 14 2 2" xfId="210" xr:uid="{18948E9B-B1C5-4F23-BC5F-65A078B47A33}"/>
    <cellStyle name="Финансовый 14 2 3" xfId="209" xr:uid="{B02C52A8-D1D9-4AC2-B5DE-FD516D33F415}"/>
    <cellStyle name="Финансовый 14 3" xfId="211" xr:uid="{35444AE2-7C66-4E17-9B1D-704F983E2115}"/>
    <cellStyle name="Финансовый 14 4" xfId="208" xr:uid="{0CB900DD-35EE-4FBE-A322-968950940E2F}"/>
    <cellStyle name="Финансовый 140" xfId="212" xr:uid="{B0E9C023-4194-4983-A46C-EC4273B36B54}"/>
    <cellStyle name="Финансовый 141" xfId="213" xr:uid="{9DE19947-72A3-4512-BBF3-B8757BBA9E37}"/>
    <cellStyle name="Финансовый 142" xfId="214" xr:uid="{CB496BB2-5A4E-41B8-8198-0F9C143E8B6B}"/>
    <cellStyle name="Финансовый 143" xfId="215" xr:uid="{89F6FEF2-7052-44EE-BEAB-D92898D79C30}"/>
    <cellStyle name="Финансовый 144" xfId="216" xr:uid="{B45B1C01-EA69-4597-A582-E75C4A771914}"/>
    <cellStyle name="Финансовый 145" xfId="217" xr:uid="{32889F60-ED7E-4E3D-B85D-CD0E3116291C}"/>
    <cellStyle name="Финансовый 146" xfId="218" xr:uid="{720F6CBA-A04E-4D15-9AD8-16C46240BBC7}"/>
    <cellStyle name="Финансовый 147" xfId="219" xr:uid="{BB2CB829-BEE6-4469-8E2C-59A88C6EB29C}"/>
    <cellStyle name="Финансовый 148" xfId="220" xr:uid="{0CE387C9-6D34-40CA-A5E3-9D7016A9ED21}"/>
    <cellStyle name="Финансовый 149" xfId="221" xr:uid="{C7691260-E85F-4202-A81C-AD44C32EA1F3}"/>
    <cellStyle name="Финансовый 15" xfId="60" xr:uid="{F9C16A5A-C345-46C3-B0B1-8AD28B9AB987}"/>
    <cellStyle name="Финансовый 15 10" xfId="7" xr:uid="{00000000-0005-0000-0000-000009000000}"/>
    <cellStyle name="Финансовый 15 10 2" xfId="62" xr:uid="{B66FCD59-5FD7-461C-9DA0-9AE4564E74F9}"/>
    <cellStyle name="Финансовый 15 10 2 2" xfId="225" xr:uid="{CE03D99A-AE56-40C1-AF28-4E309897FB5C}"/>
    <cellStyle name="Финансовый 15 10 2 3" xfId="224" xr:uid="{46386891-062C-4504-AA3C-138843BB147F}"/>
    <cellStyle name="Финансовый 15 10 3" xfId="61" xr:uid="{7DD2AFB5-7D27-452C-A660-7B947938C47A}"/>
    <cellStyle name="Финансовый 15 10 3 2" xfId="226" xr:uid="{BFABA9A1-D965-4222-9ACC-FCD2AC1998FE}"/>
    <cellStyle name="Финансовый 15 10 4" xfId="223" xr:uid="{19691322-8E20-43B3-A107-0F41421B01F8}"/>
    <cellStyle name="Финансовый 15 2" xfId="63" xr:uid="{89FB0C26-F21E-4FF3-8CC3-51F39D3F1291}"/>
    <cellStyle name="Финансовый 15 2 2" xfId="228" xr:uid="{E8943E88-A920-4AC2-AEDB-ABC3062C1579}"/>
    <cellStyle name="Финансовый 15 2 3" xfId="227" xr:uid="{A5C8EEA6-0C2F-4CD8-80CF-25E7A4321AFE}"/>
    <cellStyle name="Финансовый 15 3" xfId="229" xr:uid="{5B27118F-058F-4A31-83CD-F21C1A12BB54}"/>
    <cellStyle name="Финансовый 15 4" xfId="222" xr:uid="{1375DDFE-A760-43E2-B271-47F3A9DFFC37}"/>
    <cellStyle name="Финансовый 150" xfId="230" xr:uid="{D62504D1-E3F8-4AA8-BED5-5873C0C115F1}"/>
    <cellStyle name="Финансовый 151" xfId="231" xr:uid="{25C90098-D10A-4E16-AE98-86BA20B3CECC}"/>
    <cellStyle name="Финансовый 152" xfId="232" xr:uid="{D3C1A300-0976-42B3-B2F3-316730168D6F}"/>
    <cellStyle name="Финансовый 153" xfId="233" xr:uid="{47D544F1-3AAF-45BD-8E64-84B0F6D764ED}"/>
    <cellStyle name="Финансовый 154" xfId="234" xr:uid="{6E326CCA-2CE9-4B7A-A3F5-8A6CBCB82265}"/>
    <cellStyle name="Финансовый 155" xfId="235" xr:uid="{29DCF6AF-18EF-4BA3-BEB8-24CE9E59C0CB}"/>
    <cellStyle name="Финансовый 156" xfId="236" xr:uid="{AD5CA324-3B5C-436F-861F-13293C8B62A8}"/>
    <cellStyle name="Финансовый 157" xfId="237" xr:uid="{4A9FC658-D76D-4774-9427-02380EFBFD1D}"/>
    <cellStyle name="Финансовый 158" xfId="238" xr:uid="{29222A10-BC79-41A3-95C7-14D4AFCF90C8}"/>
    <cellStyle name="Финансовый 159" xfId="239" xr:uid="{6ADA542F-0C29-452A-8047-88CA39D12837}"/>
    <cellStyle name="Финансовый 16" xfId="64" xr:uid="{F13234A7-19A3-4188-BF8B-3DDE3061E0D1}"/>
    <cellStyle name="Финансовый 16 2" xfId="65" xr:uid="{E44D7F5F-5E39-4BB4-89FE-4E46E73B239C}"/>
    <cellStyle name="Финансовый 160" xfId="240" xr:uid="{33961C80-503E-4127-AE9B-166CD318AB3C}"/>
    <cellStyle name="Финансовый 161" xfId="241" xr:uid="{019F211D-C6D4-4079-B828-5D988C7593BB}"/>
    <cellStyle name="Финансовый 162" xfId="242" xr:uid="{D9DA1B06-68F2-4D74-A435-28127912E935}"/>
    <cellStyle name="Финансовый 163" xfId="243" xr:uid="{4E818C93-3C67-4257-86A3-E17FE844332C}"/>
    <cellStyle name="Финансовый 164" xfId="244" xr:uid="{7B37B39B-B457-4C3E-AA94-D7953B49C25E}"/>
    <cellStyle name="Финансовый 165" xfId="245" xr:uid="{37E3A56A-7973-49E6-9056-ED2B17799786}"/>
    <cellStyle name="Финансовый 166" xfId="246" xr:uid="{956994B6-4143-4459-8CCA-F799E489C295}"/>
    <cellStyle name="Финансовый 167" xfId="247" xr:uid="{55B386C4-63CE-4FB6-8197-0775DE59C1D6}"/>
    <cellStyle name="Финансовый 168" xfId="248" xr:uid="{1A638AE9-6112-4C1F-A1C5-89292DD150FF}"/>
    <cellStyle name="Финансовый 169" xfId="249" xr:uid="{E7E3E8A1-6175-407C-9A89-1C0408587144}"/>
    <cellStyle name="Финансовый 17" xfId="66" xr:uid="{597229FC-2BA2-4E98-ACAF-1F7EAF862C1E}"/>
    <cellStyle name="Финансовый 17 2" xfId="2" xr:uid="{00000000-0005-0000-0000-00000A000000}"/>
    <cellStyle name="Финансовый 170" xfId="250" xr:uid="{B0BA8648-360D-4F46-AD8C-3F159B2ED174}"/>
    <cellStyle name="Финансовый 171" xfId="251" xr:uid="{91065247-2136-4B15-8235-5D0163E0BCE3}"/>
    <cellStyle name="Финансовый 172" xfId="252" xr:uid="{A0712E9F-2B5A-4CD0-B89A-1B38663978F0}"/>
    <cellStyle name="Финансовый 173" xfId="253" xr:uid="{966BDAD8-ED5F-4D4C-9805-95B3C9F4E218}"/>
    <cellStyle name="Финансовый 174" xfId="254" xr:uid="{682FC9F0-87CB-425F-86AF-5F945EAC7D50}"/>
    <cellStyle name="Финансовый 175" xfId="255" xr:uid="{9A366D8F-222B-4DD2-BEC8-5FFE2837B88D}"/>
    <cellStyle name="Финансовый 176" xfId="256" xr:uid="{37646078-A98E-4800-9A1C-1E4632073B82}"/>
    <cellStyle name="Финансовый 177" xfId="257" xr:uid="{9157144F-FC54-440F-B1DC-39670573B3DD}"/>
    <cellStyle name="Финансовый 178" xfId="258" xr:uid="{B8ED0E88-F4E6-47ED-9213-5A0A322ACA45}"/>
    <cellStyle name="Финансовый 179" xfId="259" xr:uid="{9ED7035E-F6E9-4F08-A350-3039167ED739}"/>
    <cellStyle name="Финансовый 18" xfId="67" xr:uid="{A509E813-2170-4CEC-8CA8-EB477A949E20}"/>
    <cellStyle name="Финансовый 18 2" xfId="5" xr:uid="{00000000-0005-0000-0000-00000B000000}"/>
    <cellStyle name="Финансовый 180" xfId="260" xr:uid="{01810976-93E9-477F-9461-0DC9D70F89FB}"/>
    <cellStyle name="Финансовый 181" xfId="261" xr:uid="{800101D5-3E97-4D91-9EE9-E7665C3B245E}"/>
    <cellStyle name="Финансовый 182" xfId="262" xr:uid="{666AEB29-6FB9-4778-B471-64A31952436F}"/>
    <cellStyle name="Финансовый 183" xfId="263" xr:uid="{73BFE438-1E62-48A8-8977-21D921532B37}"/>
    <cellStyle name="Финансовый 184" xfId="264" xr:uid="{C601E50D-B46C-44AB-95A4-5C152531E946}"/>
    <cellStyle name="Финансовый 185" xfId="265" xr:uid="{C27CFD09-9387-4383-8242-AA5531D7D641}"/>
    <cellStyle name="Финансовый 186" xfId="266" xr:uid="{DA5F7222-C1FE-4DF3-825A-989DC8042D9D}"/>
    <cellStyle name="Финансовый 187" xfId="267" xr:uid="{4ECAC280-3075-4CFA-B655-F85042D1AF37}"/>
    <cellStyle name="Финансовый 188" xfId="268" xr:uid="{41CD8A4B-7FAC-40C6-A794-FAAD5A6FE47F}"/>
    <cellStyle name="Финансовый 189" xfId="269" xr:uid="{94045921-7714-45D6-9BFF-04A4B868DDC8}"/>
    <cellStyle name="Финансовый 19" xfId="68" xr:uid="{EC6355C2-5E52-4785-BE6D-F33D4F086B90}"/>
    <cellStyle name="Финансовый 19 2" xfId="69" xr:uid="{BBA9C2B8-A9AF-42E0-9E5F-4C2BEE2E347C}"/>
    <cellStyle name="Финансовый 190" xfId="270" xr:uid="{86E00FA5-8261-4E9E-8BAF-00DE007CDB00}"/>
    <cellStyle name="Финансовый 191" xfId="271" xr:uid="{B908E434-E611-45DB-B6D0-59C5AFEBB8CD}"/>
    <cellStyle name="Финансовый 192" xfId="272" xr:uid="{06044B1A-665D-4686-8886-9C8CB889FC33}"/>
    <cellStyle name="Финансовый 193" xfId="273" xr:uid="{5832E8CF-3560-4DA6-A476-739292688D5B}"/>
    <cellStyle name="Финансовый 194" xfId="274" xr:uid="{8002B54B-8244-46BB-A439-456509031904}"/>
    <cellStyle name="Финансовый 195" xfId="275" xr:uid="{233063B3-A620-41CD-9117-CE6E8D11ED3B}"/>
    <cellStyle name="Финансовый 196" xfId="276" xr:uid="{E7B301F2-891A-4586-AD2D-01F3FBCB2C41}"/>
    <cellStyle name="Финансовый 197" xfId="277" xr:uid="{5BA03821-51D7-42FF-945D-042F87A93E3F}"/>
    <cellStyle name="Финансовый 198" xfId="278" xr:uid="{1BC7F15F-7B98-41A6-96C5-DBE56CFAF31F}"/>
    <cellStyle name="Финансовый 199" xfId="279" xr:uid="{FA023BD8-2C0C-465A-A4FF-97C0ED6E65C5}"/>
    <cellStyle name="Финансовый 2" xfId="70" xr:uid="{82077246-B02E-40CE-B208-43CE8B376BC1}"/>
    <cellStyle name="Финансовый 2 2" xfId="71" xr:uid="{0FE09778-8A12-4361-9954-A2A1B4E0D005}"/>
    <cellStyle name="Финансовый 20" xfId="72" xr:uid="{9707F5E3-3DAB-413F-9CE4-F9CD0B7C7FC0}"/>
    <cellStyle name="Финансовый 20 2" xfId="73" xr:uid="{2C8335BF-EC53-4FE2-963D-6828F0E71C65}"/>
    <cellStyle name="Финансовый 200" xfId="281" xr:uid="{DBC69C99-FC39-490E-A957-750B7BF16571}"/>
    <cellStyle name="Финансовый 201" xfId="282" xr:uid="{04748100-D819-4322-8A97-D354B63BBB38}"/>
    <cellStyle name="Финансовый 202" xfId="283" xr:uid="{6AD585BB-254D-45D2-949F-44389972A89E}"/>
    <cellStyle name="Финансовый 203" xfId="284" xr:uid="{9A609A44-9C91-4B05-B524-D48BEC0DABDD}"/>
    <cellStyle name="Финансовый 204" xfId="285" xr:uid="{5F3388DA-18C8-4C1A-A92E-A2A68101B42E}"/>
    <cellStyle name="Финансовый 205" xfId="286" xr:uid="{B256AC4B-F58F-4812-B0CB-A61599203E11}"/>
    <cellStyle name="Финансовый 206" xfId="287" xr:uid="{4AAF0311-91C0-400E-8084-6C2AFAD00574}"/>
    <cellStyle name="Финансовый 207" xfId="288" xr:uid="{430B52E5-ACD5-40FF-B634-E930017FF326}"/>
    <cellStyle name="Финансовый 208" xfId="289" xr:uid="{7CA29594-4FA6-4348-BA74-D994546FBB08}"/>
    <cellStyle name="Финансовый 209" xfId="290" xr:uid="{311F36E4-5816-4F4A-9678-F541E312996E}"/>
    <cellStyle name="Финансовый 21" xfId="74" xr:uid="{94CE1E4F-5C7B-4C3A-845C-3D50EA7FA578}"/>
    <cellStyle name="Финансовый 21 2" xfId="4" xr:uid="{00000000-0005-0000-0000-00000C000000}"/>
    <cellStyle name="Финансовый 210" xfId="291" xr:uid="{7AFD6FD5-CFCC-46F9-A12E-C501F98A2167}"/>
    <cellStyle name="Финансовый 211" xfId="292" xr:uid="{76802A85-57C2-49EA-9DF8-80D60FBD4533}"/>
    <cellStyle name="Финансовый 212" xfId="293" xr:uid="{04F8F6D4-30D5-4D59-82B6-153E7F47874E}"/>
    <cellStyle name="Финансовый 213" xfId="294" xr:uid="{5815C7C6-1AD9-4DA7-862D-7015F82B2C78}"/>
    <cellStyle name="Финансовый 214" xfId="295" xr:uid="{714A8BAE-9109-43C1-AE52-B4050128FB96}"/>
    <cellStyle name="Финансовый 215" xfId="296" xr:uid="{CB93BCFB-0D69-4109-8613-43689CAFED3A}"/>
    <cellStyle name="Финансовый 216" xfId="297" xr:uid="{EC87F703-5D6B-4E2D-8D08-18F71D5CFF95}"/>
    <cellStyle name="Финансовый 217" xfId="298" xr:uid="{E036CA13-CD74-4338-AFEA-3B64E31F90E6}"/>
    <cellStyle name="Финансовый 218" xfId="299" xr:uid="{B2498792-DCEE-494F-9A45-FDA85989593A}"/>
    <cellStyle name="Финансовый 219" xfId="300" xr:uid="{2B7CD0A6-FFC8-48C7-9E0D-79FA62647E1A}"/>
    <cellStyle name="Финансовый 22" xfId="75" xr:uid="{F4D37E41-3594-41A4-959F-5217EA9C110F}"/>
    <cellStyle name="Финансовый 22 2" xfId="76" xr:uid="{2CB98427-AA88-4305-9F14-8D6E7A98407D}"/>
    <cellStyle name="Финансовый 220" xfId="301" xr:uid="{1884D513-CBF0-412A-8B67-0188627B7F77}"/>
    <cellStyle name="Финансовый 221" xfId="302" xr:uid="{59AB2DC6-2A4B-49DB-B604-D1BCC402A658}"/>
    <cellStyle name="Финансовый 222" xfId="303" xr:uid="{81B001AA-54CC-4B16-B46F-34D2BE899EED}"/>
    <cellStyle name="Финансовый 223" xfId="304" xr:uid="{76B47382-611C-405D-86E0-77AA872FFA15}"/>
    <cellStyle name="Финансовый 224" xfId="305" xr:uid="{6513A989-490A-40A1-AEFA-2A36E316AAC3}"/>
    <cellStyle name="Финансовый 225" xfId="306" xr:uid="{03CC63D7-B7DB-4BB4-A7D0-3F23730E7678}"/>
    <cellStyle name="Финансовый 226" xfId="307" xr:uid="{1AA7E459-FEF7-4217-9BEC-EB3FF58C2D67}"/>
    <cellStyle name="Финансовый 227" xfId="308" xr:uid="{423CBC07-134E-4B61-8AD2-5B610F94571C}"/>
    <cellStyle name="Финансовый 228" xfId="309" xr:uid="{DEE61099-4E20-4E62-AB7F-4D18C3A8683B}"/>
    <cellStyle name="Финансовый 229" xfId="310" xr:uid="{BB09EA6B-EE4F-4498-A809-AD636194AE69}"/>
    <cellStyle name="Финансовый 23" xfId="77" xr:uid="{D4908C90-7061-4F37-87D5-C85D9418DEA9}"/>
    <cellStyle name="Финансовый 23 2" xfId="78" xr:uid="{A3779370-0154-49B0-91C6-513B01248111}"/>
    <cellStyle name="Финансовый 230" xfId="311" xr:uid="{A10C4B30-5A2A-48CD-A96F-D5C0B35A34EF}"/>
    <cellStyle name="Финансовый 231" xfId="312" xr:uid="{B15E8E6A-00CF-4B81-B5C1-77D8E465B5D2}"/>
    <cellStyle name="Финансовый 232" xfId="155" xr:uid="{9178D720-3435-4C97-90B0-28121EDB0605}"/>
    <cellStyle name="Финансовый 233" xfId="280" xr:uid="{696EBFBC-C901-438E-9255-21A516E09E01}"/>
    <cellStyle name="Финансовый 24" xfId="79" xr:uid="{5A62DF88-34CD-4FF1-B534-5FE4EADF3963}"/>
    <cellStyle name="Финансовый 24 2" xfId="80" xr:uid="{37E984ED-CA63-4FD9-A9FF-6A930FDE89FF}"/>
    <cellStyle name="Финансовый 25" xfId="81" xr:uid="{D46E77B5-C8C5-403F-91E8-A4519C9D0E0C}"/>
    <cellStyle name="Финансовый 25 2" xfId="82" xr:uid="{B736708A-01FE-4697-BE66-3BE0956C0272}"/>
    <cellStyle name="Финансовый 26" xfId="83" xr:uid="{A78F66D6-C8BB-4F1E-850C-87339724B84D}"/>
    <cellStyle name="Финансовый 26 2" xfId="6" xr:uid="{00000000-0005-0000-0000-00000D000000}"/>
    <cellStyle name="Финансовый 27" xfId="84" xr:uid="{0F311A30-A6CE-4FA9-957D-F43B066D4742}"/>
    <cellStyle name="Финансовый 27 2" xfId="85" xr:uid="{5C8B8B60-F425-45B9-A719-5F3DEA35B7EB}"/>
    <cellStyle name="Финансовый 28" xfId="86" xr:uid="{AFC4F597-FC78-4179-B5E5-D8378375D58B}"/>
    <cellStyle name="Финансовый 28 2" xfId="87" xr:uid="{30DB3DF3-54EF-403C-A700-8A17D4453059}"/>
    <cellStyle name="Финансовый 29" xfId="88" xr:uid="{9779901D-4D1D-428C-95EA-A972CFFA9288}"/>
    <cellStyle name="Финансовый 29 2" xfId="89" xr:uid="{10F6E8F3-D319-4E53-BFAC-DE80F42E1631}"/>
    <cellStyle name="Финансовый 3" xfId="90" xr:uid="{A1B7D1BF-D68D-404A-89BD-D8BBEF811396}"/>
    <cellStyle name="Финансовый 3 2" xfId="91" xr:uid="{0A059CC5-384A-48B4-9596-A8121940A705}"/>
    <cellStyle name="Финансовый 3 3" xfId="92" xr:uid="{BFEB4188-40F4-413C-9C92-AD8EC41B9381}"/>
    <cellStyle name="Финансовый 3 3 2" xfId="93" xr:uid="{97D7B2DB-7F9A-4512-946C-65251C77BA92}"/>
    <cellStyle name="Финансовый 3 4" xfId="94" xr:uid="{7251DD43-37AB-43AF-A287-512BEB006614}"/>
    <cellStyle name="Финансовый 3 5" xfId="314" xr:uid="{9B23DE2C-20AE-47BD-9455-1E1FE4EA41FD}"/>
    <cellStyle name="Финансовый 3 6" xfId="313" xr:uid="{BEF76B35-0057-4075-92D7-E89231F24AD9}"/>
    <cellStyle name="Финансовый 30" xfId="95" xr:uid="{7E73ECDF-8077-4E28-98D9-D01C8313251E}"/>
    <cellStyle name="Финансовый 30 2" xfId="96" xr:uid="{F96B68D4-2B04-4183-B1B7-3D2445687AC5}"/>
    <cellStyle name="Финансовый 300" xfId="97" xr:uid="{DEEF84E1-BC74-49F7-BFDB-37F06E866AF2}"/>
    <cellStyle name="Финансовый 300 2" xfId="316" xr:uid="{03A7AE03-2957-44F4-894B-48A98DED157C}"/>
    <cellStyle name="Финансовый 300 3" xfId="315" xr:uid="{43C97A22-27CF-4081-8FD4-F3391B3E60EF}"/>
    <cellStyle name="Финансовый 306" xfId="98" xr:uid="{D5A209B2-B696-4E52-91F6-C97883559D2B}"/>
    <cellStyle name="Финансовый 306 2" xfId="318" xr:uid="{35486D8E-9B32-4557-8136-22509B5FFFDF}"/>
    <cellStyle name="Финансовый 306 3" xfId="317" xr:uid="{F99AB28B-E829-43E6-BE97-1EF7F0F47203}"/>
    <cellStyle name="Финансовый 31" xfId="99" xr:uid="{29167E67-CA23-418A-9FC1-84290942D528}"/>
    <cellStyle name="Финансовый 31 2" xfId="100" xr:uid="{31BD1B2F-B422-403E-89E6-EBBA17C72615}"/>
    <cellStyle name="Финансовый 32" xfId="101" xr:uid="{85CA4A02-2282-4E70-917D-9158BF228EC3}"/>
    <cellStyle name="Финансовый 33" xfId="102" xr:uid="{2B4616DF-878A-4657-92E0-B8FA5C8586E4}"/>
    <cellStyle name="Финансовый 34" xfId="103" xr:uid="{D7B455D7-EF8A-43B2-A1C2-B7A66359BD81}"/>
    <cellStyle name="Финансовый 35" xfId="104" xr:uid="{4F7A077D-FCB2-442F-A827-1F144A2C3CFF}"/>
    <cellStyle name="Финансовый 36" xfId="105" xr:uid="{D0CBEEEC-7746-4B25-954D-8CEBDAA1DB06}"/>
    <cellStyle name="Финансовый 37" xfId="106" xr:uid="{58C7859F-173D-4CB7-B1C7-260FAD2E6F60}"/>
    <cellStyle name="Финансовый 38" xfId="107" xr:uid="{54CA776C-D21F-4AA5-8178-CAF2BC7155B7}"/>
    <cellStyle name="Финансовый 39" xfId="108" xr:uid="{9CC98BEC-12EF-4066-A1F7-23156F7D2D59}"/>
    <cellStyle name="Финансовый 39 10" xfId="320" xr:uid="{C3E28656-04B7-435A-B63F-D7808B9B19B8}"/>
    <cellStyle name="Финансовый 39 11" xfId="321" xr:uid="{0146E782-B0D2-41C8-B873-A53EC016B026}"/>
    <cellStyle name="Финансовый 39 12" xfId="322" xr:uid="{6144BE19-CDD6-45D2-ACDB-E063D70FD382}"/>
    <cellStyle name="Финансовый 39 13" xfId="323" xr:uid="{0D1D54B0-17B5-483B-B23C-9BB0224E4262}"/>
    <cellStyle name="Финансовый 39 14" xfId="324" xr:uid="{361BB728-A36D-4638-9E84-865DF3E1A0C4}"/>
    <cellStyle name="Финансовый 39 15" xfId="325" xr:uid="{E82E19C3-0085-4E34-88B8-CBF5C5E94F0A}"/>
    <cellStyle name="Финансовый 39 16" xfId="326" xr:uid="{0C4E3AA9-FC70-4912-899B-46AE3BAF2F57}"/>
    <cellStyle name="Финансовый 39 17" xfId="327" xr:uid="{5574E491-A81C-4DFB-A65F-3B3319C85503}"/>
    <cellStyle name="Финансовый 39 18" xfId="328" xr:uid="{2F9A0067-955D-4CC2-A50B-9DAA0443DA22}"/>
    <cellStyle name="Финансовый 39 19" xfId="329" xr:uid="{8DD1FC81-88EC-4DC0-9BBF-B354950059CE}"/>
    <cellStyle name="Финансовый 39 2" xfId="109" xr:uid="{3C3DE544-C438-4521-99B3-DAD7619025B1}"/>
    <cellStyle name="Финансовый 39 2 2" xfId="331" xr:uid="{7D8E5A63-FCD7-4A9E-9276-77298F5FEDAD}"/>
    <cellStyle name="Финансовый 39 2 3" xfId="330" xr:uid="{8397D102-ED7D-443C-BA3E-772EDCFEEAC1}"/>
    <cellStyle name="Финансовый 39 20" xfId="332" xr:uid="{33FEEDAE-7F44-4114-AA9F-8B20530A7DC4}"/>
    <cellStyle name="Финансовый 39 21" xfId="333" xr:uid="{4176CF70-CC8F-4C04-A84E-37E096C8EAC4}"/>
    <cellStyle name="Финансовый 39 22" xfId="334" xr:uid="{C1F8DD31-C3AF-4D68-8104-A62FA1260A84}"/>
    <cellStyle name="Финансовый 39 23" xfId="335" xr:uid="{0CF1A114-D13C-4CFC-9345-0B49D1B91451}"/>
    <cellStyle name="Финансовый 39 24" xfId="336" xr:uid="{E702ADF5-82AF-4EEA-8B48-6DDED5491D5E}"/>
    <cellStyle name="Финансовый 39 25" xfId="337" xr:uid="{019135A7-EB57-4B52-8CF0-378C949BE25E}"/>
    <cellStyle name="Финансовый 39 26" xfId="338" xr:uid="{938CC92C-0FDD-4514-A2FF-DDCFCD9D41B8}"/>
    <cellStyle name="Финансовый 39 27" xfId="339" xr:uid="{28235EA1-2B3D-41BF-9C68-62BC3B55216A}"/>
    <cellStyle name="Финансовый 39 28" xfId="340" xr:uid="{68834789-002C-4F1B-B418-5BB3F2F5F036}"/>
    <cellStyle name="Финансовый 39 29" xfId="341" xr:uid="{25EC2103-4A96-42C8-9636-9593783422D7}"/>
    <cellStyle name="Финансовый 39 3" xfId="110" xr:uid="{B216340F-4482-458D-AF3F-C40A056E0353}"/>
    <cellStyle name="Финансовый 39 3 2" xfId="343" xr:uid="{1F732E36-8D2F-4879-BF67-631F65F77A46}"/>
    <cellStyle name="Финансовый 39 3 3" xfId="342" xr:uid="{16EBC4AE-2A2B-40B4-816B-199FA2006B5A}"/>
    <cellStyle name="Финансовый 39 30" xfId="344" xr:uid="{12F1B5D1-8DD5-4CF8-BF93-CEEDB8A0F016}"/>
    <cellStyle name="Финансовый 39 31" xfId="345" xr:uid="{B695DCF4-95D1-43DF-98DF-918C4C3E08DA}"/>
    <cellStyle name="Финансовый 39 32" xfId="346" xr:uid="{6B5EE763-179B-48DC-B369-3E9D39A0220F}"/>
    <cellStyle name="Финансовый 39 33" xfId="347" xr:uid="{19D79D49-64B4-43E5-9039-470E90F20DAB}"/>
    <cellStyle name="Финансовый 39 34" xfId="348" xr:uid="{A4480560-F81C-4A9F-95D7-560898FA18ED}"/>
    <cellStyle name="Финансовый 39 35" xfId="349" xr:uid="{F30ABB83-6D1A-4EED-BED6-CC5729483D7D}"/>
    <cellStyle name="Финансовый 39 36" xfId="350" xr:uid="{2C8B5DF3-2604-4B1C-BC31-CADB11C858C1}"/>
    <cellStyle name="Финансовый 39 37" xfId="351" xr:uid="{B198777F-09F7-479D-AAE7-607415159DD4}"/>
    <cellStyle name="Финансовый 39 38" xfId="352" xr:uid="{1C79A47F-A4F5-4D41-B987-43BEF057639B}"/>
    <cellStyle name="Финансовый 39 39" xfId="353" xr:uid="{5011D586-3D3F-4BB7-B7B1-A5513196A432}"/>
    <cellStyle name="Финансовый 39 4" xfId="111" xr:uid="{59403019-3115-47D1-80ED-2E6D7370B985}"/>
    <cellStyle name="Финансовый 39 4 2" xfId="355" xr:uid="{B418543D-DFC5-4532-BDC5-934AA4C00DE9}"/>
    <cellStyle name="Финансовый 39 4 3" xfId="354" xr:uid="{878075EC-FC58-4601-9467-E06D3212DEFE}"/>
    <cellStyle name="Финансовый 39 40" xfId="356" xr:uid="{B6D8AF43-9A31-4D52-B47A-417DD34F2EF0}"/>
    <cellStyle name="Финансовый 39 41" xfId="357" xr:uid="{51820CFB-9D72-4FAF-A2E0-494CD0C2C157}"/>
    <cellStyle name="Финансовый 39 42" xfId="358" xr:uid="{F1B108C1-063F-42E4-92BE-EB105577F6E4}"/>
    <cellStyle name="Финансовый 39 43" xfId="359" xr:uid="{C23BEB90-F237-41BF-87D9-626FB7A39D0B}"/>
    <cellStyle name="Финансовый 39 44" xfId="360" xr:uid="{CE75E9DA-F70F-4FC1-A4B5-D0DB494E1A0B}"/>
    <cellStyle name="Финансовый 39 45" xfId="361" xr:uid="{C4CCB308-90C6-4762-BC21-B0877DF0532B}"/>
    <cellStyle name="Финансовый 39 46" xfId="362" xr:uid="{E050CD06-B290-40CA-8C9C-82E8B61031D3}"/>
    <cellStyle name="Финансовый 39 47" xfId="363" xr:uid="{CD063EF1-5E5F-41A9-A897-A4BEC97ED2F5}"/>
    <cellStyle name="Финансовый 39 48" xfId="364" xr:uid="{5B6219F4-2496-4A37-ABB6-D4D7A4F44378}"/>
    <cellStyle name="Финансовый 39 49" xfId="365" xr:uid="{13A7EF24-3F39-40EF-A334-7FBAB70827C3}"/>
    <cellStyle name="Финансовый 39 5" xfId="112" xr:uid="{60C2A9F9-BFE4-4555-949F-63F0776F9861}"/>
    <cellStyle name="Финансовый 39 5 2" xfId="367" xr:uid="{C5B24FC5-B6FB-40DD-8D31-2852B467D173}"/>
    <cellStyle name="Финансовый 39 5 3" xfId="366" xr:uid="{EE9CEB5B-8E5B-4550-9F88-9766DD7154E4}"/>
    <cellStyle name="Финансовый 39 50" xfId="368" xr:uid="{3FB9E12E-DD9E-44F0-B1DD-5A329F943454}"/>
    <cellStyle name="Финансовый 39 51" xfId="369" xr:uid="{BEFB331A-85F1-4C72-BF83-79780FAE6546}"/>
    <cellStyle name="Финансовый 39 52" xfId="370" xr:uid="{D2CCDFEC-F490-4162-A1CC-A920820C82A5}"/>
    <cellStyle name="Финансовый 39 53" xfId="371" xr:uid="{EB9BD420-C8B2-4D95-977D-AE68C4117563}"/>
    <cellStyle name="Финансовый 39 54" xfId="372" xr:uid="{8CD9E6F0-7C59-4E1F-947F-397969BF2B8D}"/>
    <cellStyle name="Финансовый 39 55" xfId="373" xr:uid="{140D0118-6F8C-4653-AA79-BEF509EABC1B}"/>
    <cellStyle name="Финансовый 39 56" xfId="374" xr:uid="{BFBA32C1-3E34-4640-B07F-9FA4AC345341}"/>
    <cellStyle name="Финансовый 39 57" xfId="375" xr:uid="{781535B6-C3C4-495B-A67C-5697773B3A05}"/>
    <cellStyle name="Финансовый 39 58" xfId="376" xr:uid="{F972A74A-EDFE-4A6E-AAD7-6FA41E143162}"/>
    <cellStyle name="Финансовый 39 59" xfId="377" xr:uid="{166814EC-4D61-47BE-B34C-04036EEF5212}"/>
    <cellStyle name="Финансовый 39 6" xfId="113" xr:uid="{1C8664D7-70A2-4A75-B303-3A4EC2DDDDE2}"/>
    <cellStyle name="Финансовый 39 6 2" xfId="379" xr:uid="{718D1E50-1C14-41AD-8F48-C26952300D53}"/>
    <cellStyle name="Финансовый 39 6 3" xfId="378" xr:uid="{F8161E6E-021D-4017-B393-95660BE42A8B}"/>
    <cellStyle name="Финансовый 39 60" xfId="380" xr:uid="{06E05C9A-6A17-457E-AE05-0A863B828F04}"/>
    <cellStyle name="Финансовый 39 61" xfId="381" xr:uid="{955BB71F-541D-4D40-BF77-574EDD2138AD}"/>
    <cellStyle name="Финансовый 39 62" xfId="382" xr:uid="{805CCE05-D0D8-48F3-B0D5-277B89E10E90}"/>
    <cellStyle name="Финансовый 39 63" xfId="383" xr:uid="{96D104C4-DDA7-421B-AB0D-7187DD8A268D}"/>
    <cellStyle name="Финансовый 39 64" xfId="384" xr:uid="{665DBC5D-4A8C-4DED-A9C1-56810BADFED9}"/>
    <cellStyle name="Финансовый 39 65" xfId="385" xr:uid="{1EF86D7A-AE32-4C1D-B1A6-0108EBE30CFB}"/>
    <cellStyle name="Финансовый 39 66" xfId="386" xr:uid="{3D829B4C-7B51-4299-9B9B-C14BC4A46232}"/>
    <cellStyle name="Финансовый 39 67" xfId="387" xr:uid="{8DA8B199-8D49-44DC-8D37-FC2B06E9EE17}"/>
    <cellStyle name="Финансовый 39 68" xfId="388" xr:uid="{CBDE9A96-FA14-446C-8600-83BD8DC33828}"/>
    <cellStyle name="Финансовый 39 69" xfId="389" xr:uid="{B1AE5F97-D07D-4754-911D-085B723E205A}"/>
    <cellStyle name="Финансовый 39 7" xfId="390" xr:uid="{8A2F89B4-6C87-42D8-B0B9-9F8C5F87CE2C}"/>
    <cellStyle name="Финансовый 39 70" xfId="391" xr:uid="{BC8ADF78-4464-467B-A452-A5B79BA261B8}"/>
    <cellStyle name="Финансовый 39 71" xfId="392" xr:uid="{B8E588CB-ECBB-4014-A611-56A80CD876C2}"/>
    <cellStyle name="Финансовый 39 72" xfId="393" xr:uid="{6D259F33-6603-4E4B-93DE-8DEAC024CD5D}"/>
    <cellStyle name="Финансовый 39 73" xfId="394" xr:uid="{FDCD6998-0C00-431F-B1B1-C2376AB94B63}"/>
    <cellStyle name="Финансовый 39 74" xfId="395" xr:uid="{CBDC14EE-9CA3-43A2-997B-BF62701621E7}"/>
    <cellStyle name="Финансовый 39 75" xfId="396" xr:uid="{CE4C6B9D-52D5-4C23-BCF1-9A31B36313D7}"/>
    <cellStyle name="Финансовый 39 76" xfId="397" xr:uid="{759F8CBE-7EA1-4B63-BC7F-D41EEF285E1C}"/>
    <cellStyle name="Финансовый 39 77" xfId="398" xr:uid="{1E581A0F-FEEA-41F0-AD00-E440874D7B0B}"/>
    <cellStyle name="Финансовый 39 78" xfId="399" xr:uid="{19CA5CD1-26E4-4063-9166-767967CBE253}"/>
    <cellStyle name="Финансовый 39 79" xfId="400" xr:uid="{25799185-63FA-4BC6-B71F-814F05956852}"/>
    <cellStyle name="Финансовый 39 8" xfId="401" xr:uid="{B8EDC98F-CC9B-4B48-9636-C82D1D0DB5B5}"/>
    <cellStyle name="Финансовый 39 80" xfId="402" xr:uid="{2A7CF4DA-E449-438D-9BAF-1D8D70C6F33B}"/>
    <cellStyle name="Финансовый 39 81" xfId="403" xr:uid="{4484ECC9-4CC5-452E-94D9-DE176A1DE872}"/>
    <cellStyle name="Финансовый 39 82" xfId="404" xr:uid="{A824F48A-4175-4784-888C-F1C14BAC2F18}"/>
    <cellStyle name="Финансовый 39 83" xfId="405" xr:uid="{21BEAE9D-0D5B-4604-A54A-FD2063D45A01}"/>
    <cellStyle name="Финансовый 39 84" xfId="406" xr:uid="{053E8CF2-9AE6-4BE1-B7B6-513594B3DFEB}"/>
    <cellStyle name="Финансовый 39 85" xfId="407" xr:uid="{6BC2ACD5-37D0-436D-85CA-C59181A7AE91}"/>
    <cellStyle name="Финансовый 39 86" xfId="408" xr:uid="{3D5A0CEA-71F3-471B-9697-69A1372318F8}"/>
    <cellStyle name="Финансовый 39 87" xfId="409" xr:uid="{DCCB7534-ABAB-4C44-A937-6FC08444329E}"/>
    <cellStyle name="Финансовый 39 88" xfId="410" xr:uid="{62FCC576-D8BA-4837-893C-4795B2A1B5F8}"/>
    <cellStyle name="Финансовый 39 89" xfId="411" xr:uid="{73F790FB-9FC9-4D61-9D44-B55A7FEF49AF}"/>
    <cellStyle name="Финансовый 39 9" xfId="412" xr:uid="{04C4AC47-CD07-4BF5-9038-78085B67044D}"/>
    <cellStyle name="Финансовый 39 90" xfId="413" xr:uid="{D26B13CA-A5E6-409B-BDA0-BE1F27A05B54}"/>
    <cellStyle name="Финансовый 39 91" xfId="414" xr:uid="{74657940-B602-4E12-AE89-F71DF12DFA72}"/>
    <cellStyle name="Финансовый 39 92" xfId="319" xr:uid="{8299C32E-1794-4C1D-A039-ADE9F5568B8E}"/>
    <cellStyle name="Финансовый 4" xfId="114" xr:uid="{A27DB336-F58B-41B6-BD77-E09385CA4C53}"/>
    <cellStyle name="Финансовый 4 2" xfId="115" xr:uid="{ED4C5926-D057-4501-8D3B-1C558A2CECA7}"/>
    <cellStyle name="Финансовый 4 3" xfId="416" xr:uid="{DCE3F343-DE6F-43CA-9A15-7F8ABDFA3FE5}"/>
    <cellStyle name="Финансовый 4 4" xfId="415" xr:uid="{8E646B3F-46FB-4A22-A7F1-A3B903C16B4C}"/>
    <cellStyle name="Финансовый 40" xfId="116" xr:uid="{A262A831-00DF-44D7-BDDB-91C7FFC56D0E}"/>
    <cellStyle name="Финансовый 40 2" xfId="418" xr:uid="{7FDB8EE7-70B4-4971-947F-51573024904A}"/>
    <cellStyle name="Финансовый 40 3" xfId="417" xr:uid="{FD00B9EE-FAC2-4A7F-9E08-EF864F14218D}"/>
    <cellStyle name="Финансовый 41" xfId="117" xr:uid="{770E41A1-8DE0-414A-B00E-835A6076F3CC}"/>
    <cellStyle name="Финансовый 41 2" xfId="419" xr:uid="{531D0594-42AE-4897-8C34-9F2AC63BEA69}"/>
    <cellStyle name="Финансовый 42" xfId="118" xr:uid="{FDCC6D78-9ACA-4428-9041-EA204AFC5CB3}"/>
    <cellStyle name="Финансовый 42 2" xfId="421" xr:uid="{ECFD4EA0-3ED7-4F8C-8041-E4BEDEF6C518}"/>
    <cellStyle name="Финансовый 42 3" xfId="420" xr:uid="{B2744B8D-8434-44F5-812B-76E1F7C4753A}"/>
    <cellStyle name="Финансовый 43" xfId="119" xr:uid="{6F8E52D6-5BCF-464C-9A04-9276D89CDF3F}"/>
    <cellStyle name="Финансовый 43 2" xfId="422" xr:uid="{0E5FF7D5-62A5-4FB4-BF0A-FA8E8E8C6603}"/>
    <cellStyle name="Финансовый 44" xfId="120" xr:uid="{7EFBFC55-E761-4E4A-AE6E-A4C4036EAD09}"/>
    <cellStyle name="Финансовый 44 2" xfId="423" xr:uid="{4E4E630A-5DCB-4057-8123-C03C82E074B5}"/>
    <cellStyle name="Финансовый 45" xfId="121" xr:uid="{7B654CC0-04BB-4E67-9063-EDB9FA5941FB}"/>
    <cellStyle name="Финансовый 45 2" xfId="424" xr:uid="{1D341C86-D57C-422E-9D23-2CC7D828E9CD}"/>
    <cellStyle name="Финансовый 46" xfId="122" xr:uid="{E013C2CA-5DAB-4A6B-9637-C4A09D8C256A}"/>
    <cellStyle name="Финансовый 46 2" xfId="425" xr:uid="{41F861D1-31C0-4A63-B68C-45C3AAE5E707}"/>
    <cellStyle name="Финансовый 47" xfId="123" xr:uid="{71D8EA77-AF4F-4E9D-9502-062563214880}"/>
    <cellStyle name="Финансовый 47 2" xfId="426" xr:uid="{179D3612-FE9A-40F1-AD86-5147A910611F}"/>
    <cellStyle name="Финансовый 48" xfId="45" xr:uid="{7E5E9AE5-52A6-43F9-ACE1-93129B37ED74}"/>
    <cellStyle name="Финансовый 48 2" xfId="427" xr:uid="{DEA85391-5C44-4BAF-B32A-F533A195946F}"/>
    <cellStyle name="Финансовый 49" xfId="131" xr:uid="{6745F5DB-4EE0-435A-9B4D-5A5FB39BF0CB}"/>
    <cellStyle name="Финансовый 49 2" xfId="428" xr:uid="{D653470B-A5D5-4DF1-99C7-E58A680A3E25}"/>
    <cellStyle name="Финансовый 5" xfId="8" xr:uid="{00000000-0005-0000-0000-00000E000000}"/>
    <cellStyle name="Финансовый 50" xfId="429" xr:uid="{4153E9C5-4510-4B79-B491-D614F1742088}"/>
    <cellStyle name="Финансовый 51" xfId="430" xr:uid="{F71E5FFE-2511-4012-B2AE-F4D846130228}"/>
    <cellStyle name="Финансовый 52" xfId="431" xr:uid="{DA15E9B7-A124-4684-A79B-777E26028313}"/>
    <cellStyle name="Финансовый 53" xfId="432" xr:uid="{F9C873A8-268D-465B-92E3-ABD840099D97}"/>
    <cellStyle name="Финансовый 54" xfId="433" xr:uid="{0B946B04-0EBB-4D33-9610-CC6542693BAF}"/>
    <cellStyle name="Финансовый 55" xfId="434" xr:uid="{163F6909-F00B-49A2-BEF5-161145931741}"/>
    <cellStyle name="Финансовый 56" xfId="435" xr:uid="{05533A28-AA2F-4F43-A932-74F9118AA041}"/>
    <cellStyle name="Финансовый 57" xfId="436" xr:uid="{BE9A9F43-B3E4-48FA-A3B0-4E7FCCD6D3EA}"/>
    <cellStyle name="Финансовый 58" xfId="437" xr:uid="{D0B37D8E-0D8B-4B42-A213-0037218C99FA}"/>
    <cellStyle name="Финансовый 59" xfId="438" xr:uid="{0F2B47A2-3DD0-4415-AAB5-586364AC8186}"/>
    <cellStyle name="Финансовый 6" xfId="124" xr:uid="{D0D948DB-C293-4812-B1DB-2F89E9D78247}"/>
    <cellStyle name="Финансовый 6 2" xfId="125" xr:uid="{63D8E9F0-FD04-4FE0-AC00-1AA031116067}"/>
    <cellStyle name="Финансовый 60" xfId="439" xr:uid="{416547EF-66AF-4D59-8201-1F84FA108738}"/>
    <cellStyle name="Финансовый 61" xfId="440" xr:uid="{C0BF7DD9-BCEE-4354-91BF-88627853A9FC}"/>
    <cellStyle name="Финансовый 62" xfId="441" xr:uid="{8F04808E-5036-47D1-891A-608B6E37E9E6}"/>
    <cellStyle name="Финансовый 63" xfId="442" xr:uid="{21C5D37A-66BF-47F5-9227-DCCF754A3CBC}"/>
    <cellStyle name="Финансовый 64" xfId="443" xr:uid="{FCA4F37E-2C86-4A31-8E29-10453E1CD027}"/>
    <cellStyle name="Финансовый 65" xfId="444" xr:uid="{8D780DA2-D452-4E3D-A20C-075956C2AA59}"/>
    <cellStyle name="Финансовый 66" xfId="445" xr:uid="{CFF86626-ED7D-40D0-84C8-C7E93B4D8A72}"/>
    <cellStyle name="Финансовый 67" xfId="446" xr:uid="{00B8E2B6-383E-47FA-BA25-F4FDE32B575B}"/>
    <cellStyle name="Финансовый 68" xfId="447" xr:uid="{AAD15327-EBB9-4656-B8AA-715255C6F2B6}"/>
    <cellStyle name="Финансовый 69" xfId="448" xr:uid="{26242043-6E42-40CD-B252-989AEE754D81}"/>
    <cellStyle name="Финансовый 7" xfId="126" xr:uid="{51E7B5B0-4B32-46C9-8F2D-4E353DAE4C72}"/>
    <cellStyle name="Финансовый 7 2" xfId="10" xr:uid="{00000000-0005-0000-0000-00000F000000}"/>
    <cellStyle name="Финансовый 70" xfId="449" xr:uid="{E0AE6F8D-CAFA-48B2-878E-CFE7864CC281}"/>
    <cellStyle name="Финансовый 71" xfId="450" xr:uid="{B249E857-89BD-4E13-B8D5-5578F2545CE2}"/>
    <cellStyle name="Финансовый 72" xfId="451" xr:uid="{D866222C-AA82-4E97-88FB-9B0967F0B7E4}"/>
    <cellStyle name="Финансовый 73" xfId="452" xr:uid="{DE4054ED-8AEF-45E8-9543-94EDC3579F11}"/>
    <cellStyle name="Финансовый 74" xfId="453" xr:uid="{325BD00C-9796-4F45-914C-8E2C255A0EA1}"/>
    <cellStyle name="Финансовый 75" xfId="454" xr:uid="{14C2951B-0324-41F1-9562-1420423F72C5}"/>
    <cellStyle name="Финансовый 76" xfId="455" xr:uid="{64C5F742-4D99-4C61-8C3E-88F33DC1EFE6}"/>
    <cellStyle name="Финансовый 77" xfId="456" xr:uid="{D6A92089-80E8-4F2B-983A-E6F6D56B1AD8}"/>
    <cellStyle name="Финансовый 78" xfId="457" xr:uid="{57F7A63A-23DF-4022-B48D-EABC329E0DA9}"/>
    <cellStyle name="Финансовый 79" xfId="458" xr:uid="{82A1E90C-6446-4672-8030-7F3A0E3CB516}"/>
    <cellStyle name="Финансовый 8" xfId="127" xr:uid="{CACAF8DF-C37E-43A7-9FAD-BC6666F2DA9C}"/>
    <cellStyle name="Финансовый 8 2" xfId="128" xr:uid="{58A710FB-15BB-4C63-BEB4-62D431B45B73}"/>
    <cellStyle name="Финансовый 80" xfId="459" xr:uid="{4089BDDD-72EA-46AE-A222-8B57D5A8A4DE}"/>
    <cellStyle name="Финансовый 81" xfId="460" xr:uid="{35FC11D0-5DF7-4FBE-835D-CF8595F35777}"/>
    <cellStyle name="Финансовый 82" xfId="461" xr:uid="{749E56C7-B413-4F09-8726-721EF899EB31}"/>
    <cellStyle name="Финансовый 83" xfId="462" xr:uid="{3FC513C4-A871-4452-8872-7354F6A82378}"/>
    <cellStyle name="Финансовый 84" xfId="463" xr:uid="{BE5BF075-8BC8-45D0-9F41-490399D05479}"/>
    <cellStyle name="Финансовый 85" xfId="464" xr:uid="{022BDFFC-ED19-4B43-81B8-FAE51B8F01F7}"/>
    <cellStyle name="Финансовый 86" xfId="465" xr:uid="{6CF76C83-6D47-454B-AA85-DC67A3914E86}"/>
    <cellStyle name="Финансовый 87" xfId="466" xr:uid="{EFBE61C6-BC99-4ECD-B8A0-4832F973F9DE}"/>
    <cellStyle name="Финансовый 88" xfId="467" xr:uid="{3AA2B6CE-4419-4D0E-8B23-F5E79B8491C2}"/>
    <cellStyle name="Финансовый 89" xfId="468" xr:uid="{5A01ABDE-34DC-49C6-80DE-5A6793CAA514}"/>
    <cellStyle name="Финансовый 9" xfId="129" xr:uid="{FE69D28C-2B34-4D2A-A815-311D626816F8}"/>
    <cellStyle name="Финансовый 9 2" xfId="130" xr:uid="{36F219D4-CD07-4323-A278-705D1D819AE2}"/>
    <cellStyle name="Финансовый 90" xfId="469" xr:uid="{06334AF1-02D1-4DF7-838B-0DCAE36FD8F4}"/>
    <cellStyle name="Финансовый 91" xfId="470" xr:uid="{150F9057-AAEC-4F6D-9FBD-D1985CE2FE25}"/>
    <cellStyle name="Финансовый 92" xfId="471" xr:uid="{330DF9E0-33B1-470F-93C2-A2E8A5431733}"/>
    <cellStyle name="Финансовый 93" xfId="472" xr:uid="{CCA8D244-ADCA-4B32-86C9-2B84A6258D58}"/>
    <cellStyle name="Финансовый 94" xfId="473" xr:uid="{DD6401D7-BB1A-4A06-9A06-A723CAD2E1B4}"/>
    <cellStyle name="Финансовый 95" xfId="474" xr:uid="{F26FF40A-AD13-4837-8705-213EDAB4F955}"/>
    <cellStyle name="Финансовый 96" xfId="475" xr:uid="{87163BD7-D297-4F3D-87C2-A98A5F1D546A}"/>
    <cellStyle name="Финансовый 97" xfId="476" xr:uid="{C617160F-0088-47C7-AAFA-5F81693C646B}"/>
    <cellStyle name="Финансовый 98" xfId="477" xr:uid="{A0495D69-3AC1-476D-9AA4-58C521397026}"/>
    <cellStyle name="Финансовый 99" xfId="478" xr:uid="{C5F4B30C-FC42-4270-BA4C-A8BB52E128D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B83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topLeftCell="A30" zoomScale="70" zoomScaleNormal="70" workbookViewId="0">
      <selection activeCell="J5" sqref="J5"/>
    </sheetView>
  </sheetViews>
  <sheetFormatPr defaultRowHeight="14.4" x14ac:dyDescent="0.3"/>
  <cols>
    <col min="1" max="1" width="6.5546875" customWidth="1"/>
    <col min="2" max="2" width="18.88671875" bestFit="1" customWidth="1"/>
    <col min="3" max="3" width="14.6640625" bestFit="1" customWidth="1"/>
    <col min="4" max="4" width="13.6640625" bestFit="1" customWidth="1"/>
    <col min="5" max="5" width="13.33203125" customWidth="1"/>
    <col min="7" max="7" width="6.5546875" customWidth="1"/>
    <col min="8" max="8" width="18.44140625" bestFit="1" customWidth="1"/>
    <col min="9" max="9" width="18.88671875" customWidth="1"/>
    <col min="10" max="10" width="19.44140625" style="50" customWidth="1"/>
    <col min="11" max="11" width="15.88671875" style="57" bestFit="1" customWidth="1"/>
    <col min="12" max="12" width="17.33203125" style="57" customWidth="1"/>
    <col min="13" max="13" width="12" style="57" bestFit="1" customWidth="1"/>
    <col min="14" max="14" width="21.5546875" style="57" customWidth="1"/>
    <col min="15" max="15" width="13.88671875" style="53" customWidth="1"/>
    <col min="16" max="16" width="16.33203125" style="52" customWidth="1"/>
    <col min="17" max="17" width="13" customWidth="1"/>
    <col min="18" max="18" width="13.33203125" customWidth="1"/>
    <col min="19" max="19" width="11.44140625" bestFit="1" customWidth="1"/>
  </cols>
  <sheetData>
    <row r="1" spans="1:21" ht="31.5" customHeight="1" x14ac:dyDescent="0.4">
      <c r="B1" s="168" t="s">
        <v>29</v>
      </c>
      <c r="C1" s="168"/>
      <c r="D1" s="168"/>
      <c r="E1" s="176" t="s">
        <v>44</v>
      </c>
      <c r="F1" s="170" t="s">
        <v>31</v>
      </c>
      <c r="G1" s="171"/>
    </row>
    <row r="2" spans="1:21" ht="28.8" x14ac:dyDescent="0.3">
      <c r="B2" s="44" t="s">
        <v>25</v>
      </c>
      <c r="C2" s="42" t="s">
        <v>24</v>
      </c>
      <c r="D2" s="80" t="s">
        <v>26</v>
      </c>
      <c r="E2" s="176"/>
      <c r="F2" s="172">
        <f>D3/15</f>
        <v>53870.26666666667</v>
      </c>
      <c r="G2" s="172"/>
      <c r="J2" s="52"/>
      <c r="L2" s="107" t="s">
        <v>79</v>
      </c>
    </row>
    <row r="3" spans="1:21" ht="28.8" x14ac:dyDescent="0.3">
      <c r="B3" s="121">
        <v>261691610</v>
      </c>
      <c r="C3" s="43">
        <f>D4</f>
        <v>262499664</v>
      </c>
      <c r="D3" s="81">
        <f>C3-B3</f>
        <v>808054</v>
      </c>
      <c r="E3" s="82">
        <f>(C3/B3-1)*100</f>
        <v>0.30878101135913827</v>
      </c>
      <c r="I3" t="s">
        <v>56</v>
      </c>
      <c r="K3" s="57" t="s">
        <v>57</v>
      </c>
      <c r="L3" s="107" t="s">
        <v>50</v>
      </c>
    </row>
    <row r="4" spans="1:21" x14ac:dyDescent="0.3">
      <c r="A4" s="119" t="s">
        <v>80</v>
      </c>
      <c r="B4" s="122">
        <v>560</v>
      </c>
      <c r="C4" s="117">
        <v>468749.4</v>
      </c>
      <c r="D4" s="116">
        <f>C4*B4</f>
        <v>262499664</v>
      </c>
      <c r="E4" s="51"/>
      <c r="L4" s="107"/>
    </row>
    <row r="5" spans="1:21" ht="72.599999999999994" thickBot="1" x14ac:dyDescent="0.35">
      <c r="A5" s="175" t="s">
        <v>43</v>
      </c>
      <c r="B5" s="175"/>
      <c r="C5" s="175"/>
      <c r="D5" s="175"/>
      <c r="E5" s="175"/>
      <c r="I5" s="83" t="s">
        <v>45</v>
      </c>
      <c r="J5" s="84" t="s">
        <v>47</v>
      </c>
      <c r="K5" s="85" t="s">
        <v>48</v>
      </c>
      <c r="L5" s="108" t="s">
        <v>49</v>
      </c>
      <c r="M5" s="85" t="s">
        <v>51</v>
      </c>
      <c r="N5" s="85" t="s">
        <v>44</v>
      </c>
      <c r="O5" s="56" t="s">
        <v>52</v>
      </c>
      <c r="P5" s="51"/>
    </row>
    <row r="6" spans="1:21" ht="40.5" customHeight="1" x14ac:dyDescent="0.3">
      <c r="A6" s="162" t="s">
        <v>84</v>
      </c>
      <c r="B6" s="163"/>
      <c r="C6" s="163"/>
      <c r="D6" s="163"/>
      <c r="E6" s="164"/>
      <c r="I6" s="61" t="s">
        <v>46</v>
      </c>
      <c r="J6" s="62" t="s">
        <v>34</v>
      </c>
      <c r="K6" s="65" t="s">
        <v>39</v>
      </c>
      <c r="L6" s="108"/>
      <c r="M6" s="65"/>
      <c r="N6" s="65"/>
      <c r="O6" s="67" t="s">
        <v>37</v>
      </c>
      <c r="P6" s="64" t="s">
        <v>36</v>
      </c>
      <c r="Q6" s="63" t="s">
        <v>38</v>
      </c>
      <c r="R6" s="71" t="s">
        <v>42</v>
      </c>
      <c r="S6" s="60" t="s">
        <v>40</v>
      </c>
      <c r="U6" s="78"/>
    </row>
    <row r="7" spans="1:21" ht="29.4" thickBot="1" x14ac:dyDescent="0.35">
      <c r="A7" s="144" t="s">
        <v>0</v>
      </c>
      <c r="B7" s="144" t="s">
        <v>1</v>
      </c>
      <c r="C7" s="144" t="s">
        <v>2</v>
      </c>
      <c r="D7" s="144" t="s">
        <v>3</v>
      </c>
      <c r="E7" s="144" t="s">
        <v>4</v>
      </c>
      <c r="H7" s="55" t="s">
        <v>27</v>
      </c>
      <c r="I7" s="56" t="s">
        <v>32</v>
      </c>
      <c r="J7" s="123" t="s">
        <v>35</v>
      </c>
      <c r="K7" s="66"/>
      <c r="L7" s="109"/>
      <c r="M7" s="66"/>
      <c r="N7" s="66"/>
      <c r="O7" s="66"/>
      <c r="P7" s="59"/>
      <c r="Q7" s="159">
        <f>F2</f>
        <v>53870.26666666667</v>
      </c>
      <c r="R7" s="70"/>
      <c r="S7" s="69" t="s">
        <v>41</v>
      </c>
      <c r="U7" s="78"/>
    </row>
    <row r="8" spans="1:21" ht="16.2" thickBot="1" x14ac:dyDescent="0.35">
      <c r="A8" s="145">
        <v>1</v>
      </c>
      <c r="B8" s="151" t="s">
        <v>5</v>
      </c>
      <c r="C8" s="154">
        <v>10147059</v>
      </c>
      <c r="D8" s="155">
        <v>9284996</v>
      </c>
      <c r="E8" s="149">
        <v>0.91500000000000004</v>
      </c>
      <c r="H8" s="55" t="s">
        <v>5</v>
      </c>
      <c r="I8" s="154">
        <v>10147059</v>
      </c>
      <c r="J8" s="124">
        <f>I8-C8</f>
        <v>0</v>
      </c>
      <c r="K8" s="156">
        <f>I8-L8</f>
        <v>-49579</v>
      </c>
      <c r="L8" s="130">
        <f>10146638+50000</f>
        <v>10196638</v>
      </c>
      <c r="M8" s="79">
        <f>L8-C8</f>
        <v>49579</v>
      </c>
      <c r="N8" s="157">
        <f>(L8/C8-1)*100</f>
        <v>0.48860462918369763</v>
      </c>
      <c r="O8" s="158">
        <f>I8-L8</f>
        <v>-49579</v>
      </c>
      <c r="P8" s="59">
        <f>(K8/C8-1)*100</f>
        <v>-100.4886046291837</v>
      </c>
      <c r="Q8" s="159">
        <f>$Q$7</f>
        <v>53870.26666666667</v>
      </c>
      <c r="R8" s="66">
        <f>C8+Q8</f>
        <v>10200929.266666668</v>
      </c>
      <c r="S8" s="68">
        <f>(R8/C8-1)*100</f>
        <v>0.53089537240955664</v>
      </c>
      <c r="U8" s="78"/>
    </row>
    <row r="9" spans="1:21" ht="16.2" thickBot="1" x14ac:dyDescent="0.35">
      <c r="A9" s="145">
        <v>2</v>
      </c>
      <c r="B9" s="151" t="s">
        <v>6</v>
      </c>
      <c r="C9" s="154">
        <v>17104221</v>
      </c>
      <c r="D9" s="155">
        <v>15477030</v>
      </c>
      <c r="E9" s="150">
        <v>0.90490000000000004</v>
      </c>
      <c r="H9" s="55" t="s">
        <v>6</v>
      </c>
      <c r="I9" s="154">
        <v>17104221</v>
      </c>
      <c r="J9" s="124">
        <f>I9-C9</f>
        <v>0</v>
      </c>
      <c r="K9" s="156">
        <f t="shared" ref="K9:K22" si="0">I9-L9</f>
        <v>-49324</v>
      </c>
      <c r="L9" s="130">
        <f>17103545+50000</f>
        <v>17153545</v>
      </c>
      <c r="M9" s="79">
        <f t="shared" ref="M9:M22" si="1">L9-C9</f>
        <v>49324</v>
      </c>
      <c r="N9" s="157">
        <f>(L9/C9-1)*100</f>
        <v>0.28837326178139389</v>
      </c>
      <c r="O9" s="158">
        <f t="shared" ref="O9:O22" si="2">I9-L9</f>
        <v>-49324</v>
      </c>
      <c r="P9" s="59">
        <f t="shared" ref="P9:P23" si="3">(K9/C9-1)*100</f>
        <v>-100.28837326178139</v>
      </c>
      <c r="Q9" s="159">
        <f>$Q$7</f>
        <v>53870.26666666667</v>
      </c>
      <c r="R9" s="66">
        <f>C9+Q9</f>
        <v>17158091.266666666</v>
      </c>
      <c r="S9" s="68">
        <f t="shared" ref="S9:S22" si="4">(R9/C9-1)*100</f>
        <v>0.31495305554498643</v>
      </c>
      <c r="U9" s="78"/>
    </row>
    <row r="10" spans="1:21" ht="16.2" thickBot="1" x14ac:dyDescent="0.35">
      <c r="A10" s="145">
        <v>3</v>
      </c>
      <c r="B10" s="148" t="s">
        <v>7</v>
      </c>
      <c r="C10" s="154">
        <v>55806550</v>
      </c>
      <c r="D10" s="155">
        <v>45854453.25</v>
      </c>
      <c r="E10" s="150">
        <f t="shared" ref="E10" si="5">D10/C10</f>
        <v>0.82166794489177342</v>
      </c>
      <c r="F10" s="4"/>
      <c r="H10" s="55" t="s">
        <v>7</v>
      </c>
      <c r="I10" s="154">
        <v>55806550</v>
      </c>
      <c r="J10" s="124">
        <f>I10-C10</f>
        <v>0</v>
      </c>
      <c r="K10" s="156">
        <f t="shared" si="0"/>
        <v>-105572</v>
      </c>
      <c r="L10" s="130">
        <f>55658475+145647+100000+8000</f>
        <v>55912122</v>
      </c>
      <c r="M10" s="146">
        <f>L10-C10</f>
        <v>105572</v>
      </c>
      <c r="N10" s="157">
        <f t="shared" ref="N10:N21" si="6">(L10/C10-1)*100</f>
        <v>0.18917492659911161</v>
      </c>
      <c r="O10" s="158">
        <f t="shared" si="2"/>
        <v>-105572</v>
      </c>
      <c r="P10" s="59">
        <f t="shared" si="3"/>
        <v>-100.18917492659911</v>
      </c>
      <c r="Q10" s="159">
        <f>$Q$7</f>
        <v>53870.26666666667</v>
      </c>
      <c r="R10" s="66">
        <f t="shared" ref="R10:R22" si="7">C10+Q10</f>
        <v>55860420.266666666</v>
      </c>
      <c r="S10" s="68">
        <f t="shared" si="4"/>
        <v>9.6530365461888756E-2</v>
      </c>
      <c r="U10" s="78"/>
    </row>
    <row r="11" spans="1:21" ht="16.2" thickBot="1" x14ac:dyDescent="0.35">
      <c r="A11" s="145">
        <v>4</v>
      </c>
      <c r="B11" s="151" t="s">
        <v>8</v>
      </c>
      <c r="C11" s="154">
        <v>35381524</v>
      </c>
      <c r="D11" s="155">
        <v>29073022</v>
      </c>
      <c r="E11" s="150">
        <v>0.82169999999999999</v>
      </c>
      <c r="H11" s="55" t="s">
        <v>8</v>
      </c>
      <c r="I11" s="154">
        <v>35381524</v>
      </c>
      <c r="J11" s="124">
        <f t="shared" ref="J11:J21" si="8">I11-C11</f>
        <v>0</v>
      </c>
      <c r="K11" s="156">
        <f t="shared" si="0"/>
        <v>-106312</v>
      </c>
      <c r="L11" s="130">
        <f>35379836+100000+8000</f>
        <v>35487836</v>
      </c>
      <c r="M11" s="146">
        <f t="shared" si="1"/>
        <v>106312</v>
      </c>
      <c r="N11" s="157">
        <f t="shared" si="6"/>
        <v>0.30047320742883077</v>
      </c>
      <c r="O11" s="158">
        <f t="shared" si="2"/>
        <v>-106312</v>
      </c>
      <c r="P11" s="59">
        <f t="shared" si="3"/>
        <v>-100.30047320742884</v>
      </c>
      <c r="Q11" s="159">
        <f t="shared" ref="Q11:Q22" si="9">$Q$7</f>
        <v>53870.26666666667</v>
      </c>
      <c r="R11" s="66">
        <f t="shared" si="7"/>
        <v>35435394.266666666</v>
      </c>
      <c r="S11" s="68">
        <f t="shared" si="4"/>
        <v>0.15225535979361826</v>
      </c>
      <c r="U11" s="78"/>
    </row>
    <row r="12" spans="1:21" ht="16.2" thickBot="1" x14ac:dyDescent="0.35">
      <c r="A12" s="145">
        <v>5</v>
      </c>
      <c r="B12" s="151" t="s">
        <v>9</v>
      </c>
      <c r="C12" s="154">
        <v>4920357</v>
      </c>
      <c r="D12" s="155">
        <v>2862323</v>
      </c>
      <c r="E12" s="150">
        <v>0.58169999999999999</v>
      </c>
      <c r="H12" s="55" t="s">
        <v>9</v>
      </c>
      <c r="I12" s="154">
        <v>4920357</v>
      </c>
      <c r="J12" s="124">
        <f>I12-C12</f>
        <v>0</v>
      </c>
      <c r="K12" s="156">
        <f t="shared" si="0"/>
        <v>237</v>
      </c>
      <c r="L12" s="130">
        <v>4920120</v>
      </c>
      <c r="M12" s="79">
        <f t="shared" si="1"/>
        <v>-237</v>
      </c>
      <c r="N12" s="157">
        <f t="shared" si="6"/>
        <v>-4.816723664557987E-3</v>
      </c>
      <c r="O12" s="158">
        <f t="shared" si="2"/>
        <v>237</v>
      </c>
      <c r="P12" s="59">
        <f t="shared" si="3"/>
        <v>-99.995183276335439</v>
      </c>
      <c r="Q12" s="159">
        <f t="shared" si="9"/>
        <v>53870.26666666667</v>
      </c>
      <c r="R12" s="66">
        <f t="shared" si="7"/>
        <v>4974227.2666666666</v>
      </c>
      <c r="S12" s="68">
        <f t="shared" si="4"/>
        <v>1.094844676243345</v>
      </c>
      <c r="U12" s="78"/>
    </row>
    <row r="13" spans="1:21" ht="16.2" thickBot="1" x14ac:dyDescent="0.35">
      <c r="A13" s="145">
        <v>6</v>
      </c>
      <c r="B13" s="152" t="s">
        <v>10</v>
      </c>
      <c r="C13" s="154">
        <v>13120775</v>
      </c>
      <c r="D13" s="155">
        <v>11914171</v>
      </c>
      <c r="E13" s="150">
        <v>0.90800000000000003</v>
      </c>
      <c r="H13" s="55" t="s">
        <v>10</v>
      </c>
      <c r="I13" s="154">
        <v>13120775</v>
      </c>
      <c r="J13" s="124">
        <f>I13-C13</f>
        <v>0</v>
      </c>
      <c r="K13" s="156">
        <f t="shared" si="0"/>
        <v>-49479</v>
      </c>
      <c r="L13" s="130">
        <f>13120254+50000</f>
        <v>13170254</v>
      </c>
      <c r="M13" s="79">
        <f t="shared" si="1"/>
        <v>49479</v>
      </c>
      <c r="N13" s="157">
        <f t="shared" si="6"/>
        <v>0.37710424879628945</v>
      </c>
      <c r="O13" s="158">
        <f t="shared" si="2"/>
        <v>-49479</v>
      </c>
      <c r="P13" s="59">
        <f t="shared" si="3"/>
        <v>-100.37710424879629</v>
      </c>
      <c r="Q13" s="159">
        <f t="shared" si="9"/>
        <v>53870.26666666667</v>
      </c>
      <c r="R13" s="66">
        <f t="shared" si="7"/>
        <v>13174645.266666668</v>
      </c>
      <c r="S13" s="68">
        <f t="shared" si="4"/>
        <v>0.41057229216008295</v>
      </c>
      <c r="U13" s="78"/>
    </row>
    <row r="14" spans="1:21" ht="16.2" thickBot="1" x14ac:dyDescent="0.35">
      <c r="A14" s="145">
        <v>7</v>
      </c>
      <c r="B14" s="152" t="s">
        <v>23</v>
      </c>
      <c r="C14" s="154">
        <v>5578242</v>
      </c>
      <c r="D14" s="155">
        <v>6435279</v>
      </c>
      <c r="E14" s="150">
        <v>1.1536</v>
      </c>
      <c r="H14" s="129" t="s">
        <v>23</v>
      </c>
      <c r="I14" s="154">
        <v>5578242</v>
      </c>
      <c r="J14" s="124">
        <f t="shared" si="8"/>
        <v>0</v>
      </c>
      <c r="K14" s="156">
        <f t="shared" si="0"/>
        <v>-39833</v>
      </c>
      <c r="L14" s="130">
        <f>5578075+40000</f>
        <v>5618075</v>
      </c>
      <c r="M14" s="79">
        <f t="shared" si="1"/>
        <v>39833</v>
      </c>
      <c r="N14" s="157">
        <f>(L14/C14-1)*100</f>
        <v>0.71407801956242523</v>
      </c>
      <c r="O14" s="158">
        <f t="shared" si="2"/>
        <v>-39833</v>
      </c>
      <c r="P14" s="59">
        <f t="shared" si="3"/>
        <v>-100.71407801956242</v>
      </c>
      <c r="Q14" s="159">
        <f t="shared" si="9"/>
        <v>53870.26666666667</v>
      </c>
      <c r="R14" s="66">
        <f t="shared" si="7"/>
        <v>5632112.2666666666</v>
      </c>
      <c r="S14" s="68">
        <f t="shared" si="4"/>
        <v>0.965721219457083</v>
      </c>
      <c r="U14" s="78"/>
    </row>
    <row r="15" spans="1:21" ht="16.2" thickBot="1" x14ac:dyDescent="0.35">
      <c r="A15" s="145">
        <v>8</v>
      </c>
      <c r="B15" s="151" t="s">
        <v>11</v>
      </c>
      <c r="C15" s="154">
        <v>17801026</v>
      </c>
      <c r="D15" s="155">
        <v>16804050</v>
      </c>
      <c r="E15" s="150">
        <v>0.94399999999999995</v>
      </c>
      <c r="H15" s="55" t="s">
        <v>11</v>
      </c>
      <c r="I15" s="154">
        <v>17801026</v>
      </c>
      <c r="J15" s="124">
        <f t="shared" si="8"/>
        <v>0</v>
      </c>
      <c r="K15" s="156">
        <f t="shared" si="0"/>
        <v>-50843</v>
      </c>
      <c r="L15" s="130">
        <f>17801869+50000</f>
        <v>17851869</v>
      </c>
      <c r="M15" s="79">
        <f t="shared" si="1"/>
        <v>50843</v>
      </c>
      <c r="N15" s="157">
        <f t="shared" si="6"/>
        <v>0.285618368289553</v>
      </c>
      <c r="O15" s="158">
        <f t="shared" si="2"/>
        <v>-50843</v>
      </c>
      <c r="P15" s="59">
        <f t="shared" si="3"/>
        <v>-100.28561836828955</v>
      </c>
      <c r="Q15" s="159">
        <f t="shared" si="9"/>
        <v>53870.26666666667</v>
      </c>
      <c r="R15" s="66">
        <f t="shared" si="7"/>
        <v>17854896.266666666</v>
      </c>
      <c r="S15" s="68">
        <f t="shared" si="4"/>
        <v>0.30262450415310393</v>
      </c>
      <c r="U15" s="78"/>
    </row>
    <row r="16" spans="1:21" ht="16.2" thickBot="1" x14ac:dyDescent="0.35">
      <c r="A16" s="145">
        <v>9</v>
      </c>
      <c r="B16" s="151" t="s">
        <v>12</v>
      </c>
      <c r="C16" s="154">
        <v>12102999</v>
      </c>
      <c r="D16" s="155">
        <v>10994930</v>
      </c>
      <c r="E16" s="150">
        <v>0.90839999999999999</v>
      </c>
      <c r="H16" s="55" t="s">
        <v>12</v>
      </c>
      <c r="I16" s="154">
        <v>12102999</v>
      </c>
      <c r="J16" s="124">
        <f t="shared" si="8"/>
        <v>0</v>
      </c>
      <c r="K16" s="156">
        <f t="shared" si="0"/>
        <v>454</v>
      </c>
      <c r="L16" s="130">
        <v>12102545</v>
      </c>
      <c r="M16" s="146">
        <f t="shared" si="1"/>
        <v>-454</v>
      </c>
      <c r="N16" s="157">
        <f t="shared" si="6"/>
        <v>-3.751136391894061E-3</v>
      </c>
      <c r="O16" s="158">
        <f t="shared" si="2"/>
        <v>454</v>
      </c>
      <c r="P16" s="59">
        <f t="shared" si="3"/>
        <v>-99.996248863608102</v>
      </c>
      <c r="Q16" s="159">
        <f t="shared" si="9"/>
        <v>53870.26666666667</v>
      </c>
      <c r="R16" s="66">
        <f t="shared" si="7"/>
        <v>12156869.266666668</v>
      </c>
      <c r="S16" s="68">
        <f t="shared" si="4"/>
        <v>0.44509849721270367</v>
      </c>
      <c r="U16" s="78"/>
    </row>
    <row r="17" spans="1:21" ht="16.2" thickBot="1" x14ac:dyDescent="0.35">
      <c r="A17" s="145">
        <v>10</v>
      </c>
      <c r="B17" s="151" t="s">
        <v>13</v>
      </c>
      <c r="C17" s="154">
        <v>10956072</v>
      </c>
      <c r="D17" s="155">
        <v>12424247</v>
      </c>
      <c r="E17" s="150">
        <v>1.1339999999999999</v>
      </c>
      <c r="H17" s="55" t="s">
        <v>13</v>
      </c>
      <c r="I17" s="154">
        <v>10956072</v>
      </c>
      <c r="J17" s="124">
        <f>I17-C17</f>
        <v>0</v>
      </c>
      <c r="K17" s="156">
        <f t="shared" si="0"/>
        <v>-99386</v>
      </c>
      <c r="L17" s="130">
        <f>10955458+100000</f>
        <v>11055458</v>
      </c>
      <c r="M17" s="79">
        <f t="shared" si="1"/>
        <v>99386</v>
      </c>
      <c r="N17" s="157">
        <f t="shared" si="6"/>
        <v>0.90713168004006306</v>
      </c>
      <c r="O17" s="158">
        <f t="shared" si="2"/>
        <v>-99386</v>
      </c>
      <c r="P17" s="59">
        <f t="shared" si="3"/>
        <v>-100.90713168004007</v>
      </c>
      <c r="Q17" s="159">
        <f t="shared" si="9"/>
        <v>53870.26666666667</v>
      </c>
      <c r="R17" s="66">
        <f t="shared" si="7"/>
        <v>11009942.266666668</v>
      </c>
      <c r="S17" s="68">
        <f t="shared" si="4"/>
        <v>0.49169325162035094</v>
      </c>
      <c r="U17" s="78"/>
    </row>
    <row r="18" spans="1:21" ht="16.2" thickBot="1" x14ac:dyDescent="0.35">
      <c r="A18" s="145">
        <v>11</v>
      </c>
      <c r="B18" s="152" t="s">
        <v>14</v>
      </c>
      <c r="C18" s="154">
        <v>10754949</v>
      </c>
      <c r="D18" s="155">
        <v>10870053</v>
      </c>
      <c r="E18" s="150">
        <v>1.0106999999999999</v>
      </c>
      <c r="H18" s="129" t="s">
        <v>14</v>
      </c>
      <c r="I18" s="154">
        <v>10754949</v>
      </c>
      <c r="J18" s="124">
        <f t="shared" si="8"/>
        <v>0</v>
      </c>
      <c r="K18" s="156">
        <f t="shared" si="0"/>
        <v>-49609</v>
      </c>
      <c r="L18" s="130">
        <f>10754558+50000</f>
        <v>10804558</v>
      </c>
      <c r="M18" s="79">
        <f t="shared" si="1"/>
        <v>49609</v>
      </c>
      <c r="N18" s="157">
        <f>(L18/C18-1)*100</f>
        <v>0.4612667154442196</v>
      </c>
      <c r="O18" s="158">
        <f t="shared" si="2"/>
        <v>-49609</v>
      </c>
      <c r="P18" s="59">
        <f t="shared" si="3"/>
        <v>-100.46126671544422</v>
      </c>
      <c r="Q18" s="159">
        <f t="shared" si="9"/>
        <v>53870.26666666667</v>
      </c>
      <c r="R18" s="66">
        <f t="shared" si="7"/>
        <v>10808819.266666668</v>
      </c>
      <c r="S18" s="68">
        <f t="shared" si="4"/>
        <v>0.5008881647571517</v>
      </c>
      <c r="U18" s="78"/>
    </row>
    <row r="19" spans="1:21" ht="16.2" thickBot="1" x14ac:dyDescent="0.35">
      <c r="A19" s="145">
        <v>12</v>
      </c>
      <c r="B19" s="151" t="s">
        <v>15</v>
      </c>
      <c r="C19" s="154">
        <v>9854953</v>
      </c>
      <c r="D19" s="155">
        <v>5571420</v>
      </c>
      <c r="E19" s="150">
        <v>0.56530000000000002</v>
      </c>
      <c r="H19" s="55" t="s">
        <v>15</v>
      </c>
      <c r="I19" s="154">
        <v>9854953</v>
      </c>
      <c r="J19" s="124">
        <f t="shared" si="8"/>
        <v>0</v>
      </c>
      <c r="K19" s="156">
        <f t="shared" si="0"/>
        <v>-49615</v>
      </c>
      <c r="L19" s="130">
        <f>9854568+50000</f>
        <v>9904568</v>
      </c>
      <c r="M19" s="79">
        <f t="shared" si="1"/>
        <v>49615</v>
      </c>
      <c r="N19" s="157">
        <f t="shared" si="6"/>
        <v>0.5034524264093454</v>
      </c>
      <c r="O19" s="158">
        <f t="shared" si="2"/>
        <v>-49615</v>
      </c>
      <c r="P19" s="59">
        <f t="shared" si="3"/>
        <v>-100.50345242640934</v>
      </c>
      <c r="Q19" s="159">
        <f t="shared" si="9"/>
        <v>53870.26666666667</v>
      </c>
      <c r="R19" s="66">
        <f t="shared" si="7"/>
        <v>9908823.2666666675</v>
      </c>
      <c r="S19" s="68">
        <f t="shared" si="4"/>
        <v>0.54663139100377123</v>
      </c>
      <c r="U19" s="78"/>
    </row>
    <row r="20" spans="1:21" ht="16.2" thickBot="1" x14ac:dyDescent="0.35">
      <c r="A20" s="145">
        <v>13</v>
      </c>
      <c r="B20" s="152" t="s">
        <v>16</v>
      </c>
      <c r="C20" s="154">
        <v>10180173</v>
      </c>
      <c r="D20" s="155">
        <v>10496222</v>
      </c>
      <c r="E20" s="150">
        <v>1.0309999999999999</v>
      </c>
      <c r="H20" s="55" t="s">
        <v>16</v>
      </c>
      <c r="I20" s="154">
        <v>10180173</v>
      </c>
      <c r="J20" s="124">
        <f t="shared" si="8"/>
        <v>0</v>
      </c>
      <c r="K20" s="156">
        <f t="shared" si="0"/>
        <v>-49509</v>
      </c>
      <c r="L20" s="130">
        <f>10179682+50000</f>
        <v>10229682</v>
      </c>
      <c r="M20" s="79">
        <f t="shared" si="1"/>
        <v>49509</v>
      </c>
      <c r="N20" s="157">
        <f t="shared" si="6"/>
        <v>0.48632768814440563</v>
      </c>
      <c r="O20" s="158">
        <f t="shared" si="2"/>
        <v>-49509</v>
      </c>
      <c r="P20" s="59">
        <f t="shared" si="3"/>
        <v>-100.4863276881444</v>
      </c>
      <c r="Q20" s="159">
        <f t="shared" si="9"/>
        <v>53870.26666666667</v>
      </c>
      <c r="R20" s="66">
        <f t="shared" si="7"/>
        <v>10234043.266666668</v>
      </c>
      <c r="S20" s="68">
        <f t="shared" si="4"/>
        <v>0.52916847942237055</v>
      </c>
      <c r="U20" s="78"/>
    </row>
    <row r="21" spans="1:21" ht="31.8" thickBot="1" x14ac:dyDescent="0.35">
      <c r="A21" s="145">
        <v>14</v>
      </c>
      <c r="B21" s="151" t="s">
        <v>17</v>
      </c>
      <c r="C21" s="154">
        <v>8786804</v>
      </c>
      <c r="D21" s="155">
        <v>3709143</v>
      </c>
      <c r="E21" s="150">
        <v>0.42209999999999998</v>
      </c>
      <c r="H21" s="55" t="s">
        <v>17</v>
      </c>
      <c r="I21" s="154">
        <v>8786804</v>
      </c>
      <c r="J21" s="124">
        <f t="shared" si="8"/>
        <v>0</v>
      </c>
      <c r="K21" s="156">
        <f t="shared" si="0"/>
        <v>396</v>
      </c>
      <c r="L21" s="130">
        <v>8786408</v>
      </c>
      <c r="M21" s="79">
        <f t="shared" si="1"/>
        <v>-396</v>
      </c>
      <c r="N21" s="157">
        <f t="shared" si="6"/>
        <v>-4.5067580886071212E-3</v>
      </c>
      <c r="O21" s="158">
        <f t="shared" si="2"/>
        <v>396</v>
      </c>
      <c r="P21" s="59">
        <f t="shared" si="3"/>
        <v>-99.99549324191139</v>
      </c>
      <c r="Q21" s="159">
        <f t="shared" si="9"/>
        <v>53870.26666666667</v>
      </c>
      <c r="R21" s="66">
        <f t="shared" si="7"/>
        <v>8840674.2666666675</v>
      </c>
      <c r="S21" s="68">
        <f t="shared" si="4"/>
        <v>0.61308146473584291</v>
      </c>
    </row>
    <row r="22" spans="1:21" ht="16.2" thickBot="1" x14ac:dyDescent="0.35">
      <c r="A22" s="145">
        <v>15</v>
      </c>
      <c r="B22" s="151" t="s">
        <v>18</v>
      </c>
      <c r="C22" s="154">
        <v>39195906</v>
      </c>
      <c r="D22" s="155">
        <v>41607841</v>
      </c>
      <c r="E22" s="153">
        <v>1.0615000000000001</v>
      </c>
      <c r="H22" s="58" t="s">
        <v>18</v>
      </c>
      <c r="I22" s="154">
        <v>39195906</v>
      </c>
      <c r="J22" s="124">
        <f>I22-C22</f>
        <v>0</v>
      </c>
      <c r="K22" s="156">
        <f t="shared" si="0"/>
        <v>-110080</v>
      </c>
      <c r="L22" s="130">
        <f>39464264-565646+295454+100000+11914</f>
        <v>39305986</v>
      </c>
      <c r="M22" s="146">
        <f t="shared" si="1"/>
        <v>110080</v>
      </c>
      <c r="N22" s="157">
        <f>(L22/C22-1)*100</f>
        <v>0.28084565770720715</v>
      </c>
      <c r="O22" s="158">
        <f t="shared" si="2"/>
        <v>-110080</v>
      </c>
      <c r="P22" s="160">
        <f t="shared" si="3"/>
        <v>-100.2808456577072</v>
      </c>
      <c r="Q22" s="159">
        <f t="shared" si="9"/>
        <v>53870.26666666667</v>
      </c>
      <c r="R22" s="66">
        <f t="shared" si="7"/>
        <v>39249776.266666666</v>
      </c>
      <c r="S22" s="68">
        <f t="shared" si="4"/>
        <v>0.13743850356888743</v>
      </c>
    </row>
    <row r="23" spans="1:21" ht="16.2" thickBot="1" x14ac:dyDescent="0.35">
      <c r="C23" s="142">
        <f>SUM(C8:C22)</f>
        <v>261691610</v>
      </c>
      <c r="D23" s="143">
        <f>SUM(D8:D22)</f>
        <v>233379180.25</v>
      </c>
      <c r="H23" s="72" t="s">
        <v>33</v>
      </c>
      <c r="I23" s="73">
        <f>SUM(I8:I22)</f>
        <v>261691610</v>
      </c>
      <c r="J23" s="74">
        <f>SUM(J8:J22)</f>
        <v>0</v>
      </c>
      <c r="K23" s="73">
        <f>SUM(K8:K22)</f>
        <v>-808054</v>
      </c>
      <c r="L23" s="110">
        <f>SUM(L8:L22)</f>
        <v>262499664</v>
      </c>
      <c r="M23" s="73">
        <f>SUM(M8:M22)</f>
        <v>808054</v>
      </c>
      <c r="N23" s="73"/>
      <c r="O23" s="74">
        <f>SUM(O8:O22)</f>
        <v>-808054</v>
      </c>
      <c r="P23" s="75">
        <f t="shared" si="3"/>
        <v>-100.30878101135914</v>
      </c>
      <c r="Q23" s="76">
        <f>SUM(Q8:Q22)</f>
        <v>808054.00000000035</v>
      </c>
      <c r="R23" s="73">
        <f>SUM(R8:R22)</f>
        <v>262499664.00000006</v>
      </c>
      <c r="S23" s="77">
        <f>AVERAGE(S8:S22)</f>
        <v>0.47549310650298288</v>
      </c>
    </row>
    <row r="24" spans="1:21" x14ac:dyDescent="0.3">
      <c r="C24" s="54"/>
      <c r="L24" s="57">
        <f>L23-K23</f>
        <v>263307718</v>
      </c>
      <c r="M24" s="57">
        <f>M23-D3</f>
        <v>0</v>
      </c>
      <c r="P24" s="51"/>
    </row>
    <row r="25" spans="1:21" ht="33" customHeight="1" x14ac:dyDescent="0.4">
      <c r="B25" s="169" t="s">
        <v>30</v>
      </c>
      <c r="C25" s="169"/>
      <c r="D25" s="169"/>
      <c r="E25" s="178" t="s">
        <v>58</v>
      </c>
      <c r="F25" s="173" t="s">
        <v>31</v>
      </c>
      <c r="G25" s="173"/>
    </row>
    <row r="26" spans="1:21" x14ac:dyDescent="0.3">
      <c r="B26" s="45" t="s">
        <v>25</v>
      </c>
      <c r="C26" s="46" t="s">
        <v>24</v>
      </c>
      <c r="D26" s="48" t="s">
        <v>26</v>
      </c>
      <c r="E26" s="179"/>
      <c r="F26" s="174">
        <f>D27/15</f>
        <v>-134150.66666666666</v>
      </c>
      <c r="G26" s="174"/>
    </row>
    <row r="27" spans="1:21" x14ac:dyDescent="0.3">
      <c r="B27" s="118">
        <v>285456960</v>
      </c>
      <c r="C27" s="47">
        <f>D28</f>
        <v>283444700</v>
      </c>
      <c r="D27" s="49">
        <f>C27-B27</f>
        <v>-2012260</v>
      </c>
      <c r="E27" s="82">
        <f>(C27/B27-1)*100</f>
        <v>-0.70492588444857063</v>
      </c>
      <c r="F27" s="41"/>
      <c r="I27" s="52"/>
    </row>
    <row r="28" spans="1:21" x14ac:dyDescent="0.3">
      <c r="A28" s="119" t="s">
        <v>80</v>
      </c>
      <c r="B28" s="120">
        <v>550</v>
      </c>
      <c r="C28" s="47">
        <v>515354</v>
      </c>
      <c r="D28" s="49">
        <f>C28*B28</f>
        <v>283444700</v>
      </c>
      <c r="E28" s="51"/>
      <c r="F28" s="41"/>
      <c r="I28" s="41"/>
    </row>
    <row r="29" spans="1:21" x14ac:dyDescent="0.3">
      <c r="B29" s="86"/>
      <c r="C29" s="86"/>
      <c r="D29" s="86"/>
      <c r="F29" s="41"/>
    </row>
    <row r="30" spans="1:21" ht="15" thickBot="1" x14ac:dyDescent="0.35">
      <c r="A30" s="177" t="s">
        <v>53</v>
      </c>
      <c r="B30" s="177"/>
      <c r="C30" s="177"/>
      <c r="D30" s="177"/>
      <c r="E30" s="177"/>
    </row>
    <row r="31" spans="1:21" ht="28.8" x14ac:dyDescent="0.3">
      <c r="A31" s="165" t="s">
        <v>21</v>
      </c>
      <c r="B31" s="166"/>
      <c r="C31" s="166"/>
      <c r="D31" s="166"/>
      <c r="E31" s="167"/>
      <c r="H31" s="115" t="s">
        <v>78</v>
      </c>
      <c r="L31" s="105" t="s">
        <v>76</v>
      </c>
      <c r="S31" s="94"/>
    </row>
    <row r="32" spans="1:21" ht="43.2" x14ac:dyDescent="0.3">
      <c r="A32" s="137" t="s">
        <v>0</v>
      </c>
      <c r="B32" s="11" t="s">
        <v>1</v>
      </c>
      <c r="C32" s="11" t="s">
        <v>2</v>
      </c>
      <c r="D32" s="11" t="s">
        <v>3</v>
      </c>
      <c r="E32" s="12" t="s">
        <v>20</v>
      </c>
      <c r="H32" s="111" t="s">
        <v>28</v>
      </c>
      <c r="I32" s="87" t="s">
        <v>44</v>
      </c>
      <c r="J32" s="84" t="s">
        <v>60</v>
      </c>
      <c r="K32" s="95" t="s">
        <v>59</v>
      </c>
      <c r="L32" s="105">
        <f>F26</f>
        <v>-134150.66666666666</v>
      </c>
      <c r="M32" s="95" t="s">
        <v>77</v>
      </c>
      <c r="N32" s="60" t="s">
        <v>40</v>
      </c>
      <c r="O32" s="125" t="s">
        <v>82</v>
      </c>
      <c r="P32" s="70" t="s">
        <v>81</v>
      </c>
      <c r="Q32" s="55" t="s">
        <v>83</v>
      </c>
      <c r="S32" s="94"/>
    </row>
    <row r="33" spans="1:19" x14ac:dyDescent="0.3">
      <c r="A33" s="48">
        <v>1</v>
      </c>
      <c r="B33" s="138" t="s">
        <v>5</v>
      </c>
      <c r="C33" s="139">
        <v>11321121</v>
      </c>
      <c r="D33" s="97">
        <v>10297560</v>
      </c>
      <c r="E33" s="140">
        <v>0.90959999999999996</v>
      </c>
      <c r="H33" s="112">
        <f>11321121-50000</f>
        <v>11271121</v>
      </c>
      <c r="I33" s="103">
        <f>(H33/C33-1)*100</f>
        <v>-0.44165237700400928</v>
      </c>
      <c r="J33" s="104">
        <f>H33-D33</f>
        <v>973561</v>
      </c>
      <c r="K33" s="105">
        <f>H33-C33</f>
        <v>-50000</v>
      </c>
      <c r="L33" s="66">
        <v>67338</v>
      </c>
      <c r="M33" s="66">
        <f>C33+L33</f>
        <v>11388459</v>
      </c>
      <c r="N33" s="128">
        <f>(M33/C33-1)*100</f>
        <v>0.59479975525391637</v>
      </c>
      <c r="O33" s="133">
        <f>196143+500000</f>
        <v>696143</v>
      </c>
      <c r="P33" s="91">
        <f t="shared" ref="P33:P38" si="10">K33-O33</f>
        <v>-746143</v>
      </c>
      <c r="Q33" s="92"/>
      <c r="R33" s="4"/>
      <c r="S33" s="94"/>
    </row>
    <row r="34" spans="1:19" x14ac:dyDescent="0.3">
      <c r="A34" s="48">
        <v>2</v>
      </c>
      <c r="B34" s="138" t="s">
        <v>6</v>
      </c>
      <c r="C34" s="139">
        <v>16159021</v>
      </c>
      <c r="D34" s="97">
        <v>12931028</v>
      </c>
      <c r="E34" s="140">
        <v>0.80020000000000002</v>
      </c>
      <c r="H34" s="112">
        <f>16159021-50000</f>
        <v>16109021</v>
      </c>
      <c r="I34" s="103">
        <f>(H34/C34-1)*100</f>
        <v>-0.30942468606235396</v>
      </c>
      <c r="J34" s="104">
        <f t="shared" ref="J34:J47" si="11">H34-D34</f>
        <v>3177993</v>
      </c>
      <c r="K34" s="105">
        <f t="shared" ref="K34:K47" si="12">H34-C34</f>
        <v>-50000</v>
      </c>
      <c r="L34" s="66">
        <v>67338</v>
      </c>
      <c r="M34" s="66">
        <f t="shared" ref="M34:M47" si="13">C34+L34</f>
        <v>16226359</v>
      </c>
      <c r="N34" s="128">
        <f t="shared" ref="N34:N47" si="14">(M34/C34-1)*100</f>
        <v>0.41672079020134145</v>
      </c>
      <c r="O34" s="133">
        <f>717000</f>
        <v>717000</v>
      </c>
      <c r="P34" s="91">
        <f t="shared" si="10"/>
        <v>-767000</v>
      </c>
      <c r="Q34" s="92"/>
      <c r="S34" s="94"/>
    </row>
    <row r="35" spans="1:19" x14ac:dyDescent="0.3">
      <c r="A35" s="48">
        <v>3</v>
      </c>
      <c r="B35" s="138" t="s">
        <v>7</v>
      </c>
      <c r="C35" s="139">
        <v>61488585</v>
      </c>
      <c r="D35" s="97">
        <v>47592279</v>
      </c>
      <c r="E35" s="140">
        <v>0.77400000000000002</v>
      </c>
      <c r="H35" s="112">
        <f>61098553+390032-500000</f>
        <v>60988585</v>
      </c>
      <c r="I35" s="103">
        <f t="shared" ref="I35:I46" si="15">(H35/C35-1)*100</f>
        <v>-0.81315906033615493</v>
      </c>
      <c r="J35" s="104">
        <f t="shared" si="11"/>
        <v>13396306</v>
      </c>
      <c r="K35" s="105">
        <f t="shared" si="12"/>
        <v>-500000</v>
      </c>
      <c r="L35" s="66">
        <v>67338</v>
      </c>
      <c r="M35" s="66">
        <f>C35+L35</f>
        <v>61555923</v>
      </c>
      <c r="N35" s="128">
        <f t="shared" si="14"/>
        <v>0.10951300960984067</v>
      </c>
      <c r="O35" s="133">
        <f>1600000+7083000</f>
        <v>8683000</v>
      </c>
      <c r="P35" s="91">
        <f t="shared" si="10"/>
        <v>-9183000</v>
      </c>
      <c r="Q35" s="92"/>
      <c r="S35" s="94"/>
    </row>
    <row r="36" spans="1:19" x14ac:dyDescent="0.3">
      <c r="A36" s="48">
        <v>4</v>
      </c>
      <c r="B36" s="138" t="s">
        <v>8</v>
      </c>
      <c r="C36" s="139">
        <v>39805254</v>
      </c>
      <c r="D36" s="97">
        <v>29663523</v>
      </c>
      <c r="E36" s="140">
        <v>0.74519999999999997</v>
      </c>
      <c r="H36" s="112">
        <f>39455254+350000-500000</f>
        <v>39305254</v>
      </c>
      <c r="I36" s="103">
        <f t="shared" si="15"/>
        <v>-1.2561155871533947</v>
      </c>
      <c r="J36" s="104">
        <f t="shared" si="11"/>
        <v>9641731</v>
      </c>
      <c r="K36" s="105">
        <f t="shared" si="12"/>
        <v>-500000</v>
      </c>
      <c r="L36" s="66">
        <v>67338</v>
      </c>
      <c r="M36" s="66">
        <f t="shared" si="13"/>
        <v>39872592</v>
      </c>
      <c r="N36" s="128">
        <f t="shared" si="14"/>
        <v>0.16916862281546319</v>
      </c>
      <c r="O36" s="133">
        <f>165000+377843</f>
        <v>542843</v>
      </c>
      <c r="P36" s="91">
        <f t="shared" si="10"/>
        <v>-1042843</v>
      </c>
      <c r="Q36" s="92"/>
      <c r="R36" s="4"/>
      <c r="S36" s="94"/>
    </row>
    <row r="37" spans="1:19" x14ac:dyDescent="0.3">
      <c r="A37" s="48">
        <v>5</v>
      </c>
      <c r="B37" s="138" t="s">
        <v>9</v>
      </c>
      <c r="C37" s="139">
        <v>5225445</v>
      </c>
      <c r="D37" s="97">
        <v>3154890</v>
      </c>
      <c r="E37" s="140">
        <v>0.6038</v>
      </c>
      <c r="H37" s="112">
        <v>5225445</v>
      </c>
      <c r="I37" s="103">
        <f t="shared" si="15"/>
        <v>0</v>
      </c>
      <c r="J37" s="104">
        <f t="shared" si="11"/>
        <v>2070555</v>
      </c>
      <c r="K37" s="105">
        <f t="shared" si="12"/>
        <v>0</v>
      </c>
      <c r="L37" s="66">
        <v>67338</v>
      </c>
      <c r="M37" s="66">
        <f t="shared" si="13"/>
        <v>5292783</v>
      </c>
      <c r="N37" s="128">
        <f t="shared" si="14"/>
        <v>1.2886557986927505</v>
      </c>
      <c r="O37" s="133">
        <f>319319+540000</f>
        <v>859319</v>
      </c>
      <c r="P37" s="91">
        <f t="shared" si="10"/>
        <v>-859319</v>
      </c>
      <c r="Q37" s="92"/>
      <c r="R37" s="4"/>
      <c r="S37" s="94"/>
    </row>
    <row r="38" spans="1:19" x14ac:dyDescent="0.3">
      <c r="A38" s="48">
        <v>6</v>
      </c>
      <c r="B38" s="138" t="s">
        <v>10</v>
      </c>
      <c r="C38" s="139">
        <v>15452554</v>
      </c>
      <c r="D38" s="97">
        <v>11501947</v>
      </c>
      <c r="E38" s="140">
        <v>0.74429999999999996</v>
      </c>
      <c r="H38" s="112">
        <f>15452554-100000</f>
        <v>15352554</v>
      </c>
      <c r="I38" s="103">
        <f t="shared" si="15"/>
        <v>-0.64714221351369616</v>
      </c>
      <c r="J38" s="104">
        <f>H38-D38</f>
        <v>3850607</v>
      </c>
      <c r="K38" s="105">
        <f t="shared" si="12"/>
        <v>-100000</v>
      </c>
      <c r="L38" s="66">
        <v>67338</v>
      </c>
      <c r="M38" s="66">
        <f t="shared" si="13"/>
        <v>15519892</v>
      </c>
      <c r="N38" s="128">
        <f t="shared" si="14"/>
        <v>0.4357726237358639</v>
      </c>
      <c r="O38" s="133">
        <f>338000</f>
        <v>338000</v>
      </c>
      <c r="P38" s="91">
        <f t="shared" si="10"/>
        <v>-438000</v>
      </c>
      <c r="Q38" s="92"/>
      <c r="R38" s="4"/>
      <c r="S38" s="94"/>
    </row>
    <row r="39" spans="1:19" x14ac:dyDescent="0.3">
      <c r="A39" s="48">
        <v>7</v>
      </c>
      <c r="B39" s="138" t="s">
        <v>23</v>
      </c>
      <c r="C39" s="139">
        <v>5300254</v>
      </c>
      <c r="D39" s="97">
        <v>5385302</v>
      </c>
      <c r="E39" s="140">
        <v>1.016</v>
      </c>
      <c r="H39" s="112">
        <f>5300254-12260</f>
        <v>5287994</v>
      </c>
      <c r="I39" s="103">
        <f t="shared" si="15"/>
        <v>-0.23130966931018682</v>
      </c>
      <c r="J39" s="104">
        <f t="shared" si="11"/>
        <v>-97308</v>
      </c>
      <c r="K39" s="105">
        <f t="shared" si="12"/>
        <v>-12260</v>
      </c>
      <c r="L39" s="66">
        <v>67338</v>
      </c>
      <c r="M39" s="66">
        <f t="shared" si="13"/>
        <v>5367592</v>
      </c>
      <c r="N39" s="128">
        <f t="shared" si="14"/>
        <v>1.2704674153351858</v>
      </c>
      <c r="O39" s="133"/>
      <c r="P39" s="91"/>
      <c r="Q39" s="92"/>
      <c r="S39" s="94"/>
    </row>
    <row r="40" spans="1:19" x14ac:dyDescent="0.3">
      <c r="A40" s="48">
        <v>8</v>
      </c>
      <c r="B40" s="138" t="s">
        <v>11</v>
      </c>
      <c r="C40" s="139">
        <v>19485545</v>
      </c>
      <c r="D40" s="98">
        <v>15982383</v>
      </c>
      <c r="E40" s="141">
        <v>0.82020000000000004</v>
      </c>
      <c r="H40" s="112">
        <f>19485545</f>
        <v>19485545</v>
      </c>
      <c r="I40" s="103">
        <f t="shared" si="15"/>
        <v>0</v>
      </c>
      <c r="J40" s="104">
        <f t="shared" si="11"/>
        <v>3503162</v>
      </c>
      <c r="K40" s="105">
        <f t="shared" si="12"/>
        <v>0</v>
      </c>
      <c r="L40" s="66">
        <v>67338</v>
      </c>
      <c r="M40" s="66">
        <f t="shared" si="13"/>
        <v>19552883</v>
      </c>
      <c r="N40" s="128">
        <f t="shared" si="14"/>
        <v>0.3455792486173781</v>
      </c>
      <c r="O40" s="133">
        <f>1300000</f>
        <v>1300000</v>
      </c>
      <c r="P40" s="91">
        <f>K40-O40</f>
        <v>-1300000</v>
      </c>
      <c r="Q40" s="92"/>
      <c r="R40" s="4"/>
      <c r="S40" s="94"/>
    </row>
    <row r="41" spans="1:19" x14ac:dyDescent="0.3">
      <c r="A41" s="48">
        <v>9</v>
      </c>
      <c r="B41" s="138" t="s">
        <v>12</v>
      </c>
      <c r="C41" s="139">
        <v>13350545</v>
      </c>
      <c r="D41" s="97">
        <v>10966410</v>
      </c>
      <c r="E41" s="140">
        <v>0.82140000000000002</v>
      </c>
      <c r="H41" s="112">
        <f>13350545-50000</f>
        <v>13300545</v>
      </c>
      <c r="I41" s="103">
        <f t="shared" si="15"/>
        <v>-0.37451654595374029</v>
      </c>
      <c r="J41" s="104">
        <f t="shared" si="11"/>
        <v>2334135</v>
      </c>
      <c r="K41" s="105">
        <f t="shared" si="12"/>
        <v>-50000</v>
      </c>
      <c r="L41" s="66">
        <v>67338</v>
      </c>
      <c r="M41" s="66">
        <f t="shared" si="13"/>
        <v>13417883</v>
      </c>
      <c r="N41" s="128">
        <f t="shared" si="14"/>
        <v>0.50438390342866235</v>
      </c>
      <c r="O41" s="133">
        <f>953288</f>
        <v>953288</v>
      </c>
      <c r="P41" s="91">
        <f>K41-O41</f>
        <v>-1003288</v>
      </c>
      <c r="Q41" s="92"/>
      <c r="R41" s="4"/>
      <c r="S41" s="94"/>
    </row>
    <row r="42" spans="1:19" x14ac:dyDescent="0.3">
      <c r="A42" s="48">
        <v>10</v>
      </c>
      <c r="B42" s="138" t="s">
        <v>13</v>
      </c>
      <c r="C42" s="139">
        <v>11256545</v>
      </c>
      <c r="D42" s="97">
        <v>11259529</v>
      </c>
      <c r="E42" s="140">
        <v>1.0003</v>
      </c>
      <c r="H42" s="112">
        <f>11256545-50000</f>
        <v>11206545</v>
      </c>
      <c r="I42" s="103">
        <f t="shared" si="15"/>
        <v>-0.44418602688480746</v>
      </c>
      <c r="J42" s="104">
        <f t="shared" si="11"/>
        <v>-52984</v>
      </c>
      <c r="K42" s="105">
        <f t="shared" si="12"/>
        <v>-50000</v>
      </c>
      <c r="L42" s="66">
        <v>67338</v>
      </c>
      <c r="M42" s="66">
        <f t="shared" si="13"/>
        <v>11323883</v>
      </c>
      <c r="N42" s="128">
        <f t="shared" si="14"/>
        <v>0.59821197356737521</v>
      </c>
      <c r="O42" s="133">
        <f>51000</f>
        <v>51000</v>
      </c>
      <c r="P42" s="91">
        <f>K42-O42</f>
        <v>-101000</v>
      </c>
      <c r="Q42" s="92"/>
      <c r="S42" s="94"/>
    </row>
    <row r="43" spans="1:19" x14ac:dyDescent="0.3">
      <c r="A43" s="48">
        <v>11</v>
      </c>
      <c r="B43" s="138" t="s">
        <v>14</v>
      </c>
      <c r="C43" s="139">
        <v>12210025</v>
      </c>
      <c r="D43" s="98">
        <v>9187050</v>
      </c>
      <c r="E43" s="141">
        <v>0.75239999999999996</v>
      </c>
      <c r="H43" s="112">
        <f>12210025-50000</f>
        <v>12160025</v>
      </c>
      <c r="I43" s="103">
        <f t="shared" si="15"/>
        <v>-0.40949957104919887</v>
      </c>
      <c r="J43" s="104">
        <f t="shared" si="11"/>
        <v>2972975</v>
      </c>
      <c r="K43" s="105">
        <f t="shared" si="12"/>
        <v>-50000</v>
      </c>
      <c r="L43" s="66">
        <v>67338</v>
      </c>
      <c r="M43" s="66">
        <f t="shared" si="13"/>
        <v>12277363</v>
      </c>
      <c r="N43" s="128">
        <f t="shared" si="14"/>
        <v>0.55149764230622011</v>
      </c>
      <c r="O43" s="133">
        <v>0</v>
      </c>
      <c r="P43" s="91"/>
      <c r="Q43" s="92"/>
      <c r="S43" s="94"/>
    </row>
    <row r="44" spans="1:19" x14ac:dyDescent="0.3">
      <c r="A44" s="48">
        <v>12</v>
      </c>
      <c r="B44" s="138" t="s">
        <v>15</v>
      </c>
      <c r="C44" s="139">
        <v>11565450</v>
      </c>
      <c r="D44" s="97">
        <v>5875255</v>
      </c>
      <c r="E44" s="140">
        <v>0.50800000000000001</v>
      </c>
      <c r="H44" s="112">
        <f>11565450-50000</f>
        <v>11515450</v>
      </c>
      <c r="I44" s="103">
        <f t="shared" si="15"/>
        <v>-0.43232213186689128</v>
      </c>
      <c r="J44" s="104">
        <f t="shared" si="11"/>
        <v>5640195</v>
      </c>
      <c r="K44" s="105">
        <f t="shared" si="12"/>
        <v>-50000</v>
      </c>
      <c r="L44" s="66">
        <v>67338</v>
      </c>
      <c r="M44" s="66">
        <f t="shared" si="13"/>
        <v>11632788</v>
      </c>
      <c r="N44" s="128">
        <f t="shared" si="14"/>
        <v>0.58223415431306602</v>
      </c>
      <c r="O44" s="133">
        <v>241734</v>
      </c>
      <c r="P44" s="91">
        <f>K44-O44</f>
        <v>-291734</v>
      </c>
      <c r="Q44" s="92"/>
      <c r="S44" s="94"/>
    </row>
    <row r="45" spans="1:19" x14ac:dyDescent="0.3">
      <c r="A45" s="48">
        <v>13</v>
      </c>
      <c r="B45" s="138" t="s">
        <v>16</v>
      </c>
      <c r="C45" s="139">
        <v>11025545</v>
      </c>
      <c r="D45" s="97">
        <v>5323563</v>
      </c>
      <c r="E45" s="140">
        <v>0.48280000000000001</v>
      </c>
      <c r="H45" s="112">
        <f>11025545-50000</f>
        <v>10975545</v>
      </c>
      <c r="I45" s="103">
        <f t="shared" si="15"/>
        <v>-0.4534923216947595</v>
      </c>
      <c r="J45" s="104">
        <f t="shared" si="11"/>
        <v>5651982</v>
      </c>
      <c r="K45" s="105">
        <f t="shared" si="12"/>
        <v>-50000</v>
      </c>
      <c r="L45" s="66">
        <v>67338</v>
      </c>
      <c r="M45" s="66">
        <f t="shared" si="13"/>
        <v>11092883</v>
      </c>
      <c r="N45" s="128">
        <f t="shared" si="14"/>
        <v>0.61074531916562869</v>
      </c>
      <c r="O45" s="133">
        <f>288000</f>
        <v>288000</v>
      </c>
      <c r="P45" s="91">
        <f>K45-O45</f>
        <v>-338000</v>
      </c>
      <c r="Q45" s="92"/>
      <c r="R45" s="4"/>
      <c r="S45" s="94"/>
    </row>
    <row r="46" spans="1:19" x14ac:dyDescent="0.3">
      <c r="A46" s="48">
        <v>14</v>
      </c>
      <c r="B46" s="138" t="s">
        <v>17</v>
      </c>
      <c r="C46" s="139">
        <v>9245584</v>
      </c>
      <c r="D46" s="97">
        <v>5054499</v>
      </c>
      <c r="E46" s="140">
        <v>0.54669999999999996</v>
      </c>
      <c r="H46" s="112">
        <f>9245584-50000</f>
        <v>9195584</v>
      </c>
      <c r="I46" s="103">
        <f t="shared" si="15"/>
        <v>-0.54079872077307245</v>
      </c>
      <c r="J46" s="104">
        <f t="shared" si="11"/>
        <v>4141085</v>
      </c>
      <c r="K46" s="105">
        <f>H46-C46</f>
        <v>-50000</v>
      </c>
      <c r="L46" s="66">
        <v>67338</v>
      </c>
      <c r="M46" s="66">
        <f>C46+L46</f>
        <v>9312922</v>
      </c>
      <c r="N46" s="128">
        <f t="shared" si="14"/>
        <v>0.72832608518833553</v>
      </c>
      <c r="O46" s="133">
        <f>320000</f>
        <v>320000</v>
      </c>
      <c r="P46" s="91">
        <f>K46-O46</f>
        <v>-370000</v>
      </c>
      <c r="Q46" s="92"/>
      <c r="R46" s="4"/>
    </row>
    <row r="47" spans="1:19" x14ac:dyDescent="0.3">
      <c r="A47" s="48">
        <v>15</v>
      </c>
      <c r="B47" s="138" t="s">
        <v>18</v>
      </c>
      <c r="C47" s="139">
        <v>42565487</v>
      </c>
      <c r="D47" s="97">
        <v>29301455</v>
      </c>
      <c r="E47" s="140">
        <v>0.68840000000000001</v>
      </c>
      <c r="H47" s="112">
        <f>42565487-500000</f>
        <v>42065487</v>
      </c>
      <c r="I47" s="103">
        <f>(H47/C47-1)*100</f>
        <v>-1.1746605882836492</v>
      </c>
      <c r="J47" s="104">
        <f t="shared" si="11"/>
        <v>12764032</v>
      </c>
      <c r="K47" s="105">
        <f t="shared" si="12"/>
        <v>-500000</v>
      </c>
      <c r="L47" s="66">
        <v>67338</v>
      </c>
      <c r="M47" s="66">
        <f t="shared" si="13"/>
        <v>42632825</v>
      </c>
      <c r="N47" s="128">
        <f t="shared" si="14"/>
        <v>0.15819858938768139</v>
      </c>
      <c r="O47" s="133">
        <v>7631657</v>
      </c>
      <c r="P47" s="91">
        <f>K47-O47</f>
        <v>-8131657</v>
      </c>
      <c r="Q47" s="92"/>
    </row>
    <row r="48" spans="1:19" ht="15" thickBot="1" x14ac:dyDescent="0.35">
      <c r="C48" s="131">
        <f>SUM(C33:C47)</f>
        <v>285456960</v>
      </c>
      <c r="D48" s="132">
        <f>SUM(D33:D47)</f>
        <v>213476673</v>
      </c>
      <c r="H48" s="113">
        <f>SUM(H33:H47)</f>
        <v>283444700</v>
      </c>
      <c r="L48" s="106">
        <f>SUM(L33:L47)</f>
        <v>1010070</v>
      </c>
      <c r="M48" s="106">
        <f>SUM(M33:M47)</f>
        <v>286467030</v>
      </c>
      <c r="O48" s="126"/>
    </row>
    <row r="49" spans="8:15" x14ac:dyDescent="0.3">
      <c r="H49" s="114">
        <f>H48-C27</f>
        <v>0</v>
      </c>
      <c r="O49" s="126"/>
    </row>
  </sheetData>
  <sortState xmlns:xlrd2="http://schemas.microsoft.com/office/spreadsheetml/2017/richdata2" ref="B33:E47">
    <sortCondition ref="B33:B47"/>
  </sortState>
  <mergeCells count="12">
    <mergeCell ref="A6:E6"/>
    <mergeCell ref="A31:E31"/>
    <mergeCell ref="B1:D1"/>
    <mergeCell ref="B25:D25"/>
    <mergeCell ref="F1:G1"/>
    <mergeCell ref="F2:G2"/>
    <mergeCell ref="F25:G25"/>
    <mergeCell ref="F26:G26"/>
    <mergeCell ref="A5:E5"/>
    <mergeCell ref="E1:E2"/>
    <mergeCell ref="A30:E30"/>
    <mergeCell ref="E25:E26"/>
  </mergeCells>
  <conditionalFormatting sqref="E8:E22">
    <cfRule type="cellIs" dxfId="2" priority="1" operator="greaterThan">
      <formula>1</formula>
    </cfRule>
  </conditionalFormatting>
  <conditionalFormatting sqref="P8:P22">
    <cfRule type="cellIs" dxfId="1" priority="7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workbookViewId="0">
      <selection activeCell="E19" sqref="E19"/>
    </sheetView>
  </sheetViews>
  <sheetFormatPr defaultRowHeight="14.4" x14ac:dyDescent="0.3"/>
  <cols>
    <col min="1" max="1" width="6.5546875" customWidth="1"/>
    <col min="2" max="2" width="18.6640625" bestFit="1" customWidth="1"/>
    <col min="3" max="3" width="12.88671875" bestFit="1" customWidth="1"/>
    <col min="4" max="4" width="13.109375" style="100" bestFit="1" customWidth="1"/>
    <col min="5" max="5" width="12.44140625" customWidth="1"/>
    <col min="7" max="7" width="6.5546875" customWidth="1"/>
    <col min="8" max="8" width="18.44140625" bestFit="1" customWidth="1"/>
    <col min="9" max="9" width="14.109375" bestFit="1" customWidth="1"/>
    <col min="10" max="10" width="13.44140625" customWidth="1"/>
    <col min="11" max="11" width="11" customWidth="1"/>
  </cols>
  <sheetData>
    <row r="1" spans="1:11" x14ac:dyDescent="0.3">
      <c r="A1" s="180" t="s">
        <v>19</v>
      </c>
      <c r="B1" s="181"/>
      <c r="C1" s="181"/>
      <c r="D1" s="181"/>
      <c r="E1" s="182"/>
      <c r="G1" s="165" t="s">
        <v>21</v>
      </c>
      <c r="H1" s="166"/>
      <c r="I1" s="166"/>
      <c r="J1" s="166"/>
      <c r="K1" s="167"/>
    </row>
    <row r="2" spans="1:11" ht="29.4" thickBot="1" x14ac:dyDescent="0.35">
      <c r="A2" s="2" t="s">
        <v>0</v>
      </c>
      <c r="B2" s="1" t="s">
        <v>1</v>
      </c>
      <c r="C2" s="1" t="s">
        <v>2</v>
      </c>
      <c r="D2" s="1" t="s">
        <v>3</v>
      </c>
      <c r="E2" s="7" t="s">
        <v>4</v>
      </c>
      <c r="G2" s="3" t="s">
        <v>0</v>
      </c>
      <c r="H2" s="11" t="s">
        <v>1</v>
      </c>
      <c r="I2" s="17" t="s">
        <v>2</v>
      </c>
      <c r="J2" s="11" t="s">
        <v>3</v>
      </c>
      <c r="K2" s="12" t="s">
        <v>20</v>
      </c>
    </row>
    <row r="3" spans="1:11" ht="16.2" thickBot="1" x14ac:dyDescent="0.35">
      <c r="A3" s="5">
        <v>1</v>
      </c>
      <c r="B3" s="148" t="s">
        <v>5</v>
      </c>
      <c r="C3" s="154">
        <v>10147059</v>
      </c>
      <c r="D3" s="155">
        <v>9284996</v>
      </c>
      <c r="E3" s="149">
        <f t="shared" ref="E3:E14" si="0">D3/C3</f>
        <v>0.91504306814417857</v>
      </c>
      <c r="G3" s="9">
        <v>1</v>
      </c>
      <c r="H3" s="13" t="s">
        <v>5</v>
      </c>
      <c r="I3" s="38">
        <v>11321121</v>
      </c>
      <c r="J3" s="96">
        <v>10297560.233783677</v>
      </c>
      <c r="K3" s="18">
        <v>0.9095883909185033</v>
      </c>
    </row>
    <row r="4" spans="1:11" ht="16.2" thickBot="1" x14ac:dyDescent="0.35">
      <c r="A4" s="5">
        <v>2</v>
      </c>
      <c r="B4" s="148" t="s">
        <v>6</v>
      </c>
      <c r="C4" s="154">
        <v>17104221</v>
      </c>
      <c r="D4" s="155">
        <v>15477030</v>
      </c>
      <c r="E4" s="150">
        <f t="shared" si="0"/>
        <v>0.90486611462749456</v>
      </c>
      <c r="G4" s="9">
        <v>2</v>
      </c>
      <c r="H4" s="14" t="s">
        <v>6</v>
      </c>
      <c r="I4" s="39">
        <v>16159021</v>
      </c>
      <c r="J4" s="97">
        <v>12931028.472166218</v>
      </c>
      <c r="K4" s="19">
        <v>0.80023588509268095</v>
      </c>
    </row>
    <row r="5" spans="1:11" ht="16.2" thickBot="1" x14ac:dyDescent="0.35">
      <c r="A5" s="5">
        <v>3</v>
      </c>
      <c r="B5" s="148" t="s">
        <v>7</v>
      </c>
      <c r="C5" s="154">
        <v>55806550</v>
      </c>
      <c r="D5" s="155">
        <v>45914143.25</v>
      </c>
      <c r="E5" s="150">
        <f t="shared" si="0"/>
        <v>0.82273753260145988</v>
      </c>
      <c r="F5" s="4"/>
      <c r="G5" s="9">
        <v>3</v>
      </c>
      <c r="H5" s="14" t="s">
        <v>7</v>
      </c>
      <c r="I5" s="39">
        <v>61488585</v>
      </c>
      <c r="J5" s="97">
        <v>47592278.541956291</v>
      </c>
      <c r="K5" s="19">
        <v>0.77400184996867782</v>
      </c>
    </row>
    <row r="6" spans="1:11" ht="16.2" thickBot="1" x14ac:dyDescent="0.35">
      <c r="A6" s="5">
        <v>4</v>
      </c>
      <c r="B6" s="148" t="s">
        <v>8</v>
      </c>
      <c r="C6" s="154">
        <v>35381524</v>
      </c>
      <c r="D6" s="155">
        <v>29073022</v>
      </c>
      <c r="E6" s="150">
        <f t="shared" si="0"/>
        <v>0.82170067066641905</v>
      </c>
      <c r="G6" s="9">
        <v>4</v>
      </c>
      <c r="H6" s="14" t="s">
        <v>8</v>
      </c>
      <c r="I6" s="39">
        <v>39805254</v>
      </c>
      <c r="J6" s="97">
        <v>29663523.365980759</v>
      </c>
      <c r="K6" s="19">
        <v>0.74521628139794704</v>
      </c>
    </row>
    <row r="7" spans="1:11" ht="16.2" thickBot="1" x14ac:dyDescent="0.35">
      <c r="A7" s="5">
        <v>5</v>
      </c>
      <c r="B7" s="148" t="s">
        <v>9</v>
      </c>
      <c r="C7" s="154">
        <v>4920357</v>
      </c>
      <c r="D7" s="155">
        <v>2862323</v>
      </c>
      <c r="E7" s="150">
        <f t="shared" si="0"/>
        <v>0.58173075652843886</v>
      </c>
      <c r="G7" s="9">
        <v>5</v>
      </c>
      <c r="H7" s="14" t="s">
        <v>9</v>
      </c>
      <c r="I7" s="39">
        <v>5225445</v>
      </c>
      <c r="J7" s="97">
        <v>3154890.0601411872</v>
      </c>
      <c r="K7" s="19">
        <v>0.60375528976789294</v>
      </c>
    </row>
    <row r="8" spans="1:11" ht="16.2" thickBot="1" x14ac:dyDescent="0.35">
      <c r="A8" s="5">
        <v>6</v>
      </c>
      <c r="B8" s="147" t="s">
        <v>10</v>
      </c>
      <c r="C8" s="154">
        <v>13120775</v>
      </c>
      <c r="D8" s="155">
        <v>11914171</v>
      </c>
      <c r="E8" s="150">
        <f t="shared" si="0"/>
        <v>0.90803866387465682</v>
      </c>
      <c r="G8" s="9">
        <v>6</v>
      </c>
      <c r="H8" s="14" t="s">
        <v>10</v>
      </c>
      <c r="I8" s="39">
        <v>15452554</v>
      </c>
      <c r="J8" s="97">
        <v>11501947.273343401</v>
      </c>
      <c r="K8" s="19">
        <v>0.74433956181893302</v>
      </c>
    </row>
    <row r="9" spans="1:11" ht="16.2" thickBot="1" x14ac:dyDescent="0.35">
      <c r="A9" s="5">
        <v>7</v>
      </c>
      <c r="B9" s="147" t="s">
        <v>23</v>
      </c>
      <c r="C9" s="154">
        <v>5578242</v>
      </c>
      <c r="D9" s="155">
        <v>6435279</v>
      </c>
      <c r="E9" s="150">
        <f t="shared" si="0"/>
        <v>1.1536392648436551</v>
      </c>
      <c r="G9" s="9">
        <v>7</v>
      </c>
      <c r="H9" s="14" t="s">
        <v>23</v>
      </c>
      <c r="I9" s="39">
        <v>5300254</v>
      </c>
      <c r="J9" s="97">
        <v>5385301.7065546997</v>
      </c>
      <c r="K9" s="19">
        <v>1.0160459680903404</v>
      </c>
    </row>
    <row r="10" spans="1:11" ht="16.2" thickBot="1" x14ac:dyDescent="0.35">
      <c r="A10" s="5">
        <v>8</v>
      </c>
      <c r="B10" s="148" t="s">
        <v>11</v>
      </c>
      <c r="C10" s="154">
        <v>17801026</v>
      </c>
      <c r="D10" s="155">
        <v>16804050</v>
      </c>
      <c r="E10" s="150">
        <f t="shared" si="0"/>
        <v>0.94399334060856943</v>
      </c>
      <c r="G10" s="9">
        <v>8</v>
      </c>
      <c r="H10" s="14" t="s">
        <v>11</v>
      </c>
      <c r="I10" s="39">
        <v>19485545</v>
      </c>
      <c r="J10" s="98">
        <v>15982383.425693709</v>
      </c>
      <c r="K10" s="35">
        <v>0.82021741889660815</v>
      </c>
    </row>
    <row r="11" spans="1:11" ht="16.2" thickBot="1" x14ac:dyDescent="0.35">
      <c r="A11" s="5">
        <v>9</v>
      </c>
      <c r="B11" s="148" t="s">
        <v>12</v>
      </c>
      <c r="C11" s="154">
        <v>12102999</v>
      </c>
      <c r="D11" s="155">
        <v>10994930</v>
      </c>
      <c r="E11" s="150">
        <f t="shared" si="0"/>
        <v>0.90844674117547231</v>
      </c>
      <c r="G11" s="9">
        <v>9</v>
      </c>
      <c r="H11" s="14" t="s">
        <v>12</v>
      </c>
      <c r="I11" s="39">
        <v>13350545</v>
      </c>
      <c r="J11" s="97">
        <v>10966410.402245855</v>
      </c>
      <c r="K11" s="19">
        <v>0.8214204290720607</v>
      </c>
    </row>
    <row r="12" spans="1:11" ht="16.2" thickBot="1" x14ac:dyDescent="0.35">
      <c r="A12" s="5">
        <v>10</v>
      </c>
      <c r="B12" s="148" t="s">
        <v>13</v>
      </c>
      <c r="C12" s="154">
        <v>10956072</v>
      </c>
      <c r="D12" s="155">
        <v>12424247</v>
      </c>
      <c r="E12" s="150">
        <f t="shared" si="0"/>
        <v>1.1340055998171608</v>
      </c>
      <c r="G12" s="9">
        <v>10</v>
      </c>
      <c r="H12" s="14" t="s">
        <v>13</v>
      </c>
      <c r="I12" s="39">
        <v>11256545</v>
      </c>
      <c r="J12" s="97">
        <v>11259529.306754028</v>
      </c>
      <c r="K12" s="19">
        <v>1.0002651174720154</v>
      </c>
    </row>
    <row r="13" spans="1:11" ht="16.2" thickBot="1" x14ac:dyDescent="0.35">
      <c r="A13" s="5">
        <v>11</v>
      </c>
      <c r="B13" s="147" t="s">
        <v>14</v>
      </c>
      <c r="C13" s="154">
        <v>10754949</v>
      </c>
      <c r="D13" s="155">
        <v>10870053</v>
      </c>
      <c r="E13" s="150">
        <f t="shared" si="0"/>
        <v>1.010702421740912</v>
      </c>
      <c r="G13" s="9">
        <v>11</v>
      </c>
      <c r="H13" s="14" t="s">
        <v>14</v>
      </c>
      <c r="I13" s="39">
        <v>12210025</v>
      </c>
      <c r="J13" s="98">
        <v>9187050.3204981331</v>
      </c>
      <c r="K13" s="35">
        <v>0.7524186330902789</v>
      </c>
    </row>
    <row r="14" spans="1:11" ht="16.2" thickBot="1" x14ac:dyDescent="0.35">
      <c r="A14" s="5">
        <v>12</v>
      </c>
      <c r="B14" s="148" t="s">
        <v>15</v>
      </c>
      <c r="C14" s="154">
        <v>9854953</v>
      </c>
      <c r="D14" s="155">
        <v>5571420</v>
      </c>
      <c r="E14" s="150">
        <f t="shared" si="0"/>
        <v>0.56534211781628996</v>
      </c>
      <c r="G14" s="9">
        <v>12</v>
      </c>
      <c r="H14" s="14" t="s">
        <v>15</v>
      </c>
      <c r="I14" s="39">
        <v>11565450</v>
      </c>
      <c r="J14" s="97">
        <v>5875254.680068804</v>
      </c>
      <c r="K14" s="19">
        <v>0.50800052570966148</v>
      </c>
    </row>
    <row r="15" spans="1:11" ht="16.2" thickBot="1" x14ac:dyDescent="0.35">
      <c r="A15" s="5">
        <v>13</v>
      </c>
      <c r="B15" s="147" t="s">
        <v>16</v>
      </c>
      <c r="C15" s="154">
        <v>10180173</v>
      </c>
      <c r="D15" s="155">
        <v>10496222</v>
      </c>
      <c r="E15" s="150">
        <f>D15/C15</f>
        <v>1.0310455431356618</v>
      </c>
      <c r="G15" s="9">
        <v>13</v>
      </c>
      <c r="H15" s="14" t="s">
        <v>16</v>
      </c>
      <c r="I15" s="39">
        <v>11025545</v>
      </c>
      <c r="J15" s="97">
        <v>5323562.6261828216</v>
      </c>
      <c r="K15" s="19">
        <v>0.48283895500701524</v>
      </c>
    </row>
    <row r="16" spans="1:11" ht="31.8" thickBot="1" x14ac:dyDescent="0.35">
      <c r="A16" s="15">
        <v>14</v>
      </c>
      <c r="B16" s="148" t="s">
        <v>17</v>
      </c>
      <c r="C16" s="154">
        <v>8786804</v>
      </c>
      <c r="D16" s="155">
        <v>3709143</v>
      </c>
      <c r="E16" s="150">
        <f>D16/C16</f>
        <v>0.42212652063253031</v>
      </c>
      <c r="G16" s="16">
        <v>14</v>
      </c>
      <c r="H16" s="37" t="s">
        <v>17</v>
      </c>
      <c r="I16" s="39">
        <v>9245584</v>
      </c>
      <c r="J16" s="99">
        <v>5054499.2122597462</v>
      </c>
      <c r="K16" s="19">
        <v>0.5466933416277161</v>
      </c>
    </row>
    <row r="17" spans="1:11" ht="16.2" thickBot="1" x14ac:dyDescent="0.35">
      <c r="A17" s="6">
        <v>15</v>
      </c>
      <c r="B17" s="148" t="s">
        <v>18</v>
      </c>
      <c r="C17" s="154">
        <v>39195906</v>
      </c>
      <c r="D17" s="155">
        <v>41607841</v>
      </c>
      <c r="E17" s="153">
        <f>D17/C17</f>
        <v>1.06153538076145</v>
      </c>
      <c r="G17" s="10">
        <v>15</v>
      </c>
      <c r="H17" s="37" t="s">
        <v>18</v>
      </c>
      <c r="I17" s="40">
        <v>42565487</v>
      </c>
      <c r="J17" s="99">
        <v>29301455.032370679</v>
      </c>
      <c r="K17" s="19">
        <v>0.6883852881178284</v>
      </c>
    </row>
    <row r="18" spans="1:11" ht="16.2" thickBot="1" x14ac:dyDescent="0.35">
      <c r="B18" s="8" t="s">
        <v>22</v>
      </c>
      <c r="C18" s="136">
        <f>SUM(C3:C17)</f>
        <v>261691610</v>
      </c>
      <c r="D18" s="136">
        <f>SUM(D3:D17)</f>
        <v>233438870.25</v>
      </c>
      <c r="E18" s="127">
        <v>0.9</v>
      </c>
      <c r="H18" s="36" t="s">
        <v>22</v>
      </c>
      <c r="I18" s="134">
        <f>SUM(I3:I17)</f>
        <v>285456960</v>
      </c>
      <c r="J18" s="135">
        <f>SUM(J3:J17)</f>
        <v>213476674.66</v>
      </c>
      <c r="K18" s="88">
        <v>0.75509999999999999</v>
      </c>
    </row>
    <row r="23" spans="1:11" x14ac:dyDescent="0.3">
      <c r="A23" s="183"/>
      <c r="B23" s="183"/>
      <c r="C23" s="183"/>
      <c r="D23" s="183"/>
      <c r="E23" s="183"/>
    </row>
    <row r="24" spans="1:11" x14ac:dyDescent="0.3">
      <c r="A24" s="22"/>
      <c r="B24" s="20"/>
      <c r="C24" s="20"/>
      <c r="D24" s="101"/>
      <c r="E24" s="23"/>
    </row>
    <row r="25" spans="1:11" x14ac:dyDescent="0.3">
      <c r="A25" s="20"/>
      <c r="B25" s="24"/>
      <c r="C25" s="25"/>
      <c r="D25" s="102"/>
      <c r="E25" s="26"/>
    </row>
    <row r="26" spans="1:11" x14ac:dyDescent="0.3">
      <c r="A26" s="20"/>
      <c r="B26" s="24"/>
      <c r="C26" s="27"/>
      <c r="D26" s="102"/>
      <c r="E26" s="26"/>
    </row>
    <row r="27" spans="1:11" x14ac:dyDescent="0.3">
      <c r="A27" s="20"/>
      <c r="B27" s="24"/>
      <c r="C27" s="28"/>
      <c r="D27" s="102"/>
      <c r="E27" s="26"/>
    </row>
    <row r="28" spans="1:11" x14ac:dyDescent="0.3">
      <c r="A28" s="20"/>
      <c r="B28" s="24"/>
      <c r="C28" s="29"/>
      <c r="D28" s="102"/>
      <c r="E28" s="26"/>
    </row>
    <row r="29" spans="1:11" x14ac:dyDescent="0.3">
      <c r="A29" s="20"/>
      <c r="B29" s="24"/>
      <c r="C29" s="28"/>
      <c r="D29" s="102"/>
      <c r="E29" s="26"/>
    </row>
    <row r="30" spans="1:11" x14ac:dyDescent="0.3">
      <c r="A30" s="20"/>
      <c r="B30" s="24"/>
      <c r="C30" s="30"/>
      <c r="D30" s="102"/>
      <c r="E30" s="26"/>
    </row>
    <row r="31" spans="1:11" x14ac:dyDescent="0.3">
      <c r="A31" s="20"/>
      <c r="B31" s="24"/>
      <c r="C31" s="30"/>
      <c r="D31" s="102"/>
      <c r="E31" s="26"/>
    </row>
    <row r="32" spans="1:11" x14ac:dyDescent="0.3">
      <c r="A32" s="20"/>
      <c r="B32" s="24"/>
      <c r="C32" s="27"/>
      <c r="D32" s="102"/>
      <c r="E32" s="26"/>
    </row>
    <row r="33" spans="1:5" x14ac:dyDescent="0.3">
      <c r="A33" s="20"/>
      <c r="B33" s="24"/>
      <c r="C33" s="31"/>
      <c r="D33" s="102"/>
      <c r="E33" s="26"/>
    </row>
    <row r="34" spans="1:5" x14ac:dyDescent="0.3">
      <c r="A34" s="20"/>
      <c r="B34" s="24"/>
      <c r="C34" s="30"/>
      <c r="D34" s="102"/>
      <c r="E34" s="26"/>
    </row>
    <row r="35" spans="1:5" x14ac:dyDescent="0.3">
      <c r="A35" s="20"/>
      <c r="B35" s="24"/>
      <c r="C35" s="32"/>
      <c r="D35" s="102"/>
      <c r="E35" s="26"/>
    </row>
    <row r="36" spans="1:5" x14ac:dyDescent="0.3">
      <c r="A36" s="20"/>
      <c r="B36" s="24"/>
      <c r="C36" s="33"/>
      <c r="D36" s="102"/>
      <c r="E36" s="26"/>
    </row>
    <row r="37" spans="1:5" x14ac:dyDescent="0.3">
      <c r="A37" s="20"/>
      <c r="B37" s="24"/>
      <c r="C37" s="33"/>
      <c r="D37" s="102"/>
      <c r="E37" s="26"/>
    </row>
    <row r="38" spans="1:5" x14ac:dyDescent="0.3">
      <c r="A38" s="20"/>
      <c r="B38" s="24"/>
      <c r="C38" s="27"/>
      <c r="D38" s="102"/>
      <c r="E38" s="26"/>
    </row>
    <row r="39" spans="1:5" x14ac:dyDescent="0.3">
      <c r="A39" s="20"/>
      <c r="B39" s="24"/>
      <c r="C39" s="34"/>
      <c r="D39" s="102"/>
      <c r="E39" s="26"/>
    </row>
    <row r="40" spans="1:5" x14ac:dyDescent="0.3">
      <c r="B40" s="20"/>
      <c r="E40" s="21"/>
    </row>
  </sheetData>
  <sortState xmlns:xlrd2="http://schemas.microsoft.com/office/spreadsheetml/2017/richdata2" ref="H3:K17">
    <sortCondition descending="1" ref="K3:K17"/>
  </sortState>
  <mergeCells count="3">
    <mergeCell ref="A1:E1"/>
    <mergeCell ref="A23:E23"/>
    <mergeCell ref="G1:K1"/>
  </mergeCells>
  <conditionalFormatting sqref="E3:E17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workbookViewId="0">
      <selection activeCell="L4" sqref="L4"/>
    </sheetView>
  </sheetViews>
  <sheetFormatPr defaultRowHeight="12.75" customHeight="1" x14ac:dyDescent="0.3"/>
  <cols>
    <col min="1" max="1" width="27.33203125" style="89" customWidth="1"/>
    <col min="2" max="2" width="15.88671875" customWidth="1"/>
    <col min="3" max="3" width="18.6640625" customWidth="1"/>
    <col min="4" max="4" width="17.88671875" customWidth="1"/>
    <col min="11" max="11" width="17" bestFit="1" customWidth="1"/>
    <col min="12" max="12" width="12.33203125" bestFit="1" customWidth="1"/>
    <col min="13" max="13" width="15" bestFit="1" customWidth="1"/>
  </cols>
  <sheetData>
    <row r="1" spans="1:19" ht="12.75" customHeight="1" x14ac:dyDescent="0.3">
      <c r="K1">
        <v>505</v>
      </c>
      <c r="L1">
        <v>505</v>
      </c>
      <c r="M1">
        <v>505</v>
      </c>
      <c r="N1">
        <v>505</v>
      </c>
      <c r="O1">
        <v>505</v>
      </c>
      <c r="P1">
        <v>505</v>
      </c>
      <c r="Q1">
        <v>505</v>
      </c>
      <c r="R1">
        <v>505</v>
      </c>
      <c r="S1">
        <v>505</v>
      </c>
    </row>
    <row r="2" spans="1:19" ht="12.75" customHeight="1" x14ac:dyDescent="0.3">
      <c r="B2" s="55" t="s">
        <v>54</v>
      </c>
      <c r="C2" s="70" t="s">
        <v>55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</row>
    <row r="3" spans="1:19" ht="12.75" customHeight="1" x14ac:dyDescent="0.3">
      <c r="A3" s="90" t="s">
        <v>5</v>
      </c>
      <c r="B3" s="91">
        <v>3948005.33</v>
      </c>
      <c r="C3" s="91">
        <v>4674961.33</v>
      </c>
      <c r="D3" s="92">
        <f>C3-B3</f>
        <v>726956</v>
      </c>
      <c r="K3">
        <v>518000</v>
      </c>
      <c r="L3">
        <v>531254</v>
      </c>
    </row>
    <row r="4" spans="1:19" ht="12.75" customHeight="1" x14ac:dyDescent="0.3">
      <c r="A4" s="90" t="s">
        <v>6</v>
      </c>
      <c r="B4" s="91">
        <v>10939394.5</v>
      </c>
      <c r="C4" s="91">
        <v>13482439.5</v>
      </c>
      <c r="D4" s="92">
        <f t="shared" ref="D4:D17" si="0">C4-B4</f>
        <v>2543045</v>
      </c>
      <c r="K4" s="161">
        <f>K1*K3</f>
        <v>261590000</v>
      </c>
      <c r="L4" s="161">
        <f t="shared" ref="L4:S4" si="1">L1*L3</f>
        <v>268283270</v>
      </c>
      <c r="M4" s="161">
        <f t="shared" si="1"/>
        <v>0</v>
      </c>
      <c r="N4" s="161">
        <f t="shared" si="1"/>
        <v>0</v>
      </c>
      <c r="O4" s="161">
        <f t="shared" si="1"/>
        <v>0</v>
      </c>
      <c r="P4" s="161">
        <f t="shared" si="1"/>
        <v>0</v>
      </c>
      <c r="Q4" s="161">
        <f t="shared" si="1"/>
        <v>0</v>
      </c>
      <c r="R4" s="161">
        <f t="shared" si="1"/>
        <v>0</v>
      </c>
      <c r="S4" s="161">
        <f t="shared" si="1"/>
        <v>0</v>
      </c>
    </row>
    <row r="5" spans="1:19" ht="12.75" customHeight="1" x14ac:dyDescent="0.3">
      <c r="A5" s="90" t="s">
        <v>7</v>
      </c>
      <c r="B5" s="91">
        <v>205490449.52000001</v>
      </c>
      <c r="C5" s="91">
        <v>204987092.52000001</v>
      </c>
      <c r="D5" s="92">
        <f t="shared" si="0"/>
        <v>-503357</v>
      </c>
      <c r="E5" s="93"/>
    </row>
    <row r="6" spans="1:19" ht="12.75" customHeight="1" x14ac:dyDescent="0.3">
      <c r="A6" s="90" t="s">
        <v>8</v>
      </c>
      <c r="B6" s="91">
        <v>103194061.91</v>
      </c>
      <c r="C6" s="91">
        <v>107544699.91</v>
      </c>
      <c r="D6" s="92">
        <f t="shared" si="0"/>
        <v>4350638</v>
      </c>
    </row>
    <row r="7" spans="1:19" ht="12.75" customHeight="1" x14ac:dyDescent="0.3">
      <c r="A7" s="90" t="s">
        <v>9</v>
      </c>
      <c r="B7" s="91">
        <v>30921162.370000001</v>
      </c>
      <c r="C7" s="91">
        <v>34143480.369999997</v>
      </c>
      <c r="D7" s="92">
        <f t="shared" si="0"/>
        <v>3222317.9999999963</v>
      </c>
      <c r="M7" s="161"/>
    </row>
    <row r="8" spans="1:19" ht="12.75" customHeight="1" x14ac:dyDescent="0.3">
      <c r="A8" s="90" t="s">
        <v>10</v>
      </c>
      <c r="B8" s="91">
        <v>11035147.800000001</v>
      </c>
      <c r="C8" s="91">
        <v>11235309.800000001</v>
      </c>
      <c r="D8" s="92">
        <f t="shared" si="0"/>
        <v>200162</v>
      </c>
    </row>
    <row r="9" spans="1:19" ht="12.75" customHeight="1" x14ac:dyDescent="0.3">
      <c r="A9" s="90" t="s">
        <v>23</v>
      </c>
      <c r="B9" s="91">
        <v>866295.96</v>
      </c>
      <c r="C9" s="91">
        <v>684325.96</v>
      </c>
      <c r="D9" s="92">
        <f t="shared" si="0"/>
        <v>-181970</v>
      </c>
      <c r="E9" s="93"/>
    </row>
    <row r="10" spans="1:19" ht="12.75" customHeight="1" x14ac:dyDescent="0.3">
      <c r="A10" s="90" t="s">
        <v>11</v>
      </c>
      <c r="B10" s="91">
        <v>47459228.289999999</v>
      </c>
      <c r="C10" s="91">
        <v>48128660.289999999</v>
      </c>
      <c r="D10" s="92">
        <f t="shared" si="0"/>
        <v>669432</v>
      </c>
    </row>
    <row r="11" spans="1:19" ht="12.75" customHeight="1" x14ac:dyDescent="0.3">
      <c r="A11" s="90" t="s">
        <v>12</v>
      </c>
      <c r="B11" s="91">
        <v>3758788.51</v>
      </c>
      <c r="C11" s="91">
        <v>4973630.51</v>
      </c>
      <c r="D11" s="92">
        <f t="shared" si="0"/>
        <v>1214842</v>
      </c>
    </row>
    <row r="12" spans="1:19" ht="12.75" customHeight="1" x14ac:dyDescent="0.3">
      <c r="A12" s="90" t="s">
        <v>13</v>
      </c>
      <c r="B12" s="91">
        <v>5709499.0999999996</v>
      </c>
      <c r="C12" s="91">
        <v>6680269.0999999996</v>
      </c>
      <c r="D12" s="92">
        <f t="shared" si="0"/>
        <v>970770</v>
      </c>
    </row>
    <row r="13" spans="1:19" ht="12.75" customHeight="1" x14ac:dyDescent="0.3">
      <c r="A13" s="90" t="s">
        <v>14</v>
      </c>
      <c r="B13" s="91">
        <v>12179182.109999999</v>
      </c>
      <c r="C13" s="91">
        <v>12933927.109999999</v>
      </c>
      <c r="D13" s="92">
        <f t="shared" si="0"/>
        <v>754745</v>
      </c>
    </row>
    <row r="14" spans="1:19" ht="12.75" customHeight="1" x14ac:dyDescent="0.3">
      <c r="A14" s="90" t="s">
        <v>15</v>
      </c>
      <c r="B14" s="91">
        <v>8786278.5</v>
      </c>
      <c r="C14" s="91">
        <v>7732638.5</v>
      </c>
      <c r="D14" s="92">
        <f t="shared" si="0"/>
        <v>-1053640</v>
      </c>
      <c r="E14" s="93"/>
    </row>
    <row r="15" spans="1:19" ht="12.75" customHeight="1" x14ac:dyDescent="0.3">
      <c r="A15" s="90" t="s">
        <v>16</v>
      </c>
      <c r="B15" s="91">
        <v>3424439</v>
      </c>
      <c r="C15" s="91">
        <v>3757159</v>
      </c>
      <c r="D15" s="92">
        <f t="shared" si="0"/>
        <v>332720</v>
      </c>
    </row>
    <row r="16" spans="1:19" ht="12.75" customHeight="1" x14ac:dyDescent="0.3">
      <c r="A16" s="90" t="s">
        <v>17</v>
      </c>
      <c r="B16" s="91">
        <v>18587877.16</v>
      </c>
      <c r="C16" s="91">
        <v>18234465.16</v>
      </c>
      <c r="D16" s="92">
        <f t="shared" si="0"/>
        <v>-353412</v>
      </c>
      <c r="E16" s="93"/>
    </row>
    <row r="17" spans="1:5" ht="12.75" customHeight="1" x14ac:dyDescent="0.3">
      <c r="A17" s="90" t="s">
        <v>18</v>
      </c>
      <c r="B17" s="91">
        <v>226406050.37</v>
      </c>
      <c r="C17" s="91">
        <v>224487066.37</v>
      </c>
      <c r="D17" s="92">
        <f t="shared" si="0"/>
        <v>-1918984</v>
      </c>
      <c r="E17" s="93"/>
    </row>
    <row r="24" spans="1:5" ht="12.75" customHeight="1" x14ac:dyDescent="0.3">
      <c r="B24" t="s">
        <v>5</v>
      </c>
      <c r="C24" t="s">
        <v>61</v>
      </c>
    </row>
    <row r="25" spans="1:5" ht="12.75" customHeight="1" x14ac:dyDescent="0.3">
      <c r="B25" t="s">
        <v>6</v>
      </c>
      <c r="C25" t="s">
        <v>62</v>
      </c>
    </row>
    <row r="26" spans="1:5" ht="12.75" customHeight="1" x14ac:dyDescent="0.3">
      <c r="B26" t="s">
        <v>7</v>
      </c>
      <c r="C26" t="s">
        <v>63</v>
      </c>
    </row>
    <row r="27" spans="1:5" ht="12.75" customHeight="1" x14ac:dyDescent="0.3">
      <c r="B27" t="s">
        <v>8</v>
      </c>
      <c r="C27" t="s">
        <v>64</v>
      </c>
    </row>
    <row r="28" spans="1:5" ht="12.75" customHeight="1" x14ac:dyDescent="0.3">
      <c r="B28" t="s">
        <v>9</v>
      </c>
      <c r="C28" t="s">
        <v>65</v>
      </c>
    </row>
    <row r="29" spans="1:5" ht="12.75" customHeight="1" x14ac:dyDescent="0.3">
      <c r="B29" t="s">
        <v>10</v>
      </c>
      <c r="C29" t="s">
        <v>66</v>
      </c>
    </row>
    <row r="30" spans="1:5" ht="12.75" customHeight="1" x14ac:dyDescent="0.3">
      <c r="B30" t="s">
        <v>23</v>
      </c>
      <c r="C30" t="s">
        <v>67</v>
      </c>
    </row>
    <row r="31" spans="1:5" ht="12.75" customHeight="1" x14ac:dyDescent="0.3">
      <c r="B31" t="s">
        <v>11</v>
      </c>
      <c r="C31" t="s">
        <v>68</v>
      </c>
    </row>
    <row r="32" spans="1:5" ht="12.75" customHeight="1" x14ac:dyDescent="0.3">
      <c r="B32" t="s">
        <v>12</v>
      </c>
      <c r="C32" t="s">
        <v>69</v>
      </c>
    </row>
    <row r="33" spans="2:3" ht="12.75" customHeight="1" x14ac:dyDescent="0.3">
      <c r="B33" t="s">
        <v>13</v>
      </c>
      <c r="C33" t="s">
        <v>70</v>
      </c>
    </row>
    <row r="34" spans="2:3" ht="12.75" customHeight="1" x14ac:dyDescent="0.3">
      <c r="B34" t="s">
        <v>14</v>
      </c>
      <c r="C34" t="s">
        <v>71</v>
      </c>
    </row>
    <row r="35" spans="2:3" ht="12.75" customHeight="1" x14ac:dyDescent="0.3">
      <c r="B35" t="s">
        <v>15</v>
      </c>
      <c r="C35" t="s">
        <v>72</v>
      </c>
    </row>
    <row r="36" spans="2:3" ht="12.75" customHeight="1" x14ac:dyDescent="0.3">
      <c r="B36" t="s">
        <v>16</v>
      </c>
      <c r="C36" t="s">
        <v>73</v>
      </c>
    </row>
    <row r="37" spans="2:3" ht="12.75" customHeight="1" x14ac:dyDescent="0.3">
      <c r="B37" t="s">
        <v>17</v>
      </c>
      <c r="C37" t="s">
        <v>74</v>
      </c>
    </row>
    <row r="38" spans="2:3" ht="12.75" customHeight="1" x14ac:dyDescent="0.3">
      <c r="B38" t="s">
        <v>18</v>
      </c>
      <c r="C38" t="s">
        <v>75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 февраль   2025</vt:lpstr>
      <vt:lpstr>Январь    2025</vt:lpstr>
      <vt:lpstr>Редактор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medhouse03251465</dc:creator>
  <cp:lastModifiedBy>PC</cp:lastModifiedBy>
  <dcterms:created xsi:type="dcterms:W3CDTF">2015-06-05T18:19:34Z</dcterms:created>
  <dcterms:modified xsi:type="dcterms:W3CDTF">2026-02-03T14:09:54Z</dcterms:modified>
</cp:coreProperties>
</file>