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AD55CE3-63C7-4C20-9EE9-FCB12FA23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лан Январь  2025" sheetId="4" r:id="rId1"/>
    <sheet name="Декабрь   2025" sheetId="3" r:id="rId2"/>
    <sheet name="Редактор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4" l="1"/>
  <c r="L10" i="4"/>
  <c r="K10" i="4"/>
  <c r="H35" i="4"/>
  <c r="H36" i="4"/>
  <c r="K17" i="4" l="1"/>
  <c r="K9" i="4"/>
  <c r="K11" i="4"/>
  <c r="K12" i="4"/>
  <c r="K13" i="4"/>
  <c r="K14" i="4"/>
  <c r="K15" i="4"/>
  <c r="K16" i="4"/>
  <c r="K18" i="4"/>
  <c r="K19" i="4"/>
  <c r="K20" i="4"/>
  <c r="K21" i="4"/>
  <c r="K22" i="4"/>
  <c r="K8" i="4"/>
  <c r="J8" i="4"/>
  <c r="D4" i="4"/>
  <c r="D28" i="4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O9" i="4" l="1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8" i="4"/>
  <c r="I34" i="4"/>
  <c r="I33" i="4"/>
  <c r="D18" i="3"/>
  <c r="C18" i="3"/>
  <c r="J18" i="3"/>
  <c r="I18" i="3"/>
  <c r="N22" i="4"/>
  <c r="N18" i="4"/>
  <c r="N14" i="4"/>
  <c r="N9" i="4"/>
  <c r="N8" i="4"/>
  <c r="I47" i="4" l="1"/>
  <c r="K41" i="4"/>
  <c r="P41" i="4" s="1"/>
  <c r="O46" i="4"/>
  <c r="O45" i="4"/>
  <c r="O42" i="4"/>
  <c r="O41" i="4"/>
  <c r="O40" i="4"/>
  <c r="O38" i="4"/>
  <c r="O37" i="4"/>
  <c r="O36" i="4"/>
  <c r="O35" i="4"/>
  <c r="O34" i="4"/>
  <c r="O33" i="4"/>
  <c r="C3" i="4" l="1"/>
  <c r="M10" i="4" l="1"/>
  <c r="K33" i="4" l="1"/>
  <c r="P33" i="4" s="1"/>
  <c r="M35" i="4"/>
  <c r="N35" i="4" s="1"/>
  <c r="M34" i="4"/>
  <c r="N34" i="4" s="1"/>
  <c r="C27" i="4"/>
  <c r="D3" i="4" l="1"/>
  <c r="D27" i="4"/>
  <c r="F26" i="4" s="1"/>
  <c r="L32" i="4" s="1"/>
  <c r="H48" i="4"/>
  <c r="H49" i="4" s="1"/>
  <c r="M8" i="4"/>
  <c r="M46" i="4"/>
  <c r="N46" i="4" s="1"/>
  <c r="K46" i="4"/>
  <c r="P46" i="4" s="1"/>
  <c r="M36" i="4" l="1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7" i="4"/>
  <c r="N47" i="4" s="1"/>
  <c r="P8" i="4" l="1"/>
  <c r="J9" i="4"/>
  <c r="N11" i="4"/>
  <c r="M12" i="4"/>
  <c r="M13" i="4"/>
  <c r="N16" i="4"/>
  <c r="N20" i="4"/>
  <c r="D23" i="4"/>
  <c r="D15" i="5"/>
  <c r="D3" i="5"/>
  <c r="D4" i="5"/>
  <c r="D5" i="5"/>
  <c r="D6" i="5"/>
  <c r="D7" i="5"/>
  <c r="D8" i="5"/>
  <c r="D9" i="5"/>
  <c r="D10" i="5"/>
  <c r="D11" i="5"/>
  <c r="D12" i="5"/>
  <c r="D13" i="5"/>
  <c r="D14" i="5"/>
  <c r="D16" i="5"/>
  <c r="D2" i="5"/>
  <c r="I35" i="4"/>
  <c r="I38" i="4"/>
  <c r="K40" i="4"/>
  <c r="P40" i="4" s="1"/>
  <c r="I42" i="4"/>
  <c r="M19" i="4"/>
  <c r="C48" i="4"/>
  <c r="K23" i="4"/>
  <c r="J13" i="4"/>
  <c r="J12" i="4"/>
  <c r="N17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M17" i="4"/>
  <c r="J22" i="4"/>
  <c r="J21" i="4"/>
  <c r="J20" i="4"/>
  <c r="J19" i="4"/>
  <c r="J18" i="4"/>
  <c r="J17" i="4"/>
  <c r="J16" i="4"/>
  <c r="J15" i="4"/>
  <c r="J14" i="4"/>
  <c r="J11" i="4"/>
  <c r="J10" i="4"/>
  <c r="C23" i="4"/>
  <c r="E3" i="4" s="1"/>
  <c r="I23" i="4"/>
  <c r="I40" i="4"/>
  <c r="I43" i="4"/>
  <c r="J38" i="4" l="1"/>
  <c r="J34" i="4"/>
  <c r="J33" i="4"/>
  <c r="E27" i="4"/>
  <c r="F2" i="4"/>
  <c r="Q7" i="4" s="1"/>
  <c r="L23" i="4"/>
  <c r="L24" i="4" s="1"/>
  <c r="I45" i="4"/>
  <c r="K36" i="4"/>
  <c r="P36" i="4" s="1"/>
  <c r="M22" i="4"/>
  <c r="N15" i="4"/>
  <c r="N21" i="4"/>
  <c r="M15" i="4"/>
  <c r="N13" i="4"/>
  <c r="N10" i="4"/>
  <c r="J43" i="4"/>
  <c r="J40" i="4"/>
  <c r="K45" i="4"/>
  <c r="P45" i="4" s="1"/>
  <c r="K43" i="4"/>
  <c r="J42" i="4"/>
  <c r="K44" i="4"/>
  <c r="P44" i="4" s="1"/>
  <c r="K42" i="4"/>
  <c r="P42" i="4" s="1"/>
  <c r="K38" i="4"/>
  <c r="P38" i="4" s="1"/>
  <c r="K37" i="4"/>
  <c r="P37" i="4" s="1"/>
  <c r="I46" i="4"/>
  <c r="I37" i="4"/>
  <c r="K47" i="4"/>
  <c r="P47" i="4" s="1"/>
  <c r="I39" i="4"/>
  <c r="K39" i="4"/>
  <c r="J35" i="4"/>
  <c r="K34" i="4"/>
  <c r="P34" i="4" s="1"/>
  <c r="K35" i="4"/>
  <c r="P35" i="4" s="1"/>
  <c r="I36" i="4"/>
  <c r="I44" i="4"/>
  <c r="I41" i="4"/>
  <c r="M14" i="4"/>
  <c r="M18" i="4"/>
  <c r="M16" i="4"/>
  <c r="N19" i="4"/>
  <c r="N12" i="4"/>
  <c r="M11" i="4"/>
  <c r="M9" i="4"/>
  <c r="M21" i="4"/>
  <c r="M20" i="4"/>
  <c r="P23" i="4"/>
  <c r="J23" i="4"/>
  <c r="Q9" i="4" l="1"/>
  <c r="Q8" i="4"/>
  <c r="D48" i="4"/>
  <c r="J45" i="4"/>
  <c r="M23" i="4"/>
  <c r="M24" i="4" s="1"/>
  <c r="J36" i="4"/>
  <c r="J44" i="4"/>
  <c r="J41" i="4"/>
  <c r="J47" i="4"/>
  <c r="J39" i="4"/>
  <c r="J37" i="4"/>
  <c r="J46" i="4"/>
  <c r="O23" i="4"/>
  <c r="Q10" i="4" l="1"/>
  <c r="R10" i="4" s="1"/>
  <c r="S10" i="4" s="1"/>
  <c r="Q16" i="4"/>
  <c r="R16" i="4" s="1"/>
  <c r="S16" i="4" s="1"/>
  <c r="R9" i="4"/>
  <c r="S9" i="4" s="1"/>
  <c r="Q14" i="4"/>
  <c r="R14" i="4" s="1"/>
  <c r="S14" i="4" s="1"/>
  <c r="Q20" i="4"/>
  <c r="R20" i="4" s="1"/>
  <c r="S20" i="4" s="1"/>
  <c r="Q17" i="4"/>
  <c r="R17" i="4" s="1"/>
  <c r="S17" i="4" s="1"/>
  <c r="Q19" i="4"/>
  <c r="R19" i="4" s="1"/>
  <c r="S19" i="4" s="1"/>
  <c r="Q13" i="4"/>
  <c r="R13" i="4" s="1"/>
  <c r="S13" i="4" s="1"/>
  <c r="Q15" i="4"/>
  <c r="R15" i="4" s="1"/>
  <c r="S15" i="4" s="1"/>
  <c r="Q12" i="4"/>
  <c r="R12" i="4" s="1"/>
  <c r="S12" i="4" s="1"/>
  <c r="Q11" i="4"/>
  <c r="R11" i="4" s="1"/>
  <c r="S11" i="4" s="1"/>
  <c r="Q22" i="4"/>
  <c r="R22" i="4" s="1"/>
  <c r="S22" i="4" s="1"/>
  <c r="Q21" i="4"/>
  <c r="R21" i="4" s="1"/>
  <c r="S21" i="4" s="1"/>
  <c r="Q18" i="4"/>
  <c r="R18" i="4" s="1"/>
  <c r="S18" i="4" s="1"/>
  <c r="R8" i="4" l="1"/>
  <c r="S8" i="4" s="1"/>
  <c r="Q23" i="4"/>
  <c r="S23" i="4" l="1"/>
  <c r="R23" i="4"/>
  <c r="M33" i="4"/>
  <c r="L48" i="4"/>
  <c r="M48" i="4" l="1"/>
  <c r="N33" i="4"/>
</calcChain>
</file>

<file path=xl/sharedStrings.xml><?xml version="1.0" encoding="utf-8"?>
<sst xmlns="http://schemas.openxmlformats.org/spreadsheetml/2006/main" count="199" uniqueCount="86">
  <si>
    <t>№ п/п</t>
  </si>
  <si>
    <t>Представительство</t>
  </si>
  <si>
    <t>план, тг.</t>
  </si>
  <si>
    <t>факт, тг.</t>
  </si>
  <si>
    <t>Выполнение плана, %</t>
  </si>
  <si>
    <t>Актау</t>
  </si>
  <si>
    <t>Актобе</t>
  </si>
  <si>
    <t>Алматы</t>
  </si>
  <si>
    <t>Астана</t>
  </si>
  <si>
    <t>Атырау</t>
  </si>
  <si>
    <t>Караганда</t>
  </si>
  <si>
    <t>Костанай</t>
  </si>
  <si>
    <t>Павлодар</t>
  </si>
  <si>
    <t>Петропавловск</t>
  </si>
  <si>
    <t>Семей</t>
  </si>
  <si>
    <t>Тараз</t>
  </si>
  <si>
    <t>Уральск</t>
  </si>
  <si>
    <t>Усть-Каменогорск</t>
  </si>
  <si>
    <t>Шымкент</t>
  </si>
  <si>
    <t>Результаты ОТГРУЗКИ</t>
  </si>
  <si>
    <t>Возврат денег,  %</t>
  </si>
  <si>
    <t>Результаты ВОЗВРАТА ДЕНЕГ</t>
  </si>
  <si>
    <t>РК</t>
  </si>
  <si>
    <t>Кокшетау</t>
  </si>
  <si>
    <t xml:space="preserve">новый план </t>
  </si>
  <si>
    <t xml:space="preserve">старый план </t>
  </si>
  <si>
    <t xml:space="preserve">разница </t>
  </si>
  <si>
    <t>Город</t>
  </si>
  <si>
    <t>новый план по городам</t>
  </si>
  <si>
    <t>Отгрузка</t>
  </si>
  <si>
    <t xml:space="preserve">Возврат </t>
  </si>
  <si>
    <t>Разница на 15 регионов</t>
  </si>
  <si>
    <t>Планы</t>
  </si>
  <si>
    <t>ИТОГ</t>
  </si>
  <si>
    <t>Потенциал городов от 1С</t>
  </si>
  <si>
    <t xml:space="preserve">Черным - могут        Красным - не могут </t>
  </si>
  <si>
    <t>Процент добавления по городу %</t>
  </si>
  <si>
    <t>Сумма добавления к городу</t>
  </si>
  <si>
    <t>План на Разницу +15</t>
  </si>
  <si>
    <t>План делишь на Мухамедияра</t>
  </si>
  <si>
    <t xml:space="preserve">Средний процент увеличения </t>
  </si>
  <si>
    <t>Зависит от разницы на 15</t>
  </si>
  <si>
    <t>План если / 15</t>
  </si>
  <si>
    <t>Вставляем отгрузку прошлого месяца с контроля</t>
  </si>
  <si>
    <t xml:space="preserve">Процент увеличения </t>
  </si>
  <si>
    <t>Вставляем план от Бахтияра потенциальный план</t>
  </si>
  <si>
    <t xml:space="preserve">План отгрузки с Мотивации от google </t>
  </si>
  <si>
    <t>потенциал минус план   прошлого месяца</t>
  </si>
  <si>
    <t xml:space="preserve">Дублируем потенциальный план </t>
  </si>
  <si>
    <t xml:space="preserve">к прошлому месяцу добавляем % увеличения </t>
  </si>
  <si>
    <t>редактируем в ручную %</t>
  </si>
  <si>
    <t>Разница Прошлого / с Новым редактируемым</t>
  </si>
  <si>
    <t>Разница между потенциал и новый план</t>
  </si>
  <si>
    <t>Вставляем план возврата прошлого месяца</t>
  </si>
  <si>
    <t xml:space="preserve">Начало </t>
  </si>
  <si>
    <t>Конец</t>
  </si>
  <si>
    <t>Вставляем</t>
  </si>
  <si>
    <t xml:space="preserve">Вставляем </t>
  </si>
  <si>
    <t>Процент увеличчения</t>
  </si>
  <si>
    <t>Новый план минус старый план</t>
  </si>
  <si>
    <t xml:space="preserve">Разница увеличения </t>
  </si>
  <si>
    <t>10 756 764</t>
  </si>
  <si>
    <t>17 243 759</t>
  </si>
  <si>
    <t>53 531 562</t>
  </si>
  <si>
    <t>34 751 098</t>
  </si>
  <si>
    <t>4 483 460</t>
  </si>
  <si>
    <t>12 172 568</t>
  </si>
  <si>
    <t>8 145 696</t>
  </si>
  <si>
    <t>16 980 687</t>
  </si>
  <si>
    <t>14 182 641</t>
  </si>
  <si>
    <t>11 240 741</t>
  </si>
  <si>
    <t>18 677 101</t>
  </si>
  <si>
    <t>10 406 350</t>
  </si>
  <si>
    <t>8 753 568</t>
  </si>
  <si>
    <t>7 515 797</t>
  </si>
  <si>
    <t>45 175 880</t>
  </si>
  <si>
    <t>Разница на 15</t>
  </si>
  <si>
    <t>План если по ровну</t>
  </si>
  <si>
    <t>ДАННЫЕ НОВОГО ПЛАНА</t>
  </si>
  <si>
    <t xml:space="preserve">Данные Нового  плана </t>
  </si>
  <si>
    <t>Курс</t>
  </si>
  <si>
    <t>Разница</t>
  </si>
  <si>
    <t xml:space="preserve">Зерде/Инкар </t>
  </si>
  <si>
    <t xml:space="preserve">Инкар </t>
  </si>
  <si>
    <t>Результаты ОТГРУЗКИ Декабрь</t>
  </si>
  <si>
    <t>Результаты ВОЗВРАТА ДЕНЕГ 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</si>
</sst>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₽&quot;_-;\-* #,##0\ &quot;₽&quot;_-;_-* &quot;-&quot;\ &quot;₽&quot;_-;_-@_-"/>
    <numFmt numFmtId="43" formatCode="_-* #,##0.00_-;\-* #,##0.00_-;_-* &quot;-&quot;??_-;_-@_-"/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_-* #,##0_-;\-* #,##0_-;_-* &quot;-&quot;??_-;_-@_-"/>
    <numFmt numFmtId="168" formatCode="#,##0_ ;[Red]\-#,##0\ "/>
    <numFmt numFmtId="169" formatCode="#,##0_ ;\-#,##0\ "/>
    <numFmt numFmtId="170" formatCode="0.00_ ;\-0.00\ "/>
    <numFmt numFmtId="171" formatCode="_-* #,##0.00\ _₸_-;\-* #,##0.00\ _₸_-;_-* &quot;-&quot;??\ _₸_-;_-@_-"/>
    <numFmt numFmtId="172" formatCode="_-* #,##0_р_._-;\-* #,##0_р_._-;_-* &quot;-&quot;_р_.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b/>
      <i/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2">
    <xf numFmtId="0" fontId="0" fillId="0" borderId="0"/>
    <xf numFmtId="9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9" fillId="0" borderId="0"/>
    <xf numFmtId="0" fontId="2" fillId="0" borderId="0"/>
    <xf numFmtId="9" fontId="19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9" fillId="0" borderId="0"/>
    <xf numFmtId="0" fontId="1" fillId="0" borderId="0"/>
    <xf numFmtId="0" fontId="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94">
    <xf numFmtId="0" fontId="0" fillId="0" borderId="0" xfId="0"/>
    <xf numFmtId="0" fontId="5" fillId="3" borderId="10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wrapText="1"/>
    </xf>
    <xf numFmtId="3" fontId="0" fillId="0" borderId="0" xfId="0" applyNumberFormat="1"/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5" fillId="3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0" fontId="4" fillId="0" borderId="0" xfId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164" fontId="7" fillId="0" borderId="0" xfId="10" applyNumberFormat="1" applyFont="1" applyFill="1" applyBorder="1" applyAlignment="1"/>
    <xf numFmtId="10" fontId="0" fillId="0" borderId="0" xfId="1" applyNumberFormat="1" applyFont="1" applyFill="1" applyBorder="1" applyAlignment="1">
      <alignment horizontal="center" vertical="center"/>
    </xf>
    <xf numFmtId="164" fontId="7" fillId="0" borderId="0" xfId="9" applyNumberFormat="1" applyFont="1" applyFill="1" applyBorder="1" applyAlignment="1"/>
    <xf numFmtId="164" fontId="7" fillId="0" borderId="0" xfId="4" applyNumberFormat="1" applyFont="1" applyFill="1" applyBorder="1" applyAlignment="1"/>
    <xf numFmtId="164" fontId="7" fillId="0" borderId="0" xfId="2" applyNumberFormat="1" applyFont="1" applyFill="1" applyBorder="1" applyAlignment="1"/>
    <xf numFmtId="164" fontId="7" fillId="0" borderId="0" xfId="5" applyNumberFormat="1" applyFont="1" applyFill="1" applyBorder="1" applyAlignment="1"/>
    <xf numFmtId="164" fontId="7" fillId="0" borderId="0" xfId="7" applyNumberFormat="1" applyFont="1" applyFill="1" applyBorder="1" applyAlignment="1"/>
    <xf numFmtId="164" fontId="7" fillId="0" borderId="0" xfId="6" applyNumberFormat="1" applyFont="1" applyFill="1" applyBorder="1" applyAlignment="1"/>
    <xf numFmtId="164" fontId="7" fillId="0" borderId="0" xfId="3" applyNumberFormat="1" applyFont="1" applyFill="1" applyBorder="1" applyAlignment="1"/>
    <xf numFmtId="164" fontId="7" fillId="0" borderId="0" xfId="8" applyNumberFormat="1" applyFont="1" applyFill="1" applyBorder="1" applyAlignment="1"/>
    <xf numFmtId="10" fontId="0" fillId="0" borderId="6" xfId="1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top"/>
    </xf>
    <xf numFmtId="0" fontId="0" fillId="0" borderId="25" xfId="0" applyBorder="1" applyAlignment="1">
      <alignment vertical="top"/>
    </xf>
    <xf numFmtId="164" fontId="7" fillId="0" borderId="28" xfId="9" applyNumberFormat="1" applyFont="1" applyFill="1" applyBorder="1" applyAlignment="1"/>
    <xf numFmtId="164" fontId="7" fillId="0" borderId="29" xfId="9" applyNumberFormat="1" applyFont="1" applyFill="1" applyBorder="1" applyAlignment="1"/>
    <xf numFmtId="164" fontId="7" fillId="0" borderId="30" xfId="9" applyNumberFormat="1" applyFont="1" applyFill="1" applyBorder="1" applyAlignment="1"/>
    <xf numFmtId="167" fontId="0" fillId="0" borderId="0" xfId="0" applyNumberFormat="1"/>
    <xf numFmtId="0" fontId="4" fillId="7" borderId="1" xfId="0" applyFont="1" applyFill="1" applyBorder="1" applyAlignment="1">
      <alignment horizontal="center"/>
    </xf>
    <xf numFmtId="167" fontId="0" fillId="7" borderId="1" xfId="12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7" fontId="0" fillId="7" borderId="1" xfId="1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7" fontId="0" fillId="2" borderId="1" xfId="12" applyNumberFormat="1" applyFont="1" applyFill="1" applyBorder="1" applyAlignment="1">
      <alignment horizontal="center" vertical="center"/>
    </xf>
    <xf numFmtId="168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3" fontId="10" fillId="0" borderId="0" xfId="11" applyNumberFormat="1" applyFont="1" applyFill="1" applyBorder="1" applyAlignment="1">
      <alignment horizontal="right" vertical="top"/>
    </xf>
    <xf numFmtId="0" fontId="0" fillId="0" borderId="1" xfId="0" applyBorder="1"/>
    <xf numFmtId="0" fontId="0" fillId="9" borderId="1" xfId="0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0" fillId="0" borderId="18" xfId="0" applyBorder="1"/>
    <xf numFmtId="2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3" fillId="0" borderId="1" xfId="0" applyFont="1" applyBorder="1" applyAlignment="1">
      <alignment wrapText="1"/>
    </xf>
    <xf numFmtId="0" fontId="0" fillId="7" borderId="1" xfId="0" applyFill="1" applyBorder="1" applyAlignment="1">
      <alignment horizontal="center" wrapText="1"/>
    </xf>
    <xf numFmtId="168" fontId="0" fillId="7" borderId="1" xfId="0" applyNumberFormat="1" applyFont="1" applyFill="1" applyBorder="1" applyAlignment="1">
      <alignment horizontal="center" wrapText="1"/>
    </xf>
    <xf numFmtId="0" fontId="13" fillId="7" borderId="1" xfId="0" applyFont="1" applyFill="1" applyBorder="1" applyAlignment="1">
      <alignment wrapText="1"/>
    </xf>
    <xf numFmtId="2" fontId="13" fillId="7" borderId="1" xfId="0" applyNumberFormat="1" applyFont="1" applyFill="1" applyBorder="1" applyAlignment="1">
      <alignment horizontal="center" wrapText="1"/>
    </xf>
    <xf numFmtId="3" fontId="0" fillId="7" borderId="1" xfId="0" applyNumberForma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168" fontId="0" fillId="0" borderId="1" xfId="0" applyNumberFormat="1" applyBorder="1" applyAlignment="1">
      <alignment horizontal="center"/>
    </xf>
    <xf numFmtId="169" fontId="0" fillId="11" borderId="18" xfId="0" applyNumberFormat="1" applyFill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6" fillId="7" borderId="1" xfId="0" applyFont="1" applyFill="1" applyBorder="1"/>
    <xf numFmtId="3" fontId="16" fillId="7" borderId="1" xfId="0" applyNumberFormat="1" applyFont="1" applyFill="1" applyBorder="1" applyAlignment="1">
      <alignment horizontal="center"/>
    </xf>
    <xf numFmtId="168" fontId="16" fillId="7" borderId="1" xfId="0" applyNumberFormat="1" applyFont="1" applyFill="1" applyBorder="1" applyAlignment="1">
      <alignment horizontal="center"/>
    </xf>
    <xf numFmtId="2" fontId="16" fillId="7" borderId="1" xfId="0" applyNumberFormat="1" applyFont="1" applyFill="1" applyBorder="1" applyAlignment="1">
      <alignment horizontal="center"/>
    </xf>
    <xf numFmtId="3" fontId="16" fillId="7" borderId="1" xfId="0" applyNumberFormat="1" applyFont="1" applyFill="1" applyBorder="1"/>
    <xf numFmtId="170" fontId="16" fillId="7" borderId="1" xfId="12" applyNumberFormat="1" applyFont="1" applyFill="1" applyBorder="1" applyAlignment="1">
      <alignment horizontal="center"/>
    </xf>
    <xf numFmtId="3" fontId="7" fillId="11" borderId="34" xfId="11" applyNumberFormat="1" applyFont="1" applyFill="1" applyBorder="1" applyAlignment="1">
      <alignment horizontal="center" vertical="top"/>
    </xf>
    <xf numFmtId="4" fontId="7" fillId="11" borderId="34" xfId="11" applyNumberFormat="1" applyFont="1" applyFill="1" applyBorder="1" applyAlignment="1">
      <alignment horizontal="center" vertical="top"/>
    </xf>
    <xf numFmtId="3" fontId="7" fillId="9" borderId="34" xfId="11" applyNumberFormat="1" applyFont="1" applyFill="1" applyBorder="1" applyAlignment="1">
      <alignment horizontal="center" vertical="top"/>
    </xf>
    <xf numFmtId="0" fontId="4" fillId="2" borderId="34" xfId="0" applyFont="1" applyFill="1" applyBorder="1" applyAlignment="1">
      <alignment horizontal="center"/>
    </xf>
    <xf numFmtId="167" fontId="0" fillId="2" borderId="34" xfId="12" applyNumberFormat="1" applyFont="1" applyFill="1" applyBorder="1" applyAlignment="1">
      <alignment horizontal="center"/>
    </xf>
    <xf numFmtId="2" fontId="0" fillId="0" borderId="1" xfId="0" applyNumberFormat="1" applyBorder="1"/>
    <xf numFmtId="0" fontId="4" fillId="9" borderId="1" xfId="0" applyFont="1" applyFill="1" applyBorder="1" applyAlignment="1">
      <alignment wrapText="1"/>
    </xf>
    <xf numFmtId="168" fontId="4" fillId="9" borderId="1" xfId="0" applyNumberFormat="1" applyFont="1" applyFill="1" applyBorder="1" applyAlignment="1">
      <alignment wrapText="1"/>
    </xf>
    <xf numFmtId="3" fontId="0" fillId="9" borderId="1" xfId="0" applyNumberFormat="1" applyFill="1" applyBorder="1" applyAlignment="1">
      <alignment horizontal="center" wrapText="1"/>
    </xf>
    <xf numFmtId="167" fontId="0" fillId="0" borderId="0" xfId="12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wrapText="1"/>
    </xf>
    <xf numFmtId="10" fontId="4" fillId="0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8" fillId="0" borderId="1" xfId="13" applyNumberFormat="1" applyFont="1" applyBorder="1" applyAlignment="1">
      <alignment horizontal="left" vertical="top" wrapText="1"/>
    </xf>
    <xf numFmtId="3" fontId="18" fillId="0" borderId="1" xfId="13" applyNumberFormat="1" applyFont="1" applyBorder="1" applyAlignment="1">
      <alignment horizontal="center" vertical="top" wrapText="1"/>
    </xf>
    <xf numFmtId="3" fontId="0" fillId="0" borderId="1" xfId="0" applyNumberFormat="1" applyBorder="1" applyAlignment="1">
      <alignment horizontal="right"/>
    </xf>
    <xf numFmtId="0" fontId="0" fillId="9" borderId="0" xfId="0" applyFill="1"/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/>
    <xf numFmtId="0" fontId="0" fillId="0" borderId="0" xfId="0" applyBorder="1"/>
    <xf numFmtId="0" fontId="17" fillId="12" borderId="0" xfId="0" applyFont="1" applyFill="1" applyBorder="1" applyAlignment="1">
      <alignment horizontal="center" wrapText="1"/>
    </xf>
    <xf numFmtId="3" fontId="4" fillId="9" borderId="1" xfId="0" applyNumberFormat="1" applyFont="1" applyFill="1" applyBorder="1" applyAlignment="1">
      <alignment horizontal="center" wrapText="1"/>
    </xf>
    <xf numFmtId="167" fontId="0" fillId="0" borderId="3" xfId="12" applyNumberFormat="1" applyFont="1" applyBorder="1" applyAlignment="1">
      <alignment horizontal="center"/>
    </xf>
    <xf numFmtId="167" fontId="0" fillId="0" borderId="1" xfId="12" applyNumberFormat="1" applyFont="1" applyBorder="1" applyAlignment="1">
      <alignment horizontal="center"/>
    </xf>
    <xf numFmtId="167" fontId="0" fillId="0" borderId="1" xfId="12" applyNumberFormat="1" applyFont="1" applyFill="1" applyBorder="1" applyAlignment="1">
      <alignment horizontal="center"/>
    </xf>
    <xf numFmtId="167" fontId="0" fillId="0" borderId="18" xfId="12" applyNumberFormat="1" applyFont="1" applyBorder="1" applyAlignment="1">
      <alignment horizontal="center"/>
    </xf>
    <xf numFmtId="0" fontId="13" fillId="0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1" fontId="13" fillId="0" borderId="0" xfId="0" applyNumberFormat="1" applyFont="1" applyFill="1" applyBorder="1"/>
    <xf numFmtId="0" fontId="13" fillId="0" borderId="0" xfId="0" applyFont="1"/>
    <xf numFmtId="2" fontId="0" fillId="0" borderId="1" xfId="1" applyNumberFormat="1" applyFont="1" applyBorder="1"/>
    <xf numFmtId="168" fontId="0" fillId="0" borderId="1" xfId="0" applyNumberFormat="1" applyBorder="1"/>
    <xf numFmtId="3" fontId="0" fillId="9" borderId="1" xfId="0" applyNumberForma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0" fillId="13" borderId="0" xfId="0" applyNumberFormat="1" applyFill="1" applyAlignment="1">
      <alignment horizontal="center" wrapText="1"/>
    </xf>
    <xf numFmtId="3" fontId="0" fillId="13" borderId="1" xfId="0" applyNumberForma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/>
    </xf>
    <xf numFmtId="3" fontId="16" fillId="13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wrapText="1"/>
    </xf>
    <xf numFmtId="167" fontId="0" fillId="13" borderId="1" xfId="12" applyNumberFormat="1" applyFont="1" applyFill="1" applyBorder="1" applyAlignment="1">
      <alignment horizontal="center"/>
    </xf>
    <xf numFmtId="167" fontId="4" fillId="13" borderId="0" xfId="0" applyNumberFormat="1" applyFon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0" fontId="0" fillId="13" borderId="0" xfId="0" applyFill="1" applyAlignment="1">
      <alignment wrapText="1"/>
    </xf>
    <xf numFmtId="2" fontId="0" fillId="0" borderId="0" xfId="0" applyNumberFormat="1" applyBorder="1"/>
    <xf numFmtId="167" fontId="0" fillId="2" borderId="1" xfId="12" applyNumberFormat="1" applyFont="1" applyFill="1" applyBorder="1" applyAlignment="1">
      <alignment horizontal="center"/>
    </xf>
    <xf numFmtId="43" fontId="0" fillId="7" borderId="1" xfId="12" applyNumberFormat="1" applyFont="1" applyFill="1" applyBorder="1" applyAlignment="1">
      <alignment horizontal="center"/>
    </xf>
    <xf numFmtId="167" fontId="0" fillId="8" borderId="18" xfId="12" applyNumberFormat="1" applyFont="1" applyFill="1" applyBorder="1" applyAlignment="1">
      <alignment horizontal="center" vertical="center"/>
    </xf>
    <xf numFmtId="0" fontId="4" fillId="11" borderId="1" xfId="0" applyFont="1" applyFill="1" applyBorder="1"/>
    <xf numFmtId="167" fontId="4" fillId="11" borderId="1" xfId="12" applyNumberFormat="1" applyFont="1" applyFill="1" applyBorder="1" applyAlignment="1">
      <alignment horizontal="center" vertical="center"/>
    </xf>
    <xf numFmtId="167" fontId="0" fillId="8" borderId="18" xfId="12" applyNumberFormat="1" applyFont="1" applyFill="1" applyBorder="1" applyAlignment="1">
      <alignment horizontal="center"/>
    </xf>
    <xf numFmtId="167" fontId="4" fillId="11" borderId="1" xfId="12" applyNumberFormat="1" applyFont="1" applyFill="1" applyBorder="1" applyAlignment="1">
      <alignment horizontal="center"/>
    </xf>
    <xf numFmtId="168" fontId="0" fillId="14" borderId="1" xfId="0" applyNumberFormat="1" applyFill="1" applyBorder="1" applyAlignment="1">
      <alignment wrapText="1"/>
    </xf>
    <xf numFmtId="168" fontId="0" fillId="14" borderId="1" xfId="0" applyNumberFormat="1" applyFill="1" applyBorder="1"/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10" fontId="20" fillId="0" borderId="17" xfId="1" applyNumberFormat="1" applyFont="1" applyFill="1" applyBorder="1" applyAlignment="1">
      <alignment horizontal="center" vertical="center"/>
    </xf>
    <xf numFmtId="10" fontId="20" fillId="0" borderId="37" xfId="1" applyNumberFormat="1" applyFont="1" applyFill="1" applyBorder="1" applyAlignment="1">
      <alignment horizontal="center" vertical="center"/>
    </xf>
    <xf numFmtId="10" fontId="20" fillId="0" borderId="38" xfId="1" applyNumberFormat="1" applyFont="1" applyFill="1" applyBorder="1" applyAlignment="1">
      <alignment horizontal="center" vertical="center"/>
    </xf>
    <xf numFmtId="10" fontId="11" fillId="4" borderId="9" xfId="0" applyNumberFormat="1" applyFont="1" applyFill="1" applyBorder="1" applyAlignment="1">
      <alignment horizontal="center"/>
    </xf>
    <xf numFmtId="3" fontId="22" fillId="0" borderId="34" xfId="11" applyNumberFormat="1" applyFont="1" applyBorder="1" applyAlignment="1">
      <alignment horizontal="right" vertical="top"/>
    </xf>
    <xf numFmtId="3" fontId="10" fillId="0" borderId="1" xfId="11" applyNumberFormat="1" applyFont="1" applyBorder="1" applyAlignment="1">
      <alignment horizontal="right" vertical="top"/>
    </xf>
    <xf numFmtId="2" fontId="18" fillId="0" borderId="0" xfId="13" applyNumberFormat="1" applyFont="1" applyBorder="1" applyAlignment="1">
      <alignment horizontal="left" vertical="top" wrapText="1"/>
    </xf>
    <xf numFmtId="0" fontId="0" fillId="9" borderId="1" xfId="0" applyFill="1" applyBorder="1"/>
    <xf numFmtId="0" fontId="0" fillId="0" borderId="1" xfId="0" applyFill="1" applyBorder="1"/>
    <xf numFmtId="3" fontId="22" fillId="13" borderId="34" xfId="11" applyNumberFormat="1" applyFont="1" applyFill="1" applyBorder="1" applyAlignment="1">
      <alignment horizontal="right" vertical="top"/>
    </xf>
    <xf numFmtId="164" fontId="0" fillId="0" borderId="39" xfId="0" applyNumberFormat="1" applyBorder="1"/>
    <xf numFmtId="167" fontId="0" fillId="0" borderId="39" xfId="0" applyNumberFormat="1" applyBorder="1"/>
    <xf numFmtId="167" fontId="0" fillId="14" borderId="34" xfId="12" applyNumberFormat="1" applyFont="1" applyFill="1" applyBorder="1" applyAlignment="1">
      <alignment horizontal="center"/>
    </xf>
    <xf numFmtId="3" fontId="0" fillId="0" borderId="0" xfId="0" applyNumberFormat="1" applyBorder="1"/>
    <xf numFmtId="164" fontId="0" fillId="0" borderId="8" xfId="0" applyNumberFormat="1" applyFill="1" applyBorder="1"/>
    <xf numFmtId="167" fontId="0" fillId="0" borderId="8" xfId="0" applyNumberFormat="1" applyFill="1" applyBorder="1"/>
    <xf numFmtId="0" fontId="21" fillId="0" borderId="4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3" fontId="24" fillId="0" borderId="8" xfId="0" applyNumberFormat="1" applyFont="1" applyBorder="1"/>
    <xf numFmtId="0" fontId="4" fillId="2" borderId="25" xfId="0" applyFont="1" applyFill="1" applyBorder="1" applyAlignment="1">
      <alignment wrapText="1"/>
    </xf>
    <xf numFmtId="0" fontId="0" fillId="0" borderId="1" xfId="0" applyBorder="1" applyAlignment="1">
      <alignment vertical="top"/>
    </xf>
    <xf numFmtId="164" fontId="7" fillId="0" borderId="1" xfId="9" applyNumberFormat="1" applyFont="1" applyFill="1" applyBorder="1" applyAlignment="1"/>
    <xf numFmtId="10" fontId="0" fillId="0" borderId="1" xfId="1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10" fontId="0" fillId="0" borderId="1" xfId="1" applyNumberFormat="1" applyFont="1" applyFill="1" applyBorder="1" applyAlignment="1">
      <alignment horizontal="center" vertical="center"/>
    </xf>
    <xf numFmtId="3" fontId="10" fillId="7" borderId="39" xfId="11" applyNumberFormat="1" applyFont="1" applyFill="1" applyBorder="1" applyAlignment="1">
      <alignment horizontal="right" vertical="top"/>
    </xf>
    <xf numFmtId="3" fontId="16" fillId="9" borderId="39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3" fontId="7" fillId="15" borderId="34" xfId="11" applyNumberFormat="1" applyFont="1" applyFill="1" applyBorder="1" applyAlignment="1">
      <alignment horizontal="center" vertical="top"/>
    </xf>
    <xf numFmtId="3" fontId="22" fillId="0" borderId="2" xfId="11" applyNumberFormat="1" applyFont="1" applyBorder="1" applyAlignment="1">
      <alignment horizontal="right" vertical="top"/>
    </xf>
    <xf numFmtId="3" fontId="22" fillId="0" borderId="5" xfId="11" applyNumberFormat="1" applyFont="1" applyBorder="1" applyAlignment="1">
      <alignment horizontal="right" vertical="top"/>
    </xf>
    <xf numFmtId="3" fontId="22" fillId="0" borderId="7" xfId="11" applyNumberFormat="1" applyFont="1" applyBorder="1" applyAlignment="1">
      <alignment horizontal="right" vertical="top"/>
    </xf>
    <xf numFmtId="0" fontId="4" fillId="5" borderId="41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/>
    </xf>
    <xf numFmtId="0" fontId="4" fillId="5" borderId="43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12" fillId="10" borderId="32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69" fontId="15" fillId="10" borderId="33" xfId="12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wrapText="1"/>
    </xf>
    <xf numFmtId="3" fontId="0" fillId="10" borderId="1" xfId="0" applyNumberFormat="1" applyFill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9" borderId="35" xfId="0" applyFill="1" applyBorder="1" applyAlignment="1">
      <alignment horizontal="center"/>
    </xf>
    <xf numFmtId="0" fontId="0" fillId="9" borderId="31" xfId="0" applyFill="1" applyBorder="1" applyAlignment="1">
      <alignment horizontal="center" wrapText="1"/>
    </xf>
    <xf numFmtId="0" fontId="0" fillId="9" borderId="36" xfId="0" applyFill="1" applyBorder="1" applyAlignment="1">
      <alignment horizontal="center" wrapText="1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32">
    <cellStyle name="Денежный [0] 2" xfId="17" xr:uid="{E7877037-6E9D-486A-A986-0DEEF7A65F4D}"/>
    <cellStyle name="Обычный" xfId="0" builtinId="0"/>
    <cellStyle name="Обычный 10" xfId="18" xr:uid="{10B46695-7D6F-4F66-A8F0-56FF2DD77870}"/>
    <cellStyle name="Обычный 11" xfId="19" xr:uid="{FEFC01E5-9705-4B64-BBAD-4433037BB745}"/>
    <cellStyle name="Обычный 12" xfId="20" xr:uid="{A021CCD9-405D-4DEA-8FB6-026DFD357D9F}"/>
    <cellStyle name="Обычный 13" xfId="16" xr:uid="{1E6D007A-C3A6-4332-8A19-6B0A12B7831F}"/>
    <cellStyle name="Обычный 2" xfId="14" xr:uid="{00000000-0005-0000-0000-000001000000}"/>
    <cellStyle name="Обычный 2 2" xfId="22" xr:uid="{A31F9677-168A-47A3-A07E-F3B132705E79}"/>
    <cellStyle name="Обычный 2 3" xfId="23" xr:uid="{F0307F5B-1C91-4EEF-9585-CBE73B010EC4}"/>
    <cellStyle name="Обычный 2 30" xfId="24" xr:uid="{CE135730-9541-409B-B536-5BE408C4EECE}"/>
    <cellStyle name="Обычный 2 4" xfId="25" xr:uid="{13A7D842-3227-4418-95C8-FF06A5EF4B95}"/>
    <cellStyle name="Обычный 2 5" xfId="21" xr:uid="{75B4B34F-F992-419E-BD1E-9EF3C407469C}"/>
    <cellStyle name="Обычный 3" xfId="26" xr:uid="{650F1FBB-6A97-448C-8F28-9846ABE32C27}"/>
    <cellStyle name="Обычный 3 2" xfId="27" xr:uid="{D95ABB42-7455-4B14-8A5C-A19637D2DF3D}"/>
    <cellStyle name="Обычный 3 2 2" xfId="28" xr:uid="{7983B2CC-56E2-4879-8C33-BF1F172FD3F4}"/>
    <cellStyle name="Обычный 3 3" xfId="29" xr:uid="{45162562-78A5-4E55-BDD6-026A3640A625}"/>
    <cellStyle name="Обычный 3 4" xfId="30" xr:uid="{C581C703-3637-4BD1-9F33-2675B9877E38}"/>
    <cellStyle name="Обычный 4" xfId="31" xr:uid="{54F662D1-EFE9-4861-916A-1CFB34DB8C99}"/>
    <cellStyle name="Обычный 4 2" xfId="32" xr:uid="{F45030A3-9DB3-4711-B854-52FA219CA2E8}"/>
    <cellStyle name="Обычный 4 3" xfId="33" xr:uid="{613B7150-EF4F-4381-A682-965DA608654B}"/>
    <cellStyle name="Обычный 5" xfId="34" xr:uid="{AF1DB781-3B0E-488D-8F49-C85E1211060C}"/>
    <cellStyle name="Обычный 6" xfId="35" xr:uid="{346931EA-030A-452F-83F6-B5F5B954D9CA}"/>
    <cellStyle name="Обычный 7" xfId="36" xr:uid="{C20BC54E-486A-43C4-A6D4-267F50250302}"/>
    <cellStyle name="Обычный 8" xfId="37" xr:uid="{20B18D00-C59F-4D9F-8185-296E3AE4F511}"/>
    <cellStyle name="Обычный 9" xfId="38" xr:uid="{9E75EDDB-DD64-4732-BAB4-059493C35642}"/>
    <cellStyle name="Обычный_Контроль П.П. в разрезе Регион_1" xfId="11" xr:uid="{00000000-0005-0000-0000-000002000000}"/>
    <cellStyle name="Обычный_Лист1" xfId="13" xr:uid="{00000000-0005-0000-0000-000003000000}"/>
    <cellStyle name="Процентный" xfId="1" builtinId="5"/>
    <cellStyle name="Процентный 2" xfId="15" xr:uid="{00000000-0005-0000-0000-000005000000}"/>
    <cellStyle name="Процентный 2 2" xfId="40" xr:uid="{49FCB594-15C4-462D-9660-AB27539ECBAF}"/>
    <cellStyle name="Процентный 3" xfId="41" xr:uid="{EF8C22E8-8CEB-431F-A4CB-B65778942906}"/>
    <cellStyle name="Процентный 3 2" xfId="42" xr:uid="{8D871633-2723-4DE4-872A-AB97C25B99DF}"/>
    <cellStyle name="Процентный 4" xfId="43" xr:uid="{C76EF988-38BE-4699-B808-95DA865AAE4B}"/>
    <cellStyle name="Процентный 4 2" xfId="44" xr:uid="{B5FA6702-92D1-4AB4-95DD-D17A6012219F}"/>
    <cellStyle name="Процентный 5" xfId="39" xr:uid="{24C8CD0B-3AA9-49BD-9DB9-C7C165B961DE}"/>
    <cellStyle name="Финансовый" xfId="12" builtinId="3"/>
    <cellStyle name="Финансовый [0] 2" xfId="46" xr:uid="{147D8759-0203-4C0E-934C-D326709F3D38}"/>
    <cellStyle name="Финансовый 10" xfId="47" xr:uid="{8E3BDF17-E17A-47C9-A295-C58A8B1171B5}"/>
    <cellStyle name="Финансовый 10 2" xfId="48" xr:uid="{3540B40A-7E8D-4B6B-8B1F-E6A13336AC98}"/>
    <cellStyle name="Финансовый 100" xfId="49" xr:uid="{004E1609-62D8-4D64-ABF4-ED5749A3EE92}"/>
    <cellStyle name="Финансовый 103" xfId="50" xr:uid="{8669CD0B-0157-4ACD-AF28-FB61174DF151}"/>
    <cellStyle name="Финансовый 11" xfId="51" xr:uid="{F7697673-9D79-46C1-A1FB-352538021BE7}"/>
    <cellStyle name="Финансовый 11 10" xfId="9" xr:uid="{00000000-0005-0000-0000-000007000000}"/>
    <cellStyle name="Финансовый 11 10 2" xfId="53" xr:uid="{1330E08F-18F3-43A7-9A88-58AE5440ACEC}"/>
    <cellStyle name="Финансовый 11 10 3" xfId="52" xr:uid="{C7B2631C-AC46-4D12-8F38-E8C668EBC325}"/>
    <cellStyle name="Финансовый 11 2" xfId="54" xr:uid="{F9F957D3-D7B5-4EA3-939B-5DD4764AA2AB}"/>
    <cellStyle name="Финансовый 12" xfId="55" xr:uid="{79185552-96F1-4B02-B598-CB48B3F8409A}"/>
    <cellStyle name="Финансовый 12 2" xfId="3" xr:uid="{00000000-0005-0000-0000-000008000000}"/>
    <cellStyle name="Финансовый 13" xfId="56" xr:uid="{9B4A1D3D-5B50-438A-B1FE-C2A7D8E0EF7A}"/>
    <cellStyle name="Финансовый 13 2" xfId="57" xr:uid="{6D13C021-CB49-4580-92D5-3A01D6B17A8C}"/>
    <cellStyle name="Финансовый 14" xfId="58" xr:uid="{2CD9F87E-53CE-4439-85FD-285EF926E56A}"/>
    <cellStyle name="Финансовый 14 2" xfId="59" xr:uid="{BE056CFB-7191-4879-9EF4-4426B88B5CA0}"/>
    <cellStyle name="Финансовый 15" xfId="60" xr:uid="{F9C16A5A-C345-46C3-B0B1-8AD28B9AB987}"/>
    <cellStyle name="Финансовый 15 10" xfId="7" xr:uid="{00000000-0005-0000-0000-000009000000}"/>
    <cellStyle name="Финансовый 15 10 2" xfId="62" xr:uid="{B66FCD59-5FD7-461C-9DA0-9AE4564E74F9}"/>
    <cellStyle name="Финансовый 15 10 3" xfId="61" xr:uid="{7DD2AFB5-7D27-452C-A660-7B947938C47A}"/>
    <cellStyle name="Финансовый 15 2" xfId="63" xr:uid="{89FB0C26-F21E-4FF3-8CC3-51F39D3F1291}"/>
    <cellStyle name="Финансовый 16" xfId="64" xr:uid="{F13234A7-19A3-4188-BF8B-3DDE3061E0D1}"/>
    <cellStyle name="Финансовый 16 2" xfId="65" xr:uid="{E44D7F5F-5E39-4BB4-89FE-4E46E73B239C}"/>
    <cellStyle name="Финансовый 17" xfId="66" xr:uid="{597229FC-2BA2-4E98-ACAF-1F7EAF862C1E}"/>
    <cellStyle name="Финансовый 17 2" xfId="2" xr:uid="{00000000-0005-0000-0000-00000A000000}"/>
    <cellStyle name="Финансовый 18" xfId="67" xr:uid="{A509E813-2170-4CEC-8CA8-EB477A949E20}"/>
    <cellStyle name="Финансовый 18 2" xfId="5" xr:uid="{00000000-0005-0000-0000-00000B000000}"/>
    <cellStyle name="Финансовый 19" xfId="68" xr:uid="{EC6355C2-5E52-4785-BE6D-F33D4F086B90}"/>
    <cellStyle name="Финансовый 19 2" xfId="69" xr:uid="{BBA9C2B8-A9AF-42E0-9E5F-4C2BEE2E347C}"/>
    <cellStyle name="Финансовый 2" xfId="70" xr:uid="{82077246-B02E-40CE-B208-43CE8B376BC1}"/>
    <cellStyle name="Финансовый 2 2" xfId="71" xr:uid="{0FE09778-8A12-4361-9954-A2A1B4E0D005}"/>
    <cellStyle name="Финансовый 20" xfId="72" xr:uid="{9707F5E3-3DAB-413F-9CE4-F9CD0B7C7FC0}"/>
    <cellStyle name="Финансовый 20 2" xfId="73" xr:uid="{2C8335BF-EC53-4FE2-963D-6828F0E71C65}"/>
    <cellStyle name="Финансовый 21" xfId="74" xr:uid="{94CE1E4F-5C7B-4C3A-845C-3D50EA7FA578}"/>
    <cellStyle name="Финансовый 21 2" xfId="4" xr:uid="{00000000-0005-0000-0000-00000C000000}"/>
    <cellStyle name="Финансовый 22" xfId="75" xr:uid="{F4D37E41-3594-41A4-959F-5217EA9C110F}"/>
    <cellStyle name="Финансовый 22 2" xfId="76" xr:uid="{2CB98427-AA88-4305-9F14-8D6E7A98407D}"/>
    <cellStyle name="Финансовый 23" xfId="77" xr:uid="{D4908C90-7061-4F37-87D5-C85D9418DEA9}"/>
    <cellStyle name="Финансовый 23 2" xfId="78" xr:uid="{A3779370-0154-49B0-91C6-513B01248111}"/>
    <cellStyle name="Финансовый 24" xfId="79" xr:uid="{5A62DF88-34CD-4FF1-B534-5FE4EADF3963}"/>
    <cellStyle name="Финансовый 24 2" xfId="80" xr:uid="{37E984ED-CA63-4FD9-A9FF-6A930FDE89FF}"/>
    <cellStyle name="Финансовый 25" xfId="81" xr:uid="{D46E77B5-C8C5-403F-91E8-A4519C9D0E0C}"/>
    <cellStyle name="Финансовый 25 2" xfId="82" xr:uid="{B736708A-01FE-4697-BE66-3BE0956C0272}"/>
    <cellStyle name="Финансовый 26" xfId="83" xr:uid="{A78F66D6-C8BB-4F1E-850C-87339724B84D}"/>
    <cellStyle name="Финансовый 26 2" xfId="6" xr:uid="{00000000-0005-0000-0000-00000D000000}"/>
    <cellStyle name="Финансовый 27" xfId="84" xr:uid="{0F311A30-A6CE-4FA9-957D-F43B066D4742}"/>
    <cellStyle name="Финансовый 27 2" xfId="85" xr:uid="{5C8B8B60-F425-45B9-A719-5F3DEA35B7EB}"/>
    <cellStyle name="Финансовый 28" xfId="86" xr:uid="{AFC4F597-FC78-4179-B5E5-D8378375D58B}"/>
    <cellStyle name="Финансовый 28 2" xfId="87" xr:uid="{30DB3DF3-54EF-403C-A700-8A17D4453059}"/>
    <cellStyle name="Финансовый 29" xfId="88" xr:uid="{9779901D-4D1D-428C-95EA-A972CFFA9288}"/>
    <cellStyle name="Финансовый 29 2" xfId="89" xr:uid="{10F6E8F3-D319-4E53-BFAC-DE80F42E1631}"/>
    <cellStyle name="Финансовый 3" xfId="90" xr:uid="{A1B7D1BF-D68D-404A-89BD-D8BBEF811396}"/>
    <cellStyle name="Финансовый 3 2" xfId="91" xr:uid="{0A059CC5-384A-48B4-9596-A8121940A705}"/>
    <cellStyle name="Финансовый 3 3" xfId="92" xr:uid="{BFEB4188-40F4-413C-9C92-AD8EC41B9381}"/>
    <cellStyle name="Финансовый 3 3 2" xfId="93" xr:uid="{97D7B2DB-7F9A-4512-946C-65251C77BA92}"/>
    <cellStyle name="Финансовый 3 4" xfId="94" xr:uid="{7251DD43-37AB-43AF-A287-512BEB006614}"/>
    <cellStyle name="Финансовый 30" xfId="95" xr:uid="{7E73ECDF-8077-4E28-98D9-D01C8313251E}"/>
    <cellStyle name="Финансовый 30 2" xfId="96" xr:uid="{F96B68D4-2B04-4183-B1B7-3D2445687AC5}"/>
    <cellStyle name="Финансовый 300" xfId="97" xr:uid="{DEEF84E1-BC74-49F7-BFDB-37F06E866AF2}"/>
    <cellStyle name="Финансовый 306" xfId="98" xr:uid="{D5A209B2-B696-4E52-91F6-C97883559D2B}"/>
    <cellStyle name="Финансовый 31" xfId="99" xr:uid="{29167E67-CA23-418A-9FC1-84290942D528}"/>
    <cellStyle name="Финансовый 31 2" xfId="100" xr:uid="{31BD1B2F-B422-403E-89E6-EBBA17C72615}"/>
    <cellStyle name="Финансовый 32" xfId="101" xr:uid="{85CA4A02-2282-4E70-917D-9158BF228EC3}"/>
    <cellStyle name="Финансовый 33" xfId="102" xr:uid="{2B4616DF-878A-4657-92E0-B8FA5C8586E4}"/>
    <cellStyle name="Финансовый 34" xfId="103" xr:uid="{D7B455D7-EF8A-43B2-A1C2-B7A66359BD81}"/>
    <cellStyle name="Финансовый 35" xfId="104" xr:uid="{4F7A077D-FCB2-442F-A827-1F144A2C3CFF}"/>
    <cellStyle name="Финансовый 36" xfId="105" xr:uid="{D0CBEEEC-7746-4B25-954D-8CEBDAA1DB06}"/>
    <cellStyle name="Финансовый 37" xfId="106" xr:uid="{58C7859F-173D-4CB7-B1C7-260FAD2E6F60}"/>
    <cellStyle name="Финансовый 38" xfId="107" xr:uid="{54CA776C-D21F-4AA5-8178-CAF2BC7155B7}"/>
    <cellStyle name="Финансовый 39" xfId="108" xr:uid="{9CC98BEC-12EF-4066-A1F7-23156F7D2D59}"/>
    <cellStyle name="Финансовый 39 2" xfId="109" xr:uid="{3C3DE544-C438-4521-99B3-DAD7619025B1}"/>
    <cellStyle name="Финансовый 39 3" xfId="110" xr:uid="{B216340F-4482-458D-AF3F-C40A056E0353}"/>
    <cellStyle name="Финансовый 39 4" xfId="111" xr:uid="{59403019-3115-47D1-80ED-2E6D7370B985}"/>
    <cellStyle name="Финансовый 39 5" xfId="112" xr:uid="{60C2A9F9-BFE4-4555-949F-63F0776F9861}"/>
    <cellStyle name="Финансовый 39 6" xfId="113" xr:uid="{1C8664D7-70A2-4A75-B303-3A4EC2DDDDE2}"/>
    <cellStyle name="Финансовый 4" xfId="114" xr:uid="{A27DB336-F58B-41B6-BD77-E09385CA4C53}"/>
    <cellStyle name="Финансовый 4 2" xfId="115" xr:uid="{ED4C5926-D057-4501-8D3B-1C558A2CECA7}"/>
    <cellStyle name="Финансовый 40" xfId="116" xr:uid="{A262A831-00DF-44D7-BDDB-91C7FFC56D0E}"/>
    <cellStyle name="Финансовый 41" xfId="117" xr:uid="{770E41A1-8DE0-414A-B00E-835A6076F3CC}"/>
    <cellStyle name="Финансовый 42" xfId="118" xr:uid="{FDCC6D78-9ACA-4428-9041-EA204AFC5CB3}"/>
    <cellStyle name="Финансовый 43" xfId="119" xr:uid="{6F8E52D6-5BCF-464C-9A04-9276D89CDF3F}"/>
    <cellStyle name="Финансовый 44" xfId="120" xr:uid="{7EFBFC55-E761-4E4A-AE6E-A4C4036EAD09}"/>
    <cellStyle name="Финансовый 45" xfId="121" xr:uid="{7B654CC0-04BB-4E67-9063-EDB9FA5941FB}"/>
    <cellStyle name="Финансовый 46" xfId="122" xr:uid="{E013C2CA-5DAB-4A6B-9637-C4A09D8C256A}"/>
    <cellStyle name="Финансовый 47" xfId="123" xr:uid="{71D8EA77-AF4F-4E9D-9502-062563214880}"/>
    <cellStyle name="Финансовый 48" xfId="45" xr:uid="{7E5E9AE5-52A6-43F9-ACE1-93129B37ED74}"/>
    <cellStyle name="Финансовый 49" xfId="131" xr:uid="{6745F5DB-4EE0-435A-9B4D-5A5FB39BF0CB}"/>
    <cellStyle name="Финансовый 5" xfId="8" xr:uid="{00000000-0005-0000-0000-00000E000000}"/>
    <cellStyle name="Финансовый 6" xfId="124" xr:uid="{D0D948DB-C293-4812-B1DB-2F89E9D78247}"/>
    <cellStyle name="Финансовый 6 2" xfId="125" xr:uid="{63D8E9F0-FD04-4FE0-AC00-1AA031116067}"/>
    <cellStyle name="Финансовый 7" xfId="126" xr:uid="{51E7B5B0-4B32-46C9-8F2D-4E353DAE4C72}"/>
    <cellStyle name="Финансовый 7 2" xfId="10" xr:uid="{00000000-0005-0000-0000-00000F000000}"/>
    <cellStyle name="Финансовый 8" xfId="127" xr:uid="{CACAF8DF-C37E-43A7-9FAD-BC6666F2DA9C}"/>
    <cellStyle name="Финансовый 8 2" xfId="128" xr:uid="{58A710FB-15BB-4C63-BEB4-62D431B45B73}"/>
    <cellStyle name="Финансовый 9" xfId="129" xr:uid="{FE69D28C-2B34-4D2A-A815-311D626816F8}"/>
    <cellStyle name="Финансовый 9 2" xfId="130" xr:uid="{36F219D4-CD07-4323-A278-705D1D819AE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8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workbookViewId="0">
      <selection activeCell="L23" sqref="L23"/>
    </sheetView>
  </sheetViews>
  <sheetFormatPr defaultRowHeight="15" x14ac:dyDescent="0.25"/>
  <cols>
    <col min="1" max="1" width="6.5703125" customWidth="1"/>
    <col min="2" max="2" width="18.85546875" bestFit="1" customWidth="1"/>
    <col min="3" max="3" width="14.7109375" bestFit="1" customWidth="1"/>
    <col min="4" max="4" width="13.7109375" bestFit="1" customWidth="1"/>
    <col min="5" max="5" width="13.28515625" customWidth="1"/>
    <col min="7" max="7" width="6.5703125" customWidth="1"/>
    <col min="8" max="8" width="18.42578125" bestFit="1" customWidth="1"/>
    <col min="9" max="9" width="18.85546875" customWidth="1"/>
    <col min="10" max="10" width="19.42578125" style="52" customWidth="1"/>
    <col min="11" max="11" width="15.85546875" style="59" bestFit="1" customWidth="1"/>
    <col min="12" max="12" width="17.28515625" style="59" customWidth="1"/>
    <col min="13" max="13" width="12" style="59" bestFit="1" customWidth="1"/>
    <col min="14" max="14" width="21.5703125" style="59" customWidth="1"/>
    <col min="15" max="15" width="13.85546875" style="55" customWidth="1"/>
    <col min="16" max="16" width="16.28515625" style="54" customWidth="1"/>
    <col min="17" max="17" width="13" customWidth="1"/>
    <col min="18" max="18" width="13.28515625" customWidth="1"/>
    <col min="19" max="19" width="11.42578125" bestFit="1" customWidth="1"/>
  </cols>
  <sheetData>
    <row r="1" spans="1:21" ht="31.5" customHeight="1" x14ac:dyDescent="0.35">
      <c r="B1" s="178" t="s">
        <v>29</v>
      </c>
      <c r="C1" s="178"/>
      <c r="D1" s="178"/>
      <c r="E1" s="186" t="s">
        <v>44</v>
      </c>
      <c r="F1" s="180" t="s">
        <v>31</v>
      </c>
      <c r="G1" s="181"/>
    </row>
    <row r="2" spans="1:21" ht="30" x14ac:dyDescent="0.25">
      <c r="B2" s="46" t="s">
        <v>25</v>
      </c>
      <c r="C2" s="44" t="s">
        <v>24</v>
      </c>
      <c r="D2" s="86" t="s">
        <v>26</v>
      </c>
      <c r="E2" s="186"/>
      <c r="F2" s="182">
        <f>D3/15</f>
        <v>-2188364.1133333347</v>
      </c>
      <c r="G2" s="182"/>
      <c r="J2" s="54"/>
      <c r="L2" s="118" t="s">
        <v>79</v>
      </c>
    </row>
    <row r="3" spans="1:21" ht="30" x14ac:dyDescent="0.25">
      <c r="B3" s="133">
        <v>294507212</v>
      </c>
      <c r="C3" s="45">
        <f>D4</f>
        <v>261681750.29999998</v>
      </c>
      <c r="D3" s="87">
        <f>C3-B3</f>
        <v>-32825461.700000018</v>
      </c>
      <c r="E3" s="88">
        <f>(C3/B3-1)*100</f>
        <v>-11.145894009549762</v>
      </c>
      <c r="I3" t="s">
        <v>56</v>
      </c>
      <c r="K3" s="59" t="s">
        <v>57</v>
      </c>
      <c r="L3" s="118" t="s">
        <v>50</v>
      </c>
    </row>
    <row r="4" spans="1:21" x14ac:dyDescent="0.25">
      <c r="A4" s="131" t="s">
        <v>80</v>
      </c>
      <c r="B4" s="134">
        <v>570</v>
      </c>
      <c r="C4" s="129">
        <v>459090.79</v>
      </c>
      <c r="D4" s="128">
        <f>C4*B4</f>
        <v>261681750.29999998</v>
      </c>
      <c r="E4" s="127"/>
      <c r="L4" s="118"/>
    </row>
    <row r="5" spans="1:21" ht="75.75" thickBot="1" x14ac:dyDescent="0.3">
      <c r="A5" s="185" t="s">
        <v>43</v>
      </c>
      <c r="B5" s="185"/>
      <c r="C5" s="185"/>
      <c r="D5" s="185"/>
      <c r="E5" s="185"/>
      <c r="I5" s="89" t="s">
        <v>45</v>
      </c>
      <c r="J5" s="90" t="s">
        <v>47</v>
      </c>
      <c r="K5" s="91" t="s">
        <v>48</v>
      </c>
      <c r="L5" s="119" t="s">
        <v>49</v>
      </c>
      <c r="M5" s="91" t="s">
        <v>51</v>
      </c>
      <c r="N5" s="91" t="s">
        <v>44</v>
      </c>
      <c r="O5" s="58" t="s">
        <v>52</v>
      </c>
      <c r="P5" s="53"/>
    </row>
    <row r="6" spans="1:21" ht="40.5" customHeight="1" x14ac:dyDescent="0.25">
      <c r="A6" s="172" t="s">
        <v>84</v>
      </c>
      <c r="B6" s="173"/>
      <c r="C6" s="173"/>
      <c r="D6" s="173"/>
      <c r="E6" s="174"/>
      <c r="I6" s="64" t="s">
        <v>46</v>
      </c>
      <c r="J6" s="65" t="s">
        <v>34</v>
      </c>
      <c r="K6" s="68" t="s">
        <v>39</v>
      </c>
      <c r="L6" s="119"/>
      <c r="M6" s="68"/>
      <c r="N6" s="68"/>
      <c r="O6" s="70" t="s">
        <v>37</v>
      </c>
      <c r="P6" s="67" t="s">
        <v>36</v>
      </c>
      <c r="Q6" s="66" t="s">
        <v>38</v>
      </c>
      <c r="R6" s="76" t="s">
        <v>42</v>
      </c>
      <c r="S6" s="63" t="s">
        <v>40</v>
      </c>
      <c r="U6" s="83"/>
    </row>
    <row r="7" spans="1:21" ht="30.75" thickBot="1" x14ac:dyDescent="0.3">
      <c r="A7" s="166" t="s">
        <v>0</v>
      </c>
      <c r="B7" s="166" t="s">
        <v>1</v>
      </c>
      <c r="C7" s="166" t="s">
        <v>2</v>
      </c>
      <c r="D7" s="166" t="s">
        <v>3</v>
      </c>
      <c r="E7" s="166" t="s">
        <v>4</v>
      </c>
      <c r="H7" s="57" t="s">
        <v>27</v>
      </c>
      <c r="I7" s="58" t="s">
        <v>32</v>
      </c>
      <c r="J7" s="135" t="s">
        <v>35</v>
      </c>
      <c r="K7" s="69"/>
      <c r="L7" s="120"/>
      <c r="M7" s="69"/>
      <c r="N7" s="69"/>
      <c r="O7" s="69"/>
      <c r="P7" s="61"/>
      <c r="Q7" s="72">
        <f>F2</f>
        <v>-2188364.1133333347</v>
      </c>
      <c r="R7" s="75"/>
      <c r="S7" s="74" t="s">
        <v>41</v>
      </c>
      <c r="U7" s="83"/>
    </row>
    <row r="8" spans="1:21" ht="16.5" thickBot="1" x14ac:dyDescent="0.3">
      <c r="A8" s="167">
        <v>1</v>
      </c>
      <c r="B8" s="155" t="s">
        <v>5</v>
      </c>
      <c r="C8" s="143">
        <v>11286272</v>
      </c>
      <c r="D8" s="144">
        <v>6282479</v>
      </c>
      <c r="E8" s="139">
        <f t="shared" ref="E8:E19" si="0">D8/C8</f>
        <v>0.55664784616213392</v>
      </c>
      <c r="H8" s="57" t="s">
        <v>5</v>
      </c>
      <c r="I8" s="169">
        <v>11046638</v>
      </c>
      <c r="J8" s="136">
        <f>I8-C8</f>
        <v>-239634</v>
      </c>
      <c r="K8" s="83">
        <f>I8-L8</f>
        <v>900000</v>
      </c>
      <c r="L8" s="148">
        <v>10146638</v>
      </c>
      <c r="M8" s="85">
        <f>L8-C8</f>
        <v>-1139634</v>
      </c>
      <c r="N8" s="84">
        <f>(L8/C8-1)*100</f>
        <v>-10.097523788191531</v>
      </c>
      <c r="O8" s="71">
        <f>I8-L8</f>
        <v>900000</v>
      </c>
      <c r="P8" s="61">
        <f>(K8/C8-1)*100</f>
        <v>-92.02571052691269</v>
      </c>
      <c r="Q8" s="72">
        <f>$Q$7</f>
        <v>-2188364.1133333347</v>
      </c>
      <c r="R8" s="69">
        <f>C8+Q8</f>
        <v>9097907.8866666649</v>
      </c>
      <c r="S8" s="73">
        <f>(R8/C8-1)*100</f>
        <v>-19.389609902484494</v>
      </c>
      <c r="U8" s="83"/>
    </row>
    <row r="9" spans="1:21" ht="16.5" thickBot="1" x14ac:dyDescent="0.3">
      <c r="A9" s="167">
        <v>2</v>
      </c>
      <c r="B9" s="155" t="s">
        <v>6</v>
      </c>
      <c r="C9" s="143">
        <v>18741528</v>
      </c>
      <c r="D9" s="144">
        <v>8573415</v>
      </c>
      <c r="E9" s="140">
        <f t="shared" si="0"/>
        <v>0.45745549669162516</v>
      </c>
      <c r="H9" s="57" t="s">
        <v>6</v>
      </c>
      <c r="I9" s="170">
        <v>17965218</v>
      </c>
      <c r="J9" s="136">
        <f>I9-C9</f>
        <v>-776310</v>
      </c>
      <c r="K9" s="83">
        <f t="shared" ref="K9:K22" si="1">I9-L9</f>
        <v>861673</v>
      </c>
      <c r="L9" s="148">
        <v>17103545</v>
      </c>
      <c r="M9" s="85">
        <f t="shared" ref="M9:M22" si="2">L9-C9</f>
        <v>-1637983</v>
      </c>
      <c r="N9" s="84">
        <f>(L9/C9-1)*100</f>
        <v>-8.7398583509306178</v>
      </c>
      <c r="O9" s="71">
        <f t="shared" ref="O9:O22" si="3">I9-L9</f>
        <v>861673</v>
      </c>
      <c r="P9" s="61">
        <f t="shared" ref="P9:P23" si="4">(K9/C9-1)*100</f>
        <v>-95.402333256925473</v>
      </c>
      <c r="Q9" s="72">
        <f>$Q$7</f>
        <v>-2188364.1133333347</v>
      </c>
      <c r="R9" s="69">
        <f>C9+Q9</f>
        <v>16553163.886666665</v>
      </c>
      <c r="S9" s="73">
        <f t="shared" ref="S9:S22" si="5">(R9/C9-1)*100</f>
        <v>-11.676551204007135</v>
      </c>
      <c r="U9" s="83"/>
    </row>
    <row r="10" spans="1:21" ht="16.5" thickBot="1" x14ac:dyDescent="0.3">
      <c r="A10" s="167">
        <v>3</v>
      </c>
      <c r="B10" s="155" t="s">
        <v>7</v>
      </c>
      <c r="C10" s="143">
        <v>63926000</v>
      </c>
      <c r="D10" s="144">
        <v>53520026.5</v>
      </c>
      <c r="E10" s="140">
        <f t="shared" si="0"/>
        <v>0.83721844789287614</v>
      </c>
      <c r="F10" s="4"/>
      <c r="H10" s="57" t="s">
        <v>7</v>
      </c>
      <c r="I10" s="170">
        <v>60560268</v>
      </c>
      <c r="J10" s="136">
        <f>I10-C10</f>
        <v>-3365732</v>
      </c>
      <c r="K10" s="83">
        <f t="shared" si="1"/>
        <v>4756146</v>
      </c>
      <c r="L10" s="148">
        <f>55658475+145647</f>
        <v>55804122</v>
      </c>
      <c r="M10" s="168">
        <f>L10-C10</f>
        <v>-8121878</v>
      </c>
      <c r="N10" s="84">
        <f t="shared" ref="N10:N21" si="6">(L10/C10-1)*100</f>
        <v>-12.705124675405944</v>
      </c>
      <c r="O10" s="71">
        <f t="shared" si="3"/>
        <v>4756146</v>
      </c>
      <c r="P10" s="61">
        <f t="shared" si="4"/>
        <v>-92.559919281669437</v>
      </c>
      <c r="Q10" s="72">
        <f>$Q$7</f>
        <v>-2188364.1133333347</v>
      </c>
      <c r="R10" s="69">
        <f t="shared" ref="R10:R22" si="7">C10+Q10</f>
        <v>61737635.886666663</v>
      </c>
      <c r="S10" s="73">
        <f t="shared" si="5"/>
        <v>-3.4232770912200672</v>
      </c>
      <c r="U10" s="83"/>
    </row>
    <row r="11" spans="1:21" ht="16.5" thickBot="1" x14ac:dyDescent="0.3">
      <c r="A11" s="167">
        <v>4</v>
      </c>
      <c r="B11" s="155" t="s">
        <v>8</v>
      </c>
      <c r="C11" s="143">
        <v>38278319</v>
      </c>
      <c r="D11" s="144">
        <v>32724322</v>
      </c>
      <c r="E11" s="140">
        <f t="shared" si="0"/>
        <v>0.85490488754221416</v>
      </c>
      <c r="H11" s="57" t="s">
        <v>8</v>
      </c>
      <c r="I11" s="170">
        <v>35379836</v>
      </c>
      <c r="J11" s="136">
        <f t="shared" ref="J11:J21" si="8">I11-C11</f>
        <v>-2898483</v>
      </c>
      <c r="K11" s="83">
        <f t="shared" si="1"/>
        <v>0</v>
      </c>
      <c r="L11" s="148">
        <v>35379836</v>
      </c>
      <c r="M11" s="168">
        <f t="shared" si="2"/>
        <v>-2898483</v>
      </c>
      <c r="N11" s="84">
        <f t="shared" si="6"/>
        <v>-7.5721271877168927</v>
      </c>
      <c r="O11" s="71">
        <f t="shared" si="3"/>
        <v>0</v>
      </c>
      <c r="P11" s="61">
        <f t="shared" si="4"/>
        <v>-100</v>
      </c>
      <c r="Q11" s="72">
        <f t="shared" ref="Q11:Q22" si="9">$Q$7</f>
        <v>-2188364.1133333347</v>
      </c>
      <c r="R11" s="69">
        <f t="shared" si="7"/>
        <v>36089954.886666663</v>
      </c>
      <c r="S11" s="73">
        <f t="shared" si="5"/>
        <v>-5.7169807099766707</v>
      </c>
      <c r="U11" s="83"/>
    </row>
    <row r="12" spans="1:21" ht="16.5" thickBot="1" x14ac:dyDescent="0.3">
      <c r="A12" s="167">
        <v>5</v>
      </c>
      <c r="B12" s="155" t="s">
        <v>9</v>
      </c>
      <c r="C12" s="143">
        <v>5309291</v>
      </c>
      <c r="D12" s="144">
        <v>4487401</v>
      </c>
      <c r="E12" s="140">
        <f t="shared" si="0"/>
        <v>0.84519778629575959</v>
      </c>
      <c r="H12" s="57" t="s">
        <v>9</v>
      </c>
      <c r="I12" s="170">
        <v>5620120</v>
      </c>
      <c r="J12" s="136">
        <f>I12-C12</f>
        <v>310829</v>
      </c>
      <c r="K12" s="83">
        <f t="shared" si="1"/>
        <v>700000</v>
      </c>
      <c r="L12" s="148">
        <v>4920120</v>
      </c>
      <c r="M12" s="85">
        <f t="shared" si="2"/>
        <v>-389171</v>
      </c>
      <c r="N12" s="84">
        <f t="shared" si="6"/>
        <v>-7.3299994293023252</v>
      </c>
      <c r="O12" s="71">
        <f t="shared" si="3"/>
        <v>700000</v>
      </c>
      <c r="P12" s="61">
        <f t="shared" si="4"/>
        <v>-86.815565392817987</v>
      </c>
      <c r="Q12" s="72">
        <f t="shared" si="9"/>
        <v>-2188364.1133333347</v>
      </c>
      <c r="R12" s="69">
        <f t="shared" si="7"/>
        <v>3120926.8866666653</v>
      </c>
      <c r="S12" s="73">
        <f t="shared" si="5"/>
        <v>-41.217633641353146</v>
      </c>
      <c r="U12" s="83"/>
    </row>
    <row r="13" spans="1:21" ht="16.5" thickBot="1" x14ac:dyDescent="0.3">
      <c r="A13" s="167">
        <v>6</v>
      </c>
      <c r="B13" s="156" t="s">
        <v>10</v>
      </c>
      <c r="C13" s="143">
        <v>14897477</v>
      </c>
      <c r="D13" s="144">
        <v>12436885</v>
      </c>
      <c r="E13" s="140">
        <f t="shared" si="0"/>
        <v>0.83483162954371404</v>
      </c>
      <c r="H13" s="57" t="s">
        <v>10</v>
      </c>
      <c r="I13" s="170">
        <v>14356027</v>
      </c>
      <c r="J13" s="136">
        <f>I13-C13</f>
        <v>-541450</v>
      </c>
      <c r="K13" s="83">
        <f t="shared" si="1"/>
        <v>1235773</v>
      </c>
      <c r="L13" s="148">
        <v>13120254</v>
      </c>
      <c r="M13" s="85">
        <f t="shared" si="2"/>
        <v>-1777223</v>
      </c>
      <c r="N13" s="84">
        <f t="shared" si="6"/>
        <v>-11.929691181936375</v>
      </c>
      <c r="O13" s="71">
        <f t="shared" si="3"/>
        <v>1235773</v>
      </c>
      <c r="P13" s="61">
        <f t="shared" si="4"/>
        <v>-91.704816862613711</v>
      </c>
      <c r="Q13" s="72">
        <f t="shared" si="9"/>
        <v>-2188364.1133333347</v>
      </c>
      <c r="R13" s="69">
        <f t="shared" si="7"/>
        <v>12709112.886666665</v>
      </c>
      <c r="S13" s="73">
        <f t="shared" si="5"/>
        <v>-14.689494827435112</v>
      </c>
      <c r="U13" s="83"/>
    </row>
    <row r="14" spans="1:21" ht="16.5" thickBot="1" x14ac:dyDescent="0.3">
      <c r="A14" s="167">
        <v>7</v>
      </c>
      <c r="B14" s="156" t="s">
        <v>23</v>
      </c>
      <c r="C14" s="143">
        <v>6069337</v>
      </c>
      <c r="D14" s="144">
        <v>5861780</v>
      </c>
      <c r="E14" s="140">
        <f t="shared" si="0"/>
        <v>0.96580236029075339</v>
      </c>
      <c r="H14" s="146" t="s">
        <v>23</v>
      </c>
      <c r="I14" s="170">
        <v>5678075</v>
      </c>
      <c r="J14" s="136">
        <f t="shared" si="8"/>
        <v>-391262</v>
      </c>
      <c r="K14" s="83">
        <f t="shared" si="1"/>
        <v>100000</v>
      </c>
      <c r="L14" s="148">
        <v>5578075</v>
      </c>
      <c r="M14" s="85">
        <f t="shared" si="2"/>
        <v>-491262</v>
      </c>
      <c r="N14" s="84">
        <f>(L14/C14-1)*100</f>
        <v>-8.0941625090186982</v>
      </c>
      <c r="O14" s="71">
        <f t="shared" si="3"/>
        <v>100000</v>
      </c>
      <c r="P14" s="61">
        <f t="shared" si="4"/>
        <v>-98.352373578860437</v>
      </c>
      <c r="Q14" s="72">
        <f t="shared" si="9"/>
        <v>-2188364.1133333347</v>
      </c>
      <c r="R14" s="69">
        <f t="shared" si="7"/>
        <v>3880972.8866666653</v>
      </c>
      <c r="S14" s="73">
        <f t="shared" si="5"/>
        <v>-36.056065322016792</v>
      </c>
      <c r="U14" s="83"/>
    </row>
    <row r="15" spans="1:21" ht="16.5" thickBot="1" x14ac:dyDescent="0.3">
      <c r="A15" s="167">
        <v>8</v>
      </c>
      <c r="B15" s="155" t="s">
        <v>11</v>
      </c>
      <c r="C15" s="143">
        <v>19455848</v>
      </c>
      <c r="D15" s="144">
        <v>20027754</v>
      </c>
      <c r="E15" s="140">
        <f t="shared" si="0"/>
        <v>1.0293950692871368</v>
      </c>
      <c r="H15" s="57" t="s">
        <v>11</v>
      </c>
      <c r="I15" s="170">
        <v>17801869</v>
      </c>
      <c r="J15" s="136">
        <f t="shared" si="8"/>
        <v>-1653979</v>
      </c>
      <c r="K15" s="83">
        <f t="shared" si="1"/>
        <v>0</v>
      </c>
      <c r="L15" s="148">
        <v>17801869</v>
      </c>
      <c r="M15" s="85">
        <f t="shared" si="2"/>
        <v>-1653979</v>
      </c>
      <c r="N15" s="84">
        <f t="shared" si="6"/>
        <v>-8.5011920323390662</v>
      </c>
      <c r="O15" s="71">
        <f t="shared" si="3"/>
        <v>0</v>
      </c>
      <c r="P15" s="61">
        <f t="shared" si="4"/>
        <v>-100</v>
      </c>
      <c r="Q15" s="72">
        <f t="shared" si="9"/>
        <v>-2188364.1133333347</v>
      </c>
      <c r="R15" s="69">
        <f t="shared" si="7"/>
        <v>17267483.886666667</v>
      </c>
      <c r="S15" s="73">
        <f t="shared" si="5"/>
        <v>-11.24784750237221</v>
      </c>
      <c r="U15" s="83"/>
    </row>
    <row r="16" spans="1:21" ht="16.5" thickBot="1" x14ac:dyDescent="0.3">
      <c r="A16" s="167">
        <v>9</v>
      </c>
      <c r="B16" s="155" t="s">
        <v>12</v>
      </c>
      <c r="C16" s="143">
        <v>15679241</v>
      </c>
      <c r="D16" s="144">
        <v>11221174</v>
      </c>
      <c r="E16" s="140">
        <f t="shared" si="0"/>
        <v>0.71567073941908288</v>
      </c>
      <c r="H16" s="57" t="s">
        <v>12</v>
      </c>
      <c r="I16" s="170">
        <v>15470632</v>
      </c>
      <c r="J16" s="136">
        <f t="shared" si="8"/>
        <v>-208609</v>
      </c>
      <c r="K16" s="83">
        <f t="shared" si="1"/>
        <v>3368087</v>
      </c>
      <c r="L16" s="148">
        <v>12102545</v>
      </c>
      <c r="M16" s="168">
        <f t="shared" si="2"/>
        <v>-3576696</v>
      </c>
      <c r="N16" s="84">
        <f t="shared" si="6"/>
        <v>-22.811665437121608</v>
      </c>
      <c r="O16" s="71">
        <f t="shared" si="3"/>
        <v>3368087</v>
      </c>
      <c r="P16" s="61">
        <f t="shared" si="4"/>
        <v>-78.518813506342553</v>
      </c>
      <c r="Q16" s="72">
        <f t="shared" si="9"/>
        <v>-2188364.1133333347</v>
      </c>
      <c r="R16" s="69">
        <f t="shared" si="7"/>
        <v>13490876.886666665</v>
      </c>
      <c r="S16" s="73">
        <f t="shared" si="5"/>
        <v>-13.957079384986393</v>
      </c>
      <c r="U16" s="83"/>
    </row>
    <row r="17" spans="1:21" ht="16.5" thickBot="1" x14ac:dyDescent="0.3">
      <c r="A17" s="167">
        <v>10</v>
      </c>
      <c r="B17" s="155" t="s">
        <v>13</v>
      </c>
      <c r="C17" s="143">
        <v>12301628</v>
      </c>
      <c r="D17" s="144">
        <v>8339853</v>
      </c>
      <c r="E17" s="140">
        <f t="shared" si="0"/>
        <v>0.67794709773373085</v>
      </c>
      <c r="H17" s="57" t="s">
        <v>13</v>
      </c>
      <c r="I17" s="170">
        <v>11611993</v>
      </c>
      <c r="J17" s="136">
        <f>I17-C17</f>
        <v>-689635</v>
      </c>
      <c r="K17" s="83">
        <f t="shared" si="1"/>
        <v>656535</v>
      </c>
      <c r="L17" s="148">
        <v>10955458</v>
      </c>
      <c r="M17" s="85">
        <f t="shared" si="2"/>
        <v>-1346170</v>
      </c>
      <c r="N17" s="84">
        <f t="shared" si="6"/>
        <v>-10.943023151082121</v>
      </c>
      <c r="O17" s="71">
        <f t="shared" si="3"/>
        <v>656535</v>
      </c>
      <c r="P17" s="61">
        <f t="shared" si="4"/>
        <v>-94.663023463235916</v>
      </c>
      <c r="Q17" s="72">
        <f t="shared" si="9"/>
        <v>-2188364.1133333347</v>
      </c>
      <c r="R17" s="69">
        <f t="shared" si="7"/>
        <v>10113263.886666665</v>
      </c>
      <c r="S17" s="73">
        <f t="shared" si="5"/>
        <v>-17.789223616039564</v>
      </c>
      <c r="U17" s="83"/>
    </row>
    <row r="18" spans="1:21" ht="16.5" thickBot="1" x14ac:dyDescent="0.3">
      <c r="A18" s="167">
        <v>11</v>
      </c>
      <c r="B18" s="156" t="s">
        <v>14</v>
      </c>
      <c r="C18" s="143">
        <v>11647307</v>
      </c>
      <c r="D18" s="144">
        <v>9436848</v>
      </c>
      <c r="E18" s="140">
        <f t="shared" si="0"/>
        <v>0.81021716006970534</v>
      </c>
      <c r="H18" s="146" t="s">
        <v>14</v>
      </c>
      <c r="I18" s="170">
        <v>10817787</v>
      </c>
      <c r="J18" s="136">
        <f t="shared" si="8"/>
        <v>-829520</v>
      </c>
      <c r="K18" s="83">
        <f t="shared" si="1"/>
        <v>63229</v>
      </c>
      <c r="L18" s="148">
        <v>10754558</v>
      </c>
      <c r="M18" s="85">
        <f t="shared" si="2"/>
        <v>-892749</v>
      </c>
      <c r="N18" s="84">
        <f>(L18/C18-1)*100</f>
        <v>-7.6648533433522399</v>
      </c>
      <c r="O18" s="71">
        <f t="shared" si="3"/>
        <v>63229</v>
      </c>
      <c r="P18" s="61">
        <f t="shared" si="4"/>
        <v>-99.457136314858019</v>
      </c>
      <c r="Q18" s="72">
        <f t="shared" si="9"/>
        <v>-2188364.1133333347</v>
      </c>
      <c r="R18" s="69">
        <f t="shared" si="7"/>
        <v>9458942.8866666649</v>
      </c>
      <c r="S18" s="73">
        <f t="shared" si="5"/>
        <v>-18.78858446277183</v>
      </c>
      <c r="U18" s="83"/>
    </row>
    <row r="19" spans="1:21" ht="16.5" thickBot="1" x14ac:dyDescent="0.3">
      <c r="A19" s="167">
        <v>12</v>
      </c>
      <c r="B19" s="155" t="s">
        <v>15</v>
      </c>
      <c r="C19" s="143">
        <v>10840314</v>
      </c>
      <c r="D19" s="144">
        <v>8857411</v>
      </c>
      <c r="E19" s="140">
        <f t="shared" si="0"/>
        <v>0.81708066758951814</v>
      </c>
      <c r="H19" s="147" t="s">
        <v>15</v>
      </c>
      <c r="I19" s="170">
        <v>11332804</v>
      </c>
      <c r="J19" s="136">
        <f t="shared" si="8"/>
        <v>492490</v>
      </c>
      <c r="K19" s="83">
        <f t="shared" si="1"/>
        <v>1478236</v>
      </c>
      <c r="L19" s="148">
        <v>9854568</v>
      </c>
      <c r="M19" s="85">
        <f t="shared" si="2"/>
        <v>-985746</v>
      </c>
      <c r="N19" s="84">
        <f t="shared" si="6"/>
        <v>-9.0933343812734542</v>
      </c>
      <c r="O19" s="71">
        <f t="shared" si="3"/>
        <v>1478236</v>
      </c>
      <c r="P19" s="61">
        <f t="shared" si="4"/>
        <v>-86.363531536079122</v>
      </c>
      <c r="Q19" s="72">
        <f t="shared" si="9"/>
        <v>-2188364.1133333347</v>
      </c>
      <c r="R19" s="69">
        <f t="shared" si="7"/>
        <v>8651949.8866666649</v>
      </c>
      <c r="S19" s="73">
        <f t="shared" si="5"/>
        <v>-20.187276063528557</v>
      </c>
      <c r="U19" s="83"/>
    </row>
    <row r="20" spans="1:21" ht="16.5" thickBot="1" x14ac:dyDescent="0.3">
      <c r="A20" s="167">
        <v>13</v>
      </c>
      <c r="B20" s="156" t="s">
        <v>16</v>
      </c>
      <c r="C20" s="143">
        <v>11300966</v>
      </c>
      <c r="D20" s="144">
        <v>6757300</v>
      </c>
      <c r="E20" s="140">
        <f>D20/C20</f>
        <v>0.59794003450678468</v>
      </c>
      <c r="H20" s="57" t="s">
        <v>16</v>
      </c>
      <c r="I20" s="170">
        <v>10479682</v>
      </c>
      <c r="J20" s="136">
        <f t="shared" si="8"/>
        <v>-821284</v>
      </c>
      <c r="K20" s="83">
        <f t="shared" si="1"/>
        <v>300000</v>
      </c>
      <c r="L20" s="148">
        <v>10179682</v>
      </c>
      <c r="M20" s="85">
        <f t="shared" si="2"/>
        <v>-1121284</v>
      </c>
      <c r="N20" s="84">
        <f t="shared" si="6"/>
        <v>-9.9220190557161239</v>
      </c>
      <c r="O20" s="71">
        <f t="shared" si="3"/>
        <v>300000</v>
      </c>
      <c r="P20" s="61">
        <f t="shared" si="4"/>
        <v>-97.345359679871606</v>
      </c>
      <c r="Q20" s="72">
        <f t="shared" si="9"/>
        <v>-2188364.1133333347</v>
      </c>
      <c r="R20" s="69">
        <f t="shared" si="7"/>
        <v>9112601.8866666649</v>
      </c>
      <c r="S20" s="73">
        <f t="shared" si="5"/>
        <v>-19.364398701255581</v>
      </c>
      <c r="U20" s="83"/>
    </row>
    <row r="21" spans="1:21" ht="32.25" thickBot="1" x14ac:dyDescent="0.3">
      <c r="A21" s="167">
        <v>14</v>
      </c>
      <c r="B21" s="155" t="s">
        <v>17</v>
      </c>
      <c r="C21" s="143">
        <v>9511951</v>
      </c>
      <c r="D21" s="144">
        <v>7631191</v>
      </c>
      <c r="E21" s="140">
        <f>D21/C21</f>
        <v>0.80227400246279656</v>
      </c>
      <c r="H21" s="57" t="s">
        <v>17</v>
      </c>
      <c r="I21" s="170">
        <v>9186408</v>
      </c>
      <c r="J21" s="136">
        <f t="shared" si="8"/>
        <v>-325543</v>
      </c>
      <c r="K21" s="83">
        <f t="shared" si="1"/>
        <v>400000</v>
      </c>
      <c r="L21" s="148">
        <v>8786408</v>
      </c>
      <c r="M21" s="85">
        <f t="shared" si="2"/>
        <v>-725543</v>
      </c>
      <c r="N21" s="84">
        <f t="shared" si="6"/>
        <v>-7.6276990913851428</v>
      </c>
      <c r="O21" s="71">
        <f t="shared" si="3"/>
        <v>400000</v>
      </c>
      <c r="P21" s="61">
        <f t="shared" si="4"/>
        <v>-95.794763871260486</v>
      </c>
      <c r="Q21" s="72">
        <f t="shared" si="9"/>
        <v>-2188364.1133333347</v>
      </c>
      <c r="R21" s="69">
        <f t="shared" si="7"/>
        <v>7323586.8866666649</v>
      </c>
      <c r="S21" s="73">
        <f t="shared" si="5"/>
        <v>-23.006469580565913</v>
      </c>
    </row>
    <row r="22" spans="1:21" ht="16.5" thickBot="1" x14ac:dyDescent="0.3">
      <c r="A22" s="167">
        <v>15</v>
      </c>
      <c r="B22" s="155" t="s">
        <v>18</v>
      </c>
      <c r="C22" s="143">
        <v>45261733</v>
      </c>
      <c r="D22" s="144">
        <v>23948505</v>
      </c>
      <c r="E22" s="141">
        <f>D22/C22</f>
        <v>0.52911153446113079</v>
      </c>
      <c r="H22" s="60" t="s">
        <v>18</v>
      </c>
      <c r="I22" s="171">
        <v>42364264</v>
      </c>
      <c r="J22" s="136">
        <f>I22-C22</f>
        <v>-2897469</v>
      </c>
      <c r="K22" s="83">
        <f t="shared" si="1"/>
        <v>3170192</v>
      </c>
      <c r="L22" s="148">
        <f>39464264-565646+295454</f>
        <v>39194072</v>
      </c>
      <c r="M22" s="168">
        <f t="shared" si="2"/>
        <v>-6067661</v>
      </c>
      <c r="N22" s="84">
        <f>(L22/C22-1)*100</f>
        <v>-13.405719573309316</v>
      </c>
      <c r="O22" s="71">
        <f t="shared" si="3"/>
        <v>3170192</v>
      </c>
      <c r="P22" s="62">
        <f t="shared" si="4"/>
        <v>-92.995866950123187</v>
      </c>
      <c r="Q22" s="72">
        <f t="shared" si="9"/>
        <v>-2188364.1133333347</v>
      </c>
      <c r="R22" s="69">
        <f t="shared" si="7"/>
        <v>43073368.886666663</v>
      </c>
      <c r="S22" s="73">
        <f t="shared" si="5"/>
        <v>-4.8349101289014706</v>
      </c>
    </row>
    <row r="23" spans="1:21" ht="16.5" thickBot="1" x14ac:dyDescent="0.3">
      <c r="C23" s="164">
        <f>SUM(C8:C22)</f>
        <v>294507212</v>
      </c>
      <c r="D23" s="165">
        <f>SUM(D8:D22)</f>
        <v>220106344.5</v>
      </c>
      <c r="H23" s="77" t="s">
        <v>33</v>
      </c>
      <c r="I23" s="78">
        <f>SUM(I8:I22)</f>
        <v>279671621</v>
      </c>
      <c r="J23" s="79">
        <f>SUM(J8:J22)</f>
        <v>-14835591</v>
      </c>
      <c r="K23" s="78">
        <f>SUM(K8:K22)</f>
        <v>17989871</v>
      </c>
      <c r="L23" s="121">
        <f>SUM(L8:L22)</f>
        <v>261681750</v>
      </c>
      <c r="M23" s="78">
        <f>SUM(M8:M22)</f>
        <v>-32825462</v>
      </c>
      <c r="N23" s="78"/>
      <c r="O23" s="79">
        <f>SUM(O8:O22)</f>
        <v>17989871</v>
      </c>
      <c r="P23" s="80">
        <f t="shared" si="4"/>
        <v>-93.891534649412932</v>
      </c>
      <c r="Q23" s="81">
        <f>SUM(Q8:Q22)</f>
        <v>-32825461.70000001</v>
      </c>
      <c r="R23" s="78">
        <f>SUM(R8:R22)</f>
        <v>261681750.29999989</v>
      </c>
      <c r="S23" s="82">
        <f>AVERAGE(S8:S22)</f>
        <v>-17.423026809260996</v>
      </c>
    </row>
    <row r="24" spans="1:21" x14ac:dyDescent="0.25">
      <c r="C24" s="56"/>
      <c r="L24" s="59">
        <f>L23-K23</f>
        <v>243691879</v>
      </c>
      <c r="M24" s="59">
        <f>M23-D3</f>
        <v>-0.29999998211860657</v>
      </c>
      <c r="P24" s="53"/>
    </row>
    <row r="25" spans="1:21" ht="33" customHeight="1" x14ac:dyDescent="0.35">
      <c r="B25" s="179" t="s">
        <v>30</v>
      </c>
      <c r="C25" s="179"/>
      <c r="D25" s="179"/>
      <c r="E25" s="188" t="s">
        <v>58</v>
      </c>
      <c r="F25" s="183" t="s">
        <v>31</v>
      </c>
      <c r="G25" s="183"/>
    </row>
    <row r="26" spans="1:21" x14ac:dyDescent="0.25">
      <c r="B26" s="47" t="s">
        <v>25</v>
      </c>
      <c r="C26" s="48" t="s">
        <v>24</v>
      </c>
      <c r="D26" s="50" t="s">
        <v>26</v>
      </c>
      <c r="E26" s="189"/>
      <c r="F26" s="184">
        <f>D27/15</f>
        <v>-658781.33333333337</v>
      </c>
      <c r="G26" s="184"/>
    </row>
    <row r="27" spans="1:21" x14ac:dyDescent="0.25">
      <c r="A27" s="22"/>
      <c r="B27" s="130">
        <v>295338680</v>
      </c>
      <c r="C27" s="49">
        <f>D28</f>
        <v>285456960</v>
      </c>
      <c r="D27" s="51">
        <f>C27-B27</f>
        <v>-9881720</v>
      </c>
      <c r="E27" s="88">
        <f>(C27/B27-1)*100</f>
        <v>-3.3458942797468971</v>
      </c>
      <c r="F27" s="43"/>
      <c r="I27" s="54"/>
    </row>
    <row r="28" spans="1:21" x14ac:dyDescent="0.25">
      <c r="A28" s="131" t="s">
        <v>80</v>
      </c>
      <c r="B28" s="132">
        <v>540</v>
      </c>
      <c r="C28" s="49">
        <v>528624</v>
      </c>
      <c r="D28" s="51">
        <f>C28*B28</f>
        <v>285456960</v>
      </c>
      <c r="E28" s="127"/>
      <c r="F28" s="43"/>
      <c r="I28" s="43"/>
    </row>
    <row r="29" spans="1:21" x14ac:dyDescent="0.25">
      <c r="A29" s="22"/>
      <c r="B29" s="92"/>
      <c r="C29" s="92"/>
      <c r="D29" s="92"/>
      <c r="E29" s="22"/>
      <c r="F29" s="43"/>
    </row>
    <row r="30" spans="1:21" ht="15.75" thickBot="1" x14ac:dyDescent="0.3">
      <c r="A30" s="187" t="s">
        <v>53</v>
      </c>
      <c r="B30" s="187"/>
      <c r="C30" s="187"/>
      <c r="D30" s="187"/>
      <c r="E30" s="187"/>
      <c r="N30" s="100"/>
      <c r="O30" s="101"/>
      <c r="P30" s="102"/>
      <c r="Q30" s="103"/>
      <c r="R30" s="103"/>
      <c r="S30" s="103"/>
      <c r="T30" s="103"/>
    </row>
    <row r="31" spans="1:21" ht="30" x14ac:dyDescent="0.25">
      <c r="A31" s="175" t="s">
        <v>85</v>
      </c>
      <c r="B31" s="176"/>
      <c r="C31" s="176"/>
      <c r="D31" s="176"/>
      <c r="E31" s="177"/>
      <c r="H31" s="126" t="s">
        <v>78</v>
      </c>
      <c r="L31" s="116" t="s">
        <v>76</v>
      </c>
      <c r="N31" s="100"/>
      <c r="O31" s="101"/>
      <c r="P31" s="102"/>
      <c r="Q31" s="103"/>
      <c r="R31" s="103"/>
      <c r="S31" s="104"/>
      <c r="T31" s="103"/>
    </row>
    <row r="32" spans="1:21" ht="45" x14ac:dyDescent="0.25">
      <c r="A32" s="158" t="s">
        <v>0</v>
      </c>
      <c r="B32" s="11" t="s">
        <v>1</v>
      </c>
      <c r="C32" s="11" t="s">
        <v>2</v>
      </c>
      <c r="D32" s="11" t="s">
        <v>3</v>
      </c>
      <c r="E32" s="12" t="s">
        <v>20</v>
      </c>
      <c r="H32" s="122" t="s">
        <v>28</v>
      </c>
      <c r="I32" s="93" t="s">
        <v>44</v>
      </c>
      <c r="J32" s="90" t="s">
        <v>60</v>
      </c>
      <c r="K32" s="105" t="s">
        <v>59</v>
      </c>
      <c r="L32" s="116">
        <f>F26</f>
        <v>-658781.33333333337</v>
      </c>
      <c r="M32" s="105" t="s">
        <v>77</v>
      </c>
      <c r="N32" s="63" t="s">
        <v>40</v>
      </c>
      <c r="O32" s="137" t="s">
        <v>82</v>
      </c>
      <c r="P32" s="75" t="s">
        <v>81</v>
      </c>
      <c r="Q32" s="57" t="s">
        <v>83</v>
      </c>
      <c r="R32" s="103"/>
      <c r="S32" s="104"/>
      <c r="T32" s="103"/>
    </row>
    <row r="33" spans="1:20" x14ac:dyDescent="0.25">
      <c r="A33" s="50">
        <v>1</v>
      </c>
      <c r="B33" s="159" t="s">
        <v>5</v>
      </c>
      <c r="C33" s="160">
        <v>12047935</v>
      </c>
      <c r="D33" s="107">
        <v>7105398.8051539976</v>
      </c>
      <c r="E33" s="161">
        <v>0.58976071875835967</v>
      </c>
      <c r="H33" s="123">
        <v>11321121</v>
      </c>
      <c r="I33" s="114">
        <f>(H33/C33-1)*100</f>
        <v>-6.0326852693013411</v>
      </c>
      <c r="J33" s="115">
        <f>H33-D33</f>
        <v>4215722.1948460024</v>
      </c>
      <c r="K33" s="116">
        <f>H33-C33</f>
        <v>-726814</v>
      </c>
      <c r="L33" s="116">
        <v>67338</v>
      </c>
      <c r="M33" s="69">
        <f>C33+L33</f>
        <v>12115273</v>
      </c>
      <c r="N33" s="145">
        <f>(M33/C33-1)*100</f>
        <v>0.55891735803688114</v>
      </c>
      <c r="O33" s="151">
        <f>196143+500000</f>
        <v>696143</v>
      </c>
      <c r="P33" s="97">
        <f t="shared" ref="P33:P38" si="10">K33-O33</f>
        <v>-1422957</v>
      </c>
      <c r="Q33" s="98"/>
      <c r="R33" s="152"/>
      <c r="S33" s="104"/>
      <c r="T33" s="103"/>
    </row>
    <row r="34" spans="1:20" x14ac:dyDescent="0.25">
      <c r="A34" s="50">
        <v>2</v>
      </c>
      <c r="B34" s="159" t="s">
        <v>6</v>
      </c>
      <c r="C34" s="160">
        <v>17739027</v>
      </c>
      <c r="D34" s="107">
        <v>14205865.472856672</v>
      </c>
      <c r="E34" s="161">
        <v>0.80082551725394369</v>
      </c>
      <c r="H34" s="123">
        <v>16159021</v>
      </c>
      <c r="I34" s="114">
        <f>(H34/C34-1)*100</f>
        <v>-8.9069485039963041</v>
      </c>
      <c r="J34" s="115">
        <f t="shared" ref="J34:J47" si="11">H34-D34</f>
        <v>1953155.5271433275</v>
      </c>
      <c r="K34" s="116">
        <f t="shared" ref="K34:K47" si="12">H34-C34</f>
        <v>-1580006</v>
      </c>
      <c r="L34" s="116">
        <v>67338</v>
      </c>
      <c r="M34" s="69">
        <f t="shared" ref="M34:M47" si="13">C34+L34</f>
        <v>17806365</v>
      </c>
      <c r="N34" s="145">
        <f t="shared" ref="N34:N47" si="14">(M34/C34-1)*100</f>
        <v>0.37960368401266376</v>
      </c>
      <c r="O34" s="151">
        <f>717000</f>
        <v>717000</v>
      </c>
      <c r="P34" s="97">
        <f t="shared" si="10"/>
        <v>-2297006</v>
      </c>
      <c r="Q34" s="98"/>
      <c r="R34" s="103"/>
      <c r="S34" s="104"/>
      <c r="T34" s="103"/>
    </row>
    <row r="35" spans="1:20" x14ac:dyDescent="0.25">
      <c r="A35" s="50">
        <v>3</v>
      </c>
      <c r="B35" s="159" t="s">
        <v>7</v>
      </c>
      <c r="C35" s="160">
        <v>63804826</v>
      </c>
      <c r="D35" s="107">
        <v>53176031.553965852</v>
      </c>
      <c r="E35" s="161">
        <v>0.83341707653847141</v>
      </c>
      <c r="H35" s="123">
        <f>61098553+390032</f>
        <v>61488585</v>
      </c>
      <c r="I35" s="114">
        <f t="shared" ref="I35:I46" si="15">(H35/C35-1)*100</f>
        <v>-3.6301971891593232</v>
      </c>
      <c r="J35" s="115">
        <f t="shared" si="11"/>
        <v>8312553.4460341483</v>
      </c>
      <c r="K35" s="116">
        <f t="shared" si="12"/>
        <v>-2316241</v>
      </c>
      <c r="L35" s="116">
        <v>67338</v>
      </c>
      <c r="M35" s="69">
        <f>C35+L35</f>
        <v>63872164</v>
      </c>
      <c r="N35" s="145">
        <f t="shared" si="14"/>
        <v>0.10553747141321956</v>
      </c>
      <c r="O35" s="151">
        <f>1600000+7083000</f>
        <v>8683000</v>
      </c>
      <c r="P35" s="97">
        <f t="shared" si="10"/>
        <v>-10999241</v>
      </c>
      <c r="Q35" s="98"/>
      <c r="R35" s="103"/>
      <c r="S35" s="104"/>
      <c r="T35" s="103"/>
    </row>
    <row r="36" spans="1:20" x14ac:dyDescent="0.25">
      <c r="A36" s="50">
        <v>4</v>
      </c>
      <c r="B36" s="159" t="s">
        <v>8</v>
      </c>
      <c r="C36" s="160">
        <v>41496928</v>
      </c>
      <c r="D36" s="107">
        <v>35018592.839475825</v>
      </c>
      <c r="E36" s="161">
        <v>0.84388398195345504</v>
      </c>
      <c r="H36" s="123">
        <f>39455254+350000</f>
        <v>39805254</v>
      </c>
      <c r="I36" s="114">
        <f t="shared" si="15"/>
        <v>-4.0766246600230316</v>
      </c>
      <c r="J36" s="115">
        <f t="shared" si="11"/>
        <v>4786661.1605241746</v>
      </c>
      <c r="K36" s="116">
        <f t="shared" si="12"/>
        <v>-1691674</v>
      </c>
      <c r="L36" s="116">
        <v>67338</v>
      </c>
      <c r="M36" s="69">
        <f t="shared" si="13"/>
        <v>41564266</v>
      </c>
      <c r="N36" s="145">
        <f t="shared" si="14"/>
        <v>0.16227225302074544</v>
      </c>
      <c r="O36" s="151">
        <f>165000+377843</f>
        <v>542843</v>
      </c>
      <c r="P36" s="97">
        <f t="shared" si="10"/>
        <v>-2234517</v>
      </c>
      <c r="Q36" s="98"/>
      <c r="R36" s="152"/>
      <c r="S36" s="104"/>
      <c r="T36" s="103"/>
    </row>
    <row r="37" spans="1:20" x14ac:dyDescent="0.25">
      <c r="A37" s="50">
        <v>5</v>
      </c>
      <c r="B37" s="159" t="s">
        <v>9</v>
      </c>
      <c r="C37" s="160">
        <v>5159558</v>
      </c>
      <c r="D37" s="107">
        <v>7167306.8876687763</v>
      </c>
      <c r="E37" s="161">
        <v>1.3891319542621241</v>
      </c>
      <c r="H37" s="123">
        <v>5225445</v>
      </c>
      <c r="I37" s="114">
        <f t="shared" si="15"/>
        <v>1.2769892304728359</v>
      </c>
      <c r="J37" s="115">
        <f t="shared" si="11"/>
        <v>-1941861.8876687763</v>
      </c>
      <c r="K37" s="116">
        <f t="shared" si="12"/>
        <v>65887</v>
      </c>
      <c r="L37" s="116">
        <v>67338</v>
      </c>
      <c r="M37" s="69">
        <f t="shared" si="13"/>
        <v>5226896</v>
      </c>
      <c r="N37" s="145">
        <f t="shared" si="14"/>
        <v>1.3051117944599122</v>
      </c>
      <c r="O37" s="151">
        <f>319319+540000</f>
        <v>859319</v>
      </c>
      <c r="P37" s="97">
        <f t="shared" si="10"/>
        <v>-793432</v>
      </c>
      <c r="Q37" s="98"/>
      <c r="R37" s="152"/>
      <c r="S37" s="104"/>
      <c r="T37" s="103"/>
    </row>
    <row r="38" spans="1:20" x14ac:dyDescent="0.25">
      <c r="A38" s="50">
        <v>6</v>
      </c>
      <c r="B38" s="159" t="s">
        <v>10</v>
      </c>
      <c r="C38" s="160">
        <v>15898365</v>
      </c>
      <c r="D38" s="107">
        <v>13967694.635849645</v>
      </c>
      <c r="E38" s="161">
        <v>0.87856170341098883</v>
      </c>
      <c r="H38" s="123">
        <v>15452554</v>
      </c>
      <c r="I38" s="114">
        <f t="shared" si="15"/>
        <v>-2.8041311166274063</v>
      </c>
      <c r="J38" s="115">
        <f>H38-D38</f>
        <v>1484859.3641503546</v>
      </c>
      <c r="K38" s="116">
        <f t="shared" si="12"/>
        <v>-445811</v>
      </c>
      <c r="L38" s="116">
        <v>67338</v>
      </c>
      <c r="M38" s="69">
        <f t="shared" si="13"/>
        <v>15965703</v>
      </c>
      <c r="N38" s="145">
        <f t="shared" si="14"/>
        <v>0.42355298799594543</v>
      </c>
      <c r="O38" s="151">
        <f>338000</f>
        <v>338000</v>
      </c>
      <c r="P38" s="97">
        <f t="shared" si="10"/>
        <v>-783811</v>
      </c>
      <c r="Q38" s="98"/>
      <c r="R38" s="152"/>
      <c r="S38" s="104"/>
      <c r="T38" s="103"/>
    </row>
    <row r="39" spans="1:20" x14ac:dyDescent="0.25">
      <c r="A39" s="50">
        <v>7</v>
      </c>
      <c r="B39" s="159" t="s">
        <v>23</v>
      </c>
      <c r="C39" s="160">
        <v>5308325</v>
      </c>
      <c r="D39" s="107">
        <v>5792261.9221625691</v>
      </c>
      <c r="E39" s="161">
        <v>1.0911656543566133</v>
      </c>
      <c r="H39" s="123">
        <v>5300254</v>
      </c>
      <c r="I39" s="114">
        <f t="shared" si="15"/>
        <v>-0.15204419473185959</v>
      </c>
      <c r="J39" s="115">
        <f t="shared" si="11"/>
        <v>-492007.92216256913</v>
      </c>
      <c r="K39" s="116">
        <f t="shared" si="12"/>
        <v>-8071</v>
      </c>
      <c r="L39" s="116">
        <v>67338</v>
      </c>
      <c r="M39" s="69">
        <f t="shared" si="13"/>
        <v>5375663</v>
      </c>
      <c r="N39" s="145">
        <f t="shared" si="14"/>
        <v>1.2685357433842137</v>
      </c>
      <c r="O39" s="151"/>
      <c r="P39" s="97"/>
      <c r="Q39" s="98"/>
      <c r="R39" s="103"/>
      <c r="S39" s="104"/>
      <c r="T39" s="103"/>
    </row>
    <row r="40" spans="1:20" x14ac:dyDescent="0.25">
      <c r="A40" s="50">
        <v>8</v>
      </c>
      <c r="B40" s="162" t="s">
        <v>11</v>
      </c>
      <c r="C40" s="160">
        <v>19488328</v>
      </c>
      <c r="D40" s="108">
        <v>23762509.295697965</v>
      </c>
      <c r="E40" s="163">
        <v>1.2193200615105597</v>
      </c>
      <c r="H40" s="123">
        <v>19485545</v>
      </c>
      <c r="I40" s="114">
        <f t="shared" si="15"/>
        <v>-1.428034257222599E-2</v>
      </c>
      <c r="J40" s="115">
        <f t="shared" si="11"/>
        <v>-4276964.2956979647</v>
      </c>
      <c r="K40" s="116">
        <f t="shared" si="12"/>
        <v>-2783</v>
      </c>
      <c r="L40" s="116">
        <v>67338</v>
      </c>
      <c r="M40" s="69">
        <f t="shared" si="13"/>
        <v>19555666</v>
      </c>
      <c r="N40" s="145">
        <f t="shared" si="14"/>
        <v>0.34552989871681206</v>
      </c>
      <c r="O40" s="151">
        <f>1300000</f>
        <v>1300000</v>
      </c>
      <c r="P40" s="97">
        <f>K40-O40</f>
        <v>-1302783</v>
      </c>
      <c r="Q40" s="98"/>
      <c r="R40" s="152"/>
      <c r="S40" s="104"/>
      <c r="T40" s="103"/>
    </row>
    <row r="41" spans="1:20" x14ac:dyDescent="0.25">
      <c r="A41" s="50">
        <v>9</v>
      </c>
      <c r="B41" s="159" t="s">
        <v>12</v>
      </c>
      <c r="C41" s="160">
        <v>13447368</v>
      </c>
      <c r="D41" s="107">
        <v>12762514.989576869</v>
      </c>
      <c r="E41" s="161">
        <v>0.94907159449915168</v>
      </c>
      <c r="H41" s="123">
        <v>13350545</v>
      </c>
      <c r="I41" s="114">
        <f t="shared" si="15"/>
        <v>-0.7200145039534922</v>
      </c>
      <c r="J41" s="115">
        <f t="shared" si="11"/>
        <v>588030.01042313129</v>
      </c>
      <c r="K41" s="116">
        <f t="shared" si="12"/>
        <v>-96823</v>
      </c>
      <c r="L41" s="116">
        <v>67338</v>
      </c>
      <c r="M41" s="69">
        <f t="shared" si="13"/>
        <v>13514706</v>
      </c>
      <c r="N41" s="145">
        <f t="shared" si="14"/>
        <v>0.50075226616836943</v>
      </c>
      <c r="O41" s="151">
        <f>953288</f>
        <v>953288</v>
      </c>
      <c r="P41" s="97">
        <f>K41-O41</f>
        <v>-1050111</v>
      </c>
      <c r="Q41" s="98"/>
      <c r="R41" s="152"/>
      <c r="S41" s="104"/>
      <c r="T41" s="103"/>
    </row>
    <row r="42" spans="1:20" x14ac:dyDescent="0.25">
      <c r="A42" s="50">
        <v>10</v>
      </c>
      <c r="B42" s="159" t="s">
        <v>13</v>
      </c>
      <c r="C42" s="160">
        <v>11827346</v>
      </c>
      <c r="D42" s="107">
        <v>9557169.2715748586</v>
      </c>
      <c r="E42" s="161">
        <v>0.80805696151739015</v>
      </c>
      <c r="H42" s="123">
        <v>11256545</v>
      </c>
      <c r="I42" s="114">
        <f t="shared" si="15"/>
        <v>-4.8261122994118892</v>
      </c>
      <c r="J42" s="115">
        <f t="shared" si="11"/>
        <v>1699375.7284251414</v>
      </c>
      <c r="K42" s="116">
        <f t="shared" si="12"/>
        <v>-570801</v>
      </c>
      <c r="L42" s="116">
        <v>67338</v>
      </c>
      <c r="M42" s="69">
        <f t="shared" si="13"/>
        <v>11894684</v>
      </c>
      <c r="N42" s="145">
        <f t="shared" si="14"/>
        <v>0.5693415919344913</v>
      </c>
      <c r="O42" s="151">
        <f>51000</f>
        <v>51000</v>
      </c>
      <c r="P42" s="97">
        <f>K42-O42</f>
        <v>-621801</v>
      </c>
      <c r="Q42" s="98"/>
      <c r="R42" s="103"/>
      <c r="S42" s="104"/>
      <c r="T42" s="103"/>
    </row>
    <row r="43" spans="1:20" x14ac:dyDescent="0.25">
      <c r="A43" s="50">
        <v>11</v>
      </c>
      <c r="B43" s="162" t="s">
        <v>14</v>
      </c>
      <c r="C43" s="160">
        <v>12297256</v>
      </c>
      <c r="D43" s="108">
        <v>12457020.582014209</v>
      </c>
      <c r="E43" s="163">
        <v>1.0129918887607292</v>
      </c>
      <c r="H43" s="123">
        <v>12210025</v>
      </c>
      <c r="I43" s="114">
        <f t="shared" si="15"/>
        <v>-0.70935337119110153</v>
      </c>
      <c r="J43" s="115">
        <f t="shared" si="11"/>
        <v>-246995.58201420866</v>
      </c>
      <c r="K43" s="116">
        <f t="shared" si="12"/>
        <v>-87231</v>
      </c>
      <c r="L43" s="116">
        <v>67338</v>
      </c>
      <c r="M43" s="69">
        <f t="shared" si="13"/>
        <v>12364594</v>
      </c>
      <c r="N43" s="145">
        <f t="shared" si="14"/>
        <v>0.54758557518848061</v>
      </c>
      <c r="O43" s="151">
        <v>0</v>
      </c>
      <c r="P43" s="97"/>
      <c r="Q43" s="98"/>
      <c r="R43" s="103"/>
      <c r="S43" s="104"/>
      <c r="T43" s="103"/>
    </row>
    <row r="44" spans="1:20" x14ac:dyDescent="0.25">
      <c r="A44" s="50">
        <v>12</v>
      </c>
      <c r="B44" s="159" t="s">
        <v>15</v>
      </c>
      <c r="C44" s="160">
        <v>11748335</v>
      </c>
      <c r="D44" s="107">
        <v>6210702.3187833196</v>
      </c>
      <c r="E44" s="161">
        <v>0.52864532027587907</v>
      </c>
      <c r="H44" s="123">
        <v>11565450</v>
      </c>
      <c r="I44" s="114">
        <f t="shared" si="15"/>
        <v>-1.5566886712031991</v>
      </c>
      <c r="J44" s="115">
        <f t="shared" si="11"/>
        <v>5354747.6812166804</v>
      </c>
      <c r="K44" s="116">
        <f t="shared" si="12"/>
        <v>-182885</v>
      </c>
      <c r="L44" s="116">
        <v>67338</v>
      </c>
      <c r="M44" s="69">
        <f t="shared" si="13"/>
        <v>11815673</v>
      </c>
      <c r="N44" s="145">
        <f t="shared" si="14"/>
        <v>0.57317058119299436</v>
      </c>
      <c r="O44" s="151">
        <v>241734</v>
      </c>
      <c r="P44" s="97">
        <f>K44-O44</f>
        <v>-424619</v>
      </c>
      <c r="Q44" s="98"/>
      <c r="R44" s="103"/>
      <c r="S44" s="104"/>
      <c r="T44" s="103"/>
    </row>
    <row r="45" spans="1:20" x14ac:dyDescent="0.25">
      <c r="A45" s="50">
        <v>13</v>
      </c>
      <c r="B45" s="159" t="s">
        <v>16</v>
      </c>
      <c r="C45" s="160">
        <v>11303238</v>
      </c>
      <c r="D45" s="107">
        <v>8185733.7523889262</v>
      </c>
      <c r="E45" s="161">
        <v>0.72419370028207197</v>
      </c>
      <c r="H45" s="123">
        <v>11025545</v>
      </c>
      <c r="I45" s="114">
        <f t="shared" si="15"/>
        <v>-2.4567561967641538</v>
      </c>
      <c r="J45" s="115">
        <f t="shared" si="11"/>
        <v>2839811.2476110738</v>
      </c>
      <c r="K45" s="116">
        <f t="shared" si="12"/>
        <v>-277693</v>
      </c>
      <c r="L45" s="116">
        <v>67338</v>
      </c>
      <c r="M45" s="69">
        <f t="shared" si="13"/>
        <v>11370576</v>
      </c>
      <c r="N45" s="145">
        <f t="shared" si="14"/>
        <v>0.59574079569058025</v>
      </c>
      <c r="O45" s="151">
        <f>288000</f>
        <v>288000</v>
      </c>
      <c r="P45" s="97">
        <f>K45-O45</f>
        <v>-565693</v>
      </c>
      <c r="Q45" s="98"/>
      <c r="R45" s="152"/>
      <c r="S45" s="104"/>
      <c r="T45" s="103"/>
    </row>
    <row r="46" spans="1:20" x14ac:dyDescent="0.25">
      <c r="A46" s="50">
        <v>14</v>
      </c>
      <c r="B46" s="159" t="s">
        <v>17</v>
      </c>
      <c r="C46" s="160">
        <v>9578338</v>
      </c>
      <c r="D46" s="107">
        <v>6372768.8336553033</v>
      </c>
      <c r="E46" s="161">
        <v>0.66533137937451192</v>
      </c>
      <c r="H46" s="123">
        <v>9245584</v>
      </c>
      <c r="I46" s="114">
        <f t="shared" si="15"/>
        <v>-3.474026496037208</v>
      </c>
      <c r="J46" s="115">
        <f t="shared" si="11"/>
        <v>2872815.1663446967</v>
      </c>
      <c r="K46" s="116">
        <f>H46-C46</f>
        <v>-332754</v>
      </c>
      <c r="L46" s="116">
        <v>67338</v>
      </c>
      <c r="M46" s="69">
        <f>C46+L46</f>
        <v>9645676</v>
      </c>
      <c r="N46" s="145">
        <f t="shared" si="14"/>
        <v>0.70302384401135232</v>
      </c>
      <c r="O46" s="151">
        <f>320000</f>
        <v>320000</v>
      </c>
      <c r="P46" s="97">
        <f>K46-O46</f>
        <v>-652754</v>
      </c>
      <c r="Q46" s="98"/>
      <c r="R46" s="152"/>
      <c r="S46" s="103"/>
      <c r="T46" s="103"/>
    </row>
    <row r="47" spans="1:20" x14ac:dyDescent="0.25">
      <c r="A47" s="50">
        <v>15</v>
      </c>
      <c r="B47" s="159" t="s">
        <v>18</v>
      </c>
      <c r="C47" s="160">
        <v>44193507</v>
      </c>
      <c r="D47" s="107">
        <v>45750743.909175225</v>
      </c>
      <c r="E47" s="161">
        <v>1.0352367805789937</v>
      </c>
      <c r="H47" s="123">
        <v>42565487</v>
      </c>
      <c r="I47" s="114">
        <f>(H47/C47-1)*100</f>
        <v>-3.6838443258191744</v>
      </c>
      <c r="J47" s="115">
        <f t="shared" si="11"/>
        <v>-3185256.9091752246</v>
      </c>
      <c r="K47" s="116">
        <f t="shared" si="12"/>
        <v>-1628020</v>
      </c>
      <c r="L47" s="116">
        <v>67338</v>
      </c>
      <c r="M47" s="69">
        <f t="shared" si="13"/>
        <v>44260845</v>
      </c>
      <c r="N47" s="145">
        <f t="shared" si="14"/>
        <v>0.15237079962899802</v>
      </c>
      <c r="O47" s="151">
        <v>7631657</v>
      </c>
      <c r="P47" s="97">
        <f>K47-O47</f>
        <v>-9259677</v>
      </c>
      <c r="Q47" s="98"/>
      <c r="R47" s="103"/>
      <c r="S47" s="103"/>
      <c r="T47" s="103"/>
    </row>
    <row r="48" spans="1:20" ht="15.75" thickBot="1" x14ac:dyDescent="0.3">
      <c r="C48" s="149">
        <f>SUM(C33:C47)</f>
        <v>295338680</v>
      </c>
      <c r="D48" s="150">
        <f>SUM(D33:D47)</f>
        <v>261492315.06999996</v>
      </c>
      <c r="H48" s="124">
        <f>SUM(H33:H47)</f>
        <v>285456960</v>
      </c>
      <c r="L48" s="117">
        <f>SUM(L33:L47)</f>
        <v>1010070</v>
      </c>
      <c r="M48" s="117">
        <f>SUM(M33:M47)</f>
        <v>296348750</v>
      </c>
      <c r="N48" s="100"/>
      <c r="O48" s="138"/>
      <c r="P48" s="102"/>
      <c r="Q48" s="103"/>
      <c r="R48" s="103"/>
      <c r="S48" s="103"/>
      <c r="T48" s="103"/>
    </row>
    <row r="49" spans="8:20" x14ac:dyDescent="0.25">
      <c r="H49" s="125">
        <f>H48-C27</f>
        <v>0</v>
      </c>
      <c r="N49" s="100"/>
      <c r="O49" s="138"/>
      <c r="P49" s="102"/>
      <c r="Q49" s="103"/>
      <c r="R49" s="103"/>
      <c r="S49" s="103"/>
      <c r="T49" s="103"/>
    </row>
  </sheetData>
  <sortState xmlns:xlrd2="http://schemas.microsoft.com/office/spreadsheetml/2017/richdata2" ref="B33:E47">
    <sortCondition ref="B33:B47"/>
  </sortState>
  <mergeCells count="12">
    <mergeCell ref="A6:E6"/>
    <mergeCell ref="A31:E31"/>
    <mergeCell ref="B1:D1"/>
    <mergeCell ref="B25:D25"/>
    <mergeCell ref="F1:G1"/>
    <mergeCell ref="F2:G2"/>
    <mergeCell ref="F25:G25"/>
    <mergeCell ref="F26:G26"/>
    <mergeCell ref="A5:E5"/>
    <mergeCell ref="E1:E2"/>
    <mergeCell ref="A30:E30"/>
    <mergeCell ref="E25:E26"/>
  </mergeCells>
  <conditionalFormatting sqref="P8:P22">
    <cfRule type="cellIs" dxfId="2" priority="7" operator="lessThan">
      <formula>0</formula>
    </cfRule>
  </conditionalFormatting>
  <conditionalFormatting sqref="E8:E22">
    <cfRule type="cellIs" dxfId="1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activeCell="K18" sqref="K18"/>
    </sheetView>
  </sheetViews>
  <sheetFormatPr defaultRowHeight="15" x14ac:dyDescent="0.25"/>
  <cols>
    <col min="1" max="1" width="6.5703125" customWidth="1"/>
    <col min="2" max="2" width="18.7109375" bestFit="1" customWidth="1"/>
    <col min="3" max="3" width="12.85546875" bestFit="1" customWidth="1"/>
    <col min="4" max="4" width="13.140625" style="113" bestFit="1" customWidth="1"/>
    <col min="5" max="5" width="12.42578125" customWidth="1"/>
    <col min="7" max="7" width="6.5703125" customWidth="1"/>
    <col min="8" max="8" width="18.42578125" bestFit="1" customWidth="1"/>
    <col min="9" max="9" width="14.140625" bestFit="1" customWidth="1"/>
    <col min="10" max="10" width="13.42578125" customWidth="1"/>
    <col min="11" max="11" width="11" customWidth="1"/>
  </cols>
  <sheetData>
    <row r="1" spans="1:11" x14ac:dyDescent="0.25">
      <c r="A1" s="190" t="s">
        <v>19</v>
      </c>
      <c r="B1" s="191"/>
      <c r="C1" s="191"/>
      <c r="D1" s="191"/>
      <c r="E1" s="192"/>
      <c r="G1" s="175" t="s">
        <v>21</v>
      </c>
      <c r="H1" s="176"/>
      <c r="I1" s="176"/>
      <c r="J1" s="176"/>
      <c r="K1" s="177"/>
    </row>
    <row r="2" spans="1:11" ht="30.75" thickBot="1" x14ac:dyDescent="0.3">
      <c r="A2" s="2" t="s">
        <v>0</v>
      </c>
      <c r="B2" s="1" t="s">
        <v>1</v>
      </c>
      <c r="C2" s="1" t="s">
        <v>2</v>
      </c>
      <c r="D2" s="1" t="s">
        <v>3</v>
      </c>
      <c r="E2" s="7" t="s">
        <v>4</v>
      </c>
      <c r="G2" s="3" t="s">
        <v>0</v>
      </c>
      <c r="H2" s="11" t="s">
        <v>1</v>
      </c>
      <c r="I2" s="17" t="s">
        <v>2</v>
      </c>
      <c r="J2" s="11" t="s">
        <v>3</v>
      </c>
      <c r="K2" s="12" t="s">
        <v>20</v>
      </c>
    </row>
    <row r="3" spans="1:11" ht="16.5" thickBot="1" x14ac:dyDescent="0.3">
      <c r="A3" s="5">
        <v>1</v>
      </c>
      <c r="B3" s="155" t="s">
        <v>5</v>
      </c>
      <c r="C3" s="143">
        <v>11286272</v>
      </c>
      <c r="D3" s="144">
        <v>6282479</v>
      </c>
      <c r="E3" s="139">
        <f t="shared" ref="E3:E14" si="0">D3/C3</f>
        <v>0.55664784616213392</v>
      </c>
      <c r="G3" s="9">
        <v>1</v>
      </c>
      <c r="H3" s="13" t="s">
        <v>5</v>
      </c>
      <c r="I3" s="40">
        <v>12047935</v>
      </c>
      <c r="J3" s="106">
        <v>7105398.8051539976</v>
      </c>
      <c r="K3" s="18">
        <v>0.58976071875835967</v>
      </c>
    </row>
    <row r="4" spans="1:11" ht="16.5" thickBot="1" x14ac:dyDescent="0.3">
      <c r="A4" s="5">
        <v>2</v>
      </c>
      <c r="B4" s="155" t="s">
        <v>6</v>
      </c>
      <c r="C4" s="143">
        <v>18741528</v>
      </c>
      <c r="D4" s="144">
        <v>8573415</v>
      </c>
      <c r="E4" s="140">
        <f t="shared" si="0"/>
        <v>0.45745549669162516</v>
      </c>
      <c r="G4" s="9">
        <v>2</v>
      </c>
      <c r="H4" s="14" t="s">
        <v>6</v>
      </c>
      <c r="I4" s="41">
        <v>17739027</v>
      </c>
      <c r="J4" s="107">
        <v>14205865.472856672</v>
      </c>
      <c r="K4" s="19">
        <v>0.80082551725394369</v>
      </c>
    </row>
    <row r="5" spans="1:11" ht="16.5" thickBot="1" x14ac:dyDescent="0.3">
      <c r="A5" s="5">
        <v>3</v>
      </c>
      <c r="B5" s="155" t="s">
        <v>7</v>
      </c>
      <c r="C5" s="143">
        <v>63926000</v>
      </c>
      <c r="D5" s="144">
        <v>53520026.5</v>
      </c>
      <c r="E5" s="140">
        <f t="shared" si="0"/>
        <v>0.83721844789287614</v>
      </c>
      <c r="F5" s="4"/>
      <c r="G5" s="9">
        <v>3</v>
      </c>
      <c r="H5" s="14" t="s">
        <v>7</v>
      </c>
      <c r="I5" s="41">
        <v>63804826</v>
      </c>
      <c r="J5" s="107">
        <v>53176031.553965852</v>
      </c>
      <c r="K5" s="19">
        <v>0.83341707653847141</v>
      </c>
    </row>
    <row r="6" spans="1:11" ht="16.5" thickBot="1" x14ac:dyDescent="0.3">
      <c r="A6" s="5">
        <v>4</v>
      </c>
      <c r="B6" s="155" t="s">
        <v>8</v>
      </c>
      <c r="C6" s="143">
        <v>38278319</v>
      </c>
      <c r="D6" s="144">
        <v>32724322</v>
      </c>
      <c r="E6" s="140">
        <f t="shared" si="0"/>
        <v>0.85490488754221416</v>
      </c>
      <c r="G6" s="9">
        <v>4</v>
      </c>
      <c r="H6" s="14" t="s">
        <v>8</v>
      </c>
      <c r="I6" s="41">
        <v>41496928</v>
      </c>
      <c r="J6" s="107">
        <v>35018592.839475825</v>
      </c>
      <c r="K6" s="19">
        <v>0.84388398195345504</v>
      </c>
    </row>
    <row r="7" spans="1:11" ht="16.5" thickBot="1" x14ac:dyDescent="0.3">
      <c r="A7" s="5">
        <v>5</v>
      </c>
      <c r="B7" s="155" t="s">
        <v>9</v>
      </c>
      <c r="C7" s="143">
        <v>5309291</v>
      </c>
      <c r="D7" s="144">
        <v>4487401</v>
      </c>
      <c r="E7" s="140">
        <f t="shared" si="0"/>
        <v>0.84519778629575959</v>
      </c>
      <c r="G7" s="9">
        <v>5</v>
      </c>
      <c r="H7" s="14" t="s">
        <v>9</v>
      </c>
      <c r="I7" s="41">
        <v>5159558</v>
      </c>
      <c r="J7" s="107">
        <v>7167306.8876687763</v>
      </c>
      <c r="K7" s="19">
        <v>1.3891319542621241</v>
      </c>
    </row>
    <row r="8" spans="1:11" ht="16.5" thickBot="1" x14ac:dyDescent="0.3">
      <c r="A8" s="5">
        <v>6</v>
      </c>
      <c r="B8" s="156" t="s">
        <v>10</v>
      </c>
      <c r="C8" s="143">
        <v>14897477</v>
      </c>
      <c r="D8" s="144">
        <v>12436885</v>
      </c>
      <c r="E8" s="140">
        <f t="shared" si="0"/>
        <v>0.83483162954371404</v>
      </c>
      <c r="G8" s="9">
        <v>6</v>
      </c>
      <c r="H8" s="14" t="s">
        <v>10</v>
      </c>
      <c r="I8" s="41">
        <v>15898365</v>
      </c>
      <c r="J8" s="107">
        <v>13967694.635849645</v>
      </c>
      <c r="K8" s="19">
        <v>0.87856170341098883</v>
      </c>
    </row>
    <row r="9" spans="1:11" ht="16.5" thickBot="1" x14ac:dyDescent="0.3">
      <c r="A9" s="5">
        <v>7</v>
      </c>
      <c r="B9" s="156" t="s">
        <v>23</v>
      </c>
      <c r="C9" s="143">
        <v>6069337</v>
      </c>
      <c r="D9" s="144">
        <v>5861780</v>
      </c>
      <c r="E9" s="140">
        <f t="shared" si="0"/>
        <v>0.96580236029075339</v>
      </c>
      <c r="G9" s="9">
        <v>7</v>
      </c>
      <c r="H9" s="14" t="s">
        <v>23</v>
      </c>
      <c r="I9" s="41">
        <v>5308325</v>
      </c>
      <c r="J9" s="107">
        <v>5792261.9221625691</v>
      </c>
      <c r="K9" s="19">
        <v>1.0911656543566133</v>
      </c>
    </row>
    <row r="10" spans="1:11" ht="16.5" thickBot="1" x14ac:dyDescent="0.3">
      <c r="A10" s="5">
        <v>8</v>
      </c>
      <c r="B10" s="155" t="s">
        <v>11</v>
      </c>
      <c r="C10" s="143">
        <v>19455848</v>
      </c>
      <c r="D10" s="144">
        <v>20027754</v>
      </c>
      <c r="E10" s="140">
        <f t="shared" si="0"/>
        <v>1.0293950692871368</v>
      </c>
      <c r="G10" s="9">
        <v>8</v>
      </c>
      <c r="H10" s="38" t="s">
        <v>11</v>
      </c>
      <c r="I10" s="41">
        <v>19488328</v>
      </c>
      <c r="J10" s="108">
        <v>23762509.295697965</v>
      </c>
      <c r="K10" s="36">
        <v>1.2193200615105597</v>
      </c>
    </row>
    <row r="11" spans="1:11" ht="16.5" thickBot="1" x14ac:dyDescent="0.3">
      <c r="A11" s="5">
        <v>9</v>
      </c>
      <c r="B11" s="155" t="s">
        <v>12</v>
      </c>
      <c r="C11" s="143">
        <v>15679241</v>
      </c>
      <c r="D11" s="144">
        <v>11221174</v>
      </c>
      <c r="E11" s="140">
        <f t="shared" si="0"/>
        <v>0.71567073941908288</v>
      </c>
      <c r="G11" s="9">
        <v>9</v>
      </c>
      <c r="H11" s="14" t="s">
        <v>12</v>
      </c>
      <c r="I11" s="41">
        <v>13447368</v>
      </c>
      <c r="J11" s="107">
        <v>12762514.989576869</v>
      </c>
      <c r="K11" s="19">
        <v>0.94907159449915168</v>
      </c>
    </row>
    <row r="12" spans="1:11" ht="16.5" thickBot="1" x14ac:dyDescent="0.3">
      <c r="A12" s="5">
        <v>10</v>
      </c>
      <c r="B12" s="155" t="s">
        <v>13</v>
      </c>
      <c r="C12" s="143">
        <v>12301628</v>
      </c>
      <c r="D12" s="144">
        <v>8339853</v>
      </c>
      <c r="E12" s="140">
        <f t="shared" si="0"/>
        <v>0.67794709773373085</v>
      </c>
      <c r="G12" s="9">
        <v>10</v>
      </c>
      <c r="H12" s="14" t="s">
        <v>13</v>
      </c>
      <c r="I12" s="41">
        <v>11827346</v>
      </c>
      <c r="J12" s="107">
        <v>9557169.2715748586</v>
      </c>
      <c r="K12" s="19">
        <v>0.80805696151739015</v>
      </c>
    </row>
    <row r="13" spans="1:11" ht="16.5" thickBot="1" x14ac:dyDescent="0.3">
      <c r="A13" s="5">
        <v>11</v>
      </c>
      <c r="B13" s="156" t="s">
        <v>14</v>
      </c>
      <c r="C13" s="143">
        <v>11647307</v>
      </c>
      <c r="D13" s="144">
        <v>9436848</v>
      </c>
      <c r="E13" s="140">
        <f t="shared" si="0"/>
        <v>0.81021716006970534</v>
      </c>
      <c r="G13" s="9">
        <v>11</v>
      </c>
      <c r="H13" s="38" t="s">
        <v>14</v>
      </c>
      <c r="I13" s="41">
        <v>12297256</v>
      </c>
      <c r="J13" s="108">
        <v>12457020.582014209</v>
      </c>
      <c r="K13" s="36">
        <v>1.0129918887607292</v>
      </c>
    </row>
    <row r="14" spans="1:11" ht="16.5" thickBot="1" x14ac:dyDescent="0.3">
      <c r="A14" s="5">
        <v>12</v>
      </c>
      <c r="B14" s="155" t="s">
        <v>15</v>
      </c>
      <c r="C14" s="143">
        <v>10840314</v>
      </c>
      <c r="D14" s="144">
        <v>8857411</v>
      </c>
      <c r="E14" s="140">
        <f t="shared" si="0"/>
        <v>0.81708066758951814</v>
      </c>
      <c r="G14" s="9">
        <v>12</v>
      </c>
      <c r="H14" s="14" t="s">
        <v>15</v>
      </c>
      <c r="I14" s="41">
        <v>11748335</v>
      </c>
      <c r="J14" s="107">
        <v>6210702.3187833196</v>
      </c>
      <c r="K14" s="19">
        <v>0.52864532027587907</v>
      </c>
    </row>
    <row r="15" spans="1:11" ht="16.5" thickBot="1" x14ac:dyDescent="0.3">
      <c r="A15" s="5">
        <v>13</v>
      </c>
      <c r="B15" s="156" t="s">
        <v>16</v>
      </c>
      <c r="C15" s="143">
        <v>11300966</v>
      </c>
      <c r="D15" s="144">
        <v>6757300</v>
      </c>
      <c r="E15" s="140">
        <f>D15/C15</f>
        <v>0.59794003450678468</v>
      </c>
      <c r="G15" s="9">
        <v>13</v>
      </c>
      <c r="H15" s="14" t="s">
        <v>16</v>
      </c>
      <c r="I15" s="41">
        <v>11303238</v>
      </c>
      <c r="J15" s="107">
        <v>8185733.7523889262</v>
      </c>
      <c r="K15" s="19">
        <v>0.72419370028207197</v>
      </c>
    </row>
    <row r="16" spans="1:11" ht="32.25" thickBot="1" x14ac:dyDescent="0.3">
      <c r="A16" s="15">
        <v>14</v>
      </c>
      <c r="B16" s="155" t="s">
        <v>17</v>
      </c>
      <c r="C16" s="143">
        <v>9511951</v>
      </c>
      <c r="D16" s="144">
        <v>7631191</v>
      </c>
      <c r="E16" s="140">
        <f>D16/C16</f>
        <v>0.80227400246279656</v>
      </c>
      <c r="G16" s="16">
        <v>14</v>
      </c>
      <c r="H16" s="39" t="s">
        <v>17</v>
      </c>
      <c r="I16" s="41">
        <v>9578338</v>
      </c>
      <c r="J16" s="109">
        <v>6372768.8336553033</v>
      </c>
      <c r="K16" s="19">
        <v>0.66533137937451192</v>
      </c>
    </row>
    <row r="17" spans="1:11" ht="16.5" thickBot="1" x14ac:dyDescent="0.3">
      <c r="A17" s="6">
        <v>15</v>
      </c>
      <c r="B17" s="155" t="s">
        <v>18</v>
      </c>
      <c r="C17" s="143">
        <v>45261733</v>
      </c>
      <c r="D17" s="144">
        <v>23948505</v>
      </c>
      <c r="E17" s="141">
        <f>D17/C17</f>
        <v>0.52911153446113079</v>
      </c>
      <c r="G17" s="10">
        <v>15</v>
      </c>
      <c r="H17" s="39" t="s">
        <v>18</v>
      </c>
      <c r="I17" s="42">
        <v>44193507</v>
      </c>
      <c r="J17" s="109">
        <v>45750743.909175225</v>
      </c>
      <c r="K17" s="19">
        <v>1.0352367805789937</v>
      </c>
    </row>
    <row r="18" spans="1:11" ht="16.5" thickBot="1" x14ac:dyDescent="0.3">
      <c r="B18" s="8" t="s">
        <v>22</v>
      </c>
      <c r="C18" s="157">
        <f>SUM(C3:C17)</f>
        <v>294507212</v>
      </c>
      <c r="D18" s="157">
        <f>SUM(D3:D17)</f>
        <v>220106344.5</v>
      </c>
      <c r="E18" s="142">
        <v>0.79690000000000005</v>
      </c>
      <c r="H18" s="37" t="s">
        <v>22</v>
      </c>
      <c r="I18" s="153">
        <f>SUM(I3:I17)</f>
        <v>295338680</v>
      </c>
      <c r="J18" s="154">
        <f>SUM(J3:J17)</f>
        <v>261492315.06999996</v>
      </c>
      <c r="K18" s="94">
        <v>0.81069999999999998</v>
      </c>
    </row>
    <row r="22" spans="1:11" x14ac:dyDescent="0.25">
      <c r="A22" s="22"/>
      <c r="B22" s="22"/>
      <c r="C22" s="22"/>
      <c r="D22" s="110"/>
      <c r="E22" s="22"/>
    </row>
    <row r="23" spans="1:11" x14ac:dyDescent="0.25">
      <c r="A23" s="193"/>
      <c r="B23" s="193"/>
      <c r="C23" s="193"/>
      <c r="D23" s="193"/>
      <c r="E23" s="193"/>
    </row>
    <row r="24" spans="1:11" x14ac:dyDescent="0.25">
      <c r="A24" s="23"/>
      <c r="B24" s="20"/>
      <c r="C24" s="20"/>
      <c r="D24" s="111"/>
      <c r="E24" s="24"/>
    </row>
    <row r="25" spans="1:11" x14ac:dyDescent="0.25">
      <c r="A25" s="20"/>
      <c r="B25" s="25"/>
      <c r="C25" s="26"/>
      <c r="D25" s="112"/>
      <c r="E25" s="27"/>
    </row>
    <row r="26" spans="1:11" x14ac:dyDescent="0.25">
      <c r="A26" s="20"/>
      <c r="B26" s="25"/>
      <c r="C26" s="28"/>
      <c r="D26" s="112"/>
      <c r="E26" s="27"/>
    </row>
    <row r="27" spans="1:11" x14ac:dyDescent="0.25">
      <c r="A27" s="20"/>
      <c r="B27" s="25"/>
      <c r="C27" s="29"/>
      <c r="D27" s="112"/>
      <c r="E27" s="27"/>
    </row>
    <row r="28" spans="1:11" x14ac:dyDescent="0.25">
      <c r="A28" s="20"/>
      <c r="B28" s="25"/>
      <c r="C28" s="30"/>
      <c r="D28" s="112"/>
      <c r="E28" s="27"/>
    </row>
    <row r="29" spans="1:11" x14ac:dyDescent="0.25">
      <c r="A29" s="20"/>
      <c r="B29" s="25"/>
      <c r="C29" s="29"/>
      <c r="D29" s="112"/>
      <c r="E29" s="27"/>
    </row>
    <row r="30" spans="1:11" x14ac:dyDescent="0.25">
      <c r="A30" s="20"/>
      <c r="B30" s="25"/>
      <c r="C30" s="31"/>
      <c r="D30" s="112"/>
      <c r="E30" s="27"/>
    </row>
    <row r="31" spans="1:11" x14ac:dyDescent="0.25">
      <c r="A31" s="20"/>
      <c r="B31" s="25"/>
      <c r="C31" s="31"/>
      <c r="D31" s="112"/>
      <c r="E31" s="27"/>
    </row>
    <row r="32" spans="1:11" x14ac:dyDescent="0.25">
      <c r="A32" s="20"/>
      <c r="B32" s="25"/>
      <c r="C32" s="28"/>
      <c r="D32" s="112"/>
      <c r="E32" s="27"/>
    </row>
    <row r="33" spans="1:5" x14ac:dyDescent="0.25">
      <c r="A33" s="20"/>
      <c r="B33" s="25"/>
      <c r="C33" s="32"/>
      <c r="D33" s="112"/>
      <c r="E33" s="27"/>
    </row>
    <row r="34" spans="1:5" x14ac:dyDescent="0.25">
      <c r="A34" s="20"/>
      <c r="B34" s="25"/>
      <c r="C34" s="31"/>
      <c r="D34" s="112"/>
      <c r="E34" s="27"/>
    </row>
    <row r="35" spans="1:5" x14ac:dyDescent="0.25">
      <c r="A35" s="20"/>
      <c r="B35" s="25"/>
      <c r="C35" s="33"/>
      <c r="D35" s="112"/>
      <c r="E35" s="27"/>
    </row>
    <row r="36" spans="1:5" x14ac:dyDescent="0.25">
      <c r="A36" s="20"/>
      <c r="B36" s="25"/>
      <c r="C36" s="34"/>
      <c r="D36" s="112"/>
      <c r="E36" s="27"/>
    </row>
    <row r="37" spans="1:5" x14ac:dyDescent="0.25">
      <c r="A37" s="20"/>
      <c r="B37" s="25"/>
      <c r="C37" s="34"/>
      <c r="D37" s="112"/>
      <c r="E37" s="27"/>
    </row>
    <row r="38" spans="1:5" x14ac:dyDescent="0.25">
      <c r="A38" s="20"/>
      <c r="B38" s="25"/>
      <c r="C38" s="28"/>
      <c r="D38" s="112"/>
      <c r="E38" s="27"/>
    </row>
    <row r="39" spans="1:5" x14ac:dyDescent="0.25">
      <c r="A39" s="20"/>
      <c r="B39" s="25"/>
      <c r="C39" s="35"/>
      <c r="D39" s="112"/>
      <c r="E39" s="27"/>
    </row>
    <row r="40" spans="1:5" x14ac:dyDescent="0.25">
      <c r="A40" s="22"/>
      <c r="B40" s="20"/>
      <c r="C40" s="22"/>
      <c r="D40" s="110"/>
      <c r="E40" s="21"/>
    </row>
    <row r="41" spans="1:5" x14ac:dyDescent="0.25">
      <c r="A41" s="22"/>
      <c r="B41" s="22"/>
      <c r="C41" s="22"/>
      <c r="D41" s="110"/>
      <c r="E41" s="22"/>
    </row>
  </sheetData>
  <sortState xmlns:xlrd2="http://schemas.microsoft.com/office/spreadsheetml/2017/richdata2" ref="H3:K17">
    <sortCondition descending="1" ref="K3:K17"/>
  </sortState>
  <mergeCells count="3">
    <mergeCell ref="A1:E1"/>
    <mergeCell ref="A23:E23"/>
    <mergeCell ref="G1:K1"/>
  </mergeCells>
  <conditionalFormatting sqref="E3:E17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C23" sqref="C23:C37"/>
    </sheetView>
  </sheetViews>
  <sheetFormatPr defaultRowHeight="12.75" customHeight="1" x14ac:dyDescent="0.25"/>
  <cols>
    <col min="1" max="1" width="27.28515625" style="95" customWidth="1"/>
    <col min="2" max="2" width="15.85546875" customWidth="1"/>
    <col min="3" max="3" width="18.7109375" customWidth="1"/>
    <col min="4" max="4" width="17.85546875" customWidth="1"/>
  </cols>
  <sheetData>
    <row r="1" spans="1:5" ht="12.75" customHeight="1" x14ac:dyDescent="0.25">
      <c r="B1" s="57" t="s">
        <v>54</v>
      </c>
      <c r="C1" s="75" t="s">
        <v>55</v>
      </c>
    </row>
    <row r="2" spans="1:5" ht="12.75" customHeight="1" x14ac:dyDescent="0.25">
      <c r="A2" s="96" t="s">
        <v>5</v>
      </c>
      <c r="B2" s="97">
        <v>3948005.33</v>
      </c>
      <c r="C2" s="97">
        <v>4674961.33</v>
      </c>
      <c r="D2" s="98">
        <f>C2-B2</f>
        <v>726956</v>
      </c>
    </row>
    <row r="3" spans="1:5" ht="12.75" customHeight="1" x14ac:dyDescent="0.25">
      <c r="A3" s="96" t="s">
        <v>6</v>
      </c>
      <c r="B3" s="97">
        <v>10939394.5</v>
      </c>
      <c r="C3" s="97">
        <v>13482439.5</v>
      </c>
      <c r="D3" s="98">
        <f t="shared" ref="D3:D16" si="0">C3-B3</f>
        <v>2543045</v>
      </c>
    </row>
    <row r="4" spans="1:5" ht="12.75" customHeight="1" x14ac:dyDescent="0.25">
      <c r="A4" s="96" t="s">
        <v>7</v>
      </c>
      <c r="B4" s="97">
        <v>205490449.52000001</v>
      </c>
      <c r="C4" s="97">
        <v>204987092.52000001</v>
      </c>
      <c r="D4" s="98">
        <f t="shared" si="0"/>
        <v>-503357</v>
      </c>
      <c r="E4" s="99"/>
    </row>
    <row r="5" spans="1:5" ht="12.75" customHeight="1" x14ac:dyDescent="0.25">
      <c r="A5" s="96" t="s">
        <v>8</v>
      </c>
      <c r="B5" s="97">
        <v>103194061.91</v>
      </c>
      <c r="C5" s="97">
        <v>107544699.91</v>
      </c>
      <c r="D5" s="98">
        <f t="shared" si="0"/>
        <v>4350638</v>
      </c>
    </row>
    <row r="6" spans="1:5" ht="12.75" customHeight="1" x14ac:dyDescent="0.25">
      <c r="A6" s="96" t="s">
        <v>9</v>
      </c>
      <c r="B6" s="97">
        <v>30921162.370000001</v>
      </c>
      <c r="C6" s="97">
        <v>34143480.369999997</v>
      </c>
      <c r="D6" s="98">
        <f t="shared" si="0"/>
        <v>3222317.9999999963</v>
      </c>
    </row>
    <row r="7" spans="1:5" ht="12.75" customHeight="1" x14ac:dyDescent="0.25">
      <c r="A7" s="96" t="s">
        <v>10</v>
      </c>
      <c r="B7" s="97">
        <v>11035147.800000001</v>
      </c>
      <c r="C7" s="97">
        <v>11235309.800000001</v>
      </c>
      <c r="D7" s="98">
        <f t="shared" si="0"/>
        <v>200162</v>
      </c>
    </row>
    <row r="8" spans="1:5" ht="12.75" customHeight="1" x14ac:dyDescent="0.25">
      <c r="A8" s="96" t="s">
        <v>23</v>
      </c>
      <c r="B8" s="97">
        <v>866295.96</v>
      </c>
      <c r="C8" s="97">
        <v>684325.96</v>
      </c>
      <c r="D8" s="98">
        <f t="shared" si="0"/>
        <v>-181970</v>
      </c>
      <c r="E8" s="99"/>
    </row>
    <row r="9" spans="1:5" ht="12.75" customHeight="1" x14ac:dyDescent="0.25">
      <c r="A9" s="96" t="s">
        <v>11</v>
      </c>
      <c r="B9" s="97">
        <v>47459228.289999999</v>
      </c>
      <c r="C9" s="97">
        <v>48128660.289999999</v>
      </c>
      <c r="D9" s="98">
        <f t="shared" si="0"/>
        <v>669432</v>
      </c>
    </row>
    <row r="10" spans="1:5" ht="12.75" customHeight="1" x14ac:dyDescent="0.25">
      <c r="A10" s="96" t="s">
        <v>12</v>
      </c>
      <c r="B10" s="97">
        <v>3758788.51</v>
      </c>
      <c r="C10" s="97">
        <v>4973630.51</v>
      </c>
      <c r="D10" s="98">
        <f t="shared" si="0"/>
        <v>1214842</v>
      </c>
    </row>
    <row r="11" spans="1:5" ht="12.75" customHeight="1" x14ac:dyDescent="0.25">
      <c r="A11" s="96" t="s">
        <v>13</v>
      </c>
      <c r="B11" s="97">
        <v>5709499.0999999996</v>
      </c>
      <c r="C11" s="97">
        <v>6680269.0999999996</v>
      </c>
      <c r="D11" s="98">
        <f t="shared" si="0"/>
        <v>970770</v>
      </c>
    </row>
    <row r="12" spans="1:5" ht="12.75" customHeight="1" x14ac:dyDescent="0.25">
      <c r="A12" s="96" t="s">
        <v>14</v>
      </c>
      <c r="B12" s="97">
        <v>12179182.109999999</v>
      </c>
      <c r="C12" s="97">
        <v>12933927.109999999</v>
      </c>
      <c r="D12" s="98">
        <f t="shared" si="0"/>
        <v>754745</v>
      </c>
    </row>
    <row r="13" spans="1:5" ht="12.75" customHeight="1" x14ac:dyDescent="0.25">
      <c r="A13" s="96" t="s">
        <v>15</v>
      </c>
      <c r="B13" s="97">
        <v>8786278.5</v>
      </c>
      <c r="C13" s="97">
        <v>7732638.5</v>
      </c>
      <c r="D13" s="98">
        <f t="shared" si="0"/>
        <v>-1053640</v>
      </c>
      <c r="E13" s="99"/>
    </row>
    <row r="14" spans="1:5" ht="12.75" customHeight="1" x14ac:dyDescent="0.25">
      <c r="A14" s="96" t="s">
        <v>16</v>
      </c>
      <c r="B14" s="97">
        <v>3424439</v>
      </c>
      <c r="C14" s="97">
        <v>3757159</v>
      </c>
      <c r="D14" s="98">
        <f t="shared" si="0"/>
        <v>332720</v>
      </c>
    </row>
    <row r="15" spans="1:5" ht="12.75" customHeight="1" x14ac:dyDescent="0.25">
      <c r="A15" s="96" t="s">
        <v>17</v>
      </c>
      <c r="B15" s="97">
        <v>18587877.16</v>
      </c>
      <c r="C15" s="97">
        <v>18234465.16</v>
      </c>
      <c r="D15" s="98">
        <f t="shared" si="0"/>
        <v>-353412</v>
      </c>
      <c r="E15" s="99"/>
    </row>
    <row r="16" spans="1:5" ht="12.75" customHeight="1" x14ac:dyDescent="0.25">
      <c r="A16" s="96" t="s">
        <v>18</v>
      </c>
      <c r="B16" s="97">
        <v>226406050.37</v>
      </c>
      <c r="C16" s="97">
        <v>224487066.37</v>
      </c>
      <c r="D16" s="98">
        <f t="shared" si="0"/>
        <v>-1918984</v>
      </c>
      <c r="E16" s="99"/>
    </row>
    <row r="23" spans="2:3" ht="12.75" customHeight="1" x14ac:dyDescent="0.25">
      <c r="B23" t="s">
        <v>5</v>
      </c>
      <c r="C23" t="s">
        <v>61</v>
      </c>
    </row>
    <row r="24" spans="2:3" ht="12.75" customHeight="1" x14ac:dyDescent="0.25">
      <c r="B24" t="s">
        <v>6</v>
      </c>
      <c r="C24" t="s">
        <v>62</v>
      </c>
    </row>
    <row r="25" spans="2:3" ht="12.75" customHeight="1" x14ac:dyDescent="0.25">
      <c r="B25" t="s">
        <v>7</v>
      </c>
      <c r="C25" t="s">
        <v>63</v>
      </c>
    </row>
    <row r="26" spans="2:3" ht="12.75" customHeight="1" x14ac:dyDescent="0.25">
      <c r="B26" t="s">
        <v>8</v>
      </c>
      <c r="C26" t="s">
        <v>64</v>
      </c>
    </row>
    <row r="27" spans="2:3" ht="12.75" customHeight="1" x14ac:dyDescent="0.25">
      <c r="B27" t="s">
        <v>9</v>
      </c>
      <c r="C27" t="s">
        <v>65</v>
      </c>
    </row>
    <row r="28" spans="2:3" ht="12.75" customHeight="1" x14ac:dyDescent="0.25">
      <c r="B28" t="s">
        <v>10</v>
      </c>
      <c r="C28" t="s">
        <v>66</v>
      </c>
    </row>
    <row r="29" spans="2:3" ht="12.75" customHeight="1" x14ac:dyDescent="0.25">
      <c r="B29" t="s">
        <v>23</v>
      </c>
      <c r="C29" t="s">
        <v>67</v>
      </c>
    </row>
    <row r="30" spans="2:3" ht="12.75" customHeight="1" x14ac:dyDescent="0.25">
      <c r="B30" t="s">
        <v>11</v>
      </c>
      <c r="C30" t="s">
        <v>68</v>
      </c>
    </row>
    <row r="31" spans="2:3" ht="12.75" customHeight="1" x14ac:dyDescent="0.25">
      <c r="B31" t="s">
        <v>12</v>
      </c>
      <c r="C31" t="s">
        <v>69</v>
      </c>
    </row>
    <row r="32" spans="2:3" ht="12.75" customHeight="1" x14ac:dyDescent="0.25">
      <c r="B32" t="s">
        <v>13</v>
      </c>
      <c r="C32" t="s">
        <v>70</v>
      </c>
    </row>
    <row r="33" spans="2:3" ht="12.75" customHeight="1" x14ac:dyDescent="0.25">
      <c r="B33" t="s">
        <v>14</v>
      </c>
      <c r="C33" t="s">
        <v>71</v>
      </c>
    </row>
    <row r="34" spans="2:3" ht="12.75" customHeight="1" x14ac:dyDescent="0.25">
      <c r="B34" t="s">
        <v>15</v>
      </c>
      <c r="C34" t="s">
        <v>72</v>
      </c>
    </row>
    <row r="35" spans="2:3" ht="12.75" customHeight="1" x14ac:dyDescent="0.25">
      <c r="B35" t="s">
        <v>16</v>
      </c>
      <c r="C35" t="s">
        <v>73</v>
      </c>
    </row>
    <row r="36" spans="2:3" ht="12.75" customHeight="1" x14ac:dyDescent="0.25">
      <c r="B36" t="s">
        <v>17</v>
      </c>
      <c r="C36" t="s">
        <v>74</v>
      </c>
    </row>
    <row r="37" spans="2:3" ht="12.75" customHeight="1" x14ac:dyDescent="0.25">
      <c r="B37" t="s">
        <v>18</v>
      </c>
      <c r="C3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Январь  2025</vt:lpstr>
      <vt:lpstr>Декабрь   2025</vt:lpstr>
      <vt:lpstr>Редактор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medhouse03251465</dc:creator>
  <cp:lastModifiedBy>User</cp:lastModifiedBy>
  <dcterms:created xsi:type="dcterms:W3CDTF">2015-06-05T18:19:34Z</dcterms:created>
  <dcterms:modified xsi:type="dcterms:W3CDTF">2026-01-08T09:10:38Z</dcterms:modified>
</cp:coreProperties>
</file>