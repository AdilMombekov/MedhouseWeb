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065"/>
  </bookViews>
  <sheets>
    <sheet name="МХК" sheetId="25" r:id="rId1"/>
    <sheet name="Лист16" sheetId="19" state="hidden" r:id="rId2"/>
    <sheet name="Справ.Номенк" sheetId="22" state="hidden" r:id="rId3"/>
    <sheet name="LOT" sheetId="23" state="hidden" r:id="rId4"/>
  </sheets>
  <definedNames>
    <definedName name="_xlnm._FilterDatabase" localSheetId="0" hidden="1">МХК!$A$8:$H$698</definedName>
    <definedName name="Z_B64532A4_5024_4E84_80CE_E9A044E2777A_.wvu.FilterData" localSheetId="0" hidden="1">МХК!$A$8:$H$9</definedName>
  </definedNames>
  <calcPr calcId="152511"/>
  <customWorkbookViews>
    <customWorkbookView name="Фильтр 1" guid="{B64532A4-5024-4E84-80CE-E9A044E2777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25" l="1"/>
  <c r="E4" i="25" l="1"/>
  <c r="D4" i="25"/>
  <c r="H9" i="25" l="1"/>
  <c r="K1" i="25"/>
  <c r="J3" i="25" l="1"/>
  <c r="K3" i="25"/>
  <c r="E1012" i="23"/>
  <c r="B585" i="23"/>
  <c r="A809" i="23"/>
  <c r="E998" i="23"/>
  <c r="C966" i="23"/>
  <c r="E978" i="23"/>
  <c r="D1632" i="23"/>
  <c r="D2238" i="23"/>
  <c r="G321" i="23"/>
  <c r="H6" i="23"/>
  <c r="D792" i="23"/>
  <c r="B347" i="22"/>
  <c r="E1734" i="23"/>
  <c r="C1919" i="23"/>
  <c r="D853" i="23"/>
  <c r="B2085" i="23"/>
  <c r="A777" i="23"/>
  <c r="B2313" i="23"/>
  <c r="A949" i="23"/>
  <c r="A1686" i="23"/>
  <c r="G233" i="22"/>
  <c r="F728" i="23"/>
  <c r="A1161" i="23"/>
  <c r="C1373" i="23"/>
  <c r="C1887" i="23"/>
  <c r="H573" i="23"/>
  <c r="H1136" i="23"/>
  <c r="B1600" i="23"/>
  <c r="F410" i="23"/>
  <c r="B1278" i="23"/>
  <c r="C763" i="23"/>
  <c r="C1306" i="23"/>
  <c r="C493" i="23"/>
  <c r="H2980" i="23"/>
  <c r="D13" i="22"/>
  <c r="G576" i="23"/>
  <c r="A744" i="23"/>
  <c r="C279" i="23"/>
  <c r="C2139" i="23"/>
  <c r="G351" i="23"/>
  <c r="B1626" i="23"/>
  <c r="B1053" i="23"/>
  <c r="B1527" i="23"/>
  <c r="D1640" i="23"/>
  <c r="H2223" i="23"/>
  <c r="D838" i="23"/>
  <c r="C2206" i="23"/>
  <c r="H2480" i="23"/>
  <c r="G2230" i="23"/>
  <c r="B1504" i="23"/>
  <c r="A1520" i="23"/>
  <c r="H1328" i="23"/>
  <c r="E1467" i="23"/>
  <c r="H697" i="23"/>
  <c r="F2824" i="23"/>
  <c r="C205" i="22"/>
  <c r="D1216" i="23"/>
  <c r="F2182" i="23"/>
  <c r="A403" i="22"/>
  <c r="E2291" i="23"/>
  <c r="G108" i="22"/>
  <c r="D740" i="23"/>
  <c r="B687" i="23"/>
  <c r="G1802" i="23"/>
  <c r="H612" i="23"/>
  <c r="C1812" i="23"/>
  <c r="B1747" i="23"/>
  <c r="C1908" i="23"/>
  <c r="B2013" i="23"/>
  <c r="D795" i="23"/>
  <c r="D1656" i="23"/>
  <c r="B311" i="23"/>
  <c r="F269" i="23"/>
  <c r="G956" i="23"/>
  <c r="A422" i="23"/>
  <c r="A1757" i="23"/>
  <c r="F1965" i="23"/>
  <c r="G1469" i="23"/>
  <c r="B2051" i="23"/>
  <c r="D1032" i="23"/>
  <c r="F699" i="23"/>
  <c r="F129" i="22"/>
  <c r="H1348" i="23"/>
  <c r="H988" i="23"/>
  <c r="D1875" i="23"/>
  <c r="B56" i="23"/>
  <c r="C1273" i="23"/>
  <c r="G2213" i="23"/>
  <c r="B152" i="23"/>
  <c r="A138" i="22"/>
  <c r="D1834" i="23"/>
  <c r="C797" i="23"/>
  <c r="G2153" i="23"/>
  <c r="H2242" i="23"/>
  <c r="E1868" i="23"/>
  <c r="G933" i="23"/>
  <c r="F1934" i="23"/>
  <c r="B846" i="23"/>
  <c r="E1339" i="23"/>
  <c r="A1478" i="23"/>
  <c r="E1437" i="23"/>
  <c r="A1201" i="23"/>
  <c r="G125" i="22"/>
  <c r="D1169" i="23"/>
  <c r="D2131" i="23"/>
  <c r="C1193" i="23"/>
  <c r="H1421" i="23"/>
  <c r="D697" i="23"/>
  <c r="F1649" i="23"/>
  <c r="B581" i="23"/>
  <c r="C856" i="23"/>
  <c r="H2874" i="23"/>
  <c r="G1760" i="23"/>
  <c r="G1365" i="23"/>
  <c r="E228" i="23"/>
  <c r="E118" i="23"/>
  <c r="C339" i="23"/>
  <c r="G680" i="23"/>
  <c r="C874" i="23"/>
  <c r="C2103" i="23"/>
  <c r="F1689" i="23"/>
  <c r="E263" i="22"/>
  <c r="C2017" i="23"/>
  <c r="D708" i="23"/>
  <c r="H168" i="23"/>
  <c r="E613" i="23"/>
  <c r="G33" i="23"/>
  <c r="F2444" i="23"/>
  <c r="H807" i="23"/>
  <c r="A1894" i="23"/>
  <c r="E441" i="23"/>
  <c r="B1949" i="23"/>
  <c r="H1713" i="23"/>
  <c r="G1271" i="23"/>
  <c r="C914" i="23"/>
  <c r="C2124" i="23"/>
  <c r="B1002" i="23"/>
  <c r="D746" i="23"/>
  <c r="E619" i="23"/>
  <c r="B1316" i="23"/>
  <c r="E1871" i="23"/>
  <c r="C814" i="23"/>
  <c r="E1799" i="23"/>
  <c r="E393" i="22"/>
  <c r="C447" i="23"/>
  <c r="G2029" i="23"/>
  <c r="C773" i="23"/>
  <c r="D1848" i="23"/>
  <c r="C2149" i="23"/>
  <c r="D2249" i="23"/>
  <c r="D845" i="23"/>
  <c r="A1022" i="23"/>
  <c r="B901" i="23"/>
  <c r="F1916" i="23"/>
  <c r="A266" i="22"/>
  <c r="H627" i="23"/>
  <c r="C2246" i="23"/>
  <c r="F2911" i="23"/>
  <c r="F2518" i="23"/>
  <c r="G179" i="22"/>
  <c r="E398" i="23"/>
  <c r="G2927" i="23"/>
  <c r="D2163" i="23"/>
  <c r="A9" i="22"/>
  <c r="A1524" i="23"/>
  <c r="C207" i="23"/>
  <c r="F991" i="23"/>
  <c r="C128" i="22"/>
  <c r="C1143" i="23"/>
  <c r="A1943" i="23"/>
  <c r="H869" i="23"/>
  <c r="F1904" i="23"/>
  <c r="G849" i="23"/>
  <c r="C1767" i="23"/>
  <c r="H1464" i="23"/>
  <c r="C2131" i="23"/>
  <c r="G2703" i="23"/>
  <c r="F712" i="23"/>
  <c r="E1175" i="23"/>
  <c r="D1247" i="23"/>
  <c r="E417" i="23"/>
  <c r="H2764" i="23"/>
  <c r="C309" i="22"/>
  <c r="C250" i="23"/>
  <c r="G1337" i="23"/>
  <c r="G2351" i="23"/>
  <c r="C621" i="23"/>
  <c r="G1929" i="23"/>
  <c r="H2329" i="23"/>
  <c r="F1261" i="23"/>
  <c r="B946" i="23"/>
  <c r="G15" i="22"/>
  <c r="D1918" i="23"/>
  <c r="A1770" i="23"/>
  <c r="G2151" i="23"/>
  <c r="F1894" i="23"/>
  <c r="H1337" i="23"/>
  <c r="F2645" i="23"/>
  <c r="G367" i="23"/>
  <c r="D138" i="22"/>
  <c r="E157" i="23"/>
  <c r="B872" i="23"/>
  <c r="B1828" i="23"/>
  <c r="D189" i="22"/>
  <c r="E2295" i="23"/>
  <c r="E86" i="23"/>
  <c r="B1416" i="23"/>
  <c r="C1976" i="23"/>
  <c r="F375" i="22"/>
  <c r="A305" i="22"/>
  <c r="D1083" i="23"/>
  <c r="F1657" i="23"/>
  <c r="A803" i="23"/>
  <c r="B1206" i="23"/>
  <c r="H1210" i="23"/>
  <c r="G1218" i="23"/>
  <c r="G2157" i="23"/>
  <c r="G1843" i="23"/>
  <c r="F134" i="22"/>
  <c r="F1484" i="23"/>
  <c r="G1999" i="23"/>
  <c r="H2918" i="23"/>
  <c r="B1195" i="23"/>
  <c r="C557" i="23"/>
  <c r="B749" i="23"/>
  <c r="C974" i="23"/>
  <c r="B413" i="22"/>
  <c r="G524" i="23"/>
  <c r="A64" i="22"/>
  <c r="F103" i="22"/>
  <c r="F2550" i="23"/>
  <c r="B1621" i="23"/>
  <c r="F1226" i="23"/>
  <c r="F239" i="23"/>
  <c r="G247" i="22"/>
  <c r="H2446" i="23"/>
  <c r="E1381" i="23"/>
  <c r="E142" i="22"/>
  <c r="B1059" i="23"/>
  <c r="H160" i="23"/>
  <c r="D1789" i="23"/>
  <c r="D223" i="22"/>
  <c r="C198" i="23"/>
  <c r="H601" i="23"/>
  <c r="E395" i="22"/>
  <c r="F2895" i="23"/>
  <c r="E335" i="22"/>
  <c r="F800" i="23"/>
  <c r="B1247" i="23"/>
  <c r="F245" i="23"/>
  <c r="D309" i="22"/>
  <c r="C426" i="22"/>
  <c r="C1115" i="23"/>
  <c r="H1062" i="23"/>
  <c r="F884" i="23"/>
  <c r="G1749" i="23"/>
  <c r="G1631" i="23"/>
  <c r="A113" i="22"/>
  <c r="G2687" i="23"/>
  <c r="D1506" i="23"/>
  <c r="G191" i="22"/>
  <c r="H2024" i="23"/>
  <c r="B756" i="23"/>
  <c r="E692" i="23"/>
  <c r="C1426" i="23"/>
  <c r="D80" i="22"/>
  <c r="G207" i="22"/>
  <c r="D218" i="22"/>
  <c r="E2284" i="23"/>
  <c r="C1380" i="23"/>
  <c r="B794" i="23"/>
  <c r="E188" i="22"/>
  <c r="A58" i="23"/>
  <c r="G1327" i="23"/>
  <c r="A124" i="22"/>
  <c r="H1014" i="23"/>
  <c r="B23" i="23"/>
  <c r="C1018" i="23"/>
  <c r="A170" i="22"/>
  <c r="D395" i="23"/>
  <c r="E1318" i="23"/>
  <c r="A815" i="23"/>
  <c r="E2183" i="23"/>
  <c r="H470" i="23"/>
  <c r="H1507" i="23"/>
  <c r="D193" i="22"/>
  <c r="F1419" i="23"/>
  <c r="H2041" i="23"/>
  <c r="C275" i="23"/>
  <c r="H752" i="23"/>
  <c r="F2623" i="23"/>
  <c r="F514" i="23"/>
  <c r="F642" i="23"/>
  <c r="D1754" i="23"/>
  <c r="H2701" i="23"/>
  <c r="D580" i="23"/>
  <c r="D1229" i="23"/>
  <c r="H708" i="23"/>
  <c r="A1666" i="23"/>
  <c r="B2282" i="23"/>
  <c r="C343" i="23"/>
  <c r="E1198" i="23"/>
  <c r="C529" i="23"/>
  <c r="A1106" i="23"/>
  <c r="A622" i="23"/>
  <c r="B186" i="22"/>
  <c r="G305" i="22"/>
  <c r="B1808" i="23"/>
  <c r="A288" i="23"/>
  <c r="B279" i="23"/>
  <c r="G173" i="23"/>
  <c r="C2093" i="23"/>
  <c r="C738" i="23"/>
  <c r="F1220" i="23"/>
  <c r="G1850" i="23"/>
  <c r="B674" i="23"/>
  <c r="F1014" i="23"/>
  <c r="F1260" i="23"/>
  <c r="B1977" i="23"/>
  <c r="E2288" i="23"/>
  <c r="B386" i="23"/>
  <c r="F243" i="23"/>
  <c r="C751" i="23"/>
  <c r="H2200" i="23"/>
  <c r="H2631" i="23"/>
  <c r="C1837" i="23"/>
  <c r="B142" i="23"/>
  <c r="F766" i="23"/>
  <c r="B431" i="23"/>
  <c r="G2407" i="23"/>
  <c r="A526" i="23"/>
  <c r="H2272" i="23"/>
  <c r="H1439" i="23"/>
  <c r="H82" i="23"/>
  <c r="B182" i="23"/>
  <c r="B316" i="23"/>
  <c r="B1933" i="23"/>
  <c r="F2820" i="23"/>
  <c r="F2435" i="23"/>
  <c r="E1071" i="23"/>
  <c r="A114" i="23"/>
  <c r="E186" i="22"/>
  <c r="A452" i="23"/>
  <c r="C28" i="22"/>
  <c r="A31" i="23"/>
  <c r="G2269" i="23"/>
  <c r="D74" i="23"/>
  <c r="F1065" i="23"/>
  <c r="F2659" i="23"/>
  <c r="F1160" i="23"/>
  <c r="F825" i="23"/>
  <c r="D109" i="23"/>
  <c r="D2136" i="23"/>
  <c r="E2116" i="23"/>
  <c r="H519" i="23"/>
  <c r="E1863" i="23"/>
  <c r="A257" i="23"/>
  <c r="C1189" i="23"/>
  <c r="F449" i="23"/>
  <c r="G2670" i="23"/>
  <c r="G687" i="23"/>
  <c r="D776" i="23"/>
  <c r="A1170" i="23"/>
  <c r="G1705" i="23"/>
  <c r="D249" i="23"/>
  <c r="F2588" i="23"/>
  <c r="G1525" i="23"/>
  <c r="C151" i="22"/>
  <c r="H2192" i="23"/>
  <c r="B317" i="23"/>
  <c r="D31" i="22"/>
  <c r="E337" i="22"/>
  <c r="E374" i="23"/>
  <c r="E528" i="23"/>
  <c r="H637" i="23"/>
  <c r="H1830" i="23"/>
  <c r="G1921" i="23"/>
  <c r="F730" i="23"/>
  <c r="C1015" i="23"/>
  <c r="F1349" i="23"/>
  <c r="D1315" i="23"/>
  <c r="D825" i="23"/>
  <c r="B1097" i="23"/>
  <c r="F1315" i="23"/>
  <c r="G2970" i="23"/>
  <c r="D256" i="23"/>
  <c r="C592" i="23"/>
  <c r="C611" i="23"/>
  <c r="H62" i="23"/>
  <c r="A992" i="23"/>
  <c r="F1628" i="23"/>
  <c r="H2827" i="23"/>
  <c r="E1992" i="23"/>
  <c r="B1187" i="23"/>
  <c r="E1843" i="23"/>
  <c r="G674" i="23"/>
  <c r="C468" i="23"/>
  <c r="E1388" i="23"/>
  <c r="H1528" i="23"/>
  <c r="G1516" i="23"/>
  <c r="A117" i="23"/>
  <c r="C559" i="23"/>
  <c r="H2434" i="23"/>
  <c r="C40" i="22"/>
  <c r="G2304" i="23"/>
  <c r="F760" i="23"/>
  <c r="H1963" i="23"/>
  <c r="D235" i="22"/>
  <c r="F652" i="23"/>
  <c r="D1401" i="23"/>
  <c r="G362" i="22"/>
  <c r="B1290" i="23"/>
  <c r="B1610" i="23"/>
  <c r="E1438" i="23"/>
  <c r="F877" i="23"/>
  <c r="F215" i="22"/>
  <c r="B650" i="23"/>
  <c r="H1047" i="23"/>
  <c r="F2499" i="23"/>
  <c r="G2383" i="23"/>
  <c r="G1019" i="23"/>
  <c r="F1062" i="23"/>
  <c r="H591" i="23"/>
  <c r="D1415" i="23"/>
  <c r="A175" i="23"/>
  <c r="H2027" i="23"/>
  <c r="H1025" i="23"/>
  <c r="C2104" i="23"/>
  <c r="C1289" i="23"/>
  <c r="E1196" i="23"/>
  <c r="E244" i="22"/>
  <c r="H565" i="23"/>
  <c r="E1877" i="23"/>
  <c r="E1259" i="23"/>
  <c r="E2106" i="23"/>
  <c r="A1226" i="23"/>
  <c r="G2436" i="23"/>
  <c r="A2300" i="23"/>
  <c r="D318" i="22"/>
  <c r="D1021" i="23"/>
  <c r="D1106" i="23"/>
  <c r="H291" i="23"/>
  <c r="F1505" i="23"/>
  <c r="F1203" i="23"/>
  <c r="D2292" i="23"/>
  <c r="D1306" i="23"/>
  <c r="E2239" i="23"/>
  <c r="G2357" i="23"/>
  <c r="G466" i="23"/>
  <c r="F1875" i="23"/>
  <c r="A1137" i="23"/>
  <c r="D139" i="23"/>
  <c r="B434" i="23"/>
  <c r="H2421" i="23"/>
  <c r="G895" i="23"/>
  <c r="C1376" i="23"/>
  <c r="F2282" i="23"/>
  <c r="D97" i="23"/>
  <c r="A106" i="23"/>
  <c r="F1376" i="23"/>
  <c r="A150" i="23"/>
  <c r="A47" i="22"/>
  <c r="F2141" i="23"/>
  <c r="C1620" i="23"/>
  <c r="H2575" i="23"/>
  <c r="H388" i="23"/>
  <c r="E2260" i="23"/>
  <c r="F1098" i="23"/>
  <c r="G2083" i="23"/>
  <c r="F1659" i="23"/>
  <c r="H1494" i="23"/>
  <c r="C255" i="22"/>
  <c r="A98" i="22"/>
  <c r="F968" i="23"/>
  <c r="B1283" i="23"/>
  <c r="A774" i="23"/>
  <c r="G636" i="23"/>
  <c r="E305" i="23"/>
  <c r="E725" i="23"/>
  <c r="H467" i="23"/>
  <c r="A7" i="22"/>
  <c r="G463" i="23"/>
  <c r="E420" i="23"/>
  <c r="C1206" i="23"/>
  <c r="C782" i="23"/>
  <c r="A882" i="23"/>
  <c r="B1228" i="23"/>
  <c r="G1580" i="23"/>
  <c r="F2795" i="23"/>
  <c r="A1434" i="23"/>
  <c r="A1627" i="23"/>
  <c r="F2545" i="23"/>
  <c r="B1375" i="23"/>
  <c r="F1227" i="23"/>
  <c r="B148" i="22"/>
  <c r="C1723" i="23"/>
  <c r="A305" i="23"/>
  <c r="F1462" i="23"/>
  <c r="E222" i="22"/>
  <c r="G323" i="23"/>
  <c r="B400" i="22"/>
  <c r="G1046" i="23"/>
  <c r="B24" i="23"/>
  <c r="E723" i="23"/>
  <c r="F1502" i="23"/>
  <c r="D2007" i="23"/>
  <c r="D241" i="23"/>
  <c r="A603" i="23"/>
  <c r="G2977" i="23"/>
  <c r="G2609" i="23"/>
  <c r="G428" i="22"/>
  <c r="F724" i="23"/>
  <c r="B87" i="22"/>
  <c r="G1748" i="23"/>
  <c r="E1923" i="23"/>
  <c r="G1515" i="23"/>
  <c r="B601" i="23"/>
  <c r="B1835" i="23"/>
  <c r="A1727" i="23"/>
  <c r="E95" i="23"/>
  <c r="H1872" i="23"/>
  <c r="E558" i="23"/>
  <c r="H1826" i="23"/>
  <c r="A310" i="23"/>
  <c r="E1200" i="23"/>
  <c r="D355" i="23"/>
  <c r="E1787" i="23"/>
  <c r="G1058" i="23"/>
  <c r="B736" i="23"/>
  <c r="E1186" i="23"/>
  <c r="H2062" i="23"/>
  <c r="A886" i="23"/>
  <c r="C1864" i="23"/>
  <c r="G1677" i="23"/>
  <c r="A241" i="22"/>
  <c r="A1372" i="23"/>
  <c r="F2001" i="23"/>
  <c r="H1625" i="23"/>
  <c r="B417" i="22"/>
  <c r="D112" i="22"/>
  <c r="G405" i="23"/>
  <c r="H289" i="23"/>
  <c r="B116" i="22"/>
  <c r="A116" i="23"/>
  <c r="D1069" i="23"/>
  <c r="C841" i="23"/>
  <c r="F1643" i="23"/>
  <c r="G2113" i="23"/>
  <c r="H1756" i="23"/>
  <c r="A1728" i="23"/>
  <c r="D1272" i="23"/>
  <c r="G458" i="23"/>
  <c r="D2033" i="23"/>
  <c r="G571" i="23"/>
  <c r="G2998" i="23"/>
  <c r="E258" i="22"/>
  <c r="A610" i="23"/>
  <c r="F1749" i="23"/>
  <c r="H105" i="23"/>
  <c r="D1097" i="23"/>
  <c r="E1477" i="23"/>
  <c r="A1809" i="23"/>
  <c r="A546" i="23"/>
  <c r="A538" i="23"/>
  <c r="G282" i="23"/>
  <c r="G187" i="23"/>
  <c r="E1303" i="23"/>
  <c r="F1920" i="23"/>
  <c r="C133" i="23"/>
  <c r="G2944" i="23"/>
  <c r="C676" i="23"/>
  <c r="E322" i="23"/>
  <c r="C2225" i="23"/>
  <c r="A193" i="23"/>
  <c r="H2227" i="23"/>
  <c r="B407" i="23"/>
  <c r="G509" i="23"/>
  <c r="H2418" i="23"/>
  <c r="E158" i="22"/>
  <c r="C918" i="23"/>
  <c r="F2586" i="23"/>
  <c r="H2719" i="23"/>
  <c r="D1291" i="23"/>
  <c r="B318" i="23"/>
  <c r="E68" i="23"/>
  <c r="F1077" i="23"/>
  <c r="B1123" i="23"/>
  <c r="G196" i="22"/>
  <c r="D1384" i="23"/>
  <c r="F2199" i="23"/>
  <c r="H1794" i="23"/>
  <c r="C499" i="23"/>
  <c r="H1235" i="23"/>
  <c r="F755" i="23"/>
  <c r="G318" i="23"/>
  <c r="E2068" i="23"/>
  <c r="H761" i="23"/>
  <c r="B46" i="23"/>
  <c r="C1611" i="23"/>
  <c r="A1593" i="23"/>
  <c r="F527" i="23"/>
  <c r="E1823" i="23"/>
  <c r="B1489" i="23"/>
  <c r="G2432" i="23"/>
  <c r="E217" i="22"/>
  <c r="E1671" i="23"/>
  <c r="G88" i="23"/>
  <c r="A1316" i="23"/>
  <c r="H672" i="23"/>
  <c r="C372" i="23"/>
  <c r="D1613" i="23"/>
  <c r="G2464" i="23"/>
  <c r="B1893" i="23"/>
  <c r="F608" i="23"/>
  <c r="E417" i="22"/>
  <c r="D1385" i="23"/>
  <c r="D1554" i="23"/>
  <c r="E1713" i="23"/>
  <c r="H17" i="23"/>
  <c r="G772" i="23"/>
  <c r="F780" i="23"/>
  <c r="G2433" i="23"/>
  <c r="G1901" i="23"/>
  <c r="H1994" i="23"/>
  <c r="B1925" i="23"/>
  <c r="H277" i="23"/>
  <c r="D802" i="23"/>
  <c r="H1883" i="23"/>
  <c r="F329" i="22"/>
  <c r="B208" i="22"/>
  <c r="E1518" i="23"/>
  <c r="B871" i="23"/>
  <c r="C1462" i="23"/>
  <c r="A4" i="23"/>
  <c r="H633" i="23"/>
  <c r="G2075" i="23"/>
  <c r="B1955" i="23"/>
  <c r="D2078" i="23"/>
  <c r="E582" i="23"/>
  <c r="B864" i="23"/>
  <c r="A1639" i="23"/>
  <c r="E578" i="23"/>
  <c r="B2197" i="23"/>
  <c r="A2018" i="23"/>
  <c r="A1622" i="23"/>
  <c r="C1435" i="23"/>
  <c r="E2093" i="23"/>
  <c r="C1004" i="23"/>
  <c r="H577" i="23"/>
  <c r="B109" i="23"/>
  <c r="G264" i="22"/>
  <c r="D1462" i="23"/>
  <c r="F2936" i="23"/>
  <c r="D2170" i="23"/>
  <c r="B1612" i="23"/>
  <c r="G1657" i="23"/>
  <c r="A2292" i="23"/>
  <c r="H2542" i="23"/>
  <c r="E893" i="23"/>
  <c r="H2607" i="23"/>
  <c r="G1587" i="23"/>
  <c r="E1684" i="23"/>
  <c r="F141" i="22"/>
  <c r="F176" i="22"/>
  <c r="E1031" i="23"/>
  <c r="A887" i="23"/>
  <c r="C568" i="23"/>
  <c r="H1387" i="23"/>
  <c r="B423" i="23"/>
  <c r="D979" i="23"/>
  <c r="A195" i="22"/>
  <c r="D62" i="23"/>
  <c r="A695" i="23"/>
  <c r="F1743" i="23"/>
  <c r="A1526" i="23"/>
  <c r="C1615" i="23"/>
  <c r="D938" i="23"/>
  <c r="A722" i="23"/>
  <c r="G818" i="23"/>
  <c r="H229" i="23"/>
  <c r="A1635" i="23"/>
  <c r="H1126" i="23"/>
  <c r="C747" i="23"/>
  <c r="G2195" i="23"/>
  <c r="H198" i="23"/>
  <c r="D1475" i="23"/>
  <c r="G838" i="23"/>
  <c r="C1175" i="23"/>
  <c r="A179" i="23"/>
  <c r="F313" i="23"/>
  <c r="H343" i="23"/>
  <c r="A273" i="22"/>
  <c r="G1138" i="23"/>
  <c r="A1430" i="23"/>
  <c r="G287" i="23"/>
  <c r="G1352" i="23"/>
  <c r="D1689" i="23"/>
  <c r="G761" i="23"/>
  <c r="F869" i="23"/>
  <c r="G2579" i="23"/>
  <c r="E2098" i="23"/>
  <c r="F2972" i="23"/>
  <c r="C1552" i="23"/>
  <c r="H594" i="23"/>
  <c r="A562" i="23"/>
  <c r="A1802" i="23"/>
  <c r="G17" i="23"/>
  <c r="H1807" i="23"/>
  <c r="D459" i="23"/>
  <c r="H867" i="23"/>
  <c r="E1398" i="23"/>
  <c r="E210" i="22"/>
  <c r="G132" i="22"/>
  <c r="C861" i="23"/>
  <c r="F924" i="23"/>
  <c r="D321" i="22"/>
  <c r="E1955" i="23"/>
  <c r="B113" i="22"/>
  <c r="D528" i="23"/>
  <c r="B1157" i="23"/>
  <c r="A1100" i="23"/>
  <c r="G2646" i="23"/>
  <c r="E1614" i="23"/>
  <c r="A802" i="23"/>
  <c r="D1991" i="23"/>
  <c r="G2750" i="23"/>
  <c r="C799" i="23"/>
  <c r="E653" i="23"/>
  <c r="H2755" i="23"/>
  <c r="H331" i="23"/>
  <c r="H1754" i="23"/>
  <c r="G1256" i="23"/>
  <c r="B1191" i="23"/>
  <c r="E1391" i="23"/>
  <c r="G1670" i="23"/>
  <c r="G2318" i="23"/>
  <c r="D2194" i="23"/>
  <c r="H1849" i="23"/>
  <c r="H1662" i="23"/>
  <c r="C1733" i="23"/>
  <c r="C1479" i="23"/>
  <c r="G1893" i="23"/>
  <c r="B700" i="23"/>
  <c r="C764" i="23"/>
  <c r="B571" i="23"/>
  <c r="E1212" i="23"/>
  <c r="C1490" i="23"/>
  <c r="F1656" i="23"/>
  <c r="H39" i="23"/>
  <c r="H1539" i="23"/>
  <c r="B1422" i="23"/>
  <c r="D1829" i="23"/>
  <c r="F2590" i="23"/>
  <c r="H2953" i="23"/>
  <c r="F466" i="23"/>
  <c r="E90" i="22"/>
  <c r="F317" i="23"/>
  <c r="C1819" i="23"/>
  <c r="H1061" i="23"/>
  <c r="A1426" i="23"/>
  <c r="A1108" i="23"/>
  <c r="H842" i="23"/>
  <c r="C2307" i="23"/>
  <c r="A1285" i="23"/>
  <c r="F7" i="22"/>
  <c r="F465" i="23"/>
  <c r="F1804" i="23"/>
  <c r="C1212" i="23"/>
  <c r="H2610" i="23"/>
  <c r="A156" i="23"/>
  <c r="H1038" i="23"/>
  <c r="G1452" i="23"/>
  <c r="B1210" i="23"/>
  <c r="H2199" i="23"/>
  <c r="E964" i="23"/>
  <c r="F1715" i="23"/>
  <c r="F291" i="23"/>
  <c r="G760" i="23"/>
  <c r="F771" i="23"/>
  <c r="H2802" i="23"/>
  <c r="H2070" i="23"/>
  <c r="D1139" i="23"/>
  <c r="E2305" i="23"/>
  <c r="H119" i="23"/>
  <c r="G607" i="23"/>
  <c r="D712" i="23"/>
  <c r="A2213" i="23"/>
  <c r="B413" i="23"/>
  <c r="C2122" i="23"/>
  <c r="E1575" i="23"/>
  <c r="E2020" i="23"/>
  <c r="H859" i="23"/>
  <c r="E1251" i="23"/>
  <c r="D984" i="23"/>
  <c r="B1004" i="23"/>
  <c r="E1203" i="23"/>
  <c r="H2543" i="23"/>
  <c r="F1560" i="23"/>
  <c r="G1804" i="23"/>
  <c r="H2945" i="23"/>
  <c r="H719" i="23"/>
  <c r="H2088" i="23"/>
  <c r="D356" i="23"/>
  <c r="F383" i="22"/>
  <c r="D587" i="23"/>
  <c r="E2223" i="23"/>
  <c r="D1388" i="23"/>
  <c r="A2252" i="23"/>
  <c r="C1290" i="23"/>
  <c r="B317" i="22"/>
  <c r="H52" i="23"/>
  <c r="A1497" i="23"/>
  <c r="G894" i="23"/>
  <c r="A1849" i="23"/>
  <c r="F607" i="23"/>
  <c r="D1940" i="23"/>
  <c r="B1979" i="23"/>
  <c r="D1920" i="23"/>
  <c r="A277" i="23"/>
  <c r="G2014" i="23"/>
  <c r="G2690" i="23"/>
  <c r="C62" i="22"/>
  <c r="D244" i="23"/>
  <c r="H1937" i="23"/>
  <c r="A450" i="23"/>
  <c r="G67" i="23"/>
  <c r="C2033" i="23"/>
  <c r="E2306" i="23"/>
  <c r="B425" i="23"/>
  <c r="H2644" i="23"/>
  <c r="G561" i="23"/>
  <c r="E1957" i="23"/>
  <c r="G206" i="23"/>
  <c r="H2207" i="23"/>
  <c r="F354" i="23"/>
  <c r="D1329" i="23"/>
  <c r="F2449" i="23"/>
  <c r="C2264" i="23"/>
  <c r="H57" i="23"/>
  <c r="C171" i="23"/>
  <c r="G1097" i="23"/>
  <c r="G45" i="23"/>
  <c r="C86" i="22"/>
  <c r="H469" i="23"/>
  <c r="E1639" i="23"/>
  <c r="E1738" i="23"/>
  <c r="E826" i="23"/>
  <c r="C1042" i="23"/>
  <c r="D1676" i="23"/>
  <c r="C1564" i="23"/>
  <c r="G1530" i="23"/>
  <c r="B1904" i="23"/>
  <c r="H2354" i="23"/>
  <c r="G2776" i="23"/>
  <c r="E1096" i="23"/>
  <c r="H173" i="23"/>
  <c r="G740" i="23"/>
  <c r="E1771" i="23"/>
  <c r="G2500" i="23"/>
  <c r="C1160" i="23"/>
  <c r="B1081" i="23"/>
  <c r="F279" i="23"/>
  <c r="D1571" i="23"/>
  <c r="F114" i="23"/>
  <c r="H1852" i="23"/>
  <c r="F1486" i="23"/>
  <c r="E1519" i="23"/>
  <c r="D1728" i="23"/>
  <c r="F2426" i="23"/>
  <c r="D382" i="23"/>
  <c r="G957" i="23"/>
  <c r="A65" i="23"/>
  <c r="C1077" i="23"/>
  <c r="H678" i="23"/>
  <c r="G186" i="22"/>
  <c r="F64" i="22"/>
  <c r="A1238" i="23"/>
  <c r="G2263" i="23"/>
  <c r="B311" i="22"/>
  <c r="G1017" i="23"/>
  <c r="H1448" i="23"/>
  <c r="F195" i="23"/>
  <c r="G1377" i="23"/>
  <c r="B839" i="23"/>
  <c r="A317" i="23"/>
  <c r="D352" i="22"/>
  <c r="F988" i="23"/>
  <c r="C965" i="23"/>
  <c r="E218" i="23"/>
  <c r="E857" i="23"/>
  <c r="C258" i="22"/>
  <c r="G2996" i="23"/>
  <c r="B675" i="23"/>
  <c r="A2055" i="23"/>
  <c r="E352" i="23"/>
  <c r="B546" i="23"/>
  <c r="C185" i="22"/>
  <c r="H500" i="23"/>
  <c r="B226" i="23"/>
  <c r="D1699" i="23"/>
  <c r="F2985" i="23"/>
  <c r="F789" i="23"/>
  <c r="B622" i="23"/>
  <c r="C393" i="22"/>
  <c r="E360" i="22"/>
  <c r="E52" i="22"/>
  <c r="B2009" i="23"/>
  <c r="H701" i="23"/>
  <c r="E1579" i="23"/>
  <c r="F1531" i="23"/>
  <c r="D2299" i="23"/>
  <c r="A1612" i="23"/>
  <c r="F254" i="22"/>
  <c r="H28" i="23"/>
  <c r="E1209" i="23"/>
  <c r="A582" i="23"/>
  <c r="G1836" i="23"/>
  <c r="A859" i="23"/>
  <c r="A184" i="23"/>
  <c r="G1637" i="23"/>
  <c r="E282" i="23"/>
  <c r="E33" i="23"/>
  <c r="D28" i="23"/>
  <c r="B1971" i="23"/>
  <c r="G1161" i="23"/>
  <c r="C1902" i="23"/>
  <c r="C1761" i="23"/>
  <c r="D1603" i="23"/>
  <c r="E1390" i="23"/>
  <c r="C103" i="23"/>
  <c r="B205" i="22"/>
  <c r="B1988" i="23"/>
  <c r="D1971" i="23"/>
  <c r="F1787" i="23"/>
  <c r="D1056" i="23"/>
  <c r="C176" i="23"/>
  <c r="H1049" i="23"/>
  <c r="F2413" i="23"/>
  <c r="G1230" i="23"/>
  <c r="H1614" i="23"/>
  <c r="E83" i="23"/>
  <c r="H1237" i="23"/>
  <c r="C927" i="23"/>
  <c r="F1192" i="23"/>
  <c r="A426" i="23"/>
  <c r="D249" i="22"/>
  <c r="H803" i="23"/>
  <c r="A145" i="22"/>
  <c r="C193" i="23"/>
  <c r="C1732" i="23"/>
  <c r="A35" i="22"/>
  <c r="G2617" i="23"/>
  <c r="F125" i="23"/>
  <c r="B438" i="23"/>
  <c r="F832" i="23"/>
  <c r="H2325" i="23"/>
  <c r="E1707" i="23"/>
  <c r="B986" i="23"/>
  <c r="H920" i="23"/>
  <c r="C957" i="23"/>
  <c r="B1162" i="23"/>
  <c r="F1368" i="23"/>
  <c r="B1937" i="23"/>
  <c r="H64" i="23"/>
  <c r="F365" i="23"/>
  <c r="C2121" i="23"/>
  <c r="E1943" i="23"/>
  <c r="C1010" i="23"/>
  <c r="D506" i="23"/>
  <c r="A527" i="23"/>
  <c r="F817" i="23"/>
  <c r="B1934" i="23"/>
  <c r="D1822" i="23"/>
  <c r="H1454" i="23"/>
  <c r="C146" i="22"/>
  <c r="G1562" i="23"/>
  <c r="E1965" i="23"/>
  <c r="C708" i="23"/>
  <c r="B57" i="23"/>
  <c r="D1068" i="23"/>
  <c r="H2750" i="23"/>
  <c r="D1611" i="23"/>
  <c r="G2614" i="23"/>
  <c r="G1566" i="23"/>
  <c r="C362" i="23"/>
  <c r="A51" i="22"/>
  <c r="B418" i="22"/>
  <c r="C434" i="23"/>
  <c r="D6" i="23"/>
  <c r="H2859" i="23"/>
  <c r="E353" i="23"/>
  <c r="G2188" i="23"/>
  <c r="H639" i="23"/>
  <c r="A2046" i="23"/>
  <c r="A1186" i="23"/>
  <c r="F537" i="23"/>
  <c r="G532" i="23"/>
  <c r="F1624" i="23"/>
  <c r="F2208" i="23"/>
  <c r="A1549" i="23"/>
  <c r="B1301" i="23"/>
  <c r="G2711" i="23"/>
  <c r="F609" i="23"/>
  <c r="C305" i="22"/>
  <c r="A328" i="23"/>
  <c r="D897" i="23"/>
  <c r="G1718" i="23"/>
  <c r="E624" i="23"/>
  <c r="G2330" i="23"/>
  <c r="D699" i="23"/>
  <c r="C1872" i="23"/>
  <c r="B2232" i="23"/>
  <c r="G698" i="23"/>
  <c r="E1824" i="23"/>
  <c r="G121" i="22"/>
  <c r="D1683" i="23"/>
  <c r="A2303" i="23"/>
  <c r="E2005" i="23"/>
  <c r="G1970" i="23"/>
  <c r="F1184" i="23"/>
  <c r="G1952" i="23"/>
  <c r="B959" i="23"/>
  <c r="E867" i="23"/>
  <c r="G1597" i="23"/>
  <c r="H1744" i="23"/>
  <c r="B373" i="23"/>
  <c r="D311" i="23"/>
  <c r="H2148" i="23"/>
  <c r="F2716" i="23"/>
  <c r="C1281" i="23"/>
  <c r="B193" i="23"/>
  <c r="E1309" i="23"/>
  <c r="F1653" i="23"/>
  <c r="H1470" i="23"/>
  <c r="F1626" i="23"/>
  <c r="B741" i="23"/>
  <c r="E243" i="23"/>
  <c r="C1265" i="23"/>
  <c r="D515" i="23"/>
  <c r="D1053" i="23"/>
  <c r="H1657" i="23"/>
  <c r="H1679" i="23"/>
  <c r="G1103" i="23"/>
  <c r="D1954" i="23"/>
  <c r="G2628" i="23"/>
  <c r="C982" i="23"/>
  <c r="G2515" i="23"/>
  <c r="A5" i="22"/>
  <c r="F1573" i="23"/>
  <c r="A2243" i="23"/>
  <c r="E724" i="23"/>
  <c r="E1555" i="23"/>
  <c r="F1782" i="23"/>
  <c r="G2702" i="23"/>
  <c r="C351" i="23"/>
  <c r="A419" i="22"/>
  <c r="G2296" i="23"/>
  <c r="D763" i="23"/>
  <c r="G2755" i="23"/>
  <c r="F169" i="22"/>
  <c r="C1084" i="23"/>
  <c r="F1113" i="23"/>
  <c r="E763" i="23"/>
  <c r="H37" i="22"/>
  <c r="D915" i="23"/>
  <c r="C675" i="23"/>
  <c r="G2404" i="23"/>
  <c r="G2068" i="23"/>
  <c r="F294" i="22"/>
  <c r="A360" i="23"/>
  <c r="C2155" i="23"/>
  <c r="F1695" i="23"/>
  <c r="G239" i="22"/>
  <c r="B44" i="23"/>
  <c r="C454" i="23"/>
  <c r="G699" i="23"/>
  <c r="C160" i="23"/>
  <c r="D2116" i="23"/>
  <c r="D1220" i="23"/>
  <c r="G130" i="22"/>
  <c r="H2647" i="23"/>
  <c r="F1322" i="23"/>
  <c r="H1419" i="23"/>
  <c r="H1336" i="23"/>
  <c r="H2230" i="23"/>
  <c r="F2270" i="23"/>
  <c r="B162" i="23"/>
  <c r="A428" i="22"/>
  <c r="H2670" i="23"/>
  <c r="H1180" i="23"/>
  <c r="G2449" i="23"/>
  <c r="D133" i="23"/>
  <c r="H2374" i="23"/>
  <c r="G907" i="23"/>
  <c r="H2707" i="23"/>
  <c r="E887" i="23"/>
  <c r="B256" i="23"/>
  <c r="C694" i="23"/>
  <c r="C290" i="23"/>
  <c r="C1169" i="23"/>
  <c r="B697" i="23"/>
  <c r="C1073" i="23"/>
  <c r="B1725" i="23"/>
  <c r="D1968" i="23"/>
  <c r="G2710" i="23"/>
  <c r="A1650" i="23"/>
  <c r="D52" i="22"/>
  <c r="E167" i="22"/>
  <c r="E254" i="22"/>
  <c r="F2664" i="23"/>
  <c r="A1351" i="23"/>
  <c r="G1564" i="23"/>
  <c r="F512" i="23"/>
  <c r="H1961" i="23"/>
  <c r="B2001" i="23"/>
  <c r="D1394" i="23"/>
  <c r="B2" i="23"/>
  <c r="B1638" i="23"/>
  <c r="G2294" i="23"/>
  <c r="G315" i="23"/>
  <c r="G2227" i="23"/>
  <c r="A1387" i="23"/>
  <c r="F1499" i="23"/>
  <c r="B1567" i="23"/>
  <c r="H622" i="23"/>
  <c r="G1676" i="23"/>
  <c r="F591" i="23"/>
  <c r="H1996" i="23"/>
  <c r="B991" i="23"/>
  <c r="B238" i="22"/>
  <c r="E1785" i="23"/>
  <c r="C377" i="22"/>
  <c r="G885" i="23"/>
  <c r="H1003" i="23"/>
  <c r="C85" i="22"/>
  <c r="H563" i="23"/>
  <c r="B1346" i="23"/>
  <c r="A1782" i="23"/>
  <c r="A2238" i="23"/>
  <c r="E56" i="23"/>
  <c r="B1890" i="23"/>
  <c r="E991" i="23"/>
  <c r="D725" i="23"/>
  <c r="D1467" i="23"/>
  <c r="C896" i="23"/>
  <c r="H1122" i="23"/>
  <c r="G1595" i="23"/>
  <c r="G386" i="23"/>
  <c r="F483" i="23"/>
  <c r="F1319" i="23"/>
  <c r="F935" i="23"/>
  <c r="D1678" i="23"/>
  <c r="D2226" i="23"/>
  <c r="G2980" i="23"/>
  <c r="D864" i="23"/>
  <c r="F319" i="23"/>
  <c r="C429" i="22"/>
  <c r="C1992" i="23"/>
  <c r="A288" i="22"/>
  <c r="G319" i="23"/>
  <c r="C456" i="23"/>
  <c r="E2240" i="23"/>
  <c r="A1209" i="23"/>
  <c r="C925" i="23"/>
  <c r="C733" i="23"/>
  <c r="E119" i="22"/>
  <c r="F387" i="23"/>
  <c r="C366" i="23"/>
  <c r="E1051" i="23"/>
  <c r="E19" i="22"/>
  <c r="G800" i="23"/>
  <c r="H595" i="23"/>
  <c r="C1536" i="23"/>
  <c r="H1297" i="23"/>
  <c r="C1631" i="23"/>
  <c r="D52" i="23"/>
  <c r="F1785" i="23"/>
  <c r="F1756" i="23"/>
  <c r="H525" i="23"/>
  <c r="D496" i="23"/>
  <c r="A881" i="23"/>
  <c r="E756" i="23"/>
  <c r="E270" i="23"/>
  <c r="D99" i="23"/>
  <c r="D2022" i="23"/>
  <c r="A1950" i="23"/>
  <c r="B131" i="23"/>
  <c r="D1810" i="23"/>
  <c r="C1499" i="23"/>
  <c r="B1171" i="23"/>
  <c r="D875" i="23"/>
  <c r="F2855" i="23"/>
  <c r="F1571" i="23"/>
  <c r="F2631" i="23"/>
  <c r="B768" i="23"/>
  <c r="B1125" i="23"/>
  <c r="F2902" i="23"/>
  <c r="E760" i="23"/>
  <c r="G143" i="22"/>
  <c r="G283" i="23"/>
  <c r="D1878" i="23"/>
  <c r="C755" i="23"/>
  <c r="D2060" i="23"/>
  <c r="H1847" i="23"/>
  <c r="B21" i="23"/>
  <c r="C283" i="22"/>
  <c r="G2084" i="23"/>
  <c r="F2184" i="23"/>
  <c r="E501" i="23"/>
  <c r="H2753" i="23"/>
  <c r="A1205" i="23"/>
  <c r="C1624" i="23"/>
  <c r="F71" i="23"/>
  <c r="A2006" i="23"/>
  <c r="C1477" i="23"/>
  <c r="A1183" i="23"/>
  <c r="A253" i="22"/>
  <c r="C541" i="23"/>
  <c r="D2234" i="23"/>
  <c r="H664" i="23"/>
  <c r="B2162" i="23"/>
  <c r="G467" i="23"/>
  <c r="C1452" i="23"/>
  <c r="D2174" i="23"/>
  <c r="B2122" i="23"/>
  <c r="F630" i="23"/>
  <c r="A676" i="23"/>
  <c r="C866" i="23"/>
  <c r="H2661" i="23"/>
  <c r="E1070" i="23"/>
  <c r="F2198" i="23"/>
  <c r="B1936" i="23"/>
  <c r="B1746" i="23"/>
  <c r="A814" i="23"/>
  <c r="H2195" i="23"/>
  <c r="D148" i="23"/>
  <c r="F2976" i="23"/>
  <c r="D850" i="23"/>
  <c r="E728" i="23"/>
  <c r="D1737" i="23"/>
  <c r="C114" i="23"/>
  <c r="H919" i="23"/>
  <c r="B350" i="23"/>
  <c r="C377" i="23"/>
  <c r="C1899" i="23"/>
  <c r="A2194" i="23"/>
  <c r="E617" i="23"/>
  <c r="F2107" i="23"/>
  <c r="C1108" i="23"/>
  <c r="D664" i="23"/>
  <c r="D942" i="23"/>
  <c r="B1753" i="23"/>
  <c r="H403" i="23"/>
  <c r="E476" i="23"/>
  <c r="A984" i="23"/>
  <c r="A2206" i="23"/>
  <c r="F1436" i="23"/>
  <c r="B99" i="23"/>
  <c r="F1208" i="23"/>
  <c r="G2041" i="23"/>
  <c r="F2294" i="23"/>
  <c r="G171" i="23"/>
  <c r="A697" i="23"/>
  <c r="A342" i="22"/>
  <c r="D32" i="23"/>
  <c r="G1346" i="23"/>
  <c r="G1266" i="23"/>
  <c r="F1153" i="23"/>
  <c r="E479" i="23"/>
  <c r="H695" i="23"/>
  <c r="G1656" i="23"/>
  <c r="A997" i="23"/>
  <c r="A2154" i="23"/>
  <c r="A247" i="23"/>
  <c r="B443" i="23"/>
  <c r="G2028" i="23"/>
  <c r="B82" i="22"/>
  <c r="A733" i="23"/>
  <c r="B602" i="23"/>
  <c r="E1539" i="23"/>
  <c r="G1704" i="23"/>
  <c r="A2307" i="23"/>
  <c r="D1448" i="23"/>
  <c r="D551" i="23"/>
  <c r="A1498" i="23"/>
  <c r="G1828" i="23"/>
  <c r="H1578" i="23"/>
  <c r="H21" i="23"/>
  <c r="C1715" i="23"/>
  <c r="C2082" i="23"/>
  <c r="D1212" i="23"/>
  <c r="F185" i="23"/>
  <c r="H1644" i="23"/>
  <c r="F407" i="22"/>
  <c r="D1187" i="23"/>
  <c r="E816" i="23"/>
  <c r="E327" i="23"/>
  <c r="B968" i="23"/>
  <c r="H1833" i="23"/>
  <c r="G243" i="23"/>
  <c r="E343" i="23"/>
  <c r="A1775" i="23"/>
  <c r="F1067" i="23"/>
  <c r="G2854" i="23"/>
  <c r="G252" i="23"/>
  <c r="H2915" i="23"/>
  <c r="H1739" i="23"/>
  <c r="H1620" i="23"/>
  <c r="F1058" i="23"/>
  <c r="H2165" i="23"/>
  <c r="G2409" i="23"/>
  <c r="B2147" i="23"/>
  <c r="G1653" i="23"/>
  <c r="C276" i="23"/>
  <c r="D1049" i="23"/>
  <c r="A333" i="23"/>
  <c r="D1226" i="23"/>
  <c r="F1346" i="23"/>
  <c r="G331" i="22"/>
  <c r="B1381" i="23"/>
  <c r="D326" i="22"/>
  <c r="A1154" i="23"/>
  <c r="A441" i="23"/>
  <c r="B290" i="22"/>
  <c r="F323" i="23"/>
  <c r="E1241" i="23"/>
  <c r="C1383" i="23"/>
  <c r="D1440" i="23"/>
  <c r="D303" i="23"/>
  <c r="A1023" i="23"/>
  <c r="F2135" i="23"/>
  <c r="H1060" i="23"/>
  <c r="E170" i="22"/>
  <c r="D739" i="23"/>
  <c r="A160" i="23"/>
  <c r="D281" i="23"/>
  <c r="E1907" i="23"/>
  <c r="B42" i="23"/>
  <c r="C1610" i="23"/>
  <c r="D1000" i="23"/>
  <c r="G437" i="23"/>
  <c r="E661" i="23"/>
  <c r="E2067" i="23"/>
  <c r="E324" i="22"/>
  <c r="F2533" i="23"/>
  <c r="E1126" i="23"/>
  <c r="H2715" i="23"/>
  <c r="D1159" i="23"/>
  <c r="G274" i="23"/>
  <c r="B563" i="23"/>
  <c r="E383" i="23"/>
  <c r="D107" i="23"/>
  <c r="H94" i="22"/>
  <c r="H508" i="23"/>
  <c r="H267" i="23"/>
  <c r="C664" i="23"/>
  <c r="C2028" i="23"/>
  <c r="B900" i="23"/>
  <c r="H2769" i="23"/>
  <c r="H2336" i="23"/>
  <c r="H1120" i="23"/>
  <c r="A1052" i="23"/>
  <c r="C1396" i="23"/>
  <c r="C2034" i="23"/>
  <c r="D1035" i="23"/>
  <c r="C271" i="22"/>
  <c r="D60" i="23"/>
  <c r="A226" i="22"/>
  <c r="C953" i="23"/>
  <c r="E1741" i="23"/>
  <c r="A1563" i="23"/>
  <c r="B1133" i="23"/>
  <c r="C941" i="23"/>
  <c r="D1770" i="23"/>
  <c r="H2530" i="23"/>
  <c r="G2437" i="23"/>
  <c r="H2775" i="23"/>
  <c r="A23" i="23"/>
  <c r="F2801" i="23"/>
  <c r="H1838" i="23"/>
  <c r="A90" i="22"/>
  <c r="H185" i="23"/>
  <c r="B1648" i="23"/>
  <c r="G402" i="23"/>
  <c r="E781" i="23"/>
  <c r="G2585" i="23"/>
  <c r="E343" i="22"/>
  <c r="H1577" i="23"/>
  <c r="D221" i="23"/>
  <c r="C1765" i="23"/>
  <c r="G1391" i="23"/>
  <c r="G2700" i="23"/>
  <c r="B236" i="22"/>
  <c r="F2484" i="23"/>
  <c r="H2334" i="23"/>
  <c r="H1812" i="23"/>
  <c r="B357" i="22"/>
  <c r="A321" i="23"/>
  <c r="F74" i="22"/>
  <c r="B201" i="23"/>
  <c r="E1859" i="23"/>
  <c r="G2623" i="23"/>
  <c r="H642" i="23"/>
  <c r="E1220" i="23"/>
  <c r="G307" i="22"/>
  <c r="B761" i="23"/>
  <c r="H1050" i="23"/>
  <c r="E1636" i="23"/>
  <c r="F1622" i="23"/>
  <c r="F604" i="23"/>
  <c r="H449" i="23"/>
  <c r="G21" i="22"/>
  <c r="D847" i="23"/>
  <c r="D704" i="23"/>
  <c r="A1032" i="23"/>
  <c r="H820" i="23"/>
  <c r="G2399" i="23"/>
  <c r="G1089" i="23"/>
  <c r="C259" i="22"/>
  <c r="G2452" i="23"/>
  <c r="C151" i="23"/>
  <c r="H900" i="23"/>
  <c r="G2920" i="23"/>
  <c r="C1861" i="23"/>
  <c r="F261" i="23"/>
  <c r="H2476" i="23"/>
  <c r="F1431" i="23"/>
  <c r="B623" i="23"/>
  <c r="D1461" i="23"/>
  <c r="F2736" i="23"/>
  <c r="G1131" i="23"/>
  <c r="G655" i="23"/>
  <c r="A408" i="22"/>
  <c r="D1252" i="23"/>
  <c r="D377" i="23"/>
  <c r="A16" i="22"/>
  <c r="C1663" i="23"/>
  <c r="F62" i="23"/>
  <c r="F2143" i="23"/>
  <c r="C883" i="23"/>
  <c r="G2831" i="23"/>
  <c r="E1065" i="23"/>
  <c r="C87" i="22"/>
  <c r="C1799" i="23"/>
  <c r="E152" i="22"/>
  <c r="C13" i="22"/>
  <c r="H673" i="23"/>
  <c r="H522" i="23"/>
  <c r="G2052" i="23"/>
  <c r="C912" i="23"/>
  <c r="F1883" i="23"/>
  <c r="H606" i="23"/>
  <c r="A425" i="22"/>
  <c r="C197" i="22"/>
  <c r="A663" i="23"/>
  <c r="G2131" i="23"/>
  <c r="H443" i="23"/>
  <c r="D128" i="23"/>
  <c r="D1914" i="23"/>
  <c r="A163" i="22"/>
  <c r="G2941" i="23"/>
  <c r="F1925" i="23"/>
  <c r="B321" i="22"/>
  <c r="A438" i="23"/>
  <c r="B766" i="23"/>
  <c r="A356" i="22"/>
  <c r="C615" i="23"/>
  <c r="G1105" i="23"/>
  <c r="F107" i="22"/>
  <c r="A872" i="23"/>
  <c r="B1885" i="23"/>
  <c r="D1983" i="23"/>
  <c r="C387" i="23"/>
  <c r="G1364" i="23"/>
  <c r="F643" i="23"/>
  <c r="G1582" i="23"/>
  <c r="A518" i="23"/>
  <c r="C2235" i="23"/>
  <c r="D616" i="23"/>
  <c r="G144" i="23"/>
  <c r="B2318" i="23"/>
  <c r="C2259" i="23"/>
  <c r="A436" i="23"/>
  <c r="E1361" i="23"/>
  <c r="F2578" i="23"/>
  <c r="B263" i="23"/>
  <c r="D1842" i="23"/>
  <c r="G1658" i="23"/>
  <c r="G32" i="22"/>
  <c r="C241" i="22"/>
  <c r="B1467" i="23"/>
  <c r="G2191" i="23"/>
  <c r="D2287" i="23"/>
  <c r="F615" i="23"/>
  <c r="H531" i="23"/>
  <c r="E1202" i="23"/>
  <c r="E195" i="22"/>
  <c r="A318" i="22"/>
  <c r="A45" i="23"/>
  <c r="D453" i="23"/>
  <c r="D329" i="23"/>
  <c r="E2159" i="23"/>
  <c r="B294" i="22"/>
  <c r="G2255" i="23"/>
  <c r="E1350" i="23"/>
  <c r="H245" i="23"/>
  <c r="G129" i="22"/>
  <c r="B1707" i="23"/>
  <c r="H292" i="23"/>
  <c r="D429" i="22"/>
  <c r="F358" i="23"/>
  <c r="D1765" i="23"/>
  <c r="F13" i="23"/>
  <c r="E149" i="23"/>
  <c r="C2166" i="23"/>
  <c r="C418" i="22"/>
  <c r="G93" i="23"/>
  <c r="E804" i="23"/>
  <c r="D63" i="22"/>
  <c r="E2107" i="23"/>
  <c r="E422" i="23"/>
  <c r="B1025" i="23"/>
  <c r="D1045" i="23"/>
  <c r="D28" i="22"/>
  <c r="H2026" i="23"/>
  <c r="A252" i="22"/>
  <c r="E1893" i="23"/>
  <c r="A729" i="23"/>
  <c r="D1721" i="23"/>
  <c r="A1749" i="23"/>
  <c r="G403" i="22"/>
  <c r="G377" i="23"/>
  <c r="H891" i="23"/>
  <c r="E238" i="22"/>
  <c r="D1471" i="23"/>
  <c r="B1014" i="23"/>
  <c r="E379" i="22"/>
  <c r="H186" i="23"/>
  <c r="A790" i="23"/>
  <c r="A1706" i="23"/>
  <c r="F2526" i="23"/>
  <c r="D21" i="22"/>
  <c r="E82" i="22"/>
  <c r="F1305" i="23"/>
  <c r="H2380" i="23"/>
  <c r="E2318" i="23"/>
  <c r="B1545" i="23"/>
  <c r="E1429" i="23"/>
  <c r="C990" i="23"/>
  <c r="A2147" i="23"/>
  <c r="H117" i="23"/>
  <c r="A1949" i="23"/>
  <c r="G335" i="23"/>
  <c r="F1468" i="23"/>
  <c r="E886" i="23"/>
  <c r="C625" i="23"/>
  <c r="F178" i="23"/>
  <c r="E778" i="23"/>
  <c r="G246" i="23"/>
  <c r="D517" i="23"/>
  <c r="A2284" i="23"/>
  <c r="G2244" i="23"/>
  <c r="F2281" i="23"/>
  <c r="C1016" i="23"/>
  <c r="H1589" i="23"/>
  <c r="A1080" i="23"/>
  <c r="C1511" i="23"/>
  <c r="G1124" i="23"/>
  <c r="C213" i="23"/>
  <c r="B1044" i="23"/>
  <c r="D1916" i="23"/>
  <c r="B302" i="23"/>
  <c r="E746" i="23"/>
  <c r="F1241" i="23"/>
  <c r="G765" i="23"/>
  <c r="F388" i="23"/>
  <c r="D1483" i="23"/>
  <c r="H1259" i="23"/>
  <c r="G134" i="23"/>
  <c r="E223" i="23"/>
  <c r="B1969" i="23"/>
  <c r="H995" i="23"/>
  <c r="D1160" i="23"/>
  <c r="B2236" i="23"/>
  <c r="E621" i="23"/>
  <c r="A1548" i="23"/>
  <c r="B2158" i="23"/>
  <c r="E1995" i="23"/>
  <c r="D2151" i="23"/>
  <c r="G1615" i="23"/>
  <c r="D1289" i="23"/>
  <c r="B284" i="22"/>
  <c r="B1657" i="23"/>
  <c r="A1045" i="23"/>
  <c r="C1553" i="23"/>
  <c r="A693" i="23"/>
  <c r="F2341" i="23"/>
  <c r="H1783" i="23"/>
  <c r="B1629" i="23"/>
  <c r="C662" i="23"/>
  <c r="D1476" i="23"/>
  <c r="H138" i="23"/>
  <c r="F891" i="23"/>
  <c r="B1523" i="23"/>
  <c r="B769" i="23"/>
  <c r="H2783" i="23"/>
  <c r="H2710" i="23"/>
  <c r="B459" i="23"/>
  <c r="G963" i="23"/>
  <c r="C1930" i="23"/>
  <c r="F1344" i="23"/>
  <c r="D1962" i="23"/>
  <c r="C292" i="22"/>
  <c r="F30" i="23"/>
  <c r="F1708" i="23"/>
  <c r="C170" i="23"/>
  <c r="G2341" i="23"/>
  <c r="H2673" i="23"/>
  <c r="B1887" i="23"/>
  <c r="G1898" i="23"/>
  <c r="A1731" i="23"/>
  <c r="H1545" i="23"/>
  <c r="F2131" i="23"/>
  <c r="A254" i="23"/>
  <c r="G829" i="23"/>
  <c r="H813" i="23"/>
  <c r="E708" i="23"/>
  <c r="C1003" i="23"/>
  <c r="G1579" i="23"/>
  <c r="C1314" i="23"/>
  <c r="B1511" i="23"/>
  <c r="H412" i="23"/>
  <c r="E854" i="23"/>
  <c r="D906" i="23"/>
  <c r="B1815" i="23"/>
  <c r="B764" i="23"/>
  <c r="E615" i="23"/>
  <c r="F592" i="23"/>
  <c r="A557" i="23"/>
  <c r="C485" i="23"/>
  <c r="B104" i="23"/>
  <c r="G1208" i="23"/>
  <c r="C796" i="23"/>
  <c r="A532" i="23"/>
  <c r="C11" i="23"/>
  <c r="D758" i="23"/>
  <c r="E1855" i="23"/>
  <c r="A171" i="22"/>
  <c r="C1936" i="23"/>
  <c r="H2420" i="23"/>
  <c r="E355" i="23"/>
  <c r="G1602" i="23"/>
  <c r="E2192" i="23"/>
  <c r="B2246" i="23"/>
  <c r="G1784" i="23"/>
  <c r="C1369" i="23"/>
  <c r="H1018" i="23"/>
  <c r="F564" i="23"/>
  <c r="E2150" i="23"/>
  <c r="F605" i="23"/>
  <c r="C1513" i="23"/>
  <c r="H2559" i="23"/>
  <c r="G1574" i="23"/>
  <c r="H1642" i="23"/>
  <c r="F2494" i="23"/>
  <c r="F2022" i="23"/>
  <c r="H855" i="23"/>
  <c r="G197" i="22"/>
  <c r="B762" i="23"/>
  <c r="F1687" i="23"/>
  <c r="C116" i="22"/>
  <c r="A1564" i="23"/>
  <c r="H1626" i="23"/>
  <c r="F557" i="23"/>
  <c r="F363" i="23"/>
  <c r="H374" i="23"/>
  <c r="A842" i="23"/>
  <c r="G316" i="23"/>
  <c r="B259" i="22"/>
  <c r="F947" i="23"/>
  <c r="B1639" i="23"/>
  <c r="H212" i="23"/>
  <c r="G1053" i="23"/>
  <c r="E2173" i="23"/>
  <c r="D1299" i="23"/>
  <c r="G832" i="23"/>
  <c r="H2284" i="23"/>
  <c r="A1309" i="23"/>
  <c r="A1286" i="23"/>
  <c r="C2172" i="23"/>
  <c r="B176" i="23"/>
  <c r="C1321" i="23"/>
  <c r="C1068" i="23"/>
  <c r="B211" i="22"/>
  <c r="C1576" i="23"/>
  <c r="A360" i="22"/>
  <c r="A460" i="23"/>
  <c r="F259" i="23"/>
  <c r="B2206" i="23"/>
  <c r="E84" i="23"/>
  <c r="F1550" i="23"/>
  <c r="E325" i="22"/>
  <c r="F2570" i="23"/>
  <c r="E1269" i="23"/>
  <c r="H1151" i="23"/>
  <c r="E156" i="22"/>
  <c r="B1240" i="23"/>
  <c r="E289" i="23"/>
  <c r="H2495" i="23"/>
  <c r="D484" i="23"/>
  <c r="H217" i="23"/>
  <c r="D1787" i="23"/>
  <c r="H2964" i="23"/>
  <c r="A63" i="22"/>
  <c r="F2884" i="23"/>
  <c r="A1329" i="23"/>
  <c r="D15" i="23"/>
  <c r="D2173" i="23"/>
  <c r="D931" i="23"/>
  <c r="G1950" i="23"/>
  <c r="C1224" i="23"/>
  <c r="G2678" i="23"/>
  <c r="C641" i="23"/>
  <c r="A1586" i="23"/>
  <c r="A1608" i="23"/>
  <c r="A120" i="22"/>
  <c r="B1217" i="23"/>
  <c r="A79" i="23"/>
  <c r="G1410" i="23"/>
  <c r="B1378" i="23"/>
  <c r="H274" i="23"/>
  <c r="D1860" i="23"/>
  <c r="F2899" i="23"/>
  <c r="G2469" i="23"/>
  <c r="F2120" i="23"/>
  <c r="B1510" i="23"/>
  <c r="C284" i="23"/>
  <c r="H1076" i="23"/>
  <c r="B1226" i="23"/>
  <c r="G2233" i="23"/>
  <c r="D1375" i="23"/>
  <c r="A1367" i="23"/>
  <c r="G2657" i="23"/>
  <c r="H2071" i="23"/>
  <c r="D594" i="23"/>
  <c r="E2189" i="23"/>
  <c r="E1215" i="23"/>
  <c r="C194" i="22"/>
  <c r="B1073" i="23"/>
  <c r="F1890" i="23"/>
  <c r="A1493" i="23"/>
  <c r="A388" i="22"/>
  <c r="E1434" i="23"/>
  <c r="C1372" i="23"/>
  <c r="B1541" i="23"/>
  <c r="F2495" i="23"/>
  <c r="G998" i="23"/>
  <c r="G2150" i="23"/>
  <c r="B2305" i="23"/>
  <c r="E1204" i="23"/>
  <c r="C69" i="22"/>
  <c r="F209" i="22"/>
  <c r="F1212" i="23"/>
  <c r="E1703" i="23"/>
  <c r="A1112" i="23"/>
  <c r="F1286" i="23"/>
  <c r="F572" i="23"/>
  <c r="D1057" i="23"/>
  <c r="D1567" i="23"/>
  <c r="H1962" i="23"/>
  <c r="D1502" i="23"/>
  <c r="B2151" i="23"/>
  <c r="E579" i="23"/>
  <c r="B2245" i="23"/>
  <c r="B313" i="22"/>
  <c r="H2855" i="23"/>
  <c r="B619" i="23"/>
  <c r="B760" i="23"/>
  <c r="E1018" i="23"/>
  <c r="D981" i="23"/>
  <c r="B115" i="22"/>
  <c r="E665" i="23"/>
  <c r="B97" i="23"/>
  <c r="G2922" i="23"/>
  <c r="F725" i="23"/>
  <c r="F2622" i="23"/>
  <c r="H2258" i="23"/>
  <c r="C670" i="23"/>
  <c r="F828" i="23"/>
  <c r="G2774" i="23"/>
  <c r="E2166" i="23"/>
  <c r="C2162" i="23"/>
  <c r="E600" i="23"/>
  <c r="B367" i="22"/>
  <c r="H1164" i="23"/>
  <c r="G1611" i="23"/>
  <c r="C263" i="23"/>
  <c r="F266" i="23"/>
  <c r="B564" i="23"/>
  <c r="G2278" i="23"/>
  <c r="G722" i="23"/>
  <c r="F106" i="23"/>
  <c r="A169" i="23"/>
  <c r="B191" i="23"/>
  <c r="G1990" i="23"/>
  <c r="A578" i="23"/>
  <c r="C1402" i="23"/>
  <c r="D728" i="23"/>
  <c r="A1609" i="23"/>
  <c r="G2387" i="23"/>
  <c r="G983" i="23"/>
  <c r="E250" i="22"/>
  <c r="C1088" i="23"/>
  <c r="B2237" i="23"/>
  <c r="A2066" i="23"/>
  <c r="F1553" i="23"/>
  <c r="D950" i="23"/>
  <c r="E1794" i="23"/>
  <c r="A1705" i="23"/>
  <c r="G786" i="23"/>
  <c r="C168" i="22"/>
  <c r="D96" i="23"/>
  <c r="D953" i="23"/>
  <c r="E304" i="22"/>
  <c r="A1963" i="23"/>
  <c r="G39" i="22"/>
  <c r="H753" i="23"/>
  <c r="D1827" i="23"/>
  <c r="C2132" i="23"/>
  <c r="H401" i="23"/>
  <c r="C126" i="23"/>
  <c r="E265" i="23"/>
  <c r="D267" i="22"/>
  <c r="G2822" i="23"/>
  <c r="E42" i="23"/>
  <c r="G1495" i="23"/>
  <c r="H1641" i="23"/>
  <c r="E1626" i="23"/>
  <c r="E2255" i="23"/>
  <c r="C195" i="22"/>
  <c r="A82" i="22"/>
  <c r="F1731" i="23"/>
  <c r="B163" i="22"/>
  <c r="G202" i="22"/>
  <c r="G1831" i="23"/>
  <c r="B588" i="23"/>
  <c r="G1833" i="23"/>
  <c r="C1095" i="23"/>
  <c r="B1539" i="23"/>
  <c r="E2262" i="23"/>
  <c r="D1573" i="23"/>
  <c r="E2145" i="23"/>
  <c r="C2092" i="23"/>
  <c r="F1409" i="23"/>
  <c r="E277" i="23"/>
  <c r="A125" i="22"/>
  <c r="H490" i="23"/>
  <c r="B1898" i="23"/>
  <c r="G70" i="22"/>
  <c r="B1899" i="23"/>
  <c r="E1611" i="23"/>
  <c r="H1201" i="23"/>
  <c r="H2952" i="23"/>
  <c r="D26" i="22"/>
  <c r="H1721" i="23"/>
  <c r="D1088" i="23"/>
  <c r="B2046" i="23"/>
  <c r="H1459" i="23"/>
  <c r="E87" i="22"/>
  <c r="F2776" i="23"/>
  <c r="E1615" i="23"/>
  <c r="H617" i="23"/>
  <c r="H1537" i="23"/>
  <c r="C693" i="23"/>
  <c r="E736" i="23"/>
  <c r="G709" i="23"/>
  <c r="E191" i="22"/>
  <c r="G62" i="23"/>
  <c r="C1657" i="23"/>
  <c r="H2882" i="23"/>
  <c r="B926" i="23"/>
  <c r="D824" i="23"/>
  <c r="H1305" i="23"/>
  <c r="C776" i="23"/>
  <c r="G1121" i="23"/>
  <c r="C2284" i="23"/>
  <c r="E1141" i="23"/>
  <c r="E334" i="23"/>
  <c r="C186" i="23"/>
  <c r="G1679" i="23"/>
  <c r="G2202" i="23"/>
  <c r="C1939" i="23"/>
  <c r="H1355" i="23"/>
  <c r="E2179" i="23"/>
  <c r="G1926" i="23"/>
  <c r="H252" i="23"/>
  <c r="B225" i="23"/>
  <c r="C248" i="22"/>
  <c r="C1041" i="23"/>
  <c r="D702" i="23"/>
  <c r="C244" i="23"/>
  <c r="C967" i="23"/>
  <c r="G1251" i="23"/>
  <c r="E1708" i="23"/>
  <c r="F1304" i="23"/>
  <c r="F2420" i="23"/>
  <c r="G2731" i="23"/>
  <c r="H1928" i="23"/>
  <c r="D874" i="23"/>
  <c r="G1388" i="23"/>
  <c r="F1045" i="23"/>
  <c r="A229" i="22"/>
  <c r="A962" i="23"/>
  <c r="E1195" i="23"/>
  <c r="H2231" i="23"/>
  <c r="H1142" i="23"/>
  <c r="E1161" i="23"/>
  <c r="F1451" i="23"/>
  <c r="C35" i="23"/>
  <c r="E1810" i="23"/>
  <c r="D389" i="22"/>
  <c r="B1536" i="23"/>
  <c r="F2982" i="23"/>
  <c r="E374" i="22"/>
  <c r="C1592" i="23"/>
  <c r="B1764" i="23"/>
  <c r="A2221" i="23"/>
  <c r="B387" i="22"/>
  <c r="G911" i="23"/>
  <c r="A1093" i="23"/>
  <c r="D1309" i="23"/>
  <c r="H2219" i="23"/>
  <c r="E1007" i="23"/>
  <c r="G1991" i="23"/>
  <c r="B1736" i="23"/>
  <c r="H769" i="23"/>
  <c r="D83" i="22"/>
  <c r="E1384" i="23"/>
  <c r="E408" i="23"/>
  <c r="H52" i="22"/>
  <c r="H543" i="23"/>
  <c r="F530" i="23"/>
  <c r="A2179" i="23"/>
  <c r="A322" i="22"/>
  <c r="A662" i="23"/>
  <c r="H2076" i="23"/>
  <c r="G1491" i="23"/>
  <c r="G2723" i="23"/>
  <c r="E911" i="23"/>
  <c r="D403" i="23"/>
  <c r="G99" i="22"/>
  <c r="F242" i="22"/>
  <c r="A83" i="22"/>
  <c r="G172" i="23"/>
  <c r="G1277" i="23"/>
  <c r="B2258" i="23"/>
  <c r="E1009" i="23"/>
  <c r="B2254" i="23"/>
  <c r="D1126" i="23"/>
  <c r="F596" i="23"/>
  <c r="F716" i="23"/>
  <c r="A332" i="23"/>
  <c r="B1287" i="23"/>
  <c r="F383" i="23"/>
  <c r="A142" i="22"/>
  <c r="F1297" i="23"/>
  <c r="D2137" i="23"/>
  <c r="G1578" i="23"/>
  <c r="H1634" i="23"/>
  <c r="D547" i="23"/>
  <c r="H1772" i="23"/>
  <c r="E698" i="23"/>
  <c r="H2245" i="23"/>
  <c r="G175" i="23"/>
  <c r="E1153" i="23"/>
  <c r="F192" i="23"/>
  <c r="H818" i="23"/>
  <c r="F370" i="23"/>
  <c r="A1857" i="23"/>
  <c r="F98" i="22"/>
  <c r="C1778" i="23"/>
  <c r="G72" i="22"/>
  <c r="G2078" i="23"/>
  <c r="G1339" i="23"/>
  <c r="G1834" i="23"/>
  <c r="E324" i="23"/>
  <c r="G2483" i="23"/>
  <c r="G1984" i="23"/>
  <c r="F112" i="22"/>
  <c r="F2493" i="23"/>
  <c r="F1385" i="23"/>
  <c r="C1565" i="23"/>
  <c r="E2060" i="23"/>
  <c r="A1800" i="23"/>
  <c r="F2085" i="23"/>
  <c r="H1111" i="23"/>
  <c r="F2731" i="23"/>
  <c r="F573" i="23"/>
  <c r="G1774" i="23"/>
  <c r="H992" i="23"/>
  <c r="H2131" i="23"/>
  <c r="D1588" i="23"/>
  <c r="H2189" i="23"/>
  <c r="B538" i="23"/>
  <c r="F1362" i="23"/>
  <c r="G2109" i="23"/>
  <c r="C1870" i="23"/>
  <c r="B2217" i="23"/>
  <c r="G511" i="23"/>
  <c r="D319" i="23"/>
  <c r="G1470" i="23"/>
  <c r="B1463" i="23"/>
  <c r="H1934" i="23"/>
  <c r="E776" i="23"/>
  <c r="H538" i="23"/>
  <c r="C740" i="23"/>
  <c r="H2963" i="23"/>
  <c r="H359" i="23"/>
  <c r="F1772" i="23"/>
  <c r="A1595" i="23"/>
  <c r="H1354" i="23"/>
  <c r="C443" i="23"/>
  <c r="F95" i="22"/>
  <c r="B1501" i="23"/>
  <c r="H2810" i="23"/>
  <c r="H368" i="23"/>
  <c r="E480" i="23"/>
  <c r="H1516" i="23"/>
  <c r="C1231" i="23"/>
  <c r="H2897" i="23"/>
  <c r="H2926" i="23"/>
  <c r="F153" i="22"/>
  <c r="H1669" i="23"/>
  <c r="B170" i="22"/>
  <c r="C211" i="23"/>
  <c r="F2471" i="23"/>
  <c r="F2009" i="23"/>
  <c r="H1661" i="23"/>
  <c r="B268" i="23"/>
  <c r="H2408" i="23"/>
  <c r="D526" i="23"/>
  <c r="H504" i="23"/>
  <c r="H2595" i="23"/>
  <c r="E1440" i="23"/>
  <c r="E1484" i="23"/>
  <c r="F1873" i="23"/>
  <c r="A1624" i="23"/>
  <c r="C108" i="23"/>
  <c r="D670" i="23"/>
  <c r="H1338" i="23"/>
  <c r="H1645" i="23"/>
  <c r="D333" i="22"/>
  <c r="G1654" i="23"/>
  <c r="C1835" i="23"/>
  <c r="G141" i="22"/>
  <c r="F1997" i="23"/>
  <c r="A1445" i="23"/>
  <c r="F734" i="23"/>
  <c r="D1312" i="23"/>
  <c r="F1911" i="23"/>
  <c r="D1036" i="23"/>
  <c r="A2220" i="23"/>
  <c r="E2094" i="23"/>
  <c r="D1150" i="23"/>
  <c r="E596" i="23"/>
  <c r="C1590" i="23"/>
  <c r="G26" i="22"/>
  <c r="F1716" i="23"/>
  <c r="H711" i="23"/>
  <c r="F2620" i="23"/>
  <c r="A377" i="23"/>
  <c r="G1032" i="23"/>
  <c r="G266" i="22"/>
  <c r="E251" i="22"/>
  <c r="F2898" i="23"/>
  <c r="E560" i="23"/>
  <c r="C407" i="22"/>
  <c r="E312" i="22"/>
  <c r="D1324" i="23"/>
  <c r="C6" i="23"/>
  <c r="B1803" i="23"/>
  <c r="H2411" i="23"/>
  <c r="F1189" i="23"/>
  <c r="H1371" i="23"/>
  <c r="C181" i="22"/>
  <c r="H790" i="23"/>
  <c r="E1980" i="23"/>
  <c r="C1951" i="23"/>
  <c r="H1746" i="23"/>
  <c r="F2978" i="23"/>
  <c r="B626" i="23"/>
  <c r="D1339" i="23"/>
  <c r="G139" i="23"/>
  <c r="C1210" i="23"/>
  <c r="H40" i="22"/>
  <c r="C1476" i="23"/>
  <c r="A207" i="23"/>
  <c r="A2111" i="23"/>
  <c r="D353" i="23"/>
  <c r="E202" i="22"/>
  <c r="B1461" i="23"/>
  <c r="F2455" i="23"/>
  <c r="B569" i="23"/>
  <c r="D414" i="22"/>
  <c r="G1433" i="23"/>
  <c r="G1687" i="23"/>
  <c r="G2461" i="23"/>
  <c r="F1318" i="23"/>
  <c r="H244" i="23"/>
  <c r="F2739" i="23"/>
  <c r="G396" i="23"/>
  <c r="E393" i="23"/>
  <c r="F202" i="22"/>
  <c r="D955" i="23"/>
  <c r="D1593" i="23"/>
  <c r="A1375" i="23"/>
  <c r="A2031" i="23"/>
  <c r="G10" i="23"/>
  <c r="D837" i="23"/>
  <c r="E916" i="23"/>
  <c r="F30" i="22"/>
  <c r="D295" i="22"/>
  <c r="F763" i="23"/>
  <c r="H313" i="23"/>
  <c r="E679" i="23"/>
  <c r="A1156" i="23"/>
  <c r="B1699" i="23"/>
  <c r="F2704" i="23"/>
  <c r="G672" i="23"/>
  <c r="H279" i="23"/>
  <c r="E2104" i="23"/>
  <c r="C243" i="22"/>
  <c r="G2352" i="23"/>
  <c r="C1800" i="23"/>
  <c r="G1167" i="23"/>
  <c r="G198" i="22"/>
  <c r="E664" i="23"/>
  <c r="F1187" i="23"/>
  <c r="G182" i="22"/>
  <c r="B477" i="23"/>
  <c r="C1877" i="23"/>
  <c r="B110" i="22"/>
  <c r="H2966" i="23"/>
  <c r="A182" i="22"/>
  <c r="F2487" i="23"/>
  <c r="H2104" i="23"/>
  <c r="D1370" i="23"/>
  <c r="C2109" i="23"/>
  <c r="F1084" i="23"/>
  <c r="A1160" i="23"/>
  <c r="H80" i="23"/>
  <c r="B1986" i="23"/>
  <c r="G206" i="22"/>
  <c r="C524" i="23"/>
  <c r="F2960" i="23"/>
  <c r="C1102" i="23"/>
  <c r="A1361" i="23"/>
  <c r="D250" i="23"/>
  <c r="E406" i="23"/>
  <c r="F1869" i="23"/>
  <c r="D2092" i="23"/>
  <c r="A316" i="22"/>
  <c r="A1872" i="23"/>
  <c r="E999" i="23"/>
  <c r="G1042" i="23"/>
  <c r="C130" i="22"/>
  <c r="F1581" i="23"/>
  <c r="H1797" i="23"/>
  <c r="B1362" i="23"/>
  <c r="B127" i="23"/>
  <c r="H2021" i="23"/>
  <c r="G543" i="23"/>
  <c r="A766" i="23"/>
  <c r="D1015" i="23"/>
  <c r="G1209" i="23"/>
  <c r="E2232" i="23"/>
  <c r="H1182" i="23"/>
  <c r="H1785" i="23"/>
  <c r="H100" i="23"/>
  <c r="F75" i="23"/>
  <c r="G1719" i="23"/>
  <c r="A569" i="23"/>
  <c r="F1802" i="23"/>
  <c r="C1500" i="23"/>
  <c r="H147" i="23"/>
  <c r="D1366" i="23"/>
  <c r="H2628" i="23"/>
  <c r="C1994" i="23"/>
  <c r="A1441" i="23"/>
  <c r="A332" i="22"/>
  <c r="D1355" i="23"/>
  <c r="E2198" i="23"/>
  <c r="G121" i="23"/>
  <c r="E847" i="23"/>
  <c r="B531" i="23"/>
  <c r="B1363" i="23"/>
  <c r="H340" i="23"/>
  <c r="B179" i="23"/>
  <c r="C1024" i="23"/>
  <c r="H2193" i="23"/>
  <c r="B243" i="23"/>
  <c r="G1196" i="23"/>
  <c r="A86" i="22"/>
  <c r="H1611" i="23"/>
  <c r="A26" i="22"/>
  <c r="F2566" i="23"/>
  <c r="G2346" i="23"/>
  <c r="D1982" i="23"/>
  <c r="D1308" i="23"/>
  <c r="H1172" i="23"/>
  <c r="F2243" i="23"/>
  <c r="D204" i="23"/>
  <c r="F2544" i="23"/>
  <c r="E656" i="23"/>
  <c r="G150" i="23"/>
  <c r="G874" i="23"/>
  <c r="G269" i="23"/>
  <c r="H1381" i="23"/>
  <c r="G2841" i="23"/>
  <c r="A390" i="22"/>
  <c r="D142" i="23"/>
  <c r="G358" i="23"/>
  <c r="E99" i="22"/>
  <c r="D55" i="23"/>
  <c r="B1339" i="23"/>
  <c r="C268" i="22"/>
  <c r="F1923" i="23"/>
  <c r="F284" i="22"/>
  <c r="A424" i="23"/>
  <c r="F2183" i="23"/>
  <c r="H273" i="23"/>
  <c r="B1149" i="23"/>
  <c r="C172" i="22"/>
  <c r="H2427" i="23"/>
  <c r="C1352" i="23"/>
  <c r="F551" i="23"/>
  <c r="D2209" i="23"/>
  <c r="E1026" i="23"/>
  <c r="D1280" i="23"/>
  <c r="A2112" i="23"/>
  <c r="A1988" i="23"/>
  <c r="C2160" i="23"/>
  <c r="C900" i="23"/>
  <c r="B2243" i="23"/>
  <c r="C1629" i="23"/>
  <c r="C1083" i="23"/>
  <c r="F2168" i="23"/>
  <c r="B703" i="23"/>
  <c r="A214" i="22"/>
  <c r="E331" i="23"/>
  <c r="H1633" i="23"/>
  <c r="F1191" i="23"/>
  <c r="C316" i="23"/>
  <c r="F1694" i="23"/>
  <c r="E1123" i="23"/>
  <c r="D192" i="22"/>
  <c r="B145" i="23"/>
  <c r="B2127" i="23"/>
  <c r="G2568" i="23"/>
  <c r="E1974" i="23"/>
  <c r="E285" i="22"/>
  <c r="D562" i="23"/>
  <c r="E1842" i="23"/>
  <c r="C2096" i="23"/>
  <c r="F961" i="23"/>
  <c r="C1738" i="23"/>
  <c r="C1339" i="23"/>
  <c r="F2415" i="23"/>
  <c r="E1500" i="23"/>
  <c r="A1244" i="23"/>
  <c r="B878" i="23"/>
  <c r="G1076" i="23"/>
  <c r="A671" i="23"/>
  <c r="G8" i="23"/>
  <c r="H2794" i="23"/>
  <c r="H984" i="23"/>
  <c r="A1197" i="23"/>
  <c r="G1139" i="23"/>
  <c r="H2970" i="23"/>
  <c r="C318" i="23"/>
  <c r="G111" i="23"/>
  <c r="F2920" i="23"/>
  <c r="H1155" i="23"/>
  <c r="F2312" i="23"/>
  <c r="H1533" i="23"/>
  <c r="D132" i="22"/>
  <c r="G2412" i="23"/>
  <c r="D2180" i="23"/>
  <c r="A1466" i="23"/>
  <c r="F1840" i="23"/>
  <c r="D809" i="23"/>
  <c r="E283" i="22"/>
  <c r="A2250" i="23"/>
  <c r="H2512" i="23"/>
  <c r="D118" i="22"/>
  <c r="G1977" i="23"/>
  <c r="A381" i="23"/>
  <c r="B909" i="23"/>
  <c r="H1026" i="23"/>
  <c r="A2201" i="23"/>
  <c r="B1380" i="23"/>
  <c r="B323" i="22"/>
  <c r="A2110" i="23"/>
  <c r="C1815" i="23"/>
  <c r="F21" i="22"/>
  <c r="H1407" i="23"/>
  <c r="F656" i="23"/>
  <c r="D666" i="23"/>
  <c r="B2068" i="23"/>
  <c r="F139" i="22"/>
  <c r="D603" i="23"/>
  <c r="C697" i="23"/>
  <c r="H2012" i="23"/>
  <c r="G2161" i="23"/>
  <c r="E29" i="23"/>
  <c r="A549" i="23"/>
  <c r="E1751" i="23"/>
  <c r="A1967" i="23"/>
  <c r="C327" i="23"/>
  <c r="F2389" i="23"/>
  <c r="D1162" i="23"/>
  <c r="F368" i="23"/>
  <c r="B2234" i="23"/>
  <c r="C2180" i="23"/>
  <c r="D316" i="22"/>
  <c r="G117" i="23"/>
  <c r="A641" i="23"/>
  <c r="E1979" i="23"/>
  <c r="G2949" i="23"/>
  <c r="F132" i="22"/>
  <c r="B1419" i="23"/>
  <c r="E1798" i="23"/>
  <c r="D320" i="22"/>
  <c r="H702" i="23"/>
  <c r="D348" i="23"/>
  <c r="A324" i="22"/>
  <c r="B2079" i="23"/>
  <c r="G2392" i="23"/>
  <c r="D263" i="22"/>
  <c r="A1903" i="23"/>
  <c r="E1217" i="23"/>
  <c r="C548" i="23"/>
  <c r="D2310" i="23"/>
  <c r="F15" i="23"/>
  <c r="C1471" i="23"/>
  <c r="D632" i="23"/>
  <c r="H2728" i="23"/>
  <c r="B264" i="23"/>
  <c r="C668" i="23"/>
  <c r="B255" i="23"/>
  <c r="H1690" i="23"/>
  <c r="B1676" i="23"/>
  <c r="A2235" i="23"/>
  <c r="A820" i="23"/>
  <c r="B1901" i="23"/>
  <c r="H2238" i="23"/>
  <c r="B33" i="22"/>
  <c r="H618" i="23"/>
  <c r="H1948" i="23"/>
  <c r="G633" i="23"/>
  <c r="A446" i="23"/>
  <c r="A133" i="23"/>
  <c r="G1655" i="23"/>
  <c r="A1218" i="23"/>
  <c r="E2214" i="23"/>
  <c r="A691" i="23"/>
  <c r="B1427" i="23"/>
  <c r="B2145" i="23"/>
  <c r="H366" i="23"/>
  <c r="G1038" i="23"/>
  <c r="H2497" i="23"/>
  <c r="E123" i="22"/>
  <c r="F1246" i="23"/>
  <c r="C2277" i="23"/>
  <c r="C768" i="23"/>
  <c r="E109" i="23"/>
  <c r="H67" i="23"/>
  <c r="C317" i="23"/>
  <c r="C1046" i="23"/>
  <c r="B54" i="22"/>
  <c r="F26" i="23"/>
  <c r="D2258" i="23"/>
  <c r="C2272" i="23"/>
  <c r="F437" i="23"/>
  <c r="F50" i="22"/>
  <c r="G630" i="23"/>
  <c r="H485" i="23"/>
  <c r="C932" i="23"/>
  <c r="B539" i="23"/>
  <c r="E774" i="23"/>
  <c r="C2232" i="23"/>
  <c r="H792" i="23"/>
  <c r="E566" i="23"/>
  <c r="B523" i="23"/>
  <c r="A493" i="23"/>
  <c r="D1279" i="23"/>
  <c r="A613" i="23"/>
  <c r="E2205" i="23"/>
  <c r="G1205" i="23"/>
  <c r="F2252" i="23"/>
  <c r="D988" i="23"/>
  <c r="C792" i="23"/>
  <c r="D296" i="23"/>
  <c r="F2119" i="23"/>
  <c r="H2440" i="23"/>
  <c r="H1373" i="23"/>
  <c r="H1736" i="23"/>
  <c r="G1618" i="23"/>
  <c r="D11" i="23"/>
  <c r="C2115" i="23"/>
  <c r="F713" i="23"/>
  <c r="G106" i="22"/>
  <c r="A612" i="23"/>
  <c r="H2499" i="23"/>
  <c r="F598" i="23"/>
  <c r="D1899" i="23"/>
  <c r="D201" i="23"/>
  <c r="H877" i="23"/>
  <c r="H1691" i="23"/>
  <c r="G1819" i="23"/>
  <c r="D273" i="22"/>
  <c r="E943" i="23"/>
  <c r="B920" i="23"/>
  <c r="D154" i="23"/>
  <c r="E761" i="23"/>
  <c r="E1112" i="23"/>
  <c r="H1865" i="23"/>
  <c r="F1070" i="23"/>
  <c r="E116" i="23"/>
  <c r="E224" i="22"/>
  <c r="G696" i="23"/>
  <c r="D1680" i="23"/>
  <c r="E539" i="23"/>
  <c r="A412" i="22"/>
  <c r="G1847" i="23"/>
  <c r="E415" i="22"/>
  <c r="H2552" i="23"/>
  <c r="B861" i="23"/>
  <c r="D2185" i="23"/>
  <c r="E224" i="23"/>
  <c r="D722" i="23"/>
  <c r="G1136" i="23"/>
  <c r="D362" i="22"/>
  <c r="A793" i="23"/>
  <c r="C926" i="23"/>
  <c r="B1131" i="23"/>
  <c r="A143" i="22"/>
  <c r="C1638" i="23"/>
  <c r="C1116" i="23"/>
  <c r="E1044" i="23"/>
  <c r="B1654" i="23"/>
  <c r="F374" i="22"/>
  <c r="H76" i="22"/>
  <c r="E2126" i="23"/>
  <c r="F165" i="22"/>
  <c r="G694" i="23"/>
  <c r="B784" i="23"/>
  <c r="D97" i="22"/>
  <c r="F2536" i="23"/>
  <c r="F1583" i="23"/>
  <c r="G2654" i="23"/>
  <c r="E1634" i="23"/>
  <c r="E1776" i="23"/>
  <c r="A75" i="22"/>
  <c r="A79" i="22"/>
  <c r="G2739" i="23"/>
  <c r="G1449" i="23"/>
  <c r="A246" i="22"/>
  <c r="G1090" i="23"/>
  <c r="C1627" i="23"/>
  <c r="E1277" i="23"/>
  <c r="G2359" i="23"/>
  <c r="C1081" i="23"/>
  <c r="A271" i="22"/>
  <c r="F1662" i="23"/>
  <c r="H290" i="23"/>
  <c r="A1412" i="23"/>
  <c r="F1674" i="23"/>
  <c r="B192" i="23"/>
  <c r="G2740" i="23"/>
  <c r="C111" i="22"/>
  <c r="H1986" i="23"/>
  <c r="C1136" i="23"/>
  <c r="D1253" i="23"/>
  <c r="F2915" i="23"/>
  <c r="B1706" i="23"/>
  <c r="G541" i="23"/>
  <c r="B1959" i="23"/>
  <c r="B1972" i="23"/>
  <c r="C1701" i="23"/>
  <c r="D1869" i="23"/>
  <c r="H2800" i="23"/>
  <c r="B1475" i="23"/>
  <c r="D404" i="22"/>
  <c r="C1510" i="23"/>
  <c r="A1540" i="23"/>
  <c r="G2805" i="23"/>
  <c r="D2121" i="23"/>
  <c r="H54" i="23"/>
  <c r="D684" i="23"/>
  <c r="H33" i="23"/>
  <c r="D494" i="23"/>
  <c r="B2095" i="23"/>
  <c r="D1146" i="23"/>
  <c r="A1324" i="23"/>
  <c r="C532" i="23"/>
  <c r="D92" i="22"/>
  <c r="B292" i="22"/>
  <c r="A1559" i="23"/>
  <c r="H225" i="23"/>
  <c r="G483" i="23"/>
  <c r="D1707" i="23"/>
  <c r="B723" i="23"/>
  <c r="A2311" i="23"/>
  <c r="A500" i="23"/>
  <c r="G474" i="23"/>
  <c r="E140" i="22"/>
  <c r="H2133" i="23"/>
  <c r="G2592" i="23"/>
  <c r="E234" i="23"/>
  <c r="G2502" i="23"/>
  <c r="E132" i="23"/>
  <c r="C1080" i="23"/>
  <c r="H2450" i="23"/>
  <c r="G1608" i="23"/>
  <c r="G945" i="23"/>
  <c r="E2074" i="23"/>
  <c r="C1925" i="23"/>
  <c r="F842" i="23"/>
  <c r="G314" i="23"/>
  <c r="D2084" i="23"/>
  <c r="E2004" i="23"/>
  <c r="G1415" i="23"/>
  <c r="B967" i="23"/>
  <c r="D321" i="23"/>
  <c r="G2845" i="23"/>
  <c r="B2010" i="23"/>
  <c r="C885" i="23"/>
  <c r="F1480" i="23"/>
  <c r="B1364" i="23"/>
  <c r="D1168" i="23"/>
  <c r="G55" i="22"/>
  <c r="F394" i="22"/>
  <c r="G780" i="23"/>
  <c r="F1001" i="23"/>
  <c r="A381" i="22"/>
  <c r="H2702" i="23"/>
  <c r="D1358" i="23"/>
  <c r="G379" i="22"/>
  <c r="D2309" i="23"/>
  <c r="F1552" i="23"/>
  <c r="B2019" i="23"/>
  <c r="H829" i="23"/>
  <c r="F1591" i="23"/>
  <c r="F2064" i="23"/>
  <c r="F2084" i="23"/>
  <c r="B1075" i="23"/>
  <c r="C1205" i="23"/>
  <c r="B634" i="23"/>
  <c r="A1034" i="23"/>
  <c r="B1968" i="23"/>
  <c r="B1384" i="23"/>
  <c r="E1264" i="23"/>
  <c r="B69" i="22"/>
  <c r="A770" i="23"/>
  <c r="E1371" i="23"/>
  <c r="C1221" i="23"/>
  <c r="E1586" i="23"/>
  <c r="H2876" i="23"/>
  <c r="G2946" i="23"/>
  <c r="A2293" i="23"/>
  <c r="C928" i="23"/>
  <c r="B842" i="23"/>
  <c r="H621" i="23"/>
  <c r="E568" i="23"/>
  <c r="C380" i="22"/>
  <c r="G2856" i="23"/>
  <c r="B1540" i="23"/>
  <c r="H1853" i="23"/>
  <c r="E751" i="23"/>
  <c r="C247" i="23"/>
  <c r="B2049" i="23"/>
  <c r="E367" i="23"/>
  <c r="F51" i="22"/>
  <c r="B820" i="23"/>
  <c r="F1663" i="23"/>
  <c r="G1659" i="23"/>
  <c r="C210" i="23"/>
  <c r="A18" i="23"/>
  <c r="F1980" i="23"/>
  <c r="D2096" i="23"/>
  <c r="E249" i="22"/>
  <c r="G994" i="23"/>
  <c r="E241" i="23"/>
  <c r="A1225" i="23"/>
  <c r="C627" i="23"/>
  <c r="H5" i="23"/>
  <c r="F1151" i="23"/>
  <c r="E1094" i="23"/>
  <c r="A1142" i="23"/>
  <c r="B929" i="23"/>
  <c r="A131" i="23"/>
  <c r="H1017" i="23"/>
  <c r="A2282" i="23"/>
  <c r="H1587" i="23"/>
  <c r="G2797" i="23"/>
  <c r="C1856" i="23"/>
  <c r="H399" i="23"/>
  <c r="G2808" i="23"/>
  <c r="C1032" i="23"/>
  <c r="E267" i="22"/>
  <c r="E2161" i="23"/>
  <c r="B783" i="23"/>
  <c r="E1424" i="23"/>
  <c r="G1793" i="23"/>
  <c r="D870" i="23"/>
  <c r="G1372" i="23"/>
  <c r="C101" i="22"/>
  <c r="G1554" i="23"/>
  <c r="B1651" i="23"/>
  <c r="D1655" i="23"/>
  <c r="F634" i="23"/>
  <c r="D1995" i="23"/>
  <c r="G210" i="22"/>
  <c r="H1498" i="23"/>
  <c r="F167" i="23"/>
  <c r="B397" i="23"/>
  <c r="H2535" i="23"/>
  <c r="G356" i="22"/>
  <c r="B519" i="23"/>
  <c r="E168" i="23"/>
  <c r="B578" i="23"/>
  <c r="A2127" i="23"/>
  <c r="C306" i="22"/>
  <c r="E508" i="23"/>
  <c r="F503" i="23"/>
  <c r="F443" i="23"/>
  <c r="B416" i="23"/>
  <c r="D1977" i="23"/>
  <c r="B393" i="22"/>
  <c r="G1179" i="23"/>
  <c r="A542" i="23"/>
  <c r="E525" i="23"/>
  <c r="E1801" i="23"/>
  <c r="C1057" i="23"/>
  <c r="H2811" i="23"/>
  <c r="G2492" i="23"/>
  <c r="E686" i="23"/>
  <c r="F593" i="23"/>
  <c r="E1395" i="23"/>
  <c r="F2621" i="23"/>
  <c r="B1860" i="23"/>
  <c r="H332" i="23"/>
  <c r="H344" i="23"/>
  <c r="C138" i="22"/>
  <c r="B68" i="22"/>
  <c r="D1402" i="23"/>
  <c r="D610" i="23"/>
  <c r="A2045" i="23"/>
  <c r="A363" i="23"/>
  <c r="G2906" i="23"/>
  <c r="C1746" i="23"/>
  <c r="A351" i="23"/>
  <c r="G495" i="23"/>
  <c r="A1636" i="23"/>
  <c r="D911" i="23"/>
  <c r="D2082" i="23"/>
  <c r="H1256" i="23"/>
  <c r="H1759" i="23"/>
  <c r="G981" i="23"/>
  <c r="A845" i="23"/>
  <c r="E543" i="23"/>
  <c r="B137" i="23"/>
  <c r="F334" i="23"/>
  <c r="B514" i="23"/>
  <c r="D814" i="23"/>
  <c r="C2048" i="23"/>
  <c r="C1747" i="23"/>
  <c r="H1658" i="23"/>
  <c r="D707" i="23"/>
  <c r="C247" i="22"/>
  <c r="C1675" i="23"/>
  <c r="D1892" i="23"/>
  <c r="D878" i="23"/>
  <c r="G785" i="23"/>
  <c r="E650" i="23"/>
  <c r="E2069" i="23"/>
  <c r="B430" i="23"/>
  <c r="D1528" i="23"/>
  <c r="B307" i="22"/>
  <c r="G1710" i="23"/>
  <c r="H2845" i="23"/>
  <c r="C1418" i="23"/>
  <c r="D538" i="23"/>
  <c r="B2102" i="23"/>
  <c r="H934" i="23"/>
  <c r="F1323" i="23"/>
  <c r="C865" i="23"/>
  <c r="D1098" i="23"/>
  <c r="G1955" i="23"/>
  <c r="G1696" i="23"/>
  <c r="C842" i="23"/>
  <c r="H110" i="23"/>
  <c r="A741" i="23"/>
  <c r="H2886" i="23"/>
  <c r="D199" i="22"/>
  <c r="F188" i="22"/>
  <c r="B1189" i="23"/>
  <c r="A1150" i="23"/>
  <c r="H152" i="23"/>
  <c r="D368" i="22"/>
  <c r="F123" i="23"/>
  <c r="H2028" i="23"/>
  <c r="G2925" i="23"/>
  <c r="D2015" i="23"/>
  <c r="H420" i="23"/>
  <c r="F70" i="22"/>
  <c r="H208" i="23"/>
  <c r="C242" i="23"/>
  <c r="B1250" i="23"/>
  <c r="A1692" i="23"/>
  <c r="C291" i="22"/>
  <c r="F1015" i="23"/>
  <c r="E246" i="23"/>
  <c r="A306" i="22"/>
  <c r="D641" i="23"/>
  <c r="A1808" i="23"/>
  <c r="F1576" i="23"/>
  <c r="B616" i="23"/>
  <c r="E1773" i="23"/>
  <c r="G1304" i="23"/>
  <c r="F325" i="22"/>
  <c r="H79" i="23"/>
  <c r="A1182" i="23"/>
  <c r="D289" i="23"/>
  <c r="F1055" i="23"/>
  <c r="F973" i="23"/>
  <c r="G2312" i="23"/>
  <c r="C795" i="23"/>
  <c r="H943" i="23"/>
  <c r="F307" i="22"/>
  <c r="A39" i="23"/>
  <c r="H1001" i="23"/>
  <c r="A884" i="23"/>
  <c r="A92" i="23"/>
  <c r="B170" i="23"/>
  <c r="A369" i="23"/>
  <c r="G52" i="23"/>
  <c r="F1619" i="23"/>
  <c r="H393" i="23"/>
  <c r="G1465" i="23"/>
  <c r="D2197" i="23"/>
  <c r="G254" i="23"/>
  <c r="A140" i="22"/>
  <c r="B2174" i="23"/>
  <c r="G2969" i="23"/>
  <c r="E1677" i="23"/>
  <c r="H794" i="23"/>
  <c r="F2598" i="23"/>
  <c r="F2750" i="23"/>
  <c r="E258" i="23"/>
  <c r="C55" i="23"/>
  <c r="B1507" i="23"/>
  <c r="D2149" i="23"/>
  <c r="C446" i="23"/>
  <c r="E1001" i="23"/>
  <c r="D849" i="23"/>
  <c r="F2991" i="23"/>
  <c r="F1038" i="23"/>
  <c r="E1936" i="23"/>
  <c r="A244" i="22"/>
  <c r="A6" i="22"/>
  <c r="E1146" i="23"/>
  <c r="H2457" i="23"/>
  <c r="C1453" i="23"/>
  <c r="G232" i="22"/>
  <c r="G1988" i="23"/>
  <c r="E41" i="22"/>
  <c r="B296" i="23"/>
  <c r="A1746" i="23"/>
  <c r="A1733" i="23"/>
  <c r="E154" i="22"/>
  <c r="E1572" i="23"/>
  <c r="A1325" i="23"/>
  <c r="B144" i="22"/>
  <c r="H1314" i="23"/>
  <c r="C1422" i="23"/>
  <c r="B2154" i="23"/>
  <c r="C1381" i="23"/>
  <c r="B1208" i="23"/>
  <c r="C1789" i="23"/>
  <c r="G2498" i="23"/>
  <c r="H733" i="23"/>
  <c r="D1438" i="23"/>
  <c r="F1967" i="23"/>
  <c r="E1392" i="23"/>
  <c r="B1388" i="23"/>
  <c r="E390" i="23"/>
  <c r="G1624" i="23"/>
  <c r="F989" i="23"/>
  <c r="B323" i="23"/>
  <c r="G889" i="23"/>
  <c r="E1861" i="23"/>
  <c r="E237" i="22"/>
  <c r="D752" i="23"/>
  <c r="E1529" i="23"/>
  <c r="D1423" i="23"/>
  <c r="A1178" i="23"/>
  <c r="F985" i="23"/>
  <c r="B240" i="23"/>
  <c r="C81" i="22"/>
  <c r="E139" i="23"/>
  <c r="H634" i="23"/>
  <c r="A299" i="22"/>
  <c r="D1896" i="23"/>
  <c r="E24" i="22"/>
  <c r="E675" i="23"/>
  <c r="D2140" i="23"/>
  <c r="G1601" i="23"/>
  <c r="F35" i="23"/>
  <c r="A60" i="22"/>
  <c r="A1363" i="23"/>
  <c r="B2296" i="23"/>
  <c r="E2202" i="23"/>
  <c r="G2757" i="23"/>
  <c r="B419" i="23"/>
  <c r="E1192" i="23"/>
  <c r="D1855" i="23"/>
  <c r="F918" i="23"/>
  <c r="C504" i="23"/>
  <c r="E404" i="23"/>
  <c r="C83" i="23"/>
  <c r="H2597" i="23"/>
  <c r="A331" i="22"/>
  <c r="G730" i="23"/>
  <c r="A1088" i="23"/>
  <c r="E1850" i="23"/>
  <c r="H486" i="23"/>
  <c r="B806" i="23"/>
  <c r="D203" i="22"/>
  <c r="C63" i="23"/>
  <c r="E371" i="23"/>
  <c r="H2136" i="23"/>
  <c r="C2091" i="23"/>
  <c r="H2549" i="23"/>
  <c r="A781" i="23"/>
  <c r="G801" i="23"/>
  <c r="D1570" i="23"/>
  <c r="F740" i="23"/>
  <c r="D1079" i="23"/>
  <c r="D935" i="23"/>
  <c r="E1135" i="23"/>
  <c r="G240" i="23"/>
  <c r="A619" i="23"/>
  <c r="F2363" i="23"/>
  <c r="E340" i="23"/>
  <c r="B570" i="23"/>
  <c r="F534" i="23"/>
  <c r="B1886" i="23"/>
  <c r="E363" i="22"/>
  <c r="D1092" i="23"/>
  <c r="E2083" i="23"/>
  <c r="D347" i="23"/>
  <c r="G1869" i="23"/>
  <c r="A200" i="22"/>
  <c r="H1990" i="23"/>
  <c r="G2334" i="23"/>
  <c r="A1766" i="23"/>
  <c r="E2230" i="23"/>
  <c r="G847" i="23"/>
  <c r="C1064" i="23"/>
  <c r="B1721" i="23"/>
  <c r="D980" i="23"/>
  <c r="F1556" i="23"/>
  <c r="G2002" i="23"/>
  <c r="D2219" i="23"/>
  <c r="C417" i="23"/>
  <c r="E1036" i="23"/>
  <c r="A1089" i="23"/>
  <c r="E1959" i="23"/>
  <c r="F324" i="23"/>
  <c r="B332" i="23"/>
  <c r="B2287" i="23"/>
  <c r="F1995" i="23"/>
  <c r="A1506" i="23"/>
  <c r="H1051" i="23"/>
  <c r="F1750" i="23"/>
  <c r="A2217" i="23"/>
  <c r="D640" i="23"/>
  <c r="A791" i="23"/>
  <c r="C1318" i="23"/>
  <c r="G159" i="23"/>
  <c r="F2921" i="23"/>
  <c r="D236" i="23"/>
  <c r="D696" i="23"/>
  <c r="G1678" i="23"/>
  <c r="G1279" i="23"/>
  <c r="H79" i="22"/>
  <c r="H1270" i="23"/>
  <c r="F406" i="23"/>
  <c r="H2895" i="23"/>
  <c r="F756" i="23"/>
  <c r="H312" i="23"/>
  <c r="B47" i="23"/>
  <c r="G217" i="22"/>
  <c r="H2458" i="23"/>
  <c r="F2666" i="23"/>
  <c r="D2025" i="23"/>
  <c r="G1244" i="23"/>
  <c r="A779" i="23"/>
  <c r="F2680" i="23"/>
  <c r="G477" i="23"/>
  <c r="A1035" i="23"/>
  <c r="A45" i="22"/>
  <c r="F61" i="23"/>
  <c r="E181" i="22"/>
  <c r="D2267" i="23"/>
  <c r="G41" i="22"/>
  <c r="D208" i="23"/>
  <c r="C1419" i="23"/>
  <c r="D1803" i="23"/>
  <c r="F400" i="22"/>
  <c r="C844" i="23"/>
  <c r="C683" i="23"/>
  <c r="A50" i="22"/>
  <c r="B1277" i="23"/>
  <c r="A28" i="23"/>
  <c r="A238" i="23"/>
  <c r="E385" i="22"/>
  <c r="H1791" i="23"/>
  <c r="F815" i="23"/>
  <c r="A1884" i="23"/>
  <c r="G347" i="23"/>
  <c r="C1984" i="23"/>
  <c r="A782" i="23"/>
  <c r="H2808" i="23"/>
  <c r="H1442" i="23"/>
  <c r="H1086" i="23"/>
  <c r="A181" i="23"/>
  <c r="A1867" i="23"/>
  <c r="B2040" i="23"/>
  <c r="F1308" i="23"/>
  <c r="B7" i="22"/>
  <c r="G1358" i="23"/>
  <c r="G371" i="23"/>
  <c r="F1497" i="23"/>
  <c r="H1531" i="23"/>
  <c r="C1002" i="23"/>
  <c r="F113" i="23"/>
  <c r="E851" i="23"/>
  <c r="D1978" i="23"/>
  <c r="B1431" i="23"/>
  <c r="F1669" i="23"/>
  <c r="H1860" i="23"/>
  <c r="F258" i="23"/>
  <c r="C1357" i="23"/>
  <c r="F1885" i="23"/>
  <c r="D1269" i="23"/>
  <c r="D2108" i="23"/>
  <c r="D927" i="23"/>
  <c r="E2208" i="23"/>
  <c r="C1646" i="23"/>
  <c r="H35" i="23"/>
  <c r="E1074" i="23"/>
  <c r="E64" i="22"/>
  <c r="D630" i="23"/>
  <c r="B43" i="23"/>
  <c r="D1095" i="23"/>
  <c r="D1194" i="23"/>
  <c r="C298" i="23"/>
  <c r="G296" i="23"/>
  <c r="D1725" i="23"/>
  <c r="G1108" i="23"/>
  <c r="F2113" i="23"/>
  <c r="G2303" i="23"/>
  <c r="G2915" i="23"/>
  <c r="E2153" i="23"/>
  <c r="E44" i="22"/>
  <c r="G2876" i="23"/>
  <c r="A2191" i="23"/>
  <c r="E462" i="23"/>
  <c r="D1234" i="23"/>
  <c r="H227" i="23"/>
  <c r="F801" i="23"/>
  <c r="G2456" i="23"/>
  <c r="A396" i="22"/>
  <c r="H2160" i="23"/>
  <c r="E2309" i="23"/>
  <c r="D781" i="23"/>
  <c r="D945" i="23"/>
  <c r="A2138" i="23"/>
  <c r="B1847" i="23"/>
  <c r="G1596" i="23"/>
  <c r="G1883" i="23"/>
  <c r="C915" i="23"/>
  <c r="G1845" i="23"/>
  <c r="H192" i="23"/>
  <c r="G285" i="23"/>
  <c r="F219" i="23"/>
  <c r="H2930" i="23"/>
  <c r="H684" i="23"/>
  <c r="H2168" i="23"/>
  <c r="D35" i="22"/>
  <c r="G2864" i="23"/>
  <c r="G224" i="22"/>
  <c r="D397" i="23"/>
  <c r="C293" i="22"/>
  <c r="D644" i="23"/>
  <c r="F136" i="22"/>
  <c r="F2542" i="23"/>
  <c r="B2259" i="23"/>
  <c r="F193" i="23"/>
  <c r="C1051" i="23"/>
  <c r="F475" i="23"/>
  <c r="C1752" i="23"/>
  <c r="B1017" i="23"/>
  <c r="H1395" i="23"/>
  <c r="E359" i="23"/>
  <c r="B999" i="23"/>
  <c r="D2054" i="23"/>
  <c r="G1541" i="23"/>
  <c r="D37" i="22"/>
  <c r="A280" i="22"/>
  <c r="G294" i="22"/>
  <c r="A341" i="22"/>
  <c r="G2826" i="23"/>
  <c r="F228" i="22"/>
  <c r="C810" i="23"/>
  <c r="D2224" i="23"/>
  <c r="H2824" i="23"/>
  <c r="D1284" i="23"/>
  <c r="C64" i="23"/>
  <c r="A1141" i="23"/>
  <c r="C1101" i="23"/>
  <c r="B663" i="23"/>
  <c r="F144" i="23"/>
  <c r="D104" i="23"/>
  <c r="A1421" i="23"/>
  <c r="A694" i="23"/>
  <c r="F14" i="23"/>
  <c r="D1625" i="23"/>
  <c r="E147" i="22"/>
  <c r="E452" i="23"/>
  <c r="H2888" i="23"/>
  <c r="C631" i="23"/>
  <c r="B583" i="23"/>
  <c r="E159" i="22"/>
  <c r="A1140" i="23"/>
  <c r="G1384" i="23"/>
  <c r="G724" i="23"/>
  <c r="C253" i="22"/>
  <c r="F1103" i="23"/>
  <c r="H170" i="23"/>
  <c r="C1150" i="23"/>
  <c r="G424" i="23"/>
  <c r="D199" i="23"/>
  <c r="C2097" i="23"/>
  <c r="D292" i="23"/>
  <c r="E72" i="23"/>
  <c r="G1014" i="23"/>
  <c r="B411" i="22"/>
  <c r="A1602" i="23"/>
  <c r="D1271" i="23"/>
  <c r="F419" i="22"/>
  <c r="H776" i="23"/>
  <c r="A11" i="23"/>
  <c r="F737" i="23"/>
  <c r="A1652" i="23"/>
  <c r="F133" i="22"/>
  <c r="F2452" i="23"/>
  <c r="B166" i="22"/>
  <c r="E1951" i="23"/>
  <c r="G1557" i="23"/>
  <c r="F723" i="23"/>
  <c r="E1232" i="23"/>
  <c r="F2546" i="23"/>
  <c r="G506" i="23"/>
  <c r="E2076" i="23"/>
  <c r="F2962" i="23"/>
  <c r="H15" i="22"/>
  <c r="E2297" i="23"/>
  <c r="E1457" i="23"/>
  <c r="D206" i="23"/>
  <c r="H1245" i="23"/>
  <c r="A1710" i="23"/>
  <c r="F502" i="23"/>
  <c r="H1089" i="23"/>
  <c r="A2168" i="23"/>
  <c r="H616" i="23"/>
  <c r="G31" i="23"/>
  <c r="E325" i="23"/>
  <c r="C1933" i="23"/>
  <c r="B470" i="23"/>
  <c r="F1608" i="23"/>
  <c r="G126" i="22"/>
  <c r="A1689" i="23"/>
  <c r="A1598" i="23"/>
  <c r="F2637" i="23"/>
  <c r="D561" i="23"/>
  <c r="B2054" i="23"/>
  <c r="C206" i="23"/>
  <c r="G2521" i="23"/>
  <c r="H887" i="23"/>
  <c r="D811" i="23"/>
  <c r="E2174" i="23"/>
  <c r="E2097" i="23"/>
  <c r="F1792" i="23"/>
  <c r="F325" i="23"/>
  <c r="A217" i="22"/>
  <c r="G2512" i="23"/>
  <c r="G12" i="23"/>
  <c r="G2697" i="23"/>
  <c r="E846" i="23"/>
  <c r="E104" i="23"/>
  <c r="C2226" i="23"/>
  <c r="F212" i="22"/>
  <c r="C826" i="23"/>
  <c r="G113" i="22"/>
  <c r="D753" i="23"/>
  <c r="G2238" i="23"/>
  <c r="D23" i="23"/>
  <c r="A1380" i="23"/>
  <c r="C1201" i="23"/>
  <c r="C1153" i="23"/>
  <c r="F2938" i="23"/>
  <c r="D505" i="23"/>
  <c r="G1989" i="23"/>
  <c r="B132" i="22"/>
  <c r="A257" i="22"/>
  <c r="E2252" i="23"/>
  <c r="E794" i="23"/>
  <c r="A1477" i="23"/>
  <c r="F12" i="22"/>
  <c r="C608" i="23"/>
  <c r="E117" i="23"/>
  <c r="G1937" i="23"/>
  <c r="B913" i="23"/>
  <c r="H1599" i="23"/>
  <c r="F1846" i="23"/>
  <c r="A827" i="23"/>
  <c r="D1096" i="23"/>
  <c r="G284" i="22"/>
  <c r="D886" i="23"/>
  <c r="C976" i="23"/>
  <c r="F441" i="23"/>
  <c r="C806" i="23"/>
  <c r="F2837" i="23"/>
  <c r="B355" i="23"/>
  <c r="B45" i="22"/>
  <c r="C246" i="22"/>
  <c r="D1549" i="23"/>
  <c r="C452" i="23"/>
  <c r="H451" i="23"/>
  <c r="G2" i="23"/>
  <c r="G879" i="23"/>
  <c r="G2118" i="23"/>
  <c r="A1289" i="23"/>
  <c r="G101" i="22"/>
  <c r="C1226" i="23"/>
  <c r="A197" i="23"/>
  <c r="H2286" i="23"/>
  <c r="H1140" i="23"/>
  <c r="A2068" i="23"/>
  <c r="G996" i="23"/>
  <c r="A1328" i="23"/>
  <c r="F33" i="22"/>
  <c r="C1407" i="23"/>
  <c r="F1017" i="23"/>
  <c r="G2169" i="23"/>
  <c r="D185" i="22"/>
  <c r="A167" i="22"/>
  <c r="H600" i="23"/>
  <c r="C1740" i="23"/>
  <c r="A414" i="22"/>
  <c r="C1365" i="23"/>
  <c r="G2152" i="23"/>
  <c r="G16" i="22"/>
  <c r="A506" i="23"/>
  <c r="A1017" i="23"/>
  <c r="H2914" i="23"/>
  <c r="F1607" i="23"/>
  <c r="C1580" i="23"/>
  <c r="E1621" i="23"/>
  <c r="E837" i="23"/>
  <c r="C2159" i="23"/>
  <c r="E882" i="23"/>
  <c r="B1184" i="23"/>
  <c r="H2738" i="23"/>
  <c r="E928" i="23"/>
  <c r="E220" i="23"/>
  <c r="D227" i="23"/>
  <c r="C276" i="22"/>
  <c r="B2298" i="23"/>
  <c r="D1712" i="23"/>
  <c r="F1355" i="23"/>
  <c r="F140" i="22"/>
  <c r="E6" i="22"/>
  <c r="D1750" i="23"/>
  <c r="G2314" i="23"/>
  <c r="A595" i="23"/>
  <c r="B328" i="23"/>
  <c r="E2201" i="23"/>
  <c r="G822" i="23"/>
  <c r="C1653" i="23"/>
  <c r="G2675" i="23"/>
  <c r="E1543" i="23"/>
  <c r="A1532" i="23"/>
  <c r="G1269" i="23"/>
  <c r="A529" i="23"/>
  <c r="E940" i="23"/>
  <c r="G796" i="23"/>
  <c r="H1693" i="23"/>
  <c r="G2144" i="23"/>
  <c r="G2795" i="23"/>
  <c r="B41" i="22"/>
  <c r="A387" i="23"/>
  <c r="B34" i="22"/>
  <c r="B299" i="23"/>
  <c r="H1546" i="23"/>
  <c r="D313" i="23"/>
  <c r="F2416" i="23"/>
  <c r="B2142" i="23"/>
  <c r="E1337" i="23"/>
  <c r="F2869" i="23"/>
  <c r="H1019" i="23"/>
  <c r="C1522" i="23"/>
  <c r="G624" i="23"/>
  <c r="H1113" i="23"/>
  <c r="B817" i="23"/>
  <c r="D2048" i="23"/>
  <c r="G1681" i="23"/>
  <c r="H162" i="23"/>
  <c r="E32" i="22"/>
  <c r="H1557" i="23"/>
  <c r="F2694" i="23"/>
  <c r="H1223" i="23"/>
  <c r="D51" i="22"/>
  <c r="B496" i="23"/>
  <c r="B429" i="22"/>
  <c r="B2062" i="23"/>
  <c r="C435" i="23"/>
  <c r="G494" i="23"/>
  <c r="F1314" i="23"/>
  <c r="A579" i="23"/>
  <c r="F1384" i="23"/>
  <c r="C1528" i="23"/>
  <c r="B2148" i="23"/>
  <c r="A48" i="23"/>
  <c r="E301" i="22"/>
  <c r="H2994" i="23"/>
  <c r="G327" i="23"/>
  <c r="H63" i="22"/>
  <c r="A2210" i="23"/>
  <c r="E874" i="23"/>
  <c r="E2022" i="23"/>
  <c r="C1436" i="23"/>
  <c r="G1294" i="23"/>
  <c r="F2553" i="23"/>
  <c r="D427" i="23"/>
  <c r="H230" i="23"/>
  <c r="C70" i="23"/>
  <c r="A1342" i="23"/>
  <c r="G2834" i="23"/>
  <c r="H2522" i="23"/>
  <c r="C654" i="23"/>
  <c r="G1888" i="23"/>
  <c r="C1173" i="23"/>
  <c r="F1270" i="23"/>
  <c r="A1483" i="23"/>
  <c r="C26" i="23"/>
  <c r="B1853" i="23"/>
  <c r="F429" i="22"/>
  <c r="E970" i="23"/>
  <c r="H2529" i="23"/>
  <c r="C721" i="23"/>
  <c r="F442" i="23"/>
  <c r="B847" i="23"/>
  <c r="G1113" i="23"/>
  <c r="F2163" i="23"/>
  <c r="A2155" i="23"/>
  <c r="D1850" i="23"/>
  <c r="F541" i="23"/>
  <c r="H2158" i="23"/>
  <c r="G310" i="23"/>
  <c r="C2294" i="23"/>
  <c r="G1870" i="23"/>
  <c r="C1709" i="23"/>
  <c r="F519" i="23"/>
  <c r="F1620" i="23"/>
  <c r="D928" i="23"/>
  <c r="H1495" i="23"/>
  <c r="H169" i="23"/>
  <c r="H1491" i="23"/>
  <c r="C123" i="22"/>
  <c r="E144" i="22"/>
  <c r="H1511" i="23"/>
  <c r="H1912" i="23"/>
  <c r="E1832" i="23"/>
  <c r="A289" i="22"/>
  <c r="F2849" i="23"/>
  <c r="H1538" i="23"/>
  <c r="A69" i="23"/>
  <c r="H2390" i="23"/>
  <c r="G55" i="23"/>
  <c r="E589" i="23"/>
  <c r="G307" i="23"/>
  <c r="A672" i="23"/>
  <c r="C95" i="23"/>
  <c r="G2662" i="23"/>
  <c r="E1423" i="23"/>
  <c r="G1280" i="23"/>
  <c r="E1596" i="23"/>
  <c r="D1906" i="23"/>
  <c r="C2285" i="23"/>
  <c r="E1782" i="23"/>
  <c r="F288" i="22"/>
  <c r="C661" i="23"/>
  <c r="A33" i="22"/>
  <c r="C43" i="23"/>
  <c r="C1112" i="23"/>
  <c r="A837" i="23"/>
  <c r="F198" i="23"/>
  <c r="E504" i="23"/>
  <c r="G115" i="23"/>
  <c r="H1425" i="23"/>
  <c r="G203" i="23"/>
  <c r="C1313" i="23"/>
  <c r="H1103" i="23"/>
  <c r="A686" i="23"/>
  <c r="B355" i="22"/>
  <c r="G81" i="22"/>
  <c r="F1104" i="23"/>
  <c r="F2559" i="23"/>
  <c r="E1890" i="23"/>
  <c r="H1052" i="23"/>
  <c r="G2037" i="23"/>
  <c r="D1249" i="23"/>
  <c r="D673" i="23"/>
  <c r="E590" i="23"/>
  <c r="E1000" i="23"/>
  <c r="A2223" i="23"/>
  <c r="F1836" i="23"/>
  <c r="C534" i="23"/>
  <c r="F157" i="22"/>
  <c r="A254" i="22"/>
  <c r="C1327" i="23"/>
  <c r="F1686" i="23"/>
  <c r="H1864" i="23"/>
  <c r="E1999" i="23"/>
  <c r="C65" i="22"/>
  <c r="G2393" i="23"/>
  <c r="D1380" i="23"/>
  <c r="C50" i="22"/>
  <c r="G2751" i="23"/>
  <c r="B2048" i="23"/>
  <c r="F2874" i="23"/>
  <c r="A308" i="22"/>
  <c r="G2940" i="23"/>
  <c r="C2022" i="23"/>
  <c r="E471" i="23"/>
  <c r="G2725" i="23"/>
  <c r="C278" i="23"/>
  <c r="G798" i="23"/>
  <c r="H2826" i="23"/>
  <c r="H1415" i="23"/>
  <c r="D123" i="22"/>
  <c r="C183" i="23"/>
  <c r="G38" i="23"/>
  <c r="E1537" i="23"/>
  <c r="E1837" i="23"/>
  <c r="F485" i="23"/>
  <c r="A804" i="23"/>
  <c r="H1773" i="23"/>
  <c r="G2251" i="23"/>
  <c r="D413" i="23"/>
  <c r="B1464" i="23"/>
  <c r="F303" i="23"/>
  <c r="C382" i="22"/>
  <c r="E319" i="23"/>
  <c r="F1943" i="23"/>
  <c r="A1413" i="23"/>
  <c r="B828" i="23"/>
  <c r="F758" i="23"/>
  <c r="G2886" i="23"/>
  <c r="F2909" i="23"/>
  <c r="C706" i="23"/>
  <c r="D2201" i="23"/>
  <c r="C2229" i="23"/>
  <c r="H686" i="23"/>
  <c r="E1858" i="23"/>
  <c r="F1901" i="23"/>
  <c r="H923" i="23"/>
  <c r="A1575" i="23"/>
  <c r="H189" i="23"/>
  <c r="F206" i="22"/>
  <c r="H1769" i="23"/>
  <c r="F281" i="23"/>
  <c r="A1198" i="23"/>
  <c r="H2373" i="23"/>
  <c r="B135" i="22"/>
  <c r="G1923" i="23"/>
  <c r="G415" i="23"/>
  <c r="G241" i="22"/>
  <c r="B48" i="23"/>
  <c r="C1941" i="23"/>
  <c r="C1194" i="23"/>
  <c r="G2226" i="23"/>
  <c r="B390" i="22"/>
  <c r="D910" i="23"/>
  <c r="F255" i="23"/>
  <c r="E1826" i="23"/>
  <c r="F2090" i="23"/>
  <c r="B513" i="23"/>
  <c r="A267" i="23"/>
  <c r="A206" i="23"/>
  <c r="F2159" i="23"/>
  <c r="E802" i="23"/>
  <c r="G1186" i="23"/>
  <c r="E988" i="23"/>
  <c r="C2083" i="23"/>
  <c r="A70" i="23"/>
  <c r="D2165" i="23"/>
  <c r="E10" i="22"/>
  <c r="C649" i="23"/>
  <c r="G2907" i="23"/>
  <c r="G1729" i="23"/>
  <c r="A643" i="23"/>
  <c r="C2280" i="23"/>
  <c r="F31" i="23"/>
  <c r="F1127" i="23"/>
  <c r="E520" i="23"/>
  <c r="E121" i="23"/>
  <c r="A229" i="23"/>
  <c r="F529" i="23"/>
  <c r="C2085" i="23"/>
  <c r="D1348" i="23"/>
  <c r="B338" i="23"/>
  <c r="C2274" i="23"/>
  <c r="F26" i="22"/>
  <c r="H2304" i="23"/>
  <c r="E1521" i="23"/>
  <c r="G1301" i="23"/>
  <c r="A1393" i="23"/>
  <c r="G423" i="23"/>
  <c r="B383" i="22"/>
  <c r="F1093" i="23"/>
  <c r="B1583" i="23"/>
  <c r="G759" i="23"/>
  <c r="G1812" i="23"/>
  <c r="H1574" i="23"/>
  <c r="A628" i="23"/>
  <c r="A1425" i="23"/>
  <c r="B181" i="22"/>
  <c r="C889" i="23"/>
  <c r="B2043" i="23"/>
  <c r="G1142" i="23"/>
  <c r="E1289" i="23"/>
  <c r="C775" i="23"/>
  <c r="G1117" i="23"/>
  <c r="F852" i="23"/>
  <c r="G2501" i="23"/>
  <c r="A2146" i="23"/>
  <c r="D1501" i="23"/>
  <c r="H735" i="23"/>
  <c r="B604" i="23"/>
  <c r="H714" i="23"/>
  <c r="D1410" i="23"/>
  <c r="D1255" i="23"/>
  <c r="B1412" i="23"/>
  <c r="H1841" i="23"/>
  <c r="E400" i="22"/>
  <c r="C145" i="23"/>
  <c r="H1544" i="23"/>
  <c r="D1745" i="23"/>
  <c r="C340" i="23"/>
  <c r="G233" i="23"/>
  <c r="A1721" i="23"/>
  <c r="D1152" i="23"/>
  <c r="B1440" i="23"/>
  <c r="B1611" i="23"/>
  <c r="A99" i="23"/>
  <c r="E40" i="22"/>
  <c r="F1824" i="23"/>
  <c r="F2080" i="23"/>
  <c r="C1354" i="23"/>
  <c r="B122" i="22"/>
  <c r="E570" i="23"/>
  <c r="G333" i="22"/>
  <c r="E713" i="23"/>
  <c r="G1571" i="23"/>
  <c r="D1900" i="23"/>
  <c r="D1665" i="23"/>
  <c r="C1980" i="23"/>
  <c r="A941" i="23"/>
  <c r="F673" i="23"/>
  <c r="B306" i="22"/>
  <c r="B1983" i="23"/>
  <c r="F2250" i="23"/>
  <c r="A559" i="23"/>
  <c r="F160" i="22"/>
  <c r="C432" i="23"/>
  <c r="A1945" i="23"/>
  <c r="C22" i="22"/>
  <c r="E79" i="22"/>
  <c r="B608" i="23"/>
  <c r="B1862" i="23"/>
  <c r="D71" i="23"/>
  <c r="A343" i="23"/>
  <c r="C2177" i="23"/>
  <c r="A2174" i="23"/>
  <c r="H1899" i="23"/>
  <c r="H2146" i="23"/>
  <c r="C39" i="23"/>
  <c r="D31" i="23"/>
  <c r="E1887" i="23"/>
  <c r="A863" i="23"/>
  <c r="F1255" i="23"/>
  <c r="G2446" i="23"/>
  <c r="H214" i="23"/>
  <c r="E1108" i="23"/>
  <c r="G2952" i="23"/>
  <c r="H1096" i="23"/>
  <c r="G1257" i="23"/>
  <c r="A89" i="22"/>
  <c r="H1170" i="23"/>
  <c r="G661" i="23"/>
  <c r="H2717" i="23"/>
  <c r="B1878" i="23"/>
  <c r="C2061" i="23"/>
  <c r="C963" i="23"/>
  <c r="F405" i="23"/>
  <c r="H77" i="22"/>
  <c r="B1391" i="23"/>
  <c r="D419" i="23"/>
  <c r="G932" i="23"/>
  <c r="G156" i="22"/>
  <c r="F1621" i="23"/>
  <c r="A1976" i="23"/>
  <c r="F151" i="22"/>
  <c r="F965" i="23"/>
  <c r="D593" i="23"/>
  <c r="C2025" i="23"/>
  <c r="F2201" i="23"/>
  <c r="G56" i="22"/>
  <c r="G2478" i="23"/>
  <c r="B2005" i="23"/>
  <c r="C1207" i="23"/>
  <c r="E140" i="23"/>
  <c r="G1122" i="23"/>
  <c r="G1119" i="23"/>
  <c r="F1895" i="23"/>
  <c r="A1194" i="23"/>
  <c r="C569" i="23"/>
  <c r="G1665" i="23"/>
  <c r="E2016" i="23"/>
  <c r="D258" i="22"/>
  <c r="A1313" i="23"/>
  <c r="A422" i="22"/>
  <c r="B883" i="23"/>
  <c r="B1293" i="23"/>
  <c r="F106" i="22"/>
  <c r="H2648" i="23"/>
  <c r="G2796" i="23"/>
  <c r="B2264" i="23"/>
  <c r="A1461" i="23"/>
  <c r="E1892" i="23"/>
  <c r="F1801" i="23"/>
  <c r="B440" i="23"/>
  <c r="D799" i="23"/>
  <c r="E1945" i="23"/>
  <c r="B985" i="23"/>
  <c r="G2427" i="23"/>
  <c r="F45" i="23"/>
  <c r="E198" i="22"/>
  <c r="D611" i="23"/>
  <c r="G2000" i="23"/>
  <c r="A1711" i="23"/>
  <c r="B1726" i="23"/>
  <c r="F1403" i="23"/>
  <c r="G1370" i="23"/>
  <c r="B1459" i="23"/>
  <c r="C2049" i="23"/>
  <c r="G50" i="23"/>
  <c r="A178" i="23"/>
  <c r="F203" i="22"/>
  <c r="D120" i="23"/>
  <c r="H2790" i="23"/>
  <c r="C17" i="23"/>
  <c r="D1447" i="23"/>
  <c r="B666" i="23"/>
  <c r="H774" i="23"/>
  <c r="F2819" i="23"/>
  <c r="B169" i="22"/>
  <c r="A2218" i="23"/>
  <c r="G1356" i="23"/>
  <c r="D2115" i="23"/>
  <c r="H2526" i="23"/>
  <c r="D239" i="22"/>
  <c r="D239" i="23"/>
  <c r="B790" i="23"/>
  <c r="D200" i="23"/>
  <c r="C765" i="23"/>
  <c r="G371" i="22"/>
  <c r="G2231" i="23"/>
  <c r="H2634" i="23"/>
  <c r="C1353" i="23"/>
  <c r="B540" i="23"/>
  <c r="C12" i="22"/>
  <c r="E890" i="23"/>
  <c r="H2482" i="23"/>
  <c r="H2880" i="23"/>
  <c r="B802" i="23"/>
  <c r="F2331" i="23"/>
  <c r="G2139" i="23"/>
  <c r="A994" i="23"/>
  <c r="C598" i="23"/>
  <c r="F1142" i="23"/>
  <c r="A1837" i="23"/>
  <c r="G2101" i="23"/>
  <c r="A2131" i="23"/>
  <c r="G253" i="22"/>
  <c r="F91" i="23"/>
  <c r="F1299" i="23"/>
  <c r="A337" i="22"/>
  <c r="A1551" i="23"/>
  <c r="E939" i="23"/>
  <c r="H1323" i="23"/>
  <c r="A2200" i="23"/>
  <c r="A211" i="23"/>
  <c r="A878" i="23"/>
  <c r="H1011" i="23"/>
  <c r="F1075" i="23"/>
  <c r="E272" i="22"/>
  <c r="E1455" i="23"/>
  <c r="H282" i="23"/>
  <c r="A238" i="22"/>
  <c r="F906" i="23"/>
  <c r="F2261" i="23"/>
  <c r="C994" i="23"/>
  <c r="C74" i="22"/>
  <c r="D1135" i="23"/>
  <c r="H1471" i="23"/>
  <c r="F277" i="22"/>
  <c r="E226" i="23"/>
  <c r="D2064" i="23"/>
  <c r="F2924" i="23"/>
  <c r="A1155" i="23"/>
  <c r="F1097" i="23"/>
  <c r="G2742" i="23"/>
  <c r="F424" i="23"/>
  <c r="D514" i="23"/>
  <c r="G105" i="22"/>
  <c r="H2487" i="23"/>
  <c r="F2944" i="23"/>
  <c r="B1307" i="23"/>
  <c r="E1430" i="23"/>
  <c r="G2322" i="23"/>
  <c r="E233" i="22"/>
  <c r="G2466" i="23"/>
  <c r="F1427" i="23"/>
  <c r="E1523" i="23"/>
  <c r="H2309" i="23"/>
  <c r="D1115" i="23"/>
  <c r="A1638" i="23"/>
  <c r="B1114" i="23"/>
  <c r="A537" i="23"/>
  <c r="C112" i="23"/>
  <c r="H281" i="23"/>
  <c r="H2664" i="23"/>
  <c r="G1877" i="23"/>
  <c r="G678" i="23"/>
  <c r="D770" i="23"/>
  <c r="C777" i="23"/>
  <c r="F2396" i="23"/>
  <c r="F580" i="23"/>
  <c r="H1187" i="23"/>
  <c r="B1142" i="23"/>
  <c r="C89" i="22"/>
  <c r="B1361" i="23"/>
  <c r="F568" i="23"/>
  <c r="C1854" i="23"/>
  <c r="F315" i="23"/>
  <c r="E295" i="22"/>
  <c r="B2039" i="23"/>
  <c r="D360" i="23"/>
  <c r="C311" i="23"/>
  <c r="G282" i="22"/>
  <c r="G415" i="22"/>
  <c r="D2166" i="23"/>
  <c r="H272" i="22"/>
  <c r="D2232" i="23"/>
  <c r="B19" i="22"/>
  <c r="D307" i="22"/>
  <c r="G1481" i="23"/>
  <c r="C847" i="23"/>
  <c r="F1797" i="23"/>
  <c r="C2242" i="23"/>
  <c r="E1091" i="23"/>
  <c r="B2186" i="23"/>
  <c r="A166" i="22"/>
  <c r="D283" i="23"/>
  <c r="F2650" i="23"/>
  <c r="F2606" i="23"/>
  <c r="G1462" i="23"/>
  <c r="D821" i="23"/>
  <c r="D908" i="23"/>
  <c r="F940" i="23"/>
  <c r="D1137" i="23"/>
  <c r="C331" i="22"/>
  <c r="B1143" i="23"/>
  <c r="D857" i="23"/>
  <c r="E947" i="23"/>
  <c r="E201" i="23"/>
  <c r="B1867" i="23"/>
  <c r="H1775" i="23"/>
  <c r="G2344" i="23"/>
  <c r="C1178" i="23"/>
  <c r="D1723" i="23"/>
  <c r="A103" i="22"/>
  <c r="B919" i="23"/>
  <c r="C1777" i="23"/>
  <c r="F34" i="23"/>
  <c r="C1158" i="23"/>
  <c r="D403" i="22"/>
  <c r="D1937" i="23"/>
  <c r="D1706" i="23"/>
  <c r="C999" i="23"/>
  <c r="H767" i="23"/>
  <c r="H1412" i="23"/>
  <c r="C780" i="23"/>
  <c r="H1088" i="23"/>
  <c r="C1197" i="23"/>
  <c r="C249" i="22"/>
  <c r="C1266" i="23"/>
  <c r="B1368" i="23"/>
  <c r="D35" i="23"/>
  <c r="H683" i="23"/>
  <c r="A967" i="23"/>
  <c r="B1399" i="23"/>
  <c r="C1944" i="23"/>
  <c r="F1954" i="23"/>
  <c r="A679" i="23"/>
  <c r="C1879" i="23"/>
  <c r="D119" i="22"/>
  <c r="F1230" i="23"/>
  <c r="C70" i="22"/>
  <c r="G170" i="23"/>
  <c r="G196" i="23"/>
  <c r="D1277" i="23"/>
  <c r="G2455" i="23"/>
  <c r="H2161" i="23"/>
  <c r="F395" i="22"/>
  <c r="H2461" i="23"/>
  <c r="E1725" i="23"/>
  <c r="E1468" i="23"/>
  <c r="H1326" i="23"/>
  <c r="E575" i="23"/>
  <c r="B1953" i="23"/>
  <c r="C1868" i="23"/>
  <c r="F1087" i="23"/>
  <c r="G240" i="22"/>
  <c r="F1071" i="23"/>
  <c r="F2160" i="23"/>
  <c r="E76" i="22"/>
  <c r="B562" i="23"/>
  <c r="A2178" i="23"/>
  <c r="H688" i="23"/>
  <c r="E1931" i="23"/>
  <c r="E1577" i="23"/>
  <c r="B128" i="23"/>
  <c r="D727" i="23"/>
  <c r="H47" i="22"/>
  <c r="D904" i="23"/>
  <c r="G1771" i="23"/>
  <c r="B399" i="23"/>
  <c r="H264" i="23"/>
  <c r="F2625" i="23"/>
  <c r="A1588" i="23"/>
  <c r="C2244" i="23"/>
  <c r="A94" i="22"/>
  <c r="H999" i="23"/>
  <c r="E493" i="23"/>
  <c r="E1900" i="23"/>
  <c r="F1485" i="23"/>
  <c r="E427" i="22"/>
  <c r="C292" i="23"/>
  <c r="A1841" i="23"/>
  <c r="E326" i="22"/>
  <c r="G74" i="22"/>
  <c r="F1664" i="23"/>
  <c r="G1841" i="23"/>
  <c r="G1306" i="23"/>
  <c r="F2029" i="23"/>
  <c r="E2311" i="23"/>
  <c r="G131" i="23"/>
  <c r="C2151" i="23"/>
  <c r="E137" i="22"/>
  <c r="C272" i="22"/>
  <c r="H231" i="23"/>
  <c r="E428" i="23"/>
  <c r="F1698" i="23"/>
  <c r="F2023" i="23"/>
  <c r="F2832" i="23"/>
  <c r="D411" i="22"/>
  <c r="A2001" i="23"/>
  <c r="F210" i="22"/>
  <c r="H94" i="23"/>
  <c r="D1131" i="23"/>
  <c r="D542" i="23"/>
  <c r="G486" i="23"/>
  <c r="C355" i="22"/>
  <c r="C753" i="23"/>
  <c r="A1784" i="23"/>
  <c r="A1339" i="23"/>
  <c r="E52" i="23"/>
  <c r="H2266" i="23"/>
  <c r="G2027" i="23"/>
  <c r="D2177" i="23"/>
  <c r="G715" i="23"/>
  <c r="A160" i="22"/>
  <c r="F590" i="23"/>
  <c r="E832" i="23"/>
  <c r="G2904" i="23"/>
  <c r="F602" i="23"/>
  <c r="D73" i="22"/>
  <c r="H65" i="22"/>
  <c r="C1485" i="23"/>
  <c r="C370" i="22"/>
  <c r="E136" i="23"/>
  <c r="C167" i="22"/>
  <c r="B299" i="22"/>
  <c r="D1118" i="23"/>
  <c r="E381" i="23"/>
  <c r="C870" i="23"/>
  <c r="G104" i="22"/>
  <c r="D1703" i="23"/>
  <c r="F1517" i="23"/>
  <c r="B176" i="22"/>
  <c r="B338" i="22"/>
  <c r="D2129" i="23"/>
  <c r="B1586" i="23"/>
  <c r="D934" i="23"/>
  <c r="A1447" i="23"/>
  <c r="B671" i="23"/>
  <c r="F20" i="23"/>
  <c r="F2652" i="23"/>
  <c r="F743" i="23"/>
  <c r="G575" i="23"/>
  <c r="F2774" i="23"/>
  <c r="C2045" i="23"/>
  <c r="F1359" i="23"/>
  <c r="F1789" i="23"/>
  <c r="E1225" i="23"/>
  <c r="F1692" i="23"/>
  <c r="F373" i="22"/>
  <c r="E194" i="23"/>
  <c r="F1858" i="23"/>
  <c r="D832" i="23"/>
  <c r="C2197" i="23"/>
  <c r="G65" i="22"/>
  <c r="H657" i="23"/>
  <c r="A168" i="22"/>
  <c r="A2106" i="23"/>
  <c r="B849" i="23"/>
  <c r="G666" i="23"/>
  <c r="C109" i="22"/>
  <c r="A272" i="23"/>
  <c r="B672" i="23"/>
  <c r="A1534" i="23"/>
  <c r="H1876" i="23"/>
  <c r="G2422" i="23"/>
  <c r="F1426" i="23"/>
  <c r="G817" i="23"/>
  <c r="D417" i="22"/>
  <c r="A2078" i="23"/>
  <c r="A1422" i="23"/>
  <c r="D2035" i="23"/>
  <c r="F2095" i="23"/>
  <c r="H1968" i="23"/>
  <c r="D34" i="23"/>
  <c r="B1606" i="23"/>
  <c r="A1509" i="23"/>
  <c r="E175" i="23"/>
  <c r="A340" i="23"/>
  <c r="B759" i="23"/>
  <c r="C121" i="22"/>
  <c r="D338" i="23"/>
  <c r="F2014" i="23"/>
  <c r="E2052" i="23"/>
  <c r="E954" i="23"/>
  <c r="F2601" i="23"/>
  <c r="B859" i="23"/>
  <c r="D957" i="23"/>
  <c r="C1559" i="23"/>
  <c r="A2245" i="23"/>
  <c r="G1400" i="23"/>
  <c r="H2875" i="23"/>
  <c r="C1900" i="23"/>
  <c r="H1043" i="23"/>
  <c r="E2113" i="23"/>
  <c r="B131" i="22"/>
  <c r="G834" i="23"/>
  <c r="C219" i="22"/>
  <c r="H2605" i="23"/>
  <c r="H1886" i="23"/>
  <c r="C2012" i="23"/>
  <c r="G1779" i="23"/>
  <c r="G1197" i="23"/>
  <c r="C1658" i="23"/>
  <c r="B38" i="22"/>
  <c r="F1019" i="23"/>
  <c r="C1000" i="23"/>
  <c r="G629" i="23"/>
  <c r="B146" i="23"/>
  <c r="G764" i="23"/>
  <c r="B651" i="23"/>
  <c r="H83" i="23"/>
  <c r="G791" i="23"/>
  <c r="H2590" i="23"/>
  <c r="G2630" i="23"/>
  <c r="H698" i="23"/>
  <c r="E2144" i="23"/>
  <c r="C1745" i="23"/>
  <c r="E2188" i="23"/>
  <c r="G1141" i="23"/>
  <c r="E102" i="23"/>
  <c r="G1894" i="23"/>
  <c r="F539" i="23"/>
  <c r="B2099" i="23"/>
  <c r="F240" i="23"/>
  <c r="H2779" i="23"/>
  <c r="C419" i="22"/>
  <c r="B217" i="23"/>
  <c r="D2029" i="23"/>
  <c r="G1322" i="23"/>
  <c r="E1307" i="23"/>
  <c r="E302" i="23"/>
  <c r="D1089" i="23"/>
  <c r="A370" i="22"/>
  <c r="H2154" i="23"/>
  <c r="H2463" i="23"/>
  <c r="C1760" i="23"/>
  <c r="G2514" i="23"/>
  <c r="H1840" i="23"/>
  <c r="G123" i="23"/>
  <c r="C2011" i="23"/>
  <c r="A1265" i="23"/>
  <c r="H1090" i="23"/>
  <c r="A1502" i="23"/>
  <c r="D1608" i="23"/>
  <c r="B274" i="23"/>
  <c r="B2057" i="23"/>
  <c r="B897" i="23"/>
  <c r="H74" i="22"/>
  <c r="A281" i="22"/>
  <c r="C1786" i="23"/>
  <c r="A1892" i="23"/>
  <c r="C2213" i="23"/>
  <c r="C997" i="23"/>
  <c r="F854" i="23"/>
  <c r="A264" i="22"/>
  <c r="C165" i="22"/>
  <c r="B1230" i="23"/>
  <c r="C836" i="23"/>
  <c r="G177" i="23"/>
  <c r="C552" i="23"/>
  <c r="G2158" i="23"/>
  <c r="G418" i="23"/>
  <c r="G281" i="23"/>
  <c r="E862" i="23"/>
  <c r="H2517" i="23"/>
  <c r="B230" i="22"/>
  <c r="B2295" i="23"/>
  <c r="B9" i="22"/>
  <c r="H1821" i="23"/>
  <c r="H1202" i="23"/>
  <c r="C936" i="23"/>
  <c r="F1676" i="23"/>
  <c r="C699" i="23"/>
  <c r="G2685" i="23"/>
  <c r="G304" i="23"/>
  <c r="G623" i="23"/>
  <c r="D1390" i="23"/>
  <c r="C1286" i="23"/>
  <c r="F1907" i="23"/>
  <c r="F1747" i="23"/>
  <c r="H309" i="23"/>
  <c r="H2037" i="23"/>
  <c r="E217" i="23"/>
  <c r="C1393" i="23"/>
  <c r="D1420" i="23"/>
  <c r="F262" i="23"/>
  <c r="D2109" i="23"/>
  <c r="F343" i="22"/>
  <c r="G230" i="22"/>
  <c r="D1113" i="23"/>
  <c r="D315" i="22"/>
  <c r="D1704" i="23"/>
  <c r="A78" i="23"/>
  <c r="C2167" i="23"/>
  <c r="A891" i="23"/>
  <c r="C2194" i="23"/>
  <c r="B1320" i="23"/>
  <c r="H938" i="23"/>
  <c r="G1730" i="23"/>
  <c r="G1766" i="23"/>
  <c r="D2118" i="23"/>
  <c r="H2692" i="23"/>
  <c r="C574" i="23"/>
  <c r="D141" i="22"/>
  <c r="F1213" i="23"/>
  <c r="F378" i="23"/>
  <c r="H135" i="23"/>
  <c r="E453" i="23"/>
  <c r="B198" i="23"/>
  <c r="F1748" i="23"/>
  <c r="G2086" i="23"/>
  <c r="D169" i="22"/>
  <c r="H536" i="23"/>
  <c r="E419" i="22"/>
  <c r="C2135" i="23"/>
  <c r="A552" i="23"/>
  <c r="F389" i="23"/>
  <c r="D1580" i="23"/>
  <c r="D554" i="23"/>
  <c r="D287" i="23"/>
  <c r="E177" i="23"/>
  <c r="H2368" i="23"/>
  <c r="A358" i="23"/>
  <c r="E113" i="23"/>
  <c r="E465" i="23"/>
  <c r="C480" i="23"/>
  <c r="F2906" i="23"/>
  <c r="E161" i="22"/>
  <c r="B188" i="22"/>
  <c r="H87" i="23"/>
  <c r="G431" i="23"/>
  <c r="H390" i="23"/>
  <c r="H2255" i="23"/>
  <c r="D75" i="23"/>
  <c r="E1301" i="23"/>
  <c r="B1371" i="23"/>
  <c r="H2831" i="23"/>
  <c r="C279" i="22"/>
  <c r="H1272" i="23"/>
  <c r="H1617" i="23"/>
  <c r="C387" i="22"/>
  <c r="E1425" i="23"/>
  <c r="F2903" i="23"/>
  <c r="D1218" i="23"/>
  <c r="B502" i="23"/>
  <c r="E1990" i="23"/>
  <c r="F4" i="23"/>
  <c r="H2947" i="23"/>
  <c r="E1913" i="23"/>
  <c r="G181" i="23"/>
  <c r="F1598" i="23"/>
  <c r="G2488" i="23"/>
  <c r="C1805" i="23"/>
  <c r="E247" i="22"/>
  <c r="D62" i="22"/>
  <c r="B1791" i="23"/>
  <c r="D2127" i="23"/>
  <c r="E321" i="23"/>
  <c r="A776" i="23"/>
  <c r="G1550" i="23"/>
  <c r="H850" i="23"/>
  <c r="B1163" i="23"/>
  <c r="H2376" i="23"/>
  <c r="G448" i="23"/>
  <c r="F1236" i="23"/>
  <c r="E1329" i="23"/>
  <c r="A995" i="23"/>
  <c r="G1692" i="23"/>
  <c r="C731" i="23"/>
  <c r="B2302" i="23"/>
  <c r="D25" i="23"/>
  <c r="B1537" i="23"/>
  <c r="H2360" i="23"/>
  <c r="H257" i="23"/>
  <c r="G2045" i="23"/>
  <c r="G2112" i="23"/>
  <c r="F1633" i="23"/>
  <c r="A1964" i="23"/>
  <c r="E1989" i="23"/>
  <c r="B772" i="23"/>
  <c r="B797" i="23"/>
  <c r="F340" i="23"/>
  <c r="B845" i="23"/>
  <c r="F113" i="22"/>
  <c r="H1333" i="23"/>
  <c r="F765" i="23"/>
  <c r="D1521" i="23"/>
  <c r="G2070" i="23"/>
  <c r="G2367" i="23"/>
  <c r="C1439" i="23"/>
  <c r="C580" i="23"/>
  <c r="G1389" i="23"/>
  <c r="G2023" i="23"/>
  <c r="G2706" i="23"/>
  <c r="D1687" i="23"/>
  <c r="C113" i="22"/>
  <c r="F1283" i="23"/>
  <c r="A627" i="23"/>
  <c r="G779" i="23"/>
  <c r="G743" i="23"/>
  <c r="G35" i="23"/>
  <c r="H1932" i="23"/>
  <c r="F481" i="23"/>
  <c r="F374" i="23"/>
  <c r="D87" i="22"/>
  <c r="D1198" i="23"/>
  <c r="F2259" i="23"/>
  <c r="A1579" i="23"/>
  <c r="E1409" i="23"/>
  <c r="B2052" i="23"/>
  <c r="F1435" i="23"/>
  <c r="H2580" i="23"/>
  <c r="E458" i="23"/>
  <c r="C985" i="23"/>
  <c r="F919" i="23"/>
  <c r="A133" i="22"/>
  <c r="B1869" i="23"/>
  <c r="E657" i="23"/>
  <c r="G1717" i="23"/>
  <c r="H2330" i="23"/>
  <c r="D115" i="23"/>
  <c r="G250" i="22"/>
  <c r="E1452" i="23"/>
  <c r="E957" i="23"/>
  <c r="E1213" i="23"/>
  <c r="D1105" i="23"/>
  <c r="G1826" i="23"/>
  <c r="G250" i="23"/>
  <c r="F407" i="23"/>
  <c r="C1234" i="23"/>
  <c r="G2729" i="23"/>
  <c r="A583" i="23"/>
  <c r="D2235" i="23"/>
  <c r="A1518" i="23"/>
  <c r="E220" i="22"/>
  <c r="B188" i="23"/>
  <c r="F714" i="23"/>
  <c r="G114" i="23"/>
  <c r="B1947" i="23"/>
  <c r="H1148" i="23"/>
  <c r="B1992" i="23"/>
  <c r="A13" i="23"/>
  <c r="D60" i="22"/>
  <c r="E1839" i="23"/>
  <c r="H580" i="23"/>
  <c r="F2845" i="23"/>
  <c r="D1454" i="23"/>
  <c r="D1434" i="23"/>
  <c r="B181" i="23"/>
  <c r="E419" i="23"/>
  <c r="F948" i="23"/>
  <c r="D244" i="22"/>
  <c r="C596" i="23"/>
  <c r="D469" i="23"/>
  <c r="H1503" i="23"/>
  <c r="G1613" i="23"/>
  <c r="A2202" i="23"/>
  <c r="E390" i="22"/>
  <c r="F1182" i="23"/>
  <c r="F2966" i="23"/>
  <c r="A179" i="22"/>
  <c r="E2162" i="23"/>
  <c r="B428" i="23"/>
  <c r="C244" i="22"/>
  <c r="E2099" i="23"/>
  <c r="H1445" i="23"/>
  <c r="E163" i="23"/>
  <c r="E317" i="23"/>
  <c r="A1992" i="23"/>
  <c r="H1846" i="23"/>
  <c r="D1408" i="23"/>
  <c r="H1843" i="23"/>
  <c r="E306" i="23"/>
  <c r="F975" i="23"/>
  <c r="E994" i="23"/>
  <c r="G884" i="23"/>
  <c r="C991" i="23"/>
  <c r="B511" i="23"/>
  <c r="F1228" i="23"/>
  <c r="A416" i="22"/>
  <c r="D81" i="22"/>
  <c r="A213" i="23"/>
  <c r="H1022" i="23"/>
  <c r="C442" i="23"/>
  <c r="D634" i="23"/>
  <c r="G839" i="23"/>
  <c r="F501" i="23"/>
  <c r="B290" i="23"/>
  <c r="F85" i="23"/>
  <c r="B1642" i="23"/>
  <c r="H1046" i="23"/>
  <c r="D1819" i="23"/>
  <c r="F997" i="23"/>
  <c r="G706" i="23"/>
  <c r="D1453" i="23"/>
  <c r="F399" i="23"/>
  <c r="G1722" i="23"/>
  <c r="F1266" i="23"/>
  <c r="D1382" i="23"/>
  <c r="H23" i="22"/>
  <c r="H2691" i="23"/>
  <c r="F389" i="22"/>
  <c r="H1964" i="23"/>
  <c r="E410" i="22"/>
  <c r="A1383" i="23"/>
  <c r="B240" i="22"/>
  <c r="A1103" i="23"/>
  <c r="H797" i="23"/>
  <c r="E949" i="23"/>
  <c r="G2311" i="23"/>
  <c r="H2925" i="23"/>
  <c r="G1734" i="23"/>
  <c r="A1888" i="23"/>
  <c r="C1408" i="23"/>
  <c r="F1597" i="23"/>
  <c r="E1346" i="23"/>
  <c r="A898" i="23"/>
  <c r="C2054" i="23"/>
  <c r="F804" i="23"/>
  <c r="G114" i="22"/>
  <c r="E1688" i="23"/>
  <c r="F277" i="23"/>
  <c r="A230" i="23"/>
  <c r="C863" i="23"/>
  <c r="G598" i="23"/>
  <c r="A39" i="22"/>
  <c r="A509" i="23"/>
  <c r="G35" i="22"/>
  <c r="D207" i="23"/>
  <c r="H2609" i="23"/>
  <c r="E1695" i="23"/>
  <c r="D1498" i="23"/>
  <c r="B126" i="23"/>
  <c r="F2188" i="23"/>
  <c r="E1162" i="23"/>
  <c r="A2065" i="23"/>
  <c r="G2832" i="23"/>
  <c r="D1172" i="23"/>
  <c r="E335" i="23"/>
  <c r="G776" i="23"/>
  <c r="A1713" i="23"/>
  <c r="C201" i="23"/>
  <c r="B1486" i="23"/>
  <c r="G1134" i="23"/>
  <c r="B494" i="23"/>
  <c r="E39" i="22"/>
  <c r="G2784" i="23"/>
  <c r="B966" i="23"/>
  <c r="F297" i="23"/>
  <c r="B2041" i="23"/>
  <c r="A156" i="22"/>
  <c r="E428" i="22"/>
  <c r="A1647" i="23"/>
  <c r="A242" i="22"/>
  <c r="E1583" i="23"/>
  <c r="A290" i="22"/>
  <c r="C734" i="23"/>
  <c r="B572" i="23"/>
  <c r="B2180" i="23"/>
  <c r="D191" i="22"/>
  <c r="C195" i="23"/>
  <c r="B1620" i="23"/>
  <c r="G1572" i="23"/>
  <c r="B914" i="23"/>
  <c r="C1999" i="23"/>
  <c r="C602" i="23"/>
  <c r="C403" i="23"/>
  <c r="C1621" i="23"/>
  <c r="G1249" i="23"/>
  <c r="D70" i="22"/>
  <c r="F2560" i="23"/>
  <c r="C1793" i="23"/>
  <c r="B599" i="23"/>
  <c r="G100" i="22"/>
  <c r="G404" i="22"/>
  <c r="D588" i="23"/>
  <c r="F2202" i="23"/>
  <c r="B2092" i="23"/>
  <c r="B377" i="23"/>
  <c r="F879" i="23"/>
  <c r="B1225" i="23"/>
  <c r="H2502" i="23"/>
  <c r="B348" i="23"/>
  <c r="D854" i="23"/>
  <c r="G528" i="23"/>
  <c r="H269" i="23"/>
  <c r="C265" i="22"/>
  <c r="D2286" i="23"/>
  <c r="F124" i="22"/>
  <c r="E1238" i="23"/>
  <c r="C170" i="22"/>
  <c r="E1300" i="23"/>
  <c r="D1071" i="23"/>
  <c r="G1647" i="23"/>
  <c r="G2827" i="23"/>
  <c r="C492" i="23"/>
  <c r="C1119" i="23"/>
  <c r="E26" i="23"/>
  <c r="F309" i="22"/>
  <c r="F330" i="22"/>
  <c r="H777" i="23"/>
  <c r="C971" i="23"/>
  <c r="B1492" i="23"/>
  <c r="D1751" i="23"/>
  <c r="G2586" i="23"/>
  <c r="D225" i="22"/>
  <c r="E733" i="23"/>
  <c r="F2607" i="23"/>
  <c r="G2493" i="23"/>
  <c r="H717" i="23"/>
  <c r="D1064" i="23"/>
  <c r="G1201" i="23"/>
  <c r="H140" i="23"/>
  <c r="A1491" i="23"/>
  <c r="E2184" i="23"/>
  <c r="B86" i="22"/>
  <c r="A1167" i="23"/>
  <c r="A1460" i="23"/>
  <c r="C2147" i="23"/>
  <c r="B1778" i="23"/>
  <c r="G2201" i="23"/>
  <c r="G2507" i="23"/>
  <c r="H2093" i="23"/>
  <c r="F1083" i="23"/>
  <c r="A929" i="23"/>
  <c r="F385" i="23"/>
  <c r="D638" i="23"/>
  <c r="B1760" i="23"/>
  <c r="B1008" i="23"/>
  <c r="G1583" i="23"/>
  <c r="E1566" i="23"/>
  <c r="C1340" i="23"/>
  <c r="F78" i="22"/>
  <c r="D968" i="23"/>
  <c r="F1851" i="23"/>
  <c r="G1402" i="23"/>
  <c r="G2862" i="23"/>
  <c r="E289" i="22"/>
  <c r="D1338" i="23"/>
  <c r="A184" i="22"/>
  <c r="H2072" i="23"/>
  <c r="H2023" i="23"/>
  <c r="F2834" i="23"/>
  <c r="D144" i="22"/>
  <c r="A185" i="23"/>
  <c r="E626" i="23"/>
  <c r="F224" i="23"/>
  <c r="A1295" i="23"/>
  <c r="F2711" i="23"/>
  <c r="D1910" i="23"/>
  <c r="B1148" i="23"/>
  <c r="H1468" i="23"/>
  <c r="E2313" i="23"/>
  <c r="F1561" i="23"/>
  <c r="G2671" i="23"/>
  <c r="A1998" i="23"/>
  <c r="C617" i="23"/>
  <c r="A1390" i="23"/>
  <c r="G685" i="23"/>
  <c r="A1234" i="23"/>
  <c r="B685" i="23"/>
  <c r="H9" i="23"/>
  <c r="G2134" i="23"/>
  <c r="B1590" i="23"/>
  <c r="A1890" i="23"/>
  <c r="G1043" i="23"/>
  <c r="F1465" i="23"/>
  <c r="D1939" i="23"/>
  <c r="H1031" i="23"/>
  <c r="C90" i="23"/>
  <c r="A632" i="23"/>
  <c r="A1216" i="23"/>
  <c r="H1335" i="23"/>
  <c r="G2062" i="23"/>
  <c r="H2414" i="23"/>
  <c r="B510" i="23"/>
  <c r="G1315" i="23"/>
  <c r="F426" i="22"/>
  <c r="D1894" i="23"/>
  <c r="A1118" i="23"/>
  <c r="F1880" i="23"/>
  <c r="G1189" i="23"/>
  <c r="G1906" i="23"/>
  <c r="F1948" i="23"/>
  <c r="E1201" i="23"/>
  <c r="D2320" i="23"/>
  <c r="G1586" i="23"/>
  <c r="H1526" i="23"/>
  <c r="A301" i="22"/>
  <c r="G64" i="23"/>
  <c r="C390" i="23"/>
  <c r="G2017" i="23"/>
  <c r="D1070" i="23"/>
  <c r="B1856" i="23"/>
  <c r="C1053" i="23"/>
  <c r="H2716" i="23"/>
  <c r="E980" i="23"/>
  <c r="G1065" i="23"/>
  <c r="E1139" i="23"/>
  <c r="G2166" i="23"/>
  <c r="D1230" i="23"/>
  <c r="F1972" i="23"/>
  <c r="A1591" i="23"/>
  <c r="G1324" i="23"/>
  <c r="B136" i="22"/>
  <c r="E2110" i="23"/>
  <c r="F2754" i="23"/>
  <c r="E364" i="22"/>
  <c r="B1647" i="23"/>
  <c r="E1608" i="23"/>
  <c r="A1704" i="23"/>
  <c r="C341" i="23"/>
  <c r="B2150" i="23"/>
  <c r="A227" i="22"/>
  <c r="G1098" i="23"/>
  <c r="F2728" i="23"/>
  <c r="H1110" i="23"/>
  <c r="B1806" i="23"/>
  <c r="G2801" i="23"/>
  <c r="C2114" i="23"/>
  <c r="A105" i="22"/>
  <c r="A2097" i="23"/>
  <c r="E2241" i="23"/>
  <c r="E248" i="23"/>
  <c r="A1648" i="23"/>
  <c r="B1423" i="23"/>
  <c r="D975" i="23"/>
  <c r="A80" i="23"/>
  <c r="F2300" i="23"/>
  <c r="F2194" i="23"/>
  <c r="D661" i="23"/>
  <c r="G1844" i="23"/>
  <c r="H2267" i="23"/>
  <c r="D280" i="22"/>
  <c r="D1647" i="23"/>
  <c r="B595" i="23"/>
  <c r="E2287" i="23"/>
  <c r="A1021" i="23"/>
  <c r="C563" i="23"/>
  <c r="F1366" i="23"/>
  <c r="F2110" i="23"/>
  <c r="D686" i="23"/>
  <c r="F174" i="22"/>
  <c r="H1832" i="23"/>
  <c r="H2938" i="23"/>
  <c r="C1146" i="23"/>
  <c r="A1221" i="23"/>
  <c r="F82" i="23"/>
  <c r="G512" i="23"/>
  <c r="F1267" i="23"/>
  <c r="A2286" i="23"/>
  <c r="G590" i="23"/>
  <c r="D1359" i="23"/>
  <c r="A471" i="23"/>
  <c r="F1713" i="23"/>
  <c r="G185" i="23"/>
  <c r="A321" i="22"/>
  <c r="F2329" i="23"/>
  <c r="C2171" i="23"/>
  <c r="B727" i="23"/>
  <c r="G268" i="23"/>
  <c r="E1905" i="23"/>
  <c r="F210" i="23"/>
  <c r="F273" i="22"/>
  <c r="H2839" i="23"/>
  <c r="E1852" i="23"/>
  <c r="D624" i="23"/>
  <c r="F2998" i="23"/>
  <c r="C1679" i="23"/>
  <c r="F270" i="22"/>
  <c r="B904" i="23"/>
  <c r="C467" i="23"/>
  <c r="D474" i="23"/>
  <c r="F1939" i="23"/>
  <c r="A1825" i="23"/>
  <c r="E829" i="23"/>
  <c r="B858" i="23"/>
  <c r="H27" i="22"/>
  <c r="F173" i="22"/>
  <c r="C1355" i="23"/>
  <c r="E1672" i="23"/>
  <c r="A1073" i="23"/>
  <c r="G151" i="23"/>
  <c r="H981" i="23"/>
  <c r="H1806" i="23"/>
  <c r="H1635" i="23"/>
  <c r="A369" i="22"/>
  <c r="A325" i="23"/>
  <c r="C817" i="23"/>
  <c r="C2184" i="23"/>
  <c r="G1632" i="23"/>
  <c r="H2109" i="23"/>
  <c r="D13" i="23"/>
  <c r="G1281" i="23"/>
  <c r="F682" i="23"/>
  <c r="H2614" i="23"/>
  <c r="G1629" i="23"/>
  <c r="B2184" i="23"/>
  <c r="E286" i="23"/>
  <c r="B142" i="22"/>
  <c r="F629" i="23"/>
  <c r="C2270" i="23"/>
  <c r="E69" i="22"/>
  <c r="F2276" i="23"/>
  <c r="D190" i="22"/>
  <c r="H1488" i="23"/>
  <c r="E1568" i="23"/>
  <c r="H1139" i="23"/>
  <c r="F2442" i="23"/>
  <c r="H2943" i="23"/>
  <c r="H2000" i="23"/>
  <c r="H2537" i="23"/>
  <c r="G1382" i="23"/>
  <c r="A38" i="23"/>
  <c r="F487" i="23"/>
  <c r="G2971" i="23"/>
  <c r="H1796" i="23"/>
  <c r="A34" i="23"/>
  <c r="H1954" i="23"/>
  <c r="D177" i="22"/>
  <c r="H1377" i="23"/>
  <c r="E204" i="23"/>
  <c r="A239" i="22"/>
  <c r="H2157" i="23"/>
  <c r="G384" i="22"/>
  <c r="F218" i="23"/>
  <c r="H2544" i="23"/>
  <c r="B1729" i="23"/>
  <c r="E1058" i="23"/>
  <c r="H1262" i="23"/>
  <c r="E654" i="23"/>
  <c r="E1183" i="23"/>
  <c r="H1684" i="23"/>
  <c r="D2246" i="23"/>
  <c r="C422" i="22"/>
  <c r="H2942" i="23"/>
  <c r="B1948" i="23"/>
  <c r="B1926" i="23"/>
  <c r="H1866" i="23"/>
  <c r="H1548" i="23"/>
  <c r="G833" i="23"/>
  <c r="G353" i="22"/>
  <c r="E377" i="23"/>
  <c r="A34" i="22"/>
  <c r="A2211" i="23"/>
  <c r="A1917" i="23"/>
  <c r="G625" i="23"/>
  <c r="B151" i="22"/>
  <c r="D1542" i="23"/>
  <c r="F1356" i="23"/>
  <c r="G1510" i="23"/>
  <c r="A1528" i="23"/>
  <c r="C1400" i="23"/>
  <c r="D1318" i="23"/>
  <c r="B291" i="23"/>
  <c r="E771" i="23"/>
  <c r="B979" i="23"/>
  <c r="E625" i="23"/>
  <c r="H436" i="23"/>
  <c r="B1678" i="23"/>
  <c r="H1291" i="23"/>
  <c r="H1244" i="23"/>
  <c r="G640" i="23"/>
  <c r="A399" i="22"/>
  <c r="B61" i="23"/>
  <c r="C597" i="23"/>
  <c r="C1297" i="23"/>
  <c r="G2663" i="23"/>
  <c r="C803" i="23"/>
  <c r="A908" i="23"/>
  <c r="G2148" i="23"/>
  <c r="G451" i="23"/>
  <c r="A1959" i="23"/>
  <c r="A743" i="23"/>
  <c r="D2157" i="23"/>
  <c r="F2412" i="23"/>
  <c r="A1878" i="23"/>
  <c r="B648" i="23"/>
  <c r="D40" i="22"/>
  <c r="B579" i="23"/>
  <c r="B408" i="22"/>
  <c r="H1844" i="23"/>
  <c r="H1506" i="23"/>
  <c r="H2151" i="23"/>
  <c r="F1685" i="23"/>
  <c r="B2290" i="23"/>
  <c r="A85" i="23"/>
  <c r="H2849" i="23"/>
  <c r="C1755" i="23"/>
  <c r="G2092" i="23"/>
  <c r="B406" i="22"/>
  <c r="C1958" i="23"/>
  <c r="H1403" i="23"/>
  <c r="H1342" i="23"/>
  <c r="D2285" i="23"/>
  <c r="G810" i="23"/>
  <c r="B1188" i="23"/>
  <c r="G1289" i="23"/>
  <c r="G713" i="23"/>
  <c r="B273" i="23"/>
  <c r="A954" i="23"/>
  <c r="C793" i="23"/>
  <c r="E199" i="22"/>
  <c r="E662" i="23"/>
  <c r="H2685" i="23"/>
  <c r="G73" i="23"/>
  <c r="D1691" i="23"/>
  <c r="B2239" i="23"/>
  <c r="F2228" i="23"/>
  <c r="H822" i="23"/>
  <c r="C1154" i="23"/>
  <c r="G1911" i="23"/>
  <c r="F2118" i="23"/>
  <c r="D1307" i="23"/>
  <c r="B1662" i="23"/>
  <c r="C1268" i="23"/>
  <c r="D1996" i="23"/>
  <c r="F1863" i="23"/>
  <c r="H2275" i="23"/>
  <c r="D2066" i="23"/>
  <c r="A1410" i="23"/>
  <c r="D2244" i="23"/>
  <c r="D2176" i="23"/>
  <c r="D394" i="22"/>
  <c r="G2332" i="23"/>
  <c r="F345" i="23"/>
  <c r="B391" i="23"/>
  <c r="G2916" i="23"/>
  <c r="F843" i="23"/>
  <c r="G985" i="23"/>
  <c r="D1928" i="23"/>
  <c r="E1246" i="23"/>
  <c r="A1601" i="23"/>
  <c r="H2303" i="23"/>
  <c r="G622" i="23"/>
  <c r="G2170" i="23"/>
  <c r="D1349" i="23"/>
  <c r="D1050" i="23"/>
  <c r="F2565" i="23"/>
  <c r="B143" i="23"/>
  <c r="G2726" i="23"/>
  <c r="H1324" i="23"/>
  <c r="H1729" i="23"/>
  <c r="H2520" i="23"/>
  <c r="H826" i="23"/>
  <c r="F2768" i="23"/>
  <c r="F2397" i="23"/>
  <c r="G1434" i="23"/>
  <c r="A57" i="22"/>
  <c r="C940" i="23"/>
  <c r="C1213" i="23"/>
  <c r="C1731" i="23"/>
  <c r="H2721" i="23"/>
  <c r="F1762" i="23"/>
  <c r="C873" i="23"/>
  <c r="D1779" i="23"/>
  <c r="E262" i="22"/>
  <c r="G317" i="23"/>
  <c r="G2073" i="23"/>
  <c r="D133" i="22"/>
  <c r="B213" i="23"/>
  <c r="F330" i="23"/>
  <c r="D959" i="23"/>
  <c r="G471" i="23"/>
  <c r="F2532" i="23"/>
  <c r="B1665" i="23"/>
  <c r="H2899" i="23"/>
  <c r="F2765" i="23"/>
  <c r="G256" i="22"/>
  <c r="E674" i="23"/>
  <c r="A1933" i="23"/>
  <c r="G1487" i="23"/>
  <c r="E174" i="23"/>
  <c r="B2230" i="23"/>
  <c r="G2272" i="23"/>
  <c r="C1549" i="23"/>
  <c r="F2086" i="23"/>
  <c r="A840" i="23"/>
  <c r="A1262" i="23"/>
  <c r="H2771" i="23"/>
  <c r="E1800" i="23"/>
  <c r="E1513" i="23"/>
  <c r="D717" i="23"/>
  <c r="C1023" i="23"/>
  <c r="F293" i="22"/>
  <c r="A1014" i="23"/>
  <c r="G392" i="23"/>
  <c r="E2082" i="23"/>
  <c r="A349" i="23"/>
  <c r="C1712" i="23"/>
  <c r="F327" i="22"/>
  <c r="B257" i="22"/>
  <c r="H111" i="23"/>
  <c r="A294" i="23"/>
  <c r="G2162" i="23"/>
  <c r="C1756" i="23"/>
  <c r="B554" i="23"/>
  <c r="F2483" i="23"/>
  <c r="A1906" i="23"/>
  <c r="H2477" i="23"/>
  <c r="G2549" i="23"/>
  <c r="F1152" i="23"/>
  <c r="D135" i="23"/>
  <c r="A620" i="23"/>
  <c r="E599" i="23"/>
  <c r="A904" i="23"/>
  <c r="D1143" i="23"/>
  <c r="A200" i="23"/>
  <c r="G1153" i="23"/>
  <c r="F2006" i="23"/>
  <c r="H510" i="23"/>
  <c r="G1199" i="23"/>
  <c r="F341" i="22"/>
  <c r="F1131" i="23"/>
  <c r="B461" i="23"/>
  <c r="B836" i="23"/>
  <c r="D237" i="23"/>
  <c r="C572" i="23"/>
  <c r="D1950" i="23"/>
  <c r="D566" i="23"/>
  <c r="H1368" i="23"/>
  <c r="B309" i="23"/>
  <c r="A514" i="23"/>
  <c r="H2079" i="23"/>
  <c r="D550" i="23"/>
  <c r="F981" i="23"/>
  <c r="F420" i="22"/>
  <c r="G1293" i="23"/>
  <c r="H945" i="23"/>
  <c r="C169" i="23"/>
  <c r="G2548" i="23"/>
  <c r="H1933" i="23"/>
  <c r="B1495" i="23"/>
  <c r="A315" i="23"/>
  <c r="C1458" i="23"/>
  <c r="G1497" i="23"/>
  <c r="H2804" i="23"/>
  <c r="B2161" i="23"/>
  <c r="E449" i="23"/>
  <c r="C1480" i="23"/>
  <c r="A792" i="23"/>
  <c r="H800" i="23"/>
  <c r="D962" i="23"/>
  <c r="D2302" i="23"/>
  <c r="E1041" i="23"/>
  <c r="A1042" i="23"/>
  <c r="H611" i="23"/>
  <c r="G2539" i="23"/>
  <c r="A268" i="22"/>
  <c r="H2591" i="23"/>
  <c r="C1312" i="23"/>
  <c r="B1624" i="23"/>
  <c r="H1309" i="23"/>
  <c r="G2414" i="23"/>
  <c r="G1421" i="23"/>
  <c r="G1064" i="23"/>
  <c r="G1044" i="23"/>
  <c r="F688" i="23"/>
  <c r="F1211" i="23"/>
  <c r="G1505" i="23"/>
  <c r="G445" i="23"/>
  <c r="H2785" i="23"/>
  <c r="F672" i="23"/>
  <c r="A413" i="23"/>
  <c r="F1404" i="23"/>
  <c r="G2911" i="23"/>
  <c r="D357" i="23"/>
  <c r="D1598" i="23"/>
  <c r="C1473" i="23"/>
  <c r="B321" i="23"/>
  <c r="G828" i="23"/>
  <c r="E1396" i="23"/>
  <c r="D1927" i="23"/>
  <c r="C52" i="22"/>
  <c r="E622" i="23"/>
  <c r="F127" i="23"/>
  <c r="D2155" i="23"/>
  <c r="G1617" i="23"/>
  <c r="H2998" i="23"/>
  <c r="B1768" i="23"/>
  <c r="B104" i="22"/>
  <c r="G499" i="23"/>
  <c r="H1987" i="23"/>
  <c r="G2081" i="23"/>
  <c r="C32" i="23"/>
  <c r="C1030" i="23"/>
  <c r="H2659" i="23"/>
  <c r="H1484" i="23"/>
  <c r="F1411" i="23"/>
  <c r="A1994" i="23"/>
  <c r="H2491" i="23"/>
  <c r="A1272" i="23"/>
  <c r="C302" i="23"/>
  <c r="H1648" i="23"/>
  <c r="G627" i="23"/>
  <c r="G1012" i="23"/>
  <c r="C1948" i="23"/>
  <c r="A1305" i="23"/>
  <c r="G1840" i="23"/>
  <c r="E987" i="23"/>
  <c r="F2132" i="23"/>
  <c r="G253" i="23"/>
  <c r="G207" i="23"/>
  <c r="E85" i="23"/>
  <c r="A642" i="23"/>
  <c r="F314" i="23"/>
  <c r="A964" i="23"/>
  <c r="D1908" i="23"/>
  <c r="B1474" i="23"/>
  <c r="F2343" i="23"/>
  <c r="F2310" i="23"/>
  <c r="E1664" i="23"/>
  <c r="G695" i="23"/>
  <c r="A1310" i="23"/>
  <c r="F2472" i="23"/>
  <c r="A404" i="22"/>
  <c r="H1711" i="23"/>
  <c r="B832" i="23"/>
  <c r="E670" i="23"/>
  <c r="B1020" i="23"/>
  <c r="H405" i="23"/>
  <c r="G599" i="23"/>
  <c r="A1482" i="23"/>
  <c r="C495" i="23"/>
  <c r="H1930" i="23"/>
  <c r="D2023" i="23"/>
  <c r="A1299" i="23"/>
  <c r="B356" i="23"/>
  <c r="E378" i="23"/>
  <c r="D102" i="23"/>
  <c r="A1000" i="23"/>
  <c r="G1425" i="23"/>
  <c r="E1752" i="23"/>
  <c r="C240" i="23"/>
  <c r="C1387" i="23"/>
  <c r="F719" i="23"/>
  <c r="C1651" i="23"/>
  <c r="F1418" i="23"/>
  <c r="F1387" i="23"/>
  <c r="F1559" i="23"/>
  <c r="H966" i="23"/>
  <c r="G1535" i="23"/>
  <c r="A1813" i="23"/>
  <c r="C367" i="23"/>
  <c r="C214" i="22"/>
  <c r="A952" i="23"/>
  <c r="B251" i="23"/>
  <c r="G1815" i="23"/>
  <c r="A508" i="23"/>
  <c r="H183" i="23"/>
  <c r="D607" i="23"/>
  <c r="B353" i="22"/>
  <c r="B34" i="23"/>
  <c r="C537" i="23"/>
  <c r="C80" i="23"/>
  <c r="B1582" i="23"/>
  <c r="E1642" i="23"/>
  <c r="G2985" i="23"/>
  <c r="G1738" i="23"/>
  <c r="B1254" i="23"/>
  <c r="H1367" i="23"/>
  <c r="A474" i="23"/>
  <c r="C340" i="22"/>
  <c r="B103" i="23"/>
  <c r="H2690" i="23"/>
  <c r="A188" i="23"/>
  <c r="E1916" i="23"/>
  <c r="B640" i="23"/>
  <c r="B468" i="23"/>
  <c r="B2267" i="23"/>
  <c r="B1908" i="23"/>
  <c r="H2735" i="23"/>
  <c r="C1096" i="23"/>
  <c r="D375" i="22"/>
  <c r="H296" i="23"/>
  <c r="B85" i="22"/>
  <c r="E924" i="23"/>
  <c r="D2083" i="23"/>
  <c r="H122" i="23"/>
  <c r="C973" i="23"/>
  <c r="G1479" i="23"/>
  <c r="B2093" i="23"/>
  <c r="H529" i="23"/>
  <c r="F79" i="22"/>
  <c r="G1886" i="23"/>
  <c r="E759" i="23"/>
  <c r="G859" i="23"/>
  <c r="C2044" i="23"/>
  <c r="G116" i="23"/>
  <c r="H2576" i="23"/>
  <c r="H1213" i="23"/>
  <c r="G1440" i="23"/>
  <c r="A2318" i="23"/>
  <c r="G2798" i="23"/>
  <c r="C1914" i="23"/>
  <c r="A154" i="23"/>
  <c r="A1060" i="23"/>
  <c r="F372" i="23"/>
  <c r="B1496" i="23"/>
  <c r="C1656" i="23"/>
  <c r="G748" i="23"/>
  <c r="A1870" i="23"/>
  <c r="F1510" i="23"/>
  <c r="G57" i="23"/>
  <c r="E2277" i="23"/>
  <c r="F650" i="23"/>
  <c r="A159" i="23"/>
  <c r="H1410" i="23"/>
  <c r="C678" i="23"/>
  <c r="G1973" i="23"/>
  <c r="G70" i="23"/>
  <c r="G2102" i="23"/>
  <c r="H2835" i="23"/>
  <c r="D349" i="23"/>
  <c r="C635" i="23"/>
  <c r="F1595" i="23"/>
  <c r="B1304" i="23"/>
  <c r="C1904" i="23"/>
  <c r="H1269" i="23"/>
  <c r="C1171" i="23"/>
  <c r="E1912" i="23"/>
  <c r="G1697" i="23"/>
  <c r="D1790" i="23"/>
  <c r="F1956" i="23"/>
  <c r="E130" i="22"/>
  <c r="A623" i="23"/>
  <c r="D1219" i="23"/>
  <c r="B1354" i="23"/>
  <c r="H2870" i="23"/>
  <c r="F2048" i="23"/>
  <c r="H1329" i="23"/>
  <c r="C736" i="23"/>
  <c r="D2141" i="23"/>
  <c r="D2300" i="23"/>
  <c r="E1717" i="23"/>
  <c r="F348" i="22"/>
  <c r="D55" i="22"/>
  <c r="F150" i="23"/>
  <c r="G405" i="22"/>
  <c r="F80" i="23"/>
  <c r="G1809" i="23"/>
  <c r="G689" i="23"/>
  <c r="D1141" i="23"/>
  <c r="G42" i="23"/>
  <c r="F2857" i="23"/>
  <c r="A1026" i="23"/>
  <c r="H2004" i="23"/>
  <c r="D146" i="23"/>
  <c r="F1974" i="23"/>
  <c r="B709" i="23"/>
  <c r="H2955" i="23"/>
  <c r="C59" i="22"/>
  <c r="C2222" i="23"/>
  <c r="B874" i="23"/>
  <c r="A342" i="23"/>
  <c r="G355" i="22"/>
  <c r="B2086" i="23"/>
  <c r="G1442" i="23"/>
  <c r="C231" i="23"/>
  <c r="H2534" i="23"/>
  <c r="A1323" i="23"/>
  <c r="B246" i="22"/>
  <c r="C1437" i="23"/>
  <c r="G1693" i="23"/>
  <c r="H2082" i="23"/>
  <c r="A614" i="23"/>
  <c r="H28" i="22"/>
  <c r="D370" i="23"/>
  <c r="G1006" i="23"/>
  <c r="G2954" i="23"/>
  <c r="D371" i="23"/>
  <c r="F104" i="22"/>
  <c r="E1552" i="23"/>
  <c r="C1983" i="23"/>
  <c r="B891" i="23"/>
  <c r="B1631" i="23"/>
  <c r="E908" i="23"/>
  <c r="C968" i="23"/>
  <c r="H602" i="23"/>
  <c r="B2191" i="23"/>
  <c r="A638" i="23"/>
  <c r="B1722" i="23"/>
  <c r="D2289" i="23"/>
  <c r="D2093" i="23"/>
  <c r="A386" i="22"/>
  <c r="G2076" i="23"/>
  <c r="F63" i="23"/>
  <c r="B117" i="23"/>
  <c r="B1332" i="23"/>
  <c r="H2541" i="23"/>
  <c r="C1946" i="23"/>
  <c r="H235" i="23"/>
  <c r="B840" i="23"/>
  <c r="C1966" i="23"/>
  <c r="B2029" i="23"/>
  <c r="A1076" i="23"/>
  <c r="A348" i="22"/>
  <c r="D1013" i="23"/>
  <c r="D343" i="23"/>
  <c r="H1100" i="23"/>
  <c r="D1022" i="23"/>
  <c r="F1107" i="23"/>
  <c r="G1247" i="23"/>
  <c r="B2255" i="23"/>
  <c r="G2909" i="23"/>
  <c r="C214" i="23"/>
  <c r="B177" i="23"/>
  <c r="B94" i="23"/>
  <c r="G1260" i="23"/>
  <c r="F531" i="23"/>
  <c r="B362" i="22"/>
  <c r="G57" i="22"/>
  <c r="H2665" i="23"/>
  <c r="A2108" i="23"/>
  <c r="G118" i="22"/>
  <c r="G1133" i="23"/>
  <c r="D2278" i="23"/>
  <c r="B276" i="22"/>
  <c r="A667" i="23"/>
  <c r="A1596" i="23"/>
  <c r="F2104" i="23"/>
  <c r="D1058" i="23"/>
  <c r="H748" i="23"/>
  <c r="C359" i="22"/>
  <c r="B1181" i="23"/>
  <c r="C1461" i="23"/>
  <c r="D452" i="23"/>
  <c r="C1804" i="23"/>
  <c r="C414" i="23"/>
  <c r="D1969" i="23"/>
  <c r="A384" i="22"/>
  <c r="A991" i="23"/>
  <c r="B1789" i="23"/>
  <c r="F1148" i="23"/>
  <c r="C237" i="22"/>
  <c r="H2836" i="23"/>
  <c r="E313" i="22"/>
  <c r="F1139" i="23"/>
  <c r="H194" i="23"/>
  <c r="G2848" i="23"/>
  <c r="A684" i="23"/>
  <c r="A2173" i="23"/>
  <c r="B781" i="23"/>
  <c r="B894" i="23"/>
  <c r="B232" i="23"/>
  <c r="E2215" i="23"/>
  <c r="A937" i="23"/>
  <c r="D2052" i="23"/>
  <c r="H2280" i="23"/>
  <c r="C129" i="22"/>
  <c r="F272" i="22"/>
  <c r="G825" i="23"/>
  <c r="H1605" i="23"/>
  <c r="D2301" i="23"/>
  <c r="H1718" i="23"/>
  <c r="D1405" i="23"/>
  <c r="F1504" i="23"/>
  <c r="E1563" i="23"/>
  <c r="H1965" i="23"/>
  <c r="A482" i="23"/>
  <c r="H1218" i="23"/>
  <c r="E156" i="23"/>
  <c r="F1347" i="23"/>
  <c r="F1341" i="23"/>
  <c r="E542" i="23"/>
  <c r="D379" i="23"/>
  <c r="H893" i="23"/>
  <c r="E2045" i="23"/>
  <c r="A2054" i="23"/>
  <c r="D1755" i="23"/>
  <c r="A97" i="22"/>
  <c r="A377" i="22"/>
  <c r="E11" i="23"/>
  <c r="A626" i="23"/>
  <c r="G265" i="22"/>
  <c r="H939" i="23"/>
  <c r="C1762" i="23"/>
  <c r="G157" i="23"/>
  <c r="B722" i="23"/>
  <c r="A1957" i="23"/>
  <c r="B507" i="23"/>
  <c r="F1382" i="23"/>
  <c r="F1364" i="23"/>
  <c r="E135" i="23"/>
  <c r="F1691" i="23"/>
  <c r="B1337" i="23"/>
  <c r="C3" i="22"/>
  <c r="C120" i="23"/>
  <c r="A401" i="22"/>
  <c r="C1912" i="23"/>
  <c r="H969" i="23"/>
  <c r="E1607" i="23"/>
  <c r="H1861" i="23"/>
  <c r="D1067" i="23"/>
  <c r="D1240" i="23"/>
  <c r="A520" i="23"/>
  <c r="C1965" i="23"/>
  <c r="A2169" i="23"/>
  <c r="H743" i="23"/>
  <c r="B786" i="23"/>
  <c r="B1825" i="23"/>
  <c r="G1229" i="23"/>
  <c r="E163" i="22"/>
  <c r="F2687" i="23"/>
  <c r="C728" i="23"/>
  <c r="B132" i="23"/>
  <c r="B184" i="22"/>
  <c r="A1663" i="23"/>
  <c r="A664" i="23"/>
  <c r="A742" i="23"/>
  <c r="A132" i="23"/>
  <c r="A40" i="23"/>
  <c r="B2034" i="23"/>
  <c r="A910" i="23"/>
  <c r="H24" i="22"/>
  <c r="G338" i="23"/>
  <c r="B838" i="23"/>
  <c r="F1420" i="23"/>
  <c r="C107" i="22"/>
  <c r="G48" i="22"/>
  <c r="D1451" i="23"/>
  <c r="H2742" i="23"/>
  <c r="H885" i="23"/>
  <c r="F184" i="22"/>
  <c r="F2071" i="23"/>
  <c r="G53" i="23"/>
  <c r="D201" i="22"/>
  <c r="C76" i="23"/>
  <c r="E347" i="23"/>
  <c r="B54" i="23"/>
  <c r="E1407" i="23"/>
  <c r="E17" i="22"/>
  <c r="G2608" i="23"/>
  <c r="F2767" i="23"/>
  <c r="G395" i="23"/>
  <c r="G520" i="23"/>
  <c r="E510" i="23"/>
  <c r="G343" i="23"/>
  <c r="D521" i="23"/>
  <c r="A1742" i="23"/>
  <c r="H42" i="22"/>
  <c r="B814" i="23"/>
  <c r="B843" i="23"/>
  <c r="E2047" i="23"/>
  <c r="B243" i="22"/>
  <c r="E739" i="23"/>
  <c r="H2962" i="23"/>
  <c r="F222" i="22"/>
  <c r="G1286" i="23"/>
  <c r="C2095" i="23"/>
  <c r="H1569" i="23"/>
  <c r="A1249" i="23"/>
  <c r="A55" i="22"/>
  <c r="H2323" i="23"/>
  <c r="H2289" i="23"/>
  <c r="E14" i="22"/>
  <c r="H1787" i="23"/>
  <c r="E529" i="23"/>
  <c r="D1133" i="23"/>
  <c r="A314" i="22"/>
  <c r="D952" i="23"/>
  <c r="E1662" i="23"/>
  <c r="D125" i="23"/>
  <c r="C325" i="23"/>
  <c r="A682" i="23"/>
  <c r="G119" i="23"/>
  <c r="H2564" i="23"/>
  <c r="F170" i="22"/>
  <c r="E646" i="23"/>
  <c r="A1058" i="23"/>
  <c r="B680" i="23"/>
  <c r="D2086" i="23"/>
  <c r="B2233" i="23"/>
  <c r="B1769" i="23"/>
  <c r="E281" i="23"/>
  <c r="E1470" i="23"/>
  <c r="A1071" i="23"/>
  <c r="D441" i="23"/>
  <c r="H1490" i="23"/>
  <c r="F2836" i="23"/>
  <c r="H965" i="23"/>
  <c r="F289" i="23"/>
  <c r="G1777" i="23"/>
  <c r="F104" i="23"/>
  <c r="B930" i="23"/>
  <c r="E1964" i="23"/>
  <c r="A973" i="23"/>
  <c r="C390" i="22"/>
  <c r="F2361" i="23"/>
  <c r="E1340" i="23"/>
  <c r="G212" i="22"/>
  <c r="E1764" i="23"/>
  <c r="G2705" i="23"/>
  <c r="F1265" i="23"/>
  <c r="F369" i="23"/>
  <c r="H821" i="23"/>
  <c r="H1194" i="23"/>
  <c r="C274" i="23"/>
  <c r="C2102" i="23"/>
  <c r="H179" i="23"/>
  <c r="H778" i="23"/>
  <c r="A14" i="23"/>
  <c r="F2829" i="23"/>
  <c r="D726" i="23"/>
  <c r="F1766" i="23"/>
  <c r="A1700" i="23"/>
  <c r="C2070" i="23"/>
  <c r="A1146" i="23"/>
  <c r="A799" i="23"/>
  <c r="D1941" i="23"/>
  <c r="A313" i="22"/>
  <c r="B1204" i="23"/>
  <c r="D2032" i="23"/>
  <c r="C137" i="22"/>
  <c r="C326" i="22"/>
  <c r="E1428" i="23"/>
  <c r="D1171" i="23"/>
  <c r="B30" i="23"/>
  <c r="D671" i="23"/>
  <c r="H1380" i="23"/>
  <c r="G618" i="23"/>
  <c r="F2158" i="23"/>
  <c r="B810" i="23"/>
  <c r="B529" i="23"/>
  <c r="E48" i="22"/>
  <c r="F773" i="23"/>
  <c r="F1334" i="23"/>
  <c r="B2251" i="23"/>
  <c r="F196" i="22"/>
  <c r="E249" i="23"/>
  <c r="H991" i="23"/>
  <c r="G408" i="23"/>
  <c r="G152" i="23"/>
  <c r="A1999" i="23"/>
  <c r="D1082" i="23"/>
  <c r="A592" i="23"/>
  <c r="C46" i="22"/>
  <c r="C268" i="23"/>
  <c r="F1641" i="23"/>
  <c r="C518" i="23"/>
  <c r="F312" i="23"/>
  <c r="F2373" i="23"/>
  <c r="D348" i="22"/>
  <c r="F2138" i="23"/>
  <c r="H1008" i="23"/>
  <c r="F1741" i="23"/>
  <c r="C122" i="22"/>
  <c r="A900" i="23"/>
  <c r="C189" i="22"/>
  <c r="D61" i="23"/>
  <c r="E1811" i="23"/>
  <c r="A1149" i="23"/>
  <c r="D95" i="23"/>
  <c r="E1557" i="23"/>
  <c r="C1239" i="23"/>
  <c r="D258" i="23"/>
  <c r="C426" i="23"/>
  <c r="E825" i="23"/>
  <c r="C411" i="23"/>
  <c r="F1079" i="23"/>
  <c r="H2562" i="23"/>
  <c r="C307" i="22"/>
  <c r="B372" i="23"/>
  <c r="C779" i="23"/>
  <c r="C1674" i="23"/>
  <c r="D1797" i="23"/>
  <c r="E1210" i="23"/>
  <c r="C1763" i="23"/>
  <c r="E677" i="23"/>
  <c r="E922" i="23"/>
  <c r="E445" i="23"/>
  <c r="E975" i="23"/>
  <c r="C192" i="22"/>
  <c r="C724" i="23"/>
  <c r="H2338" i="23"/>
  <c r="D386" i="23"/>
  <c r="E1327" i="23"/>
  <c r="A364" i="23"/>
  <c r="F2273" i="23"/>
  <c r="D1825" i="23"/>
  <c r="E199" i="23"/>
  <c r="B715" i="23"/>
  <c r="D504" i="23"/>
  <c r="A1785" i="23"/>
  <c r="H2393" i="23"/>
  <c r="F218" i="22"/>
  <c r="C1078" i="23"/>
  <c r="C473" i="23"/>
  <c r="C1124" i="23"/>
  <c r="E1706" i="23"/>
  <c r="D741" i="23"/>
  <c r="H2449" i="23"/>
  <c r="B1975" i="23"/>
  <c r="G1235" i="23"/>
  <c r="E397" i="23"/>
  <c r="E918" i="23"/>
  <c r="E498" i="23"/>
  <c r="F1250" i="23"/>
  <c r="A1462" i="23"/>
  <c r="G1951" i="23"/>
  <c r="D378" i="22"/>
  <c r="A1277" i="23"/>
  <c r="G1563" i="23"/>
  <c r="C286" i="22"/>
  <c r="F895" i="23"/>
  <c r="H260" i="23"/>
  <c r="A378" i="22"/>
  <c r="C854" i="23"/>
  <c r="H385" i="23"/>
  <c r="A1164" i="23"/>
  <c r="A158" i="23"/>
  <c r="D1530" i="23"/>
  <c r="B1767" i="23"/>
  <c r="E62" i="23"/>
  <c r="G697" i="23"/>
  <c r="F597" i="23"/>
  <c r="E318" i="23"/>
  <c r="B750" i="23"/>
  <c r="H123" i="23"/>
  <c r="C1533" i="23"/>
  <c r="A3" i="22"/>
  <c r="G2225" i="23"/>
  <c r="D127" i="22"/>
  <c r="A2071" i="23"/>
  <c r="H2739" i="23"/>
  <c r="F98" i="23"/>
  <c r="G1570" i="23"/>
  <c r="F2582" i="23"/>
  <c r="G1129" i="23"/>
  <c r="E2100" i="23"/>
  <c r="G2807" i="23"/>
  <c r="G2849" i="23"/>
  <c r="E43" i="22"/>
  <c r="D1496" i="23"/>
  <c r="E644" i="23"/>
  <c r="G1561" i="23"/>
  <c r="A465" i="23"/>
  <c r="E1088" i="23"/>
  <c r="H2114" i="23"/>
  <c r="C1612" i="23"/>
  <c r="F526" i="23"/>
  <c r="A1879" i="23"/>
  <c r="C78" i="23"/>
  <c r="A379" i="22"/>
  <c r="D816" i="23"/>
  <c r="F240" i="22"/>
  <c r="G214" i="23"/>
  <c r="C156" i="23"/>
  <c r="E572" i="23"/>
  <c r="H2395" i="23"/>
  <c r="D678" i="23"/>
  <c r="D659" i="23"/>
  <c r="G2410" i="23"/>
  <c r="G2043" i="23"/>
  <c r="F549" i="23"/>
  <c r="D358" i="23"/>
  <c r="E255" i="22"/>
  <c r="E2137" i="23"/>
  <c r="F1541" i="23"/>
  <c r="E997" i="23"/>
  <c r="F114" i="22"/>
  <c r="C2313" i="23"/>
  <c r="H1294" i="23"/>
  <c r="D139" i="22"/>
  <c r="G2484" i="23"/>
  <c r="G2224" i="23"/>
  <c r="H2969" i="23"/>
  <c r="H294" i="23"/>
  <c r="H2170" i="23"/>
  <c r="G193" i="23"/>
  <c r="G30" i="22"/>
  <c r="G2905" i="23"/>
  <c r="D1738" i="23"/>
  <c r="E1506" i="23"/>
  <c r="A1122" i="23"/>
  <c r="E1193" i="23"/>
  <c r="H25" i="22"/>
  <c r="D2312" i="23"/>
  <c r="F2142" i="23"/>
  <c r="A1744" i="23"/>
  <c r="E896" i="23"/>
  <c r="H1784" i="23"/>
  <c r="A999" i="23"/>
  <c r="E271" i="23"/>
  <c r="H1435" i="23"/>
  <c r="C1250" i="23"/>
  <c r="D254" i="23"/>
  <c r="F1647" i="23"/>
  <c r="F2543" i="23"/>
  <c r="D2019" i="23"/>
  <c r="B95" i="23"/>
  <c r="F2730" i="23"/>
  <c r="A1453" i="23"/>
  <c r="C97" i="23"/>
  <c r="A651" i="23"/>
  <c r="G1340" i="23"/>
  <c r="F1147" i="23"/>
  <c r="A2013" i="23"/>
  <c r="A275" i="23"/>
  <c r="B199" i="23"/>
  <c r="E805" i="23"/>
  <c r="G2806" i="23"/>
  <c r="H1639" i="23"/>
  <c r="G2064" i="23"/>
  <c r="G2672" i="23"/>
  <c r="G184" i="22"/>
  <c r="E241" i="22"/>
  <c r="C147" i="22"/>
  <c r="B1457" i="23"/>
  <c r="D189" i="23"/>
  <c r="G982" i="23"/>
  <c r="D1945" i="23"/>
  <c r="F308" i="23"/>
  <c r="H942" i="23"/>
  <c r="E1622" i="23"/>
  <c r="C2098" i="23"/>
  <c r="G887" i="23"/>
  <c r="G234" i="22"/>
  <c r="C1362" i="23"/>
  <c r="D1347" i="23"/>
  <c r="C710" i="23"/>
  <c r="G2486" i="23"/>
  <c r="A373" i="22"/>
  <c r="F2383" i="23"/>
  <c r="G821" i="23"/>
  <c r="G244" i="22"/>
  <c r="B20" i="22"/>
  <c r="B369" i="23"/>
  <c r="D36" i="23"/>
  <c r="H570" i="23"/>
  <c r="D1550" i="23"/>
  <c r="F1081" i="23"/>
  <c r="H2525" i="23"/>
  <c r="H2355" i="23"/>
  <c r="F1178" i="23"/>
  <c r="F1022" i="23"/>
  <c r="D7" i="22"/>
  <c r="B84" i="23"/>
  <c r="D597" i="23"/>
  <c r="D250" i="22"/>
  <c r="A462" i="23"/>
  <c r="E1333" i="23"/>
  <c r="C1442" i="23"/>
  <c r="A1781" i="23"/>
  <c r="F2605" i="23"/>
  <c r="A372" i="22"/>
  <c r="F1913" i="23"/>
  <c r="F2887" i="23"/>
  <c r="B1945" i="23"/>
  <c r="E124" i="23"/>
  <c r="A558" i="23"/>
  <c r="H775" i="23"/>
  <c r="D1584" i="23"/>
  <c r="F1977" i="23"/>
  <c r="A375" i="22"/>
  <c r="C1308" i="23"/>
  <c r="B2261" i="23"/>
  <c r="B74" i="23"/>
  <c r="B174" i="22"/>
  <c r="B2061" i="23"/>
  <c r="F353" i="22"/>
  <c r="D259" i="22"/>
  <c r="G273" i="22"/>
  <c r="D701" i="23"/>
  <c r="H1568" i="23"/>
  <c r="F458" i="23"/>
  <c r="H1175" i="23"/>
  <c r="G1968" i="23"/>
  <c r="E676" i="23"/>
  <c r="F1823" i="23"/>
  <c r="B855" i="23"/>
  <c r="E2269" i="23"/>
  <c r="D577" i="23"/>
  <c r="A1672" i="23"/>
  <c r="C1696" i="23"/>
  <c r="E1083" i="23"/>
  <c r="F2528" i="23"/>
  <c r="F2655" i="23"/>
  <c r="F321" i="22"/>
  <c r="E2118" i="23"/>
  <c r="E1136" i="23"/>
  <c r="F199" i="22"/>
  <c r="H1966" i="23"/>
  <c r="G52" i="22"/>
  <c r="E521" i="23"/>
  <c r="E228" i="22"/>
  <c r="G2984" i="23"/>
  <c r="D2271" i="23"/>
  <c r="E81" i="22"/>
  <c r="F2378" i="23"/>
  <c r="G2401" i="23"/>
  <c r="D30" i="22"/>
  <c r="F1492" i="23"/>
  <c r="H1357" i="23"/>
  <c r="G2525" i="23"/>
  <c r="G919" i="23"/>
  <c r="G59" i="22"/>
  <c r="B404" i="22"/>
  <c r="H475" i="23"/>
  <c r="G1627" i="23"/>
  <c r="A2030" i="23"/>
  <c r="C1537" i="23"/>
  <c r="A249" i="23"/>
  <c r="C141" i="23"/>
  <c r="E1646" i="23"/>
  <c r="F461" i="23"/>
  <c r="F1535" i="23"/>
  <c r="B19" i="23"/>
  <c r="F2217" i="23"/>
  <c r="A194" i="22"/>
  <c r="C1411" i="23"/>
  <c r="F1878" i="23"/>
  <c r="F203" i="23"/>
  <c r="E797" i="23"/>
  <c r="G553" i="23"/>
  <c r="H112" i="23"/>
  <c r="F1101" i="23"/>
  <c r="B1197" i="23"/>
  <c r="H874" i="23"/>
  <c r="C138" i="23"/>
  <c r="H747" i="23"/>
  <c r="D1282" i="23"/>
  <c r="D408" i="22"/>
  <c r="H860" i="23"/>
  <c r="G1811" i="23"/>
  <c r="D27" i="22"/>
  <c r="H2306" i="23"/>
  <c r="D1238" i="23"/>
  <c r="B58" i="23"/>
  <c r="G716" i="23"/>
  <c r="F217" i="22"/>
  <c r="C1751" i="23"/>
  <c r="D1616" i="23"/>
  <c r="A172" i="22"/>
  <c r="B728" i="23"/>
  <c r="H20" i="23"/>
  <c r="C1735" i="23"/>
  <c r="C564" i="23"/>
  <c r="F732" i="23"/>
  <c r="F2896" i="23"/>
  <c r="F638" i="23"/>
  <c r="H1015" i="23"/>
  <c r="H1547" i="23"/>
  <c r="C463" i="23"/>
  <c r="E1841" i="23"/>
  <c r="G43" i="23"/>
  <c r="C2299" i="23"/>
  <c r="B1179" i="23"/>
  <c r="E350" i="23"/>
  <c r="H370" i="23"/>
  <c r="C1181" i="23"/>
  <c r="E235" i="23"/>
  <c r="H1092" i="23"/>
  <c r="D88" i="23"/>
  <c r="G69" i="23"/>
  <c r="B1840" i="23"/>
  <c r="A1880" i="23"/>
  <c r="E72" i="22"/>
  <c r="B2215" i="23"/>
  <c r="C1075" i="23"/>
  <c r="C1134" i="23"/>
  <c r="G303" i="23"/>
  <c r="C660" i="23"/>
  <c r="E292" i="22"/>
  <c r="G2216" i="23"/>
  <c r="G710" i="23"/>
  <c r="E60" i="23"/>
  <c r="D222" i="23"/>
  <c r="C1729" i="23"/>
  <c r="B214" i="22"/>
  <c r="A411" i="22"/>
  <c r="H1121" i="23"/>
  <c r="F1868" i="23"/>
  <c r="E703" i="23"/>
  <c r="E1224" i="23"/>
  <c r="H2382" i="23"/>
  <c r="G1407" i="23"/>
  <c r="F2709" i="23"/>
  <c r="H2429" i="23"/>
  <c r="D394" i="23"/>
  <c r="H218" i="23"/>
  <c r="D439" i="23"/>
  <c r="B206" i="23"/>
  <c r="B1533" i="23"/>
  <c r="C1378" i="23"/>
  <c r="A1039" i="23"/>
  <c r="D639" i="23"/>
  <c r="H2164" i="23"/>
  <c r="A1865" i="23"/>
  <c r="E483" i="23"/>
  <c r="B316" i="22"/>
  <c r="A2242" i="23"/>
  <c r="B1055" i="23"/>
  <c r="H788" i="23"/>
  <c r="F136" i="23"/>
  <c r="F22" i="22"/>
  <c r="C1722" i="23"/>
  <c r="F2432" i="23"/>
  <c r="E178" i="22"/>
  <c r="F290" i="22"/>
  <c r="C1543" i="23"/>
  <c r="A99" i="22"/>
  <c r="G1694" i="23"/>
  <c r="B505" i="23"/>
  <c r="H2677" i="23"/>
  <c r="H2686" i="23"/>
  <c r="B2067" i="23"/>
  <c r="D50" i="23"/>
  <c r="A262" i="23"/>
  <c r="B638" i="23"/>
  <c r="D692" i="23"/>
  <c r="A1215" i="23"/>
  <c r="C1839" i="23"/>
  <c r="A169" i="22"/>
  <c r="D424" i="22"/>
  <c r="G165" i="22"/>
  <c r="H2019" i="23"/>
  <c r="A1561" i="23"/>
  <c r="G40" i="22"/>
  <c r="B1779" i="23"/>
  <c r="F1562" i="23"/>
  <c r="C778" i="23"/>
  <c r="E1921" i="23"/>
  <c r="F1544" i="23"/>
  <c r="E2039" i="23"/>
  <c r="G1854" i="23"/>
  <c r="A1101" i="23"/>
  <c r="A1402" i="23"/>
  <c r="C317" i="22"/>
  <c r="C2143" i="23"/>
  <c r="B69" i="23"/>
  <c r="G115" i="22"/>
  <c r="C277" i="22"/>
  <c r="F751" i="23"/>
  <c r="D2138" i="23"/>
  <c r="G97" i="23"/>
  <c r="D308" i="23"/>
  <c r="B22" i="22"/>
  <c r="F1636" i="23"/>
  <c r="A389" i="23"/>
  <c r="A2281" i="23"/>
  <c r="F231" i="22"/>
  <c r="H2112" i="23"/>
  <c r="G1630" i="23"/>
  <c r="F2286" i="23"/>
  <c r="H191" i="23"/>
  <c r="B743" i="23"/>
  <c r="A810" i="23"/>
  <c r="A846" i="23"/>
  <c r="D1060" i="23"/>
  <c r="H2508" i="23"/>
  <c r="F890" i="23"/>
  <c r="G2430" i="23"/>
  <c r="F2700" i="23"/>
  <c r="E1473" i="23"/>
  <c r="C436" i="23"/>
  <c r="G367" i="22"/>
  <c r="A36" i="22"/>
  <c r="G877" i="23"/>
  <c r="H2821" i="23"/>
  <c r="H501" i="23"/>
  <c r="D903" i="23"/>
  <c r="G1755" i="23"/>
  <c r="B535" i="23"/>
  <c r="B228" i="23"/>
  <c r="E45" i="22"/>
  <c r="D1136" i="23"/>
  <c r="G2891" i="23"/>
  <c r="E1093" i="23"/>
  <c r="H2283" i="23"/>
  <c r="A417" i="23"/>
  <c r="D269" i="23"/>
  <c r="B8" i="22"/>
  <c r="D2230" i="23"/>
  <c r="G557" i="23"/>
  <c r="H2426" i="23"/>
  <c r="E1017" i="23"/>
  <c r="H2407" i="23"/>
  <c r="D400" i="23"/>
  <c r="F1041" i="23"/>
  <c r="D1265" i="23"/>
  <c r="D374" i="22"/>
  <c r="E183" i="23"/>
  <c r="E1197" i="23"/>
  <c r="F2210" i="23"/>
  <c r="D533" i="23"/>
  <c r="F2123" i="23"/>
  <c r="H2403" i="23"/>
  <c r="F996" i="23"/>
  <c r="F2257" i="23"/>
  <c r="H2345" i="23"/>
  <c r="D219" i="22"/>
  <c r="A101" i="23"/>
  <c r="A174" i="22"/>
  <c r="B120" i="23"/>
  <c r="A511" i="23"/>
  <c r="A1581" i="23"/>
  <c r="H2181" i="23"/>
  <c r="F1156" i="23"/>
  <c r="D1768" i="23"/>
  <c r="H647" i="23"/>
  <c r="B1122" i="23"/>
  <c r="F2919" i="23"/>
  <c r="H166" i="23"/>
  <c r="A215" i="23"/>
  <c r="F371" i="22"/>
  <c r="D381" i="22"/>
  <c r="G2197" i="23"/>
  <c r="C323" i="22"/>
  <c r="F181" i="23"/>
  <c r="E17" i="23"/>
  <c r="C1498" i="23"/>
  <c r="G645" i="23"/>
  <c r="D114" i="22"/>
  <c r="B1072" i="23"/>
  <c r="F2054" i="23"/>
  <c r="G591" i="23"/>
  <c r="F2725" i="23"/>
  <c r="D1791" i="23"/>
  <c r="D946" i="23"/>
  <c r="E934" i="23"/>
  <c r="B2132" i="23"/>
  <c r="H1958" i="23"/>
  <c r="G2979" i="23"/>
  <c r="B629" i="23"/>
  <c r="A2113" i="23"/>
  <c r="G186" i="23"/>
  <c r="B1377" i="23"/>
  <c r="A440" i="23"/>
  <c r="B2144" i="23"/>
  <c r="H2333" i="23"/>
  <c r="F2106" i="23"/>
  <c r="A102" i="23"/>
  <c r="C213" i="22"/>
  <c r="F1053" i="23"/>
  <c r="B282" i="22"/>
  <c r="D1591" i="23"/>
  <c r="B607" i="23"/>
  <c r="G178" i="22"/>
  <c r="F96" i="23"/>
  <c r="A1907" i="23"/>
  <c r="H2747" i="23"/>
  <c r="E1030" i="23"/>
  <c r="G2601" i="23"/>
  <c r="G2309" i="23"/>
  <c r="G216" i="22"/>
  <c r="F2534" i="23"/>
  <c r="D265" i="22"/>
  <c r="F379" i="22"/>
  <c r="G2523" i="23"/>
  <c r="H26" i="23"/>
  <c r="B1482" i="23"/>
  <c r="A1981" i="23"/>
  <c r="B620" i="23"/>
  <c r="H63" i="23"/>
  <c r="G183" i="22"/>
  <c r="A416" i="23"/>
  <c r="H150" i="23"/>
  <c r="F2644" i="23"/>
  <c r="F1551" i="23"/>
  <c r="F1277" i="23"/>
  <c r="B128" i="22"/>
  <c r="F2949" i="23"/>
  <c r="G1007" i="23"/>
  <c r="A1456" i="23"/>
  <c r="G2556" i="23"/>
  <c r="A545" i="23"/>
  <c r="G2394" i="23"/>
  <c r="F1221" i="23"/>
  <c r="G2819" i="23"/>
  <c r="B896" i="23"/>
  <c r="E588" i="23"/>
  <c r="H2179" i="23"/>
  <c r="G1930" i="23"/>
  <c r="H1804" i="23"/>
  <c r="C158" i="22"/>
  <c r="E1665" i="23"/>
  <c r="D148" i="22"/>
  <c r="G708" i="23"/>
  <c r="H439" i="23"/>
  <c r="A1043" i="23"/>
  <c r="C1644" i="23"/>
  <c r="G245" i="22"/>
  <c r="A2010" i="23"/>
  <c r="E74" i="23"/>
  <c r="A868" i="23"/>
  <c r="B1774" i="23"/>
  <c r="B219" i="22"/>
  <c r="F46" i="23"/>
  <c r="E979" i="23"/>
  <c r="G1775" i="23"/>
  <c r="D279" i="23"/>
  <c r="G2937" i="23"/>
  <c r="B1834" i="23"/>
  <c r="C65" i="23"/>
  <c r="F1429" i="23"/>
  <c r="F1317" i="23"/>
  <c r="G2566" i="23"/>
  <c r="G580" i="23"/>
  <c r="H2820" i="23"/>
  <c r="F2292" i="23"/>
  <c r="G91" i="23"/>
  <c r="F2612" i="23"/>
  <c r="D1628" i="23"/>
  <c r="G2206" i="23"/>
  <c r="G1958" i="23"/>
  <c r="E1851" i="23"/>
  <c r="G378" i="22"/>
  <c r="A1094" i="23"/>
  <c r="C837" i="23"/>
  <c r="C522" i="23"/>
  <c r="E2143" i="23"/>
  <c r="F1216" i="23"/>
  <c r="G359" i="22"/>
  <c r="C1055" i="23"/>
  <c r="G2648" i="23"/>
  <c r="H2357" i="23"/>
  <c r="F786" i="23"/>
  <c r="A1585" i="23"/>
  <c r="H410" i="23"/>
  <c r="D563" i="23"/>
  <c r="G647" i="23"/>
  <c r="D499" i="23"/>
  <c r="B1863" i="23"/>
  <c r="D106" i="22"/>
  <c r="D693" i="23"/>
  <c r="G2520" i="23"/>
  <c r="F1235" i="23"/>
  <c r="B1323" i="23"/>
  <c r="G1132" i="23"/>
  <c r="D647" i="23"/>
  <c r="D914" i="23"/>
  <c r="E561" i="23"/>
  <c r="G1585" i="23"/>
  <c r="H2950" i="23"/>
  <c r="D243" i="22"/>
  <c r="D1841" i="23"/>
  <c r="H2210" i="23"/>
  <c r="A393" i="22"/>
  <c r="E1844" i="23"/>
  <c r="A853" i="23"/>
  <c r="B324" i="22"/>
  <c r="D103" i="23"/>
  <c r="H2672" i="23"/>
  <c r="A2274" i="23"/>
  <c r="D351" i="22"/>
  <c r="C295" i="23"/>
  <c r="H644" i="23"/>
  <c r="H2177" i="23"/>
  <c r="C345" i="23"/>
  <c r="B1196" i="23"/>
  <c r="F1910" i="23"/>
  <c r="H1075" i="23"/>
  <c r="F599" i="23"/>
  <c r="E2014" i="23"/>
  <c r="G2090" i="23"/>
  <c r="C1687" i="23"/>
  <c r="D497" i="23"/>
  <c r="A2176" i="23"/>
  <c r="E2021" i="23"/>
  <c r="E1590" i="23"/>
  <c r="D462" i="23"/>
  <c r="C114" i="22"/>
  <c r="H1811" i="23"/>
  <c r="E235" i="22"/>
  <c r="A1876" i="23"/>
  <c r="F508" i="23"/>
  <c r="H2126" i="23"/>
  <c r="G1512" i="23"/>
  <c r="D1120" i="23"/>
  <c r="H845" i="23"/>
  <c r="H72" i="22"/>
  <c r="D1627" i="23"/>
  <c r="G302" i="23"/>
  <c r="G2291" i="23"/>
  <c r="F2830" i="23"/>
  <c r="G1895" i="23"/>
  <c r="F2169" i="23"/>
  <c r="E1013" i="23"/>
  <c r="D17" i="23"/>
  <c r="D1736" i="23"/>
  <c r="E509" i="23"/>
  <c r="D789" i="23"/>
  <c r="C2306" i="23"/>
  <c r="A263" i="23"/>
  <c r="E215" i="23"/>
  <c r="D48" i="22"/>
  <c r="G1369" i="23"/>
  <c r="A486" i="23"/>
  <c r="G2880" i="23"/>
  <c r="B382" i="23"/>
  <c r="E1903" i="23"/>
  <c r="F2696" i="23"/>
  <c r="A1670" i="23"/>
  <c r="F1064" i="23"/>
  <c r="F2020" i="23"/>
  <c r="C360" i="22"/>
  <c r="G727" i="23"/>
  <c r="H956" i="23"/>
  <c r="G368" i="23"/>
  <c r="G353" i="23"/>
  <c r="D1685" i="23"/>
  <c r="E1512" i="23"/>
  <c r="E1984" i="23"/>
  <c r="C540" i="23"/>
  <c r="B139" i="23"/>
  <c r="C56" i="23"/>
  <c r="G1246" i="23"/>
  <c r="E362" i="23"/>
  <c r="D2162" i="23"/>
  <c r="A406" i="22"/>
  <c r="A429" i="23"/>
  <c r="C1727" i="23"/>
  <c r="A1508" i="23"/>
  <c r="A1352" i="23"/>
  <c r="F2368" i="23"/>
  <c r="A1546" i="23"/>
  <c r="D1743" i="23"/>
  <c r="H1802" i="23"/>
  <c r="C1166" i="23"/>
  <c r="G154" i="22"/>
  <c r="C2202" i="23"/>
  <c r="B1782" i="23"/>
  <c r="H1523" i="23"/>
  <c r="G71" i="23"/>
  <c r="E44" i="23"/>
  <c r="A1789" i="23"/>
  <c r="H707" i="23"/>
  <c r="A415" i="22"/>
  <c r="H396" i="23"/>
  <c r="F1096" i="23"/>
  <c r="A2098" i="23"/>
  <c r="C1215" i="23"/>
  <c r="F662" i="23"/>
  <c r="B1336" i="23"/>
  <c r="C1599" i="23"/>
  <c r="A1245" i="23"/>
  <c r="B2032" i="23"/>
  <c r="E1699" i="23"/>
  <c r="G869" i="23"/>
  <c r="G1188" i="23"/>
  <c r="G1995" i="23"/>
  <c r="E2035" i="23"/>
  <c r="B365" i="22"/>
  <c r="A1897" i="23"/>
  <c r="F2271" i="23"/>
  <c r="D503" i="23"/>
  <c r="E707" i="23"/>
  <c r="G2948" i="23"/>
  <c r="A1090" i="23"/>
  <c r="H496" i="23"/>
  <c r="B2216" i="23"/>
  <c r="H1344" i="23"/>
  <c r="E1214" i="23"/>
  <c r="G122" i="23"/>
  <c r="A127" i="22"/>
  <c r="B1880" i="23"/>
  <c r="H513" i="23"/>
  <c r="A696" i="23"/>
  <c r="G2607" i="23"/>
  <c r="A749" i="23"/>
  <c r="A1315" i="23"/>
  <c r="G536" i="23"/>
  <c r="F1978" i="23"/>
  <c r="E1653" i="23"/>
  <c r="C1578" i="23"/>
  <c r="B870" i="23"/>
  <c r="H2174" i="23"/>
  <c r="F1570" i="23"/>
  <c r="C1087" i="23"/>
  <c r="C2263" i="23"/>
  <c r="C21" i="23"/>
  <c r="B1136" i="23"/>
  <c r="F1627" i="23"/>
  <c r="H197" i="23"/>
  <c r="E1420" i="23"/>
  <c r="E906" i="23"/>
  <c r="A166" i="23"/>
  <c r="E1118" i="23"/>
  <c r="H1009" i="23"/>
  <c r="A1148" i="23"/>
  <c r="F2272" i="23"/>
  <c r="A510" i="23"/>
  <c r="H817" i="23"/>
  <c r="G1889" i="23"/>
  <c r="C1603" i="23"/>
  <c r="D2269" i="23"/>
  <c r="E311" i="22"/>
  <c r="A225" i="22"/>
  <c r="G337" i="23"/>
  <c r="A654" i="23"/>
  <c r="G238" i="22"/>
  <c r="H2375" i="23"/>
  <c r="E97" i="23"/>
  <c r="C2020" i="23"/>
  <c r="F2613" i="23"/>
  <c r="C251" i="23"/>
  <c r="D656" i="23"/>
  <c r="B72" i="23"/>
  <c r="D113" i="23"/>
  <c r="D1604" i="23"/>
  <c r="D881" i="23"/>
  <c r="D1911" i="23"/>
  <c r="G1668" i="23"/>
  <c r="H1138" i="23"/>
  <c r="B800" i="23"/>
  <c r="F1210" i="23"/>
  <c r="A1496" i="23"/>
  <c r="G2546" i="23"/>
  <c r="C238" i="23"/>
  <c r="B1832" i="23"/>
  <c r="H2893" i="23"/>
  <c r="B2211" i="23"/>
  <c r="G1206" i="23"/>
  <c r="H1068" i="23"/>
  <c r="H518" i="23"/>
  <c r="F171" i="23"/>
  <c r="F380" i="23"/>
  <c r="A905" i="23"/>
  <c r="H2569" i="23"/>
  <c r="C353" i="23"/>
  <c r="G446" i="23"/>
  <c r="G1300" i="23"/>
  <c r="E977" i="23"/>
  <c r="G2852" i="23"/>
  <c r="H1878" i="23"/>
  <c r="D1490" i="23"/>
  <c r="C644" i="23"/>
  <c r="C392" i="23"/>
  <c r="H85" i="23"/>
  <c r="H1687" i="23"/>
  <c r="E1908" i="23"/>
  <c r="C2209" i="23"/>
  <c r="B49" i="23"/>
  <c r="D351" i="23"/>
  <c r="G855" i="23"/>
  <c r="C431" i="23"/>
  <c r="F2846" i="23"/>
  <c r="C109" i="23"/>
  <c r="C79" i="23"/>
  <c r="G1240" i="23"/>
  <c r="B644" i="23"/>
  <c r="H2475" i="23"/>
  <c r="A1190" i="23"/>
  <c r="A1693" i="23"/>
  <c r="G2135" i="23"/>
  <c r="G34" i="22"/>
  <c r="C72" i="22"/>
  <c r="D68" i="23"/>
  <c r="F146" i="23"/>
  <c r="F665" i="23"/>
  <c r="G393" i="22"/>
  <c r="C1294" i="23"/>
  <c r="C2130" i="23"/>
  <c r="B1389" i="23"/>
  <c r="C609" i="23"/>
  <c r="G400" i="22"/>
  <c r="A2295" i="23"/>
  <c r="A1388" i="23"/>
  <c r="F2296" i="23"/>
  <c r="A1347" i="23"/>
  <c r="H589" i="23"/>
  <c r="G1829" i="23"/>
  <c r="D766" i="23"/>
  <c r="C161" i="22"/>
  <c r="A925" i="23"/>
  <c r="G1912" i="23"/>
  <c r="F2717" i="23"/>
  <c r="C1309" i="23"/>
  <c r="C816" i="23"/>
  <c r="A25" i="22"/>
  <c r="F603" i="23"/>
  <c r="A380" i="22"/>
  <c r="G1159" i="23"/>
  <c r="A630" i="23"/>
  <c r="G1890" i="23"/>
  <c r="F1739" i="23"/>
  <c r="A1471" i="23"/>
  <c r="F1814" i="23"/>
  <c r="D1617" i="23"/>
  <c r="D651" i="23"/>
  <c r="D768" i="23"/>
  <c r="C241" i="23"/>
  <c r="A21" i="23"/>
  <c r="G1295" i="23"/>
  <c r="B624" i="23"/>
  <c r="F2320" i="23"/>
  <c r="G1355" i="23"/>
  <c r="F1915" i="23"/>
  <c r="E1236" i="23"/>
  <c r="F1999" i="23"/>
  <c r="D86" i="22"/>
  <c r="C4" i="22"/>
  <c r="D793" i="23"/>
  <c r="C142" i="22"/>
  <c r="D556" i="23"/>
  <c r="F39" i="22"/>
  <c r="C689" i="23"/>
  <c r="F894" i="23"/>
  <c r="C857" i="23"/>
  <c r="F2043" i="23"/>
  <c r="E2043" i="23"/>
  <c r="G88" i="22"/>
  <c r="F55" i="23"/>
  <c r="F689" i="23"/>
  <c r="F2577" i="23"/>
  <c r="H2119" i="23"/>
  <c r="E2101" i="23"/>
  <c r="A1204" i="23"/>
  <c r="F1196" i="23"/>
  <c r="B1628" i="23"/>
  <c r="F506" i="23"/>
  <c r="A345" i="22"/>
  <c r="C2287" i="23"/>
  <c r="C535" i="23"/>
  <c r="F808" i="23"/>
  <c r="H1207" i="23"/>
  <c r="E732" i="23"/>
  <c r="E9" i="22"/>
  <c r="H1757" i="23"/>
  <c r="F2019" i="23"/>
  <c r="B334" i="23"/>
  <c r="H81" i="23"/>
  <c r="E2002" i="23"/>
  <c r="G1832" i="23"/>
  <c r="E2229" i="23"/>
  <c r="G659" i="23"/>
  <c r="C416" i="23"/>
  <c r="B935" i="23"/>
  <c r="A1968" i="23"/>
  <c r="A2107" i="23"/>
  <c r="C1841" i="23"/>
  <c r="C1233" i="23"/>
  <c r="D1662" i="23"/>
  <c r="H11" i="23"/>
  <c r="D1873" i="23"/>
  <c r="E451" i="23"/>
  <c r="A1109" i="23"/>
  <c r="B371" i="23"/>
  <c r="C2074" i="23"/>
  <c r="C972" i="23"/>
  <c r="F335" i="23"/>
  <c r="D1621" i="23"/>
  <c r="A787" i="23"/>
  <c r="C958" i="23"/>
  <c r="A279" i="22"/>
  <c r="H659" i="23"/>
  <c r="F2058" i="23"/>
  <c r="C1906" i="23"/>
  <c r="H2464" i="23"/>
  <c r="A73" i="22"/>
  <c r="B325" i="23"/>
  <c r="A2240" i="23"/>
  <c r="C1405" i="23"/>
  <c r="D1391" i="23"/>
  <c r="H1123" i="23"/>
  <c r="A220" i="22"/>
  <c r="C193" i="22"/>
  <c r="F2901" i="23"/>
  <c r="G136" i="22"/>
  <c r="H2896" i="23"/>
  <c r="F295" i="22"/>
  <c r="E2264" i="23"/>
  <c r="G338" i="22"/>
  <c r="G2354" i="23"/>
  <c r="F2838" i="23"/>
  <c r="F1950" i="23"/>
  <c r="C356" i="22"/>
  <c r="H1761" i="23"/>
  <c r="B1912" i="23"/>
  <c r="D1574" i="23"/>
  <c r="A1973" i="23"/>
  <c r="E595" i="23"/>
  <c r="F171" i="22"/>
  <c r="F2418" i="23"/>
  <c r="G2443" i="23"/>
  <c r="G391" i="23"/>
  <c r="D215" i="22"/>
  <c r="G441" i="23"/>
  <c r="H471" i="23"/>
  <c r="F1554" i="23"/>
  <c r="C521" i="23"/>
  <c r="H967" i="23"/>
  <c r="H337" i="23"/>
  <c r="C1459" i="23"/>
  <c r="G2177" i="23"/>
  <c r="H1892" i="23"/>
  <c r="E1113" i="23"/>
  <c r="B231" i="23"/>
  <c r="G714" i="23"/>
  <c r="G2538" i="23"/>
  <c r="D260" i="23"/>
  <c r="E909" i="23"/>
  <c r="H2101" i="23"/>
  <c r="G619" i="23"/>
  <c r="E849" i="23"/>
  <c r="H655" i="23"/>
  <c r="E1334" i="23"/>
  <c r="H1591" i="23"/>
  <c r="F738" i="23"/>
  <c r="G1743" i="23"/>
  <c r="F644" i="23"/>
  <c r="F1612" i="23"/>
  <c r="B476" i="23"/>
  <c r="D1623" i="23"/>
  <c r="G447" i="23"/>
  <c r="E2225" i="23"/>
  <c r="C704" i="23"/>
  <c r="H2438" i="23"/>
  <c r="G1390" i="23"/>
  <c r="G11" i="22"/>
  <c r="E749" i="23"/>
  <c r="B230" i="23"/>
  <c r="H1466" i="23"/>
  <c r="G2883" i="23"/>
  <c r="F2571" i="23"/>
  <c r="F1760" i="23"/>
  <c r="A2162" i="23"/>
  <c r="B2241" i="23"/>
  <c r="D162" i="23"/>
  <c r="A96" i="22"/>
  <c r="B40" i="23"/>
  <c r="E818" i="23"/>
  <c r="B2077" i="23"/>
  <c r="A363" i="22"/>
  <c r="E2194" i="23"/>
  <c r="A273" i="23"/>
  <c r="H895" i="23"/>
  <c r="F19" i="23"/>
  <c r="C1033" i="23"/>
  <c r="G435" i="23"/>
  <c r="B1169" i="23"/>
  <c r="D327" i="23"/>
  <c r="E754" i="23"/>
  <c r="G537" i="23"/>
  <c r="A1740" i="23"/>
  <c r="F1199" i="23"/>
  <c r="B1827" i="23"/>
  <c r="A1736" i="23"/>
  <c r="D856" i="23"/>
  <c r="F2342" i="23"/>
  <c r="B2023" i="23"/>
  <c r="C1104" i="23"/>
  <c r="C2002" i="23"/>
  <c r="G171" i="22"/>
  <c r="G199" i="23"/>
  <c r="F1549" i="23"/>
  <c r="F133" i="23"/>
  <c r="B1192" i="23"/>
  <c r="A860" i="23"/>
  <c r="B90" i="23"/>
  <c r="C1410" i="23"/>
  <c r="G119" i="22"/>
  <c r="C2207" i="23"/>
  <c r="D1702" i="23"/>
  <c r="B1093" i="23"/>
  <c r="C2271" i="23"/>
  <c r="F1832" i="23"/>
  <c r="D1028" i="23"/>
  <c r="G442" i="23"/>
  <c r="E1413" i="23"/>
  <c r="F1564" i="23"/>
  <c r="G2712" i="23"/>
  <c r="F637" i="23"/>
  <c r="B2165" i="23"/>
  <c r="B157" i="23"/>
  <c r="D1024" i="23"/>
  <c r="F664" i="23"/>
  <c r="B153" i="23"/>
  <c r="G105" i="23"/>
  <c r="A49" i="23"/>
  <c r="D2044" i="23"/>
  <c r="H2213" i="23"/>
  <c r="F885" i="23"/>
  <c r="G2824" i="23"/>
  <c r="D227" i="22"/>
  <c r="E690" i="23"/>
  <c r="C1862" i="23"/>
  <c r="B1016" i="23"/>
  <c r="G2844" i="23"/>
  <c r="C1466" i="23"/>
  <c r="G923" i="23"/>
  <c r="H136" i="23"/>
  <c r="C1106" i="23"/>
  <c r="G1456" i="23"/>
  <c r="D237" i="22"/>
  <c r="E288" i="22"/>
  <c r="G2388" i="23"/>
  <c r="B689" i="23"/>
  <c r="A1927" i="23"/>
  <c r="F444" i="23"/>
  <c r="H2281" i="23"/>
  <c r="C49" i="23"/>
  <c r="D1524" i="23"/>
  <c r="D371" i="22"/>
  <c r="F1301" i="23"/>
  <c r="C1455" i="23"/>
  <c r="A162" i="23"/>
  <c r="F1521" i="23"/>
  <c r="G2176" i="23"/>
  <c r="G2787" i="23"/>
  <c r="A146" i="22"/>
  <c r="B996" i="23"/>
  <c r="F2475" i="23"/>
  <c r="H2431" i="23"/>
  <c r="B1849" i="23"/>
  <c r="G1147" i="23"/>
  <c r="H2501" i="23"/>
  <c r="D2091" i="23"/>
  <c r="F142" i="23"/>
  <c r="H2348" i="23"/>
  <c r="F287" i="22"/>
  <c r="F2335" i="23"/>
  <c r="F2339" i="23"/>
  <c r="D1602" i="23"/>
  <c r="B81" i="22"/>
  <c r="B1365" i="23"/>
  <c r="B53" i="23"/>
  <c r="D1818" i="23"/>
  <c r="E167" i="23"/>
  <c r="G1900" i="23"/>
  <c r="B464" i="23"/>
  <c r="B1858" i="23"/>
  <c r="D14" i="22"/>
  <c r="H1238" i="23"/>
  <c r="F1930" i="23"/>
  <c r="B1623" i="23"/>
  <c r="F257" i="23"/>
  <c r="B1255" i="23"/>
  <c r="F1926" i="23"/>
  <c r="A1344" i="23"/>
  <c r="C352" i="23"/>
  <c r="C838" i="23"/>
  <c r="G289" i="22"/>
  <c r="D1494" i="23"/>
  <c r="B625" i="23"/>
  <c r="A124" i="23"/>
  <c r="F671" i="23"/>
  <c r="H328" i="23"/>
  <c r="B371" i="22"/>
  <c r="A190" i="22"/>
  <c r="B396" i="23"/>
  <c r="E2026" i="23"/>
  <c r="F410" i="22"/>
  <c r="H2571" i="23"/>
  <c r="E105" i="22"/>
  <c r="H2369" i="23"/>
  <c r="G2640" i="23"/>
  <c r="G2285" i="23"/>
  <c r="D1566" i="23"/>
  <c r="F290" i="23"/>
  <c r="H1081" i="23"/>
  <c r="C1325" i="23"/>
  <c r="E2112" i="23"/>
  <c r="D812" i="23"/>
  <c r="G1640" i="23"/>
  <c r="H2588" i="23"/>
  <c r="F2778" i="23"/>
  <c r="G1940" i="23"/>
  <c r="A1366" i="23"/>
  <c r="A1437" i="23"/>
  <c r="B2166" i="23"/>
  <c r="C626" i="23"/>
  <c r="H2830" i="23"/>
  <c r="A560" i="23"/>
  <c r="C1048" i="23"/>
  <c r="C1262" i="23"/>
  <c r="E1793" i="23"/>
  <c r="G2835" i="23"/>
  <c r="F861" i="23"/>
  <c r="G2297" i="23"/>
  <c r="C428" i="23"/>
  <c r="H2646" i="23"/>
  <c r="B66" i="22"/>
  <c r="E2108" i="23"/>
  <c r="C1636" i="23"/>
  <c r="F2964" i="23"/>
  <c r="D152" i="22"/>
  <c r="C1602" i="23"/>
  <c r="F1124" i="23"/>
  <c r="F2589" i="23"/>
  <c r="E342" i="23"/>
  <c r="B124" i="22"/>
  <c r="C1750" i="23"/>
  <c r="F917" i="23"/>
  <c r="F490" i="23"/>
  <c r="H916" i="23"/>
  <c r="E1464" i="23"/>
  <c r="F2039" i="23"/>
  <c r="G2788" i="23"/>
  <c r="G335" i="22"/>
  <c r="A939" i="23"/>
  <c r="G1871" i="23"/>
  <c r="D425" i="22"/>
  <c r="G2571" i="23"/>
  <c r="C1792" i="23"/>
  <c r="B24" i="22"/>
  <c r="D174" i="22"/>
  <c r="H2592" i="23"/>
  <c r="B1942" i="23"/>
  <c r="F1352" i="23"/>
  <c r="D2095" i="23"/>
  <c r="A401" i="23"/>
  <c r="C1133" i="23"/>
  <c r="D709" i="23"/>
  <c r="E1805" i="23"/>
  <c r="F286" i="22"/>
  <c r="B1634" i="23"/>
  <c r="D1808" i="23"/>
  <c r="H226" i="23"/>
  <c r="B501" i="23"/>
  <c r="H950" i="23"/>
  <c r="F2171" i="23"/>
  <c r="E459" i="23"/>
  <c r="G735" i="23"/>
  <c r="G1538" i="23"/>
  <c r="A987" i="23"/>
  <c r="C1773" i="23"/>
  <c r="H2557" i="23"/>
  <c r="G2183" i="23"/>
  <c r="E1838" i="23"/>
  <c r="C1379" i="23"/>
  <c r="F1539" i="23"/>
  <c r="C1503" i="23"/>
  <c r="D213" i="23"/>
  <c r="H2913" i="23"/>
  <c r="H1854" i="23"/>
  <c r="A1002" i="23"/>
  <c r="B1693" i="23"/>
  <c r="A8" i="23"/>
  <c r="D274" i="22"/>
  <c r="E200" i="23"/>
  <c r="E1298" i="23"/>
  <c r="F242" i="23"/>
  <c r="E203" i="22"/>
  <c r="B275" i="22"/>
  <c r="F2303" i="23"/>
  <c r="H1054" i="23"/>
  <c r="A2190" i="23"/>
  <c r="D39" i="23"/>
  <c r="B2269" i="23"/>
  <c r="H1619" i="23"/>
  <c r="G2281" i="23"/>
  <c r="G1217" i="23"/>
  <c r="B223" i="23"/>
  <c r="B287" i="22"/>
  <c r="D361" i="23"/>
  <c r="D256" i="22"/>
  <c r="D840" i="23"/>
  <c r="H2035" i="23"/>
  <c r="F595" i="23"/>
  <c r="F414" i="23"/>
  <c r="F1632" i="23"/>
  <c r="B1488" i="23"/>
  <c r="E57" i="23"/>
  <c r="A84" i="22"/>
  <c r="E1598" i="23"/>
  <c r="H2581" i="23"/>
  <c r="C2286" i="23"/>
  <c r="G554" i="23"/>
  <c r="D1009" i="23"/>
  <c r="E1600" i="23"/>
  <c r="F1443" i="23"/>
  <c r="B1220" i="23"/>
  <c r="G1371" i="23"/>
  <c r="D1217" i="23"/>
  <c r="D589" i="23"/>
  <c r="E284" i="23"/>
  <c r="D1921" i="23"/>
  <c r="D319" i="22"/>
  <c r="G2249" i="23"/>
  <c r="F2508" i="23"/>
  <c r="B1951" i="23"/>
  <c r="D1553" i="23"/>
  <c r="F1044" i="23"/>
  <c r="F1179" i="23"/>
  <c r="D334" i="23"/>
  <c r="D564" i="23"/>
  <c r="C441" i="23"/>
  <c r="B1485" i="23"/>
  <c r="A1117" i="23"/>
  <c r="H1343" i="23"/>
  <c r="H989" i="23"/>
  <c r="F2083" i="23"/>
  <c r="F1054" i="23"/>
  <c r="F900" i="23"/>
  <c r="D400" i="22"/>
  <c r="A750" i="23"/>
  <c r="F2692" i="23"/>
  <c r="G413" i="23"/>
  <c r="E2073" i="23"/>
  <c r="C135" i="23"/>
  <c r="D1180" i="23"/>
  <c r="G2738" i="23"/>
  <c r="F1280" i="23"/>
  <c r="F2968" i="23"/>
  <c r="F2983" i="23"/>
  <c r="B582" i="23"/>
  <c r="F2686" i="23"/>
  <c r="A379" i="23"/>
  <c r="H25" i="23"/>
  <c r="F256" i="23"/>
  <c r="D1437" i="23"/>
  <c r="H1540" i="23"/>
  <c r="C402" i="23"/>
  <c r="C245" i="22"/>
  <c r="E2176" i="23"/>
  <c r="G1956" i="23"/>
  <c r="E1104" i="23"/>
  <c r="A463" i="23"/>
  <c r="A2279" i="23"/>
  <c r="F96" i="22"/>
  <c r="B204" i="22"/>
  <c r="A1490" i="23"/>
  <c r="G1509" i="23"/>
  <c r="C1350" i="23"/>
  <c r="G2933" i="23"/>
  <c r="H1149" i="23"/>
  <c r="A763" i="23"/>
  <c r="D228" i="22"/>
  <c r="H165" i="23"/>
  <c r="B678" i="23"/>
  <c r="H692" i="23"/>
  <c r="D1956" i="23"/>
  <c r="G940" i="23"/>
  <c r="G2871" i="23"/>
  <c r="A1696" i="23"/>
  <c r="B1350" i="23"/>
  <c r="H2208" i="23"/>
  <c r="C1363" i="23"/>
  <c r="G2583" i="23"/>
  <c r="B1146" i="23"/>
  <c r="E415" i="23"/>
  <c r="A2249" i="23"/>
  <c r="F1396" i="23"/>
  <c r="B341" i="23"/>
  <c r="F2683" i="23"/>
  <c r="B955" i="23"/>
  <c r="F2583" i="23"/>
  <c r="F2556" i="23"/>
  <c r="E835" i="23"/>
  <c r="A2021" i="23"/>
  <c r="E855" i="23"/>
  <c r="D214" i="23"/>
  <c r="D760" i="23"/>
  <c r="E113" i="22"/>
  <c r="F83" i="23"/>
  <c r="G1192" i="23"/>
  <c r="E1592" i="23"/>
  <c r="H1265" i="23"/>
  <c r="E2032" i="23"/>
  <c r="D2195" i="23"/>
  <c r="B533" i="23"/>
  <c r="D1587" i="23"/>
  <c r="E484" i="23"/>
  <c r="E120" i="22"/>
  <c r="A1514" i="23"/>
  <c r="D1720" i="23"/>
  <c r="A444" i="23"/>
  <c r="G2115" i="23"/>
  <c r="B2168" i="23"/>
  <c r="F1176" i="23"/>
  <c r="H349" i="23"/>
  <c r="H2864" i="23"/>
  <c r="H1030" i="23"/>
  <c r="B12" i="22"/>
  <c r="C1609" i="23"/>
  <c r="H1332" i="23"/>
  <c r="F1856" i="23"/>
  <c r="D1515" i="23"/>
  <c r="H2565" i="23"/>
  <c r="C2053" i="23"/>
  <c r="B444" i="23"/>
  <c r="A137" i="23"/>
  <c r="F18" i="23"/>
  <c r="G941" i="23"/>
  <c r="G1761" i="23"/>
  <c r="D1184" i="23"/>
  <c r="A856" i="23"/>
  <c r="B260" i="23"/>
  <c r="A201" i="22"/>
  <c r="G381" i="22"/>
  <c r="F236" i="22"/>
  <c r="G1024" i="23"/>
  <c r="F962" i="23"/>
  <c r="A889" i="23"/>
  <c r="C677" i="23"/>
  <c r="A353" i="22"/>
  <c r="A1200" i="23"/>
  <c r="H130" i="23"/>
  <c r="A1795" i="23"/>
  <c r="H276" i="23"/>
  <c r="B487" i="23"/>
  <c r="E2156" i="23"/>
  <c r="G2229" i="23"/>
  <c r="G1031" i="23"/>
  <c r="F1672" i="23"/>
  <c r="G875" i="23"/>
  <c r="F575" i="23"/>
  <c r="E1293" i="23"/>
  <c r="G2026" i="23"/>
  <c r="E1005" i="23"/>
  <c r="E2178" i="23"/>
  <c r="B1691" i="23"/>
  <c r="F191" i="23"/>
  <c r="E275" i="23"/>
  <c r="G1590" i="23"/>
  <c r="G429" i="23"/>
  <c r="C383" i="22"/>
  <c r="H636" i="23"/>
  <c r="G2636" i="23"/>
  <c r="B237" i="22"/>
  <c r="F914" i="23"/>
  <c r="A2008" i="23"/>
  <c r="B61" i="22"/>
  <c r="G1276" i="23"/>
  <c r="B479" i="23"/>
  <c r="H1647" i="23"/>
  <c r="D290" i="23"/>
  <c r="A138" i="23"/>
  <c r="F700" i="23"/>
  <c r="E180" i="22"/>
  <c r="F422" i="23"/>
  <c r="H44" i="22"/>
  <c r="B1744" i="23"/>
  <c r="F2892" i="23"/>
  <c r="D1589" i="23"/>
  <c r="F1483" i="23"/>
  <c r="G2528" i="23"/>
  <c r="C1249" i="23"/>
  <c r="C397" i="23"/>
  <c r="F1488" i="23"/>
  <c r="E1475" i="23"/>
  <c r="E264" i="23"/>
  <c r="G1993" i="23"/>
  <c r="D1809" i="23"/>
  <c r="D277" i="23"/>
  <c r="G1081" i="23"/>
  <c r="E638" i="23"/>
  <c r="D748" i="23"/>
  <c r="F1976" i="23"/>
  <c r="A2225" i="23"/>
  <c r="H1916" i="23"/>
  <c r="E1617" i="23"/>
  <c r="D183" i="22"/>
  <c r="C502" i="23"/>
  <c r="A1667" i="23"/>
  <c r="D1536" i="23"/>
  <c r="B747" i="23"/>
  <c r="G2645" i="23"/>
  <c r="D1852" i="23"/>
  <c r="B1503" i="23"/>
  <c r="E346" i="23"/>
  <c r="E378" i="22"/>
  <c r="F545" i="23"/>
  <c r="A1643" i="23"/>
  <c r="E1418" i="23"/>
  <c r="G741" i="23"/>
  <c r="H308" i="23"/>
  <c r="D2148" i="23"/>
  <c r="B370" i="22"/>
  <c r="G2768" i="23"/>
  <c r="A2090" i="23"/>
  <c r="C47" i="23"/>
  <c r="H2007" i="23"/>
  <c r="D560" i="23"/>
  <c r="C272" i="23"/>
  <c r="B108" i="22"/>
  <c r="G1938" i="23"/>
  <c r="D1242" i="23"/>
  <c r="B1367" i="23"/>
  <c r="G2031" i="23"/>
  <c r="H865" i="23"/>
  <c r="D994" i="23"/>
  <c r="F1770" i="23"/>
  <c r="D317" i="22"/>
  <c r="A661" i="23"/>
  <c r="D695" i="23"/>
  <c r="G387" i="22"/>
  <c r="F1482" i="23"/>
  <c r="C1508" i="23"/>
  <c r="E1975" i="23"/>
  <c r="D89" i="22"/>
  <c r="F2581" i="23"/>
  <c r="E1331" i="23"/>
  <c r="B1064" i="23"/>
  <c r="A1428" i="23"/>
  <c r="H2500" i="23"/>
  <c r="B1425" i="23"/>
  <c r="H2485" i="23"/>
  <c r="D2284" i="23"/>
  <c r="H2521" i="23"/>
  <c r="H2617" i="23"/>
  <c r="B2212" i="23"/>
  <c r="G2637" i="23"/>
  <c r="F1333" i="23"/>
  <c r="E2307" i="23"/>
  <c r="C517" i="23"/>
  <c r="B267" i="23"/>
  <c r="C1478" i="23"/>
  <c r="B190" i="22"/>
  <c r="C645" i="23"/>
  <c r="E1369" i="23"/>
  <c r="H567" i="23"/>
  <c r="E1336" i="23"/>
  <c r="F1218" i="23"/>
  <c r="C284" i="22"/>
  <c r="C1287" i="23"/>
  <c r="H2904" i="23"/>
  <c r="H1266" i="23"/>
  <c r="G2302" i="23"/>
  <c r="F1704" i="23"/>
  <c r="F413" i="23"/>
  <c r="H732" i="23"/>
  <c r="G2730" i="23"/>
  <c r="A1459" i="23"/>
  <c r="E793" i="23"/>
  <c r="A2104" i="23"/>
  <c r="G2280" i="23"/>
  <c r="C281" i="23"/>
  <c r="B775" i="23"/>
  <c r="G993" i="23"/>
  <c r="B1989" i="23"/>
  <c r="E377" i="22"/>
  <c r="E409" i="23"/>
  <c r="D1155" i="23"/>
  <c r="D72" i="23"/>
  <c r="C1530" i="23"/>
  <c r="D291" i="23"/>
  <c r="E440" i="23"/>
  <c r="E365" i="23"/>
  <c r="F2722" i="23"/>
  <c r="G230" i="23"/>
  <c r="B1675" i="23"/>
  <c r="G2892" i="23"/>
  <c r="F2537" i="23"/>
  <c r="F1430" i="23"/>
  <c r="G150" i="22"/>
  <c r="E207" i="23"/>
  <c r="H1989" i="23"/>
  <c r="A1969" i="23"/>
  <c r="E24" i="23"/>
  <c r="A473" i="23"/>
  <c r="C1107" i="23"/>
  <c r="B600" i="23"/>
  <c r="A1978" i="23"/>
  <c r="C544" i="23"/>
  <c r="C2176" i="23"/>
  <c r="H539" i="23"/>
  <c r="H2596" i="23"/>
  <c r="C229" i="22"/>
  <c r="E418" i="22"/>
  <c r="G1015" i="23"/>
  <c r="G2434" i="23"/>
  <c r="B633" i="23"/>
  <c r="A1065" i="23"/>
  <c r="D1491" i="23"/>
  <c r="G558" i="23"/>
  <c r="B1742" i="23"/>
  <c r="H2756" i="23"/>
  <c r="F2081" i="23"/>
  <c r="F1457" i="23"/>
  <c r="E836" i="23"/>
  <c r="G600" i="23"/>
  <c r="D155" i="22"/>
  <c r="F25" i="22"/>
  <c r="A112" i="23"/>
  <c r="C273" i="23"/>
  <c r="E478" i="23"/>
  <c r="B2106" i="23"/>
  <c r="A87" i="23"/>
  <c r="G2038" i="23"/>
  <c r="D387" i="22"/>
  <c r="G1082" i="23"/>
  <c r="E2319" i="23"/>
  <c r="C358" i="23"/>
  <c r="H2351" i="23"/>
  <c r="B1458" i="23"/>
  <c r="B745" i="23"/>
  <c r="G45" i="22"/>
  <c r="F2145" i="23"/>
  <c r="G2872" i="23"/>
  <c r="F251" i="22"/>
  <c r="G1907" i="23"/>
  <c r="F1389" i="23"/>
  <c r="G2540" i="23"/>
  <c r="A22" i="23"/>
  <c r="B2065" i="23"/>
  <c r="A62" i="23"/>
  <c r="C717" i="23"/>
  <c r="C1971" i="23"/>
  <c r="B458" i="23"/>
  <c r="E878" i="23"/>
  <c r="C1665" i="23"/>
  <c r="E1015" i="23"/>
  <c r="G2838" i="23"/>
  <c r="F2431" i="23"/>
  <c r="H2787" i="23"/>
  <c r="A926" i="23"/>
  <c r="E748" i="23"/>
  <c r="E577" i="23"/>
  <c r="E2139" i="23"/>
  <c r="A2285" i="23"/>
  <c r="E1076" i="23"/>
  <c r="F2963" i="23"/>
  <c r="H838" i="23"/>
  <c r="H1436" i="23"/>
  <c r="D2192" i="23"/>
  <c r="H534" i="23"/>
  <c r="E35" i="23"/>
  <c r="C262" i="22"/>
  <c r="B1780" i="23"/>
  <c r="G298" i="23"/>
  <c r="F1841" i="23"/>
  <c r="F2269" i="23"/>
  <c r="F1263" i="23"/>
  <c r="G886" i="23"/>
  <c r="B1180" i="23"/>
  <c r="E1632" i="23"/>
  <c r="G2193" i="23"/>
  <c r="G162" i="22"/>
  <c r="H632" i="23"/>
  <c r="C634" i="23"/>
  <c r="G262" i="22"/>
  <c r="C1719" i="23"/>
  <c r="G1459" i="23"/>
  <c r="A1306" i="23"/>
  <c r="A1975" i="23"/>
  <c r="F1183" i="23"/>
  <c r="H2350" i="23"/>
  <c r="H715" i="23"/>
  <c r="B1838" i="23"/>
  <c r="B1658" i="23"/>
  <c r="F196" i="23"/>
  <c r="B771" i="23"/>
  <c r="D1955" i="23"/>
  <c r="D164" i="22"/>
  <c r="C1630" i="23"/>
  <c r="H959" i="23"/>
  <c r="E920" i="23"/>
  <c r="A383" i="23"/>
  <c r="G2335" i="23"/>
  <c r="C1361" i="23"/>
  <c r="A316" i="23"/>
  <c r="D1718" i="23"/>
  <c r="C421" i="22"/>
  <c r="C168" i="23"/>
  <c r="B1731" i="23"/>
  <c r="D27" i="23"/>
  <c r="F310" i="23"/>
  <c r="A2189" i="23"/>
  <c r="C909" i="23"/>
  <c r="A344" i="23"/>
  <c r="H121" i="23"/>
  <c r="B1865" i="23"/>
  <c r="B591" i="23"/>
  <c r="A337" i="23"/>
  <c r="D559" i="23"/>
  <c r="H2182" i="23"/>
  <c r="F1214" i="23"/>
  <c r="A1986" i="23"/>
  <c r="D65" i="22"/>
  <c r="F215" i="23"/>
  <c r="G412" i="23"/>
  <c r="H1254" i="23"/>
  <c r="F454" i="23"/>
  <c r="A477" i="23"/>
  <c r="F2365" i="23"/>
  <c r="B2153" i="23"/>
  <c r="E410" i="23"/>
  <c r="A1719" i="23"/>
  <c r="B15" i="22"/>
  <c r="D2026" i="23"/>
  <c r="F706" i="23"/>
  <c r="G2415" i="23"/>
  <c r="F205" i="23"/>
  <c r="F999" i="23"/>
  <c r="H2183" i="23"/>
  <c r="G1305" i="23"/>
  <c r="B1397" i="23"/>
  <c r="F513" i="23"/>
  <c r="D937" i="23"/>
  <c r="H1383" i="23"/>
  <c r="H1688" i="23"/>
  <c r="H1943" i="23"/>
  <c r="H2732" i="23"/>
  <c r="G1965" i="23"/>
  <c r="A1429" i="23"/>
  <c r="H2578" i="23"/>
  <c r="H2667" i="23"/>
  <c r="B406" i="23"/>
  <c r="C104" i="23"/>
  <c r="H2361" i="23"/>
  <c r="E685" i="23"/>
  <c r="F974" i="23"/>
  <c r="H2924" i="23"/>
  <c r="A495" i="23"/>
  <c r="F1876" i="23"/>
  <c r="G174" i="23"/>
  <c r="G491" i="23"/>
  <c r="F2454" i="23"/>
  <c r="G1708" i="23"/>
  <c r="C1014" i="23"/>
  <c r="F87" i="22"/>
  <c r="F127" i="22"/>
  <c r="C235" i="23"/>
  <c r="H2315" i="23"/>
  <c r="D2016" i="23"/>
  <c r="F1609" i="23"/>
  <c r="H696" i="23"/>
  <c r="E1330" i="23"/>
  <c r="A1360" i="23"/>
  <c r="G1606" i="23"/>
  <c r="B1003" i="23"/>
  <c r="G814" i="23"/>
  <c r="E1829" i="23"/>
  <c r="A269" i="23"/>
  <c r="B375" i="23"/>
  <c r="A371" i="22"/>
  <c r="A224" i="22"/>
  <c r="E2181" i="23"/>
  <c r="A1319" i="23"/>
  <c r="D1997" i="23"/>
  <c r="A1773" i="23"/>
  <c r="H2868" i="23"/>
  <c r="A1649" i="23"/>
  <c r="C2283" i="23"/>
  <c r="H2459" i="23"/>
  <c r="F2466" i="23"/>
  <c r="E112" i="23"/>
  <c r="F1540" i="23"/>
  <c r="H1831" i="23"/>
  <c r="A59" i="23"/>
  <c r="D313" i="22"/>
  <c r="B1896" i="23"/>
  <c r="G110" i="23"/>
  <c r="H884" i="23"/>
  <c r="H148" i="23"/>
  <c r="A2050" i="23"/>
  <c r="D1795" i="23"/>
  <c r="E353" i="22"/>
  <c r="B2066" i="23"/>
  <c r="G1101" i="23"/>
  <c r="C1591" i="23"/>
  <c r="A1489" i="23"/>
  <c r="G1004" i="23"/>
  <c r="F403" i="22"/>
  <c r="E1565" i="23"/>
  <c r="G2632" i="23"/>
  <c r="H45" i="23"/>
  <c r="E782" i="23"/>
  <c r="E1569" i="23"/>
  <c r="G169" i="23"/>
  <c r="G914" i="23"/>
  <c r="C983" i="23"/>
  <c r="G1504" i="23"/>
  <c r="C335" i="22"/>
  <c r="G961" i="23"/>
  <c r="A785" i="23"/>
  <c r="G1412" i="23"/>
  <c r="B528" i="23"/>
  <c r="C815" i="23"/>
  <c r="A392" i="22"/>
  <c r="B1663" i="23"/>
  <c r="H1910" i="23"/>
  <c r="D1913" i="23"/>
  <c r="F2055" i="23"/>
  <c r="G2878" i="23"/>
  <c r="C1986" i="23"/>
  <c r="B1727" i="23"/>
  <c r="B451" i="23"/>
  <c r="A990" i="23"/>
  <c r="F1790" i="23"/>
  <c r="E547" i="23"/>
  <c r="F1423" i="23"/>
  <c r="F250" i="22"/>
  <c r="C255" i="23"/>
  <c r="H1083" i="23"/>
  <c r="G2951" i="23"/>
  <c r="F2139" i="23"/>
  <c r="E411" i="23"/>
  <c r="G545" i="23"/>
  <c r="F2018" i="23"/>
  <c r="B668" i="23"/>
  <c r="G1878" i="23"/>
  <c r="A1829" i="23"/>
  <c r="F649" i="23"/>
  <c r="C379" i="22"/>
  <c r="D978" i="23"/>
  <c r="E1950" i="23"/>
  <c r="A224" i="23"/>
  <c r="F2948" i="23"/>
  <c r="B247" i="23"/>
  <c r="A836" i="23"/>
  <c r="F2772" i="23"/>
  <c r="C10" i="22"/>
  <c r="E54" i="23"/>
  <c r="H705" i="23"/>
  <c r="C124" i="22"/>
  <c r="B549" i="23"/>
  <c r="D690" i="23"/>
  <c r="A1303" i="23"/>
  <c r="B154" i="23"/>
  <c r="H1451" i="23"/>
  <c r="E22" i="23"/>
  <c r="F1422" i="23"/>
  <c r="E1986" i="23"/>
  <c r="B130" i="23"/>
  <c r="G476" i="23"/>
  <c r="F2973" i="23"/>
  <c r="E101" i="22"/>
  <c r="H2731" i="23"/>
  <c r="D1125" i="23"/>
  <c r="F2997" i="23"/>
  <c r="E807" i="23"/>
  <c r="E898" i="23"/>
  <c r="A1843" i="23"/>
  <c r="F51" i="23"/>
  <c r="G292" i="23"/>
  <c r="D1645" i="23"/>
  <c r="H466" i="23"/>
  <c r="A327" i="23"/>
  <c r="A123" i="22"/>
  <c r="B2130" i="23"/>
  <c r="F1726" i="23"/>
  <c r="D1541" i="23"/>
  <c r="E2091" i="23"/>
  <c r="B884" i="23"/>
  <c r="D1749" i="23"/>
  <c r="E1400" i="23"/>
  <c r="B654" i="23"/>
  <c r="H1985" i="23"/>
  <c r="E985" i="23"/>
  <c r="F1753" i="23"/>
  <c r="D961" i="23"/>
  <c r="F865" i="23"/>
  <c r="C1384" i="23"/>
  <c r="E1769" i="23"/>
  <c r="G751" i="23"/>
  <c r="D941" i="23"/>
  <c r="G2167" i="23"/>
  <c r="F1459" i="23"/>
  <c r="D324" i="23"/>
  <c r="B512" i="23"/>
  <c r="G2051" i="23"/>
  <c r="E663" i="23"/>
  <c r="A232" i="23"/>
  <c r="E1265" i="23"/>
  <c r="G1982" i="23"/>
  <c r="G1001" i="23"/>
  <c r="H2949" i="23"/>
  <c r="D423" i="23"/>
  <c r="H1330" i="23"/>
  <c r="H810" i="23"/>
  <c r="C515" i="23"/>
  <c r="H1581" i="23"/>
  <c r="A826" i="23"/>
  <c r="C35" i="22"/>
  <c r="G1702" i="23"/>
  <c r="E2290" i="23"/>
  <c r="E1099" i="23"/>
  <c r="D2049" i="23"/>
  <c r="G1673" i="23"/>
  <c r="E809" i="23"/>
  <c r="H96" i="22"/>
  <c r="D384" i="23"/>
  <c r="D472" i="23"/>
  <c r="E387" i="22"/>
  <c r="G1548" i="23"/>
  <c r="F1441" i="23"/>
  <c r="E227" i="23"/>
  <c r="E296" i="23"/>
  <c r="D585" i="23"/>
  <c r="D1837" i="23"/>
  <c r="G2736" i="23"/>
  <c r="E4" i="23"/>
  <c r="D266" i="22"/>
  <c r="F326" i="22"/>
  <c r="H902" i="23"/>
  <c r="E2023" i="23"/>
  <c r="B1413" i="23"/>
  <c r="G2477" i="23"/>
  <c r="D1012" i="23"/>
  <c r="E2199" i="23"/>
  <c r="H1133" i="23"/>
  <c r="C1828" i="23"/>
  <c r="C937" i="23"/>
  <c r="F2265" i="23"/>
  <c r="G667" i="23"/>
  <c r="H823" i="23"/>
  <c r="D1374" i="23"/>
  <c r="C500" i="23"/>
  <c r="F2994" i="23"/>
  <c r="D1424" i="23"/>
  <c r="H1665" i="23"/>
  <c r="H2018" i="23"/>
  <c r="G2517" i="23"/>
  <c r="H1346" i="23"/>
  <c r="C1151" i="23"/>
  <c r="F294" i="23"/>
  <c r="E921" i="23"/>
  <c r="A1292" i="23"/>
  <c r="G1265" i="23"/>
  <c r="F2218" i="23"/>
  <c r="F1648" i="23"/>
  <c r="H1714" i="23"/>
  <c r="B981" i="23"/>
  <c r="G204" i="22"/>
  <c r="H685" i="23"/>
  <c r="E1882" i="23"/>
  <c r="C2261" i="23"/>
  <c r="A10" i="23"/>
  <c r="F23" i="23"/>
  <c r="C1069" i="23"/>
  <c r="E2152" i="23"/>
  <c r="B301" i="22"/>
  <c r="H1552" i="23"/>
  <c r="C1285" i="23"/>
  <c r="F230" i="23"/>
  <c r="E1904" i="23"/>
  <c r="B2002" i="23"/>
  <c r="G394" i="23"/>
  <c r="F1309" i="23"/>
  <c r="C1196" i="23"/>
  <c r="H2988" i="23"/>
  <c r="G573" i="23"/>
  <c r="A955" i="23"/>
  <c r="D435" i="23"/>
  <c r="A1373" i="23"/>
  <c r="F886" i="23"/>
  <c r="H415" i="23"/>
  <c r="G2463" i="23"/>
  <c r="H1273" i="23"/>
  <c r="A456" i="23"/>
  <c r="C1820" i="23"/>
  <c r="H548" i="23"/>
  <c r="G363" i="22"/>
  <c r="H738" i="23"/>
  <c r="G215" i="22"/>
  <c r="G614" i="23"/>
  <c r="B1793" i="23"/>
  <c r="F1094" i="23"/>
  <c r="A1298" i="23"/>
  <c r="F1758" i="23"/>
  <c r="D1311" i="23"/>
  <c r="B1786" i="23"/>
  <c r="C1867" i="23"/>
  <c r="F1820" i="23"/>
  <c r="E2057" i="23"/>
  <c r="F2200" i="23"/>
  <c r="A1584" i="23"/>
  <c r="E937" i="23"/>
  <c r="H213" i="23"/>
  <c r="H564" i="23"/>
  <c r="B941" i="23"/>
  <c r="G562" i="23"/>
  <c r="F316" i="22"/>
  <c r="B1773" i="23"/>
  <c r="A1861" i="23"/>
  <c r="G223" i="22"/>
  <c r="D1321" i="23"/>
  <c r="H311" i="23"/>
  <c r="D1435" i="23"/>
  <c r="F271" i="22"/>
  <c r="A2215" i="23"/>
  <c r="A1881" i="23"/>
  <c r="C303" i="22"/>
  <c r="A587" i="23"/>
  <c r="D1543" i="23"/>
  <c r="A968" i="23"/>
  <c r="H1970" i="23"/>
  <c r="G174" i="22"/>
  <c r="G1319" i="23"/>
  <c r="B693" i="23"/>
  <c r="C929" i="23"/>
  <c r="H84" i="22"/>
  <c r="E400" i="23"/>
  <c r="G1077" i="23"/>
  <c r="A71" i="22"/>
  <c r="G1307" i="23"/>
  <c r="H1749" i="23"/>
  <c r="F567" i="23"/>
  <c r="A498" i="23"/>
  <c r="F1143" i="23"/>
  <c r="F2862" i="23"/>
  <c r="D2055" i="23"/>
  <c r="B2308" i="23"/>
  <c r="A2002" i="23"/>
  <c r="D2156" i="23"/>
  <c r="G311" i="22"/>
  <c r="F2955" i="23"/>
  <c r="E173" i="23"/>
  <c r="A2105" i="23"/>
  <c r="H124" i="23"/>
  <c r="A922" i="23"/>
  <c r="C1303" i="23"/>
  <c r="H1246" i="23"/>
  <c r="G1333" i="23"/>
  <c r="D182" i="23"/>
  <c r="E555" i="23"/>
  <c r="F2144" i="23"/>
  <c r="F753" i="23"/>
  <c r="F1489" i="23"/>
  <c r="D255" i="22"/>
  <c r="A353" i="23"/>
  <c r="B164" i="22"/>
  <c r="H483" i="23"/>
  <c r="F1496" i="23"/>
  <c r="C230" i="23"/>
  <c r="C322" i="23"/>
  <c r="B173" i="22"/>
  <c r="E214" i="22"/>
  <c r="G2127" i="23"/>
  <c r="D234" i="22"/>
  <c r="H2405" i="23"/>
  <c r="H648" i="23"/>
  <c r="C1581" i="23"/>
  <c r="G193" i="22"/>
  <c r="F1006" i="23"/>
  <c r="E1701" i="23"/>
  <c r="D1826" i="23"/>
  <c r="H1705" i="23"/>
  <c r="F2061" i="23"/>
  <c r="C1364" i="23"/>
  <c r="E2281" i="23"/>
  <c r="C2019" i="23"/>
  <c r="A1407" i="23"/>
  <c r="D1205" i="23"/>
  <c r="A1438" i="23"/>
  <c r="C729" i="23"/>
  <c r="G853" i="23"/>
  <c r="B1608" i="23"/>
  <c r="F2105" i="23"/>
  <c r="D2009" i="23"/>
  <c r="D130" i="23"/>
  <c r="C1874" i="23"/>
  <c r="F695" i="23"/>
  <c r="E1483" i="23"/>
  <c r="E1849" i="23"/>
  <c r="A1982" i="23"/>
  <c r="G587" i="23"/>
  <c r="A1984" i="23"/>
  <c r="E128" i="22"/>
  <c r="F1786" i="23"/>
  <c r="F97" i="22"/>
  <c r="E294" i="22"/>
  <c r="B2312" i="23"/>
  <c r="A1565" i="23"/>
  <c r="A687" i="23"/>
  <c r="E768" i="23"/>
  <c r="C206" i="22"/>
  <c r="F1369" i="23"/>
  <c r="A717" i="23"/>
  <c r="E1304" i="23"/>
  <c r="D54" i="22"/>
  <c r="F1805" i="23"/>
  <c r="B39" i="23"/>
  <c r="G1066" i="23"/>
  <c r="E969" i="23"/>
  <c r="H2504" i="23"/>
  <c r="B961" i="23"/>
  <c r="G1348" i="23"/>
  <c r="F1316" i="23"/>
  <c r="D1812" i="23"/>
  <c r="A1961" i="23"/>
  <c r="H2971" i="23"/>
  <c r="E394" i="22"/>
  <c r="H1601" i="23"/>
  <c r="F377" i="23"/>
  <c r="F2027" i="23"/>
  <c r="A283" i="23"/>
  <c r="C1238" i="23"/>
  <c r="H932" i="23"/>
  <c r="F8" i="23"/>
  <c r="D398" i="23"/>
  <c r="E172" i="23"/>
  <c r="A109" i="22"/>
  <c r="B1309" i="23"/>
  <c r="G837" i="23"/>
  <c r="D1433" i="23"/>
  <c r="B2069" i="23"/>
  <c r="D582" i="23"/>
  <c r="E981" i="23"/>
  <c r="G1088" i="23"/>
  <c r="F1324" i="23"/>
  <c r="E1994" i="23"/>
  <c r="F938" i="23"/>
  <c r="H2254" i="23"/>
  <c r="A1368" i="23"/>
  <c r="G673" i="23"/>
  <c r="E332" i="23"/>
  <c r="B1927" i="23"/>
  <c r="D2216" i="23"/>
  <c r="C1838" i="23"/>
  <c r="F415" i="23"/>
  <c r="H937" i="23"/>
  <c r="F2940" i="23"/>
  <c r="F2256" i="23"/>
  <c r="E1284" i="23"/>
  <c r="G1762" i="23"/>
  <c r="B100" i="23"/>
  <c r="H2015" i="23"/>
  <c r="C17" i="22"/>
  <c r="H1771" i="23"/>
  <c r="B863" i="23"/>
  <c r="F2076" i="23"/>
  <c r="D2038" i="23"/>
  <c r="B1007" i="23"/>
  <c r="G5" i="23"/>
  <c r="D1463" i="23"/>
  <c r="E594" i="23"/>
  <c r="B64" i="23"/>
  <c r="D744" i="23"/>
  <c r="D622" i="23"/>
  <c r="G1023" i="23"/>
  <c r="F896" i="23"/>
  <c r="F1202" i="23"/>
  <c r="E1643" i="23"/>
  <c r="G43" i="22"/>
  <c r="F1724" i="23"/>
  <c r="E1107" i="23"/>
  <c r="C2110" i="23"/>
  <c r="G370" i="22"/>
  <c r="B888" i="23"/>
  <c r="H2901" i="23"/>
  <c r="C551" i="23"/>
  <c r="F1243" i="23"/>
  <c r="A1762" i="23"/>
  <c r="B1333" i="23"/>
  <c r="F1495" i="23"/>
  <c r="B1183" i="23"/>
  <c r="A1671" i="23"/>
  <c r="G2381" i="23"/>
  <c r="F229" i="22"/>
  <c r="C1157" i="23"/>
  <c r="G347" i="22"/>
  <c r="G872" i="23"/>
  <c r="B1741" i="23"/>
  <c r="B435" i="23"/>
  <c r="C2318" i="23"/>
  <c r="D1124" i="23"/>
  <c r="D1785" i="23"/>
  <c r="B704" i="23"/>
  <c r="G126" i="23"/>
  <c r="B329" i="22"/>
  <c r="E1612" i="23"/>
  <c r="B1805" i="23"/>
  <c r="E1550" i="23"/>
  <c r="D2061" i="23"/>
  <c r="C821" i="23"/>
  <c r="A986" i="23"/>
  <c r="H878" i="23"/>
  <c r="H1983" i="23"/>
  <c r="F2251" i="23"/>
  <c r="B164" i="23"/>
  <c r="H1923" i="23"/>
  <c r="F2437" i="23"/>
  <c r="G2250" i="23"/>
  <c r="G228" i="23"/>
  <c r="H400" i="23"/>
  <c r="C1423" i="23"/>
  <c r="A556" i="23"/>
  <c r="G414" i="22"/>
  <c r="G2732" i="23"/>
  <c r="E1641" i="23"/>
  <c r="A330" i="23"/>
  <c r="B410" i="22"/>
  <c r="E330" i="23"/>
  <c r="B214" i="23"/>
  <c r="H30" i="22"/>
  <c r="A1507" i="23"/>
  <c r="D2200" i="23"/>
  <c r="F2422" i="23"/>
  <c r="D2167" i="23"/>
  <c r="D364" i="22"/>
  <c r="B1202" i="23"/>
  <c r="A1051" i="23"/>
  <c r="H517" i="23"/>
  <c r="G539" i="23"/>
  <c r="F118" i="23"/>
  <c r="E1422" i="23"/>
  <c r="H2215" i="23"/>
  <c r="A439" i="23"/>
  <c r="A2309" i="23"/>
  <c r="B726" i="23"/>
  <c r="E2285" i="23"/>
  <c r="E967" i="23"/>
  <c r="E608" i="23"/>
  <c r="F1830" i="23"/>
  <c r="G2138" i="23"/>
  <c r="F2298" i="23"/>
  <c r="D2073" i="23"/>
  <c r="H554" i="23"/>
  <c r="C1406" i="23"/>
  <c r="H45" i="22"/>
  <c r="H2452" i="23"/>
  <c r="D1891" i="23"/>
  <c r="G74" i="23"/>
  <c r="H560" i="23"/>
  <c r="B1656" i="23"/>
  <c r="G2398" i="23"/>
  <c r="H1479" i="23"/>
  <c r="H2987" i="23"/>
  <c r="H503" i="23"/>
  <c r="E382" i="23"/>
  <c r="G692" i="23"/>
  <c r="B112" i="22"/>
  <c r="H91" i="23"/>
  <c r="G965" i="23"/>
  <c r="D328" i="22"/>
  <c r="A1268" i="23"/>
  <c r="F1011" i="23"/>
  <c r="A1603" i="23"/>
  <c r="G1740" i="23"/>
  <c r="D231" i="22"/>
  <c r="B1911" i="23"/>
  <c r="F404" i="22"/>
  <c r="E232" i="22"/>
  <c r="F2939" i="23"/>
  <c r="A278" i="22"/>
  <c r="C1897" i="23"/>
  <c r="D153" i="23"/>
  <c r="H276" i="22"/>
  <c r="D209" i="23"/>
  <c r="F2693" i="23"/>
  <c r="E2292" i="23"/>
  <c r="A2224" i="23"/>
  <c r="C328" i="23"/>
  <c r="A246" i="23"/>
  <c r="C465" i="23"/>
  <c r="D1411" i="23"/>
  <c r="F883" i="23"/>
  <c r="A155" i="23"/>
  <c r="F197" i="23"/>
  <c r="D358" i="22"/>
  <c r="C60" i="22"/>
  <c r="D470" i="23"/>
  <c r="D675" i="23"/>
  <c r="G127" i="23"/>
  <c r="C2165" i="23"/>
  <c r="B320" i="22"/>
  <c r="F2164" i="23"/>
  <c r="A333" i="22"/>
  <c r="A1962" i="23"/>
  <c r="G138" i="22"/>
  <c r="D608" i="23"/>
  <c r="H205" i="23"/>
  <c r="C1243" i="23"/>
  <c r="D288" i="23"/>
  <c r="A101" i="22"/>
  <c r="G2106" i="23"/>
  <c r="G315" i="22"/>
  <c r="D754" i="23"/>
  <c r="C1801" i="23"/>
  <c r="D1353" i="23"/>
  <c r="D424" i="23"/>
  <c r="G2370" i="23"/>
  <c r="D1609" i="23"/>
  <c r="H2743" i="23"/>
  <c r="G2584" i="23"/>
  <c r="D1181" i="23"/>
  <c r="E389" i="23"/>
  <c r="F2098" i="23"/>
  <c r="E2120" i="23"/>
  <c r="C2007" i="23"/>
  <c r="H1463" i="23"/>
  <c r="B256" i="22"/>
  <c r="G1028" i="23"/>
  <c r="F1902" i="23"/>
  <c r="B1124" i="23"/>
  <c r="E1897" i="23"/>
  <c r="E2261" i="23"/>
  <c r="E741" i="23"/>
  <c r="C1389" i="23"/>
  <c r="D1998" i="23"/>
  <c r="G1801" i="23"/>
  <c r="F784" i="23"/>
  <c r="G2163" i="23"/>
  <c r="F1800" i="23"/>
  <c r="A1125" i="23"/>
  <c r="C190" i="22"/>
  <c r="C1622" i="23"/>
  <c r="B1809" i="23"/>
  <c r="E844" i="23"/>
  <c r="G218" i="22"/>
  <c r="F2710" i="23"/>
  <c r="F2723" i="23"/>
  <c r="H1532" i="23"/>
  <c r="F417" i="23"/>
  <c r="A715" i="23"/>
  <c r="A2205" i="23"/>
  <c r="C347" i="23"/>
  <c r="B178" i="22"/>
  <c r="F2667" i="23"/>
  <c r="B1091" i="23"/>
  <c r="F970" i="23"/>
  <c r="B2316" i="23"/>
  <c r="A1291" i="23"/>
  <c r="H1285" i="23"/>
  <c r="C1065" i="23"/>
  <c r="F2719" i="23"/>
  <c r="D141" i="23"/>
  <c r="E129" i="23"/>
  <c r="B1182" i="23"/>
  <c r="F1150" i="23"/>
  <c r="G1545" i="23"/>
  <c r="E1495" i="23"/>
  <c r="D5" i="22"/>
  <c r="C1186" i="23"/>
  <c r="D70" i="23"/>
  <c r="E1549" i="23"/>
  <c r="C1534" i="23"/>
  <c r="A2059" i="23"/>
  <c r="F145" i="23"/>
  <c r="A1473" i="23"/>
  <c r="A708" i="23"/>
  <c r="A223" i="23"/>
  <c r="B869" i="23"/>
  <c r="B484" i="23"/>
  <c r="H392" i="23"/>
  <c r="G2295" i="23"/>
  <c r="E248" i="22"/>
  <c r="H2356" i="23"/>
  <c r="B1193" i="23"/>
  <c r="C891" i="23"/>
  <c r="G1842" i="23"/>
  <c r="B1319" i="23"/>
  <c r="F2248" i="23"/>
  <c r="H909" i="23"/>
  <c r="E1479" i="23"/>
  <c r="C715" i="23"/>
  <c r="G2938" i="23"/>
  <c r="F1180" i="23"/>
  <c r="D1110" i="23"/>
  <c r="F495" i="23"/>
  <c r="H868" i="23"/>
  <c r="F155" i="22"/>
  <c r="C136" i="23"/>
  <c r="H1320" i="23"/>
  <c r="B1917" i="23"/>
  <c r="B16" i="22"/>
  <c r="B2107" i="23"/>
  <c r="C294" i="22"/>
  <c r="D1412" i="23"/>
  <c r="H1652" i="23"/>
  <c r="B1907" i="23"/>
  <c r="A2056" i="23"/>
  <c r="D1599" i="23"/>
  <c r="E361" i="23"/>
  <c r="C1619" i="23"/>
  <c r="C483" i="23"/>
  <c r="G2239" i="23"/>
  <c r="C1066" i="23"/>
  <c r="F251" i="23"/>
  <c r="C15" i="23"/>
  <c r="B409" i="23"/>
  <c r="D302" i="23"/>
  <c r="D2059" i="23"/>
  <c r="G2211" i="23"/>
  <c r="B2027" i="23"/>
  <c r="D1854" i="23"/>
  <c r="A1697" i="23"/>
  <c r="D1458" i="23"/>
  <c r="D1980" i="23"/>
  <c r="B1525" i="23"/>
  <c r="A2246" i="23"/>
  <c r="B1001" i="23"/>
  <c r="A2164" i="23"/>
  <c r="B219" i="23"/>
  <c r="E1727" i="23"/>
  <c r="B1343" i="23"/>
  <c r="C55" i="22"/>
  <c r="A798" i="23"/>
  <c r="H411" i="23"/>
  <c r="D887" i="23"/>
  <c r="H613" i="23"/>
  <c r="H1585" i="23"/>
  <c r="D20" i="22"/>
  <c r="F411" i="22"/>
  <c r="B1314" i="23"/>
  <c r="B2110" i="23"/>
  <c r="E1926" i="23"/>
  <c r="H2693" i="23"/>
  <c r="F2456" i="23"/>
  <c r="D1270" i="23"/>
  <c r="F1703" i="23"/>
  <c r="D539" i="23"/>
  <c r="A1578" i="23"/>
  <c r="C1911" i="23"/>
  <c r="C1607" i="23"/>
  <c r="H2857" i="23"/>
  <c r="C1515" i="23"/>
  <c r="G2595" i="23"/>
  <c r="C364" i="23"/>
  <c r="A1196" i="23"/>
  <c r="H1028" i="23"/>
  <c r="E71" i="23"/>
  <c r="A1877" i="23"/>
  <c r="C405" i="23"/>
  <c r="B1894" i="23"/>
  <c r="D450" i="23"/>
  <c r="A1590" i="23"/>
  <c r="D367" i="22"/>
  <c r="G2773" i="23"/>
  <c r="D364" i="23"/>
  <c r="C744" i="23"/>
  <c r="A2306" i="23"/>
  <c r="G731" i="23"/>
  <c r="C1424" i="23"/>
  <c r="A1333" i="23"/>
  <c r="E1645" i="23"/>
  <c r="F1670" i="23"/>
  <c r="D254" i="22"/>
  <c r="A1199" i="23"/>
  <c r="B1015" i="23"/>
  <c r="D767" i="23"/>
  <c r="G1149" i="23"/>
  <c r="E352" i="22"/>
  <c r="H899" i="23"/>
  <c r="H445" i="23"/>
  <c r="G2930" i="23"/>
  <c r="F795" i="23"/>
  <c r="G878" i="23"/>
  <c r="H2632" i="23"/>
  <c r="E143" i="22"/>
  <c r="A702" i="23"/>
  <c r="F1164" i="23"/>
  <c r="D1130" i="23"/>
  <c r="F2635" i="23"/>
  <c r="G2734" i="23"/>
  <c r="E319" i="22"/>
  <c r="A2203" i="23"/>
  <c r="F676" i="23"/>
  <c r="A380" i="23"/>
  <c r="F931" i="23"/>
  <c r="D1651" i="23"/>
  <c r="E1171" i="23"/>
  <c r="F3000" i="23"/>
  <c r="G2010" i="23"/>
  <c r="F1697" i="23"/>
  <c r="A163" i="23"/>
  <c r="G38" i="22"/>
  <c r="E119" i="23"/>
  <c r="B1730" i="23"/>
  <c r="G1558" i="23"/>
  <c r="B292" i="23"/>
  <c r="G333" i="23"/>
  <c r="E443" i="23"/>
  <c r="F1796" i="23"/>
  <c r="F2213" i="23"/>
  <c r="F1690" i="23"/>
  <c r="E105" i="23"/>
  <c r="B525" i="23"/>
  <c r="G1204" i="23"/>
  <c r="B235" i="23"/>
  <c r="A1063" i="23"/>
  <c r="H2713" i="23"/>
  <c r="D380" i="23"/>
  <c r="G2945" i="23"/>
  <c r="D2098" i="23"/>
  <c r="E306" i="22"/>
  <c r="B392" i="23"/>
  <c r="A20" i="22"/>
  <c r="E1252" i="23"/>
  <c r="H872" i="23"/>
  <c r="B2169" i="23"/>
  <c r="B253" i="22"/>
  <c r="G1100" i="23"/>
  <c r="E1039" i="23"/>
  <c r="C178" i="22"/>
  <c r="A153" i="22"/>
  <c r="F1155" i="23"/>
  <c r="D1649" i="23"/>
  <c r="F179" i="22"/>
  <c r="D270" i="23"/>
  <c r="A487" i="23"/>
  <c r="C128" i="23"/>
  <c r="H653" i="23"/>
  <c r="C825" i="23"/>
  <c r="A561" i="23"/>
  <c r="C1589" i="23"/>
  <c r="F1957" i="23"/>
  <c r="D88" i="22"/>
  <c r="C1394" i="23"/>
  <c r="D2222" i="23"/>
  <c r="A17" i="22"/>
  <c r="C812" i="23"/>
  <c r="G1498" i="23"/>
  <c r="F2793" i="23"/>
  <c r="E2050" i="23"/>
  <c r="D1870" i="23"/>
  <c r="E1124" i="23"/>
  <c r="H2883" i="23"/>
  <c r="E973" i="23"/>
  <c r="A130" i="23"/>
  <c r="F2517" i="23"/>
  <c r="B445" i="23"/>
  <c r="F1028" i="23"/>
  <c r="D1605" i="23"/>
  <c r="D1328" i="23"/>
  <c r="E190" i="23"/>
  <c r="C460" i="23"/>
  <c r="H1429" i="23"/>
  <c r="D1974" i="23"/>
  <c r="B1750" i="23"/>
  <c r="D674" i="23"/>
  <c r="E180" i="23"/>
  <c r="E1640" i="23"/>
  <c r="G1792" i="23"/>
  <c r="D233" i="22"/>
  <c r="E185" i="23"/>
  <c r="E466" i="23"/>
  <c r="A850" i="23"/>
  <c r="G677" i="23"/>
  <c r="G2674" i="23"/>
  <c r="D691" i="23"/>
  <c r="E2131" i="23"/>
  <c r="C745" i="23"/>
  <c r="A303" i="22"/>
  <c r="C642" i="23"/>
  <c r="H1576" i="23"/>
  <c r="F633" i="23"/>
  <c r="A408" i="23"/>
  <c r="D409" i="22"/>
  <c r="F102" i="23"/>
  <c r="G231" i="23"/>
  <c r="C1220" i="23"/>
  <c r="H1209" i="23"/>
  <c r="F1819" i="23"/>
  <c r="E232" i="23"/>
  <c r="H1048" i="23"/>
  <c r="G2897" i="23"/>
  <c r="A186" i="23"/>
  <c r="F262" i="22"/>
  <c r="B427" i="22"/>
  <c r="D1295" i="23"/>
  <c r="D264" i="23"/>
  <c r="G2769" i="23"/>
  <c r="B679" i="23"/>
  <c r="H2152" i="23"/>
  <c r="B866" i="23"/>
  <c r="E1185" i="23"/>
  <c r="C2080" i="23"/>
  <c r="A1531" i="23"/>
  <c r="F1491" i="23"/>
  <c r="G954" i="23"/>
  <c r="C1707" i="23"/>
  <c r="F729" i="23"/>
  <c r="D22" i="22"/>
  <c r="D2020" i="23"/>
  <c r="E1255" i="23"/>
  <c r="A1778" i="23"/>
  <c r="C716" i="23"/>
  <c r="F361" i="23"/>
  <c r="G416" i="23"/>
  <c r="D1975" i="23"/>
  <c r="A307" i="23"/>
  <c r="E213" i="23"/>
  <c r="G2136" i="23"/>
  <c r="A322" i="23"/>
  <c r="F167" i="22"/>
  <c r="H911" i="23"/>
  <c r="B62" i="22"/>
  <c r="F381" i="23"/>
  <c r="C711" i="23"/>
  <c r="E611" i="23"/>
  <c r="E1756" i="23"/>
  <c r="E472" i="23"/>
  <c r="A15" i="23"/>
  <c r="H713" i="23"/>
  <c r="C1587" i="23"/>
  <c r="D1419" i="23"/>
  <c r="E166" i="22"/>
  <c r="E354" i="23"/>
  <c r="E2177" i="23"/>
  <c r="G2990" i="23"/>
  <c r="B1798" i="23"/>
  <c r="E1435" i="23"/>
  <c r="C330" i="23"/>
  <c r="B1547" i="23"/>
  <c r="B486" i="23"/>
  <c r="G1253" i="23"/>
  <c r="A427" i="23"/>
  <c r="G2618" i="23"/>
  <c r="F2319" i="23"/>
  <c r="E2142" i="23"/>
  <c r="A1389" i="23"/>
  <c r="C2138" i="23"/>
  <c r="F2877" i="23"/>
  <c r="E79" i="23"/>
  <c r="A343" i="22"/>
  <c r="G145" i="23"/>
  <c r="A780" i="23"/>
  <c r="G2147" i="23"/>
  <c r="F2729" i="23"/>
  <c r="G2156" i="23"/>
  <c r="H2934" i="23"/>
  <c r="H1917" i="23"/>
  <c r="H2322" i="23"/>
  <c r="E1399" i="23"/>
  <c r="C474" i="23"/>
  <c r="C1097" i="23"/>
  <c r="D387" i="23"/>
  <c r="G770" i="23"/>
  <c r="A109" i="23"/>
  <c r="H2413" i="23"/>
  <c r="A2038" i="23"/>
  <c r="G1437" i="23"/>
  <c r="H69" i="23"/>
  <c r="G79" i="23"/>
  <c r="E2109" i="23"/>
  <c r="H1443" i="23"/>
  <c r="H1308" i="23"/>
  <c r="E240" i="22"/>
  <c r="E176" i="22"/>
  <c r="F2470" i="23"/>
  <c r="A2166" i="23"/>
  <c r="B1633" i="23"/>
  <c r="F1837" i="23"/>
  <c r="C1431" i="23"/>
  <c r="H1877" i="23"/>
  <c r="B1689" i="23"/>
  <c r="B337" i="22"/>
  <c r="G1520" i="23"/>
  <c r="A1898" i="23"/>
  <c r="B201" i="22"/>
  <c r="F1936" i="23"/>
  <c r="A73" i="23"/>
  <c r="G1330" i="23"/>
  <c r="C1873" i="23"/>
  <c r="D2021" i="23"/>
  <c r="B35" i="23"/>
  <c r="H1224" i="23"/>
  <c r="H1733" i="23"/>
  <c r="G568" i="23"/>
  <c r="G507" i="23"/>
  <c r="F1992" i="23"/>
  <c r="C202" i="23"/>
  <c r="G2240" i="23"/>
  <c r="E1919" i="23"/>
  <c r="C16" i="22"/>
  <c r="H581" i="23"/>
  <c r="B1222" i="23"/>
  <c r="D1243" i="23"/>
  <c r="E23" i="23"/>
  <c r="D443" i="23"/>
  <c r="G2100" i="23"/>
  <c r="B1550" i="23"/>
  <c r="A364" i="22"/>
  <c r="A325" i="22"/>
  <c r="G684" i="23"/>
  <c r="H605" i="23"/>
  <c r="C2310" i="23"/>
  <c r="E368" i="23"/>
  <c r="C1267" i="23"/>
  <c r="E271" i="22"/>
  <c r="A716" i="23"/>
  <c r="C616" i="23"/>
  <c r="E1942" i="23"/>
  <c r="E1747" i="23"/>
  <c r="B1398" i="23"/>
  <c r="H566" i="23"/>
  <c r="A362" i="23"/>
  <c r="H2074" i="23"/>
  <c r="H679" i="23"/>
  <c r="A616" i="23"/>
  <c r="C1237" i="23"/>
  <c r="G286" i="22"/>
  <c r="G2639" i="23"/>
  <c r="B1128" i="23"/>
  <c r="F1171" i="23"/>
  <c r="C2158" i="23"/>
  <c r="G2187" i="23"/>
  <c r="F267" i="22"/>
  <c r="F1285" i="23"/>
  <c r="C1952" i="23"/>
  <c r="A2119" i="23"/>
  <c r="H462" i="23"/>
  <c r="F2165" i="23"/>
  <c r="E1719" i="23"/>
  <c r="A331" i="23"/>
  <c r="E1594" i="23"/>
  <c r="F1290" i="23"/>
  <c r="E141" i="23"/>
  <c r="D2175" i="23"/>
  <c r="C1779" i="23"/>
  <c r="C385" i="23"/>
  <c r="C1347" i="23"/>
  <c r="C130" i="23"/>
  <c r="E67" i="23"/>
  <c r="D1823" i="23"/>
  <c r="H2585" i="23"/>
  <c r="F1412" i="23"/>
  <c r="H2298" i="23"/>
  <c r="G2253" i="23"/>
  <c r="C341" i="22"/>
  <c r="H1227" i="23"/>
  <c r="F397" i="23"/>
  <c r="H2682" i="23"/>
  <c r="C316" i="22"/>
  <c r="D2281" i="23"/>
  <c r="G866" i="23"/>
  <c r="A1411" i="23"/>
  <c r="A262" i="22"/>
  <c r="B194" i="22"/>
  <c r="G438" i="23"/>
  <c r="H1816" i="23"/>
  <c r="B751" i="23"/>
  <c r="A365" i="22"/>
  <c r="H109" i="23"/>
  <c r="C1506" i="23"/>
  <c r="B91" i="23"/>
  <c r="G797" i="23"/>
  <c r="F390" i="22"/>
  <c r="G653" i="23"/>
  <c r="H1212" i="23"/>
  <c r="G2343" i="23"/>
  <c r="H202" i="23"/>
  <c r="H2120" i="23"/>
  <c r="E488" i="23"/>
  <c r="G2691" i="23"/>
  <c r="B1685" i="23"/>
  <c r="H1214" i="23"/>
  <c r="F2757" i="23"/>
  <c r="E983" i="23"/>
  <c r="A1799" i="23"/>
  <c r="B49" i="22"/>
  <c r="B2284" i="23"/>
  <c r="F1036" i="23"/>
  <c r="H1959" i="23"/>
  <c r="G2110" i="23"/>
  <c r="G728" i="23"/>
  <c r="F937" i="23"/>
  <c r="H890" i="23"/>
  <c r="G312" i="22"/>
  <c r="C9" i="22"/>
  <c r="B816" i="23"/>
  <c r="F1379" i="23"/>
  <c r="D993" i="23"/>
  <c r="H2621" i="23"/>
  <c r="F1337" i="23"/>
  <c r="G1233" i="23"/>
  <c r="E1767" i="23"/>
  <c r="A1384" i="23"/>
  <c r="B2279" i="23"/>
  <c r="G790" i="23"/>
  <c r="G293" i="23"/>
  <c r="E2303" i="23"/>
  <c r="A9" i="23"/>
  <c r="F280" i="23"/>
  <c r="H2657" i="23"/>
  <c r="F94" i="22"/>
  <c r="F328" i="22"/>
  <c r="G2079" i="23"/>
  <c r="H2294" i="23"/>
  <c r="C528" i="23"/>
  <c r="D1363" i="23"/>
  <c r="C2220" i="23"/>
  <c r="F2450" i="23"/>
  <c r="H598" i="23"/>
  <c r="B1737" i="23"/>
  <c r="C2059" i="23"/>
  <c r="A1683" i="23"/>
  <c r="F2" i="23"/>
  <c r="D301" i="23"/>
  <c r="G220" i="23"/>
  <c r="C142" i="23"/>
  <c r="A140" i="23"/>
  <c r="A1966" i="23"/>
  <c r="G611" i="23"/>
  <c r="E1721" i="23"/>
  <c r="C163" i="22"/>
  <c r="H709" i="23"/>
  <c r="E1181" i="23"/>
  <c r="F1328" i="23"/>
  <c r="H255" i="23"/>
  <c r="E298" i="23"/>
  <c r="C159" i="23"/>
  <c r="H1082" i="23"/>
  <c r="D316" i="23"/>
  <c r="G2563" i="23"/>
  <c r="H2911" i="23"/>
  <c r="A1577" i="23"/>
  <c r="F1066" i="23"/>
  <c r="A681" i="23"/>
  <c r="F2762" i="23"/>
  <c r="H904" i="23"/>
  <c r="G883" i="23"/>
  <c r="A113" i="23"/>
  <c r="B1777" i="23"/>
  <c r="F311" i="23"/>
  <c r="B1871" i="23"/>
  <c r="H907" i="23"/>
  <c r="G606" i="23"/>
  <c r="H318" i="23"/>
  <c r="C342" i="23"/>
  <c r="D1505" i="23"/>
  <c r="B40" i="22"/>
  <c r="F2267" i="23"/>
  <c r="B229" i="22"/>
  <c r="B76" i="22"/>
  <c r="G313" i="22"/>
  <c r="H89" i="23"/>
  <c r="E22" i="22"/>
  <c r="H2352" i="23"/>
  <c r="G1144" i="23"/>
  <c r="D90" i="23"/>
  <c r="F1903" i="23"/>
  <c r="A1220" i="23"/>
  <c r="F356" i="23"/>
  <c r="F16" i="23"/>
  <c r="D1972" i="23"/>
  <c r="D305" i="22"/>
  <c r="F36" i="23"/>
  <c r="G968" i="23"/>
  <c r="F2741" i="23"/>
  <c r="H275" i="23"/>
  <c r="G134" i="22"/>
  <c r="B1551" i="23"/>
  <c r="C185" i="23"/>
  <c r="G608" i="23"/>
  <c r="H2489" i="23"/>
  <c r="D84" i="23"/>
  <c r="E1675" i="23"/>
  <c r="G1354" i="23"/>
  <c r="A213" i="22"/>
  <c r="E772" i="23"/>
  <c r="B2185" i="23"/>
  <c r="A1371" i="23"/>
  <c r="C222" i="22"/>
  <c r="F484" i="23"/>
  <c r="C1504" i="23"/>
  <c r="G32" i="23"/>
  <c r="G2342" i="23"/>
  <c r="A2271" i="23"/>
  <c r="E1367" i="23"/>
  <c r="E272" i="23"/>
  <c r="E944" i="23"/>
  <c r="E564" i="23"/>
  <c r="H745" i="23"/>
  <c r="H2929" i="23"/>
  <c r="B215" i="23"/>
  <c r="G98" i="22"/>
  <c r="F2651" i="23"/>
  <c r="H1423" i="23"/>
  <c r="E244" i="23"/>
  <c r="G2234" i="23"/>
  <c r="C700" i="23"/>
  <c r="A2290" i="23"/>
  <c r="F718" i="23"/>
  <c r="C1149" i="23"/>
  <c r="B405" i="22"/>
  <c r="B1872" i="23"/>
  <c r="E284" i="22"/>
  <c r="B1113" i="23"/>
  <c r="B1340" i="23"/>
  <c r="D600" i="23"/>
  <c r="E530" i="23"/>
  <c r="G664" i="23"/>
  <c r="G33" i="22"/>
  <c r="A1860" i="23"/>
  <c r="G2324" i="23"/>
  <c r="B388" i="23"/>
  <c r="A516" i="23"/>
  <c r="G1536" i="23"/>
  <c r="A1734" i="23"/>
  <c r="C199" i="23"/>
  <c r="E2081" i="23"/>
  <c r="E416" i="23"/>
  <c r="F180" i="22"/>
  <c r="C73" i="22"/>
  <c r="G1450" i="23"/>
  <c r="E168" i="22"/>
  <c r="H1240" i="23"/>
  <c r="D1989" i="23"/>
  <c r="D1793" i="23"/>
  <c r="A2" i="23"/>
  <c r="B5" i="23"/>
  <c r="F40" i="23"/>
  <c r="B994" i="23"/>
  <c r="H1462" i="23"/>
  <c r="F1417" i="23"/>
  <c r="D943" i="23"/>
  <c r="G1778" i="23"/>
  <c r="G425" i="23"/>
  <c r="H36" i="22"/>
  <c r="B1067" i="23"/>
  <c r="E267" i="23"/>
  <c r="G2439" i="23"/>
  <c r="D1992" i="23"/>
  <c r="G1783" i="23"/>
  <c r="C337" i="22"/>
  <c r="C989" i="23"/>
  <c r="A1620" i="23"/>
  <c r="A2076" i="23"/>
  <c r="E775" i="23"/>
  <c r="G2771" i="23"/>
  <c r="A507" i="23"/>
  <c r="F622" i="23"/>
  <c r="G2651" i="23"/>
  <c r="B318" i="22"/>
  <c r="B1069" i="23"/>
  <c r="C412" i="23"/>
  <c r="F1617" i="23"/>
  <c r="F693" i="23"/>
  <c r="A983" i="23"/>
  <c r="C1390" i="23"/>
  <c r="E442" i="23"/>
  <c r="E1275" i="23"/>
  <c r="E1644" i="23"/>
  <c r="E1554" i="23"/>
  <c r="F2315" i="23"/>
  <c r="D1924" i="23"/>
  <c r="D192" i="23"/>
  <c r="A751" i="23"/>
  <c r="D230" i="23"/>
  <c r="F38" i="23"/>
  <c r="A295" i="23"/>
  <c r="C1105" i="23"/>
  <c r="B1909" i="23"/>
  <c r="D919" i="23"/>
  <c r="F408" i="22"/>
  <c r="A435" i="23"/>
  <c r="B922" i="23"/>
  <c r="B365" i="23"/>
  <c r="B948" i="23"/>
  <c r="D14" i="23"/>
  <c r="G2924" i="23"/>
  <c r="G1411" i="23"/>
  <c r="H88" i="22"/>
  <c r="D2046" i="23"/>
  <c r="D151" i="22"/>
  <c r="C722" i="23"/>
  <c r="F623" i="23"/>
  <c r="C1089" i="23"/>
  <c r="A1057" i="23"/>
  <c r="F2742" i="23"/>
  <c r="B1280" i="23"/>
  <c r="G2061" i="23"/>
  <c r="H742" i="23"/>
  <c r="C584" i="23"/>
  <c r="D79" i="22"/>
  <c r="H1997" i="23"/>
  <c r="D2265" i="23"/>
  <c r="D488" i="23"/>
  <c r="H383" i="23"/>
  <c r="D1188" i="23"/>
  <c r="B1574" i="23"/>
  <c r="B2037" i="23"/>
  <c r="H1401" i="23"/>
  <c r="H2030" i="23"/>
  <c r="D1633" i="23"/>
  <c r="D2318" i="23"/>
  <c r="G267" i="23"/>
  <c r="B266" i="22"/>
  <c r="H2049" i="23"/>
  <c r="D284" i="23"/>
  <c r="D2304" i="23"/>
  <c r="C558" i="23"/>
  <c r="B2247" i="23"/>
  <c r="F2575" i="23"/>
  <c r="F2114" i="23"/>
  <c r="H1200" i="23"/>
  <c r="C1518" i="23"/>
  <c r="G754" i="23"/>
  <c r="B221" i="22"/>
  <c r="E1603" i="23"/>
  <c r="G917" i="23"/>
  <c r="A150" i="22"/>
  <c r="G964" i="23"/>
  <c r="H1561" i="23"/>
  <c r="F2175" i="23"/>
  <c r="A972" i="23"/>
  <c r="C674" i="23"/>
  <c r="C228" i="22"/>
  <c r="B1415" i="23"/>
  <c r="H1306" i="23"/>
  <c r="G484" i="23"/>
  <c r="H330" i="23"/>
  <c r="B1139" i="23"/>
  <c r="A2219" i="23"/>
  <c r="H1045" i="23"/>
  <c r="F2932" i="23"/>
  <c r="G1445" i="23"/>
  <c r="E1820" i="23"/>
  <c r="E1102" i="23"/>
  <c r="F1985" i="23"/>
  <c r="G736" i="23"/>
  <c r="H2858" i="23"/>
  <c r="H2676" i="23"/>
  <c r="D229" i="23"/>
  <c r="F818" i="23"/>
  <c r="H1069" i="23"/>
  <c r="C2063" i="23"/>
  <c r="B560" i="23"/>
  <c r="E1753" i="23"/>
  <c r="F1126" i="23"/>
  <c r="B206" i="22"/>
  <c r="G1455" i="23"/>
  <c r="G2091" i="23"/>
  <c r="A2160" i="23"/>
  <c r="H2145" i="23"/>
  <c r="H1406" i="23"/>
  <c r="D939" i="23"/>
  <c r="E242" i="23"/>
  <c r="G49" i="22"/>
  <c r="C374" i="23"/>
  <c r="C37" i="23"/>
  <c r="F88" i="23"/>
  <c r="C1009" i="23"/>
  <c r="F2394" i="23"/>
  <c r="A1378" i="23"/>
  <c r="C2196" i="23"/>
  <c r="B314" i="22"/>
  <c r="D334" i="22"/>
  <c r="E106" i="22"/>
  <c r="C5" i="23"/>
  <c r="G1157" i="23"/>
  <c r="C27" i="22"/>
  <c r="D831" i="23"/>
  <c r="H2563" i="23"/>
  <c r="E16" i="23"/>
  <c r="G2633" i="23"/>
  <c r="D1259" i="23"/>
  <c r="H2935" i="23"/>
  <c r="B193" i="22"/>
  <c r="E1227" i="23"/>
  <c r="F1734" i="23"/>
  <c r="E2090" i="23"/>
  <c r="D2275" i="23"/>
  <c r="E1482" i="23"/>
  <c r="E179" i="23"/>
  <c r="A354" i="23"/>
  <c r="D1487" i="23"/>
  <c r="G1083" i="23"/>
  <c r="A128" i="23"/>
  <c r="G125" i="23"/>
  <c r="G383" i="22"/>
  <c r="H640" i="23"/>
  <c r="A1284" i="23"/>
  <c r="B1216" i="23"/>
  <c r="G1715" i="23"/>
  <c r="B801" i="23"/>
  <c r="H706" i="23"/>
  <c r="A648" i="23"/>
  <c r="D1256" i="23"/>
  <c r="D917" i="23"/>
  <c r="A1408" i="23"/>
  <c r="F2220" i="23"/>
  <c r="E148" i="22"/>
  <c r="A393" i="23"/>
  <c r="A1629" i="23"/>
  <c r="F422" i="22"/>
  <c r="A491" i="23"/>
  <c r="A186" i="22"/>
  <c r="B404" i="23"/>
  <c r="E1411" i="23"/>
  <c r="F790" i="23"/>
  <c r="H1095" i="23"/>
  <c r="F90" i="22"/>
  <c r="H1276" i="23"/>
  <c r="B910" i="23"/>
  <c r="C1869" i="23"/>
  <c r="C1127" i="23"/>
  <c r="G1287" i="23"/>
  <c r="A1664" i="23"/>
  <c r="B1102" i="23"/>
  <c r="G955" i="23"/>
  <c r="E1544" i="23"/>
  <c r="A368" i="23"/>
  <c r="E1239" i="23"/>
  <c r="F2053" i="23"/>
  <c r="B2098" i="23"/>
  <c r="H341" i="23"/>
  <c r="G544" i="23"/>
  <c r="H13" i="23"/>
  <c r="C1429" i="23"/>
  <c r="D412" i="22"/>
  <c r="H1709" i="23"/>
  <c r="A240" i="22"/>
  <c r="D2111" i="23"/>
  <c r="H1628" i="23"/>
  <c r="D569" i="23"/>
  <c r="E287" i="22"/>
  <c r="C2021" i="23"/>
  <c r="G323" i="22"/>
  <c r="D1836" i="23"/>
  <c r="G726" i="23"/>
  <c r="C1204" i="23"/>
  <c r="D796" i="23"/>
  <c r="D29" i="23"/>
  <c r="G382" i="23"/>
  <c r="G990" i="23"/>
  <c r="C169" i="22"/>
  <c r="A1769" i="23"/>
  <c r="B207" i="23"/>
  <c r="D277" i="22"/>
  <c r="D1129" i="23"/>
  <c r="H1302" i="23"/>
  <c r="G2967" i="23"/>
  <c r="G1414" i="23"/>
  <c r="F2405" i="23"/>
  <c r="G840" i="23"/>
  <c r="F1644" i="23"/>
  <c r="A1909" i="23"/>
  <c r="F401" i="22"/>
  <c r="G2567" i="23"/>
  <c r="F1161" i="23"/>
  <c r="H2470" i="23"/>
  <c r="E58" i="23"/>
  <c r="H2454" i="23"/>
  <c r="B1010" i="23"/>
  <c r="B1177" i="23"/>
  <c r="H473" i="23"/>
  <c r="E1035" i="23"/>
  <c r="E636" i="23"/>
  <c r="H1653" i="23"/>
  <c r="C2250" i="23"/>
  <c r="D1043" i="23"/>
  <c r="E1853" i="23"/>
  <c r="F38" i="22"/>
  <c r="H1458" i="23"/>
  <c r="G893" i="23"/>
  <c r="H1433" i="23"/>
  <c r="F1464" i="23"/>
  <c r="D2132" i="23"/>
  <c r="C2069" i="23"/>
  <c r="H1834" i="23"/>
  <c r="E696" i="23"/>
  <c r="A767" i="23"/>
  <c r="F1046" i="23"/>
  <c r="A736" i="23"/>
  <c r="G1567" i="23"/>
  <c r="G660" i="23"/>
  <c r="G1057" i="23"/>
  <c r="F1712" i="23"/>
  <c r="A1989" i="23"/>
  <c r="F793" i="23"/>
  <c r="C2108" i="23"/>
  <c r="G286" i="23"/>
  <c r="D25" i="22"/>
  <c r="D1387" i="23"/>
  <c r="B1207" i="23"/>
  <c r="B1546" i="23"/>
  <c r="G2438" i="23"/>
  <c r="E1285" i="23"/>
  <c r="A849" i="23"/>
  <c r="A974" i="23"/>
  <c r="B1723" i="23"/>
  <c r="H71" i="22"/>
  <c r="C1039" i="23"/>
  <c r="H1472" i="23"/>
  <c r="D251" i="23"/>
  <c r="E1925" i="23"/>
  <c r="A1246" i="23"/>
  <c r="H2460" i="23"/>
  <c r="B1674" i="23"/>
  <c r="C199" i="22"/>
  <c r="F288" i="23"/>
  <c r="F1668" i="23"/>
  <c r="C94" i="23"/>
  <c r="C1109" i="23"/>
  <c r="D1555" i="23"/>
  <c r="A268" i="23"/>
  <c r="B1930" i="23"/>
  <c r="C440" i="23"/>
  <c r="F376" i="23"/>
  <c r="B2087" i="23"/>
  <c r="B1251" i="23"/>
  <c r="C161" i="23"/>
  <c r="G1245" i="23"/>
  <c r="D1288" i="23"/>
  <c r="A943" i="23"/>
  <c r="D33" i="23"/>
  <c r="B374" i="22"/>
  <c r="G1145" i="23"/>
  <c r="A120" i="23"/>
  <c r="A1136" i="23"/>
  <c r="B609" i="23"/>
  <c r="G81" i="23"/>
  <c r="H2341" i="23"/>
  <c r="F2458" i="23"/>
  <c r="G161" i="23"/>
  <c r="G845" i="23"/>
  <c r="E734" i="23"/>
  <c r="G1084" i="23"/>
  <c r="G2658" i="23"/>
  <c r="F2237" i="23"/>
  <c r="G2496" i="23"/>
  <c r="H85" i="22"/>
  <c r="D2225" i="23"/>
  <c r="D1248" i="23"/>
  <c r="E148" i="23"/>
  <c r="B1264" i="23"/>
  <c r="D263" i="23"/>
  <c r="A346" i="23"/>
  <c r="D1930" i="23"/>
  <c r="D10" i="23"/>
  <c r="D1857" i="23"/>
  <c r="A1009" i="23"/>
  <c r="D1696" i="23"/>
  <c r="F799" i="23"/>
  <c r="G2799" i="23"/>
  <c r="C121" i="23"/>
  <c r="E2122" i="23"/>
  <c r="D1457" i="23"/>
  <c r="E2171" i="23"/>
  <c r="C29" i="23"/>
  <c r="G2340" i="23"/>
  <c r="A726" i="23"/>
  <c r="D2040" i="23"/>
  <c r="E729" i="23"/>
  <c r="F2428" i="23"/>
  <c r="H93" i="23"/>
  <c r="D287" i="22"/>
  <c r="C58" i="23"/>
  <c r="F2398" i="23"/>
  <c r="A244" i="23"/>
  <c r="G898" i="23"/>
  <c r="G2921" i="23"/>
  <c r="G1225" i="23"/>
  <c r="C1509" i="23"/>
  <c r="E193" i="22"/>
  <c r="E227" i="22"/>
  <c r="H1310" i="23"/>
  <c r="B272" i="22"/>
  <c r="G2479" i="23"/>
  <c r="C77" i="23"/>
  <c r="H1857" i="23"/>
  <c r="F500" i="23"/>
  <c r="H927" i="23"/>
  <c r="F368" i="22"/>
  <c r="E132" i="22"/>
  <c r="E1332" i="23"/>
  <c r="B326" i="22"/>
  <c r="H996" i="23"/>
  <c r="F552" i="23"/>
  <c r="B1086" i="23"/>
  <c r="B216" i="22"/>
  <c r="D1334" i="23"/>
  <c r="F1779" i="23"/>
  <c r="D923" i="23"/>
  <c r="G2474" i="23"/>
  <c r="F2988" i="23"/>
  <c r="D1562" i="23"/>
  <c r="G2899" i="23"/>
  <c r="E211" i="23"/>
  <c r="F1025" i="23"/>
  <c r="A431" i="23"/>
  <c r="H2406" i="23"/>
  <c r="F1007" i="23"/>
  <c r="F1076" i="23"/>
  <c r="B310" i="23"/>
  <c r="A1568" i="23"/>
  <c r="H944" i="23"/>
  <c r="E1045" i="23"/>
  <c r="G1821" i="23"/>
  <c r="H1446" i="23"/>
  <c r="G2869" i="23"/>
  <c r="D940" i="23"/>
  <c r="A22" i="22"/>
  <c r="C20" i="22"/>
  <c r="F1149" i="23"/>
  <c r="E742" i="23"/>
  <c r="E422" i="22"/>
  <c r="F2951" i="23"/>
  <c r="E256" i="23"/>
  <c r="G1458" i="23"/>
  <c r="D1185" i="23"/>
  <c r="F1245" i="23"/>
  <c r="C118" i="23"/>
  <c r="C313" i="22"/>
  <c r="G2959" i="23"/>
  <c r="E208" i="23"/>
  <c r="D522" i="23"/>
  <c r="E39" i="23"/>
  <c r="F421" i="23"/>
  <c r="E705" i="23"/>
  <c r="H2944" i="23"/>
  <c r="B545" i="23"/>
  <c r="A485" i="23"/>
  <c r="G1852" i="23"/>
  <c r="D30" i="23"/>
  <c r="A870" i="23"/>
  <c r="C1022" i="23"/>
  <c r="B561" i="23"/>
  <c r="B275" i="23"/>
  <c r="A1816" i="23"/>
  <c r="B1476" i="23"/>
  <c r="D24" i="23"/>
  <c r="H482" i="23"/>
  <c r="H912" i="23"/>
  <c r="B448" i="23"/>
  <c r="A233" i="23"/>
  <c r="G278" i="23"/>
  <c r="E1427" i="23"/>
  <c r="F338" i="22"/>
  <c r="H1023" i="23"/>
  <c r="B33" i="23"/>
  <c r="E1932" i="23"/>
  <c r="A312" i="23"/>
  <c r="D1715" i="23"/>
  <c r="F1725" i="23"/>
  <c r="G1080" i="23"/>
  <c r="G258" i="23"/>
  <c r="H1230" i="23"/>
  <c r="F450" i="23"/>
  <c r="C1813" i="23"/>
  <c r="E747" i="23"/>
  <c r="F247" i="22"/>
  <c r="A2009" i="23"/>
  <c r="F1578" i="23"/>
  <c r="B351" i="23"/>
  <c r="H2397" i="23"/>
  <c r="H917" i="23"/>
  <c r="G610" i="23"/>
  <c r="C1542" i="23"/>
  <c r="C1217" i="23"/>
  <c r="A864" i="23"/>
  <c r="H265" i="23"/>
  <c r="H643" i="23"/>
  <c r="F1763" i="23"/>
  <c r="C1981" i="23"/>
  <c r="G2179" i="23"/>
  <c r="B557" i="23"/>
  <c r="B1326" i="23"/>
  <c r="G2953" i="23"/>
  <c r="H1612" i="23"/>
  <c r="B1385" i="23"/>
  <c r="F2971" i="23"/>
  <c r="A730" i="23"/>
  <c r="H2190" i="23"/>
  <c r="B312" i="22"/>
  <c r="A72" i="22"/>
  <c r="C781" i="23"/>
  <c r="G406" i="22"/>
  <c r="A309" i="23"/>
  <c r="H787" i="23"/>
  <c r="D67" i="22"/>
  <c r="F658" i="23"/>
  <c r="F470" i="23"/>
  <c r="D91" i="22"/>
  <c r="A2027" i="23"/>
  <c r="D64" i="22"/>
  <c r="D1575" i="23"/>
  <c r="B656" i="23"/>
  <c r="A298" i="23"/>
  <c r="G2659" i="23"/>
  <c r="E74" i="22"/>
  <c r="C1070" i="23"/>
  <c r="H407" i="23"/>
  <c r="C1703" i="23"/>
  <c r="C1969" i="23"/>
  <c r="D58" i="22"/>
  <c r="G444" i="23"/>
  <c r="F1377" i="23"/>
  <c r="H43" i="23"/>
  <c r="F1986" i="23"/>
  <c r="C2040" i="23"/>
  <c r="H1824" i="23"/>
  <c r="B490" i="23"/>
  <c r="G604" i="23"/>
  <c r="B228" i="22"/>
  <c r="E117" i="22"/>
  <c r="D107" i="22"/>
  <c r="H242" i="23"/>
  <c r="H2262" i="23"/>
  <c r="C1606" i="23"/>
  <c r="G1646" i="23"/>
  <c r="E1028" i="23"/>
  <c r="C2163" i="23"/>
  <c r="A1443" i="23"/>
  <c r="C1817" i="23"/>
  <c r="G1865" i="23"/>
  <c r="H789" i="23"/>
  <c r="G812" i="23"/>
  <c r="C388" i="23"/>
  <c r="G836" i="23"/>
  <c r="E863" i="23"/>
  <c r="G263" i="23"/>
  <c r="B2033" i="23"/>
  <c r="B478" i="23"/>
  <c r="F1886" i="23"/>
  <c r="F2870" i="23"/>
  <c r="B379" i="23"/>
  <c r="C638" i="23"/>
  <c r="G1589" i="23"/>
  <c r="E1436" i="23"/>
  <c r="H1278" i="23"/>
  <c r="G102" i="22"/>
  <c r="B889" i="23"/>
  <c r="E403" i="23"/>
  <c r="A362" i="22"/>
  <c r="A404" i="23"/>
  <c r="D120" i="22"/>
  <c r="D518" i="23"/>
  <c r="H623" i="23"/>
  <c r="H1730" i="23"/>
  <c r="B1200" i="23"/>
  <c r="A394" i="23"/>
  <c r="G2936" i="23"/>
  <c r="D356" i="22"/>
  <c r="A1318" i="23"/>
  <c r="E1244" i="23"/>
  <c r="G2020" i="23"/>
  <c r="G2728" i="23"/>
  <c r="H527" i="23"/>
  <c r="E188" i="23"/>
  <c r="D895" i="23"/>
  <c r="H2754" i="23"/>
  <c r="F2740" i="23"/>
  <c r="F72" i="23"/>
  <c r="C405" i="22"/>
  <c r="E1240" i="23"/>
  <c r="C39" i="22"/>
  <c r="C1628" i="23"/>
  <c r="A1451" i="23"/>
  <c r="B1941" i="23"/>
  <c r="F1849" i="23"/>
  <c r="F10" i="23"/>
  <c r="D720" i="23"/>
  <c r="H1792" i="23"/>
  <c r="C319" i="23"/>
  <c r="C566" i="23"/>
  <c r="A1257" i="23"/>
  <c r="E1910" i="23"/>
  <c r="E299" i="23"/>
  <c r="E305" i="22"/>
  <c r="H1725" i="23"/>
  <c r="F976" i="23"/>
  <c r="G68" i="23"/>
  <c r="D413" i="22"/>
  <c r="F2860" i="23"/>
  <c r="G2665" i="23"/>
  <c r="F2552" i="23"/>
  <c r="D2276" i="23"/>
  <c r="B1762" i="23"/>
  <c r="B1982" i="23"/>
  <c r="E1448" i="23"/>
  <c r="E1809" i="23"/>
  <c r="G2035" i="23"/>
  <c r="E1174" i="23"/>
  <c r="F1867" i="23"/>
  <c r="B1522" i="23"/>
  <c r="H101" i="23"/>
  <c r="D1293" i="23"/>
  <c r="H447" i="23"/>
  <c r="C539" i="23"/>
  <c r="C1682" i="23"/>
  <c r="H2166" i="23"/>
  <c r="D2090" i="23"/>
  <c r="F447" i="23"/>
  <c r="C20" i="23"/>
  <c r="A227" i="23"/>
  <c r="G120" i="23"/>
  <c r="F2744" i="23"/>
  <c r="B2123" i="23"/>
  <c r="B1756" i="23"/>
  <c r="C1529" i="23"/>
  <c r="H754" i="23"/>
  <c r="F1033" i="23"/>
  <c r="C217" i="23"/>
  <c r="H646" i="23"/>
  <c r="C282" i="23"/>
  <c r="F362" i="23"/>
  <c r="D1294" i="23"/>
  <c r="B330" i="23"/>
  <c r="E247" i="23"/>
  <c r="H1571" i="23"/>
  <c r="D76" i="23"/>
  <c r="C2157" i="23"/>
  <c r="B252" i="22"/>
  <c r="G459" i="23"/>
  <c r="F977" i="23"/>
  <c r="A202" i="23"/>
  <c r="C2273" i="23"/>
  <c r="H29" i="23"/>
  <c r="B1585" i="23"/>
  <c r="B2017" i="23"/>
  <c r="H2052" i="23"/>
  <c r="C739" i="23"/>
  <c r="D405" i="23"/>
  <c r="F558" i="23"/>
  <c r="B1329" i="23"/>
  <c r="C362" i="22"/>
  <c r="A413" i="22"/>
  <c r="E1406" i="23"/>
  <c r="G2111" i="23"/>
  <c r="G178" i="23"/>
  <c r="H1524" i="23"/>
  <c r="D163" i="23"/>
  <c r="H2881" i="23"/>
  <c r="B106" i="22"/>
  <c r="H8" i="23"/>
  <c r="F1563" i="23"/>
  <c r="D1322" i="23"/>
  <c r="F1777" i="23"/>
  <c r="H727" i="23"/>
  <c r="F2246" i="23"/>
  <c r="A303" i="23"/>
  <c r="E2031" i="23"/>
  <c r="E357" i="22"/>
  <c r="B1562" i="23"/>
  <c r="A375" i="23"/>
  <c r="E236" i="22"/>
  <c r="C835" i="23"/>
  <c r="G738" i="23"/>
  <c r="D2067" i="23"/>
  <c r="B1711" i="23"/>
  <c r="A423" i="23"/>
  <c r="H1158" i="23"/>
  <c r="A1521" i="23"/>
  <c r="A53" i="22"/>
  <c r="B1437" i="23"/>
  <c r="C92" i="22"/>
  <c r="D1511" i="23"/>
  <c r="E455" i="23"/>
  <c r="A1517" i="23"/>
  <c r="B716" i="23"/>
  <c r="F459" i="23"/>
  <c r="A1726" i="23"/>
  <c r="B166" i="23"/>
  <c r="C648" i="23"/>
  <c r="G201" i="22"/>
  <c r="B1715" i="23"/>
  <c r="E1312" i="23"/>
  <c r="G167" i="23"/>
  <c r="G2855" i="23"/>
  <c r="F1898" i="23"/>
  <c r="H2862" i="23"/>
  <c r="A1314" i="23"/>
  <c r="C29" i="22"/>
  <c r="B822" i="23"/>
  <c r="D1561" i="23"/>
  <c r="C1848" i="23"/>
  <c r="E297" i="23"/>
  <c r="G2823" i="23"/>
  <c r="G966" i="23"/>
  <c r="F1718" i="23"/>
  <c r="F176" i="23"/>
  <c r="F1942" i="23"/>
  <c r="H2990" i="23"/>
  <c r="B1923" i="23"/>
  <c r="G1062" i="23"/>
  <c r="B1850" i="23"/>
  <c r="B2289" i="23"/>
  <c r="E276" i="22"/>
  <c r="E1804" i="23"/>
  <c r="G805" i="23"/>
  <c r="B1481" i="23"/>
  <c r="D677" i="23"/>
  <c r="C1823" i="23"/>
  <c r="H1649" i="23"/>
  <c r="E477" i="23"/>
  <c r="H1499" i="23"/>
  <c r="E1401" i="23"/>
  <c r="H1420" i="23"/>
  <c r="G1707" i="23"/>
  <c r="G280" i="23"/>
  <c r="F1989" i="23"/>
  <c r="G1111" i="23"/>
  <c r="A855" i="23"/>
  <c r="G1211" i="23"/>
  <c r="E1294" i="23"/>
  <c r="D429" i="23"/>
  <c r="A1131" i="23"/>
  <c r="E1274" i="23"/>
  <c r="C2228" i="23"/>
  <c r="C849" i="23"/>
  <c r="H2241" i="23"/>
  <c r="A382" i="23"/>
  <c r="F314" i="22"/>
  <c r="E365" i="22"/>
  <c r="F2660" i="23"/>
  <c r="D1957" i="23"/>
  <c r="B1258" i="23"/>
  <c r="D2100" i="23"/>
  <c r="F1577" i="23"/>
  <c r="C523" i="23"/>
  <c r="B1713" i="23"/>
  <c r="D731" i="23"/>
  <c r="E673" i="23"/>
  <c r="E840" i="23"/>
  <c r="G2397" i="23"/>
  <c r="C242" i="22"/>
  <c r="E1977" i="23"/>
  <c r="G1604" i="23"/>
  <c r="C227" i="22"/>
  <c r="A534" i="23"/>
  <c r="H146" i="23"/>
  <c r="H2096" i="23"/>
  <c r="A540" i="23"/>
  <c r="E513" i="23"/>
  <c r="F1284" i="23"/>
  <c r="C1568" i="23"/>
  <c r="G2642" i="23"/>
  <c r="H2492" i="23"/>
  <c r="A328" i="22"/>
  <c r="H2366" i="23"/>
  <c r="C110" i="23"/>
  <c r="D214" i="22"/>
  <c r="H211" i="23"/>
  <c r="G2901" i="23"/>
  <c r="H1580" i="23"/>
  <c r="H1064" i="23"/>
  <c r="F1623" i="23"/>
  <c r="B59" i="22"/>
  <c r="B2172" i="23"/>
  <c r="C1809" i="23"/>
  <c r="D1557" i="23"/>
  <c r="B1875" i="23"/>
  <c r="E2206" i="23"/>
  <c r="E640" i="23"/>
  <c r="G929" i="23"/>
  <c r="D186" i="23"/>
  <c r="F101" i="23"/>
  <c r="C472" i="23"/>
  <c r="A2114" i="23"/>
  <c r="B2031" i="23"/>
  <c r="H2919" i="23"/>
  <c r="D2213" i="23"/>
  <c r="F1051" i="23"/>
  <c r="G2284" i="23"/>
  <c r="F2769" i="23"/>
  <c r="A865" i="23"/>
  <c r="E219" i="23"/>
  <c r="F86" i="23"/>
  <c r="B1468" i="23"/>
  <c r="B156" i="23"/>
  <c r="D1367" i="23"/>
  <c r="F285" i="23"/>
  <c r="G258" i="22"/>
  <c r="E37" i="23"/>
  <c r="D100" i="23"/>
  <c r="C720" i="23"/>
  <c r="B856" i="23"/>
  <c r="C1319" i="23"/>
  <c r="C1144" i="23"/>
  <c r="A902" i="23"/>
  <c r="G2245" i="23"/>
  <c r="G581" i="23"/>
  <c r="H81" i="22"/>
  <c r="C171" i="22"/>
  <c r="C2146" i="23"/>
  <c r="C723" i="23"/>
  <c r="G720" i="23"/>
  <c r="C2116" i="23"/>
  <c r="G2454" i="23"/>
  <c r="B2076" i="23"/>
  <c r="E1004" i="23"/>
  <c r="A135" i="23"/>
  <c r="E1114" i="23"/>
  <c r="B1274" i="23"/>
  <c r="H2443" i="23"/>
  <c r="F2763" i="23"/>
  <c r="D1362" i="23"/>
  <c r="A1010" i="23"/>
  <c r="E14" i="23"/>
  <c r="H2060" i="23"/>
  <c r="H2326" i="23"/>
  <c r="G1467" i="23"/>
  <c r="D1851" i="23"/>
  <c r="D1442" i="23"/>
  <c r="F295" i="23"/>
  <c r="D2280" i="23"/>
  <c r="H2228" i="23"/>
  <c r="D1546" i="23"/>
  <c r="E401" i="22"/>
  <c r="G1050" i="23"/>
  <c r="D420" i="23"/>
  <c r="B2207" i="23"/>
  <c r="C1409" i="23"/>
  <c r="D270" i="22"/>
  <c r="A602" i="23"/>
  <c r="F1568" i="23"/>
  <c r="E200" i="22"/>
  <c r="F683" i="23"/>
  <c r="G978" i="23"/>
  <c r="E203" i="23"/>
  <c r="B1151" i="23"/>
  <c r="C509" i="23"/>
  <c r="A915" i="23"/>
  <c r="F1460" i="23"/>
  <c r="F560" i="23"/>
  <c r="G295" i="22"/>
  <c r="H1239" i="23"/>
  <c r="H243" i="23"/>
  <c r="E605" i="23"/>
  <c r="G1780" i="23"/>
  <c r="H402" i="23"/>
  <c r="H2214" i="23"/>
  <c r="G350" i="22"/>
  <c r="B1355" i="23"/>
  <c r="F2486" i="23"/>
  <c r="F1342" i="23"/>
  <c r="F357" i="23"/>
  <c r="E496" i="23"/>
  <c r="H523" i="23"/>
  <c r="C96" i="22"/>
  <c r="D101" i="22"/>
  <c r="A91" i="22"/>
  <c r="G423" i="22"/>
  <c r="E1716" i="23"/>
  <c r="G1460" i="23"/>
  <c r="C62" i="23"/>
  <c r="E2085" i="23"/>
  <c r="F2957" i="23"/>
  <c r="F836" i="23"/>
  <c r="A2193" i="23"/>
  <c r="G1534" i="23"/>
  <c r="F1557" i="23"/>
  <c r="B277" i="23"/>
  <c r="G301" i="23"/>
  <c r="F1818" i="23"/>
  <c r="H1810" i="23"/>
  <c r="D576" i="23"/>
  <c r="C1885" i="23"/>
  <c r="G2074" i="23"/>
  <c r="B419" i="22"/>
  <c r="G147" i="22"/>
  <c r="E2058" i="23"/>
  <c r="H2385" i="23"/>
  <c r="D1099" i="23"/>
  <c r="H1584" i="23"/>
  <c r="G303" i="22"/>
  <c r="B1285" i="23"/>
  <c r="D331" i="22"/>
  <c r="F1136" i="23"/>
  <c r="B714" i="23"/>
  <c r="F2349" i="23"/>
  <c r="E1189" i="23"/>
  <c r="B1331" i="23"/>
  <c r="B1787" i="23"/>
  <c r="F1145" i="23"/>
  <c r="D330" i="22"/>
  <c r="F2429" i="23"/>
  <c r="E1570" i="23"/>
  <c r="C1829" i="23"/>
  <c r="D1740" i="23"/>
  <c r="F2277" i="23"/>
  <c r="E128" i="23"/>
  <c r="F2868" i="23"/>
  <c r="A398" i="23"/>
  <c r="G1026" i="23"/>
  <c r="B1682" i="23"/>
  <c r="F1231" i="23"/>
  <c r="H744" i="23"/>
  <c r="F583" i="23"/>
  <c r="F456" i="23"/>
  <c r="H1501" i="23"/>
  <c r="H2092" i="23"/>
  <c r="E538" i="23"/>
  <c r="H2141" i="23"/>
  <c r="H2828" i="23"/>
  <c r="H1006" i="23"/>
  <c r="F659" i="23"/>
  <c r="F2785" i="23"/>
  <c r="F1282" i="23"/>
  <c r="A666" i="23"/>
  <c r="F1206" i="23"/>
  <c r="B730" i="23"/>
  <c r="F1810" i="23"/>
  <c r="D226" i="23"/>
  <c r="D57" i="23"/>
  <c r="A35" i="23"/>
  <c r="C1802" i="23"/>
  <c r="A1180" i="23"/>
  <c r="C287" i="23"/>
  <c r="D129" i="23"/>
  <c r="E652" i="23"/>
  <c r="H1177" i="23"/>
  <c r="F2698" i="23"/>
  <c r="F158" i="22"/>
  <c r="F2128" i="23"/>
  <c r="H2921" i="23"/>
  <c r="D166" i="22"/>
  <c r="C2031" i="23"/>
  <c r="B289" i="23"/>
  <c r="D1138" i="23"/>
  <c r="G634" i="23"/>
  <c r="B939" i="23"/>
  <c r="C979" i="23"/>
  <c r="G1713" i="23"/>
  <c r="B105" i="22"/>
  <c r="A126" i="22"/>
  <c r="D322" i="22"/>
  <c r="B286" i="23"/>
  <c r="C489" i="23"/>
  <c r="G1313" i="23"/>
  <c r="A712" i="23"/>
  <c r="C1183" i="23"/>
  <c r="C573" i="23"/>
  <c r="H2149" i="23"/>
  <c r="F2186" i="23"/>
  <c r="B630" i="23"/>
  <c r="E1426" i="23"/>
  <c r="B2129" i="23"/>
  <c r="H2324" i="23"/>
  <c r="G2168" i="23"/>
  <c r="H926" i="23"/>
  <c r="H461" i="23"/>
  <c r="B1126" i="23"/>
  <c r="D1533" i="23"/>
  <c r="E1302" i="23"/>
  <c r="D480" i="23"/>
  <c r="B101" i="22"/>
  <c r="A197" i="22"/>
  <c r="H1307" i="23"/>
  <c r="H853" i="23"/>
  <c r="F2867" i="23"/>
  <c r="D676" i="23"/>
  <c r="E1454" i="23"/>
  <c r="F2299" i="23"/>
  <c r="C1710" i="23"/>
  <c r="F1363" i="23"/>
  <c r="B1281" i="23"/>
  <c r="D665" i="23"/>
  <c r="F2136" i="23"/>
  <c r="E184" i="22"/>
  <c r="D279" i="22"/>
  <c r="A1364" i="23"/>
  <c r="C1012" i="23"/>
  <c r="E1689" i="23"/>
  <c r="C1883" i="23"/>
  <c r="E388" i="23"/>
  <c r="H1616" i="23"/>
  <c r="A1747" i="23"/>
  <c r="B1549" i="23"/>
  <c r="G1397" i="23"/>
  <c r="D325" i="22"/>
  <c r="G322" i="22"/>
  <c r="F412" i="22"/>
  <c r="B340" i="23"/>
  <c r="F2642" i="23"/>
  <c r="E134" i="22"/>
  <c r="G987" i="23"/>
  <c r="F2808" i="23"/>
  <c r="B192" i="22"/>
  <c r="A1301" i="23"/>
  <c r="H101" i="22"/>
  <c r="A250" i="23"/>
  <c r="B734" i="23"/>
  <c r="A594" i="23"/>
  <c r="C510" i="23"/>
  <c r="G1714" i="23"/>
  <c r="A220" i="23"/>
  <c r="G2140" i="23"/>
  <c r="H2432" i="23"/>
  <c r="F1391" i="23"/>
  <c r="B632" i="23"/>
  <c r="G1908" i="23"/>
  <c r="F2240" i="23"/>
  <c r="G1413" i="23"/>
  <c r="H2386" i="23"/>
  <c r="H220" i="23"/>
  <c r="D33" i="22"/>
  <c r="F53" i="22"/>
  <c r="D1398" i="23"/>
  <c r="A1235" i="23"/>
  <c r="C886" i="23"/>
  <c r="E1670" i="23"/>
  <c r="H583" i="23"/>
  <c r="E2087" i="23"/>
  <c r="A2186" i="23"/>
  <c r="A1007" i="23"/>
  <c r="G860" i="23"/>
  <c r="F1680" i="23"/>
  <c r="D1104" i="23"/>
  <c r="C2004" i="23"/>
  <c r="C640" i="23"/>
  <c r="C553" i="23"/>
  <c r="B1794" i="23"/>
  <c r="D1281" i="23"/>
  <c r="A608" i="23"/>
  <c r="B970" i="23"/>
  <c r="H1781" i="23"/>
  <c r="A1492" i="23"/>
  <c r="D2243" i="23"/>
  <c r="G2888" i="23"/>
  <c r="F225" i="22"/>
  <c r="F2617" i="23"/>
  <c r="A723" i="23"/>
  <c r="H2996" i="23"/>
  <c r="B447" i="23"/>
  <c r="G1164" i="23"/>
  <c r="A553" i="23"/>
  <c r="E499" i="23"/>
  <c r="D1116" i="23"/>
  <c r="H1563" i="23"/>
  <c r="F182" i="23"/>
  <c r="C2117" i="23"/>
  <c r="A44" i="22"/>
  <c r="G375" i="23"/>
  <c r="G1261" i="23"/>
  <c r="A237" i="22"/>
  <c r="F2425" i="23"/>
  <c r="H737" i="23"/>
  <c r="D43" i="22"/>
  <c r="B1683" i="23"/>
  <c r="G679" i="23"/>
  <c r="F1991" i="23"/>
  <c r="A2262" i="23"/>
  <c r="B555" i="23"/>
  <c r="G1010" i="23"/>
  <c r="D2154" i="23"/>
  <c r="A384" i="23"/>
  <c r="E689" i="23"/>
  <c r="E122" i="23"/>
  <c r="C94" i="22"/>
  <c r="G2793" i="23"/>
  <c r="F1029" i="23"/>
  <c r="D300" i="23"/>
  <c r="F2082" i="23"/>
  <c r="B2204" i="23"/>
  <c r="D2266" i="23"/>
  <c r="D976" i="23"/>
  <c r="C607" i="23"/>
  <c r="D1055" i="23"/>
  <c r="C1263" i="23"/>
  <c r="D108" i="22"/>
  <c r="D243" i="23"/>
  <c r="G316" i="22"/>
  <c r="B778" i="23"/>
  <c r="H2992" i="23"/>
  <c r="E1728" i="23"/>
  <c r="G1409" i="23"/>
  <c r="E645" i="23"/>
  <c r="G719" i="23"/>
  <c r="F174" i="23"/>
  <c r="F1769" i="23"/>
  <c r="B10" i="22"/>
  <c r="D1917" i="23"/>
  <c r="H1562" i="23"/>
  <c r="A1294" i="23"/>
  <c r="E240" i="23"/>
  <c r="G1573" i="23"/>
  <c r="D1244" i="23"/>
  <c r="G1236" i="23"/>
  <c r="C859" i="23"/>
  <c r="F882" i="23"/>
  <c r="H994" i="23"/>
  <c r="G356" i="23"/>
  <c r="H2795" i="23"/>
  <c r="D1744" i="23"/>
  <c r="A640" i="23"/>
  <c r="F930" i="23"/>
  <c r="A78" i="22"/>
  <c r="F2424" i="23"/>
  <c r="E1132" i="23"/>
  <c r="G352" i="22"/>
  <c r="D2074" i="23"/>
  <c r="H431" i="23"/>
  <c r="D1695" i="23"/>
  <c r="C1717" i="23"/>
  <c r="F1742" i="23"/>
  <c r="A295" i="22"/>
  <c r="H460" i="23"/>
  <c r="H2997" i="23"/>
  <c r="B643" i="23"/>
  <c r="F1225" i="23"/>
  <c r="F2992" i="23"/>
  <c r="G628" i="23"/>
  <c r="H514" i="23"/>
  <c r="A173" i="23"/>
  <c r="C141" i="22"/>
  <c r="C93" i="23"/>
  <c r="D59" i="22"/>
  <c r="H36" i="23"/>
  <c r="H2757" i="23"/>
  <c r="H2662" i="23"/>
  <c r="G2552" i="23"/>
  <c r="G2063" i="23"/>
  <c r="G2194" i="23"/>
  <c r="G1022" i="23"/>
  <c r="C24" i="23"/>
  <c r="A118" i="22"/>
  <c r="D2051" i="23"/>
  <c r="A134" i="23"/>
  <c r="H660" i="23"/>
  <c r="H201" i="23"/>
  <c r="B1974" i="23"/>
  <c r="D2057" i="23"/>
  <c r="G339" i="22"/>
  <c r="H1112" i="23"/>
  <c r="G2345" i="23"/>
  <c r="B1271" i="23"/>
  <c r="D344" i="22"/>
  <c r="H1341" i="23"/>
  <c r="G2450" i="23"/>
  <c r="A720" i="23"/>
  <c r="G2709" i="23"/>
  <c r="E1358" i="23"/>
  <c r="C1310" i="23"/>
  <c r="B1040" i="23"/>
  <c r="F543" i="23"/>
  <c r="H1743" i="23"/>
  <c r="F1168" i="23"/>
  <c r="G2242" i="23"/>
  <c r="C1766" i="23"/>
  <c r="H120" i="23"/>
  <c r="G2007" i="23"/>
  <c r="F93" i="23"/>
  <c r="D1147" i="23"/>
  <c r="E138" i="23"/>
  <c r="D1365" i="23"/>
  <c r="G2423" i="23"/>
  <c r="G1493" i="23"/>
  <c r="D596" i="23"/>
  <c r="G337" i="22"/>
  <c r="G2050" i="23"/>
  <c r="D155" i="23"/>
  <c r="A409" i="23"/>
  <c r="D367" i="23"/>
  <c r="H880" i="23"/>
  <c r="C1125" i="23"/>
  <c r="E1846" i="23"/>
  <c r="H1358" i="23"/>
  <c r="A885" i="23"/>
  <c r="E368" i="22"/>
  <c r="E46" i="23"/>
  <c r="A1842" i="23"/>
  <c r="B984" i="23"/>
  <c r="G1706" i="23"/>
  <c r="C68" i="23"/>
  <c r="F2050" i="23"/>
  <c r="D196" i="22"/>
  <c r="E1581" i="23"/>
  <c r="H1774" i="23"/>
  <c r="G457" i="23"/>
  <c r="G549" i="23"/>
  <c r="E1373" i="23"/>
  <c r="E1847" i="23"/>
  <c r="D383" i="22"/>
  <c r="G784" i="23"/>
  <c r="F313" i="22"/>
  <c r="F517" i="23"/>
  <c r="D749" i="23"/>
  <c r="B777" i="23"/>
  <c r="F1137" i="23"/>
  <c r="F639" i="23"/>
  <c r="C907" i="23"/>
  <c r="F1354" i="23"/>
  <c r="G188" i="22"/>
  <c r="A699" i="23"/>
  <c r="G83" i="22"/>
  <c r="G136" i="23"/>
  <c r="C1893" i="23"/>
  <c r="D122" i="22"/>
  <c r="E1315" i="23"/>
  <c r="F255" i="22"/>
  <c r="E1263" i="23"/>
  <c r="A221" i="22"/>
  <c r="H1163" i="23"/>
  <c r="D893" i="23"/>
  <c r="A320" i="23"/>
  <c r="E397" i="22"/>
  <c r="C1091" i="23"/>
  <c r="A655" i="23"/>
  <c r="D1629" i="23"/>
  <c r="B37" i="23"/>
  <c r="E385" i="23"/>
  <c r="G2999" i="23"/>
  <c r="A149" i="23"/>
  <c r="B2195" i="23"/>
  <c r="H1316" i="23"/>
  <c r="G815" i="23"/>
  <c r="F1050" i="23"/>
  <c r="C2137" i="23"/>
  <c r="C239" i="22"/>
  <c r="A110" i="22"/>
  <c r="D2237" i="23"/>
  <c r="E2024" i="23"/>
  <c r="H2342" i="23"/>
  <c r="A989" i="23"/>
  <c r="E796" i="23"/>
  <c r="C51" i="22"/>
  <c r="E450" i="23"/>
  <c r="G1034" i="23"/>
  <c r="E2111" i="23"/>
  <c r="H2191" i="23"/>
  <c r="E1602" i="23"/>
  <c r="G1243" i="23"/>
  <c r="G734" i="23"/>
  <c r="D1832" i="23"/>
  <c r="B1994" i="23"/>
  <c r="H561" i="23"/>
  <c r="G1035" i="23"/>
  <c r="D2002" i="23"/>
  <c r="F546" i="23"/>
  <c r="F2854" i="23"/>
  <c r="F2752" i="23"/>
  <c r="E165" i="22"/>
  <c r="H153" i="23"/>
  <c r="C2315" i="23"/>
  <c r="E1807" i="23"/>
  <c r="E1144" i="23"/>
  <c r="H1229" i="23"/>
  <c r="F1476" i="23"/>
  <c r="F631" i="23"/>
  <c r="C123" i="23"/>
  <c r="E507" i="23"/>
  <c r="D1800" i="23"/>
  <c r="H1800" i="23"/>
  <c r="H1583" i="23"/>
  <c r="D169" i="23"/>
  <c r="E1651" i="23"/>
  <c r="D884" i="23"/>
  <c r="F367" i="22"/>
  <c r="E1760" i="23"/>
  <c r="C1258" i="23"/>
  <c r="E1966" i="23"/>
  <c r="B245" i="23"/>
  <c r="G420" i="23"/>
  <c r="F855" i="23"/>
  <c r="D1292" i="23"/>
  <c r="C1272" i="23"/>
  <c r="G124" i="22"/>
  <c r="C466" i="23"/>
  <c r="A633" i="23"/>
  <c r="D986" i="23"/>
  <c r="D1658" i="23"/>
  <c r="C351" i="22"/>
  <c r="B118" i="22"/>
  <c r="G261" i="22"/>
  <c r="G2265" i="23"/>
  <c r="C533" i="23"/>
  <c r="H857" i="23"/>
  <c r="E1765" i="23"/>
  <c r="H795" i="23"/>
  <c r="H23" i="23"/>
  <c r="B819" i="23"/>
  <c r="C225" i="22"/>
  <c r="E1520" i="23"/>
  <c r="F2345" i="23"/>
  <c r="A278" i="23"/>
  <c r="D841" i="23"/>
  <c r="A1947" i="23"/>
  <c r="G1925" i="23"/>
  <c r="A412" i="23"/>
  <c r="G414" i="23"/>
  <c r="H335" i="23"/>
  <c r="B962" i="23"/>
  <c r="F1829" i="23"/>
  <c r="D1192" i="23"/>
  <c r="F860" i="23"/>
  <c r="E280" i="23"/>
  <c r="E88" i="23"/>
  <c r="G360" i="23"/>
  <c r="D3" i="22"/>
  <c r="F2346" i="23"/>
  <c r="A1690" i="23"/>
  <c r="B1167" i="23"/>
  <c r="D68" i="22"/>
  <c r="A234" i="23"/>
  <c r="D1758" i="23"/>
  <c r="C906" i="23"/>
  <c r="D615" i="23"/>
  <c r="B297" i="23"/>
  <c r="B1433" i="23"/>
  <c r="D2099" i="23"/>
  <c r="G690" i="23"/>
  <c r="H1467" i="23"/>
  <c r="C252" i="23"/>
  <c r="E2041" i="23"/>
  <c r="D813" i="23"/>
  <c r="C1029" i="23"/>
  <c r="B576" i="23"/>
  <c r="H2409" i="23"/>
  <c r="B285" i="22"/>
  <c r="G311" i="23"/>
  <c r="A40" i="22"/>
  <c r="H317" i="23"/>
  <c r="F2357" i="23"/>
  <c r="C406" i="23"/>
  <c r="C145" i="22"/>
  <c r="A81" i="22"/>
  <c r="B414" i="23"/>
  <c r="G2591" i="23"/>
  <c r="H457" i="23"/>
  <c r="C134" i="22"/>
  <c r="G848" i="23"/>
  <c r="G200" i="22"/>
  <c r="B236" i="23"/>
  <c r="H1856" i="23"/>
  <c r="D1379" i="23"/>
  <c r="C1366" i="23"/>
  <c r="A100" i="22"/>
  <c r="B262" i="22"/>
  <c r="B1519" i="23"/>
  <c r="A338" i="22"/>
  <c r="G2839" i="23"/>
  <c r="C1397" i="23"/>
  <c r="G2792" i="23"/>
  <c r="G1879" i="23"/>
  <c r="F2254" i="23"/>
  <c r="A71" i="23"/>
  <c r="H1560" i="23"/>
  <c r="F147" i="22"/>
  <c r="F1582" i="23"/>
  <c r="H40" i="23"/>
  <c r="C21" i="22"/>
  <c r="H1656" i="23"/>
  <c r="A1545" i="23"/>
  <c r="D1951" i="23"/>
  <c r="G906" i="23"/>
  <c r="F1114" i="23"/>
  <c r="F1745" i="23"/>
  <c r="H819" i="23"/>
  <c r="G1426" i="23"/>
  <c r="F2151" i="23"/>
  <c r="F343" i="23"/>
  <c r="E2236" i="23"/>
  <c r="D44" i="23"/>
  <c r="B776" i="23"/>
  <c r="A1320" i="23"/>
  <c r="C235" i="22"/>
  <c r="E1763" i="23"/>
  <c r="A874" i="23"/>
  <c r="B1603" i="23"/>
  <c r="F1799" i="23"/>
  <c r="E2235" i="23"/>
  <c r="C137" i="23"/>
  <c r="F37" i="23"/>
  <c r="E2263" i="23"/>
  <c r="B136" i="23"/>
  <c r="D1644" i="23"/>
  <c r="G2355" i="23"/>
  <c r="E65" i="22"/>
  <c r="D1481" i="23"/>
  <c r="E366" i="23"/>
  <c r="H1752" i="23"/>
  <c r="C1903" i="23"/>
  <c r="H2252" i="23"/>
  <c r="A1504" i="23"/>
  <c r="G350" i="23"/>
  <c r="F95" i="23"/>
  <c r="B1099" i="23"/>
  <c r="B2307" i="23"/>
  <c r="A158" i="22"/>
  <c r="G1040" i="23"/>
  <c r="E1693" i="23"/>
  <c r="G478" i="23"/>
  <c r="G642" i="23"/>
  <c r="F233" i="23"/>
  <c r="B938" i="23"/>
  <c r="B1690" i="23"/>
  <c r="B165" i="23"/>
  <c r="B337" i="23"/>
  <c r="G341" i="22"/>
  <c r="A1882" i="23"/>
  <c r="D1853" i="23"/>
  <c r="G1625" i="23"/>
  <c r="F305" i="23"/>
  <c r="D1519" i="23"/>
  <c r="E630" i="23"/>
  <c r="H39" i="22"/>
  <c r="B426" i="22"/>
  <c r="A740" i="23"/>
  <c r="C1757" i="23"/>
  <c r="A1780" i="23"/>
  <c r="C192" i="23"/>
  <c r="H2081" i="23"/>
  <c r="A835" i="23"/>
  <c r="B799" i="23"/>
  <c r="A1687" i="23"/>
  <c r="F594" i="23"/>
  <c r="H41" i="22"/>
  <c r="D376" i="23"/>
  <c r="E254" i="23"/>
  <c r="H2362" i="23"/>
  <c r="A934" i="23"/>
  <c r="G862" i="23"/>
  <c r="G2554" i="23"/>
  <c r="H86" i="22"/>
  <c r="F1528" i="23"/>
  <c r="D568" i="23"/>
  <c r="F1816" i="23"/>
  <c r="G404" i="23"/>
  <c r="D1486" i="23"/>
  <c r="A75" i="23"/>
  <c r="A571" i="23"/>
  <c r="H1065" i="23"/>
  <c r="E5" i="22"/>
  <c r="C400" i="22"/>
  <c r="A291" i="23"/>
  <c r="D1716" i="23"/>
  <c r="F1190" i="23"/>
  <c r="A1657" i="23"/>
  <c r="E1097" i="23"/>
  <c r="E1159" i="23"/>
  <c r="G401" i="22"/>
  <c r="F1815" i="23"/>
  <c r="A47" i="23"/>
  <c r="G85" i="22"/>
  <c r="A1409" i="23"/>
  <c r="F1795" i="23"/>
  <c r="D1959" i="23"/>
  <c r="G1102" i="23"/>
  <c r="E131" i="22"/>
  <c r="G844" i="23"/>
  <c r="D1241" i="23"/>
  <c r="D1011" i="23"/>
  <c r="H1288" i="23"/>
  <c r="D66" i="23"/>
  <c r="F1128" i="23"/>
  <c r="C8" i="22"/>
  <c r="G453" i="23"/>
  <c r="D1048" i="23"/>
  <c r="F757" i="23"/>
  <c r="C819" i="23"/>
  <c r="E1553" i="23"/>
  <c r="E1383" i="23"/>
  <c r="C1551" i="23"/>
  <c r="C1825" i="23"/>
  <c r="E2001" i="23"/>
  <c r="G1773" i="23"/>
  <c r="B1434" i="23"/>
  <c r="B1548" i="23"/>
  <c r="F2984" i="23"/>
  <c r="F285" i="22"/>
  <c r="G2391" i="23"/>
  <c r="B175" i="23"/>
  <c r="F1039" i="23"/>
  <c r="C1282" i="23"/>
  <c r="B637" i="23"/>
  <c r="G1417" i="23"/>
  <c r="C2238" i="23"/>
  <c r="E1449" i="23"/>
  <c r="G2650" i="23"/>
  <c r="G252" i="22"/>
  <c r="E1469" i="23"/>
  <c r="H832" i="23"/>
  <c r="F1960" i="23"/>
  <c r="B402" i="23"/>
  <c r="E2009" i="23"/>
  <c r="G899" i="23"/>
  <c r="D730" i="23"/>
  <c r="A1260" i="23"/>
  <c r="C182" i="23"/>
  <c r="H1720" i="23"/>
  <c r="G2626" i="23"/>
  <c r="C630" i="23"/>
  <c r="C811" i="23"/>
  <c r="E418" i="23"/>
  <c r="F1893" i="23"/>
  <c r="A50" i="23"/>
  <c r="C1283" i="23"/>
  <c r="F701" i="23"/>
  <c r="H2598" i="23"/>
  <c r="F2889" i="23"/>
  <c r="D433" i="23"/>
  <c r="E1328" i="23"/>
  <c r="D90" i="22"/>
  <c r="G419" i="22"/>
  <c r="G974" i="23"/>
  <c r="G1093" i="23"/>
  <c r="B1597" i="23"/>
  <c r="G2631" i="23"/>
  <c r="H1556" i="23"/>
  <c r="H1694" i="23"/>
  <c r="D268" i="23"/>
  <c r="G54" i="22"/>
  <c r="F338" i="23"/>
  <c r="G2708" i="23"/>
  <c r="D210" i="22"/>
  <c r="D1859" i="23"/>
  <c r="B1237" i="23"/>
  <c r="F2091" i="23"/>
  <c r="F835" i="23"/>
  <c r="A1469" i="23"/>
  <c r="E1661" i="23"/>
  <c r="B694" i="23"/>
  <c r="F2841" i="23"/>
  <c r="C2140" i="23"/>
  <c r="G50" i="22"/>
  <c r="A1499" i="23"/>
  <c r="H2153" i="23"/>
  <c r="H241" i="23"/>
  <c r="E684" i="23"/>
  <c r="C759" i="23"/>
  <c r="C202" i="22"/>
  <c r="C2164" i="23"/>
  <c r="B1820" i="23"/>
  <c r="A1166" i="23"/>
  <c r="A480" i="23"/>
  <c r="G1029" i="23"/>
  <c r="H2514" i="23"/>
  <c r="A823" i="23"/>
  <c r="H1147" i="23"/>
  <c r="H894" i="23"/>
  <c r="G1290" i="23"/>
  <c r="C2170" i="23"/>
  <c r="H1282" i="23"/>
  <c r="B111" i="22"/>
  <c r="H1171" i="23"/>
  <c r="G1436" i="23"/>
  <c r="E1417" i="23"/>
  <c r="E50" i="23"/>
  <c r="A410" i="22"/>
  <c r="G943" i="23"/>
  <c r="H302" i="23"/>
  <c r="H974" i="23"/>
  <c r="G11" i="23"/>
  <c r="F1752" i="23"/>
  <c r="H2700" i="23"/>
  <c r="E1848" i="23"/>
  <c r="A1910" i="23"/>
  <c r="B681" i="23"/>
  <c r="B1728" i="23"/>
  <c r="H1637" i="23"/>
  <c r="B368" i="23"/>
  <c r="A494" i="23"/>
  <c r="B400" i="23"/>
  <c r="E1658" i="23"/>
  <c r="H2602" i="23"/>
  <c r="F807" i="23"/>
  <c r="F332" i="23"/>
  <c r="H1517" i="23"/>
  <c r="G2696" i="23"/>
  <c r="B1993" i="23"/>
  <c r="A899" i="23"/>
  <c r="D2089" i="23"/>
  <c r="G1862" i="23"/>
  <c r="F70" i="23"/>
  <c r="D2204" i="23"/>
  <c r="A344" i="22"/>
  <c r="C19" i="23"/>
  <c r="G2276" i="23"/>
  <c r="F823" i="23"/>
  <c r="C222" i="23"/>
  <c r="G2641" i="23"/>
  <c r="E541" i="23"/>
  <c r="E952" i="23"/>
  <c r="B63" i="23"/>
  <c r="E30" i="22"/>
  <c r="F2109" i="23"/>
  <c r="F135" i="23"/>
  <c r="C1743" i="23"/>
  <c r="E252" i="23"/>
  <c r="E1351" i="23"/>
  <c r="A1050" i="23"/>
  <c r="A1537" i="23"/>
  <c r="H2034" i="23"/>
  <c r="E1317" i="23"/>
  <c r="E502" i="23"/>
  <c r="B597" i="23"/>
  <c r="G1357" i="23"/>
  <c r="H1114" i="23"/>
  <c r="D1360" i="23"/>
  <c r="B2075" i="23"/>
  <c r="G1867" i="23"/>
  <c r="D182" i="22"/>
  <c r="H597" i="23"/>
  <c r="H1267" i="23"/>
  <c r="D732" i="23"/>
  <c r="G2333" i="23"/>
  <c r="C687" i="23"/>
  <c r="B898" i="23"/>
  <c r="F390" i="23"/>
  <c r="F2579" i="23"/>
  <c r="G1914" i="23"/>
  <c r="F1783" i="23"/>
  <c r="F2515" i="23"/>
  <c r="H1942" i="23"/>
  <c r="G361" i="23"/>
  <c r="F2661" i="23"/>
  <c r="G865" i="23"/>
  <c r="C237" i="23"/>
  <c r="F2478" i="23"/>
  <c r="F1503" i="23"/>
  <c r="C1228" i="23"/>
  <c r="A82" i="23"/>
  <c r="G1221" i="23"/>
  <c r="B500" i="23"/>
  <c r="F13" i="22"/>
  <c r="E287" i="23"/>
  <c r="A735" i="23"/>
  <c r="C110" i="22"/>
  <c r="E1281" i="23"/>
  <c r="G752" i="23"/>
  <c r="D454" i="23"/>
  <c r="G1741" i="23"/>
  <c r="C2111" i="23"/>
  <c r="B928" i="23"/>
  <c r="F966" i="23"/>
  <c r="E2013" i="23"/>
  <c r="E194" i="22"/>
  <c r="H1394" i="23"/>
  <c r="C22" i="23"/>
  <c r="H1264" i="23"/>
  <c r="A739" i="23"/>
  <c r="B661" i="23"/>
  <c r="H1393" i="23"/>
  <c r="B1405" i="23"/>
  <c r="E956" i="23"/>
  <c r="C512" i="23"/>
  <c r="E2123" i="23"/>
  <c r="H537" i="23"/>
  <c r="F1138" i="23"/>
  <c r="H2842" i="23"/>
  <c r="A618" i="23"/>
  <c r="A121" i="23"/>
  <c r="C1926" i="23"/>
  <c r="G1011" i="23"/>
  <c r="B1089" i="23"/>
  <c r="G385" i="22"/>
  <c r="A1684" i="23"/>
  <c r="B642" i="23"/>
  <c r="D761" i="23"/>
  <c r="G362" i="23"/>
  <c r="G2005" i="23"/>
  <c r="H1225" i="23"/>
  <c r="C348" i="23"/>
  <c r="G194" i="22"/>
  <c r="C1159" i="23"/>
  <c r="C1938" i="23"/>
  <c r="D298" i="22"/>
  <c r="F2125" i="23"/>
  <c r="E961" i="23"/>
  <c r="H176" i="23"/>
  <c r="F2726" i="23"/>
  <c r="H2620" i="23"/>
  <c r="D2034" i="23"/>
  <c r="G54" i="23"/>
  <c r="E161" i="23"/>
  <c r="C1890" i="23"/>
  <c r="A1589" i="23"/>
  <c r="A32" i="22"/>
  <c r="D1729" i="23"/>
  <c r="D1450" i="23"/>
  <c r="F2656" i="23"/>
  <c r="A454" i="23"/>
  <c r="G2350" i="23"/>
  <c r="E518" i="23"/>
  <c r="D121" i="22"/>
  <c r="C1988" i="23"/>
  <c r="F1414" i="23"/>
  <c r="F2804" i="23"/>
  <c r="A2143" i="23"/>
  <c r="G1855" i="23"/>
  <c r="C1331" i="23"/>
  <c r="E439" i="23"/>
  <c r="D995" i="23"/>
  <c r="D1595" i="23"/>
  <c r="C1704" i="23"/>
  <c r="C224" i="23"/>
  <c r="G778" i="23"/>
  <c r="G2960" i="23"/>
  <c r="G2022" i="23"/>
  <c r="C325" i="22"/>
  <c r="H1007" i="23"/>
  <c r="A1904" i="23"/>
  <c r="F403" i="23"/>
  <c r="H2709" i="23"/>
  <c r="H2812" i="23"/>
  <c r="H2854" i="23"/>
  <c r="A499" i="23"/>
  <c r="G1332" i="23"/>
  <c r="D362" i="23"/>
  <c r="H1192" i="23"/>
  <c r="H2729" i="23"/>
  <c r="F2216" i="23"/>
  <c r="A1737" i="23"/>
  <c r="G1074" i="23"/>
  <c r="E146" i="23"/>
  <c r="C9" i="23"/>
  <c r="H619" i="23"/>
  <c r="C2107" i="23"/>
  <c r="E1055" i="23"/>
  <c r="F731" i="23"/>
  <c r="E984" i="23"/>
  <c r="D1666" i="23"/>
  <c r="B13" i="23"/>
  <c r="A89" i="23"/>
  <c r="A1556" i="23"/>
  <c r="A1707" i="23"/>
  <c r="G2444" i="23"/>
  <c r="D1333" i="23"/>
  <c r="A933" i="23"/>
  <c r="F1803" i="23"/>
  <c r="D493" i="23"/>
  <c r="C1691" i="23"/>
  <c r="E1835" i="23"/>
  <c r="E1474" i="23"/>
  <c r="C1535" i="23"/>
  <c r="H1295" i="23"/>
  <c r="F48" i="22"/>
  <c r="H298" i="23"/>
  <c r="D1084" i="23"/>
  <c r="F216" i="22"/>
  <c r="B1771" i="23"/>
  <c r="C1783" i="23"/>
  <c r="E183" i="22"/>
  <c r="D40" i="23"/>
  <c r="G1689" i="23"/>
  <c r="F1458" i="23"/>
  <c r="B1060" i="23"/>
  <c r="B146" i="22"/>
  <c r="H1351" i="23"/>
  <c r="E1654" i="23"/>
  <c r="F42" i="23"/>
  <c r="C2187" i="23"/>
  <c r="F2910" i="23"/>
  <c r="B1666" i="23"/>
  <c r="H2784" i="23"/>
  <c r="F1095" i="23"/>
  <c r="E1681" i="23"/>
  <c r="D94" i="23"/>
  <c r="C804" i="23"/>
  <c r="A1027" i="23"/>
  <c r="B1334" i="23"/>
  <c r="H2853" i="23"/>
  <c r="E996" i="23"/>
  <c r="G1799" i="23"/>
  <c r="A207" i="22"/>
  <c r="A11" i="22"/>
  <c r="A828" i="23"/>
  <c r="D414" i="23"/>
  <c r="E1478" i="23"/>
  <c r="E1928" i="23"/>
  <c r="A1576" i="23"/>
  <c r="A724" i="23"/>
  <c r="H1176" i="23"/>
  <c r="D507" i="23"/>
  <c r="F496" i="23"/>
  <c r="C1950" i="23"/>
  <c r="H285" i="23"/>
  <c r="C637" i="23"/>
  <c r="C280" i="23"/>
  <c r="G723" i="23"/>
  <c r="H159" i="23"/>
  <c r="B670" i="23"/>
  <c r="G717" i="23"/>
  <c r="D242" i="23"/>
  <c r="H1093" i="23"/>
  <c r="A711" i="23"/>
  <c r="F903" i="23"/>
  <c r="D479" i="23"/>
  <c r="F159" i="22"/>
  <c r="A675" i="23"/>
  <c r="A1714" i="23"/>
  <c r="C1652" i="23"/>
  <c r="A1278" i="23"/>
  <c r="G2900" i="23"/>
  <c r="H1747" i="23"/>
  <c r="G665" i="23"/>
  <c r="D3" i="23"/>
  <c r="D299" i="23"/>
  <c r="A1908" i="23"/>
  <c r="B1267" i="23"/>
  <c r="G2894" i="23"/>
  <c r="H444" i="23"/>
  <c r="H998" i="23"/>
  <c r="E372" i="22"/>
  <c r="C369" i="23"/>
  <c r="A783" i="23"/>
  <c r="F1455" i="23"/>
  <c r="F434" i="23"/>
  <c r="G1485" i="23"/>
  <c r="E1781" i="23"/>
  <c r="H689" i="23"/>
  <c r="G22" i="23"/>
  <c r="D143" i="22"/>
  <c r="F1793" i="23"/>
  <c r="F2695" i="23"/>
  <c r="D368" i="23"/>
  <c r="B865" i="23"/>
  <c r="H184" i="23"/>
  <c r="C1332" i="23"/>
  <c r="E1983" i="23"/>
  <c r="G903" i="23"/>
  <c r="B1140" i="23"/>
  <c r="G327" i="22"/>
  <c r="G2553" i="23"/>
  <c r="G2270" i="23"/>
  <c r="D1140" i="23"/>
  <c r="A1914" i="23"/>
  <c r="G232" i="23"/>
  <c r="H1392" i="23"/>
  <c r="C1216" i="23"/>
  <c r="G2698" i="23"/>
  <c r="G2098" i="23"/>
  <c r="G540" i="23"/>
  <c r="E209" i="23"/>
  <c r="A1159" i="23"/>
  <c r="G1524" i="23"/>
  <c r="E448" i="23"/>
  <c r="C1385" i="23"/>
  <c r="E16" i="22"/>
  <c r="H1600" i="23"/>
  <c r="E2237" i="23"/>
  <c r="E463" i="23"/>
  <c r="F2916" i="23"/>
  <c r="H203" i="23"/>
  <c r="D390" i="23"/>
  <c r="A732" i="23"/>
  <c r="F2438" i="23"/>
  <c r="F1406" i="23"/>
  <c r="E1177" i="23"/>
  <c r="G176" i="23"/>
  <c r="F2519" i="23"/>
  <c r="G2283" i="23"/>
  <c r="G235" i="22"/>
  <c r="A315" i="22"/>
  <c r="F2133" i="23"/>
  <c r="F846" i="23"/>
  <c r="C98" i="22"/>
  <c r="G1002" i="23"/>
  <c r="D266" i="23"/>
  <c r="E121" i="22"/>
  <c r="B1598" i="23"/>
  <c r="H53" i="23"/>
  <c r="C234" i="23"/>
  <c r="B331" i="23"/>
  <c r="A2144" i="23"/>
  <c r="G163" i="23"/>
  <c r="D649" i="23"/>
  <c r="B212" i="22"/>
  <c r="D743" i="23"/>
  <c r="H2276" i="23"/>
  <c r="B1614" i="23"/>
  <c r="H1152" i="23"/>
  <c r="B665" i="23"/>
  <c r="E548" i="23"/>
  <c r="B4" i="23"/>
  <c r="H2586" i="23"/>
  <c r="F2925" i="23"/>
  <c r="G2279" i="23"/>
  <c r="C1031" i="23"/>
  <c r="B721" i="23"/>
  <c r="E995" i="23"/>
  <c r="E1609" i="23"/>
  <c r="E370" i="22"/>
  <c r="E2132" i="23"/>
  <c r="F276" i="23"/>
  <c r="B559" i="23"/>
  <c r="C157" i="22"/>
  <c r="G1720" i="23"/>
  <c r="D1813" i="23"/>
  <c r="E688" i="23"/>
  <c r="G430" i="23"/>
  <c r="G297" i="23"/>
  <c r="D1007" i="23"/>
  <c r="D1005" i="23"/>
  <c r="G2049" i="23"/>
  <c r="G497" i="23"/>
  <c r="G1321" i="23"/>
  <c r="H1431" i="23"/>
  <c r="E423" i="23"/>
  <c r="F306" i="23"/>
  <c r="G2527" i="23"/>
  <c r="C853" i="23"/>
  <c r="G1660" i="23"/>
  <c r="B147" i="23"/>
  <c r="H249" i="23"/>
  <c r="A1355" i="23"/>
  <c r="F427" i="23"/>
  <c r="H131" i="23"/>
  <c r="C840" i="23"/>
  <c r="G2310" i="23"/>
  <c r="D1820" i="23"/>
  <c r="A1312" i="23"/>
  <c r="F398" i="22"/>
  <c r="C2153" i="23"/>
  <c r="G344" i="22"/>
  <c r="H2318" i="23"/>
  <c r="A909" i="23"/>
  <c r="C2205" i="23"/>
  <c r="B1528" i="23"/>
  <c r="D865" i="23"/>
  <c r="H1465" i="23"/>
  <c r="D1436" i="23"/>
  <c r="B1645" i="23"/>
  <c r="H1906" i="23"/>
  <c r="D1922" i="23"/>
  <c r="C897" i="23"/>
  <c r="H96" i="23"/>
  <c r="H484" i="23"/>
  <c r="H2319" i="23"/>
  <c r="A464" i="23"/>
  <c r="H2447" i="23"/>
  <c r="H1762" i="23"/>
  <c r="A998" i="23"/>
  <c r="C1229" i="23"/>
  <c r="G2009" i="23"/>
  <c r="F1374" i="23"/>
  <c r="F2421" i="23"/>
  <c r="C1775" i="23"/>
  <c r="D1153" i="23"/>
  <c r="D1166" i="23"/>
  <c r="E1494" i="23"/>
  <c r="H897" i="23"/>
  <c r="E403" i="22"/>
  <c r="D1551" i="23"/>
  <c r="E110" i="22"/>
  <c r="B215" i="22"/>
  <c r="D344" i="23"/>
  <c r="C252" i="22"/>
  <c r="E2092" i="23"/>
  <c r="F183" i="22"/>
  <c r="E2320" i="23"/>
  <c r="B988" i="23"/>
  <c r="D150" i="22"/>
  <c r="B493" i="23"/>
  <c r="E333" i="22"/>
  <c r="E3" i="22"/>
  <c r="A1264" i="23"/>
  <c r="H1184" i="23"/>
  <c r="H1951" i="23"/>
  <c r="G83" i="23"/>
  <c r="F372" i="22"/>
  <c r="A1033" i="23"/>
  <c r="H951" i="23"/>
  <c r="C190" i="23"/>
  <c r="H92" i="23"/>
  <c r="A370" i="23"/>
  <c r="A1765" i="23"/>
  <c r="H2248" i="23"/>
  <c r="F1845" i="23"/>
  <c r="C1960" i="23"/>
  <c r="E80" i="22"/>
  <c r="E1283" i="23"/>
  <c r="F2592" i="23"/>
  <c r="E260" i="23"/>
  <c r="F1730" i="23"/>
  <c r="H2736" i="23"/>
  <c r="G173" i="22"/>
  <c r="D861" i="23"/>
  <c r="G1746" i="23"/>
  <c r="F1146" i="23"/>
  <c r="E382" i="22"/>
  <c r="F1169" i="23"/>
  <c r="A504" i="23"/>
  <c r="D146" i="22"/>
  <c r="E21" i="23"/>
  <c r="D1010" i="23"/>
  <c r="B1330" i="23"/>
  <c r="H722" i="23"/>
  <c r="F511" i="23"/>
  <c r="C1344" i="23"/>
  <c r="G2713" i="23"/>
  <c r="G711" i="23"/>
  <c r="B1738" i="23"/>
  <c r="G293" i="22"/>
  <c r="B398" i="23"/>
  <c r="C343" i="22"/>
  <c r="A382" i="22"/>
  <c r="G2175" i="23"/>
  <c r="F2826" i="23"/>
  <c r="H2067" i="23"/>
  <c r="H2714" i="23"/>
  <c r="D896" i="23"/>
  <c r="B2222" i="23"/>
  <c r="G1856" i="23"/>
  <c r="E1514" i="23"/>
  <c r="F1735" i="23"/>
  <c r="F1871" i="23"/>
  <c r="D162" i="22"/>
  <c r="G190" i="22"/>
  <c r="B1637" i="23"/>
  <c r="C81" i="23"/>
  <c r="B2306" i="23"/>
  <c r="B1215" i="23"/>
  <c r="A1212" i="23"/>
  <c r="D1260" i="23"/>
  <c r="A950" i="23"/>
  <c r="G100" i="23"/>
  <c r="F89" i="23"/>
  <c r="H728" i="23"/>
  <c r="H1249" i="23"/>
  <c r="H726" i="23"/>
  <c r="D1897" i="23"/>
  <c r="H1918" i="23"/>
  <c r="F130" i="22"/>
  <c r="F2900" i="23"/>
  <c r="B1916" i="23"/>
  <c r="D2264" i="23"/>
  <c r="H825" i="23"/>
  <c r="C165" i="23"/>
  <c r="E1629" i="23"/>
  <c r="G3" i="22"/>
  <c r="B325" i="22"/>
  <c r="G799" i="23"/>
  <c r="G432" i="23"/>
  <c r="F1909" i="23"/>
  <c r="B532" i="23"/>
  <c r="C1695" i="23"/>
  <c r="H2307" i="23"/>
  <c r="A1038" i="23"/>
  <c r="F298" i="22"/>
  <c r="F627" i="23"/>
  <c r="E2278" i="23"/>
  <c r="H76" i="23"/>
  <c r="A1130" i="23"/>
  <c r="F1682" i="23"/>
  <c r="A208" i="23"/>
  <c r="C1575" i="23"/>
  <c r="H1631" i="23"/>
  <c r="A204" i="23"/>
  <c r="E843" i="23"/>
  <c r="F621" i="23"/>
  <c r="C2253" i="23"/>
  <c r="C67" i="23"/>
  <c r="E1993" i="23"/>
  <c r="A251" i="23"/>
  <c r="H542" i="23"/>
  <c r="E695" i="23"/>
  <c r="D2317" i="23"/>
  <c r="G2950" i="23"/>
  <c r="B1705" i="23"/>
  <c r="E633" i="23"/>
  <c r="H61" i="23"/>
  <c r="G288" i="23"/>
  <c r="C1845" i="23"/>
  <c r="C832" i="23"/>
  <c r="A29" i="23"/>
  <c r="H2490" i="23"/>
  <c r="H1880" i="23"/>
  <c r="F190" i="23"/>
  <c r="E28" i="22"/>
  <c r="B2173" i="23"/>
  <c r="G2338" i="23"/>
  <c r="B1030" i="23"/>
  <c r="E2234" i="23"/>
  <c r="E960" i="23"/>
  <c r="A727" i="23"/>
  <c r="D2069" i="23"/>
  <c r="D2196" i="23"/>
  <c r="F304" i="22"/>
  <c r="D1601" i="23"/>
  <c r="C1690" i="23"/>
  <c r="A1158" i="23"/>
  <c r="C1826" i="23"/>
  <c r="F489" i="23"/>
  <c r="G2025" i="23"/>
  <c r="C1600" i="23"/>
  <c r="C484" i="23"/>
  <c r="C657" i="23"/>
  <c r="D1452" i="23"/>
  <c r="G1643" i="23"/>
  <c r="G1008" i="23"/>
  <c r="A1669" i="23"/>
  <c r="C1188" i="23"/>
  <c r="E1860" i="23"/>
  <c r="G160" i="22"/>
  <c r="B1830" i="23"/>
  <c r="A355" i="22"/>
  <c r="C25" i="22"/>
  <c r="H2044" i="23"/>
  <c r="E1971" i="23"/>
  <c r="H228" i="23"/>
  <c r="D2283" i="23"/>
  <c r="G255" i="23"/>
  <c r="A758" i="23"/>
  <c r="C1531" i="23"/>
  <c r="C1168" i="23"/>
  <c r="B457" i="23"/>
  <c r="F418" i="22"/>
  <c r="B474" i="23"/>
  <c r="E971" i="23"/>
  <c r="G1051" i="23"/>
  <c r="F952" i="23"/>
  <c r="E25" i="22"/>
  <c r="G106" i="23"/>
  <c r="A1831" i="23"/>
  <c r="B1788" i="23"/>
  <c r="D49" i="23"/>
  <c r="D2031" i="23"/>
  <c r="B2202" i="23"/>
  <c r="B1800" i="23"/>
  <c r="E151" i="23"/>
  <c r="B2056" i="23"/>
  <c r="F698" i="23"/>
  <c r="D2102" i="23"/>
  <c r="D1697" i="23"/>
  <c r="G2259" i="23"/>
  <c r="B67" i="23"/>
  <c r="D18" i="23"/>
  <c r="H1102" i="23"/>
  <c r="A1072" i="23"/>
  <c r="A772" i="23"/>
  <c r="D1478" i="23"/>
  <c r="A1485" i="23"/>
  <c r="A1618" i="23"/>
  <c r="H588" i="23"/>
  <c r="A1582" i="23"/>
  <c r="C215" i="22"/>
  <c r="B1956" i="23"/>
  <c r="D1357" i="23"/>
  <c r="B2182" i="23"/>
  <c r="E1377" i="23"/>
  <c r="C258" i="23"/>
  <c r="B94" i="22"/>
  <c r="B1518" i="23"/>
  <c r="E303" i="23"/>
  <c r="B134" i="23"/>
  <c r="C281" i="22"/>
  <c r="F2030" i="23"/>
  <c r="G2476" i="23"/>
  <c r="G1651" i="23"/>
  <c r="D626" i="23"/>
  <c r="H98" i="22"/>
  <c r="E1357" i="23"/>
  <c r="C393" i="23"/>
  <c r="F11" i="23"/>
  <c r="A51" i="23"/>
  <c r="A947" i="23"/>
  <c r="H1087" i="23"/>
  <c r="F318" i="22"/>
  <c r="G1594" i="23"/>
  <c r="C61" i="22"/>
  <c r="C1343" i="23"/>
  <c r="E145" i="23"/>
  <c r="G78" i="22"/>
  <c r="F1264" i="23"/>
  <c r="A2319" i="23"/>
  <c r="H1535" i="23"/>
  <c r="F2662" i="23"/>
  <c r="H1432" i="23"/>
  <c r="F2150" i="23"/>
  <c r="G2375" i="23"/>
  <c r="H30" i="23"/>
  <c r="E192" i="23"/>
  <c r="C894" i="23"/>
  <c r="H1128" i="23"/>
  <c r="F1294" i="23"/>
  <c r="B2101" i="23"/>
  <c r="F2852" i="23"/>
  <c r="B266" i="23"/>
  <c r="F928" i="23"/>
  <c r="D123" i="23"/>
  <c r="F2377" i="23"/>
  <c r="G283" i="22"/>
  <c r="G1905" i="23"/>
  <c r="C935" i="23"/>
  <c r="A1263" i="23"/>
  <c r="F2737" i="23"/>
  <c r="H978" i="23"/>
  <c r="G2053" i="23"/>
  <c r="B78" i="22"/>
  <c r="E1052" i="23"/>
  <c r="A2277" i="23"/>
  <c r="D2248" i="23"/>
  <c r="D912" i="23"/>
  <c r="D233" i="23"/>
  <c r="E693" i="23"/>
  <c r="G1813" i="23"/>
  <c r="H1228" i="23"/>
  <c r="E827" i="23"/>
  <c r="H1666" i="23"/>
  <c r="D471" i="23"/>
  <c r="D2150" i="23"/>
  <c r="D1577" i="23"/>
  <c r="B957" i="23"/>
  <c r="D217" i="23"/>
  <c r="H2054" i="23"/>
  <c r="C1706" i="23"/>
  <c r="E2172" i="23"/>
  <c r="D440" i="23"/>
  <c r="A1331" i="23"/>
  <c r="G73" i="22"/>
  <c r="B300" i="22"/>
  <c r="H552" i="23"/>
  <c r="F2790" i="23"/>
  <c r="G351" i="22"/>
  <c r="G389" i="23"/>
  <c r="A1255" i="23"/>
  <c r="B692" i="23"/>
  <c r="F56" i="23"/>
  <c r="H258" i="23"/>
  <c r="A965" i="23"/>
  <c r="C1827" i="23"/>
  <c r="E1419" i="23"/>
  <c r="A203" i="23"/>
  <c r="G2943" i="23"/>
  <c r="F408" i="23"/>
  <c r="C769" i="23"/>
  <c r="E349" i="23"/>
  <c r="A1067" i="23"/>
  <c r="F134" i="23"/>
  <c r="F1971" i="23"/>
  <c r="A1219" i="23"/>
  <c r="C32" i="22"/>
  <c r="G213" i="23"/>
  <c r="A2081" i="23"/>
  <c r="C2000" i="23"/>
  <c r="D211" i="22"/>
  <c r="C2071" i="23"/>
  <c r="E1779" i="23"/>
  <c r="B2016" i="23"/>
  <c r="G950" i="23"/>
  <c r="D262" i="23"/>
  <c r="H193" i="23"/>
  <c r="E411" i="22"/>
  <c r="B1997" i="23"/>
  <c r="H293" i="23"/>
  <c r="B1824" i="23"/>
  <c r="F1526" i="23"/>
  <c r="G1848" i="23"/>
  <c r="E1683" i="23"/>
  <c r="B1049" i="23"/>
  <c r="G2480" i="23"/>
  <c r="D337" i="23"/>
  <c r="C1834" i="23"/>
  <c r="E423" i="22"/>
  <c r="H1107" i="23"/>
  <c r="B1115" i="23"/>
  <c r="H2723" i="23"/>
  <c r="C695" i="23"/>
  <c r="E454" i="23"/>
  <c r="B796" i="23"/>
  <c r="B823" i="23"/>
  <c r="G1569" i="23"/>
  <c r="H809" i="23"/>
  <c r="C38" i="23"/>
  <c r="H1183" i="23"/>
  <c r="G1981" i="23"/>
  <c r="D872" i="23"/>
  <c r="A1054" i="23"/>
  <c r="F373" i="23"/>
  <c r="C818" i="23"/>
  <c r="G1644" i="23"/>
  <c r="B489" i="23"/>
  <c r="H1732" i="23"/>
  <c r="B518" i="23"/>
  <c r="G646" i="23"/>
  <c r="D1563" i="23"/>
  <c r="A1487" i="23"/>
  <c r="F1278" i="23"/>
  <c r="C1698" i="23"/>
  <c r="B1743" i="23"/>
  <c r="B1822" i="23"/>
  <c r="A388" i="23"/>
  <c r="E1778" i="23"/>
  <c r="B2126" i="23"/>
  <c r="F775" i="23"/>
  <c r="D2145" i="23"/>
  <c r="A1444" i="23"/>
  <c r="A1682" i="23"/>
  <c r="F120" i="23"/>
  <c r="E242" i="22"/>
  <c r="G2535" i="23"/>
  <c r="A1111" i="23"/>
  <c r="F1432" i="23"/>
  <c r="B805" i="23"/>
  <c r="F1778" i="23"/>
  <c r="B9" i="23"/>
  <c r="B31" i="23"/>
  <c r="D631" i="23"/>
  <c r="G737" i="23"/>
  <c r="G217" i="23"/>
  <c r="H2347" i="23"/>
  <c r="H2558" i="23"/>
  <c r="B370" i="23"/>
  <c r="G390" i="22"/>
  <c r="E94" i="23"/>
  <c r="E737" i="23"/>
  <c r="E328" i="23"/>
  <c r="F1602" i="23"/>
  <c r="D418" i="23"/>
  <c r="H1971" i="23"/>
  <c r="F1914" i="23"/>
  <c r="F1181" i="23"/>
  <c r="H1551" i="23"/>
  <c r="H1482" i="23"/>
  <c r="C1962" i="23"/>
  <c r="E266" i="23"/>
  <c r="B1103" i="23"/>
  <c r="E871" i="23"/>
  <c r="H1441" i="23"/>
  <c r="H78" i="22"/>
  <c r="A461" i="23"/>
  <c r="D2014" i="23"/>
  <c r="F92" i="22"/>
  <c r="C38" i="22"/>
  <c r="B298" i="22"/>
  <c r="G1438" i="23"/>
  <c r="C1038" i="23"/>
  <c r="B7" i="23"/>
  <c r="H2981" i="23"/>
  <c r="E1165" i="23"/>
  <c r="B25" i="23"/>
  <c r="B231" i="22"/>
  <c r="F249" i="22"/>
  <c r="G931" i="23"/>
  <c r="D823" i="23"/>
  <c r="E2096" i="23"/>
  <c r="D377" i="22"/>
  <c r="G382" i="22"/>
  <c r="D1698" i="23"/>
  <c r="D2006" i="23"/>
  <c r="E823" i="23"/>
  <c r="A1458" i="23"/>
  <c r="G564" i="23"/>
  <c r="F476" i="23"/>
  <c r="A1820" i="23"/>
  <c r="H2773" i="23"/>
  <c r="D1993" i="23"/>
  <c r="B1034" i="23"/>
  <c r="H1973" i="23"/>
  <c r="H1289" i="23"/>
  <c r="C679" i="23"/>
  <c r="F1585" i="23"/>
  <c r="E2135" i="23"/>
  <c r="H915" i="23"/>
  <c r="H2389" i="23"/>
  <c r="D1407" i="23"/>
  <c r="D1544" i="23"/>
  <c r="C333" i="23"/>
  <c r="C457" i="23"/>
  <c r="G329" i="22"/>
  <c r="E1379" i="23"/>
  <c r="B120" i="22"/>
  <c r="A395" i="22"/>
  <c r="E2280" i="23"/>
  <c r="H1926" i="23"/>
  <c r="H2203" i="23"/>
  <c r="H2466" i="23"/>
  <c r="D1777" i="23"/>
  <c r="A1353" i="23"/>
  <c r="C221" i="22"/>
  <c r="D921" i="23"/>
  <c r="G94" i="22"/>
  <c r="F1475" i="23"/>
  <c r="G515" i="23"/>
  <c r="D774" i="23"/>
  <c r="A340" i="22"/>
  <c r="A385" i="22"/>
  <c r="H238" i="23"/>
  <c r="E2195" i="23"/>
  <c r="F2950" i="23"/>
  <c r="F2460" i="23"/>
  <c r="F687" i="23"/>
  <c r="B1855" i="23"/>
  <c r="H2439" i="23"/>
  <c r="E341" i="23"/>
  <c r="H498" i="23"/>
  <c r="A817" i="23"/>
  <c r="A1851" i="23"/>
  <c r="B877" i="23"/>
  <c r="D22" i="23"/>
  <c r="H2320" i="23"/>
  <c r="E107" i="22"/>
  <c r="F386" i="23"/>
  <c r="H1715" i="23"/>
  <c r="H2185" i="23"/>
  <c r="B1111" i="23"/>
  <c r="G2647" i="23"/>
  <c r="G1033" i="23"/>
  <c r="B354" i="23"/>
  <c r="A854" i="23"/>
  <c r="A391" i="23"/>
  <c r="H286" i="23"/>
  <c r="F180" i="23"/>
  <c r="B1964" i="23"/>
  <c r="G272" i="23"/>
  <c r="F129" i="23"/>
  <c r="A1921" i="23"/>
  <c r="B598" i="23"/>
  <c r="B1106" i="23"/>
  <c r="C2188" i="23"/>
  <c r="C1972" i="23"/>
  <c r="B1508" i="23"/>
  <c r="G1146" i="23"/>
  <c r="A1885" i="23"/>
  <c r="G774" i="23"/>
  <c r="B89" i="22"/>
  <c r="D1103" i="23"/>
  <c r="F532" i="23"/>
  <c r="B182" i="22"/>
  <c r="G1009" i="23"/>
  <c r="A1098" i="23"/>
  <c r="F2792" i="23"/>
  <c r="G1475" i="23"/>
  <c r="F1200" i="23"/>
  <c r="C1942" i="23"/>
  <c r="E2038" i="23"/>
  <c r="D1477" i="23"/>
  <c r="H1957" i="23"/>
  <c r="B1141" i="23"/>
  <c r="A1628" i="23"/>
  <c r="E294" i="23"/>
  <c r="B954" i="23"/>
  <c r="C212" i="22"/>
  <c r="H2645" i="23"/>
  <c r="F750" i="23"/>
  <c r="C1689" i="23"/>
  <c r="H190" i="23"/>
  <c r="A409" i="22"/>
  <c r="E205" i="23"/>
  <c r="G2770" i="23"/>
  <c r="H92" i="22"/>
  <c r="G867" i="23"/>
  <c r="B803" i="23"/>
  <c r="C2079" i="23"/>
  <c r="C1726" i="23"/>
  <c r="E1898" i="23"/>
  <c r="G937" i="23"/>
  <c r="D1763" i="23"/>
  <c r="F206" i="23"/>
  <c r="A966" i="23"/>
  <c r="C1570" i="23"/>
  <c r="C589" i="23"/>
  <c r="H2649" i="23"/>
  <c r="F2840" i="23"/>
  <c r="E2140" i="23"/>
  <c r="A714" i="23"/>
  <c r="F2706" i="23"/>
  <c r="B649" i="23"/>
  <c r="B491" i="23"/>
  <c r="A1224" i="23"/>
  <c r="B1465" i="23"/>
  <c r="G2277" i="23"/>
  <c r="D1713" i="23"/>
  <c r="F2360" i="23"/>
  <c r="C205" i="23"/>
  <c r="H1995" i="23"/>
  <c r="E55" i="22"/>
  <c r="G408" i="22"/>
  <c r="B974" i="23"/>
  <c r="D836" i="23"/>
  <c r="E96" i="22"/>
  <c r="C1433" i="23"/>
  <c r="D2282" i="23"/>
  <c r="G1753" i="23"/>
  <c r="B68" i="23"/>
  <c r="H724" i="23"/>
  <c r="C505" i="23"/>
  <c r="F2433" i="23"/>
  <c r="D1395" i="23"/>
  <c r="H2932" i="23"/>
  <c r="C2023" i="23"/>
  <c r="G1964" i="23"/>
  <c r="F1882" i="23"/>
  <c r="G276" i="22"/>
  <c r="E1669" i="23"/>
  <c r="F2297" i="23"/>
  <c r="G4" i="22"/>
  <c r="G61" i="22"/>
  <c r="D1970" i="23"/>
  <c r="B1749" i="23"/>
  <c r="H2150" i="23"/>
  <c r="A54" i="22"/>
  <c r="E387" i="23"/>
  <c r="B1265" i="23"/>
  <c r="A459" i="23"/>
  <c r="F1109" i="23"/>
  <c r="G1171" i="23"/>
  <c r="C100" i="22"/>
  <c r="H2488" i="23"/>
  <c r="B1156" i="23"/>
  <c r="F2734" i="23"/>
  <c r="B92" i="22"/>
  <c r="C752" i="23"/>
  <c r="H2951" i="23"/>
  <c r="C414" i="22"/>
  <c r="A1152" i="23"/>
  <c r="D1094" i="23"/>
  <c r="B186" i="23"/>
  <c r="C394" i="23"/>
  <c r="G6" i="23"/>
  <c r="D340" i="23"/>
  <c r="D290" i="22"/>
  <c r="A2265" i="23"/>
  <c r="C1666" i="23"/>
  <c r="F1961" i="23"/>
  <c r="B1252" i="23"/>
  <c r="D1845" i="23"/>
  <c r="F1896" i="23"/>
  <c r="D715" i="23"/>
  <c r="B31" i="22"/>
  <c r="B1543" i="23"/>
  <c r="C261" i="23"/>
  <c r="C2292" i="23"/>
  <c r="E197" i="23"/>
  <c r="D125" i="22"/>
  <c r="C669" i="23"/>
  <c r="H1737" i="23"/>
  <c r="A2047" i="23"/>
  <c r="H2898" i="23"/>
  <c r="D970" i="23"/>
  <c r="H2972" i="23"/>
  <c r="G369" i="23"/>
  <c r="H2885" i="23"/>
  <c r="B1358" i="23"/>
  <c r="C1796" i="23"/>
  <c r="A1834" i="23"/>
  <c r="G142" i="23"/>
  <c r="E375" i="22"/>
  <c r="D151" i="23"/>
  <c r="E941" i="23"/>
  <c r="D1802" i="23"/>
  <c r="D736" i="23"/>
  <c r="D1874" i="23"/>
  <c r="G2896" i="23"/>
  <c r="A658" i="23"/>
  <c r="B885" i="23"/>
  <c r="C417" i="22"/>
  <c r="B497" i="23"/>
  <c r="F536" i="23"/>
  <c r="H854" i="23"/>
  <c r="E1545" i="23"/>
  <c r="H2196" i="23"/>
  <c r="H1921" i="23"/>
  <c r="A2212" i="23"/>
  <c r="H2623" i="23"/>
  <c r="B172" i="23"/>
  <c r="G2390" i="23"/>
  <c r="E1109" i="23"/>
  <c r="D203" i="23"/>
  <c r="G2524" i="23"/>
  <c r="C2276" i="23"/>
  <c r="C424" i="22"/>
  <c r="H1211" i="23"/>
  <c r="G1577" i="23"/>
  <c r="C1579" i="23"/>
  <c r="A917" i="23"/>
  <c r="F1807" i="23"/>
  <c r="G368" i="22"/>
  <c r="C1739" i="23"/>
  <c r="H2175" i="23"/>
  <c r="E341" i="22"/>
  <c r="G296" i="22"/>
  <c r="G2912" i="23"/>
  <c r="H2399" i="23"/>
  <c r="F2535" i="23"/>
  <c r="A341" i="23"/>
  <c r="C1338" i="23"/>
  <c r="B1288" i="23"/>
  <c r="G2184" i="23"/>
  <c r="F770" i="23"/>
  <c r="G1997" i="23"/>
  <c r="E1605" i="23"/>
  <c r="B1996" i="23"/>
  <c r="D1547" i="23"/>
  <c r="F941" i="23"/>
  <c r="A95" i="22"/>
  <c r="D392" i="23"/>
  <c r="D1944" i="23"/>
  <c r="F69" i="22"/>
  <c r="D293" i="23"/>
  <c r="C246" i="23"/>
  <c r="A1954" i="23"/>
  <c r="G826" i="23"/>
  <c r="A297" i="23"/>
  <c r="F225" i="23"/>
  <c r="E687" i="23"/>
  <c r="D168" i="22"/>
  <c r="B3" i="23"/>
  <c r="C1955" i="23"/>
  <c r="B1246" i="23"/>
  <c r="B2187" i="23"/>
  <c r="F1453" i="23"/>
  <c r="F1358" i="23"/>
  <c r="G2130" i="23"/>
  <c r="E1584" i="23"/>
  <c r="E1053" i="23"/>
  <c r="G1985" i="23"/>
  <c r="G2707" i="23"/>
  <c r="A1848" i="23"/>
  <c r="A1974" i="23"/>
  <c r="H256" i="23"/>
  <c r="D399" i="23"/>
  <c r="H1450" i="23"/>
  <c r="C757" i="23"/>
  <c r="E2243" i="23"/>
  <c r="D2000" i="23"/>
  <c r="G274" i="22"/>
  <c r="F505" i="23"/>
  <c r="H888" i="23"/>
  <c r="E315" i="22"/>
  <c r="H1280" i="23"/>
  <c r="D265" i="23"/>
  <c r="E1744" i="23"/>
  <c r="F2690" i="23"/>
  <c r="E1167" i="23"/>
  <c r="G1060" i="23"/>
  <c r="A1641" i="23"/>
  <c r="H931" i="23"/>
  <c r="F1714" i="23"/>
  <c r="D1004" i="23"/>
  <c r="E9" i="23"/>
  <c r="G2125" i="23"/>
  <c r="G1942" i="23"/>
  <c r="D2242" i="23"/>
  <c r="B322" i="23"/>
  <c r="H804" i="23"/>
  <c r="F1944" i="23"/>
  <c r="D67" i="23"/>
  <c r="C181" i="23"/>
  <c r="D222" i="22"/>
  <c r="D721" i="23"/>
  <c r="D1201" i="23"/>
  <c r="H629" i="23"/>
  <c r="H669" i="23"/>
  <c r="F2530" i="23"/>
  <c r="B2134" i="23"/>
  <c r="B2094" i="23"/>
  <c r="H799" i="23"/>
  <c r="F2010" i="23"/>
  <c r="F451" i="23"/>
  <c r="F1701" i="23"/>
  <c r="C1177" i="23"/>
  <c r="C501" i="23"/>
  <c r="B2042" i="23"/>
  <c r="G1404" i="23"/>
  <c r="A469" i="23"/>
  <c r="B1249" i="23"/>
  <c r="B58" i="22"/>
  <c r="G2264" i="23"/>
  <c r="F89" i="22"/>
  <c r="G1736" i="23"/>
  <c r="A366" i="23"/>
  <c r="G1202" i="23"/>
  <c r="F2959" i="23"/>
  <c r="C140" i="22"/>
  <c r="D1368" i="23"/>
  <c r="D425" i="23"/>
  <c r="A1583" i="23"/>
  <c r="G2593" i="23"/>
  <c r="D1780" i="23"/>
  <c r="G2316" i="23"/>
  <c r="C1371" i="23"/>
  <c r="D15" i="22"/>
  <c r="B319" i="23"/>
  <c r="G165" i="23"/>
  <c r="C1316" i="23"/>
  <c r="A775" i="23"/>
  <c r="F2531" i="23"/>
  <c r="E310" i="23"/>
  <c r="B1170" i="23"/>
  <c r="H1719" i="23"/>
  <c r="A27" i="22"/>
  <c r="B2131" i="23"/>
  <c r="C1953" i="23"/>
  <c r="H1012" i="23"/>
  <c r="C1330" i="23"/>
  <c r="B575" i="23"/>
  <c r="E189" i="23"/>
  <c r="C1562" i="23"/>
  <c r="E1833" i="23"/>
  <c r="H2639" i="23"/>
  <c r="G804" i="23"/>
  <c r="C2027" i="23"/>
  <c r="G384" i="23"/>
  <c r="C2319" i="23"/>
  <c r="B163" i="23"/>
  <c r="F2555" i="23"/>
  <c r="H831" i="23"/>
  <c r="B710" i="23"/>
  <c r="A357" i="23"/>
  <c r="A1970" i="23"/>
  <c r="E1659" i="23"/>
  <c r="F967" i="23"/>
  <c r="G1444" i="23"/>
  <c r="A1611" i="23"/>
  <c r="H1638" i="23"/>
  <c r="G1302" i="23"/>
  <c r="F432" i="23"/>
  <c r="C57" i="22"/>
  <c r="D619" i="23"/>
  <c r="A1525" i="23"/>
  <c r="B526" i="23"/>
  <c r="H1204" i="23"/>
  <c r="B13" i="22"/>
  <c r="G2462" i="23"/>
  <c r="G2889" i="23"/>
  <c r="D347" i="22"/>
  <c r="F2021" i="23"/>
  <c r="G149" i="22"/>
  <c r="H2169" i="23"/>
  <c r="D1503" i="23"/>
  <c r="G2778" i="23"/>
  <c r="D729" i="23"/>
  <c r="G411" i="23"/>
  <c r="G407" i="23"/>
  <c r="B2081" i="23"/>
  <c r="E1531" i="23"/>
  <c r="C2266" i="23"/>
  <c r="F214" i="22"/>
  <c r="E1899" i="23"/>
  <c r="E1314" i="23"/>
  <c r="F192" i="22"/>
  <c r="F2995" i="23"/>
  <c r="E1408" i="23"/>
  <c r="A1480" i="23"/>
  <c r="G880" i="23"/>
  <c r="C307" i="23"/>
  <c r="B315" i="23"/>
  <c r="C606" i="23"/>
  <c r="F2226" i="23"/>
  <c r="B376" i="23"/>
  <c r="H73" i="22"/>
  <c r="H115" i="23"/>
  <c r="C119" i="23"/>
  <c r="B876" i="23"/>
  <c r="H2928" i="23"/>
  <c r="H158" i="23"/>
  <c r="H2002" i="23"/>
  <c r="E56" i="22"/>
  <c r="D223" i="23"/>
  <c r="B1617" i="23"/>
  <c r="E470" i="23"/>
  <c r="H2327" i="23"/>
  <c r="E406" i="22"/>
  <c r="H1946" i="23"/>
  <c r="G2132" i="23"/>
  <c r="C365" i="22"/>
  <c r="G535" i="23"/>
  <c r="H2392" i="23"/>
  <c r="B17" i="23"/>
  <c r="C1566" i="23"/>
  <c r="G480" i="23"/>
  <c r="C159" i="22"/>
  <c r="A2129" i="23"/>
  <c r="G1178" i="23"/>
  <c r="H357" i="23"/>
  <c r="A1211" i="23"/>
  <c r="E1182" i="23"/>
  <c r="H234" i="23"/>
  <c r="G705" i="23"/>
  <c r="F417" i="22"/>
  <c r="F1217" i="23"/>
  <c r="C1544" i="23"/>
  <c r="H2745" i="23"/>
  <c r="C27" i="23"/>
  <c r="C220" i="22"/>
  <c r="B915" i="23"/>
  <c r="G811" i="23"/>
  <c r="H2445" i="23"/>
  <c r="C787" i="23"/>
  <c r="F624" i="23"/>
  <c r="C890" i="23"/>
  <c r="B2163" i="23"/>
  <c r="F781" i="23"/>
  <c r="G1849" i="23"/>
  <c r="E1122" i="23"/>
  <c r="G1096" i="23"/>
  <c r="D543" i="23"/>
  <c r="F1722" i="23"/>
  <c r="B1241" i="23"/>
  <c r="G578" i="23"/>
  <c r="F1232" i="23"/>
  <c r="D992" i="23"/>
  <c r="G1818" i="23"/>
  <c r="B1604" i="23"/>
  <c r="G2326" i="23"/>
  <c r="D164" i="23"/>
  <c r="G1917" i="23"/>
  <c r="D625" i="23"/>
  <c r="A1327" i="23"/>
  <c r="F265" i="22"/>
  <c r="C107" i="23"/>
  <c r="H858" i="23"/>
  <c r="A376" i="22"/>
  <c r="C267" i="22"/>
  <c r="A1674" i="23"/>
  <c r="B1063" i="23"/>
  <c r="H2068" i="23"/>
  <c r="E1262" i="23"/>
  <c r="E142" i="23"/>
  <c r="E112" i="22"/>
  <c r="G579" i="23"/>
  <c r="F1416" i="23"/>
  <c r="H2737" i="23"/>
  <c r="F1118" i="23"/>
  <c r="G1020" i="23"/>
  <c r="D1149" i="23"/>
  <c r="E1599" i="23"/>
  <c r="H2139" i="23"/>
  <c r="C579" i="23"/>
  <c r="B850" i="23"/>
  <c r="B1071" i="23"/>
  <c r="E1958" i="23"/>
  <c r="E2185" i="23"/>
  <c r="E584" i="23"/>
  <c r="F958" i="23"/>
  <c r="F2172" i="23"/>
  <c r="F268" i="23"/>
  <c r="G794" i="23"/>
  <c r="A2159" i="23"/>
  <c r="F193" i="22"/>
  <c r="E1450" i="23"/>
  <c r="D126" i="23"/>
  <c r="A1803" i="23"/>
  <c r="C1863" i="23"/>
  <c r="D131" i="23"/>
  <c r="F1759" i="23"/>
  <c r="C1505" i="23"/>
  <c r="H524" i="23"/>
  <c r="F1543" i="23"/>
  <c r="A1123" i="23"/>
  <c r="B250" i="23"/>
  <c r="B2053" i="23"/>
  <c r="G1636" i="23"/>
  <c r="D1903" i="23"/>
  <c r="G436" i="23"/>
  <c r="A555" i="23"/>
  <c r="A604" i="23"/>
  <c r="H2171" i="23"/>
  <c r="B1221" i="23"/>
  <c r="F118" i="22"/>
  <c r="C877" i="23"/>
  <c r="A1495" i="23"/>
  <c r="D1630" i="23"/>
  <c r="F942" i="23"/>
  <c r="G142" i="22"/>
  <c r="E2080" i="23"/>
  <c r="C144" i="23"/>
  <c r="A2026" i="23"/>
  <c r="B2003" i="23"/>
  <c r="F2977" i="23"/>
  <c r="A2287" i="23"/>
  <c r="G916" i="23"/>
  <c r="E49" i="23"/>
  <c r="G2317" i="23"/>
  <c r="D1018" i="23"/>
  <c r="B636" i="23"/>
  <c r="F353" i="23"/>
  <c r="D1673" i="23"/>
  <c r="B27" i="22"/>
  <c r="H1072" i="23"/>
  <c r="G1331" i="23"/>
  <c r="E913" i="23"/>
  <c r="H2371" i="23"/>
  <c r="A2117" i="23"/>
  <c r="F1026" i="23"/>
  <c r="G53" i="22"/>
  <c r="B1940" i="23"/>
  <c r="F2011" i="23"/>
  <c r="H1486" i="23"/>
  <c r="F252" i="22"/>
  <c r="E97" i="22"/>
  <c r="F1640" i="23"/>
  <c r="D826" i="23"/>
  <c r="B653" i="23"/>
  <c r="C1678" i="23"/>
  <c r="E1828" i="23"/>
  <c r="H922" i="23"/>
  <c r="D2229" i="23"/>
  <c r="A1400" i="23"/>
  <c r="G2689" i="23"/>
  <c r="H955" i="23"/>
  <c r="F1848" i="23"/>
  <c r="A336" i="22"/>
  <c r="H682" i="23"/>
  <c r="H2372" i="23"/>
  <c r="C1370" i="23"/>
  <c r="G2459" i="23"/>
  <c r="B2268" i="23"/>
  <c r="F578" i="23"/>
  <c r="F384" i="22"/>
  <c r="E1075" i="23"/>
  <c r="H182" i="23"/>
  <c r="F2863" i="23"/>
  <c r="E2312" i="23"/>
  <c r="G439" i="23"/>
  <c r="B862" i="23"/>
  <c r="B21" i="22"/>
  <c r="A42" i="22"/>
  <c r="D1087" i="23"/>
  <c r="G846" i="23"/>
  <c r="A2043" i="23"/>
  <c r="B1763" i="23"/>
  <c r="F1959" i="23"/>
  <c r="B1601" i="23"/>
  <c r="G2643" i="23"/>
  <c r="H2834" i="23"/>
  <c r="E90" i="23"/>
  <c r="D1990" i="23"/>
  <c r="D136" i="22"/>
  <c r="F2503" i="23"/>
  <c r="F1021" i="23"/>
  <c r="D284" i="22"/>
  <c r="F2779" i="23"/>
  <c r="E169" i="23"/>
  <c r="C337" i="23"/>
  <c r="G2704" i="23"/>
  <c r="C1949" i="23"/>
  <c r="F352" i="22"/>
  <c r="F1311" i="23"/>
  <c r="D428" i="22"/>
  <c r="H1522" i="23"/>
  <c r="E946" i="23"/>
  <c r="H440" i="23"/>
  <c r="C986" i="23"/>
  <c r="A897" i="23"/>
  <c r="D324" i="22"/>
  <c r="D74" i="22"/>
  <c r="D475" i="23"/>
  <c r="G863" i="23"/>
  <c r="H908" i="23"/>
  <c r="H604" i="23"/>
  <c r="G1769" i="23"/>
  <c r="G2123" i="23"/>
  <c r="B826" i="23"/>
  <c r="B1668" i="23"/>
  <c r="B17" i="22"/>
  <c r="E1324" i="23"/>
  <c r="E67" i="22"/>
  <c r="C1973" i="23"/>
  <c r="F1105" i="23"/>
  <c r="G260" i="23"/>
  <c r="B1242" i="23"/>
  <c r="C2211" i="23"/>
  <c r="B1168" i="23"/>
  <c r="B1681" i="23"/>
  <c r="E914" i="23"/>
  <c r="C1025" i="23"/>
  <c r="B1922" i="23"/>
  <c r="E394" i="23"/>
  <c r="H649" i="23"/>
  <c r="H1474" i="23"/>
  <c r="D2146" i="23"/>
  <c r="A131" i="22"/>
  <c r="D341" i="23"/>
  <c r="H1981" i="23"/>
  <c r="H2933" i="23"/>
  <c r="F1229" i="23"/>
  <c r="A924" i="23"/>
  <c r="G30" i="23"/>
  <c r="H1074" i="23"/>
  <c r="F47" i="23"/>
  <c r="H1360" i="23"/>
  <c r="A832" i="23"/>
  <c r="F2275" i="23"/>
  <c r="C1582" i="23"/>
  <c r="H271" i="23"/>
  <c r="B1057" i="23"/>
  <c r="C87" i="23"/>
  <c r="F2513" i="23"/>
  <c r="A1763" i="23"/>
  <c r="F1981" i="23"/>
  <c r="B385" i="23"/>
  <c r="F2843" i="23"/>
  <c r="A307" i="22"/>
  <c r="B174" i="23"/>
  <c r="A37" i="22"/>
  <c r="B1613" i="23"/>
  <c r="F28" i="22"/>
  <c r="H1911" i="23"/>
  <c r="C1457" i="23"/>
  <c r="E1359" i="23"/>
  <c r="D288" i="22"/>
  <c r="D2262" i="23"/>
  <c r="G1194" i="23"/>
  <c r="B1795" i="23"/>
  <c r="C153" i="23"/>
  <c r="A478" i="23"/>
  <c r="C1882" i="23"/>
  <c r="A64" i="23"/>
  <c r="E279" i="23"/>
  <c r="D2231" i="23"/>
  <c r="C798" i="23"/>
  <c r="C86" i="23"/>
  <c r="G1368" i="23"/>
  <c r="A1937" i="23"/>
  <c r="D835" i="23"/>
  <c r="F1706" i="23"/>
  <c r="D381" i="23"/>
  <c r="D1520" i="23"/>
  <c r="E1827" i="23"/>
  <c r="A123" i="23"/>
  <c r="C122" i="23"/>
  <c r="E1085" i="23"/>
  <c r="E414" i="23"/>
  <c r="A2125" i="23"/>
  <c r="E1714" i="23"/>
  <c r="H866" i="23"/>
  <c r="H2884" i="23"/>
  <c r="B2188" i="23"/>
  <c r="G235" i="23"/>
  <c r="H1024" i="23"/>
  <c r="F1353" i="23"/>
  <c r="H2518" i="23"/>
  <c r="F1788" i="23"/>
  <c r="D685" i="23"/>
  <c r="E2271" i="23"/>
  <c r="C1810" i="23"/>
  <c r="A959" i="23"/>
  <c r="B2171" i="23"/>
  <c r="H2730" i="23"/>
  <c r="G1431" i="23"/>
  <c r="B2021" i="23"/>
  <c r="F744" i="23"/>
  <c r="C2227" i="23"/>
  <c r="F704" i="23"/>
  <c r="F761" i="23"/>
  <c r="E144" i="23"/>
  <c r="D177" i="23"/>
  <c r="A1442" i="23"/>
  <c r="F847" i="23"/>
  <c r="G366" i="23"/>
  <c r="D2130" i="23"/>
  <c r="E339" i="23"/>
  <c r="H592" i="23"/>
  <c r="C54" i="22"/>
  <c r="C1859" i="23"/>
  <c r="H1586" i="23"/>
  <c r="E425" i="23"/>
  <c r="C2217" i="23"/>
  <c r="H386" i="23"/>
  <c r="A1424" i="23"/>
  <c r="F1157" i="23"/>
  <c r="C335" i="23"/>
  <c r="C599" i="23"/>
  <c r="G2536" i="23"/>
  <c r="H2582" i="23"/>
  <c r="B1441" i="23"/>
  <c r="F2923" i="23"/>
  <c r="H2340" i="23"/>
  <c r="B1469" i="23"/>
  <c r="C1328" i="23"/>
  <c r="B46" i="22"/>
  <c r="E1845" i="23"/>
  <c r="B1302" i="23"/>
  <c r="C1577" i="23"/>
  <c r="F1501" i="23"/>
  <c r="B353" i="23"/>
  <c r="D601" i="23"/>
  <c r="H1234" i="23"/>
  <c r="D389" i="23"/>
  <c r="A52" i="23"/>
  <c r="C1300" i="23"/>
  <c r="H2511" i="23"/>
  <c r="B1292" i="23"/>
  <c r="B83" i="22"/>
  <c r="E1558" i="23"/>
  <c r="H764" i="23"/>
  <c r="B1946" i="23"/>
  <c r="C118" i="22"/>
  <c r="G1609" i="23"/>
  <c r="A1617" i="23"/>
  <c r="A1046" i="23"/>
  <c r="D396" i="23"/>
  <c r="B2038" i="23"/>
  <c r="H2967" i="23"/>
  <c r="G1859" i="23"/>
  <c r="C830" i="23"/>
  <c r="A1356" i="23"/>
  <c r="D323" i="23"/>
  <c r="G2722" i="23"/>
  <c r="H464" i="23"/>
  <c r="F2885" i="23"/>
  <c r="H199" i="23"/>
  <c r="E2012" i="23"/>
  <c r="A2289" i="23"/>
  <c r="D178" i="23"/>
  <c r="A2135" i="23"/>
  <c r="E1784" i="23"/>
  <c r="G427" i="22"/>
  <c r="C113" i="23"/>
  <c r="E2048" i="23"/>
  <c r="E632" i="23"/>
  <c r="H1057" i="23"/>
  <c r="G275" i="22"/>
  <c r="H287" i="23"/>
  <c r="D1386" i="23"/>
  <c r="D751" i="23"/>
  <c r="G7" i="22"/>
  <c r="C177" i="22"/>
  <c r="G109" i="22"/>
  <c r="C730" i="23"/>
  <c r="F2222" i="23"/>
  <c r="C1113" i="23"/>
  <c r="E1499" i="23"/>
  <c r="A861" i="23"/>
  <c r="F21" i="23"/>
  <c r="G1234" i="23"/>
  <c r="G1787" i="23"/>
  <c r="A1570" i="23"/>
  <c r="F1912" i="23"/>
  <c r="E1946" i="23"/>
  <c r="E1864" i="23"/>
  <c r="D773" i="23"/>
  <c r="G421" i="22"/>
  <c r="A1297" i="23"/>
  <c r="F1300" i="23"/>
  <c r="B1455" i="23"/>
  <c r="D2005" i="23"/>
  <c r="C26" i="22"/>
  <c r="B239" i="22"/>
  <c r="G1492" i="23"/>
  <c r="G2374" i="23"/>
  <c r="A468" i="23"/>
  <c r="C1021" i="23"/>
  <c r="G533" i="23"/>
  <c r="C102" i="23"/>
  <c r="B729" i="23"/>
  <c r="B82" i="23"/>
  <c r="E598" i="23"/>
  <c r="F2670" i="23"/>
  <c r="D595" i="23"/>
  <c r="A1623" i="23"/>
  <c r="G365" i="22"/>
  <c r="H77" i="23"/>
  <c r="F959" i="23"/>
  <c r="H687" i="23"/>
  <c r="D415" i="22"/>
  <c r="F1086" i="23"/>
  <c r="B239" i="23"/>
  <c r="C1617" i="23"/>
  <c r="A1592" i="23"/>
  <c r="D2255" i="23"/>
  <c r="A581" i="23"/>
  <c r="B1866" i="23"/>
  <c r="A1915" i="23"/>
  <c r="H2993" i="23"/>
  <c r="E904" i="23"/>
  <c r="A1902" i="23"/>
  <c r="F2059" i="23"/>
  <c r="E1306" i="23"/>
  <c r="H1372" i="23"/>
  <c r="A1049" i="23"/>
  <c r="H1173" i="23"/>
  <c r="C16" i="23"/>
  <c r="C650" i="23"/>
  <c r="D1871" i="23"/>
  <c r="C1391" i="23"/>
  <c r="D989" i="23"/>
  <c r="A765" i="23"/>
  <c r="D1522" i="23"/>
  <c r="F223" i="23"/>
  <c r="F2325" i="23"/>
  <c r="G2572" i="23"/>
  <c r="F2492" i="23"/>
  <c r="E1949" i="23"/>
  <c r="B942" i="23"/>
  <c r="F359" i="22"/>
  <c r="H1874" i="23"/>
  <c r="G1725" i="23"/>
  <c r="A90" i="23"/>
  <c r="A1836" i="23"/>
  <c r="H2624" i="23"/>
  <c r="A327" i="22"/>
  <c r="G1593" i="23"/>
  <c r="D1540" i="23"/>
  <c r="D255" i="23"/>
  <c r="F409" i="23"/>
  <c r="G1472" i="23"/>
  <c r="E1253" i="23"/>
  <c r="G2499" i="23"/>
  <c r="C2208" i="23"/>
  <c r="A1505" i="23"/>
  <c r="F292" i="23"/>
  <c r="F2815" i="23"/>
  <c r="B711" i="23"/>
  <c r="B397" i="22"/>
  <c r="G1735" i="23"/>
  <c r="F838" i="23"/>
  <c r="G226" i="23"/>
  <c r="C1875" i="23"/>
  <c r="F1224" i="23"/>
  <c r="H75" i="22"/>
  <c r="B515" i="23"/>
  <c r="G166" i="22"/>
  <c r="B190" i="23"/>
  <c r="F2502" i="23"/>
  <c r="F2600" i="23"/>
  <c r="H1837" i="23"/>
  <c r="C48" i="23"/>
  <c r="C681" i="23"/>
  <c r="H1676" i="23"/>
  <c r="G548" i="23"/>
  <c r="C453" i="23"/>
  <c r="E86" i="22"/>
  <c r="F2859" i="23"/>
  <c r="D1182" i="23"/>
  <c r="B244" i="22"/>
  <c r="D1460" i="23"/>
  <c r="G2223" i="23"/>
  <c r="H422" i="23"/>
  <c r="A1126" i="23"/>
  <c r="G8" i="22"/>
  <c r="B439" i="23"/>
  <c r="B390" i="23"/>
  <c r="C594" i="23"/>
  <c r="D785" i="23"/>
  <c r="E1062" i="23"/>
  <c r="B1991" i="23"/>
  <c r="B2196" i="23"/>
  <c r="E889" i="23"/>
  <c r="D369" i="23"/>
  <c r="C260" i="23"/>
  <c r="G21" i="23"/>
  <c r="A1416" i="23"/>
  <c r="A2092" i="23"/>
  <c r="E1242" i="23"/>
  <c r="G639" i="23"/>
  <c r="D276" i="23"/>
  <c r="G1971" i="23"/>
  <c r="B422" i="22"/>
  <c r="H477" i="23"/>
  <c r="G2629" i="23"/>
  <c r="G1797" i="23"/>
  <c r="E321" i="22"/>
  <c r="H1509" i="23"/>
  <c r="F826" i="23"/>
  <c r="E1825" i="23"/>
  <c r="F315" i="22"/>
  <c r="C396" i="23"/>
  <c r="B1514" i="23"/>
  <c r="A434" i="23"/>
  <c r="E639" i="23"/>
  <c r="H2156" i="23"/>
  <c r="H1053" i="23"/>
  <c r="E1271" i="23"/>
  <c r="E1780" i="23"/>
  <c r="H450" i="23"/>
  <c r="C1880" i="23"/>
  <c r="B1502" i="23"/>
  <c r="C154" i="22"/>
  <c r="F2045" i="23"/>
  <c r="F1673" i="23"/>
  <c r="C1326" i="23"/>
  <c r="G464" i="23"/>
  <c r="G374" i="23"/>
  <c r="E351" i="22"/>
  <c r="F2643" i="23"/>
  <c r="H74" i="23"/>
  <c r="H53" i="22"/>
  <c r="A1616" i="23"/>
  <c r="E965" i="23"/>
  <c r="F284" i="23"/>
  <c r="D1815" i="23"/>
  <c r="F2809" i="23"/>
  <c r="D410" i="23"/>
  <c r="A1171" i="23"/>
  <c r="B346" i="23"/>
  <c r="D1960" i="23"/>
  <c r="B315" i="22"/>
  <c r="E1511" i="23"/>
  <c r="F263" i="23"/>
  <c r="H1549" i="23"/>
  <c r="D877" i="23"/>
  <c r="G1517" i="23"/>
  <c r="D314" i="22"/>
  <c r="F1130" i="23"/>
  <c r="B294" i="23"/>
  <c r="C978" i="23"/>
  <c r="H149" i="23"/>
  <c r="E1633" i="23"/>
  <c r="C204" i="22"/>
  <c r="D790" i="23"/>
  <c r="F72" i="22"/>
  <c r="A76" i="23"/>
  <c r="F2699" i="23"/>
  <c r="A2005" i="23"/>
  <c r="G2962" i="23"/>
  <c r="E2079" i="23"/>
  <c r="G2606" i="23"/>
  <c r="G2600" i="23"/>
  <c r="A1958" i="23"/>
  <c r="D1654" i="23"/>
  <c r="E46" i="22"/>
  <c r="H479" i="23"/>
  <c r="B590" i="23"/>
  <c r="F14" i="22"/>
  <c r="D1579" i="23"/>
  <c r="A993" i="23"/>
  <c r="C1853" i="23"/>
  <c r="F2688" i="23"/>
  <c r="C1322" i="23"/>
  <c r="D147" i="22"/>
  <c r="B249" i="23"/>
  <c r="F283" i="22"/>
  <c r="A647" i="23"/>
  <c r="G1320" i="23"/>
  <c r="G1638" i="23"/>
  <c r="A1266" i="23"/>
  <c r="B16" i="23"/>
  <c r="A427" i="22"/>
  <c r="G2119" i="23"/>
  <c r="A1748" i="23"/>
  <c r="B2097" i="23"/>
  <c r="F2117" i="23"/>
  <c r="F2391" i="23"/>
  <c r="E2042" i="23"/>
  <c r="F1881" i="23"/>
  <c r="E667" i="23"/>
  <c r="F1108" i="23"/>
  <c r="F559" i="23"/>
  <c r="B867" i="23"/>
  <c r="H295" i="23"/>
  <c r="B254" i="23"/>
  <c r="E344" i="22"/>
  <c r="D1949" i="23"/>
  <c r="E1508" i="23"/>
  <c r="B1859" i="23"/>
  <c r="F2197" i="23"/>
  <c r="G2235" i="23"/>
  <c r="A334" i="22"/>
  <c r="F2802" i="23"/>
  <c r="B55" i="22"/>
  <c r="C1121" i="23"/>
  <c r="H97" i="22"/>
  <c r="F246" i="22"/>
  <c r="A304" i="23"/>
  <c r="A1115" i="23"/>
  <c r="H452" i="23"/>
  <c r="E160" i="22"/>
  <c r="H2603" i="23"/>
  <c r="G2199" i="23"/>
  <c r="G266" i="23"/>
  <c r="D1235" i="23"/>
  <c r="G2847" i="23"/>
  <c r="B253" i="23"/>
  <c r="B327" i="23"/>
  <c r="E1865" i="23"/>
  <c r="E1084" i="23"/>
  <c r="E972" i="23"/>
  <c r="H172" i="23"/>
  <c r="F1650" i="23"/>
  <c r="A53" i="23"/>
  <c r="C1700" i="23"/>
  <c r="H2689" i="23"/>
  <c r="C313" i="23"/>
  <c r="A880" i="23"/>
  <c r="F355" i="23"/>
  <c r="C1090" i="23"/>
  <c r="G2533" i="23"/>
  <c r="H549" i="23"/>
  <c r="H365" i="23"/>
  <c r="B544" i="23"/>
  <c r="E154" i="23"/>
  <c r="A1814" i="23"/>
  <c r="H102" i="23"/>
  <c r="H1590" i="23"/>
  <c r="E951" i="23"/>
  <c r="E190" i="22"/>
  <c r="D786" i="23"/>
  <c r="E63" i="22"/>
  <c r="H1770" i="23"/>
  <c r="F1642" i="23"/>
  <c r="B1100" i="23"/>
  <c r="H2308" i="23"/>
  <c r="E313" i="23"/>
  <c r="G1376" i="23"/>
  <c r="B1243" i="23"/>
  <c r="F1775" i="23"/>
  <c r="F224" i="22"/>
  <c r="F423" i="23"/>
  <c r="H481" i="23"/>
  <c r="E2066" i="23"/>
  <c r="G2625" i="23"/>
  <c r="D733" i="23"/>
  <c r="F1821" i="23"/>
  <c r="D355" i="22"/>
  <c r="A1133" i="23"/>
  <c r="F2599" i="23"/>
  <c r="D1426" i="23"/>
  <c r="E20" i="23"/>
  <c r="H997" i="23"/>
  <c r="B1137" i="23"/>
  <c r="A44" i="23"/>
  <c r="C374" i="22"/>
  <c r="G2604" i="23"/>
  <c r="H1283" i="23"/>
  <c r="C992" i="23"/>
  <c r="H875" i="23"/>
  <c r="A1350" i="23"/>
  <c r="D645" i="23"/>
  <c r="A313" i="23"/>
  <c r="H2781" i="23"/>
  <c r="F2354" i="23"/>
  <c r="F278" i="23"/>
  <c r="G1600" i="23"/>
  <c r="A1012" i="23"/>
  <c r="G56" i="23"/>
  <c r="F1129" i="23"/>
  <c r="H2741" i="23"/>
  <c r="H1598" i="23"/>
  <c r="E2275" i="23"/>
  <c r="D827" i="23"/>
  <c r="C2249" i="23"/>
  <c r="A86" i="23"/>
  <c r="E85" i="22"/>
  <c r="H2654" i="23"/>
  <c r="D1597" i="23"/>
  <c r="F2017" i="23"/>
  <c r="H2236" i="23"/>
  <c r="H1660" i="23"/>
  <c r="B428" i="22"/>
  <c r="C361" i="23"/>
  <c r="G2612" i="23"/>
  <c r="E1712" i="23"/>
  <c r="F1513" i="23"/>
  <c r="B978" i="23"/>
  <c r="B410" i="23"/>
  <c r="G2547" i="23"/>
  <c r="C1567" i="23"/>
  <c r="A928" i="23"/>
  <c r="E1606" i="23"/>
  <c r="F2990" i="23"/>
  <c r="E819" i="23"/>
  <c r="A2004" i="23"/>
  <c r="H1870" i="23"/>
  <c r="A539" i="23"/>
  <c r="F951" i="23"/>
  <c r="E2219" i="23"/>
  <c r="E1501" i="23"/>
  <c r="B1591" i="23"/>
  <c r="E1310" i="23"/>
  <c r="D161" i="22"/>
  <c r="D2133" i="23"/>
  <c r="F1699" i="23"/>
  <c r="E953" i="23"/>
  <c r="F2822" i="23"/>
  <c r="G1838" i="23"/>
  <c r="D1258" i="23"/>
  <c r="B394" i="23"/>
  <c r="C2100" i="23"/>
  <c r="C1140" i="23"/>
  <c r="F2352" i="23"/>
  <c r="H985" i="23"/>
  <c r="G2843" i="23"/>
  <c r="C2290" i="23"/>
  <c r="G1622" i="23"/>
  <c r="F1938" i="23"/>
  <c r="F2209" i="23"/>
  <c r="G2762" i="23"/>
  <c r="H2568" i="23"/>
  <c r="G2850" i="23"/>
  <c r="G1166" i="23"/>
  <c r="D713" i="23"/>
  <c r="C345" i="22"/>
  <c r="C561" i="23"/>
  <c r="F749" i="23"/>
  <c r="H572" i="23"/>
  <c r="A784" i="23"/>
  <c r="D653" i="23"/>
  <c r="F2122" i="23"/>
  <c r="C684" i="23"/>
  <c r="E1564" i="23"/>
  <c r="C1692" i="23"/>
  <c r="G1185" i="23"/>
  <c r="F2724" i="23"/>
  <c r="A1560" i="23"/>
  <c r="H1604" i="23"/>
  <c r="H1476" i="23"/>
  <c r="D855" i="23"/>
  <c r="F382" i="23"/>
  <c r="H968" i="23"/>
  <c r="H161" i="23"/>
  <c r="F366" i="23"/>
  <c r="F739" i="23"/>
  <c r="F2912" i="23"/>
  <c r="D1675" i="23"/>
  <c r="C273" i="22"/>
  <c r="F232" i="22"/>
  <c r="A975" i="23"/>
  <c r="A1801" i="23"/>
  <c r="B51" i="23"/>
  <c r="E2220" i="23"/>
  <c r="D53" i="22"/>
  <c r="H2474" i="23"/>
  <c r="C1351" i="23"/>
  <c r="H1859" i="23"/>
  <c r="A1659" i="23"/>
  <c r="B1712" i="23"/>
  <c r="C254" i="22"/>
  <c r="H952" i="23"/>
  <c r="F473" i="23"/>
  <c r="A2148" i="23"/>
  <c r="B811" i="23"/>
  <c r="D238" i="22"/>
  <c r="C1797" i="23"/>
  <c r="F2851" i="23"/>
  <c r="B1812" i="23"/>
  <c r="C1295" i="23"/>
  <c r="H2117" i="23"/>
  <c r="G2981" i="23"/>
  <c r="B134" i="22"/>
  <c r="G1835" i="23"/>
  <c r="G1160" i="23"/>
  <c r="F1244" i="23"/>
  <c r="D965" i="23"/>
  <c r="C1278" i="23"/>
  <c r="C1191" i="23"/>
  <c r="G14" i="22"/>
  <c r="D1466" i="23"/>
  <c r="H178" i="23"/>
  <c r="C59" i="23"/>
  <c r="E901" i="23"/>
  <c r="H270" i="23"/>
  <c r="D1735" i="23"/>
  <c r="C1614" i="23"/>
  <c r="E1770" i="23"/>
  <c r="B1023" i="23"/>
  <c r="G1148" i="23"/>
  <c r="G1158" i="23"/>
  <c r="A1304" i="23"/>
  <c r="A245" i="22"/>
  <c r="G1399" i="23"/>
  <c r="B20" i="23"/>
  <c r="F142" i="22"/>
  <c r="H530" i="23"/>
  <c r="A1759" i="23"/>
  <c r="F2541" i="23"/>
  <c r="G162" i="23"/>
  <c r="A176" i="22"/>
  <c r="F358" i="22"/>
  <c r="C1094" i="23"/>
  <c r="A391" i="22"/>
  <c r="C357" i="23"/>
  <c r="B1719" i="23"/>
  <c r="C791" i="23"/>
  <c r="B1261" i="23"/>
  <c r="A1253" i="23"/>
  <c r="C2169" i="23"/>
  <c r="H2293" i="23"/>
  <c r="A208" i="22"/>
  <c r="B1739" i="23"/>
  <c r="B138" i="23"/>
  <c r="D110" i="22"/>
  <c r="F1474" i="23"/>
  <c r="G766" i="23"/>
  <c r="B129" i="23"/>
  <c r="G2825" i="23"/>
  <c r="A243" i="22"/>
  <c r="A1735" i="23"/>
  <c r="H354" i="23"/>
  <c r="G2292" i="23"/>
  <c r="F275" i="22"/>
  <c r="F2419" i="23"/>
  <c r="D1319" i="23"/>
  <c r="B1534" i="23"/>
  <c r="A147" i="23"/>
  <c r="C969" i="23"/>
  <c r="D973" i="23"/>
  <c r="C449" i="23"/>
  <c r="H1127" i="23"/>
  <c r="B698" i="23"/>
  <c r="B79" i="23"/>
  <c r="D2053" i="23"/>
  <c r="B482" i="23"/>
  <c r="F1320" i="23"/>
  <c r="H882" i="23"/>
  <c r="D8" i="23"/>
  <c r="B191" i="22"/>
  <c r="H1189" i="23"/>
  <c r="A523" i="23"/>
  <c r="E348" i="22"/>
  <c r="C1180" i="23"/>
  <c r="G2411" i="23"/>
  <c r="G291" i="23"/>
  <c r="D2314" i="23"/>
  <c r="A231" i="22"/>
  <c r="G1386" i="23"/>
  <c r="D1935" i="23"/>
  <c r="F1338" i="23"/>
  <c r="G184" i="23"/>
  <c r="H2587" i="23"/>
  <c r="G2155" i="23"/>
  <c r="G393" i="23"/>
  <c r="C1776" i="23"/>
  <c r="D137" i="23"/>
  <c r="F2733" i="23"/>
  <c r="E2296" i="23"/>
  <c r="H2290" i="23"/>
  <c r="H1422" i="23"/>
  <c r="C1744" i="23"/>
  <c r="B1844" i="23"/>
  <c r="G2746" i="23"/>
  <c r="C1174" i="23"/>
  <c r="C1748" i="23"/>
  <c r="C1335" i="23"/>
  <c r="D949" i="23"/>
  <c r="F274" i="23"/>
  <c r="D48" i="23"/>
  <c r="F872" i="23"/>
  <c r="A1665" i="23"/>
  <c r="F1392" i="23"/>
  <c r="F857" i="23"/>
  <c r="C298" i="22"/>
  <c r="E1736" i="23"/>
  <c r="D94" i="22"/>
  <c r="C1720" i="23"/>
  <c r="F2928" i="23"/>
  <c r="D1305" i="23"/>
  <c r="G1075" i="23"/>
  <c r="D438" i="23"/>
  <c r="H2113" i="23"/>
  <c r="D633" i="23"/>
  <c r="C813" i="23"/>
  <c r="H372" i="23"/>
  <c r="B2159" i="23"/>
  <c r="B2225" i="23"/>
  <c r="C2089" i="23"/>
  <c r="G403" i="23"/>
  <c r="C2210" i="23"/>
  <c r="E2102" i="23"/>
  <c r="B1306" i="23"/>
  <c r="A1401" i="23"/>
  <c r="H1340" i="23"/>
  <c r="F66" i="22"/>
  <c r="E1517" i="23"/>
  <c r="G341" i="23"/>
  <c r="B824" i="23"/>
  <c r="D971" i="23"/>
  <c r="B1065" i="23"/>
  <c r="F131" i="23"/>
  <c r="F110" i="22"/>
  <c r="G566" i="23"/>
  <c r="D1488" i="23"/>
  <c r="D1607" i="23"/>
  <c r="C1468" i="23"/>
  <c r="G1648" i="23"/>
  <c r="H1460" i="23"/>
  <c r="F2025" i="23"/>
  <c r="F304" i="23"/>
  <c r="C750" i="23"/>
  <c r="F2153" i="23"/>
  <c r="A1826" i="23"/>
  <c r="B895" i="23"/>
  <c r="H2010" i="23"/>
  <c r="H1780" i="23"/>
  <c r="D858" i="23"/>
  <c r="H1252" i="23"/>
  <c r="G888" i="23"/>
  <c r="H740" i="23"/>
  <c r="A161" i="22"/>
  <c r="H1483" i="23"/>
  <c r="G2360" i="23"/>
  <c r="H270" i="22"/>
  <c r="C6" i="22"/>
  <c r="A2313" i="23"/>
  <c r="D880" i="23"/>
  <c r="G1067" i="23"/>
  <c r="C998" i="23"/>
  <c r="B1889" i="23"/>
  <c r="D1480" i="23"/>
  <c r="H1232" i="23"/>
  <c r="G2686" i="23"/>
  <c r="A1900" i="23"/>
  <c r="D889" i="23"/>
  <c r="H1670" i="23"/>
  <c r="F561" i="23"/>
  <c r="H2683" i="23"/>
  <c r="G2116" i="23"/>
  <c r="H22" i="23"/>
  <c r="C1047" i="23"/>
  <c r="G97" i="22"/>
  <c r="A1474" i="23"/>
  <c r="C1550" i="23"/>
  <c r="C373" i="23"/>
  <c r="E1502" i="23"/>
  <c r="A2032" i="23"/>
  <c r="H1809" i="23"/>
  <c r="A19" i="23"/>
  <c r="E469" i="23"/>
  <c r="C911" i="23"/>
  <c r="C289" i="22"/>
  <c r="G531" i="23"/>
  <c r="B1080" i="23"/>
  <c r="F254" i="23"/>
  <c r="D1961" i="23"/>
  <c r="A139" i="22"/>
  <c r="A1796" i="23"/>
  <c r="C48" i="22"/>
  <c r="B952" i="23"/>
  <c r="D257" i="22"/>
  <c r="H322" i="23"/>
  <c r="B916" i="23"/>
  <c r="H1603" i="23"/>
  <c r="E1881" i="23"/>
  <c r="G980" i="23"/>
  <c r="H596" i="23"/>
  <c r="C1296" i="23"/>
  <c r="E146" i="22"/>
  <c r="C1301" i="23"/>
  <c r="B336" i="22"/>
  <c r="E412" i="23"/>
  <c r="G1851" i="23"/>
  <c r="F710" i="23"/>
  <c r="B2088" i="23"/>
  <c r="A2163" i="23"/>
  <c r="G1947" i="23"/>
  <c r="G1428" i="23"/>
  <c r="C488" i="23"/>
  <c r="G2804" i="23"/>
  <c r="H1378" i="23"/>
  <c r="F160" i="23"/>
  <c r="C1474" i="23"/>
  <c r="E1530" i="23"/>
  <c r="H1566" i="23"/>
  <c r="D851" i="23"/>
  <c r="G2966" i="23"/>
  <c r="B91" i="22"/>
  <c r="G767" i="23"/>
  <c r="F109" i="22"/>
  <c r="G1880" i="23"/>
  <c r="G1282" i="23"/>
  <c r="H2066" i="23"/>
  <c r="F2046" i="23"/>
  <c r="E1724" i="23"/>
  <c r="F145" i="22"/>
  <c r="G550" i="23"/>
  <c r="F1917" i="23"/>
  <c r="D2316" i="23"/>
  <c r="G1514" i="23"/>
  <c r="G2577" i="23"/>
  <c r="H2388" i="23"/>
  <c r="D1314" i="23"/>
  <c r="A1541" i="23"/>
  <c r="D1929" i="23"/>
  <c r="A2126" i="23"/>
  <c r="C1086" i="23"/>
  <c r="A1330" i="23"/>
  <c r="H1455" i="23"/>
  <c r="E2007" i="23"/>
  <c r="F2232" i="23"/>
  <c r="H1363" i="23"/>
  <c r="D571" i="23"/>
  <c r="C525" i="23"/>
  <c r="G210" i="23"/>
  <c r="F754" i="23"/>
  <c r="G2616" i="23"/>
  <c r="B2100" i="23"/>
  <c r="E1678" i="23"/>
  <c r="G10" i="22"/>
  <c r="H2257" i="23"/>
  <c r="E28" i="23"/>
  <c r="H2706" i="23"/>
  <c r="G7" i="23"/>
  <c r="H1518" i="23"/>
  <c r="B2223" i="23"/>
  <c r="C2" i="23"/>
  <c r="C67" i="22"/>
  <c r="H946" i="23"/>
  <c r="D660" i="23"/>
  <c r="D1966" i="23"/>
  <c r="A66" i="23"/>
  <c r="B1751" i="23"/>
  <c r="C2168" i="23"/>
  <c r="H239" i="23"/>
  <c r="F2766" i="23"/>
  <c r="D1987" i="23"/>
  <c r="F2152" i="23"/>
  <c r="H2666" i="23"/>
  <c r="F2814" i="23"/>
  <c r="F289" i="22"/>
  <c r="A692" i="23"/>
  <c r="C1345" i="23"/>
  <c r="F2302" i="23"/>
  <c r="E1879" i="23"/>
  <c r="A979" i="23"/>
  <c r="F1003" i="23"/>
  <c r="A319" i="22"/>
  <c r="B1155" i="23"/>
  <c r="G1560" i="23"/>
  <c r="E434" i="23"/>
  <c r="C855" i="23"/>
  <c r="D1499" i="23"/>
  <c r="F2111" i="23"/>
  <c r="C99" i="23"/>
  <c r="G345" i="23"/>
  <c r="B359" i="23"/>
  <c r="B688" i="23"/>
  <c r="D434" i="23"/>
  <c r="C1781" i="23"/>
  <c r="G146" i="23"/>
  <c r="A1259" i="23"/>
  <c r="A314" i="23"/>
  <c r="G1635" i="23"/>
  <c r="B788" i="23"/>
  <c r="H316" i="23"/>
  <c r="A287" i="23"/>
  <c r="A16" i="23"/>
  <c r="F227" i="22"/>
  <c r="G525" i="23"/>
  <c r="H2642" i="23"/>
  <c r="E69" i="23"/>
  <c r="A713" i="23"/>
  <c r="E1498" i="23"/>
  <c r="G2974" i="23"/>
  <c r="B492" i="23"/>
  <c r="H1695" i="23"/>
  <c r="A1013" i="23"/>
  <c r="F1276" i="23"/>
  <c r="G2336" i="23"/>
  <c r="D61" i="22"/>
  <c r="E1362" i="23"/>
  <c r="B706" i="23"/>
  <c r="B1677" i="23"/>
  <c r="H2513" i="23"/>
  <c r="D1782" i="23"/>
  <c r="H2285" i="23"/>
  <c r="B2235" i="23"/>
  <c r="F347" i="23"/>
  <c r="C762" i="23"/>
  <c r="H2878" i="23"/>
  <c r="C197" i="23"/>
  <c r="F679" i="23"/>
  <c r="C1686" i="23"/>
  <c r="C384" i="22"/>
  <c r="D2125" i="23"/>
  <c r="F1043" i="23"/>
  <c r="H765" i="23"/>
  <c r="C1507" i="23"/>
  <c r="E1627" i="23"/>
  <c r="F1791" i="23"/>
  <c r="F40" i="22"/>
  <c r="E1021" i="23"/>
  <c r="E1086" i="23"/>
  <c r="E126" i="23"/>
  <c r="E1029" i="23"/>
  <c r="B537" i="23"/>
  <c r="D421" i="22"/>
  <c r="H2256" i="23"/>
  <c r="E447" i="23"/>
  <c r="F1122" i="23"/>
  <c r="F1533" i="23"/>
  <c r="A1059" i="23"/>
  <c r="G475" i="23"/>
  <c r="H2762" i="23"/>
  <c r="E612" i="23"/>
  <c r="E2238" i="23"/>
  <c r="B2252" i="23"/>
  <c r="F2154" i="23"/>
  <c r="E2266" i="23"/>
  <c r="F2507" i="23"/>
  <c r="H1764" i="23"/>
  <c r="D1752" i="23"/>
  <c r="G1966" i="23"/>
  <c r="G1916" i="23"/>
  <c r="G526" i="23"/>
  <c r="B977" i="23"/>
  <c r="G1800" i="23"/>
  <c r="E277" i="22"/>
  <c r="A255" i="22"/>
  <c r="H925" i="23"/>
  <c r="E245" i="22"/>
  <c r="E136" i="22"/>
  <c r="G739" i="23"/>
  <c r="C139" i="22"/>
  <c r="E702" i="23"/>
  <c r="F1707" i="23"/>
  <c r="A1708" i="23"/>
  <c r="E323" i="23"/>
  <c r="G1969" i="23"/>
  <c r="D1904" i="23"/>
  <c r="B1906" i="23"/>
  <c r="D130" i="22"/>
  <c r="F562" i="23"/>
  <c r="G1489" i="23"/>
  <c r="D1027" i="23"/>
  <c r="E70" i="23"/>
  <c r="G86" i="22"/>
  <c r="A2199" i="23"/>
  <c r="A543" i="23"/>
  <c r="F2121" i="23"/>
  <c r="E197" i="22"/>
  <c r="A2080" i="23"/>
  <c r="A1213" i="23"/>
  <c r="C1643" i="23"/>
  <c r="F2831" i="23"/>
  <c r="B180" i="22"/>
  <c r="B2117" i="23"/>
  <c r="F2746" i="23"/>
  <c r="C318" i="22"/>
  <c r="G1910" i="23"/>
  <c r="C437" i="23"/>
  <c r="E1532" i="23"/>
  <c r="H2087" i="23"/>
  <c r="G249" i="23"/>
  <c r="F1872" i="23"/>
  <c r="H2759" i="23"/>
  <c r="B2113" i="23"/>
  <c r="C1851" i="23"/>
  <c r="B29" i="23"/>
  <c r="A1929" i="23"/>
  <c r="H2958" i="23"/>
  <c r="E1791" i="23"/>
  <c r="F107" i="23"/>
  <c r="C376" i="23"/>
  <c r="G2582" i="23"/>
  <c r="G294" i="23"/>
  <c r="C2212" i="23"/>
  <c r="G2881" i="23"/>
  <c r="D2122" i="23"/>
  <c r="B718" i="23"/>
  <c r="G84" i="23"/>
  <c r="F204" i="23"/>
  <c r="A1985" i="23"/>
  <c r="F2564" i="23"/>
  <c r="D996" i="23"/>
  <c r="B280" i="22"/>
  <c r="A104" i="22"/>
  <c r="E237" i="23"/>
  <c r="A153" i="23"/>
  <c r="H2105" i="23"/>
  <c r="H321" i="23"/>
  <c r="G2087" i="23"/>
  <c r="F2140" i="23"/>
  <c r="D226" i="22"/>
  <c r="D1075" i="23"/>
  <c r="D1335" i="23"/>
  <c r="C172" i="23"/>
  <c r="H221" i="23"/>
  <c r="A2269" i="23"/>
  <c r="A345" i="23"/>
  <c r="G2221" i="23"/>
  <c r="C905" i="23"/>
  <c r="F791" i="23"/>
  <c r="F1955" i="23"/>
  <c r="G2587" i="23"/>
  <c r="E62" i="22"/>
  <c r="G51" i="23"/>
  <c r="D2260" i="23"/>
  <c r="H1130" i="23"/>
  <c r="F1091" i="23"/>
  <c r="H2216" i="23"/>
  <c r="G391" i="22"/>
  <c r="E1081" i="23"/>
  <c r="C211" i="22"/>
  <c r="C271" i="23"/>
  <c r="H750" i="23"/>
  <c r="D2085" i="23"/>
  <c r="F2604" i="23"/>
  <c r="E1348" i="23"/>
  <c r="B460" i="23"/>
  <c r="C1860" i="23"/>
  <c r="E143" i="23"/>
  <c r="D757" i="23"/>
  <c r="C1293" i="23"/>
  <c r="G1252" i="23"/>
  <c r="A26" i="23"/>
  <c r="D280" i="23"/>
  <c r="B262" i="23"/>
  <c r="A1772" i="23"/>
  <c r="G1285" i="23"/>
  <c r="F554" i="23"/>
  <c r="H1801" i="23"/>
  <c r="C1399" i="23"/>
  <c r="F1574" i="23"/>
  <c r="F140" i="23"/>
  <c r="F311" i="22"/>
  <c r="C299" i="22"/>
  <c r="D2257" i="23"/>
  <c r="A1503" i="23"/>
  <c r="B1864" i="23"/>
  <c r="F703" i="23"/>
  <c r="A264" i="23"/>
  <c r="C2251" i="23"/>
  <c r="C872" i="23"/>
  <c r="G2783" i="23"/>
  <c r="G807" i="23"/>
  <c r="D1858" i="23"/>
  <c r="F185" i="22"/>
  <c r="B660" i="23"/>
  <c r="A1322" i="23"/>
  <c r="E2056" i="23"/>
  <c r="G324" i="23"/>
  <c r="B534" i="23"/>
  <c r="D1025" i="23"/>
  <c r="E607" i="23"/>
  <c r="F2355" i="23"/>
  <c r="E1208" i="23"/>
  <c r="D1934" i="23"/>
  <c r="A407" i="22"/>
  <c r="F2464" i="23"/>
  <c r="B395" i="23"/>
  <c r="A673" i="23"/>
  <c r="G953" i="23"/>
  <c r="C143" i="22"/>
  <c r="A688" i="23"/>
  <c r="H626" i="23"/>
  <c r="C1110" i="23"/>
  <c r="E556" i="23"/>
  <c r="G285" i="22"/>
  <c r="E1710" i="23"/>
  <c r="H2486" i="23"/>
  <c r="H2846" i="23"/>
  <c r="G1013" i="23"/>
  <c r="D1236" i="23"/>
  <c r="E10" i="23"/>
  <c r="C1142" i="23"/>
  <c r="A2037" i="23"/>
  <c r="E334" i="22"/>
  <c r="H1279" i="23"/>
  <c r="B1158" i="23"/>
  <c r="F54" i="22"/>
  <c r="B1036" i="23"/>
  <c r="E1591" i="23"/>
  <c r="E2010" i="23"/>
  <c r="G295" i="23"/>
  <c r="E1722" i="23"/>
  <c r="G2666" i="23"/>
  <c r="E109" i="22"/>
  <c r="C1456" i="23"/>
  <c r="H2278" i="23"/>
  <c r="A92" i="22"/>
  <c r="H2663" i="23"/>
  <c r="H2887" i="23"/>
  <c r="F1613" i="23"/>
  <c r="B1646" i="23"/>
  <c r="E1623" i="23"/>
  <c r="E888" i="23"/>
  <c r="H2965" i="23"/>
  <c r="D395" i="22"/>
  <c r="A2017" i="23"/>
  <c r="G2748" i="23"/>
  <c r="E1176" i="23"/>
  <c r="G324" i="22"/>
  <c r="H2798" i="23"/>
  <c r="F2044" i="23"/>
  <c r="F90" i="23"/>
  <c r="E1343" i="23"/>
  <c r="A1600" i="23"/>
  <c r="H391" i="23"/>
  <c r="D888" i="23"/>
  <c r="E285" i="23"/>
  <c r="C2257" i="23"/>
  <c r="A2007" i="23"/>
  <c r="B3" i="22"/>
  <c r="C2062" i="23"/>
  <c r="E1968" i="23"/>
  <c r="G1254" i="23"/>
  <c r="C2320" i="23"/>
  <c r="D1558" i="23"/>
  <c r="B1910" i="23"/>
  <c r="A2278" i="23"/>
  <c r="H886" i="23"/>
  <c r="E1918" i="23"/>
  <c r="G1936" i="23"/>
  <c r="H2991" i="23"/>
  <c r="E446" i="23"/>
  <c r="D298" i="23"/>
  <c r="E649" i="23"/>
  <c r="F1307" i="23"/>
  <c r="E4" i="22"/>
  <c r="A1439" i="23"/>
  <c r="F1440" i="23"/>
  <c r="C944" i="23"/>
  <c r="F1133" i="23"/>
  <c r="H1602" i="23"/>
  <c r="E435" i="23"/>
  <c r="F213" i="23"/>
  <c r="D193" i="23"/>
  <c r="F1470" i="23"/>
  <c r="G976" i="23"/>
  <c r="H2920" i="23"/>
  <c r="F620" i="23"/>
  <c r="B395" i="22"/>
  <c r="E424" i="23"/>
  <c r="G66" i="23"/>
  <c r="H749" i="23"/>
  <c r="A348" i="23"/>
  <c r="E225" i="23"/>
  <c r="H14" i="22"/>
  <c r="C1427" i="23"/>
  <c r="C820" i="23"/>
  <c r="G399" i="23"/>
  <c r="H873" i="23"/>
  <c r="E1962" i="23"/>
  <c r="C1049" i="23"/>
  <c r="E19" i="23"/>
  <c r="H1390" i="23"/>
  <c r="G1363" i="23"/>
  <c r="G2683" i="23"/>
  <c r="D737" i="23"/>
  <c r="F237" i="23"/>
  <c r="D1189" i="23"/>
  <c r="C1035" i="23"/>
  <c r="G2932" i="23"/>
  <c r="C1420" i="23"/>
  <c r="G92" i="22"/>
  <c r="A2099" i="23"/>
  <c r="A980" i="23"/>
  <c r="B567" i="23"/>
  <c r="H1595" i="23"/>
  <c r="H2455" i="23"/>
  <c r="A2049" i="23"/>
  <c r="A339" i="22"/>
  <c r="G1553" i="23"/>
  <c r="F2594" i="23"/>
  <c r="G1021" i="23"/>
  <c r="E1795" i="23"/>
  <c r="A969" i="23"/>
  <c r="C336" i="23"/>
  <c r="A700" i="23"/>
  <c r="C1846" i="23"/>
  <c r="A1519" i="23"/>
  <c r="H741" i="23"/>
  <c r="G2039" i="23"/>
  <c r="D245" i="23"/>
  <c r="G2588" i="23"/>
  <c r="C1910" i="23"/>
  <c r="B1499" i="23"/>
  <c r="F1456" i="23"/>
  <c r="G1776" i="23"/>
  <c r="B1303" i="23"/>
  <c r="G1464" i="23"/>
  <c r="D385" i="22"/>
  <c r="F887" i="23"/>
  <c r="H1988" i="23"/>
  <c r="G2860" i="23"/>
  <c r="F2079" i="23"/>
  <c r="C1597" i="23"/>
  <c r="H2130" i="23"/>
  <c r="C628" i="23"/>
  <c r="B208" i="23"/>
  <c r="F130" i="23"/>
  <c r="A1677" i="23"/>
  <c r="A302" i="23"/>
  <c r="C223" i="23"/>
  <c r="B107" i="22"/>
  <c r="H62" i="22"/>
  <c r="G2570" i="23"/>
  <c r="H1070" i="23"/>
  <c r="B359" i="22"/>
  <c r="A1258" i="23"/>
  <c r="H2349" i="23"/>
  <c r="F566" i="23"/>
  <c r="A869" i="23"/>
  <c r="G718" i="23"/>
  <c r="H60" i="23"/>
  <c r="F2934" i="23"/>
  <c r="F81" i="22"/>
  <c r="F1808" i="23"/>
  <c r="C1517" i="23"/>
  <c r="E1079" i="23"/>
  <c r="F969" i="23"/>
  <c r="G631" i="23"/>
  <c r="H2184" i="23"/>
  <c r="B552" i="23"/>
  <c r="E551" i="23"/>
  <c r="F1599" i="23"/>
  <c r="B1018" i="23"/>
  <c r="B2293" i="23"/>
  <c r="G2261" i="23"/>
  <c r="H533" i="23"/>
  <c r="G827" i="23"/>
  <c r="A255" i="23"/>
  <c r="C63" i="22"/>
  <c r="G1381" i="23"/>
  <c r="E198" i="23"/>
  <c r="E659" i="23"/>
  <c r="H1124" i="23"/>
  <c r="C749" i="23"/>
  <c r="B1085" i="23"/>
  <c r="E293" i="22"/>
  <c r="B1062" i="23"/>
  <c r="H668" i="23"/>
  <c r="F2167" i="23"/>
  <c r="H1144" i="23"/>
  <c r="G2146" i="23"/>
  <c r="E2253" i="23"/>
  <c r="F1922" i="23"/>
  <c r="A93" i="23"/>
  <c r="D66" i="22"/>
  <c r="C371" i="22"/>
  <c r="D1583" i="23"/>
  <c r="B1966" i="23"/>
  <c r="G135" i="22"/>
  <c r="F1835" i="23"/>
  <c r="E915" i="23"/>
  <c r="E98" i="22"/>
  <c r="A115" i="22"/>
  <c r="F141" i="23"/>
  <c r="D1942" i="23"/>
  <c r="B1921" i="23"/>
  <c r="D1887" i="23"/>
  <c r="A982" i="23"/>
  <c r="G984" i="23"/>
  <c r="G873" i="23"/>
  <c r="F428" i="22"/>
  <c r="G702" i="23"/>
  <c r="G1169" i="23"/>
  <c r="G2574" i="23"/>
  <c r="H2507" i="23"/>
  <c r="G1385" i="23"/>
  <c r="B1212" i="23"/>
  <c r="B2240" i="23"/>
  <c r="F1987" i="23"/>
  <c r="F1817" i="23"/>
  <c r="G91" i="22"/>
  <c r="E110" i="23"/>
  <c r="A505" i="23"/>
  <c r="A2091" i="23"/>
  <c r="C200" i="22"/>
  <c r="C2239" i="23"/>
  <c r="A1688" i="23"/>
  <c r="G1494" i="23"/>
  <c r="B389" i="23"/>
  <c r="D217" i="22"/>
  <c r="A1396" i="23"/>
  <c r="H262" i="23"/>
  <c r="D905" i="23"/>
  <c r="D2239" i="23"/>
  <c r="A83" i="23"/>
  <c r="H2815" i="23"/>
  <c r="D1564" i="23"/>
  <c r="D330" i="23"/>
  <c r="B1813" i="23"/>
  <c r="D152" i="23"/>
  <c r="E253" i="22"/>
  <c r="D629" i="23"/>
  <c r="C1324" i="23"/>
  <c r="D2245" i="23"/>
  <c r="D16" i="22"/>
  <c r="B804" i="23"/>
  <c r="H2523" i="23"/>
  <c r="H1632" i="23"/>
  <c r="F280" i="22"/>
  <c r="E1057" i="23"/>
  <c r="D1267" i="23"/>
  <c r="A1415" i="23"/>
  <c r="H1559" i="23"/>
  <c r="B1572" i="23"/>
  <c r="C450" i="23"/>
  <c r="C987" i="23"/>
  <c r="H60" i="22"/>
  <c r="E714" i="23"/>
  <c r="A3" i="23"/>
  <c r="H1863" i="23"/>
  <c r="F2137" i="23"/>
  <c r="A428" i="23"/>
  <c r="B223" i="22"/>
  <c r="C1162" i="23"/>
  <c r="B87" i="23"/>
  <c r="C61" i="23"/>
  <c r="F2813" i="23"/>
  <c r="E165" i="23"/>
  <c r="E467" i="23"/>
  <c r="C1019" i="23"/>
  <c r="H2045" i="23"/>
  <c r="A1250" i="23"/>
  <c r="C2245" i="23"/>
  <c r="G1823" i="23"/>
  <c r="F1253" i="23"/>
  <c r="G130" i="23"/>
  <c r="E833" i="23"/>
  <c r="G1334" i="23"/>
  <c r="H2142" i="23"/>
  <c r="F4" i="22"/>
  <c r="A2044" i="23"/>
  <c r="B1530" i="23"/>
  <c r="H828" i="23"/>
  <c r="E923" i="23"/>
  <c r="A60" i="23"/>
  <c r="F912" i="23"/>
  <c r="E205" i="22"/>
  <c r="C576" i="23"/>
  <c r="G122" i="22"/>
  <c r="C415" i="23"/>
  <c r="G37" i="23"/>
  <c r="H1055" i="23"/>
  <c r="A2057" i="23"/>
  <c r="G460" i="23"/>
  <c r="B196" i="23"/>
  <c r="D778" i="23"/>
  <c r="D1684" i="23"/>
  <c r="G2042" i="23"/>
  <c r="G2114" i="23"/>
  <c r="A196" i="22"/>
  <c r="A1668" i="23"/>
  <c r="H1080" i="23"/>
  <c r="G2903" i="23"/>
  <c r="G2934" i="23"/>
  <c r="C1059" i="23"/>
  <c r="E860" i="23"/>
  <c r="E1542" i="23"/>
  <c r="B2070" i="23"/>
  <c r="D2045" i="23"/>
  <c r="C188" i="23"/>
  <c r="B1661" i="23"/>
  <c r="F2094" i="23"/>
  <c r="C2215" i="23"/>
  <c r="E1593" i="23"/>
  <c r="D456" i="23"/>
  <c r="C2029" i="23"/>
  <c r="H157" i="23"/>
  <c r="C330" i="22"/>
  <c r="D1052" i="23"/>
  <c r="F31" i="22"/>
  <c r="H177" i="23"/>
  <c r="H847" i="23"/>
  <c r="E532" i="23"/>
  <c r="G1143" i="23"/>
  <c r="B226" i="22"/>
  <c r="B1351" i="23"/>
  <c r="H1788" i="23"/>
  <c r="G380" i="23"/>
  <c r="H446" i="23"/>
  <c r="D104" i="22"/>
  <c r="E379" i="23"/>
  <c r="H495" i="23"/>
  <c r="F2671" i="23"/>
  <c r="C1541" i="23"/>
  <c r="C31" i="23"/>
  <c r="E2186" i="23"/>
  <c r="F248" i="22"/>
  <c r="E293" i="23"/>
  <c r="A1791" i="23"/>
  <c r="A372" i="23"/>
  <c r="B645" i="23"/>
  <c r="B382" i="22"/>
  <c r="F1844" i="23"/>
  <c r="H1823" i="23"/>
  <c r="D1679" i="23"/>
  <c r="B1950" i="23"/>
  <c r="D416" i="23"/>
  <c r="E398" i="22"/>
  <c r="D636" i="23"/>
  <c r="F186" i="22"/>
  <c r="F2369" i="23"/>
  <c r="F571" i="23"/>
  <c r="C705" i="23"/>
  <c r="D650" i="23"/>
  <c r="E1016" i="23"/>
  <c r="A637" i="23"/>
  <c r="H898" i="23"/>
  <c r="A731" i="23"/>
  <c r="D1342" i="23"/>
  <c r="H2528" i="23"/>
  <c r="C1964" i="23"/>
  <c r="B1810" i="23"/>
  <c r="E2209" i="23"/>
  <c r="B378" i="22"/>
  <c r="F2986" i="23"/>
  <c r="D1073" i="23"/>
  <c r="C319" i="22"/>
  <c r="A812" i="23"/>
  <c r="F1256" i="23"/>
  <c r="G2724" i="23"/>
  <c r="H2593" i="23"/>
  <c r="G1873" i="23"/>
  <c r="C686" i="23"/>
  <c r="C83" i="22"/>
  <c r="G977" i="23"/>
  <c r="H1398" i="23"/>
  <c r="B115" i="23"/>
  <c r="C1685" i="23"/>
  <c r="G1030" i="23"/>
  <c r="G1443" i="23"/>
  <c r="C758" i="23"/>
  <c r="B1819" i="23"/>
  <c r="G1374" i="23"/>
  <c r="E2165" i="23"/>
  <c r="H1673" i="23"/>
  <c r="B12" i="23"/>
  <c r="G897" i="23"/>
  <c r="F122" i="23"/>
  <c r="D926" i="23"/>
  <c r="C1261" i="23"/>
  <c r="C1050" i="23"/>
  <c r="C50" i="23"/>
  <c r="A74" i="23"/>
  <c r="H2931" i="23"/>
  <c r="H348" i="23"/>
  <c r="C90" i="22"/>
  <c r="B2139" i="23"/>
  <c r="H2057" i="23"/>
  <c r="A1449" i="23"/>
  <c r="E153" i="23"/>
  <c r="C1850" i="23"/>
  <c r="F2161" i="23"/>
  <c r="C646" i="23"/>
  <c r="A165" i="22"/>
  <c r="G1934" i="23"/>
  <c r="F653" i="23"/>
  <c r="F1125" i="23"/>
  <c r="D898" i="23"/>
  <c r="C1895" i="23"/>
  <c r="B1775" i="23"/>
  <c r="C2302" i="23"/>
  <c r="E1757" i="23"/>
  <c r="B1891" i="23"/>
  <c r="A41" i="23"/>
  <c r="B99" i="22"/>
  <c r="D1872" i="23"/>
  <c r="G583" i="23"/>
  <c r="H1116" i="23"/>
  <c r="F839" i="23"/>
  <c r="G1751" i="23"/>
  <c r="C922" i="23"/>
  <c r="H463" i="23"/>
  <c r="D745" i="23"/>
  <c r="B1442" i="23"/>
  <c r="B1056" i="23"/>
  <c r="F1842" i="23"/>
  <c r="C2072" i="23"/>
  <c r="H515" i="23"/>
  <c r="H233" i="23"/>
  <c r="F2858" i="23"/>
  <c r="B2224" i="23"/>
  <c r="F1302" i="23"/>
  <c r="E259" i="22"/>
  <c r="G329" i="23"/>
  <c r="D246" i="22"/>
  <c r="A1475" i="23"/>
  <c r="B785" i="23"/>
  <c r="D516" i="23"/>
  <c r="D2277" i="23"/>
  <c r="B462" i="23"/>
  <c r="C1334" i="23"/>
  <c r="G1946" i="23"/>
  <c r="D157" i="22"/>
  <c r="A1177" i="23"/>
  <c r="E580" i="23"/>
  <c r="A1944" i="23"/>
  <c r="C1298" i="23"/>
  <c r="C1661" i="23"/>
  <c r="C461" i="23"/>
  <c r="E1748" i="23"/>
  <c r="D974" i="23"/>
  <c r="B918" i="23"/>
  <c r="B394" i="22"/>
  <c r="D1283" i="23"/>
  <c r="D1953" i="23"/>
  <c r="B495" i="23"/>
  <c r="C1843" i="23"/>
  <c r="F1865" i="23"/>
  <c r="D160" i="23"/>
  <c r="H2712" i="23"/>
  <c r="G2185" i="23"/>
  <c r="G2747" i="23"/>
  <c r="C209" i="22"/>
  <c r="H114" i="23"/>
  <c r="C1963" i="23"/>
  <c r="G24" i="23"/>
  <c r="B987" i="23"/>
  <c r="C1548" i="23"/>
  <c r="G781" i="23"/>
  <c r="F1532" i="23"/>
  <c r="F331" i="22"/>
  <c r="B1282" i="23"/>
  <c r="C459" i="23"/>
  <c r="H1303" i="23"/>
  <c r="H2396" i="23"/>
  <c r="H1593" i="23"/>
  <c r="B1817" i="23"/>
  <c r="G2356" i="23"/>
  <c r="D1560" i="23"/>
  <c r="C1147" i="23"/>
  <c r="E356" i="22"/>
  <c r="H2265" i="23"/>
  <c r="D1976" i="23"/>
  <c r="A117" i="22"/>
  <c r="B52" i="23"/>
  <c r="C1337" i="23"/>
  <c r="A1290" i="23"/>
  <c r="G1016" i="23"/>
  <c r="F1357" i="23"/>
  <c r="G2247" i="23"/>
  <c r="B74" i="22"/>
  <c r="C1676" i="23"/>
  <c r="H1313" i="23"/>
  <c r="H1452" i="23"/>
  <c r="A2227" i="23"/>
  <c r="F2399" i="23"/>
  <c r="G261" i="23"/>
  <c r="E2063" i="23"/>
  <c r="D791" i="23"/>
  <c r="A923" i="23"/>
  <c r="H808" i="23"/>
  <c r="E1930" i="23"/>
  <c r="B908" i="23"/>
  <c r="D1895" i="23"/>
  <c r="F657" i="23"/>
  <c r="F2783" i="23"/>
  <c r="H297" i="23"/>
  <c r="F2627" i="23"/>
  <c r="B1421" i="23"/>
  <c r="D1051" i="23"/>
  <c r="C1573" i="23"/>
  <c r="G2071" i="23"/>
  <c r="B724" i="23"/>
  <c r="E1059" i="23"/>
  <c r="F2987" i="23"/>
  <c r="G1532" i="23"/>
  <c r="H675" i="23"/>
  <c r="A58" i="22"/>
  <c r="F1774" i="23"/>
  <c r="D1310" i="23"/>
  <c r="F2211" i="23"/>
  <c r="G380" i="22"/>
  <c r="E647" i="23"/>
  <c r="F1738" i="23"/>
  <c r="B1074" i="23"/>
  <c r="C882" i="23"/>
  <c r="D1747" i="23"/>
  <c r="E592" i="23"/>
  <c r="F2847" i="23"/>
  <c r="G222" i="22"/>
  <c r="G1250" i="23"/>
  <c r="D312" i="22"/>
  <c r="A114" i="22"/>
  <c r="F341" i="23"/>
  <c r="F2547" i="23"/>
  <c r="G902" i="23"/>
  <c r="B868" i="23"/>
  <c r="A46" i="23"/>
  <c r="E1313" i="23"/>
  <c r="B304" i="22"/>
  <c r="D2268" i="23"/>
  <c r="B1622" i="23"/>
  <c r="D652" i="23"/>
  <c r="E2114" i="23"/>
  <c r="B319" i="22"/>
  <c r="F414" i="22"/>
  <c r="F184" i="23"/>
  <c r="A1189" i="23"/>
  <c r="F1637" i="23"/>
  <c r="E1574" i="23"/>
  <c r="F1696" i="23"/>
  <c r="C1791" i="23"/>
  <c r="H1692" i="23"/>
  <c r="E1749" i="23"/>
  <c r="H144" i="23"/>
  <c r="F1874" i="23"/>
  <c r="D45" i="22"/>
  <c r="B442" i="23"/>
  <c r="F1514" i="23"/>
  <c r="G851" i="23"/>
  <c r="E464" i="23"/>
  <c r="A210" i="23"/>
  <c r="D525" i="23"/>
  <c r="F2749" i="23"/>
  <c r="C823" i="23"/>
  <c r="D2128" i="23"/>
  <c r="B1816" i="23"/>
  <c r="A1685" i="23"/>
  <c r="A1020" i="23"/>
  <c r="G1661" i="23"/>
  <c r="D322" i="23"/>
  <c r="D2087" i="23"/>
  <c r="E1405" i="23"/>
  <c r="A2034" i="23"/>
  <c r="E1115" i="23"/>
  <c r="F178" i="22"/>
  <c r="H889" i="23"/>
  <c r="F929" i="23"/>
  <c r="B551" i="23"/>
  <c r="G2293" i="23"/>
  <c r="H2312" i="23"/>
  <c r="H2722" i="23"/>
  <c r="G729" i="23"/>
  <c r="E1481" i="23"/>
  <c r="C1538" i="23"/>
  <c r="H2198" i="23"/>
  <c r="G330" i="22"/>
  <c r="D1612" i="23"/>
  <c r="C2200" i="23"/>
  <c r="E1089" i="23"/>
  <c r="B278" i="23"/>
  <c r="E830" i="23"/>
  <c r="C224" i="22"/>
  <c r="D147" i="23"/>
  <c r="D2214" i="23"/>
  <c r="C583" i="23"/>
  <c r="E1066" i="23"/>
  <c r="H856" i="23"/>
  <c r="E959" i="23"/>
  <c r="H248" i="23"/>
  <c r="A194" i="23"/>
  <c r="F344" i="23"/>
  <c r="D1883" i="23"/>
  <c r="A1804" i="23"/>
  <c r="F674" i="23"/>
  <c r="B1895" i="23"/>
  <c r="E1305" i="23"/>
  <c r="D586" i="23"/>
  <c r="A57" i="23"/>
  <c r="C1495" i="23"/>
  <c r="D555" i="23"/>
  <c r="C737" i="23"/>
  <c r="E968" i="23"/>
  <c r="G1036" i="23"/>
  <c r="G2745" i="23"/>
  <c r="B1480" i="23"/>
  <c r="H2209" i="23"/>
  <c r="D787" i="23"/>
  <c r="D510" i="23"/>
  <c r="E870" i="23"/>
  <c r="G1972" i="23"/>
  <c r="D1109" i="23"/>
  <c r="G2298" i="23"/>
  <c r="G1805" i="23"/>
  <c r="F2913" i="23"/>
  <c r="F49" i="22"/>
  <c r="C92" i="23"/>
  <c r="F2032" i="23"/>
  <c r="C893" i="23"/>
  <c r="D419" i="22"/>
  <c r="F438" i="23"/>
  <c r="G279" i="23"/>
  <c r="G175" i="22"/>
  <c r="D2110" i="23"/>
  <c r="H979" i="23"/>
  <c r="H1198" i="23"/>
  <c r="A958" i="23"/>
  <c r="E2224" i="23"/>
  <c r="D215" i="23"/>
  <c r="F161" i="22"/>
  <c r="B130" i="22"/>
  <c r="D184" i="23"/>
  <c r="D777" i="23"/>
  <c r="A2283" i="23"/>
  <c r="F469" i="23"/>
  <c r="G1430" i="23"/>
  <c r="C1931" i="23"/>
  <c r="G246" i="22"/>
  <c r="C807" i="23"/>
  <c r="F320" i="23"/>
  <c r="G2957" i="23"/>
  <c r="H2472" i="23"/>
  <c r="H962" i="23"/>
  <c r="C1648" i="23"/>
  <c r="E2064" i="23"/>
  <c r="H2600" i="23"/>
  <c r="B178" i="23"/>
  <c r="D80" i="23"/>
  <c r="F197" i="22"/>
  <c r="A38" i="22"/>
  <c r="C1711" i="23"/>
  <c r="G2172" i="23"/>
  <c r="G842" i="23"/>
  <c r="E2265" i="23"/>
  <c r="C869" i="23"/>
  <c r="F1579" i="23"/>
  <c r="B149" i="23"/>
  <c r="A978" i="23"/>
  <c r="F1935" i="23"/>
  <c r="B516" i="23"/>
  <c r="F1063" i="23"/>
  <c r="H2220" i="23"/>
  <c r="G169" i="22"/>
  <c r="H1735" i="23"/>
  <c r="G2320" i="23"/>
  <c r="E1033" i="23"/>
  <c r="B2248" i="23"/>
  <c r="H240" i="23"/>
  <c r="D342" i="23"/>
  <c r="C498" i="23"/>
  <c r="C1493" i="23"/>
  <c r="C106" i="22"/>
  <c r="D1844" i="23"/>
  <c r="F563" i="23"/>
  <c r="H960" i="23"/>
  <c r="E500" i="23"/>
  <c r="C1889" i="23"/>
  <c r="C490" i="23"/>
  <c r="D1100" i="23"/>
  <c r="E1772" i="23"/>
  <c r="D876" i="23"/>
  <c r="B2303" i="23"/>
  <c r="G744" i="23"/>
  <c r="C1232" i="23"/>
  <c r="G1980" i="23"/>
  <c r="F1116" i="23"/>
  <c r="B1599" i="23"/>
  <c r="D188" i="23"/>
  <c r="G1349" i="23"/>
  <c r="E151" i="22"/>
  <c r="B1224" i="23"/>
  <c r="F102" i="22"/>
  <c r="A2175" i="23"/>
  <c r="E779" i="23"/>
  <c r="E123" i="23"/>
  <c r="H251" i="23"/>
  <c r="G1721" i="23"/>
  <c r="A566" i="23"/>
  <c r="A2264" i="23"/>
  <c r="F1746" i="23"/>
  <c r="D360" i="22"/>
  <c r="E409" i="22"/>
  <c r="D558" i="23"/>
  <c r="E933" i="23"/>
  <c r="D545" i="23"/>
  <c r="F309" i="23"/>
  <c r="C1768" i="23"/>
  <c r="G148" i="23"/>
  <c r="H2313" i="23"/>
  <c r="H586" i="23"/>
  <c r="C378" i="22"/>
  <c r="E1503" i="23"/>
  <c r="D1222" i="23"/>
  <c r="A458" i="23"/>
  <c r="A531" i="23"/>
  <c r="F1010" i="23"/>
  <c r="G2875" i="23"/>
  <c r="D1441" i="23"/>
  <c r="D119" i="23"/>
  <c r="C2064" i="23"/>
  <c r="C945" i="23"/>
  <c r="G1398" i="23"/>
  <c r="D1946" i="23"/>
  <c r="F2485" i="23"/>
  <c r="C309" i="23"/>
  <c r="F785" i="23"/>
  <c r="G2717" i="23"/>
  <c r="G401" i="23"/>
  <c r="F244" i="22"/>
  <c r="E1345" i="23"/>
  <c r="E296" i="22"/>
  <c r="F318" i="23"/>
  <c r="A266" i="23"/>
  <c r="H2548" i="23"/>
  <c r="A437" i="23"/>
  <c r="C115" i="22"/>
  <c r="A168" i="23"/>
  <c r="C1271" i="23"/>
  <c r="G1803" i="23"/>
  <c r="E1117" i="23"/>
  <c r="A1558" i="23"/>
  <c r="E1985" i="23"/>
  <c r="E1157" i="23"/>
  <c r="A609" i="23"/>
  <c r="G137" i="23"/>
  <c r="B903" i="23"/>
  <c r="G389" i="22"/>
  <c r="B112" i="23"/>
  <c r="D1642" i="23"/>
  <c r="F350" i="23"/>
  <c r="F149" i="23"/>
  <c r="C96" i="23"/>
  <c r="C732" i="23"/>
  <c r="C702" i="23"/>
  <c r="H1153" i="23"/>
  <c r="A110" i="23"/>
  <c r="H1473" i="23"/>
  <c r="H1745" i="23"/>
  <c r="G1875" i="23"/>
  <c r="B1026" i="23"/>
  <c r="C673" i="23"/>
  <c r="F2828" i="23"/>
  <c r="C167" i="23"/>
  <c r="B205" i="23"/>
  <c r="A1003" i="23"/>
  <c r="G2622" i="23"/>
  <c r="H324" i="23"/>
  <c r="A2305" i="23"/>
  <c r="C372" i="22"/>
  <c r="F2073" i="23"/>
  <c r="A1281" i="23"/>
  <c r="F2212" i="23"/>
  <c r="B121" i="23"/>
  <c r="H301" i="23"/>
  <c r="B1814" i="23"/>
  <c r="G656" i="23"/>
  <c r="H690" i="23"/>
  <c r="E27" i="23"/>
  <c r="G1943" i="23"/>
  <c r="F550" i="23"/>
  <c r="B708" i="23"/>
  <c r="F2967" i="23"/>
  <c r="C139" i="23"/>
  <c r="A1053" i="23"/>
  <c r="E38" i="22"/>
  <c r="G2766" i="23"/>
  <c r="F904" i="23"/>
  <c r="B109" i="22"/>
  <c r="F2196" i="23"/>
  <c r="B1213" i="23"/>
  <c r="H1481" i="23"/>
  <c r="F189" i="22"/>
  <c r="D212" i="22"/>
  <c r="C254" i="23"/>
  <c r="H493" i="23"/>
  <c r="F1678" i="23"/>
  <c r="F984" i="23"/>
  <c r="H1391" i="23"/>
  <c r="E373" i="23"/>
  <c r="E1891" i="23"/>
  <c r="H1263" i="23"/>
  <c r="B1021" i="23"/>
  <c r="F335" i="22"/>
  <c r="F478" i="23"/>
  <c r="D1821" i="23"/>
  <c r="F299" i="23"/>
  <c r="D1973" i="23"/>
  <c r="A2294" i="23"/>
  <c r="C66" i="22"/>
  <c r="G462" i="23"/>
  <c r="G79" i="22"/>
  <c r="G2508" i="23"/>
  <c r="E8" i="22"/>
  <c r="G529" i="23"/>
  <c r="A2116" i="23"/>
  <c r="D466" i="23"/>
  <c r="C1699" i="23"/>
  <c r="C1118" i="23"/>
  <c r="F2805" i="23"/>
  <c r="H1758" i="23"/>
  <c r="G2908" i="23"/>
  <c r="D1986" i="23"/>
  <c r="B1234" i="23"/>
  <c r="G682" i="23"/>
  <c r="B189" i="22"/>
  <c r="B183" i="22"/>
  <c r="C149" i="22"/>
  <c r="D1148" i="23"/>
  <c r="D1559" i="23"/>
  <c r="E1299" i="23"/>
  <c r="E1229" i="23"/>
  <c r="G1323" i="23"/>
  <c r="F371" i="23"/>
  <c r="G488" i="23"/>
  <c r="F2866" i="23"/>
  <c r="F2408" i="23"/>
  <c r="H1512" i="23"/>
  <c r="G2541" i="23"/>
  <c r="E1819" i="23"/>
  <c r="H2630" i="23"/>
  <c r="B2074" i="23"/>
  <c r="E2072" i="23"/>
  <c r="A611" i="23"/>
  <c r="B1426" i="23"/>
  <c r="F2403" i="23"/>
  <c r="C233" i="22"/>
  <c r="C767" i="23"/>
  <c r="F1279" i="23"/>
  <c r="F2996" i="23"/>
  <c r="B1602" i="23"/>
  <c r="A1788" i="23"/>
  <c r="B420" i="23"/>
  <c r="A2233" i="23"/>
  <c r="G2873" i="23"/>
  <c r="A1365" i="23"/>
  <c r="D359" i="22"/>
  <c r="F1635" i="23"/>
  <c r="G949" i="23"/>
  <c r="A2320" i="23"/>
  <c r="A1121" i="23"/>
  <c r="G559" i="23"/>
  <c r="F848" i="23"/>
  <c r="E59" i="22"/>
  <c r="F2720" i="23"/>
  <c r="C1465" i="23"/>
  <c r="D1784" i="23"/>
  <c r="F881" i="23"/>
  <c r="E1587" i="23"/>
  <c r="E340" i="22"/>
  <c r="C562" i="23"/>
  <c r="F2781" i="23"/>
  <c r="H662" i="23"/>
  <c r="B364" i="22"/>
  <c r="D457" i="23"/>
  <c r="C2256" i="23"/>
  <c r="F533" i="23"/>
  <c r="H2291" i="23"/>
  <c r="G268" i="22"/>
  <c r="C1855" i="23"/>
  <c r="D207" i="22"/>
  <c r="E1618" i="23"/>
  <c r="E553" i="23"/>
  <c r="D620" i="23"/>
  <c r="H2039" i="23"/>
  <c r="G1109" i="23"/>
  <c r="B2105" i="23"/>
  <c r="D418" i="22"/>
  <c r="A320" i="22"/>
  <c r="D2223" i="23"/>
  <c r="C427" i="22"/>
  <c r="H2601" i="23"/>
  <c r="G582" i="23"/>
  <c r="C632" i="23"/>
  <c r="B2311" i="23"/>
  <c r="F2516" i="23"/>
  <c r="G80" i="23"/>
  <c r="B2183" i="23"/>
  <c r="D1694" i="23"/>
  <c r="H106" i="23"/>
  <c r="G1860" i="23"/>
  <c r="G1827" i="23"/>
  <c r="F1511" i="23"/>
  <c r="D102" i="22"/>
  <c r="C1098" i="23"/>
  <c r="A497" i="23"/>
  <c r="C1840" i="23"/>
  <c r="B912" i="23"/>
  <c r="E225" i="22"/>
  <c r="E231" i="22"/>
  <c r="C867" i="23"/>
  <c r="F2616" i="23"/>
  <c r="G239" i="23"/>
  <c r="E812" i="23"/>
  <c r="A196" i="23"/>
  <c r="H1936" i="23"/>
  <c r="H2047" i="23"/>
  <c r="A1501" i="23"/>
  <c r="E1296" i="23"/>
  <c r="G98" i="23"/>
  <c r="C1200" i="23"/>
  <c r="E2147" i="23"/>
  <c r="G2054" i="23"/>
  <c r="H603" i="23"/>
  <c r="D1711" i="23"/>
  <c r="B2078" i="23"/>
  <c r="F212" i="23"/>
  <c r="B1411" i="23"/>
  <c r="E1465" i="23"/>
  <c r="E80" i="23"/>
  <c r="A77" i="22"/>
  <c r="A276" i="22"/>
  <c r="B364" i="23"/>
  <c r="D2065" i="23"/>
  <c r="F806" i="23"/>
  <c r="C2035" i="23"/>
  <c r="C1721" i="23"/>
  <c r="F1193" i="23"/>
  <c r="F138" i="22"/>
  <c r="F715" i="23"/>
  <c r="F1413" i="23"/>
  <c r="B475" i="23"/>
  <c r="E620" i="23"/>
  <c r="C2254" i="23"/>
  <c r="B403" i="23"/>
  <c r="E2248" i="23"/>
  <c r="E1915" i="23"/>
  <c r="C1669" i="23"/>
  <c r="C1450" i="23"/>
  <c r="D2189" i="23"/>
  <c r="B252" i="23"/>
  <c r="F1966" i="23"/>
  <c r="G681" i="23"/>
  <c r="H930" i="23"/>
  <c r="G1928" i="23"/>
  <c r="B1028" i="23"/>
  <c r="H1226" i="23"/>
  <c r="F2748" i="23"/>
  <c r="B1804" i="23"/>
  <c r="H2786" i="23"/>
  <c r="F1733" i="23"/>
  <c r="G1418" i="23"/>
  <c r="H404" i="23"/>
  <c r="C623" i="23"/>
  <c r="C1716" i="23"/>
  <c r="G2997" i="23"/>
  <c r="G1663" i="23"/>
  <c r="H2577" i="23"/>
  <c r="G654" i="23"/>
  <c r="E1069" i="23"/>
  <c r="E1250" i="23"/>
  <c r="A2177" i="23"/>
  <c r="G2217" i="23"/>
  <c r="F1537" i="23"/>
  <c r="B2025" i="23"/>
  <c r="D458" i="23"/>
  <c r="C1501" i="23"/>
  <c r="G345" i="22"/>
  <c r="F1373" i="23"/>
  <c r="D143" i="23"/>
  <c r="D818" i="23"/>
  <c r="E171" i="23"/>
  <c r="F1661" i="23"/>
  <c r="C89" i="23"/>
  <c r="C269" i="23"/>
  <c r="A1918" i="23"/>
  <c r="G2968" i="23"/>
  <c r="A605" i="23"/>
  <c r="E212" i="22"/>
  <c r="F772" i="23"/>
  <c r="F265" i="23"/>
  <c r="B1905" i="23"/>
  <c r="G1603" i="23"/>
  <c r="H1020" i="23"/>
  <c r="F2563" i="23"/>
  <c r="B2285" i="23"/>
  <c r="F2227" i="23"/>
  <c r="E1366" i="23"/>
  <c r="G609" i="23"/>
  <c r="E2089" i="23"/>
  <c r="B73" i="22"/>
  <c r="G975" i="23"/>
  <c r="D2037" i="23"/>
  <c r="E1685" i="23"/>
  <c r="F2038" i="23"/>
  <c r="H1255" i="23"/>
  <c r="E907" i="23"/>
  <c r="E930" i="23"/>
  <c r="G1079" i="23"/>
  <c r="E13" i="23"/>
  <c r="H1938" i="23"/>
  <c r="B14" i="22"/>
  <c r="H2444" i="23"/>
  <c r="C1492" i="23"/>
  <c r="C550" i="23"/>
  <c r="G2513" i="23"/>
  <c r="H1135" i="23"/>
  <c r="H278" i="23"/>
  <c r="D1979" i="23"/>
  <c r="F223" i="22"/>
  <c r="C1305" i="23"/>
  <c r="F2012" i="23"/>
  <c r="G1506" i="23"/>
  <c r="G373" i="23"/>
  <c r="F379" i="23"/>
  <c r="A2263" i="23"/>
  <c r="D1638" i="23"/>
  <c r="G864" i="23"/>
  <c r="G1441" i="23"/>
  <c r="F2147" i="23"/>
  <c r="A1889" i="23"/>
  <c r="E1120" i="23"/>
  <c r="A359" i="22"/>
  <c r="G1712" i="23"/>
  <c r="H1137" i="23"/>
  <c r="F349" i="23"/>
  <c r="A159" i="22"/>
  <c r="E93" i="23"/>
  <c r="E1821" i="23"/>
  <c r="G586" i="23"/>
  <c r="D446" i="23"/>
  <c r="G27" i="23"/>
  <c r="F256" i="22"/>
  <c r="D1132" i="23"/>
  <c r="E2203" i="23"/>
  <c r="G2516" i="23"/>
  <c r="A1005" i="23"/>
  <c r="H1848" i="23"/>
  <c r="B815" i="23"/>
  <c r="F2013" i="23"/>
  <c r="F380" i="22"/>
  <c r="D844" i="23"/>
  <c r="E1170" i="23"/>
  <c r="F2301" i="23"/>
  <c r="B1372" i="23"/>
  <c r="G1393" i="23"/>
  <c r="B1033" i="23"/>
  <c r="C1043" i="23"/>
  <c r="B1708" i="23"/>
  <c r="C2303" i="23"/>
  <c r="D57" i="22"/>
  <c r="F164" i="22"/>
  <c r="C194" i="23"/>
  <c r="G2885" i="23"/>
  <c r="B2072" i="23"/>
  <c r="F1831" i="23"/>
  <c r="C947" i="23"/>
  <c r="F97" i="23"/>
  <c r="H2095" i="23"/>
  <c r="G2056" i="23"/>
  <c r="B1150" i="23"/>
  <c r="H1766" i="23"/>
  <c r="A1552" i="23"/>
  <c r="B1006" i="23"/>
  <c r="A1940" i="23"/>
  <c r="A108" i="22"/>
  <c r="F2798" i="23"/>
  <c r="G2753" i="23"/>
  <c r="F1247" i="23"/>
  <c r="G1731" i="23"/>
  <c r="A789" i="23"/>
  <c r="G1174" i="23"/>
  <c r="C756" i="23"/>
  <c r="C256" i="23"/>
  <c r="H1564" i="23"/>
  <c r="E1718" i="23"/>
  <c r="A84" i="23"/>
  <c r="B1952" i="23"/>
  <c r="A942" i="23"/>
  <c r="H1555" i="23"/>
  <c r="F1566" i="23"/>
  <c r="G1272" i="23"/>
  <c r="B793" i="23"/>
  <c r="B1456" i="23"/>
  <c r="E1282" i="23"/>
  <c r="H2959" i="23"/>
  <c r="F1506" i="23"/>
  <c r="G1575" i="23"/>
  <c r="A203" i="22"/>
  <c r="F259" i="22"/>
  <c r="A1835" i="23"/>
  <c r="C1561" i="23"/>
  <c r="E303" i="22"/>
  <c r="D1824" i="23"/>
  <c r="D431" i="23"/>
  <c r="B1095" i="23"/>
  <c r="H2297" i="23"/>
  <c r="B1783" i="23"/>
  <c r="D83" i="23"/>
  <c r="A346" i="22"/>
  <c r="C265" i="23"/>
  <c r="A1614" i="23"/>
  <c r="E1922" i="23"/>
  <c r="H861" i="23"/>
  <c r="E801" i="23"/>
  <c r="B1874" i="23"/>
  <c r="C389" i="22"/>
  <c r="F2316" i="23"/>
  <c r="E2115" i="23"/>
  <c r="B154" i="22"/>
  <c r="A2084" i="23"/>
  <c r="F2214" i="23"/>
  <c r="A277" i="22"/>
  <c r="G1379" i="23"/>
  <c r="B2193" i="23"/>
  <c r="G31" i="22"/>
  <c r="C1934" i="23"/>
  <c r="E526" i="23"/>
  <c r="D1418" i="23"/>
  <c r="F1646" i="23"/>
  <c r="E2282" i="23"/>
  <c r="C2178" i="23"/>
  <c r="E758" i="23"/>
  <c r="B93" i="23"/>
  <c r="A1661" i="23"/>
  <c r="G915" i="23"/>
  <c r="C69" i="23"/>
  <c r="E1732" i="23"/>
  <c r="A2187" i="23"/>
  <c r="G409" i="23"/>
  <c r="G2939" i="23"/>
  <c r="D2190" i="23"/>
  <c r="C931" i="23"/>
  <c r="E290" i="22"/>
  <c r="G2094" i="23"/>
  <c r="C344" i="22"/>
  <c r="H1108" i="23"/>
  <c r="F711" i="23"/>
  <c r="B2219" i="23"/>
  <c r="B853" i="23"/>
  <c r="B940" i="23"/>
  <c r="E1290" i="23"/>
  <c r="F851" i="23"/>
  <c r="H2816" i="23"/>
  <c r="E1169" i="23"/>
  <c r="C846" i="23"/>
  <c r="A1886" i="23"/>
  <c r="F1683" i="23"/>
  <c r="E278" i="23"/>
  <c r="G249" i="22"/>
  <c r="H1513" i="23"/>
  <c r="C1808" i="23"/>
  <c r="G16" i="23"/>
  <c r="F398" i="23"/>
  <c r="C56" i="22"/>
  <c r="F79" i="23"/>
  <c r="A575" i="23"/>
  <c r="G2006" i="23"/>
  <c r="G652" i="23"/>
  <c r="G1380" i="23"/>
  <c r="F2648" i="23"/>
  <c r="B774" i="23"/>
  <c r="H2435" i="23"/>
  <c r="G1902" i="23"/>
  <c r="H1205" i="23"/>
  <c r="G1383" i="23"/>
  <c r="H1521" i="23"/>
  <c r="C129" i="23"/>
  <c r="D1431" i="23"/>
  <c r="A1987" i="23"/>
  <c r="H2635" i="23"/>
  <c r="D1727" i="23"/>
  <c r="G516" i="23"/>
  <c r="G2534" i="23"/>
  <c r="G168" i="23"/>
  <c r="G465" i="23"/>
  <c r="C712" i="23"/>
  <c r="E1460" i="23"/>
  <c r="B52" i="22"/>
  <c r="G13" i="22"/>
  <c r="E1199" i="23"/>
  <c r="G1767" i="23"/>
  <c r="B1451" i="23"/>
  <c r="C2281" i="23"/>
  <c r="H2611" i="23"/>
  <c r="A43" i="23"/>
  <c r="C428" i="22"/>
  <c r="H544" i="23"/>
  <c r="E1866" i="23"/>
  <c r="G1682" i="23"/>
  <c r="C140" i="23"/>
  <c r="E152" i="23"/>
  <c r="F957" i="23"/>
  <c r="F364" i="22"/>
  <c r="G2988" i="23"/>
  <c r="E1152" i="23"/>
  <c r="G3001" i="23"/>
  <c r="E1354" i="23"/>
  <c r="C1916" i="23"/>
  <c r="F2436" i="23"/>
  <c r="F1069" i="23"/>
  <c r="H2973" i="23"/>
  <c r="H651" i="23"/>
  <c r="F1272" i="23"/>
  <c r="A426" i="22"/>
  <c r="D549" i="23"/>
  <c r="H2419" i="23"/>
  <c r="G1296" i="23"/>
  <c r="F2033" i="23"/>
  <c r="B254" i="22"/>
  <c r="D930" i="23"/>
  <c r="G644" i="23"/>
  <c r="D1006" i="23"/>
  <c r="G277" i="23"/>
  <c r="H22" i="22"/>
  <c r="E87" i="23"/>
  <c r="D1325" i="23"/>
  <c r="B1958" i="23"/>
  <c r="C1884" i="23"/>
  <c r="H914" i="23"/>
  <c r="G1537" i="23"/>
  <c r="H762" i="23"/>
  <c r="B1500" i="23"/>
  <c r="D1298" i="23"/>
  <c r="H141" i="23"/>
  <c r="F2026" i="23"/>
  <c r="D1176" i="23"/>
  <c r="D1529" i="23"/>
  <c r="G1511" i="23"/>
  <c r="H49" i="22"/>
  <c r="E1750" i="23"/>
  <c r="B1305" i="23"/>
  <c r="H104" i="23"/>
  <c r="E905" i="23"/>
  <c r="E32" i="23"/>
  <c r="B1870" i="23"/>
  <c r="A225" i="23"/>
  <c r="D1682" i="23"/>
  <c r="G244" i="23"/>
  <c r="F2735" i="23"/>
  <c r="C916" i="23"/>
  <c r="B1090" i="23"/>
  <c r="G2868" i="23"/>
  <c r="E129" i="22"/>
  <c r="G1408" i="23"/>
  <c r="B934" i="23"/>
  <c r="B263" i="22"/>
  <c r="D1264" i="23"/>
  <c r="G15" i="23"/>
  <c r="A148" i="22"/>
  <c r="A685" i="23"/>
  <c r="B963" i="23"/>
  <c r="H1850" i="23"/>
  <c r="C111" i="23"/>
  <c r="A1282" i="23"/>
  <c r="E2222" i="23"/>
  <c r="D1316" i="23"/>
  <c r="C105" i="22"/>
  <c r="H2346" i="23"/>
  <c r="G1226" i="23"/>
  <c r="A20" i="23"/>
  <c r="G1500" i="23"/>
  <c r="H1972" i="23"/>
  <c r="C618" i="23"/>
  <c r="D1196" i="23"/>
  <c r="B1050" i="23"/>
  <c r="C24" i="22"/>
  <c r="C887" i="23"/>
  <c r="G433" i="23"/>
  <c r="F293" i="23"/>
  <c r="F2509" i="23"/>
  <c r="E1987" i="23"/>
  <c r="B1873" i="23"/>
  <c r="B1990" i="23"/>
  <c r="B890" i="23"/>
  <c r="F2707" i="23"/>
  <c r="H661" i="23"/>
  <c r="G763" i="23"/>
  <c r="A2291" i="23"/>
  <c r="E1576" i="23"/>
  <c r="B639" i="23"/>
  <c r="B229" i="23"/>
  <c r="B6" i="23"/>
  <c r="D211" i="23"/>
  <c r="D420" i="22"/>
  <c r="C2193" i="23"/>
  <c r="A317" i="22"/>
  <c r="D1967" i="23"/>
  <c r="B2292" i="23"/>
  <c r="B1135" i="23"/>
  <c r="G270" i="23"/>
  <c r="F2574" i="23"/>
  <c r="F2225" i="23"/>
  <c r="F956" i="23"/>
  <c r="H68" i="23"/>
  <c r="C1770" i="23"/>
  <c r="G1216" i="23"/>
  <c r="G1810" i="23"/>
  <c r="G348" i="22"/>
  <c r="E1054" i="23"/>
  <c r="F7" i="23"/>
  <c r="F12" i="23"/>
  <c r="B2080" i="23"/>
  <c r="E98" i="23"/>
  <c r="E389" i="22"/>
  <c r="D175" i="22"/>
  <c r="H51" i="22"/>
  <c r="C1623" i="23"/>
  <c r="B887" i="23"/>
  <c r="C2297" i="23"/>
  <c r="A768" i="23"/>
  <c r="G755" i="23"/>
  <c r="D41" i="22"/>
  <c r="E274" i="22"/>
  <c r="H476" i="23"/>
  <c r="F1421" i="23"/>
  <c r="C2043" i="23"/>
  <c r="F1158" i="23"/>
  <c r="B1506" i="23"/>
  <c r="D1650" i="23"/>
  <c r="C147" i="23"/>
  <c r="C144" i="22"/>
  <c r="G101" i="23"/>
  <c r="E1561" i="23"/>
  <c r="C1020" i="23"/>
  <c r="B696" i="23"/>
  <c r="B247" i="22"/>
  <c r="E1130" i="23"/>
  <c r="G5" i="22"/>
  <c r="H2698" i="23"/>
  <c r="G1669" i="23"/>
  <c r="H1967" i="23"/>
  <c r="H2033" i="23"/>
  <c r="B1529" i="23"/>
  <c r="G179" i="23"/>
  <c r="H1755" i="23"/>
  <c r="A1574" i="23"/>
  <c r="E1883" i="23"/>
  <c r="D1290" i="23"/>
  <c r="A329" i="22"/>
  <c r="A496" i="23"/>
  <c r="H358" i="23"/>
  <c r="H2703" i="23"/>
  <c r="B717" i="23"/>
  <c r="C2078" i="23"/>
  <c r="A977" i="23"/>
  <c r="E1155" i="23"/>
  <c r="B1811" i="23"/>
  <c r="G248" i="22"/>
  <c r="F111" i="23"/>
  <c r="D1677" i="23"/>
  <c r="A258" i="23"/>
  <c r="C1413" i="23"/>
  <c r="G1913" i="23"/>
  <c r="H2211" i="23"/>
  <c r="A907" i="23"/>
  <c r="G1191" i="23"/>
  <c r="H1174" i="23"/>
  <c r="D328" i="23"/>
  <c r="F305" i="22"/>
  <c r="G406" i="23"/>
  <c r="E386" i="22"/>
  <c r="B173" i="23"/>
  <c r="A329" i="23"/>
  <c r="B340" i="22"/>
  <c r="C112" i="22"/>
  <c r="H1101" i="23"/>
  <c r="D1958" i="23"/>
  <c r="F68" i="22"/>
  <c r="D16" i="23"/>
  <c r="B1218" i="23"/>
  <c r="H2766" i="23"/>
  <c r="E279" i="22"/>
  <c r="A152" i="23"/>
  <c r="B268" i="22"/>
  <c r="H10" i="23"/>
  <c r="A230" i="22"/>
  <c r="F1700" i="23"/>
  <c r="E2015" i="23"/>
  <c r="H815" i="23"/>
  <c r="F1487" i="23"/>
  <c r="B437" i="23"/>
  <c r="D101" i="23"/>
  <c r="C150" i="22"/>
  <c r="A1573" i="23"/>
  <c r="G155" i="22"/>
  <c r="B2176" i="23"/>
  <c r="H156" i="23"/>
  <c r="G2812" i="23"/>
  <c r="F1860" i="23"/>
  <c r="H624" i="23"/>
  <c r="G308" i="23"/>
  <c r="D495" i="23"/>
  <c r="G219" i="22"/>
  <c r="G1308" i="23"/>
  <c r="E1580" i="23"/>
  <c r="C1929" i="23"/>
  <c r="F1958" i="23"/>
  <c r="C582" i="23"/>
  <c r="C494" i="23"/>
  <c r="E2270" i="23"/>
  <c r="D1356" i="23"/>
  <c r="H2301" i="23"/>
  <c r="F898" i="23"/>
  <c r="C267" i="23"/>
  <c r="H2084" i="23"/>
  <c r="G386" i="22"/>
  <c r="A350" i="23"/>
  <c r="G242" i="23"/>
  <c r="G777" i="23"/>
  <c r="A2236" i="23"/>
  <c r="C2120" i="23"/>
  <c r="G99" i="23"/>
  <c r="G424" i="22"/>
  <c r="F1047" i="23"/>
  <c r="A1569" i="23"/>
  <c r="E1397" i="23"/>
  <c r="D282" i="22"/>
  <c r="F2440" i="23"/>
  <c r="E299" i="22"/>
  <c r="G2879" i="23"/>
  <c r="H2625" i="23"/>
  <c r="E711" i="23"/>
  <c r="G1695" i="23"/>
  <c r="F1395" i="23"/>
  <c r="F2756" i="23"/>
  <c r="G1526" i="23"/>
  <c r="D663" i="23"/>
  <c r="A250" i="22"/>
  <c r="D232" i="23"/>
  <c r="F393" i="22"/>
  <c r="C2223" i="23"/>
  <c r="C1176" i="23"/>
  <c r="A2058" i="23"/>
  <c r="E842" i="23"/>
  <c r="C226" i="22"/>
  <c r="E877" i="23"/>
  <c r="B682" i="23"/>
  <c r="F1144" i="23"/>
  <c r="E92" i="23"/>
  <c r="C667" i="23"/>
  <c r="H2718" i="23"/>
  <c r="D1681" i="23"/>
  <c r="D1031" i="23"/>
  <c r="E111" i="22"/>
  <c r="G3" i="23"/>
  <c r="D100" i="22"/>
  <c r="C400" i="23"/>
  <c r="A530" i="23"/>
  <c r="C1956" i="23"/>
  <c r="C1421" i="23"/>
  <c r="D1938" i="23"/>
  <c r="H1125" i="23"/>
  <c r="H46" i="23"/>
  <c r="H791" i="23"/>
  <c r="G86" i="23"/>
  <c r="H4" i="23"/>
  <c r="G2097" i="23"/>
  <c r="B1173" i="23"/>
  <c r="H1416" i="23"/>
  <c r="B51" i="22"/>
  <c r="H2851" i="23"/>
  <c r="D490" i="23"/>
  <c r="E429" i="22"/>
  <c r="G1874" i="23"/>
  <c r="G603" i="23"/>
  <c r="E171" i="22"/>
  <c r="E1729" i="23"/>
  <c r="A1610" i="23"/>
  <c r="F768" i="23"/>
  <c r="E184" i="23"/>
  <c r="C2037" i="23"/>
  <c r="C348" i="22"/>
  <c r="A274" i="22"/>
  <c r="G18" i="23"/>
  <c r="H1179" i="23"/>
  <c r="D1724" i="23"/>
  <c r="F2148" i="23"/>
  <c r="E1872" i="23"/>
  <c r="D204" i="22"/>
  <c r="B1176" i="23"/>
  <c r="C713" i="23"/>
  <c r="H456" i="23"/>
  <c r="H1875" i="23"/>
  <c r="B1268" i="23"/>
  <c r="B2256" i="23"/>
  <c r="F1348" i="23"/>
  <c r="D1539" i="23"/>
  <c r="E96" i="23"/>
  <c r="C420" i="23"/>
  <c r="D775" i="23"/>
  <c r="E976" i="23"/>
  <c r="A151" i="23"/>
  <c r="F2481" i="23"/>
  <c r="F360" i="22"/>
  <c r="H2749" i="23"/>
  <c r="H2031" i="23"/>
  <c r="B39" i="22"/>
  <c r="B1918" i="23"/>
  <c r="D1142" i="23"/>
  <c r="G409" i="22"/>
  <c r="C1434" i="23"/>
  <c r="H2225" i="23"/>
  <c r="H1873" i="23"/>
  <c r="B450" i="23"/>
  <c r="C923" i="23"/>
  <c r="B1374" i="23"/>
  <c r="B1995" i="23"/>
  <c r="A1972" i="23"/>
  <c r="G1830" i="23"/>
  <c r="E1754" i="23"/>
  <c r="A1993" i="23"/>
  <c r="H2584" i="23"/>
  <c r="F2597" i="23"/>
  <c r="C1818" i="23"/>
  <c r="F2290" i="23"/>
  <c r="B807" i="23"/>
  <c r="F163" i="22"/>
  <c r="E1493" i="23"/>
  <c r="G596" i="23"/>
  <c r="F2558" i="23"/>
  <c r="A1702" i="23"/>
  <c r="G2744" i="23"/>
  <c r="E66" i="23"/>
  <c r="D289" i="22"/>
  <c r="G1920" i="23"/>
  <c r="F796" i="23"/>
  <c r="E549" i="23"/>
  <c r="D109" i="22"/>
  <c r="A1403" i="23"/>
  <c r="A296" i="22"/>
  <c r="E1914" i="23"/>
  <c r="F586" i="23"/>
  <c r="A1397" i="23"/>
  <c r="B1404" i="23"/>
  <c r="G434" i="23"/>
  <c r="E182" i="23"/>
  <c r="H2637" i="23"/>
  <c r="E316" i="22"/>
  <c r="E111" i="23"/>
  <c r="H630" i="23"/>
  <c r="A1631" i="23"/>
  <c r="B1564" i="23"/>
  <c r="G670" i="23"/>
  <c r="F1605" i="23"/>
  <c r="H1186" i="23"/>
  <c r="B1876" i="23"/>
  <c r="F2974" i="23"/>
  <c r="A1308" i="23"/>
  <c r="F911" i="23"/>
  <c r="B1335" i="23"/>
  <c r="A1606" i="23"/>
  <c r="G2210" i="23"/>
  <c r="C1203" i="23"/>
  <c r="D1669" i="23"/>
  <c r="E861" i="23"/>
  <c r="A719" i="23"/>
  <c r="G64" i="22"/>
  <c r="A1418" i="23"/>
  <c r="A1720" i="23"/>
  <c r="B1382" i="23"/>
  <c r="E189" i="22"/>
  <c r="C1358" i="23"/>
  <c r="B175" i="22"/>
  <c r="D1179" i="23"/>
  <c r="F53" i="23"/>
  <c r="B347" i="23"/>
  <c r="F2500" i="23"/>
  <c r="D336" i="23"/>
  <c r="C204" i="23"/>
  <c r="D2143" i="23"/>
  <c r="H2744" i="23"/>
  <c r="B573" i="23"/>
  <c r="G273" i="23"/>
  <c r="C1044" i="23"/>
  <c r="A1134" i="23"/>
  <c r="D2159" i="23"/>
  <c r="G2560" i="23"/>
  <c r="C2161" i="23"/>
  <c r="H2287" i="23"/>
  <c r="F2933" i="23"/>
  <c r="B64" i="22"/>
  <c r="H2681" i="23"/>
  <c r="H424" i="23"/>
  <c r="F2244" i="23"/>
  <c r="D2134" i="23"/>
  <c r="D1925" i="23"/>
  <c r="C2309" i="23"/>
  <c r="D540" i="23"/>
  <c r="G2315" i="23"/>
  <c r="A577" i="23"/>
  <c r="F2715" i="23"/>
  <c r="F2288" i="23"/>
  <c r="H351" i="23"/>
  <c r="G601" i="23"/>
  <c r="D382" i="22"/>
  <c r="G1152" i="23"/>
  <c r="D1884" i="23"/>
  <c r="C919" i="23"/>
  <c r="A1433" i="23"/>
  <c r="E894" i="23"/>
  <c r="A1440" i="23"/>
  <c r="A1048" i="23"/>
  <c r="C189" i="23"/>
  <c r="D1532" i="23"/>
  <c r="C1045" i="23"/>
  <c r="A1172" i="23"/>
  <c r="E785" i="23"/>
  <c r="C43" i="22"/>
  <c r="F2047" i="23"/>
  <c r="H1851" i="23"/>
  <c r="C478" i="23"/>
  <c r="F2130" i="23"/>
  <c r="A1547" i="23"/>
  <c r="C930" i="23"/>
  <c r="B1595" i="23"/>
  <c r="A585" i="23"/>
  <c r="D2256" i="23"/>
  <c r="D2261" i="23"/>
  <c r="B143" i="22"/>
  <c r="A1875" i="23"/>
  <c r="D710" i="23"/>
  <c r="G2530" i="23"/>
  <c r="C1737" i="23"/>
  <c r="F1941" i="23"/>
  <c r="G334" i="23"/>
  <c r="C1996" i="23"/>
  <c r="F1237" i="23"/>
  <c r="B1641" i="23"/>
  <c r="A234" i="22"/>
  <c r="C2016" i="23"/>
  <c r="G287" i="22"/>
  <c r="H180" i="23"/>
  <c r="H83" i="22"/>
  <c r="H2274" i="23"/>
  <c r="H1905" i="23"/>
  <c r="H1842" i="23"/>
  <c r="G1416" i="23"/>
  <c r="A296" i="23"/>
  <c r="B658" i="23"/>
  <c r="C245" i="23"/>
  <c r="A291" i="22"/>
  <c r="D1739" i="23"/>
  <c r="H2791" i="23"/>
  <c r="C2125" i="23"/>
  <c r="G1112" i="23"/>
  <c r="F661" i="23"/>
  <c r="A769" i="23"/>
  <c r="G803" i="23"/>
  <c r="F694" i="23"/>
  <c r="B324" i="23"/>
  <c r="A1754" i="23"/>
  <c r="G792" i="23"/>
  <c r="G1954" i="23"/>
  <c r="E2258" i="23"/>
  <c r="F675" i="23"/>
  <c r="G1264" i="23"/>
  <c r="A788" i="23"/>
  <c r="H2014" i="23"/>
  <c r="F787" i="23"/>
  <c r="F411" i="23"/>
  <c r="F211" i="22"/>
  <c r="E1211" i="23"/>
  <c r="G2300" i="23"/>
  <c r="H2957" i="23"/>
  <c r="A1660" i="23"/>
  <c r="F110" i="23"/>
  <c r="E1733" i="23"/>
  <c r="D79" i="23"/>
  <c r="C1208" i="23"/>
  <c r="C184" i="22"/>
  <c r="H1978" i="23"/>
  <c r="G2117" i="23"/>
  <c r="B327" i="22"/>
  <c r="F17" i="23"/>
  <c r="B1284" i="23"/>
  <c r="G1699" i="23"/>
  <c r="D782" i="23"/>
  <c r="E540" i="23"/>
  <c r="F1188" i="23"/>
  <c r="B1659" i="23"/>
  <c r="H2599" i="23"/>
  <c r="D1439" i="23"/>
  <c r="E309" i="22"/>
  <c r="H1304" i="23"/>
  <c r="F2005" i="23"/>
  <c r="C1655" i="23"/>
  <c r="A248" i="23"/>
  <c r="F990" i="23"/>
  <c r="A703" i="23"/>
  <c r="A1554" i="23"/>
  <c r="H2048" i="23"/>
  <c r="H1570" i="23"/>
  <c r="D1472" i="23"/>
  <c r="B334" i="22"/>
  <c r="A1862" i="23"/>
  <c r="C1730" i="23"/>
  <c r="G209" i="23"/>
  <c r="F436" i="23"/>
  <c r="G128" i="23"/>
  <c r="G205" i="22"/>
  <c r="E482" i="23"/>
  <c r="E234" i="22"/>
  <c r="F2945" i="23"/>
  <c r="D1717" i="23"/>
  <c r="D2270" i="23"/>
  <c r="G2505" i="23"/>
  <c r="A1176" i="23"/>
  <c r="F1295" i="23"/>
  <c r="H2401" i="23"/>
  <c r="A570" i="23"/>
  <c r="C1496" i="23"/>
  <c r="H2064" i="23"/>
  <c r="F2430" i="23"/>
  <c r="D1767" i="23"/>
  <c r="H143" i="23"/>
  <c r="H408" i="23"/>
  <c r="G418" i="22"/>
  <c r="C939" i="23"/>
  <c r="A2121" i="23"/>
  <c r="E1142" i="23"/>
  <c r="F1159" i="23"/>
  <c r="F1166" i="23"/>
  <c r="A284" i="23"/>
  <c r="G2363" i="23"/>
  <c r="H2221" i="23"/>
  <c r="A21" i="22"/>
  <c r="B1588" i="23"/>
  <c r="G1314" i="23"/>
  <c r="F1527" i="23"/>
  <c r="B55" i="23"/>
  <c r="D532" i="23"/>
  <c r="H1389" i="23"/>
  <c r="D21" i="23"/>
  <c r="A678" i="23"/>
  <c r="D999" i="23"/>
  <c r="E2124" i="23"/>
  <c r="C163" i="23"/>
  <c r="G1451" i="23"/>
  <c r="F2372" i="23"/>
  <c r="F1123" i="23"/>
  <c r="B1127" i="23"/>
  <c r="G398" i="22"/>
  <c r="F1424" i="23"/>
  <c r="F125" i="22"/>
  <c r="G2143" i="23"/>
  <c r="A88" i="23"/>
  <c r="A2140" i="23"/>
  <c r="D1449" i="23"/>
  <c r="F2042" i="23"/>
  <c r="G517" i="23"/>
  <c r="H879" i="23"/>
  <c r="G1698" i="23"/>
  <c r="H2770" i="23"/>
  <c r="F2195" i="23"/>
  <c r="D2153" i="23"/>
  <c r="D98" i="22"/>
  <c r="F520" i="23"/>
  <c r="H2968" i="23"/>
  <c r="B80" i="23"/>
  <c r="B245" i="22"/>
  <c r="D230" i="22"/>
  <c r="B251" i="22"/>
  <c r="G137" i="22"/>
  <c r="C270" i="22"/>
  <c r="F327" i="23"/>
  <c r="A119" i="22"/>
  <c r="D668" i="23"/>
  <c r="A1392" i="23"/>
  <c r="C1356" i="23"/>
  <c r="F1809" i="23"/>
  <c r="D281" i="22"/>
  <c r="C1898" i="23"/>
  <c r="G141" i="23"/>
  <c r="D1493" i="23"/>
  <c r="F2028" i="23"/>
  <c r="C809" i="23"/>
  <c r="D2088" i="23"/>
  <c r="G2402" i="23"/>
  <c r="B1322" i="23"/>
  <c r="G2088" i="23"/>
  <c r="F1339" i="23"/>
  <c r="B1118" i="23"/>
  <c r="A2197" i="23"/>
  <c r="G2305" i="23"/>
  <c r="E1237" i="23"/>
  <c r="G2870" i="23"/>
  <c r="F352" i="23"/>
  <c r="F2463" i="23"/>
  <c r="E424" i="22"/>
  <c r="F844" i="23"/>
  <c r="B1359" i="23"/>
  <c r="F1908" i="23"/>
  <c r="B1037" i="23"/>
  <c r="F2619" i="23"/>
  <c r="G1745" i="23"/>
  <c r="G1922" i="23"/>
  <c r="A1562" i="23"/>
  <c r="A433" i="23"/>
  <c r="G2652" i="23"/>
  <c r="E1466" i="23"/>
  <c r="F920" i="23"/>
  <c r="C331" i="23"/>
  <c r="A239" i="23"/>
  <c r="B2090" i="23"/>
  <c r="G577" i="23"/>
  <c r="D829" i="23"/>
  <c r="F2501" i="23"/>
  <c r="C593" i="23"/>
  <c r="F1350" i="23"/>
  <c r="D2058" i="23"/>
  <c r="F177" i="23"/>
  <c r="B2218" i="23"/>
  <c r="G2103" i="23"/>
  <c r="A1173" i="23"/>
  <c r="C2013" i="23"/>
  <c r="G103" i="22"/>
  <c r="E2315" i="23"/>
  <c r="A1828" i="23"/>
  <c r="E492" i="23"/>
  <c r="G77" i="23"/>
  <c r="G1924" i="23"/>
  <c r="H283" i="23"/>
  <c r="A669" i="23"/>
  <c r="A1698" i="23"/>
  <c r="F1711" i="23"/>
  <c r="B1138" i="23"/>
  <c r="F946" i="23"/>
  <c r="D140" i="23"/>
  <c r="F286" i="23"/>
  <c r="E731" i="23"/>
  <c r="F1469" i="23"/>
  <c r="G569" i="23"/>
  <c r="E1378" i="23"/>
  <c r="D2072" i="23"/>
  <c r="F936" i="23"/>
  <c r="A1681" i="23"/>
  <c r="H2903" i="23"/>
  <c r="A650" i="23"/>
  <c r="H1236" i="23"/>
  <c r="D1297" i="23"/>
  <c r="B1531" i="23"/>
  <c r="C620" i="23"/>
  <c r="D1033" i="23"/>
  <c r="G1976" i="23"/>
  <c r="A728" i="23"/>
  <c r="D1660" i="23"/>
  <c r="E1245" i="23"/>
  <c r="A141" i="23"/>
  <c r="F829" i="23"/>
  <c r="C2234" i="23"/>
  <c r="H377" i="23"/>
  <c r="G2995" i="23"/>
  <c r="E1777" i="23"/>
  <c r="D2097" i="23"/>
  <c r="D1839" i="23"/>
  <c r="G921" i="23"/>
  <c r="D373" i="22"/>
  <c r="F2712" i="23"/>
  <c r="B244" i="23"/>
  <c r="E236" i="23"/>
  <c r="C1935" i="23"/>
  <c r="C2174" i="23"/>
  <c r="H2877" i="23"/>
  <c r="H2832" i="23"/>
  <c r="E191" i="23"/>
  <c r="A1004" i="23"/>
  <c r="A1079" i="23"/>
  <c r="H1364" i="23"/>
  <c r="H2908" i="23"/>
  <c r="A2051" i="23"/>
  <c r="C357" i="22"/>
  <c r="D58" i="23"/>
  <c r="G1037" i="23"/>
  <c r="B157" i="22"/>
  <c r="E1014" i="23"/>
  <c r="H1241" i="23"/>
  <c r="G158" i="23"/>
  <c r="H2144" i="23"/>
  <c r="C365" i="23"/>
  <c r="G80" i="22"/>
  <c r="E562" i="23"/>
  <c r="G2142" i="23"/>
  <c r="F1140" i="23"/>
  <c r="D388" i="23"/>
  <c r="G1795" i="23"/>
  <c r="F43" i="22"/>
  <c r="H2669" i="23"/>
  <c r="F2447" i="23"/>
  <c r="A1242" i="23"/>
  <c r="C1163" i="23"/>
  <c r="H2856" i="23"/>
  <c r="G1187" i="23"/>
  <c r="H196" i="23"/>
  <c r="C629" i="23"/>
  <c r="F1402" i="23"/>
  <c r="G1518" i="23"/>
  <c r="G2764" i="23"/>
  <c r="E48" i="23"/>
  <c r="H1315" i="23"/>
  <c r="C2291" i="23"/>
  <c r="B98" i="23"/>
  <c r="B335" i="22"/>
  <c r="F2255" i="23"/>
  <c r="C375" i="23"/>
  <c r="F82" i="22"/>
  <c r="G768" i="23"/>
  <c r="H1298" i="23"/>
  <c r="C399" i="23"/>
  <c r="C203" i="23"/>
  <c r="D929" i="23"/>
  <c r="F427" i="22"/>
  <c r="E399" i="23"/>
  <c r="A1739" i="23"/>
  <c r="A1472" i="23"/>
  <c r="F143" i="22"/>
  <c r="A1169" i="23"/>
  <c r="H1347" i="23"/>
  <c r="G1612" i="23"/>
  <c r="B151" i="23"/>
  <c r="D2120" i="23"/>
  <c r="H1434" i="23"/>
  <c r="E145" i="22"/>
  <c r="B409" i="22"/>
  <c r="A1806" i="23"/>
  <c r="D432" i="23"/>
  <c r="D902" i="23"/>
  <c r="E1790" i="23"/>
  <c r="E610" i="23"/>
  <c r="G469" i="23"/>
  <c r="E276" i="23"/>
  <c r="H2022" i="23"/>
  <c r="A808" i="23"/>
  <c r="H1760" i="23"/>
  <c r="C220" i="23"/>
  <c r="H2465" i="23"/>
  <c r="A293" i="23"/>
  <c r="G1212" i="23"/>
  <c r="C1167" i="23"/>
  <c r="E814" i="23"/>
  <c r="G340" i="23"/>
  <c r="E858" i="23"/>
  <c r="H90" i="23"/>
  <c r="E519" i="23"/>
  <c r="A580" i="23"/>
  <c r="H1907" i="23"/>
  <c r="B1704" i="23"/>
  <c r="G237" i="22"/>
  <c r="H2132" i="23"/>
  <c r="C1034" i="23"/>
  <c r="D820" i="23"/>
  <c r="C380" i="23"/>
  <c r="H2900" i="23"/>
  <c r="E587" i="23"/>
  <c r="B951" i="23"/>
  <c r="F391" i="23"/>
  <c r="E304" i="23"/>
  <c r="A1745" i="23"/>
  <c r="G2964" i="23"/>
  <c r="A2196" i="23"/>
  <c r="B168" i="22"/>
  <c r="C438" i="23"/>
  <c r="G2141" i="23"/>
  <c r="B481" i="23"/>
  <c r="F2647" i="23"/>
  <c r="D2179" i="23"/>
  <c r="B81" i="23"/>
  <c r="H350" i="23"/>
  <c r="H280" i="23"/>
  <c r="G1909" i="23"/>
  <c r="D2135" i="23"/>
  <c r="G2975" i="23"/>
  <c r="B473" i="23"/>
  <c r="G159" i="22"/>
  <c r="E413" i="22"/>
  <c r="A219" i="22"/>
  <c r="G597" i="23"/>
  <c r="D1023" i="23"/>
  <c r="H35" i="22"/>
  <c r="D1313" i="23"/>
  <c r="A660" i="23"/>
  <c r="G336" i="23"/>
  <c r="H89" i="22"/>
  <c r="G133" i="22"/>
  <c r="H2233" i="23"/>
  <c r="C2075" i="23"/>
  <c r="D44" i="22"/>
  <c r="A136" i="22"/>
  <c r="A420" i="23"/>
  <c r="E2011" i="23"/>
  <c r="F11" i="22"/>
  <c r="F2385" i="23"/>
  <c r="H132" i="23"/>
  <c r="E2187" i="23"/>
  <c r="C1974" i="23"/>
  <c r="F322" i="23"/>
  <c r="G2531" i="23"/>
  <c r="H2841" i="23"/>
  <c r="C160" i="22"/>
  <c r="H2905" i="23"/>
  <c r="C225" i="23"/>
  <c r="H2147" i="23"/>
  <c r="B1047" i="23"/>
  <c r="D1413" i="23"/>
  <c r="F161" i="23"/>
  <c r="F2682" i="23"/>
  <c r="B377" i="22"/>
  <c r="H1438" i="23"/>
  <c r="F266" i="22"/>
  <c r="H1514" i="23"/>
  <c r="E336" i="23"/>
  <c r="D442" i="23"/>
  <c r="G2580" i="23"/>
  <c r="F317" i="22"/>
  <c r="A419" i="23"/>
  <c r="G192" i="22"/>
  <c r="G1931" i="23"/>
  <c r="H2367" i="23"/>
  <c r="B138" i="22"/>
  <c r="F783" i="23"/>
  <c r="B304" i="23"/>
  <c r="A522" i="23"/>
  <c r="E2207" i="23"/>
  <c r="F2102" i="23"/>
  <c r="E648" i="23"/>
  <c r="D386" i="22"/>
  <c r="G2942" i="23"/>
  <c r="A1143" i="23"/>
  <c r="G2695" i="23"/>
  <c r="G1768" i="23"/>
  <c r="A1723" i="23"/>
  <c r="E2170" i="23"/>
  <c r="C921" i="23"/>
  <c r="D2250" i="23"/>
  <c r="G68" i="22"/>
  <c r="G1544" i="23"/>
  <c r="A1530" i="23"/>
  <c r="E1472" i="23"/>
  <c r="C1673" i="23"/>
  <c r="E1385" i="23"/>
  <c r="E2221" i="23"/>
  <c r="F2384" i="23"/>
  <c r="F190" i="22"/>
  <c r="G1162" i="23"/>
  <c r="D354" i="23"/>
  <c r="D1885" i="23"/>
  <c r="F2189" i="23"/>
  <c r="D1108" i="23"/>
  <c r="G995" i="23"/>
  <c r="B1526" i="23"/>
  <c r="F209" i="23"/>
  <c r="H84" i="23"/>
  <c r="F584" i="23"/>
  <c r="B631" i="23"/>
  <c r="G2680" i="23"/>
  <c r="C1569" i="23"/>
  <c r="B1452" i="23"/>
  <c r="F421" i="22"/>
  <c r="G2718" i="23"/>
  <c r="G750" i="23"/>
  <c r="F57" i="23"/>
  <c r="F2279" i="23"/>
  <c r="A2239" i="23"/>
  <c r="D407" i="23"/>
  <c r="E196" i="22"/>
  <c r="B905" i="23"/>
  <c r="C2077" i="23"/>
  <c r="B1758" i="23"/>
  <c r="B224" i="22"/>
  <c r="B1560" i="23"/>
  <c r="B886" i="23"/>
  <c r="A2209" i="23"/>
  <c r="C2128" i="23"/>
  <c r="F871" i="23"/>
  <c r="A1859" i="23"/>
  <c r="B1066" i="23"/>
  <c r="A1399" i="23"/>
  <c r="C1227" i="23"/>
  <c r="A56" i="22"/>
  <c r="G1435" i="23"/>
  <c r="B345" i="23"/>
  <c r="B1962" i="23"/>
  <c r="A2299" i="23"/>
  <c r="D1879" i="23"/>
  <c r="G1664" i="23"/>
  <c r="E70" i="22"/>
  <c r="D1257" i="23"/>
  <c r="F2056" i="23"/>
  <c r="B524" i="23"/>
  <c r="C904" i="23"/>
  <c r="D1111" i="23"/>
  <c r="G89" i="23"/>
  <c r="G339" i="23"/>
  <c r="G2679" i="23"/>
  <c r="B70" i="22"/>
  <c r="C464" i="23"/>
  <c r="H288" i="23"/>
  <c r="F2040" i="23"/>
  <c r="B248" i="23"/>
  <c r="G39" i="23"/>
  <c r="H2833" i="23"/>
  <c r="F2088" i="23"/>
  <c r="F2326" i="23"/>
  <c r="D112" i="23"/>
  <c r="C960" i="23"/>
  <c r="H29" i="22"/>
  <c r="D1446" i="23"/>
  <c r="G284" i="23"/>
  <c r="C948" i="23"/>
  <c r="D1668" i="23"/>
  <c r="A1448" i="23"/>
  <c r="B1360" i="23"/>
  <c r="G124" i="23"/>
  <c r="G1820" i="23"/>
  <c r="A901" i="23"/>
  <c r="H2789" i="23"/>
  <c r="C1849" i="23"/>
  <c r="G2396" i="23"/>
  <c r="D2076" i="23"/>
  <c r="A746" i="23"/>
  <c r="D7" i="23"/>
  <c r="A890" i="23"/>
  <c r="A753" i="23"/>
  <c r="C217" i="22"/>
  <c r="B1565" i="23"/>
  <c r="F477" i="23"/>
  <c r="C1141" i="23"/>
  <c r="F346" i="23"/>
  <c r="B835" i="23"/>
  <c r="E1415" i="23"/>
  <c r="F651" i="23"/>
  <c r="H2974" i="23"/>
  <c r="C1640" i="23"/>
  <c r="B352" i="22"/>
  <c r="A361" i="23"/>
  <c r="E1326" i="23"/>
  <c r="D1008" i="23"/>
  <c r="F337" i="23"/>
  <c r="G1737" i="23"/>
  <c r="A470" i="23"/>
  <c r="B1821" i="23"/>
  <c r="F1877" i="23"/>
  <c r="F2328" i="23"/>
  <c r="B1352" i="23"/>
  <c r="G226" i="22"/>
  <c r="G1858" i="23"/>
  <c r="H2358" i="23"/>
  <c r="D136" i="23"/>
  <c r="F66" i="23"/>
  <c r="G51" i="22"/>
  <c r="F2230" i="23"/>
  <c r="D73" i="23"/>
  <c r="H304" i="23"/>
  <c r="F48" i="23"/>
  <c r="B1291" i="23"/>
  <c r="A300" i="23"/>
  <c r="F2886" i="23"/>
  <c r="F68" i="23"/>
  <c r="H2515" i="23"/>
  <c r="A1895" i="23"/>
  <c r="G20" i="23"/>
  <c r="H2782" i="23"/>
  <c r="C981" i="23"/>
  <c r="C666" i="23"/>
  <c r="E1656" i="23"/>
  <c r="C410" i="22"/>
  <c r="G773" i="23"/>
  <c r="H2697" i="23"/>
  <c r="B329" i="23"/>
  <c r="C1524" i="23"/>
  <c r="B305" i="23"/>
  <c r="F2751" i="23"/>
  <c r="F1857" i="23"/>
  <c r="A2251" i="23"/>
  <c r="D1121" i="23"/>
  <c r="C1129" i="23"/>
  <c r="C659" i="23"/>
  <c r="F2097" i="23"/>
  <c r="H1131" i="23"/>
  <c r="C516" i="23"/>
  <c r="G1018" i="23"/>
  <c r="A1793" i="23"/>
  <c r="F494" i="23"/>
  <c r="H1682" i="23"/>
  <c r="B1235" i="23"/>
  <c r="B1963" i="23"/>
  <c r="B677" i="23"/>
  <c r="D337" i="22"/>
  <c r="H2229" i="23"/>
  <c r="B105" i="23"/>
  <c r="A528" i="23"/>
  <c r="A390" i="23"/>
  <c r="A259" i="22"/>
  <c r="E345" i="22"/>
  <c r="H326" i="23"/>
  <c r="C1758" i="23"/>
  <c r="C308" i="23"/>
  <c r="D1757" i="23"/>
  <c r="F2311" i="23"/>
  <c r="H1293" i="23"/>
  <c r="B752" i="23"/>
  <c r="A489" i="23"/>
  <c r="A1145" i="23"/>
  <c r="A1132" i="23"/>
  <c r="G211" i="23"/>
  <c r="H2651" i="23"/>
  <c r="G1069" i="23"/>
  <c r="H947" i="23"/>
  <c r="G2982" i="23"/>
  <c r="A55" i="23"/>
  <c r="A1379" i="23"/>
  <c r="H1034" i="23"/>
  <c r="C2179" i="23"/>
  <c r="F1996" i="23"/>
  <c r="A371" i="23"/>
  <c r="A204" i="22"/>
  <c r="D106" i="23"/>
  <c r="E591" i="23"/>
  <c r="H1782" i="23"/>
  <c r="F1023" i="23"/>
  <c r="C301" i="22"/>
  <c r="E1813" i="23"/>
  <c r="A734" i="23"/>
  <c r="G191" i="23"/>
  <c r="A1899" i="23"/>
  <c r="D1999" i="23"/>
  <c r="E669" i="23"/>
  <c r="G2992" i="23"/>
  <c r="D2171" i="23"/>
  <c r="E1988" i="23"/>
  <c r="C2008" i="23"/>
  <c r="D963" i="23"/>
  <c r="D124" i="22"/>
  <c r="E1254" i="23"/>
  <c r="A1210" i="23"/>
  <c r="A294" i="22"/>
  <c r="D1525" i="23"/>
  <c r="B809" i="23"/>
  <c r="E1010" i="23"/>
  <c r="A24" i="22"/>
  <c r="A2019" i="23"/>
  <c r="B1296" i="23"/>
  <c r="B834" i="23"/>
  <c r="F2476" i="23"/>
  <c r="F2358" i="23"/>
  <c r="F1727" i="23"/>
  <c r="B1831" i="23"/>
  <c r="F933" i="23"/>
  <c r="B1253" i="23"/>
  <c r="F2504" i="23"/>
  <c r="F1651" i="23"/>
  <c r="C653" i="23"/>
  <c r="F2362" i="23"/>
  <c r="D964" i="23"/>
  <c r="H59" i="22"/>
  <c r="C682" i="23"/>
  <c r="A386" i="23"/>
  <c r="F243" i="22"/>
  <c r="G2013" i="23"/>
  <c r="H2085" i="23"/>
  <c r="D1774" i="23"/>
  <c r="C34" i="22"/>
  <c r="H2226" i="23"/>
  <c r="F1834" i="23"/>
  <c r="D536" i="23"/>
  <c r="A2158" i="23"/>
  <c r="H2176" i="23"/>
  <c r="D326" i="23"/>
  <c r="H2643" i="23"/>
  <c r="E1906" i="23"/>
  <c r="G2737" i="23"/>
  <c r="F889" i="23"/>
  <c r="D1430" i="23"/>
  <c r="D900" i="23"/>
  <c r="F1009" i="23"/>
  <c r="E1145" i="23"/>
  <c r="F253" i="22"/>
  <c r="E744" i="23"/>
  <c r="D1193" i="23"/>
  <c r="H558" i="23"/>
  <c r="A1645" i="23"/>
  <c r="F2595" i="23"/>
  <c r="F135" i="22"/>
  <c r="G641" i="23"/>
  <c r="C322" i="22"/>
  <c r="G2682" i="23"/>
  <c r="B1688" i="23"/>
  <c r="F319" i="22"/>
  <c r="D179" i="22"/>
  <c r="G1750" i="23"/>
  <c r="B171" i="22"/>
  <c r="H261" i="23"/>
  <c r="G1228" i="23"/>
  <c r="C1991" i="23"/>
  <c r="B162" i="22"/>
  <c r="C503" i="23"/>
  <c r="G1948" i="23"/>
  <c r="C977" i="23"/>
  <c r="C1386" i="23"/>
  <c r="G2935" i="23"/>
  <c r="B308" i="23"/>
  <c r="G831" i="23"/>
  <c r="D1781" i="23"/>
  <c r="B1609" i="23"/>
  <c r="A77" i="23"/>
  <c r="E752" i="23"/>
  <c r="D1663" i="23"/>
  <c r="A1725" i="23"/>
  <c r="E1295" i="23"/>
  <c r="C605" i="23"/>
  <c r="E571" i="23"/>
  <c r="H417" i="23"/>
  <c r="C2052" i="23"/>
  <c r="B2314" i="23"/>
  <c r="F992" i="23"/>
  <c r="A2033" i="23"/>
  <c r="F525" i="23"/>
  <c r="F1089" i="23"/>
  <c r="G298" i="22"/>
  <c r="A1479" i="23"/>
  <c r="E1720" i="23"/>
  <c r="C2296" i="23"/>
  <c r="D1030" i="23"/>
  <c r="C2006" i="23"/>
  <c r="H2793" i="23"/>
  <c r="A1599" i="23"/>
  <c r="A829" i="23"/>
  <c r="C1449" i="23"/>
  <c r="F736" i="23"/>
  <c r="B2231" i="23"/>
  <c r="C1852" i="23"/>
  <c r="F964" i="23"/>
  <c r="H306" i="23"/>
  <c r="B498" i="23"/>
  <c r="F943" i="23"/>
  <c r="F2701" i="23"/>
  <c r="E1158" i="23"/>
  <c r="B1159" i="23"/>
  <c r="B137" i="22"/>
  <c r="B998" i="23"/>
  <c r="G1789" i="23"/>
  <c r="A1335" i="23"/>
  <c r="G214" i="22"/>
  <c r="C2068" i="23"/>
  <c r="B2125" i="23"/>
  <c r="A68" i="22"/>
  <c r="G2802" i="23"/>
  <c r="H716" i="23"/>
  <c r="C338" i="22"/>
  <c r="A825" i="23"/>
  <c r="H2204" i="23"/>
  <c r="H671" i="23"/>
  <c r="E77" i="23"/>
  <c r="H1402" i="23"/>
  <c r="G2767" i="23"/>
  <c r="G2445" i="23"/>
  <c r="B26" i="23"/>
  <c r="H2538" i="23"/>
  <c r="F2423" i="23"/>
  <c r="F1768" i="23"/>
  <c r="D320" i="23"/>
  <c r="D2158" i="23"/>
  <c r="E989" i="23"/>
  <c r="D4" i="22"/>
  <c r="C306" i="23"/>
  <c r="H352" i="23"/>
  <c r="F741" i="23"/>
  <c r="F831" i="23"/>
  <c r="F1490" i="23"/>
  <c r="D918" i="23"/>
  <c r="F271" i="23"/>
  <c r="B550" i="23"/>
  <c r="D11" i="22"/>
  <c r="F87" i="23"/>
  <c r="E414" i="22"/>
  <c r="H1919" i="23"/>
  <c r="A261" i="22"/>
  <c r="F2324" i="23"/>
  <c r="E1638" i="23"/>
  <c r="C845" i="23"/>
  <c r="G2128" i="23"/>
  <c r="H1345" i="23"/>
  <c r="C1917" i="23"/>
  <c r="G992" i="23"/>
  <c r="H175" i="23"/>
  <c r="C312" i="22"/>
  <c r="B8" i="23"/>
  <c r="H811" i="23"/>
  <c r="F166" i="22"/>
  <c r="A718" i="23"/>
  <c r="B276" i="23"/>
  <c r="C2248" i="23"/>
  <c r="F2927" i="23"/>
  <c r="D1714" i="23"/>
  <c r="B1939" i="23"/>
  <c r="H376" i="23"/>
  <c r="G1106" i="23"/>
  <c r="D2311" i="23"/>
  <c r="H848" i="23"/>
  <c r="F445" i="23"/>
  <c r="E1836" i="23"/>
  <c r="A145" i="23"/>
  <c r="B1857" i="23"/>
  <c r="E1372" i="23"/>
  <c r="B980" i="23"/>
  <c r="G2362" i="23"/>
  <c r="E927" i="23"/>
  <c r="E1589" i="23"/>
  <c r="C423" i="23"/>
  <c r="D2211" i="23"/>
  <c r="D2205" i="23"/>
  <c r="G2275" i="23"/>
  <c r="C1388" i="23"/>
  <c r="F2636" i="23"/>
  <c r="F1781" i="23"/>
  <c r="F2434" i="23"/>
  <c r="B1757" i="23"/>
  <c r="D1919" i="23"/>
  <c r="D115" i="22"/>
  <c r="F2702" i="23"/>
  <c r="B618" i="23"/>
  <c r="E322" i="22"/>
  <c r="C527" i="23"/>
  <c r="G2898" i="23"/>
  <c r="H2478" i="23"/>
  <c r="C347" i="22"/>
  <c r="C1886" i="23"/>
  <c r="C1052" i="23"/>
  <c r="E565" i="23"/>
  <c r="H545" i="23"/>
  <c r="E386" i="23"/>
  <c r="B415" i="23"/>
  <c r="D69" i="23"/>
  <c r="E57" i="22"/>
  <c r="G1915" i="23"/>
  <c r="G376" i="23"/>
  <c r="A287" i="22"/>
  <c r="B357" i="23"/>
  <c r="B50" i="22"/>
  <c r="E149" i="22"/>
  <c r="A2022" i="23"/>
  <c r="A2280" i="23"/>
  <c r="G23" i="23"/>
  <c r="F426" i="23"/>
  <c r="G352" i="23"/>
  <c r="C590" i="23"/>
  <c r="A1946" i="23"/>
  <c r="F2381" i="23"/>
  <c r="D241" i="22"/>
  <c r="E537" i="23"/>
  <c r="D195" i="23"/>
  <c r="A888" i="23"/>
  <c r="F2162" i="23"/>
  <c r="F2844" i="23"/>
  <c r="G198" i="23"/>
  <c r="D750" i="23"/>
  <c r="H54" i="22"/>
  <c r="E2314" i="23"/>
  <c r="E694" i="23"/>
  <c r="E1604" i="23"/>
  <c r="F1522" i="23"/>
  <c r="E381" i="22"/>
  <c r="F576" i="23"/>
  <c r="H2813" i="23"/>
  <c r="C425" i="23"/>
  <c r="E2267" i="23"/>
  <c r="H1206" i="23"/>
  <c r="A1542" i="23"/>
  <c r="H24" i="23"/>
  <c r="G1825" i="23"/>
  <c r="D780" i="23"/>
  <c r="G2813" i="23"/>
  <c r="H562" i="23"/>
  <c r="F748" i="23"/>
  <c r="E2036" i="23"/>
  <c r="H520" i="23"/>
  <c r="C952" i="23"/>
  <c r="C560" i="23"/>
  <c r="E21" i="22"/>
  <c r="C1650" i="23"/>
  <c r="C2152" i="23"/>
  <c r="F1932" i="23"/>
  <c r="E569" i="23"/>
  <c r="E251" i="23"/>
  <c r="E76" i="23"/>
  <c r="E777" i="23"/>
  <c r="B664" i="23"/>
  <c r="E204" i="22"/>
  <c r="D310" i="22"/>
  <c r="B731" i="23"/>
  <c r="F1717" i="23"/>
  <c r="C66" i="23"/>
  <c r="G2030" i="23"/>
  <c r="D2208" i="23"/>
  <c r="F158" i="23"/>
  <c r="A1107" i="23"/>
  <c r="H1890" i="23"/>
  <c r="F2238" i="23"/>
  <c r="E101" i="23"/>
  <c r="A795" i="23"/>
  <c r="F2953" i="23"/>
  <c r="D149" i="22"/>
  <c r="F1833" i="23"/>
  <c r="G2159" i="23"/>
  <c r="D706" i="23"/>
  <c r="G1650" i="23"/>
  <c r="C980" i="23"/>
  <c r="A1030" i="23"/>
  <c r="E1206" i="23"/>
  <c r="H2017" i="23"/>
  <c r="C1315" i="23"/>
  <c r="C899" i="23"/>
  <c r="F464" i="23"/>
  <c r="B429" i="23"/>
  <c r="G225" i="23"/>
  <c r="E2316" i="23"/>
  <c r="E1742" i="23"/>
  <c r="E460" i="23"/>
  <c r="E1458" i="23"/>
  <c r="A1271" i="23"/>
  <c r="E212" i="23"/>
  <c r="F316" i="23"/>
  <c r="F677" i="23"/>
  <c r="F2657" i="23"/>
  <c r="F2490" i="23"/>
  <c r="G1326" i="23"/>
  <c r="D1029" i="23"/>
  <c r="F1825" i="23"/>
  <c r="D1756" i="23"/>
  <c r="B1625" i="23"/>
  <c r="F2908" i="23"/>
  <c r="H1710" i="23"/>
  <c r="H2612" i="23"/>
  <c r="E1709" i="23"/>
  <c r="D19" i="22"/>
  <c r="B2000" i="23"/>
  <c r="B241" i="22"/>
  <c r="B4" i="22"/>
  <c r="B1931" i="23"/>
  <c r="B2152" i="23"/>
  <c r="A389" i="22"/>
  <c r="D482" i="23"/>
  <c r="H107" i="23"/>
  <c r="F99" i="22"/>
  <c r="C2127" i="23"/>
  <c r="H137" i="23"/>
  <c r="C1392" i="23"/>
  <c r="D719" i="23"/>
  <c r="H2638" i="23"/>
  <c r="G2495" i="23"/>
  <c r="H398" i="23"/>
  <c r="D465" i="23"/>
  <c r="G1953" i="23"/>
  <c r="E1067" i="23"/>
  <c r="F1312" i="23"/>
  <c r="E1047" i="23"/>
  <c r="E1973" i="23"/>
  <c r="H1350" i="23"/>
  <c r="B401" i="23"/>
  <c r="H32" i="23"/>
  <c r="E1347" i="23"/>
  <c r="H2125" i="23"/>
  <c r="D1459" i="23"/>
  <c r="C1807" i="23"/>
  <c r="E962" i="23"/>
  <c r="F2812" i="23"/>
  <c r="A670" i="23"/>
  <c r="D309" i="23"/>
  <c r="B2170" i="23"/>
  <c r="F1729" i="23"/>
  <c r="B140" i="22"/>
  <c r="H1161" i="23"/>
  <c r="H793" i="23"/>
  <c r="G1533" i="23"/>
  <c r="A1135" i="23"/>
  <c r="G36" i="23"/>
  <c r="E2157" i="23"/>
  <c r="A2268" i="23"/>
  <c r="E1911" i="23"/>
  <c r="G1484" i="23"/>
  <c r="G2060" i="23"/>
  <c r="A449" i="23"/>
  <c r="D2252" i="23"/>
  <c r="C1923" i="23"/>
  <c r="D1190" i="23"/>
  <c r="B2026" i="23"/>
  <c r="F37" i="22"/>
  <c r="G2467" i="23"/>
  <c r="D879" i="23"/>
  <c r="A1955" i="23"/>
  <c r="F1120" i="23"/>
  <c r="D1197" i="23"/>
  <c r="G1963" i="23"/>
  <c r="H1404" i="23"/>
  <c r="G190" i="23"/>
  <c r="B32" i="23"/>
  <c r="H1950" i="23"/>
  <c r="D1664" i="23"/>
  <c r="A1916" i="23"/>
  <c r="C146" i="23"/>
  <c r="G1303" i="23"/>
  <c r="G2830" i="23"/>
  <c r="E360" i="23"/>
  <c r="F1776" i="23"/>
  <c r="D1847" i="23"/>
  <c r="A1081" i="23"/>
  <c r="H353" i="23"/>
  <c r="F1102" i="23"/>
  <c r="B284" i="23"/>
  <c r="D121" i="23"/>
  <c r="F357" i="22"/>
  <c r="H2042" i="23"/>
  <c r="C2230" i="23"/>
  <c r="H557" i="23"/>
  <c r="C603" i="23"/>
  <c r="C920" i="23"/>
  <c r="G1200" i="23"/>
  <c r="G651" i="23"/>
  <c r="F669" i="23"/>
  <c r="G2059" i="23"/>
  <c r="B969" i="23"/>
  <c r="C1806" i="23"/>
  <c r="H206" i="23"/>
  <c r="G2485" i="23"/>
  <c r="D1726" i="23"/>
  <c r="B118" i="23"/>
  <c r="B1376" i="23"/>
  <c r="E1178" i="23"/>
  <c r="G1262" i="23"/>
  <c r="A14" i="22"/>
  <c r="E2070" i="23"/>
  <c r="D2" i="23"/>
  <c r="C2199" i="23"/>
  <c r="D1719" i="23"/>
  <c r="C1342" i="23"/>
  <c r="A586" i="23"/>
  <c r="H1168" i="23"/>
  <c r="G1552" i="23"/>
  <c r="D412" i="23"/>
  <c r="C324" i="22"/>
  <c r="E269" i="23"/>
  <c r="A152" i="22"/>
  <c r="G504" i="23"/>
  <c r="H12" i="23"/>
  <c r="H1765" i="23"/>
  <c r="A944" i="23"/>
  <c r="D195" i="22"/>
  <c r="C876" i="23"/>
  <c r="H2425" i="23"/>
  <c r="G2219" i="23"/>
  <c r="F1616" i="23"/>
  <c r="E1667" i="23"/>
  <c r="A414" i="23"/>
  <c r="G514" i="23"/>
  <c r="B381" i="23"/>
  <c r="D1017" i="23"/>
  <c r="F1030" i="23"/>
  <c r="A310" i="22"/>
  <c r="F2295" i="23"/>
  <c r="G325" i="23"/>
  <c r="A129" i="22"/>
  <c r="D1254" i="23"/>
  <c r="E511" i="23"/>
  <c r="G1184" i="23"/>
  <c r="H1318" i="23"/>
  <c r="B41" i="23"/>
  <c r="C250" i="22"/>
  <c r="F69" i="23"/>
  <c r="A948" i="23"/>
  <c r="E5" i="23"/>
  <c r="A219" i="23"/>
  <c r="H1588" i="23"/>
  <c r="E1774" i="23"/>
  <c r="E1037" i="23"/>
  <c r="E2167" i="23"/>
  <c r="A1777" i="23"/>
  <c r="A297" i="22"/>
  <c r="C187" i="23"/>
  <c r="D1889" i="23"/>
  <c r="G2800" i="23"/>
  <c r="H118" i="23"/>
  <c r="G2573" i="23"/>
  <c r="A15" i="22"/>
  <c r="E53" i="23"/>
  <c r="D1513" i="23"/>
  <c r="H2493" i="23"/>
  <c r="G753" i="23"/>
  <c r="A544" i="23"/>
  <c r="A2118" i="23"/>
  <c r="G2756" i="23"/>
  <c r="C1230" i="23"/>
  <c r="H2099" i="23"/>
  <c r="B1673" i="23"/>
  <c r="D208" i="22"/>
  <c r="D2011" i="23"/>
  <c r="C2312" i="23"/>
  <c r="G63" i="23"/>
  <c r="D1880" i="23"/>
  <c r="C229" i="23"/>
  <c r="B1636" i="23"/>
  <c r="G2720" i="23"/>
  <c r="B2011" i="23"/>
  <c r="G1087" i="23"/>
  <c r="E606" i="23"/>
  <c r="A502" i="23"/>
  <c r="C1257" i="23"/>
  <c r="H1193" i="23"/>
  <c r="H1508" i="23"/>
  <c r="D2188" i="23"/>
  <c r="H2036" i="23"/>
  <c r="B2276" i="23"/>
  <c r="A62" i="22"/>
  <c r="H1862" i="23"/>
  <c r="F1351" i="23"/>
  <c r="G1885" i="23"/>
  <c r="G29" i="22"/>
  <c r="G746" i="23"/>
  <c r="F1798" i="23"/>
  <c r="C210" i="22"/>
  <c r="C1111" i="23"/>
  <c r="A147" i="22"/>
  <c r="E1027" i="23"/>
  <c r="A1997" i="23"/>
  <c r="H2752" i="23"/>
  <c r="C1633" i="23"/>
  <c r="H1359" i="23"/>
  <c r="C354" i="22"/>
  <c r="G211" i="22"/>
  <c r="F3" i="22"/>
  <c r="D2272" i="23"/>
  <c r="E1814" i="23"/>
  <c r="F2247" i="23"/>
  <c r="B1902" i="23"/>
  <c r="G1816" i="23"/>
  <c r="B424" i="23"/>
  <c r="A1481" i="23"/>
  <c r="F175" i="22"/>
  <c r="E1325" i="23"/>
  <c r="C134" i="23"/>
  <c r="F681" i="23"/>
  <c r="G1588" i="23"/>
  <c r="H2650" i="23"/>
  <c r="D224" i="23"/>
  <c r="B2012" i="23"/>
  <c r="F2791" i="23"/>
  <c r="D2028" i="23"/>
  <c r="D711" i="23"/>
  <c r="E89" i="23"/>
  <c r="G456" i="23"/>
  <c r="B593" i="23"/>
  <c r="C526" i="23"/>
  <c r="E2141" i="23"/>
  <c r="B1512" i="23"/>
  <c r="D105" i="22"/>
  <c r="C34" i="23"/>
  <c r="B2310" i="23"/>
  <c r="F264" i="22"/>
  <c r="D643" i="23"/>
  <c r="E720" i="23"/>
  <c r="G1173" i="23"/>
  <c r="G1978" i="23"/>
  <c r="B2058" i="23"/>
  <c r="F116" i="23"/>
  <c r="E59" i="23"/>
  <c r="B2118" i="23"/>
  <c r="A547" i="23"/>
  <c r="C491" i="23"/>
  <c r="D232" i="22"/>
  <c r="H2201" i="23"/>
  <c r="E1797" i="23"/>
  <c r="D1674" i="23"/>
  <c r="B124" i="23"/>
  <c r="C719" i="23"/>
  <c r="A1768" i="23"/>
  <c r="H2852" i="23"/>
  <c r="G973" i="23"/>
  <c r="D519" i="23"/>
  <c r="B281" i="23"/>
  <c r="F384" i="23"/>
  <c r="F1012" i="23"/>
  <c r="B189" i="23"/>
  <c r="A67" i="23"/>
  <c r="D138" i="23"/>
  <c r="A1302" i="23"/>
  <c r="F2610" i="23"/>
  <c r="A2028" i="23"/>
  <c r="F1088" i="23"/>
  <c r="D2184" i="23"/>
  <c r="D1901" i="23"/>
  <c r="F44" i="22"/>
  <c r="B1031" i="23"/>
  <c r="C690" i="23"/>
  <c r="H1132" i="23"/>
  <c r="B75" i="23"/>
  <c r="A956" i="23"/>
  <c r="G41" i="23"/>
  <c r="H1888" i="23"/>
  <c r="A398" i="22"/>
  <c r="A1626" i="23"/>
  <c r="E2088" i="23"/>
  <c r="C2046" i="23"/>
  <c r="F1040" i="23"/>
  <c r="A483" i="23"/>
  <c r="C1907" i="23"/>
  <c r="H1199" i="23"/>
  <c r="E1953" i="23"/>
  <c r="H954" i="23"/>
  <c r="G2120" i="23"/>
  <c r="D372" i="23"/>
  <c r="G357" i="23"/>
  <c r="C162" i="22"/>
  <c r="F614" i="23"/>
  <c r="G555" i="23"/>
  <c r="A2024" i="23"/>
  <c r="F873" i="23"/>
  <c r="F1135" i="23"/>
  <c r="H2163" i="23"/>
  <c r="F460" i="23"/>
  <c r="F2806" i="23"/>
  <c r="H1311" i="23"/>
  <c r="G2178" i="23"/>
  <c r="A36" i="23"/>
  <c r="B257" i="23"/>
  <c r="C754" i="23"/>
  <c r="A574" i="23"/>
  <c r="B821" i="23"/>
  <c r="H2108" i="23"/>
  <c r="E369" i="23"/>
  <c r="C1011" i="23"/>
  <c r="G1220" i="23"/>
  <c r="A896" i="23"/>
  <c r="E261" i="23"/>
  <c r="F548" i="23"/>
  <c r="C2113" i="23"/>
  <c r="C2260" i="23"/>
  <c r="F482" i="23"/>
  <c r="F146" i="22"/>
  <c r="F2777" i="23"/>
  <c r="H881" i="23"/>
  <c r="F2313" i="23"/>
  <c r="D1215" i="23"/>
  <c r="G721" i="23"/>
  <c r="F2356" i="23"/>
  <c r="B220" i="23"/>
  <c r="F76" i="22"/>
  <c r="A298" i="22"/>
  <c r="G461" i="23"/>
  <c r="B695" i="23"/>
  <c r="D797" i="23"/>
  <c r="G788" i="23"/>
  <c r="D234" i="23"/>
  <c r="A624" i="23"/>
  <c r="D859" i="23"/>
  <c r="H187" i="23"/>
  <c r="C136" i="22"/>
  <c r="E1967" i="23"/>
  <c r="C1007" i="23"/>
  <c r="C413" i="22"/>
  <c r="F2961" i="23"/>
  <c r="F2204" i="23"/>
  <c r="B199" i="22"/>
  <c r="B1410" i="23"/>
  <c r="D2313" i="23"/>
  <c r="H42" i="23"/>
  <c r="C735" i="23"/>
  <c r="H1331" i="23"/>
  <c r="F2593" i="23"/>
  <c r="E738" i="23"/>
  <c r="C1460" i="23"/>
  <c r="H1447" i="23"/>
  <c r="D393" i="23"/>
  <c r="H1004" i="23"/>
  <c r="B1829" i="23"/>
  <c r="B2120" i="23"/>
  <c r="D1933" i="23"/>
  <c r="G1711" i="23"/>
  <c r="C320" i="23"/>
  <c r="F979" i="23"/>
  <c r="C988" i="23"/>
  <c r="A2014" i="23"/>
  <c r="G2327" i="23"/>
  <c r="B553" i="23"/>
  <c r="E1403" i="23"/>
  <c r="F2439" i="23"/>
  <c r="E1353" i="23"/>
  <c r="B2201" i="23"/>
  <c r="G675" i="23"/>
  <c r="E2086" i="23"/>
  <c r="A935" i="23"/>
  <c r="D863" i="23"/>
  <c r="F2101" i="23"/>
  <c r="C133" i="22"/>
  <c r="E1063" i="23"/>
  <c r="C1635" i="23"/>
  <c r="C497" i="23"/>
  <c r="C1921" i="23"/>
  <c r="F1589" i="23"/>
  <c r="B780" i="23"/>
  <c r="E790" i="23"/>
  <c r="H512" i="23"/>
  <c r="G2790" i="23"/>
  <c r="G167" i="22"/>
  <c r="D960" i="23"/>
  <c r="F1530" i="23"/>
  <c r="D815" i="23"/>
  <c r="E348" i="23"/>
  <c r="F27" i="23"/>
  <c r="C1713" i="23"/>
  <c r="F238" i="22"/>
  <c r="D341" i="22"/>
  <c r="F944" i="23"/>
  <c r="E1439" i="23"/>
  <c r="H2809" i="23"/>
  <c r="G960" i="23"/>
  <c r="B1630" i="23"/>
  <c r="A755" i="23"/>
  <c r="C334" i="23"/>
  <c r="B2244" i="23"/>
  <c r="A757" i="23"/>
  <c r="E1637" i="23"/>
  <c r="F124" i="23"/>
  <c r="E363" i="23"/>
  <c r="B1848" i="23"/>
  <c r="G989" i="23"/>
  <c r="H1353" i="23"/>
  <c r="E1991" i="23"/>
  <c r="E2127" i="23"/>
  <c r="H1768" i="23"/>
  <c r="F2459" i="23"/>
  <c r="H556" i="23"/>
  <c r="G1887" i="23"/>
  <c r="H48" i="22"/>
  <c r="H19" i="23"/>
  <c r="D343" i="22"/>
  <c r="E257" i="22"/>
  <c r="A157" i="22"/>
  <c r="A41" i="22"/>
  <c r="C182" i="22"/>
  <c r="H852" i="23"/>
  <c r="E1947" i="23"/>
  <c r="G2624" i="23"/>
  <c r="C289" i="23"/>
  <c r="D2114" i="23"/>
  <c r="G2928" i="23"/>
  <c r="C2154" i="23"/>
  <c r="G2121" i="23"/>
  <c r="E438" i="23"/>
  <c r="G1724" i="23"/>
  <c r="D2183" i="23"/>
  <c r="B1424" i="23"/>
  <c r="D769" i="23"/>
  <c r="E900" i="23"/>
  <c r="F137" i="22"/>
  <c r="D336" i="22"/>
  <c r="G1496" i="23"/>
  <c r="G2361" i="23"/>
  <c r="G1049" i="23"/>
  <c r="F2057" i="23"/>
  <c r="G1130" i="23"/>
  <c r="B2226" i="23"/>
  <c r="H1375" i="23"/>
  <c r="A2145" i="23"/>
  <c r="B770" i="23"/>
  <c r="E391" i="22"/>
  <c r="C1071" i="23"/>
  <c r="H2509" i="23"/>
  <c r="F1634" i="23"/>
  <c r="H2102" i="23"/>
  <c r="F16" i="22"/>
  <c r="C321" i="23"/>
  <c r="B2294" i="23"/>
  <c r="F2775" i="23"/>
  <c r="E1534" i="23"/>
  <c r="E311" i="23"/>
  <c r="F1296" i="23"/>
  <c r="A1129" i="23"/>
  <c r="E2077" i="23"/>
  <c r="B2275" i="23"/>
  <c r="B744" i="23"/>
  <c r="C785" i="23"/>
  <c r="F337" i="22"/>
  <c r="H892" i="23"/>
  <c r="H2805" i="23"/>
  <c r="B305" i="22"/>
  <c r="C1734" i="23"/>
  <c r="H1855" i="23"/>
  <c r="H355" i="23"/>
  <c r="B1152" i="23"/>
  <c r="G276" i="23"/>
  <c r="F934" i="23"/>
  <c r="A1450" i="23"/>
  <c r="G123" i="22"/>
  <c r="G2471" i="23"/>
  <c r="G1919" i="23"/>
  <c r="A93" i="22"/>
  <c r="B1328" i="23"/>
  <c r="H1613" i="23"/>
  <c r="C226" i="23"/>
  <c r="B1061" i="23"/>
  <c r="C1117" i="23"/>
  <c r="F1052" i="23"/>
  <c r="E824" i="23"/>
  <c r="F219" i="22"/>
  <c r="D117" i="23"/>
  <c r="C961" i="23"/>
  <c r="D612" i="23"/>
  <c r="G1490" i="23"/>
  <c r="C1596" i="23"/>
  <c r="C848" i="23"/>
  <c r="B1310" i="23"/>
  <c r="B1976" i="23"/>
  <c r="F1326" i="23"/>
  <c r="H434" i="23"/>
  <c r="E1011" i="23"/>
  <c r="F1933" i="23"/>
  <c r="H658" i="23"/>
  <c r="D1014" i="23"/>
  <c r="H1594" i="23"/>
  <c r="A2012" i="23"/>
  <c r="C105" i="23"/>
  <c r="A2237" i="23"/>
  <c r="F2427" i="23"/>
  <c r="E958" i="23"/>
  <c r="H336" i="23"/>
  <c r="H1169" i="23"/>
  <c r="A1321" i="23"/>
  <c r="B79" i="22"/>
  <c r="G2669" i="23"/>
  <c r="E524" i="23"/>
  <c r="A467" i="23"/>
  <c r="H33" i="22"/>
  <c r="G1291" i="23"/>
  <c r="H2503" i="23"/>
  <c r="H2394" i="23"/>
  <c r="D197" i="22"/>
  <c r="G936" i="23"/>
  <c r="F1008" i="23"/>
  <c r="D153" i="22"/>
  <c r="D2101" i="23"/>
  <c r="A1847" i="23"/>
  <c r="E780" i="23"/>
  <c r="H1623" i="23"/>
  <c r="D286" i="23"/>
  <c r="F2224" i="23"/>
  <c r="A1085" i="23"/>
  <c r="E1365" i="23"/>
  <c r="B2109" i="23"/>
  <c r="B1544" i="23"/>
  <c r="B1897" i="23"/>
  <c r="B29" i="22"/>
  <c r="E1486" i="23"/>
  <c r="A1812" i="23"/>
  <c r="A1613" i="23"/>
  <c r="A1824" i="23"/>
  <c r="E834" i="23"/>
  <c r="C421" i="23"/>
  <c r="F1806" i="23"/>
  <c r="C868" i="23"/>
  <c r="E903" i="23"/>
  <c r="A1822" i="23"/>
  <c r="B612" i="23"/>
  <c r="H2636" i="23"/>
  <c r="G2468" i="23"/>
  <c r="F2124" i="23"/>
  <c r="E2256" i="23"/>
  <c r="F510" i="23"/>
  <c r="F655" i="23"/>
  <c r="F8" i="22"/>
  <c r="F528" i="23"/>
  <c r="B1076" i="23"/>
  <c r="E945" i="23"/>
  <c r="B417" i="23"/>
  <c r="E1143" i="23"/>
  <c r="A839" i="23"/>
  <c r="D220" i="23"/>
  <c r="B405" i="23"/>
  <c r="H2484" i="23"/>
  <c r="F702" i="23"/>
  <c r="A1863" i="23"/>
  <c r="F60" i="22"/>
  <c r="H1312" i="23"/>
  <c r="E425" i="22"/>
  <c r="E2200" i="23"/>
  <c r="D1393" i="23"/>
  <c r="F1327" i="23"/>
  <c r="F2771" i="23"/>
  <c r="D1091" i="23"/>
  <c r="H839" i="23"/>
  <c r="E231" i="23"/>
  <c r="G2331" i="23"/>
  <c r="B2250" i="23"/>
  <c r="A1928" i="23"/>
  <c r="E1625" i="23"/>
  <c r="B2299" i="23"/>
  <c r="A27" i="23"/>
  <c r="H1722" i="23"/>
  <c r="C451" i="23"/>
  <c r="D1286" i="23"/>
  <c r="E73" i="22"/>
  <c r="G305" i="23"/>
  <c r="D2236" i="23"/>
  <c r="F892" i="23"/>
  <c r="H1162" i="23"/>
  <c r="F1964" i="23"/>
  <c r="F356" i="22"/>
  <c r="D1936" i="23"/>
  <c r="D375" i="23"/>
  <c r="D1981" i="23"/>
  <c r="C155" i="22"/>
  <c r="E787" i="23"/>
  <c r="E1933" i="23"/>
  <c r="E966" i="23"/>
  <c r="A1868" i="23"/>
  <c r="D637" i="23"/>
  <c r="C771" i="23"/>
  <c r="B433" i="23"/>
  <c r="F1702" i="23"/>
  <c r="H805" i="23"/>
  <c r="E536" i="23"/>
  <c r="H553" i="23"/>
  <c r="G1473" i="23"/>
  <c r="F980" i="23"/>
  <c r="F2810" i="23"/>
  <c r="G2108" i="23"/>
  <c r="B1618" i="23"/>
  <c r="D365" i="23"/>
  <c r="A1896" i="23"/>
  <c r="H1190" i="23"/>
  <c r="F402" i="23"/>
  <c r="H151" i="23"/>
  <c r="H1696" i="23"/>
  <c r="A192" i="23"/>
  <c r="G378" i="23"/>
  <c r="D1001" i="23"/>
  <c r="A2214" i="23"/>
  <c r="D604" i="23"/>
  <c r="D1881" i="23"/>
  <c r="G1099" i="23"/>
  <c r="H384" i="23"/>
  <c r="G2545" i="23"/>
  <c r="G227" i="23"/>
  <c r="B746" i="23"/>
  <c r="C1985" i="23"/>
  <c r="F1238" i="23"/>
  <c r="A111" i="22"/>
  <c r="H863" i="23"/>
  <c r="F2322" i="23"/>
  <c r="H720" i="23"/>
  <c r="E1597" i="23"/>
  <c r="B1517" i="23"/>
  <c r="G2983" i="23"/>
  <c r="A1724" i="23"/>
  <c r="H1115" i="23"/>
  <c r="E1131" i="23"/>
  <c r="A652" i="23"/>
  <c r="C1888" i="23"/>
  <c r="C259" i="23"/>
  <c r="G237" i="23"/>
  <c r="G2067" i="23"/>
  <c r="F2529" i="23"/>
  <c r="G1317" i="23"/>
  <c r="A30" i="22"/>
  <c r="H773" i="23"/>
  <c r="E2134" i="23"/>
  <c r="D1509" i="23"/>
  <c r="A52" i="22"/>
  <c r="F1234" i="23"/>
  <c r="E2233" i="23"/>
  <c r="G1507" i="23"/>
  <c r="A1912" i="23"/>
  <c r="H645" i="23"/>
  <c r="B227" i="22"/>
  <c r="G946" i="23"/>
  <c r="A5" i="23"/>
  <c r="F685" i="23"/>
  <c r="F2366" i="23"/>
  <c r="F1361" i="23"/>
  <c r="C410" i="23"/>
  <c r="G1807" i="23"/>
  <c r="F1454" i="23"/>
  <c r="D26" i="23"/>
  <c r="G876" i="23"/>
  <c r="F2327" i="23"/>
  <c r="G1540" i="23"/>
  <c r="H188" i="23"/>
  <c r="D925" i="23"/>
  <c r="F1853" i="23"/>
  <c r="B480" i="23"/>
  <c r="C1616" i="23"/>
  <c r="D1760" i="23"/>
  <c r="G1163" i="23"/>
  <c r="A130" i="22"/>
  <c r="F1584" i="23"/>
  <c r="F1811" i="23"/>
  <c r="F1538" i="23"/>
  <c r="B436" i="23"/>
  <c r="E517" i="23"/>
  <c r="B1087" i="23"/>
  <c r="A1207" i="23"/>
  <c r="D1144" i="23"/>
  <c r="F822" i="23"/>
  <c r="A2100" i="23"/>
  <c r="E331" i="22"/>
  <c r="G671" i="23"/>
  <c r="F1861" i="23"/>
  <c r="B1520" i="23"/>
  <c r="G1528" i="23"/>
  <c r="E897" i="23"/>
  <c r="E2059" i="23"/>
  <c r="B216" i="23"/>
  <c r="B543" i="23"/>
  <c r="E1822" i="23"/>
  <c r="G2555" i="23"/>
  <c r="A1680" i="23"/>
  <c r="D1123" i="23"/>
  <c r="H906" i="23"/>
  <c r="H2867" i="23"/>
  <c r="D47" i="23"/>
  <c r="G1091" i="23"/>
  <c r="G112" i="22"/>
  <c r="E298" i="22"/>
  <c r="F1937" i="23"/>
  <c r="F617" i="23"/>
  <c r="G300" i="22"/>
  <c r="G732" i="23"/>
  <c r="B881" i="23"/>
  <c r="D2308" i="23"/>
  <c r="E1061" i="23"/>
  <c r="D794" i="23"/>
  <c r="A1845" i="23"/>
  <c r="B1607" i="23"/>
  <c r="G1328" i="23"/>
  <c r="C264" i="22"/>
  <c r="D1504" i="23"/>
  <c r="A1102" i="23"/>
  <c r="E2283" i="23"/>
  <c r="G2919" i="23"/>
  <c r="F29" i="22"/>
  <c r="G910" i="23"/>
  <c r="E2148" i="23"/>
  <c r="A512" i="23"/>
  <c r="D282" i="23"/>
  <c r="H174" i="23"/>
  <c r="H1379" i="23"/>
  <c r="E107" i="23"/>
  <c r="D694" i="23"/>
  <c r="B1563" i="23"/>
  <c r="F73" i="23"/>
  <c r="A334" i="23"/>
  <c r="F2467" i="23"/>
  <c r="F2672" i="23"/>
  <c r="G920" i="23"/>
  <c r="B330" i="22"/>
  <c r="D186" i="22"/>
  <c r="H1143" i="23"/>
  <c r="H409" i="23"/>
  <c r="B1571" i="23"/>
  <c r="F202" i="23"/>
  <c r="H575" i="23"/>
  <c r="G381" i="23"/>
  <c r="D1177" i="23"/>
  <c r="A1337" i="23"/>
  <c r="E1702" i="23"/>
  <c r="G485" i="23"/>
  <c r="A1191" i="23"/>
  <c r="B1205" i="23"/>
  <c r="E2212" i="23"/>
  <c r="E784" i="23"/>
  <c r="H559" i="23"/>
  <c r="A81" i="23"/>
  <c r="A2183" i="23"/>
  <c r="E2211" i="23"/>
  <c r="B1344" i="23"/>
  <c r="B1524" i="23"/>
  <c r="G2473" i="23"/>
  <c r="B2156" i="23"/>
  <c r="B2143" i="23"/>
  <c r="C2001" i="23"/>
  <c r="E1880" i="23"/>
  <c r="E274" i="23"/>
  <c r="F328" i="23"/>
  <c r="G1628" i="23"/>
  <c r="A258" i="22"/>
  <c r="H521" i="23"/>
  <c r="H2025" i="23"/>
  <c r="C1664" i="23"/>
  <c r="E1759" i="23"/>
  <c r="F1467" i="23"/>
  <c r="F2382" i="23"/>
  <c r="A6" i="23"/>
  <c r="F1291" i="23"/>
  <c r="G212" i="23"/>
  <c r="F453" i="23"/>
  <c r="F2512" i="23"/>
  <c r="F1461" i="23"/>
  <c r="G1359" i="23"/>
  <c r="E716" i="23"/>
  <c r="G1896" i="23"/>
  <c r="G1788" i="23"/>
  <c r="F2639" i="23"/>
  <c r="C329" i="22"/>
  <c r="C636" i="23"/>
  <c r="A424" i="22"/>
  <c r="H2020" i="23"/>
  <c r="B133" i="23"/>
  <c r="H1751" i="23"/>
  <c r="B5" i="22"/>
  <c r="C1323" i="23"/>
  <c r="B328" i="22"/>
  <c r="C1488" i="23"/>
  <c r="H1914" i="23"/>
  <c r="D1323" i="23"/>
  <c r="F1518" i="23"/>
  <c r="B542" i="23"/>
  <c r="F2882" i="23"/>
  <c r="B2103" i="23"/>
  <c r="C106" i="23"/>
  <c r="D86" i="23"/>
  <c r="F2684" i="23"/>
  <c r="C1225" i="23"/>
  <c r="A392" i="23"/>
  <c r="C1247" i="23"/>
  <c r="F2266" i="23"/>
  <c r="H487" i="23"/>
  <c r="H1703" i="23"/>
  <c r="A59" i="22"/>
  <c r="C100" i="23"/>
  <c r="H1181" i="23"/>
  <c r="B947" i="23"/>
  <c r="G1454" i="23"/>
  <c r="D9" i="23"/>
  <c r="F233" i="22"/>
  <c r="A1114" i="23"/>
  <c r="F2004" i="23"/>
  <c r="A190" i="23"/>
  <c r="F856" i="23"/>
  <c r="H835" i="23"/>
  <c r="G637" i="23"/>
  <c r="E1471" i="23"/>
  <c r="B779" i="23"/>
  <c r="F1005" i="23"/>
  <c r="G1728" i="23"/>
  <c r="C2065" i="23"/>
  <c r="C232" i="22"/>
  <c r="H2983" i="23"/>
  <c r="G2405" i="23"/>
  <c r="E1121" i="23"/>
  <c r="A1075" i="23"/>
  <c r="G1170" i="23"/>
  <c r="E329" i="23"/>
  <c r="C394" i="22"/>
  <c r="E2044" i="23"/>
  <c r="H441" i="23"/>
  <c r="F2764" i="23"/>
  <c r="A1036" i="23"/>
  <c r="D698" i="23"/>
  <c r="D1327" i="23"/>
  <c r="C639" i="23"/>
  <c r="D1151" i="23"/>
  <c r="C543" i="23"/>
  <c r="A1819" i="23"/>
  <c r="A550" i="23"/>
  <c r="A65" i="22"/>
  <c r="H356" i="23"/>
  <c r="F769" i="23"/>
  <c r="C1708" i="23"/>
  <c r="D385" i="23"/>
  <c r="A1625" i="23"/>
  <c r="G1392" i="23"/>
  <c r="D1239" i="23"/>
  <c r="A960" i="23"/>
  <c r="A1678" i="23"/>
  <c r="G76" i="23"/>
  <c r="D1403" i="23"/>
  <c r="H1480" i="23"/>
  <c r="H1871" i="23"/>
  <c r="G328" i="23"/>
  <c r="F2206" i="23"/>
  <c r="F2780" i="23"/>
  <c r="G2400" i="23"/>
  <c r="G2857" i="23"/>
  <c r="H1887" i="23"/>
  <c r="B1472" i="23"/>
  <c r="D530" i="23"/>
  <c r="G2743" i="23"/>
  <c r="E430" i="23"/>
  <c r="F2087" i="23"/>
  <c r="B1244" i="23"/>
  <c r="D1648" i="23"/>
  <c r="E133" i="22"/>
  <c r="F2069" i="23"/>
  <c r="H2860" i="23"/>
  <c r="H2615" i="23"/>
  <c r="E1038" i="23"/>
  <c r="A1232" i="23"/>
  <c r="C183" i="22"/>
  <c r="B155" i="22"/>
  <c r="F430" i="23"/>
  <c r="H2410" i="23"/>
  <c r="H2560" i="23"/>
  <c r="F201" i="23"/>
  <c r="H1835" i="23"/>
  <c r="C44" i="22"/>
  <c r="H1795" i="23"/>
  <c r="F116" i="22"/>
  <c r="C1945" i="23"/>
  <c r="D1535" i="23"/>
  <c r="B1589" i="23"/>
  <c r="B1356" i="23"/>
  <c r="H2553" i="23"/>
  <c r="C2288" i="23"/>
  <c r="E158" i="23"/>
  <c r="F2943" i="23"/>
  <c r="C425" i="22"/>
  <c r="F2258" i="23"/>
  <c r="F1477" i="23"/>
  <c r="A121" i="22"/>
  <c r="A1712" i="23"/>
  <c r="G251" i="23"/>
  <c r="B2071" i="23"/>
  <c r="H2" i="23"/>
  <c r="E210" i="23"/>
  <c r="A644" i="23"/>
  <c r="A1594" i="23"/>
  <c r="F600" i="23"/>
  <c r="F2359" i="23"/>
  <c r="H1408" i="23"/>
  <c r="F462" i="23"/>
  <c r="F863" i="23"/>
  <c r="C462" i="23"/>
  <c r="C360" i="23"/>
  <c r="F2108" i="23"/>
  <c r="F261" i="22"/>
  <c r="C1654" i="23"/>
  <c r="H2162" i="23"/>
  <c r="A2089" i="23"/>
  <c r="A951" i="23"/>
  <c r="G693" i="23"/>
  <c r="C370" i="23"/>
  <c r="B1710" i="23"/>
  <c r="D352" i="23"/>
  <c r="H2391" i="23"/>
  <c r="A1113" i="23"/>
  <c r="B1516" i="23"/>
  <c r="F375" i="23"/>
  <c r="B997" i="23"/>
  <c r="D50" i="22"/>
  <c r="F2474" i="23"/>
  <c r="B356" i="22"/>
  <c r="B197" i="22"/>
  <c r="G1175" i="23"/>
  <c r="C1680" i="23"/>
  <c r="A1794" i="23"/>
  <c r="B1245" i="23"/>
  <c r="A1261" i="23"/>
  <c r="B1748" i="23"/>
  <c r="E1663" i="23"/>
  <c r="D2075" i="23"/>
  <c r="G363" i="23"/>
  <c r="D681" i="23"/>
  <c r="H246" i="23"/>
  <c r="H896" i="23"/>
  <c r="G2510" i="23"/>
  <c r="H1573" i="23"/>
  <c r="F348" i="23"/>
  <c r="A146" i="23"/>
  <c r="G1853" i="23"/>
  <c r="F2488" i="23"/>
  <c r="E864" i="23"/>
  <c r="A625" i="23"/>
  <c r="E1559" i="23"/>
  <c r="F2677" i="23"/>
  <c r="F1993" i="23"/>
  <c r="H2817" i="23"/>
  <c r="G320" i="23"/>
  <c r="A914" i="23"/>
  <c r="F648" i="23"/>
  <c r="G2460" i="23"/>
  <c r="H1056" i="23"/>
  <c r="G12" i="22"/>
  <c r="D1246" i="23"/>
  <c r="G2256" i="23"/>
  <c r="F231" i="23"/>
  <c r="G177" i="22"/>
  <c r="G1123" i="23"/>
  <c r="D1040" i="23"/>
  <c r="E1147" i="23"/>
  <c r="D523" i="23"/>
  <c r="E1491" i="23"/>
  <c r="C280" i="22"/>
  <c r="F249" i="23"/>
  <c r="D206" i="22"/>
  <c r="B6" i="22"/>
  <c r="D85" i="23"/>
  <c r="B313" i="23"/>
  <c r="H284" i="23"/>
  <c r="D1700" i="23"/>
  <c r="A621" i="23"/>
  <c r="G146" i="22"/>
  <c r="B27" i="23"/>
  <c r="E2245" i="23"/>
  <c r="H2448" i="23"/>
  <c r="A589" i="23"/>
  <c r="F535" i="23"/>
  <c r="F2374" i="23"/>
  <c r="G501" i="23"/>
  <c r="C2301" i="23"/>
  <c r="B1754" i="23"/>
  <c r="B1379" i="23"/>
  <c r="C177" i="23"/>
  <c r="H99" i="22"/>
  <c r="H918" i="23"/>
  <c r="C173" i="23"/>
  <c r="F2708" i="23"/>
  <c r="H1530" i="23"/>
  <c r="F1060" i="23"/>
  <c r="D103" i="22"/>
  <c r="B739" i="23"/>
  <c r="F9" i="23"/>
  <c r="D920" i="23"/>
  <c r="H2402" i="23"/>
  <c r="E404" i="22"/>
  <c r="H2078" i="23"/>
  <c r="E1187" i="23"/>
  <c r="H783" i="23"/>
  <c r="D283" i="22"/>
  <c r="G1086" i="23"/>
  <c r="E681" i="23"/>
  <c r="H2479" i="23"/>
  <c r="G49" i="23"/>
  <c r="A645" i="23"/>
  <c r="F83" i="22"/>
  <c r="C1649" i="23"/>
  <c r="G1634" i="23"/>
  <c r="A1536" i="23"/>
  <c r="F1847" i="23"/>
  <c r="E314" i="22"/>
  <c r="F287" i="23"/>
  <c r="H2985" i="23"/>
  <c r="A2156" i="23"/>
  <c r="C101" i="23"/>
  <c r="F1020" i="23"/>
  <c r="E2130" i="23"/>
  <c r="H2206" i="23"/>
  <c r="B603" i="23"/>
  <c r="H1646" i="23"/>
  <c r="B1341" i="23"/>
  <c r="D1909" i="23"/>
  <c r="F413" i="22"/>
  <c r="E609" i="23"/>
  <c r="E164" i="22"/>
  <c r="H710" i="23"/>
  <c r="B62" i="23"/>
  <c r="A1741" i="23"/>
  <c r="D286" i="22"/>
  <c r="G170" i="22"/>
  <c r="A154" i="22"/>
  <c r="E925" i="23"/>
  <c r="E2105" i="23"/>
  <c r="A283" i="22"/>
  <c r="D669" i="23"/>
  <c r="C933" i="23"/>
  <c r="H271" i="22"/>
  <c r="C2275" i="23"/>
  <c r="C1451" i="23"/>
  <c r="G947" i="23"/>
  <c r="C350" i="23"/>
  <c r="C1346" i="23"/>
  <c r="C75" i="23"/>
  <c r="A1758" i="23"/>
  <c r="C1824" i="23"/>
  <c r="H1178" i="23"/>
  <c r="E1205" i="23"/>
  <c r="B1394" i="23"/>
  <c r="E1150" i="23"/>
  <c r="E1034" i="23"/>
  <c r="E213" i="22"/>
  <c r="A61" i="23"/>
  <c r="B2167" i="23"/>
  <c r="D548" i="23"/>
  <c r="C230" i="22"/>
  <c r="C479" i="23"/>
  <c r="H2003" i="23"/>
  <c r="E295" i="23"/>
  <c r="H779" i="23"/>
  <c r="A1267" i="23"/>
  <c r="C2058" i="23"/>
  <c r="A232" i="22"/>
  <c r="A2317" i="23"/>
  <c r="C1668" i="23"/>
  <c r="B589" i="23"/>
  <c r="E2160" i="23"/>
  <c r="B153" i="22"/>
  <c r="E367" i="22"/>
  <c r="F1709" i="23"/>
  <c r="H1492" i="23"/>
  <c r="C701" i="23"/>
  <c r="G1599" i="23"/>
  <c r="B1664" i="23"/>
  <c r="B96" i="22"/>
  <c r="G2564" i="23"/>
  <c r="B210" i="22"/>
  <c r="F419" i="23"/>
  <c r="C1062" i="23"/>
  <c r="H50" i="22"/>
  <c r="G2828" i="23"/>
  <c r="C2203" i="23"/>
  <c r="C363" i="22"/>
  <c r="E2155" i="23"/>
  <c r="A1470" i="23"/>
  <c r="F1639" i="23"/>
  <c r="B1833" i="23"/>
  <c r="E1480" i="23"/>
  <c r="B36" i="23"/>
  <c r="A12" i="23"/>
  <c r="A306" i="23"/>
  <c r="H1117" i="23"/>
  <c r="H1036" i="23"/>
  <c r="F2975" i="23"/>
  <c r="C99" i="22"/>
  <c r="G870" i="23"/>
  <c r="F589" i="23"/>
  <c r="E11" i="22"/>
  <c r="H1728" i="23"/>
  <c r="B2083" i="23"/>
  <c r="G2299" i="23"/>
  <c r="D12" i="22"/>
  <c r="B65" i="22"/>
  <c r="G1241" i="23"/>
  <c r="A1811" i="23"/>
  <c r="F2093" i="23"/>
  <c r="F824" i="23"/>
  <c r="E2300" i="23"/>
  <c r="C554" i="23"/>
  <c r="B2210" i="23"/>
  <c r="D1209" i="23"/>
  <c r="G918" i="23"/>
  <c r="G2497" i="23"/>
  <c r="G824" i="23"/>
  <c r="H1654" i="23"/>
  <c r="F2871" i="23"/>
  <c r="C238" i="22"/>
  <c r="C1467" i="23"/>
  <c r="C770" i="23"/>
  <c r="A488" i="23"/>
  <c r="D901" i="23"/>
  <c r="G290" i="23"/>
  <c r="B735" i="23"/>
  <c r="G852" i="23"/>
  <c r="G2752" i="23"/>
  <c r="F1110" i="23"/>
  <c r="A921" i="23"/>
  <c r="D411" i="23"/>
  <c r="A1527" i="23"/>
  <c r="H2613" i="23"/>
  <c r="H941" i="23"/>
  <c r="F2587" i="23"/>
  <c r="D762" i="23"/>
  <c r="A182" i="23"/>
  <c r="B1903" i="23"/>
  <c r="H478" i="23"/>
  <c r="F268" i="22"/>
  <c r="B145" i="22"/>
  <c r="G2306" i="23"/>
  <c r="F260" i="23"/>
  <c r="B1883" i="23"/>
  <c r="G365" i="23"/>
  <c r="C1915" i="23"/>
  <c r="F1761" i="23"/>
  <c r="C1771" i="23"/>
  <c r="G2096" i="23"/>
  <c r="F1951" i="23"/>
  <c r="F1899" i="23"/>
  <c r="G584" i="23"/>
  <c r="F100" i="22"/>
  <c r="B2199" i="23"/>
  <c r="B1716" i="23"/>
  <c r="H2695" i="23"/>
  <c r="B1407" i="23"/>
  <c r="G2268" i="23"/>
  <c r="F333" i="23"/>
  <c r="C476" i="23"/>
  <c r="E1998" i="23"/>
  <c r="E1538" i="23"/>
  <c r="B238" i="23"/>
  <c r="G2186" i="23"/>
  <c r="B1083" i="23"/>
  <c r="H2977" i="23"/>
  <c r="A1827" i="23"/>
  <c r="C1876" i="23"/>
  <c r="G90" i="22"/>
  <c r="D257" i="23"/>
  <c r="H571" i="23"/>
  <c r="D2186" i="23"/>
  <c r="B1553" i="23"/>
  <c r="H704" i="23"/>
  <c r="B1147" i="23"/>
  <c r="D1888" i="23"/>
  <c r="E1119" i="23"/>
  <c r="A867" i="23"/>
  <c r="F819" i="23"/>
  <c r="A1203" i="23"/>
  <c r="H2533" i="23"/>
  <c r="B360" i="23"/>
  <c r="F1884" i="23"/>
  <c r="C355" i="23"/>
  <c r="A1675" i="23"/>
  <c r="F915" i="23"/>
  <c r="D1186" i="23"/>
  <c r="A1952" i="23"/>
  <c r="C104" i="22"/>
  <c r="E339" i="22"/>
  <c r="B1801" i="23"/>
  <c r="C312" i="23"/>
  <c r="H1085" i="23"/>
  <c r="C398" i="22"/>
  <c r="A492" i="23"/>
  <c r="E1125" i="23"/>
  <c r="B1724" i="23"/>
  <c r="A87" i="22"/>
  <c r="B1032" i="23"/>
  <c r="C1311" i="23"/>
  <c r="B1201" i="23"/>
  <c r="H1166" i="23"/>
  <c r="D628" i="23"/>
  <c r="F2759" i="23"/>
  <c r="H134" i="23"/>
  <c r="F273" i="23"/>
  <c r="C789" i="23"/>
  <c r="F221" i="23"/>
  <c r="H824" i="23"/>
  <c r="H1982" i="23"/>
  <c r="G1872" i="23"/>
  <c r="D1772" i="23"/>
  <c r="B1096" i="23"/>
  <c r="G1674" i="23"/>
  <c r="H2806" i="23"/>
  <c r="A183" i="23"/>
  <c r="F690" i="23"/>
  <c r="B964" i="23"/>
  <c r="A241" i="23"/>
  <c r="G390" i="23"/>
  <c r="D225" i="23"/>
  <c r="H2873" i="23"/>
  <c r="A1901" i="23"/>
  <c r="G928" i="23"/>
  <c r="B363" i="23"/>
  <c r="D779" i="23"/>
  <c r="F236" i="23"/>
  <c r="B541" i="23"/>
  <c r="G2789" i="23"/>
  <c r="F613" i="23"/>
  <c r="D500" i="23"/>
  <c r="B1491" i="23"/>
  <c r="G76" i="22"/>
  <c r="B349" i="23"/>
  <c r="G1502" i="23"/>
  <c r="C208" i="22"/>
  <c r="G1420" i="23"/>
  <c r="G1756" i="23"/>
  <c r="F921" i="23"/>
  <c r="A265" i="22"/>
  <c r="G1765" i="23"/>
  <c r="B2082" i="23"/>
  <c r="F257" i="22"/>
  <c r="F1292" i="23"/>
  <c r="F939" i="23"/>
  <c r="H763" i="23"/>
  <c r="E1941" i="23"/>
  <c r="D92" i="23"/>
  <c r="F1994" i="23"/>
  <c r="C299" i="23"/>
  <c r="D998" i="23"/>
  <c r="H1706" i="23"/>
  <c r="D2240" i="23"/>
  <c r="C203" i="22"/>
  <c r="H2467" i="23"/>
  <c r="C2269" i="23"/>
  <c r="B59" i="23"/>
  <c r="F355" i="22"/>
  <c r="H2462" i="23"/>
  <c r="G1680" i="23"/>
  <c r="G1367" i="23"/>
  <c r="F2060" i="23"/>
  <c r="H2277" i="23"/>
  <c r="H1079" i="23"/>
  <c r="C53" i="22"/>
  <c r="B702" i="23"/>
  <c r="E433" i="23"/>
  <c r="F2367" i="23"/>
  <c r="D1590" i="23"/>
  <c r="A475" i="23"/>
  <c r="G762" i="23"/>
  <c r="G104" i="23"/>
  <c r="B320" i="23"/>
  <c r="D12" i="23"/>
  <c r="B333" i="22"/>
  <c r="A1774" i="23"/>
  <c r="B454" i="23"/>
  <c r="F635" i="23"/>
  <c r="A98" i="23"/>
  <c r="E1421" i="23"/>
  <c r="E743" i="23"/>
  <c r="C1139" i="23"/>
  <c r="H2122" i="23"/>
  <c r="E1022" i="23"/>
  <c r="G2759" i="23"/>
  <c r="E585" i="23"/>
  <c r="B1366" i="23"/>
  <c r="B1295" i="23"/>
  <c r="G552" i="23"/>
  <c r="B933" i="23"/>
  <c r="G145" i="22"/>
  <c r="B1392" i="23"/>
  <c r="D1122" i="23"/>
  <c r="C1412" i="23"/>
  <c r="H371" i="23"/>
  <c r="C1235" i="23"/>
  <c r="C1753" i="23"/>
  <c r="D1846" i="23"/>
  <c r="G1027" i="23"/>
  <c r="B271" i="23"/>
  <c r="C404" i="22"/>
  <c r="B1000" i="23"/>
  <c r="A591" i="23"/>
  <c r="A1756" i="23"/>
  <c r="G2519" i="23"/>
  <c r="A1454" i="23"/>
  <c r="E755" i="23"/>
  <c r="E593" i="23"/>
  <c r="F151" i="23"/>
  <c r="B1236" i="23"/>
  <c r="B1313" i="23"/>
  <c r="E130" i="23"/>
  <c r="D2293" i="23"/>
  <c r="A1662" i="23"/>
  <c r="E1690" i="23"/>
  <c r="H2746" i="23"/>
  <c r="D1548" i="23"/>
  <c r="F1172" i="23"/>
  <c r="C1975" i="23"/>
  <c r="F307" i="23"/>
  <c r="D1381" i="23"/>
  <c r="E2259" i="23"/>
  <c r="F1154" i="23"/>
  <c r="D1199" i="23"/>
  <c r="G2262" i="23"/>
  <c r="D1799" i="23"/>
  <c r="B1027" i="23"/>
  <c r="F2156" i="23"/>
  <c r="E1660" i="23"/>
  <c r="C1913" i="23"/>
  <c r="A1934" i="23"/>
  <c r="C201" i="22"/>
  <c r="D1330" i="23"/>
  <c r="E1461" i="23"/>
  <c r="F267" i="23"/>
  <c r="A1275" i="23"/>
  <c r="H1397" i="23"/>
  <c r="F798" i="23"/>
  <c r="H703" i="23"/>
  <c r="B584" i="23"/>
  <c r="E2273" i="23"/>
  <c r="C275" i="22"/>
  <c r="A1855" i="23"/>
  <c r="D602" i="23"/>
  <c r="E1588" i="23"/>
  <c r="F1592" i="23"/>
  <c r="F2395" i="23"/>
  <c r="H1105" i="23"/>
  <c r="G129" i="23"/>
  <c r="F170" i="23"/>
  <c r="F1383" i="23"/>
  <c r="F2827" i="23"/>
  <c r="C1822" i="23"/>
  <c r="D2247" i="23"/>
  <c r="G63" i="22"/>
  <c r="B352" i="23"/>
  <c r="D350" i="22"/>
  <c r="H2727" i="23"/>
  <c r="B844" i="23"/>
  <c r="A1015" i="23"/>
  <c r="D907" i="23"/>
  <c r="E2301" i="23"/>
  <c r="H780" i="23"/>
  <c r="E810" i="23"/>
  <c r="F433" i="23"/>
  <c r="H1889" i="23"/>
  <c r="E2246" i="23"/>
  <c r="C1520" i="23"/>
  <c r="B2112" i="23"/>
  <c r="E806" i="23"/>
  <c r="B2266" i="23"/>
  <c r="D657" i="23"/>
  <c r="A599" i="23"/>
  <c r="A1893" i="23"/>
  <c r="D2233" i="23"/>
  <c r="H428" i="23"/>
  <c r="A143" i="23"/>
  <c r="D1701" i="23"/>
  <c r="H2383" i="23"/>
  <c r="A725" i="23"/>
  <c r="B1373" i="23"/>
  <c r="D1653" i="23"/>
  <c r="F216" i="23"/>
  <c r="E281" i="22"/>
  <c r="B286" i="22"/>
  <c r="G522" i="23"/>
  <c r="G2993" i="23"/>
  <c r="F2190" i="23"/>
  <c r="G242" i="22"/>
  <c r="D2217" i="23"/>
  <c r="G1092" i="23"/>
  <c r="H2823" i="23"/>
  <c r="B1348" i="23"/>
  <c r="G2986" i="23"/>
  <c r="H1322" i="23"/>
  <c r="B657" i="23"/>
  <c r="A680" i="23"/>
  <c r="F2477" i="23"/>
  <c r="C300" i="23"/>
  <c r="C85" i="23"/>
  <c r="E853" i="23"/>
  <c r="E1032" i="23"/>
  <c r="B798" i="23"/>
  <c r="E6" i="23"/>
  <c r="D409" i="23"/>
  <c r="D807" i="23"/>
  <c r="D1054" i="23"/>
  <c r="C33" i="22"/>
  <c r="F1111" i="23"/>
  <c r="C2094" i="23"/>
  <c r="D19" i="23"/>
  <c r="C219" i="23"/>
  <c r="G1752" i="23"/>
  <c r="F281" i="22"/>
  <c r="G2137" i="23"/>
  <c r="H232" i="23"/>
  <c r="C1754" i="23"/>
  <c r="C41" i="22"/>
  <c r="D956" i="23"/>
  <c r="C2056" i="23"/>
  <c r="G1904" i="23"/>
  <c r="G2660" i="23"/>
  <c r="G185" i="22"/>
  <c r="A326" i="23"/>
  <c r="D1019" i="23"/>
  <c r="D1354" i="23"/>
  <c r="F2337" i="23"/>
  <c r="A1468" i="23"/>
  <c r="H1836" i="23"/>
  <c r="C1255" i="23"/>
  <c r="C2005" i="23"/>
  <c r="H2561" i="23"/>
  <c r="H1929" i="23"/>
  <c r="G1508" i="23"/>
  <c r="E115" i="22"/>
  <c r="A2304" i="23"/>
  <c r="E487" i="23"/>
  <c r="H2494" i="23"/>
  <c r="H1271" i="23"/>
  <c r="A2316" i="23"/>
  <c r="G905" i="23"/>
  <c r="A709" i="23"/>
  <c r="F302" i="23"/>
  <c r="C2216" i="23"/>
  <c r="F1024" i="23"/>
  <c r="D228" i="23"/>
  <c r="D1778" i="23"/>
  <c r="A2025" i="23"/>
  <c r="A796" i="23"/>
  <c r="H2763" i="23"/>
  <c r="H1427" i="23"/>
  <c r="H2551" i="23"/>
  <c r="E1344" i="23"/>
  <c r="C1195" i="23"/>
  <c r="G970" i="23"/>
  <c r="G2369" i="23"/>
  <c r="B1308" i="23"/>
  <c r="H215" i="23"/>
  <c r="F762" i="23"/>
  <c r="G1172" i="23"/>
  <c r="B1837" i="23"/>
  <c r="H274" i="22"/>
  <c r="H27" i="23"/>
  <c r="G2105" i="23"/>
  <c r="F2063" i="23"/>
  <c r="C240" i="22"/>
  <c r="G2733" i="23"/>
  <c r="D1469" i="23"/>
  <c r="E881" i="23"/>
  <c r="E1040" i="23"/>
  <c r="G94" i="23"/>
  <c r="F347" i="22"/>
  <c r="A339" i="23"/>
  <c r="F428" i="23"/>
  <c r="F905" i="23"/>
  <c r="H1868" i="23"/>
  <c r="B1935" i="23"/>
  <c r="C970" i="23"/>
  <c r="A1417" i="23"/>
  <c r="C184" i="23"/>
  <c r="H736" i="23"/>
  <c r="F504" i="23"/>
  <c r="F217" i="23"/>
  <c r="E1278" i="23"/>
  <c r="B2200" i="23"/>
  <c r="F1534" i="23"/>
  <c r="C157" i="23"/>
  <c r="B1058" i="23"/>
  <c r="E1129" i="23"/>
  <c r="G1700" i="23"/>
  <c r="G374" i="22"/>
  <c r="F108" i="22"/>
  <c r="E135" i="22"/>
  <c r="C321" i="22"/>
  <c r="H2917" i="23"/>
  <c r="A1293" i="23"/>
  <c r="H2430" i="23"/>
  <c r="C1469" i="23"/>
  <c r="H1567" i="23"/>
  <c r="F821" i="23"/>
  <c r="C143" i="23"/>
  <c r="F2376" i="23"/>
  <c r="A32" i="23"/>
  <c r="A373" i="23"/>
  <c r="H2321" i="23"/>
  <c r="G1616" i="23"/>
  <c r="B122" i="23"/>
  <c r="G793" i="23"/>
  <c r="B80" i="22"/>
  <c r="H734" i="23"/>
  <c r="F1186" i="23"/>
  <c r="F1593" i="23"/>
  <c r="D1708" i="23"/>
  <c r="F2629" i="23"/>
  <c r="G1794" i="23"/>
  <c r="E291" i="22"/>
  <c r="A1120" i="23"/>
  <c r="C1697" i="23"/>
  <c r="A1018" i="23"/>
  <c r="B48" i="22"/>
  <c r="B927" i="23"/>
  <c r="E25" i="23"/>
  <c r="E672" i="23"/>
  <c r="C304" i="23"/>
  <c r="A183" i="22"/>
  <c r="E1613" i="23"/>
  <c r="F1970" i="23"/>
  <c r="B1396" i="23"/>
  <c r="H459" i="23"/>
  <c r="A1230" i="23"/>
  <c r="E300" i="22"/>
  <c r="H2384" i="23"/>
  <c r="D574" i="23"/>
  <c r="A930" i="23"/>
  <c r="G375" i="22"/>
  <c r="D397" i="22"/>
  <c r="C1425" i="23"/>
  <c r="H2417" i="23"/>
  <c r="D867" i="23"/>
  <c r="B1576" i="23"/>
  <c r="D1786" i="23"/>
  <c r="B732" i="23"/>
  <c r="D29" i="22"/>
  <c r="C851" i="23"/>
  <c r="F2126" i="23"/>
  <c r="F2618" i="23"/>
  <c r="G2503" i="23"/>
  <c r="F994" i="23"/>
  <c r="B1497" i="23"/>
  <c r="G1703" i="23"/>
  <c r="B1852" i="23"/>
  <c r="E223" i="22"/>
  <c r="D301" i="22"/>
  <c r="H1066" i="23"/>
  <c r="A352" i="22"/>
  <c r="H2633" i="23"/>
  <c r="A2165" i="23"/>
  <c r="F498" i="23"/>
  <c r="G1344" i="23"/>
  <c r="G236" i="22"/>
  <c r="A193" i="22"/>
  <c r="A1830" i="23"/>
  <c r="F2551" i="23"/>
  <c r="H1349" i="23"/>
  <c r="F2732" i="23"/>
  <c r="G257" i="22"/>
  <c r="F340" i="22"/>
  <c r="A748" i="23"/>
  <c r="H712" i="23"/>
  <c r="B1884" i="23"/>
  <c r="D1276" i="23"/>
  <c r="E1816" i="23"/>
  <c r="E1133" i="23"/>
  <c r="H2941" i="23"/>
  <c r="A1382" i="23"/>
  <c r="H1541" i="23"/>
  <c r="A74" i="22"/>
  <c r="C180" i="22"/>
  <c r="F425" i="23"/>
  <c r="G959" i="23"/>
  <c r="H2658" i="23"/>
  <c r="H2038" i="23"/>
  <c r="C212" i="23"/>
  <c r="F1398" i="23"/>
  <c r="C395" i="22"/>
  <c r="F1921" i="23"/>
  <c r="E1620" i="23"/>
  <c r="D805" i="23"/>
  <c r="H71" i="23"/>
  <c r="G2082" i="23"/>
  <c r="E486" i="23"/>
  <c r="B1045" i="23"/>
  <c r="D1759" i="23"/>
  <c r="F152" i="22"/>
  <c r="H2416" i="23"/>
  <c r="G2243" i="23"/>
  <c r="H2123" i="23"/>
  <c r="B1879" i="23"/>
  <c r="G2200" i="23"/>
  <c r="H667" i="23"/>
  <c r="B1286" i="23"/>
  <c r="H2232" i="23"/>
  <c r="A2074" i="23"/>
  <c r="F516" i="23"/>
  <c r="C358" i="22"/>
  <c r="F85" i="22"/>
  <c r="G154" i="23"/>
  <c r="A1096" i="23"/>
  <c r="B248" i="22"/>
  <c r="D1882" i="23"/>
  <c r="B1232" i="23"/>
  <c r="B2004" i="23"/>
  <c r="B2036" i="23"/>
  <c r="B169" i="23"/>
  <c r="F200" i="22"/>
  <c r="D501" i="23"/>
  <c r="D63" i="23"/>
  <c r="E233" i="23"/>
  <c r="B160" i="23"/>
  <c r="D111" i="22"/>
  <c r="B1998" i="23"/>
  <c r="F154" i="22"/>
  <c r="C263" i="22"/>
  <c r="H723" i="23"/>
  <c r="H2871" i="23"/>
  <c r="B1535" i="23"/>
  <c r="A1406" i="23"/>
  <c r="C2293" i="23"/>
  <c r="A70" i="22"/>
  <c r="A1919" i="23"/>
  <c r="B2205" i="23"/>
  <c r="B372" i="22"/>
  <c r="C71" i="23"/>
  <c r="G1949" i="23"/>
  <c r="B418" i="23"/>
  <c r="B1669" i="23"/>
  <c r="C1307" i="23"/>
  <c r="H593" i="23"/>
  <c r="E176" i="23"/>
  <c r="G153" i="23"/>
  <c r="E637" i="23"/>
  <c r="G1899" i="23"/>
  <c r="A1296" i="23"/>
  <c r="F2562" i="23"/>
  <c r="G688" i="23"/>
  <c r="H2961" i="23"/>
  <c r="G422" i="22"/>
  <c r="G2348" i="23"/>
  <c r="A2241" i="23"/>
  <c r="C200" i="23"/>
  <c r="B1470" i="23"/>
  <c r="H367" i="23"/>
  <c r="A223" i="22"/>
  <c r="H2261" i="23"/>
  <c r="F1919" i="23"/>
  <c r="C1132" i="23"/>
  <c r="F148" i="23"/>
  <c r="H2999" i="23"/>
  <c r="C656" i="23"/>
  <c r="D428" i="23"/>
  <c r="H509" i="23"/>
  <c r="A1144" i="23"/>
  <c r="B1094" i="23"/>
  <c r="G2323" i="23"/>
  <c r="F2015" i="23"/>
  <c r="B1130" i="23"/>
  <c r="A953" i="23"/>
  <c r="C984" i="23"/>
  <c r="G2610" i="23"/>
  <c r="E1412" i="23"/>
  <c r="C470" i="23"/>
  <c r="A857" i="23"/>
  <c r="A852" i="23"/>
  <c r="D297" i="23"/>
  <c r="E2164" i="23"/>
  <c r="A191" i="22"/>
  <c r="C1076" i="23"/>
  <c r="E1234" i="23"/>
  <c r="E1940" i="23"/>
  <c r="A402" i="22"/>
  <c r="A37" i="23"/>
  <c r="D170" i="23"/>
  <c r="E461" i="23"/>
  <c r="B1104" i="23"/>
  <c r="C2189" i="23"/>
  <c r="B375" i="22"/>
  <c r="B676" i="23"/>
  <c r="H987" i="23"/>
  <c r="F415" i="22"/>
  <c r="F587" i="23"/>
  <c r="E1666" i="23"/>
  <c r="F2881" i="23"/>
  <c r="B281" i="22"/>
  <c r="B1781" i="23"/>
  <c r="F1252" i="23"/>
  <c r="E902" i="23"/>
  <c r="G958" i="23"/>
  <c r="A771" i="23"/>
  <c r="H2948" i="23"/>
  <c r="A1332" i="23"/>
  <c r="E512" i="23"/>
  <c r="E955" i="23"/>
  <c r="D614" i="23"/>
  <c r="H2687" i="23"/>
  <c r="B1973" i="23"/>
  <c r="E1190" i="23"/>
  <c r="C409" i="23"/>
  <c r="H181" i="23"/>
  <c r="D1833" i="23"/>
  <c r="H2927" i="23"/>
  <c r="F2034" i="23"/>
  <c r="A1922" i="23"/>
  <c r="F577" i="23"/>
  <c r="F499" i="23"/>
  <c r="E1077" i="23"/>
  <c r="D2008" i="23"/>
  <c r="H729" i="23"/>
  <c r="H913" i="23"/>
  <c r="B566" i="23"/>
  <c r="G999" i="23"/>
  <c r="G180" i="22"/>
  <c r="A756" i="23"/>
  <c r="B303" i="23"/>
  <c r="F9" i="22"/>
  <c r="A336" i="23"/>
  <c r="H1356" i="23"/>
  <c r="G1685" i="23"/>
  <c r="G1814" i="23"/>
  <c r="F2907" i="23"/>
  <c r="F2234" i="23"/>
  <c r="D1622" i="23"/>
  <c r="F2353" i="23"/>
  <c r="F2304" i="23"/>
  <c r="B2198" i="23"/>
  <c r="H2545" i="23"/>
  <c r="E60" i="22"/>
  <c r="G28" i="22"/>
  <c r="G216" i="23"/>
  <c r="D272" i="22"/>
  <c r="C1156" i="23"/>
  <c r="E116" i="22"/>
  <c r="A1535" i="23"/>
  <c r="D45" i="23"/>
  <c r="B740" i="23"/>
  <c r="D655" i="23"/>
  <c r="E1056" i="23"/>
  <c r="H801" i="23"/>
  <c r="F214" i="23"/>
  <c r="F820" i="23"/>
  <c r="H746" i="23"/>
  <c r="G29" i="23"/>
  <c r="E27" i="22"/>
  <c r="A249" i="22"/>
  <c r="F1946" i="23"/>
  <c r="E660" i="23"/>
  <c r="G2532" i="23"/>
  <c r="H1203" i="23"/>
  <c r="B1566" i="23"/>
  <c r="D2210" i="23"/>
  <c r="D1537" i="23"/>
  <c r="C175" i="23"/>
  <c r="B339" i="23"/>
  <c r="D2018" i="23"/>
  <c r="D2305" i="23"/>
  <c r="G318" i="22"/>
  <c r="H976" i="23"/>
  <c r="C1092" i="23"/>
  <c r="F2445" i="23"/>
  <c r="A690" i="23"/>
  <c r="A1658" i="23"/>
  <c r="C420" i="22"/>
  <c r="E195" i="23"/>
  <c r="B1259" i="23"/>
  <c r="C1940" i="23"/>
  <c r="E7" i="22"/>
  <c r="B261" i="23"/>
  <c r="A1874" i="23"/>
  <c r="D1811" i="23"/>
  <c r="G2011" i="23"/>
  <c r="A1717" i="23"/>
  <c r="G854" i="23"/>
  <c r="G61" i="23"/>
  <c r="F2803" i="23"/>
  <c r="H1941" i="23"/>
  <c r="G492" i="23"/>
  <c r="H1449" i="23"/>
  <c r="C1545" i="23"/>
  <c r="B195" i="22"/>
  <c r="G2072" i="23"/>
  <c r="F234" i="22"/>
  <c r="G166" i="23"/>
  <c r="F625" i="23"/>
  <c r="F1170" i="23"/>
  <c r="G2913" i="23"/>
  <c r="D527" i="23"/>
  <c r="B1110" i="23"/>
  <c r="F2031" i="23"/>
  <c r="A1783" i="23"/>
  <c r="H2711" i="23"/>
  <c r="E175" i="22"/>
  <c r="F925" i="23"/>
  <c r="F1962" i="23"/>
  <c r="H32" i="22"/>
  <c r="E153" i="22"/>
  <c r="E209" i="22"/>
  <c r="A1241" i="23"/>
  <c r="D1178" i="23"/>
  <c r="F697" i="23"/>
  <c r="B102" i="22"/>
  <c r="F2203" i="23"/>
  <c r="C1404" i="23"/>
  <c r="G2004" i="23"/>
  <c r="A1543" i="23"/>
  <c r="B719" i="23"/>
  <c r="A1078" i="23"/>
  <c r="A1887" i="23"/>
  <c r="B833" i="23"/>
  <c r="C1858" i="23"/>
  <c r="A1287" i="23"/>
  <c r="H1010" i="23"/>
  <c r="E1522" i="23"/>
  <c r="G144" i="22"/>
  <c r="F1269" i="23"/>
  <c r="H837" i="23"/>
  <c r="B2220" i="23"/>
  <c r="F2816" i="23"/>
  <c r="D1134" i="23"/>
  <c r="H1680" i="23"/>
  <c r="B343" i="22"/>
  <c r="D340" i="22"/>
  <c r="B1342" i="23"/>
  <c r="G306" i="23"/>
  <c r="G2290" i="23"/>
  <c r="E1103" i="23"/>
  <c r="A759" i="23"/>
  <c r="A1086" i="23"/>
  <c r="D869" i="23"/>
  <c r="F334" i="22"/>
  <c r="E12" i="22"/>
  <c r="A378" i="23"/>
  <c r="C1645" i="23"/>
  <c r="B227" i="23"/>
  <c r="D1637" i="23"/>
  <c r="E81" i="23"/>
  <c r="H1042" i="23"/>
  <c r="B44" i="22"/>
  <c r="H511" i="23"/>
  <c r="H268" i="23"/>
  <c r="G1453" i="23"/>
  <c r="B1214" i="23"/>
  <c r="H1384" i="23"/>
  <c r="F1548" i="23"/>
  <c r="G712" i="23"/>
  <c r="B1438" i="23"/>
  <c r="H224" i="23"/>
  <c r="E262" i="23"/>
  <c r="G2673" i="23"/>
  <c r="F1380" i="23"/>
  <c r="H2906" i="23"/>
  <c r="G1059" i="23"/>
  <c r="F2918" i="23"/>
  <c r="B114" i="22"/>
  <c r="F1410" i="23"/>
  <c r="G505" i="23"/>
  <c r="C692" i="23"/>
  <c r="H1159" i="23"/>
  <c r="C1901" i="23"/>
  <c r="D276" i="22"/>
  <c r="H1884" i="23"/>
  <c r="G1876" i="23"/>
  <c r="H2456" i="23"/>
  <c r="C2314" i="23"/>
  <c r="H2016" i="23"/>
  <c r="E811" i="23"/>
  <c r="H876" i="23"/>
  <c r="D1417" i="23"/>
  <c r="C1430" i="23"/>
  <c r="F2638" i="23"/>
  <c r="B2008" i="23"/>
  <c r="G481" i="23"/>
  <c r="G117" i="22"/>
  <c r="A1391" i="23"/>
  <c r="F1078" i="23"/>
  <c r="C386" i="22"/>
  <c r="G2447" i="23"/>
  <c r="H2656" i="23"/>
  <c r="B1164" i="23"/>
  <c r="E122" i="22"/>
  <c r="G2019" i="23"/>
  <c r="E2053" i="23"/>
  <c r="D1400" i="23"/>
  <c r="H700" i="23"/>
  <c r="H128" i="23"/>
  <c r="C149" i="23"/>
  <c r="F52" i="23"/>
  <c r="H2378" i="23"/>
  <c r="E514" i="23"/>
  <c r="H272" i="23"/>
  <c r="G2504" i="23"/>
  <c r="G2490" i="23"/>
  <c r="C1145" i="23"/>
  <c r="B1105" i="23"/>
  <c r="C545" i="23"/>
  <c r="F322" i="22"/>
  <c r="H1659" i="23"/>
  <c r="D2160" i="23"/>
  <c r="F574" i="23"/>
  <c r="F2811" i="23"/>
  <c r="D646" i="23"/>
  <c r="A704" i="23"/>
  <c r="B1596" i="23"/>
  <c r="F1057" i="23"/>
  <c r="G1461" i="23"/>
  <c r="H2556" i="23"/>
  <c r="B1861" i="23"/>
  <c r="H2840" i="23"/>
  <c r="A1163" i="23"/>
  <c r="A1031" i="23"/>
  <c r="C1892" i="23"/>
  <c r="F2409" i="23"/>
  <c r="F1242" i="23"/>
  <c r="D1301" i="23"/>
  <c r="G163" i="22"/>
  <c r="F1822" i="23"/>
  <c r="F367" i="23"/>
  <c r="G1499" i="23"/>
  <c r="F1500" i="23"/>
  <c r="C1252" i="23"/>
  <c r="C2181" i="23"/>
  <c r="H574" i="23"/>
  <c r="D393" i="22"/>
  <c r="F2931" i="23"/>
  <c r="G493" i="23"/>
  <c r="C2101" i="23"/>
  <c r="C411" i="22"/>
  <c r="H986" i="23"/>
  <c r="E50" i="22"/>
  <c r="H14" i="23"/>
  <c r="D1926" i="23"/>
  <c r="G542" i="23"/>
  <c r="G892" i="23"/>
  <c r="H584" i="23"/>
  <c r="E1249" i="23"/>
  <c r="H982" i="23"/>
  <c r="B1120" i="23"/>
  <c r="D156" i="22"/>
  <c r="G620" i="23"/>
  <c r="C805" i="23"/>
  <c r="C2039" i="23"/>
  <c r="D372" i="22"/>
  <c r="G172" i="22"/>
  <c r="B358" i="22"/>
  <c r="G140" i="23"/>
  <c r="B1532" i="23"/>
  <c r="G638" i="23"/>
  <c r="G1785" i="23"/>
  <c r="H499" i="23"/>
  <c r="H58" i="22"/>
  <c r="B2045" i="23"/>
  <c r="H2279" i="23"/>
  <c r="D933" i="23"/>
  <c r="C800" i="23"/>
  <c r="G657" i="23"/>
  <c r="A981" i="23"/>
  <c r="B2249" i="23"/>
  <c r="H568" i="23"/>
  <c r="F59" i="23"/>
  <c r="F1572" i="23"/>
  <c r="C293" i="23"/>
  <c r="G1063" i="23"/>
  <c r="A1956" i="23"/>
  <c r="G449" i="23"/>
  <c r="G2976" i="23"/>
  <c r="E2019" i="23"/>
  <c r="G1395" i="23"/>
  <c r="H416" i="23"/>
  <c r="E1410" i="23"/>
  <c r="D1578" i="23"/>
  <c r="H2498" i="23"/>
  <c r="G1168" i="23"/>
  <c r="F2891" i="23"/>
  <c r="F2653" i="23"/>
  <c r="C1123" i="23"/>
  <c r="D1416" i="23"/>
  <c r="D335" i="22"/>
  <c r="A1165" i="23"/>
  <c r="G663" i="23"/>
  <c r="E2034" i="23"/>
  <c r="D248" i="23"/>
  <c r="F2608" i="23"/>
  <c r="H1913" i="23"/>
  <c r="D1081" i="23"/>
  <c r="D293" i="22"/>
  <c r="B1325" i="23"/>
  <c r="B1686" i="23"/>
  <c r="G925" i="23"/>
  <c r="G939" i="23"/>
  <c r="G1621" i="23"/>
  <c r="G901" i="23"/>
  <c r="E58" i="22"/>
  <c r="H2675" i="23"/>
  <c r="F1764" i="23"/>
  <c r="B831" i="23"/>
  <c r="F1177" i="23"/>
  <c r="F431" i="23"/>
  <c r="C875" i="23"/>
  <c r="D261" i="23"/>
  <c r="B917" i="23"/>
  <c r="E485" i="23"/>
  <c r="D188" i="22"/>
  <c r="H363" i="23"/>
  <c r="B1312" i="23"/>
  <c r="E1380" i="23"/>
  <c r="F972" i="23"/>
  <c r="A198" i="23"/>
  <c r="F646" i="23"/>
  <c r="A1138" i="23"/>
  <c r="D868" i="23"/>
  <c r="F303" i="22"/>
  <c r="H731" i="23"/>
  <c r="G256" i="23"/>
  <c r="H990" i="23"/>
  <c r="F2654" i="23"/>
  <c r="C688" i="23"/>
  <c r="F195" i="22"/>
  <c r="G617" i="23"/>
  <c r="A1195" i="23"/>
  <c r="B408" i="23"/>
  <c r="G1215" i="23"/>
  <c r="C1114" i="23"/>
  <c r="D1086" i="23"/>
  <c r="C581" i="23"/>
  <c r="D1769" i="23"/>
  <c r="A189" i="23"/>
  <c r="A420" i="22"/>
  <c r="G2978" i="23"/>
  <c r="C1251" i="23"/>
  <c r="H273" i="22"/>
  <c r="B1714" i="23"/>
  <c r="B403" i="22"/>
  <c r="E1560" i="23"/>
  <c r="F2596" i="23"/>
  <c r="G2212" i="23"/>
  <c r="B196" i="22"/>
  <c r="A1718" i="23"/>
  <c r="G2987" i="23"/>
  <c r="E327" i="22"/>
  <c r="G2204" i="23"/>
  <c r="E726" i="23"/>
  <c r="F2524" i="23"/>
  <c r="G1513" i="23"/>
  <c r="A1844" i="23"/>
  <c r="B1145" i="23"/>
  <c r="F400" i="23"/>
  <c r="D2307" i="23"/>
  <c r="E544" i="23"/>
  <c r="G2537" i="23"/>
  <c r="B1154" i="23"/>
  <c r="A565" i="23"/>
  <c r="A1370" i="23"/>
  <c r="D755" i="23"/>
  <c r="D1232" i="23"/>
  <c r="B1928" i="23"/>
  <c r="H1325" i="23"/>
  <c r="C455" i="23"/>
  <c r="D275" i="23"/>
  <c r="C196" i="22"/>
  <c r="H641" i="23"/>
  <c r="A1222" i="23"/>
  <c r="B949" i="23"/>
  <c r="C164" i="22"/>
  <c r="H2618" i="23"/>
  <c r="F301" i="23"/>
  <c r="H1489" i="23"/>
  <c r="E1755" i="23"/>
  <c r="D1072" i="23"/>
  <c r="E1020" i="23"/>
  <c r="A259" i="23"/>
  <c r="F2853" i="23"/>
  <c r="A1217" i="23"/>
  <c r="G789" i="23"/>
  <c r="G1396" i="23"/>
  <c r="F1973" i="23"/>
  <c r="A2087" i="23"/>
  <c r="H2469" i="23"/>
  <c r="F480" i="23"/>
  <c r="F1927" i="23"/>
  <c r="B2119" i="23"/>
  <c r="A1340" i="23"/>
  <c r="B411" i="23"/>
  <c r="D306" i="22"/>
  <c r="B1515" i="23"/>
  <c r="B78" i="23"/>
  <c r="G1362" i="23"/>
  <c r="H339" i="23"/>
  <c r="F2823" i="23"/>
  <c r="A148" i="23"/>
  <c r="D398" i="22"/>
  <c r="E2169" i="23"/>
  <c r="E380" i="22"/>
  <c r="D350" i="23"/>
  <c r="G2598" i="23"/>
  <c r="F1681" i="23"/>
  <c r="C746" i="23"/>
  <c r="E181" i="23"/>
  <c r="G1180" i="23"/>
  <c r="A66" i="22"/>
  <c r="G1527" i="23"/>
  <c r="B383" i="23"/>
  <c r="A794" i="23"/>
  <c r="G518" i="23"/>
  <c r="A597" i="23"/>
  <c r="D2004" i="23"/>
  <c r="E2254" i="23"/>
  <c r="A231" i="23"/>
  <c r="C1209" i="23"/>
  <c r="D1692" i="23"/>
  <c r="H1258" i="23"/>
  <c r="F282" i="22"/>
  <c r="F194" i="23"/>
  <c r="E1485" i="23"/>
  <c r="F378" i="22"/>
  <c r="B1505" i="23"/>
  <c r="A576" i="23"/>
  <c r="A107" i="22"/>
  <c r="A256" i="23"/>
  <c r="C1246" i="23"/>
  <c r="D1508" i="23"/>
  <c r="A2297" i="23"/>
  <c r="F226" i="22"/>
  <c r="A1971" i="23"/>
  <c r="B144" i="23"/>
  <c r="F708" i="23"/>
  <c r="H1321" i="23"/>
  <c r="H154" i="23"/>
  <c r="C1736" i="23"/>
  <c r="G2818" i="23"/>
  <c r="G203" i="22"/>
  <c r="F139" i="23"/>
  <c r="H871" i="23"/>
  <c r="B956" i="23"/>
  <c r="F902" i="23"/>
  <c r="H2982" i="23"/>
  <c r="G96" i="22"/>
  <c r="B1098" i="23"/>
  <c r="C2300" i="23"/>
  <c r="C850" i="23"/>
  <c r="G2018" i="23"/>
  <c r="G2874" i="23"/>
  <c r="E301" i="23"/>
  <c r="E2061" i="23"/>
  <c r="D421" i="23"/>
  <c r="D158" i="22"/>
  <c r="F320" i="22"/>
  <c r="C236" i="22"/>
  <c r="F2674" i="23"/>
  <c r="E405" i="22"/>
  <c r="F250" i="23"/>
  <c r="F147" i="23"/>
  <c r="G2634" i="23"/>
  <c r="B1680" i="23"/>
  <c r="E1441" i="23"/>
  <c r="D2306" i="23"/>
  <c r="F272" i="23"/>
  <c r="H380" i="23"/>
  <c r="E328" i="22"/>
  <c r="B2149" i="23"/>
  <c r="G2887" i="23"/>
  <c r="H957" i="23"/>
  <c r="F2469" i="23"/>
  <c r="F382" i="22"/>
  <c r="B1484" i="23"/>
  <c r="D2164" i="23"/>
  <c r="H263" i="23"/>
  <c r="B258" i="22"/>
  <c r="G1182" i="23"/>
  <c r="C310" i="22"/>
  <c r="G2126" i="23"/>
  <c r="E226" i="22"/>
  <c r="B1101" i="23"/>
  <c r="C363" i="23"/>
  <c r="A503" i="23"/>
  <c r="H2792" i="23"/>
  <c r="D687" i="23"/>
  <c r="H38" i="22"/>
  <c r="H1035" i="23"/>
  <c r="F2465" i="23"/>
  <c r="E2040" i="23"/>
  <c r="H528" i="23"/>
  <c r="F2393" i="23"/>
  <c r="C290" i="22"/>
  <c r="C1909" i="23"/>
  <c r="F393" i="23"/>
  <c r="G148" i="22"/>
  <c r="B222" i="22"/>
  <c r="B1400" i="23"/>
  <c r="G313" i="23"/>
  <c r="B754" i="23"/>
  <c r="A141" i="22"/>
  <c r="E1886" i="23"/>
  <c r="F2839" i="23"/>
  <c r="E1342" i="23"/>
  <c r="D111" i="23"/>
  <c r="A205" i="22"/>
  <c r="D1227" i="23"/>
  <c r="F2289" i="23"/>
  <c r="B2300" i="23"/>
  <c r="A68" i="23"/>
  <c r="F2024" i="23"/>
  <c r="E37" i="22"/>
  <c r="C1126" i="23"/>
  <c r="C956" i="23"/>
  <c r="C1093" i="23"/>
  <c r="A243" i="23"/>
  <c r="A1091" i="23"/>
  <c r="G428" i="23"/>
  <c r="E1806" i="23"/>
  <c r="B1409" i="23"/>
  <c r="D1843" i="23"/>
  <c r="G2047" i="23"/>
  <c r="F518" i="23"/>
  <c r="D1041" i="23"/>
  <c r="F179" i="23"/>
  <c r="D1545" i="23"/>
  <c r="H95" i="22"/>
  <c r="F2262" i="23"/>
  <c r="C339" i="22"/>
  <c r="A2161" i="23"/>
  <c r="A302" i="22"/>
  <c r="F2538" i="23"/>
  <c r="F2761" i="23"/>
  <c r="G440" i="23"/>
  <c r="G1667" i="23"/>
  <c r="F401" i="23"/>
  <c r="D252" i="23"/>
  <c r="C1184" i="23"/>
  <c r="D834" i="23"/>
  <c r="A2115" i="23"/>
  <c r="A1805" i="23"/>
  <c r="H2063" i="23"/>
  <c r="G2406" i="23"/>
  <c r="F2548" i="23"/>
  <c r="C41" i="23"/>
  <c r="H2684" i="23"/>
  <c r="B857" i="23"/>
  <c r="A519" i="23"/>
  <c r="B63" i="22"/>
  <c r="B1269" i="23"/>
  <c r="F2727" i="23"/>
  <c r="H2412" i="23"/>
  <c r="B307" i="23"/>
  <c r="H1655" i="23"/>
  <c r="D405" i="22"/>
  <c r="A165" i="23"/>
  <c r="G112" i="23"/>
  <c r="B2229" i="23"/>
  <c r="H607" i="23"/>
  <c r="A1883" i="23"/>
  <c r="D247" i="22"/>
  <c r="E1792" i="23"/>
  <c r="B279" i="22"/>
  <c r="B1199" i="23"/>
  <c r="A1779" i="23"/>
  <c r="G2817" i="23"/>
  <c r="E2054" i="23"/>
  <c r="H2704" i="23"/>
  <c r="G358" i="22"/>
  <c r="A1644" i="23"/>
  <c r="G2085" i="23"/>
  <c r="A548" i="23"/>
  <c r="A920" i="23"/>
  <c r="F2807" i="23"/>
  <c r="H980" i="23"/>
  <c r="A1869" i="23"/>
  <c r="B1263" i="23"/>
  <c r="D871" i="23"/>
  <c r="C917" i="23"/>
  <c r="F52" i="22"/>
  <c r="E429" i="23"/>
  <c r="D828" i="23"/>
  <c r="E178" i="23"/>
  <c r="A2039" i="23"/>
  <c r="G271" i="23"/>
  <c r="H1284" i="23"/>
  <c r="C198" i="22"/>
  <c r="A916" i="23"/>
  <c r="A1923" i="23"/>
  <c r="H66" i="23"/>
  <c r="F2414" i="23"/>
  <c r="B14" i="23"/>
  <c r="D618" i="23"/>
  <c r="C1671" i="23"/>
  <c r="C671" i="23"/>
  <c r="A85" i="22"/>
  <c r="H2331" i="23"/>
  <c r="G2424" i="23"/>
  <c r="B1920" i="23"/>
  <c r="G1255" i="23"/>
  <c r="F1298" i="23"/>
  <c r="B2155" i="23"/>
  <c r="E1567" i="23"/>
  <c r="H1317" i="23"/>
  <c r="D304" i="23"/>
  <c r="E1573" i="23"/>
  <c r="G757" i="23"/>
  <c r="F764" i="23"/>
  <c r="E1635" i="23"/>
  <c r="G37" i="22"/>
  <c r="G299" i="23"/>
  <c r="G2973" i="23"/>
  <c r="C2305" i="23"/>
  <c r="E1394" i="23"/>
  <c r="F412" i="23"/>
  <c r="F5" i="22"/>
  <c r="C174" i="22"/>
  <c r="G472" i="23"/>
  <c r="E1875" i="23"/>
  <c r="F2821" i="23"/>
  <c r="C1634" i="23"/>
  <c r="H812" i="23"/>
  <c r="D426" i="22"/>
  <c r="C1794" i="23"/>
  <c r="B1077" i="23"/>
  <c r="D105" i="23"/>
  <c r="D436" i="23"/>
  <c r="F2041" i="23"/>
  <c r="F812" i="23"/>
  <c r="A1935" i="23"/>
  <c r="D363" i="23"/>
  <c r="H2505" i="23"/>
  <c r="E880" i="23"/>
  <c r="D224" i="22"/>
  <c r="E246" i="22"/>
  <c r="C2112" i="23"/>
  <c r="F279" i="22"/>
  <c r="E126" i="22"/>
  <c r="E1235" i="23"/>
  <c r="G2012" i="23"/>
  <c r="G819" i="23"/>
  <c r="G326" i="23"/>
  <c r="E2213" i="23"/>
  <c r="F235" i="22"/>
  <c r="F1390" i="23"/>
  <c r="D1514" i="23"/>
  <c r="F2989" i="23"/>
  <c r="D1485" i="23"/>
  <c r="C1128" i="23"/>
  <c r="H2843" i="23"/>
  <c r="F1273" i="23"/>
  <c r="D1510" i="23"/>
  <c r="G2558" i="23"/>
  <c r="B1369" i="23"/>
  <c r="H2436" i="23"/>
  <c r="F395" i="23"/>
  <c r="A1174" i="23"/>
  <c r="C58" i="22"/>
  <c r="E45" i="23"/>
  <c r="H1939" i="23"/>
  <c r="D145" i="23"/>
  <c r="E603" i="23"/>
  <c r="G1983" i="23"/>
  <c r="B2178" i="23"/>
  <c r="C124" i="23"/>
  <c r="E2317" i="23"/>
  <c r="E259" i="23"/>
  <c r="F2348" i="23"/>
  <c r="A1832" i="23"/>
  <c r="G310" i="22"/>
  <c r="H435" i="23"/>
  <c r="D1275" i="23"/>
  <c r="D1345" i="23"/>
  <c r="G59" i="23"/>
  <c r="D2290" i="23"/>
  <c r="E426" i="23"/>
  <c r="E292" i="23"/>
  <c r="F2174" i="23"/>
  <c r="G2044" i="23"/>
  <c r="E51" i="23"/>
  <c r="B944" i="23"/>
  <c r="C2050" i="23"/>
  <c r="F2268" i="23"/>
  <c r="C2231" i="23"/>
  <c r="F39" i="23"/>
  <c r="C283" i="23"/>
  <c r="F1407" i="23"/>
  <c r="C148" i="22"/>
  <c r="F983" i="23"/>
  <c r="E929" i="23"/>
  <c r="A2259" i="23"/>
  <c r="G857" i="23"/>
  <c r="H1618" i="23"/>
  <c r="C888" i="23"/>
  <c r="G140" i="22"/>
  <c r="G25" i="22"/>
  <c r="F122" i="22"/>
  <c r="H247" i="23"/>
  <c r="G565" i="23"/>
  <c r="E671" i="23"/>
  <c r="F275" i="23"/>
  <c r="D1482" i="23"/>
  <c r="F409" i="22"/>
  <c r="G602" i="23"/>
  <c r="C1764" i="23"/>
  <c r="E1163" i="23"/>
  <c r="D1762" i="23"/>
  <c r="E992" i="23"/>
  <c r="D468" i="23"/>
  <c r="E838" i="23"/>
  <c r="C2201" i="23"/>
  <c r="D892" i="23"/>
  <c r="H2404" i="23"/>
  <c r="C1440" i="23"/>
  <c r="C1058" i="23"/>
  <c r="B818" i="23"/>
  <c r="D184" i="22"/>
  <c r="E347" i="22"/>
  <c r="F1614" i="23"/>
  <c r="E680" i="23"/>
  <c r="B841" i="23"/>
  <c r="E283" i="23"/>
  <c r="F1931" i="23"/>
  <c r="D567" i="23"/>
  <c r="A2254" i="23"/>
  <c r="C1878" i="23"/>
  <c r="D765" i="23"/>
  <c r="A1228" i="23"/>
  <c r="G626" i="23"/>
  <c r="F1765" i="23"/>
  <c r="D860" i="23"/>
  <c r="H2239" i="23"/>
  <c r="G2684" i="23"/>
  <c r="B1403" i="23"/>
  <c r="G868" i="23"/>
  <c r="D599" i="23"/>
  <c r="G1309" i="23"/>
  <c r="D2056" i="23"/>
  <c r="C860" i="23"/>
  <c r="F34" i="22"/>
  <c r="A2088" i="23"/>
  <c r="B1538" i="23"/>
  <c r="E1048" i="23"/>
  <c r="E926" i="23"/>
  <c r="B1776" i="23"/>
  <c r="B73" i="23"/>
  <c r="E2046" i="23"/>
  <c r="F816" i="23"/>
  <c r="H2250" i="23"/>
  <c r="A515" i="23"/>
  <c r="E239" i="22"/>
  <c r="F1233" i="23"/>
  <c r="E138" i="22"/>
  <c r="F1671" i="23"/>
  <c r="F647" i="23"/>
  <c r="H2936" i="23"/>
  <c r="B374" i="23"/>
  <c r="D65" i="23"/>
  <c r="D180" i="23"/>
  <c r="G411" i="22"/>
  <c r="H2910" i="23"/>
  <c r="D2030" i="23"/>
  <c r="E216" i="23"/>
  <c r="E740" i="23"/>
  <c r="F666" i="23"/>
  <c r="H1674" i="23"/>
  <c r="D1204" i="23"/>
  <c r="H2103" i="23"/>
  <c r="A665" i="23"/>
  <c r="F2713" i="23"/>
  <c r="G725" i="23"/>
  <c r="C949" i="23"/>
  <c r="G2693" i="23"/>
  <c r="D2169" i="23"/>
  <c r="H1185" i="23"/>
  <c r="D2294" i="23"/>
  <c r="D1287" i="23"/>
  <c r="D149" i="23"/>
  <c r="E2025" i="23"/>
  <c r="B277" i="22"/>
  <c r="A356" i="23"/>
  <c r="A1840" i="23"/>
  <c r="A2083" i="23"/>
  <c r="E2029" i="23"/>
  <c r="B389" i="22"/>
  <c r="B699" i="23"/>
  <c r="G1690" i="23"/>
  <c r="H816" i="23"/>
  <c r="H921" i="23"/>
  <c r="E1280" i="23"/>
  <c r="G613" i="23"/>
  <c r="B203" i="22"/>
  <c r="F1240" i="23"/>
  <c r="F67" i="23"/>
  <c r="E1704" i="23"/>
  <c r="C234" i="22"/>
  <c r="F927" i="23"/>
  <c r="H2688" i="23"/>
  <c r="F1259" i="23"/>
  <c r="F111" i="22"/>
  <c r="E412" i="22"/>
  <c r="H1636" i="23"/>
  <c r="C2311" i="23"/>
  <c r="H681" i="23"/>
  <c r="F2180" i="23"/>
  <c r="D87" i="23"/>
  <c r="E139" i="22"/>
  <c r="G2413" i="23"/>
  <c r="B1248" i="23"/>
  <c r="C2051" i="23"/>
  <c r="D1624" i="23"/>
  <c r="B2213" i="23"/>
  <c r="G1987" i="23"/>
  <c r="B2059" i="23"/>
  <c r="B1294" i="23"/>
  <c r="H1993" i="23"/>
  <c r="C2304" i="23"/>
  <c r="G1619" i="23"/>
  <c r="H1033" i="23"/>
  <c r="D703" i="23"/>
  <c r="G2526" i="23"/>
  <c r="E359" i="22"/>
  <c r="F1115" i="23"/>
  <c r="A136" i="23"/>
  <c r="F1222" i="23"/>
  <c r="A1019" i="23"/>
  <c r="E229" i="22"/>
  <c r="C1245" i="23"/>
  <c r="A233" i="22"/>
  <c r="H2531" i="23"/>
  <c r="G882" i="23"/>
  <c r="B213" i="22"/>
  <c r="D2303" i="23"/>
  <c r="C1798" i="23"/>
  <c r="E456" i="23"/>
  <c r="F1000" i="23"/>
  <c r="E1228" i="23"/>
  <c r="F686" i="23"/>
  <c r="D291" i="22"/>
  <c r="H1339" i="23"/>
  <c r="G704" i="23"/>
  <c r="F312" i="22"/>
  <c r="A1239" i="23"/>
  <c r="F1952" i="23"/>
  <c r="G900" i="23"/>
  <c r="D969" i="23"/>
  <c r="B1165" i="23"/>
  <c r="G2377" i="23"/>
  <c r="E402" i="23"/>
  <c r="D899" i="23"/>
  <c r="H1827" i="23"/>
  <c r="B1219" i="23"/>
  <c r="B301" i="23"/>
  <c r="A2308" i="23"/>
  <c r="F1037" i="23"/>
  <c r="F71" i="22"/>
  <c r="A1231" i="23"/>
  <c r="F2274" i="23"/>
  <c r="D1948" i="23"/>
  <c r="E206" i="22"/>
  <c r="A1523" i="23"/>
  <c r="G2867" i="23"/>
  <c r="G1318" i="23"/>
  <c r="E2037" i="23"/>
  <c r="E358" i="22"/>
  <c r="B2221" i="23"/>
  <c r="F2099" i="23"/>
  <c r="F1080" i="23"/>
  <c r="G151" i="22"/>
  <c r="H2222" i="23"/>
  <c r="F2614" i="23"/>
  <c r="E15" i="22"/>
  <c r="D181" i="22"/>
  <c r="G1933" i="23"/>
  <c r="B1019" i="23"/>
  <c r="A56" i="23"/>
  <c r="G1347" i="23"/>
  <c r="G234" i="23"/>
  <c r="F1519" i="23"/>
  <c r="C327" i="22"/>
  <c r="B1694" i="23"/>
  <c r="G2353" i="23"/>
  <c r="H1362" i="23"/>
  <c r="C125" i="22"/>
  <c r="B161" i="23"/>
  <c r="C2042" i="23"/>
  <c r="H1944" i="23"/>
  <c r="H1828" i="23"/>
  <c r="A361" i="22"/>
  <c r="E1889" i="23"/>
  <c r="F1393" i="23"/>
  <c r="A2101" i="23"/>
  <c r="G87" i="23"/>
  <c r="F1205" i="23"/>
  <c r="D788" i="23"/>
  <c r="F2074" i="23"/>
  <c r="H382" i="23"/>
  <c r="G349" i="23"/>
  <c r="H541" i="23"/>
  <c r="A593" i="23"/>
  <c r="H578" i="23"/>
  <c r="C162" i="23"/>
  <c r="F377" i="22"/>
  <c r="G1747" i="23"/>
  <c r="A2188" i="23"/>
  <c r="C2150" i="23"/>
  <c r="B1117" i="23"/>
  <c r="B471" i="23"/>
  <c r="A598" i="23"/>
  <c r="E1404" i="23"/>
  <c r="B1190" i="23"/>
  <c r="D460" i="23"/>
  <c r="B421" i="23"/>
  <c r="E1355" i="23"/>
  <c r="F2215" i="23"/>
  <c r="B1233" i="23"/>
  <c r="E100" i="23"/>
  <c r="F49" i="23"/>
  <c r="E2228" i="23"/>
  <c r="C103" i="22"/>
  <c r="G1639" i="23"/>
  <c r="F1371" i="23"/>
  <c r="B795" i="23"/>
  <c r="G1424" i="23"/>
  <c r="B2227" i="23"/>
  <c r="A615" i="23"/>
  <c r="B993" i="23"/>
  <c r="B2288" i="23"/>
  <c r="C1484" i="23"/>
  <c r="E2231" i="23"/>
  <c r="G2364" i="23"/>
  <c r="D1688" i="23"/>
  <c r="H427" i="23"/>
  <c r="E170" i="23"/>
  <c r="E1173" i="23"/>
  <c r="F2462" i="23"/>
  <c r="A838" i="23"/>
  <c r="B385" i="22"/>
  <c r="H569" i="23"/>
  <c r="C401" i="23"/>
  <c r="B565" i="23"/>
  <c r="G290" i="22"/>
  <c r="C1688" i="23"/>
  <c r="H806" i="23"/>
  <c r="B1129" i="23"/>
  <c r="D1915" i="23"/>
  <c r="B989" i="23"/>
  <c r="G479" i="23"/>
  <c r="G2955" i="23"/>
  <c r="A1790" i="23"/>
  <c r="A263" i="22"/>
  <c r="C31" i="22"/>
  <c r="H57" i="22"/>
  <c r="E899" i="23"/>
  <c r="C1982" i="23"/>
  <c r="H2288" i="23"/>
  <c r="D1351" i="23"/>
  <c r="F25" i="23"/>
  <c r="E1895" i="23"/>
  <c r="G2428" i="23"/>
  <c r="A1951" i="23"/>
  <c r="D1775" i="23"/>
  <c r="F81" i="23"/>
  <c r="F220" i="23"/>
  <c r="E917" i="23"/>
  <c r="G643" i="23"/>
  <c r="G2258" i="23"/>
  <c r="A1522" i="23"/>
  <c r="G2040" i="23"/>
  <c r="G2550" i="23"/>
  <c r="B125" i="22"/>
  <c r="G2001" i="23"/>
  <c r="B469" i="23"/>
  <c r="F276" i="22"/>
  <c r="E229" i="23"/>
  <c r="F2673" i="23"/>
  <c r="E83" i="22"/>
  <c r="D202" i="23"/>
  <c r="F1721" i="23"/>
  <c r="F2406" i="23"/>
  <c r="C381" i="22"/>
  <c r="C1284" i="23"/>
  <c r="B354" i="22"/>
  <c r="D983" i="23"/>
  <c r="F1386" i="23"/>
  <c r="D1016" i="23"/>
  <c r="G1288" i="23"/>
  <c r="E859" i="23"/>
  <c r="E169" i="22"/>
  <c r="H2202" i="23"/>
  <c r="B527" i="23"/>
  <c r="H1947" i="23"/>
  <c r="A858" i="23"/>
  <c r="C828" i="23"/>
  <c r="F300" i="22"/>
  <c r="G1203" i="23"/>
  <c r="F351" i="22"/>
  <c r="E2299" i="23"/>
  <c r="C166" i="22"/>
  <c r="F2116" i="23"/>
  <c r="F628" i="23"/>
  <c r="A1516" i="23"/>
  <c r="H18" i="23"/>
  <c r="A1248" i="23"/>
  <c r="G92" i="23"/>
  <c r="E1463" i="23"/>
  <c r="F1072" i="23"/>
  <c r="E395" i="23"/>
  <c r="G27" i="22"/>
  <c r="H394" i="23"/>
  <c r="G1406" i="23"/>
  <c r="F2540" i="23"/>
  <c r="F1197" i="23"/>
  <c r="D916" i="23"/>
  <c r="F138" i="23"/>
  <c r="F2178" i="23"/>
  <c r="G2596" i="23"/>
  <c r="B453" i="23"/>
  <c r="H139" i="23"/>
  <c r="E883" i="23"/>
  <c r="B1357" i="23"/>
  <c r="G2721" i="23"/>
  <c r="C2241" i="23"/>
  <c r="A1977" i="23"/>
  <c r="F901" i="23"/>
  <c r="G264" i="23"/>
  <c r="B1070" i="23"/>
  <c r="H2137" i="23"/>
  <c r="B265" i="23"/>
  <c r="H2305" i="23"/>
  <c r="F1472" i="23"/>
  <c r="F2941" i="23"/>
  <c r="C1831" i="23"/>
  <c r="B167" i="22"/>
  <c r="F720" i="23"/>
  <c r="D218" i="23"/>
  <c r="G1214" i="23"/>
  <c r="C1572" i="23"/>
  <c r="H300" i="23"/>
  <c r="E408" i="22"/>
  <c r="H1904" i="23"/>
  <c r="A1377" i="23"/>
  <c r="B441" i="23"/>
  <c r="C208" i="23"/>
  <c r="C91" i="23"/>
  <c r="A300" i="22"/>
  <c r="D803" i="23"/>
  <c r="G935" i="23"/>
  <c r="H209" i="23"/>
  <c r="B300" i="23"/>
  <c r="A1188" i="23"/>
  <c r="E950" i="23"/>
  <c r="D1764" i="23"/>
  <c r="F63" i="22"/>
  <c r="C2255" i="23"/>
  <c r="E1134" i="23"/>
  <c r="H910" i="23"/>
  <c r="D1250" i="23"/>
  <c r="A347" i="23"/>
  <c r="H472" i="23"/>
  <c r="F101" i="22"/>
  <c r="A417" i="22"/>
  <c r="D2063" i="23"/>
  <c r="A2000" i="23"/>
  <c r="A290" i="23"/>
  <c r="A128" i="22"/>
  <c r="F1271" i="23"/>
  <c r="B1347" i="23"/>
  <c r="H1430" i="23"/>
  <c r="H2567" i="23"/>
  <c r="E873" i="23"/>
  <c r="A1619" i="23"/>
  <c r="F121" i="22"/>
  <c r="G896" i="23"/>
  <c r="F2510" i="23"/>
  <c r="B220" i="22"/>
  <c r="E822" i="23"/>
  <c r="B1494" i="23"/>
  <c r="F221" i="22"/>
  <c r="F435" i="23"/>
  <c r="G181" i="22"/>
  <c r="H1496" i="23"/>
  <c r="C51" i="23"/>
  <c r="G2859" i="23"/>
  <c r="F324" i="22"/>
  <c r="B209" i="22"/>
  <c r="G1127" i="23"/>
  <c r="D1063" i="23"/>
  <c r="H1975" i="23"/>
  <c r="G72" i="23"/>
  <c r="H2725" i="23"/>
  <c r="E1490" i="23"/>
  <c r="G1772" i="23"/>
  <c r="D2104" i="23"/>
  <c r="C419" i="23"/>
  <c r="D1806" i="23"/>
  <c r="A1105" i="23"/>
  <c r="C833" i="23"/>
  <c r="G2203" i="23"/>
  <c r="H1299" i="23"/>
  <c r="F423" i="22"/>
  <c r="F547" i="23"/>
  <c r="C257" i="22"/>
  <c r="D54" i="23"/>
  <c r="F777" i="23"/>
  <c r="B2190" i="23"/>
  <c r="F802" i="23"/>
  <c r="H2260" i="23"/>
  <c r="E2289" i="23"/>
  <c r="B1797" i="23"/>
  <c r="F2404" i="23"/>
  <c r="C892" i="23"/>
  <c r="B22" i="23"/>
  <c r="C610" i="23"/>
  <c r="C1979" i="23"/>
  <c r="C42" i="23"/>
  <c r="H1881" i="23"/>
  <c r="G2926" i="23"/>
  <c r="D819" i="23"/>
  <c r="F2935" i="23"/>
  <c r="E134" i="23"/>
  <c r="B975" i="23"/>
  <c r="D1468" i="23"/>
  <c r="C508" i="23"/>
  <c r="B1121" i="23"/>
  <c r="B1471" i="23"/>
  <c r="G1275" i="23"/>
  <c r="H1991" i="23"/>
  <c r="D947" i="23"/>
  <c r="G2581" i="23"/>
  <c r="G139" i="22"/>
  <c r="E91" i="23"/>
  <c r="G2408" i="23"/>
  <c r="B683" i="23"/>
  <c r="H1643" i="23"/>
  <c r="A607" i="23"/>
  <c r="H993" i="23"/>
  <c r="F955" i="23"/>
  <c r="G2779" i="23"/>
  <c r="D310" i="23"/>
  <c r="B2018" i="23"/>
  <c r="E1106" i="23"/>
  <c r="F420" i="23"/>
  <c r="E1064" i="23"/>
  <c r="D20" i="23"/>
  <c r="B1051" i="23"/>
  <c r="D584" i="23"/>
  <c r="F1268" i="23"/>
  <c r="H1405" i="23"/>
  <c r="G229" i="22"/>
  <c r="E413" i="23"/>
  <c r="B351" i="22"/>
  <c r="G281" i="22"/>
  <c r="B1273" i="23"/>
  <c r="A211" i="22"/>
  <c r="G2380" i="23"/>
  <c r="A940" i="23"/>
  <c r="F2872" i="23"/>
  <c r="B345" i="22"/>
  <c r="H2679" i="23"/>
  <c r="C2030" i="23"/>
  <c r="B71" i="22"/>
  <c r="E1982" i="23"/>
  <c r="F208" i="22"/>
  <c r="H1895" i="23"/>
  <c r="B72" i="22"/>
  <c r="G733" i="23"/>
  <c r="A657" i="23"/>
  <c r="C786" i="23"/>
  <c r="E221" i="23"/>
  <c r="F1165" i="23"/>
  <c r="B1209" i="23"/>
  <c r="C385" i="22"/>
  <c r="H1437" i="23"/>
  <c r="F213" i="22"/>
  <c r="B1185" i="23"/>
  <c r="E26" i="22"/>
  <c r="E730" i="23"/>
  <c r="F230" i="22"/>
  <c r="G500" i="23"/>
  <c r="B635" i="23"/>
  <c r="E1128" i="23"/>
  <c r="B1587" i="23"/>
  <c r="H1119" i="23"/>
  <c r="C578" i="23"/>
  <c r="F2453" i="23"/>
  <c r="B1888" i="23"/>
  <c r="E719" i="23"/>
  <c r="G747" i="23"/>
  <c r="H2292" i="23"/>
  <c r="E1812" i="23"/>
  <c r="C1448" i="23"/>
  <c r="F1658" i="23"/>
  <c r="C761" i="23"/>
  <c r="G2124" i="23"/>
  <c r="F2930" i="23"/>
  <c r="D327" i="22"/>
  <c r="H310" i="23"/>
  <c r="C152" i="23"/>
  <c r="H958" i="23"/>
  <c r="E1453" i="23"/>
  <c r="D1801" i="23"/>
  <c r="C1260" i="23"/>
  <c r="C1957" i="23"/>
  <c r="B1653" i="23"/>
  <c r="A100" i="23"/>
  <c r="A1567" i="23"/>
  <c r="F1854" i="23"/>
  <c r="B2208" i="23"/>
  <c r="F205" i="22"/>
  <c r="E1164" i="23"/>
  <c r="E1571" i="23"/>
  <c r="A1709" i="23"/>
  <c r="G2529" i="23"/>
  <c r="H699" i="23"/>
  <c r="E162" i="22"/>
  <c r="G2376" i="23"/>
  <c r="F684" i="23"/>
  <c r="G2676" i="23"/>
  <c r="A2170" i="23"/>
  <c r="D990" i="23"/>
  <c r="G2366" i="23"/>
  <c r="C2195" i="23"/>
  <c r="E120" i="23"/>
  <c r="H2975" i="23"/>
  <c r="B2272" i="23"/>
  <c r="B116" i="23"/>
  <c r="A2314" i="23"/>
  <c r="B1702" i="23"/>
  <c r="A275" i="22"/>
  <c r="B272" i="23"/>
  <c r="E2" i="23"/>
  <c r="D24" i="22"/>
  <c r="G2218" i="23"/>
  <c r="F954" i="23"/>
  <c r="G255" i="22"/>
  <c r="H1196" i="23"/>
  <c r="E162" i="23"/>
  <c r="F1434" i="23"/>
  <c r="F2603" i="23"/>
  <c r="F810" i="23"/>
  <c r="E1223" i="23"/>
  <c r="D390" i="22"/>
  <c r="H90" i="22"/>
  <c r="B384" i="23"/>
  <c r="D1173" i="23"/>
  <c r="C1054" i="23"/>
  <c r="H1805" i="23"/>
  <c r="D213" i="22"/>
  <c r="E1730" i="23"/>
  <c r="D187" i="23"/>
  <c r="A946" i="23"/>
  <c r="C191" i="22"/>
  <c r="G1360" i="23"/>
  <c r="F3001" i="23"/>
  <c r="G648" i="23"/>
  <c r="F1400" i="23"/>
  <c r="F2952" i="23"/>
  <c r="E192" i="22"/>
  <c r="A240" i="23"/>
  <c r="D846" i="23"/>
  <c r="A710" i="23"/>
  <c r="D167" i="22"/>
  <c r="H2837" i="23"/>
  <c r="F1439" i="23"/>
  <c r="B1349" i="23"/>
  <c r="D512" i="23"/>
  <c r="A1787" i="23"/>
  <c r="E1341" i="23"/>
  <c r="B1203" i="23"/>
  <c r="E38" i="23"/>
  <c r="E993" i="23"/>
  <c r="H940" i="23"/>
  <c r="F1330" i="23"/>
  <c r="H7" i="23"/>
  <c r="H2089" i="23"/>
  <c r="A1202" i="23"/>
  <c r="F2096" i="23"/>
  <c r="B1448" i="23"/>
  <c r="A2231" i="23"/>
  <c r="A1633" i="23"/>
  <c r="E1231" i="23"/>
  <c r="G202" i="23"/>
  <c r="D423" i="22"/>
  <c r="B96" i="23"/>
  <c r="E1156" i="23"/>
  <c r="D592" i="23"/>
  <c r="B1166" i="23"/>
  <c r="A1381" i="23"/>
  <c r="H2674" i="23"/>
  <c r="B2116" i="23"/>
  <c r="F640" i="23"/>
  <c r="H142" i="23"/>
  <c r="G2457" i="23"/>
  <c r="H2761" i="23"/>
  <c r="D2112" i="23"/>
  <c r="G1884" i="23"/>
  <c r="B1842" i="23"/>
  <c r="F986" i="23"/>
  <c r="A957" i="23"/>
  <c r="C135" i="22"/>
  <c r="F1325" i="23"/>
  <c r="E1700" i="23"/>
  <c r="E371" i="22"/>
  <c r="H2299" i="23"/>
  <c r="A1247" i="23"/>
  <c r="C46" i="23"/>
  <c r="B2015" i="23"/>
  <c r="A2035" i="23"/>
  <c r="F2549" i="23"/>
  <c r="C652" i="23"/>
  <c r="H970" i="23"/>
  <c r="E53" i="22"/>
  <c r="H1803" i="23"/>
  <c r="F867" i="23"/>
  <c r="F270" i="23"/>
  <c r="F809" i="23"/>
  <c r="G890" i="23"/>
  <c r="E2163" i="23"/>
  <c r="F523" i="23"/>
  <c r="B1324" i="23"/>
  <c r="F2318" i="23"/>
  <c r="F2293" i="23"/>
  <c r="A2260" i="23"/>
  <c r="B141" i="23"/>
  <c r="A2195" i="23"/>
  <c r="C72" i="23"/>
  <c r="H1039" i="23"/>
  <c r="C1377" i="23"/>
  <c r="G2638" i="23"/>
  <c r="G2347" i="23"/>
  <c r="G1238" i="23"/>
  <c r="C1079" i="23"/>
  <c r="G75" i="23"/>
  <c r="G1270" i="23"/>
  <c r="H650" i="23"/>
  <c r="H846" i="23"/>
  <c r="G2910" i="23"/>
  <c r="A606" i="23"/>
  <c r="C1968" i="23"/>
  <c r="D76" i="22"/>
  <c r="H1707" i="23"/>
  <c r="C2087" i="23"/>
  <c r="E489" i="23"/>
  <c r="D165" i="22"/>
  <c r="D1890" i="23"/>
  <c r="D1274" i="23"/>
  <c r="H1292" i="23"/>
  <c r="C822" i="23"/>
  <c r="G2065" i="23"/>
  <c r="C117" i="22"/>
  <c r="E1090" i="23"/>
  <c r="E1184" i="23"/>
  <c r="G2046" i="23"/>
  <c r="E55" i="23"/>
  <c r="A418" i="22"/>
  <c r="F247" i="23"/>
  <c r="H2768" i="23"/>
  <c r="C1601" i="23"/>
  <c r="E1631" i="23"/>
  <c r="H1457" i="23"/>
  <c r="E437" i="23"/>
  <c r="F392" i="23"/>
  <c r="A894" i="23"/>
  <c r="G155" i="23"/>
  <c r="G360" i="22"/>
  <c r="G2487" i="23"/>
  <c r="B1429" i="23"/>
  <c r="D483" i="23"/>
  <c r="C1604" i="23"/>
  <c r="G2893" i="23"/>
  <c r="G570" i="23"/>
  <c r="B110" i="23"/>
  <c r="H730" i="23"/>
  <c r="G354" i="23"/>
  <c r="E982" i="23"/>
  <c r="F2572" i="23"/>
  <c r="E691" i="23"/>
  <c r="D1396" i="23"/>
  <c r="E1939" i="23"/>
  <c r="B2297" i="23"/>
  <c r="H1386" i="23"/>
  <c r="B28" i="23"/>
  <c r="C1998" i="23"/>
  <c r="C1279" i="23"/>
  <c r="A1632" i="23"/>
  <c r="D1399" i="23"/>
  <c r="D1195" i="23"/>
  <c r="E1533" i="23"/>
  <c r="C862" i="23"/>
  <c r="D1984" i="23"/>
  <c r="D236" i="22"/>
  <c r="G2543" i="23"/>
  <c r="A270" i="23"/>
  <c r="E2028" i="23"/>
  <c r="C315" i="22"/>
  <c r="H1388" i="23"/>
  <c r="F115" i="23"/>
  <c r="B1605" i="23"/>
  <c r="B2141" i="23"/>
  <c r="B1660" i="23"/>
  <c r="D1794" i="23"/>
  <c r="E268" i="23"/>
  <c r="B789" i="23"/>
  <c r="B1172" i="23"/>
  <c r="A521" i="23"/>
  <c r="E376" i="23"/>
  <c r="E1723" i="23"/>
  <c r="C2047" i="23"/>
  <c r="B380" i="23"/>
  <c r="G616" i="23"/>
  <c r="E2006" i="23"/>
  <c r="D216" i="23"/>
  <c r="B1985" i="23"/>
  <c r="E20" i="22"/>
  <c r="A395" i="23"/>
  <c r="H2263" i="23"/>
  <c r="B1068" i="23"/>
  <c r="F2954" i="23"/>
  <c r="C264" i="23"/>
  <c r="C1527" i="23"/>
  <c r="E799" i="23"/>
  <c r="B1289" i="23"/>
  <c r="E1761" i="23"/>
  <c r="F2307" i="23"/>
  <c r="F457" i="23"/>
  <c r="H936" i="23"/>
  <c r="D1776" i="23"/>
  <c r="B427" i="23"/>
  <c r="D448" i="23"/>
  <c r="E186" i="23"/>
  <c r="A554" i="23"/>
  <c r="D1495" i="23"/>
  <c r="F2233" i="23"/>
  <c r="E1496" i="23"/>
  <c r="B348" i="22"/>
  <c r="C88" i="22"/>
  <c r="D463" i="23"/>
  <c r="E795" i="23"/>
  <c r="E61" i="23"/>
  <c r="G2578" i="23"/>
  <c r="D1371" i="23"/>
  <c r="D1266" i="23"/>
  <c r="F2794" i="23"/>
  <c r="H1726" i="23"/>
  <c r="B628" i="23"/>
  <c r="G1892" i="23"/>
  <c r="G14" i="23"/>
  <c r="A1087" i="23"/>
  <c r="D1614" i="23"/>
  <c r="H2555" i="23"/>
  <c r="B1640" i="23"/>
  <c r="A536" i="23"/>
  <c r="B767" i="23"/>
  <c r="A1068" i="23"/>
  <c r="H2106" i="23"/>
  <c r="F362" i="22"/>
  <c r="A164" i="23"/>
  <c r="D71" i="22"/>
  <c r="E1788" i="23"/>
  <c r="G383" i="23"/>
  <c r="H620" i="23"/>
  <c r="B309" i="22"/>
  <c r="B1720" i="23"/>
  <c r="G534" i="23"/>
  <c r="D801" i="23"/>
  <c r="H432" i="23"/>
  <c r="F1813" i="23"/>
  <c r="E856" i="23"/>
  <c r="G2902" i="23"/>
  <c r="E935" i="23"/>
  <c r="G1739" i="23"/>
  <c r="F298" i="23"/>
  <c r="F2611" i="23"/>
  <c r="G952" i="23"/>
  <c r="H2433" i="23"/>
  <c r="E919" i="23"/>
  <c r="H1247" i="23"/>
  <c r="H2696" i="23"/>
  <c r="D449" i="23"/>
  <c r="F310" i="22"/>
  <c r="D617" i="23"/>
  <c r="G2267" i="23"/>
  <c r="B1088" i="23"/>
  <c r="H1777" i="23"/>
  <c r="A2312" i="23"/>
  <c r="F350" i="22"/>
  <c r="B1981" i="23"/>
  <c r="A705" i="23"/>
  <c r="E865" i="23"/>
  <c r="C295" i="22"/>
  <c r="A2171" i="23"/>
  <c r="C507" i="23"/>
  <c r="A215" i="22"/>
  <c r="C2204" i="23"/>
  <c r="A2040" i="23"/>
  <c r="B1043" i="23"/>
  <c r="G2882" i="23"/>
  <c r="B851" i="23"/>
  <c r="F717" i="23"/>
  <c r="A368" i="22"/>
  <c r="B2006" i="23"/>
  <c r="E444" i="23"/>
  <c r="H333" i="23"/>
  <c r="E33" i="22"/>
  <c r="F1405" i="23"/>
  <c r="H1664" i="23"/>
  <c r="H635" i="23"/>
  <c r="A304" i="22"/>
  <c r="E179" i="22"/>
  <c r="D1237" i="23"/>
  <c r="G48" i="23"/>
  <c r="C1625" i="23"/>
  <c r="E1451" i="23"/>
  <c r="B273" i="22"/>
  <c r="C1519" i="23"/>
  <c r="C1961" i="23"/>
  <c r="E1116" i="23"/>
  <c r="C1135" i="23"/>
  <c r="F2323" i="23"/>
  <c r="G2699" i="23"/>
  <c r="G2562" i="23"/>
  <c r="B37" i="22"/>
  <c r="G2619" i="23"/>
  <c r="A43" i="22"/>
  <c r="G2435" i="23"/>
  <c r="D304" i="22"/>
  <c r="C191" i="23"/>
  <c r="G951" i="23"/>
  <c r="G2589" i="23"/>
  <c r="G2842" i="23"/>
  <c r="C1660" i="23"/>
  <c r="E1691" i="23"/>
  <c r="C336" i="22"/>
  <c r="A1404" i="23"/>
  <c r="H2218" i="23"/>
  <c r="G334" i="22"/>
  <c r="G1501" i="23"/>
  <c r="A2192" i="23"/>
  <c r="F387" i="22"/>
  <c r="A2198" i="23"/>
  <c r="E2103" i="23"/>
  <c r="B990" i="23"/>
  <c r="D2182" i="23"/>
  <c r="C1523" i="23"/>
  <c r="A210" i="22"/>
  <c r="G85" i="23"/>
  <c r="H870" i="23"/>
  <c r="F123" i="22"/>
  <c r="F2797" i="23"/>
  <c r="F1558" i="23"/>
  <c r="A2102" i="23"/>
  <c r="E879" i="23"/>
  <c r="D1507" i="23"/>
  <c r="D1792" i="23"/>
  <c r="G26" i="23"/>
  <c r="F207" i="22"/>
  <c r="A2072" i="23"/>
  <c r="H2468" i="23"/>
  <c r="H1077" i="23"/>
  <c r="A1346" i="23"/>
  <c r="E1092" i="23"/>
  <c r="G161" i="22"/>
  <c r="E172" i="22"/>
  <c r="F155" i="23"/>
  <c r="H2788" i="23"/>
  <c r="A1991" i="23"/>
  <c r="E2075" i="23"/>
  <c r="A206" i="22"/>
  <c r="C37" i="22"/>
  <c r="A162" i="22"/>
  <c r="D91" i="23"/>
  <c r="G835" i="23"/>
  <c r="E1098" i="23"/>
  <c r="E1924" i="23"/>
  <c r="B117" i="22"/>
  <c r="B2274" i="23"/>
  <c r="D1626" i="23"/>
  <c r="B2160" i="23"/>
  <c r="F354" i="22"/>
  <c r="G299" i="22"/>
  <c r="G802" i="23"/>
  <c r="A367" i="23"/>
  <c r="F232" i="23"/>
  <c r="A1435" i="23"/>
  <c r="H1701" i="23"/>
  <c r="E1546" i="23"/>
  <c r="B452" i="23"/>
  <c r="F143" i="23"/>
  <c r="D1652" i="23"/>
  <c r="G13" i="23"/>
  <c r="C291" i="23"/>
  <c r="B221" i="23"/>
  <c r="B1161" i="23"/>
  <c r="F15" i="22"/>
  <c r="G2349" i="23"/>
  <c r="A1376" i="23"/>
  <c r="E2065" i="23"/>
  <c r="F2193" i="23"/>
  <c r="C2076" i="23"/>
  <c r="F641" i="23"/>
  <c r="A2133" i="23"/>
  <c r="A1097" i="23"/>
  <c r="F2173" i="23"/>
  <c r="B712" i="23"/>
  <c r="G700" i="23"/>
  <c r="A149" i="22"/>
  <c r="F2799" i="23"/>
  <c r="D98" i="23"/>
  <c r="D406" i="22"/>
  <c r="G2257" i="23"/>
  <c r="G683" i="23"/>
  <c r="E1697" i="23"/>
  <c r="G1523" i="23"/>
  <c r="E1149" i="23"/>
  <c r="B652" i="23"/>
  <c r="C1100" i="23"/>
  <c r="F792" i="23"/>
  <c r="C288" i="23"/>
  <c r="H1716" i="23"/>
  <c r="G470" i="23"/>
  <c r="G1758" i="23"/>
  <c r="D609" i="23"/>
  <c r="D451" i="23"/>
  <c r="E2133" i="23"/>
  <c r="G1861" i="23"/>
  <c r="B1672" i="23"/>
  <c r="F1565" i="23"/>
  <c r="D285" i="22"/>
  <c r="E573" i="23"/>
  <c r="A103" i="23"/>
  <c r="E1944" i="23"/>
  <c r="H1078" i="23"/>
  <c r="A1348" i="23"/>
  <c r="C643" i="23"/>
  <c r="F2624" i="23"/>
  <c r="D1422" i="23"/>
  <c r="G394" i="22"/>
  <c r="F2905" i="23"/>
  <c r="H2606" i="23"/>
  <c r="E2154" i="23"/>
  <c r="B412" i="23"/>
  <c r="A1110" i="23"/>
  <c r="F339" i="22"/>
  <c r="B1655" i="23"/>
  <c r="D154" i="22"/>
  <c r="A1871" i="23"/>
  <c r="F797" i="23"/>
  <c r="H2377" i="23"/>
  <c r="F234" i="23"/>
  <c r="B1383" i="23"/>
  <c r="E721" i="23"/>
  <c r="D197" i="23"/>
  <c r="F1074" i="23"/>
  <c r="D894" i="23"/>
  <c r="G2811" i="23"/>
  <c r="G1732" i="23"/>
  <c r="H2866" i="23"/>
  <c r="C261" i="22"/>
  <c r="G551" i="23"/>
  <c r="F1594" i="23"/>
  <c r="F1924" i="23"/>
  <c r="F2075" i="23"/>
  <c r="H56" i="23"/>
  <c r="G997" i="23"/>
  <c r="B1107" i="23"/>
  <c r="F611" i="23"/>
  <c r="A1157" i="23"/>
  <c r="G425" i="22"/>
  <c r="B2014" i="23"/>
  <c r="D705" i="23"/>
  <c r="G2781" i="23"/>
  <c r="C1816" i="23"/>
  <c r="F2000" i="23"/>
  <c r="G2329" i="23"/>
  <c r="H2328" i="23"/>
  <c r="D345" i="22"/>
  <c r="G2758" i="23"/>
  <c r="E1735" i="23"/>
  <c r="D380" i="22"/>
  <c r="A1854" i="23"/>
  <c r="F1545" i="23"/>
  <c r="H49" i="23"/>
  <c r="H1154" i="23"/>
  <c r="H375" i="23"/>
  <c r="B412" i="22"/>
  <c r="A761" i="23"/>
  <c r="E196" i="23"/>
  <c r="H259" i="23"/>
  <c r="A217" i="23"/>
  <c r="H1374" i="23"/>
  <c r="D209" i="22"/>
  <c r="E1783" i="23"/>
  <c r="D1175" i="23"/>
  <c r="D1497" i="23"/>
  <c r="E820" i="23"/>
  <c r="B1581" i="23"/>
  <c r="G2417" i="23"/>
  <c r="D1479" i="23"/>
  <c r="C207" i="22"/>
  <c r="E769" i="23"/>
  <c r="B1223" i="23"/>
  <c r="G417" i="22"/>
  <c r="E2018" i="23"/>
  <c r="C1292" i="23"/>
  <c r="H21" i="22"/>
  <c r="F92" i="23"/>
  <c r="B1038" i="23"/>
  <c r="G546" i="23"/>
  <c r="E641" i="23"/>
  <c r="D817" i="23"/>
  <c r="A157" i="23"/>
  <c r="H1671" i="23"/>
  <c r="E1896" i="23"/>
  <c r="G2794" i="23"/>
  <c r="D1127" i="23"/>
  <c r="E2168" i="23"/>
  <c r="G2286" i="23"/>
  <c r="G771" i="23"/>
  <c r="A1615" i="23"/>
  <c r="A177" i="23"/>
  <c r="G1974" i="23"/>
  <c r="H582" i="23"/>
  <c r="G2421" i="23"/>
  <c r="H1399" i="23"/>
  <c r="F283" i="23"/>
  <c r="H1808" i="23"/>
  <c r="D167" i="23"/>
  <c r="F128" i="23"/>
  <c r="H1956" i="23"/>
  <c r="C1241" i="23"/>
  <c r="H1219" i="23"/>
  <c r="A144" i="22"/>
  <c r="A2023" i="23"/>
  <c r="B149" i="22"/>
  <c r="C412" i="22"/>
  <c r="E315" i="23"/>
  <c r="A601" i="23"/>
  <c r="H1925" i="23"/>
  <c r="D2203" i="23"/>
  <c r="A873" i="23"/>
  <c r="G1403" i="23"/>
  <c r="H2282" i="23"/>
  <c r="A2255" i="23"/>
  <c r="D2193" i="23"/>
  <c r="A1679" i="23"/>
  <c r="G19" i="23"/>
  <c r="D1346" i="23"/>
  <c r="H1681" i="23"/>
  <c r="D2220" i="23"/>
  <c r="F2897" i="23"/>
  <c r="B156" i="22"/>
  <c r="G2371" i="23"/>
  <c r="H2134" i="23"/>
  <c r="G503" i="23"/>
  <c r="C2252" i="23"/>
  <c r="G1423" i="23"/>
  <c r="D1156" i="23"/>
  <c r="H1723" i="23"/>
  <c r="G2557" i="23"/>
  <c r="B361" i="23"/>
  <c r="E1775" i="23"/>
  <c r="A1467" i="23"/>
  <c r="H2091" i="23"/>
  <c r="D1783" i="23"/>
  <c r="A1488" i="23"/>
  <c r="C209" i="23"/>
  <c r="E185" i="22"/>
  <c r="C1608" i="23"/>
  <c r="H1502" i="23"/>
  <c r="E124" i="22"/>
  <c r="A1512" i="23"/>
  <c r="D966" i="23"/>
  <c r="D1686" i="23"/>
  <c r="B1109" i="23"/>
  <c r="C88" i="23"/>
  <c r="F1757" i="23"/>
  <c r="H2269" i="23"/>
  <c r="E2191" i="23"/>
  <c r="E614" i="23"/>
  <c r="F2879" i="23"/>
  <c r="C2221" i="23"/>
  <c r="F2835" i="23"/>
  <c r="G2133" i="23"/>
  <c r="E631" i="23"/>
  <c r="B1315" i="23"/>
  <c r="G971" i="23"/>
  <c r="H1248" i="23"/>
  <c r="H1753" i="23"/>
  <c r="H609" i="23"/>
  <c r="H1016" i="23"/>
  <c r="B596" i="23"/>
  <c r="F2473" i="23"/>
  <c r="D122" i="23"/>
  <c r="B1231" i="23"/>
  <c r="B218" i="23"/>
  <c r="C2308" i="23"/>
  <c r="H1301" i="23"/>
  <c r="D159" i="23"/>
  <c r="D485" i="23"/>
  <c r="E1745" i="23"/>
  <c r="E813" i="23"/>
  <c r="C12" i="23"/>
  <c r="G2008" i="23"/>
  <c r="F2364" i="23"/>
  <c r="H1536" i="23"/>
  <c r="D575" i="23"/>
  <c r="F2649" i="23"/>
  <c r="G1115" i="23"/>
  <c r="F58" i="23"/>
  <c r="C601" i="23"/>
  <c r="F181" i="22"/>
  <c r="E1316" i="23"/>
  <c r="D2027" i="23"/>
  <c r="D1034" i="23"/>
  <c r="B2084" i="23"/>
  <c r="A228" i="22"/>
  <c r="A405" i="23"/>
  <c r="H1145" i="23"/>
  <c r="A701" i="23"/>
  <c r="H155" i="23"/>
  <c r="H2923" i="23"/>
  <c r="C718" i="23"/>
  <c r="G2266" i="23"/>
  <c r="G312" i="23"/>
  <c r="C482" i="23"/>
  <c r="D1568" i="23"/>
  <c r="A274" i="23"/>
  <c r="G2994" i="23"/>
  <c r="H1742" i="23"/>
  <c r="H453" i="23"/>
  <c r="F2697" i="23"/>
  <c r="F19" i="22"/>
  <c r="H1891" i="23"/>
  <c r="B892" i="23"/>
  <c r="H2519" i="23"/>
  <c r="E1834" i="23"/>
  <c r="B1462" i="23"/>
  <c r="A1597" i="23"/>
  <c r="D1377" i="23"/>
  <c r="F455" i="23"/>
  <c r="E789" i="23"/>
  <c r="C1759" i="23"/>
  <c r="B2060" i="23"/>
  <c r="B133" i="22"/>
  <c r="G1610" i="23"/>
  <c r="C1152" i="23"/>
  <c r="C1990" i="23"/>
  <c r="B88" i="23"/>
  <c r="E291" i="23"/>
  <c r="A457" i="23"/>
  <c r="B363" i="22"/>
  <c r="G1605" i="23"/>
  <c r="A1653" i="23"/>
  <c r="D46" i="22"/>
  <c r="F1509" i="23"/>
  <c r="H395" i="23"/>
  <c r="D1730" i="23"/>
  <c r="D1988" i="23"/>
  <c r="F128" i="22"/>
  <c r="B1987" i="23"/>
  <c r="G62" i="22"/>
  <c r="H1565" i="23"/>
  <c r="G135" i="23"/>
  <c r="D307" i="23"/>
  <c r="B139" i="22"/>
  <c r="A1484" i="23"/>
  <c r="F244" i="23"/>
  <c r="F198" i="22"/>
  <c r="E1610" i="23"/>
  <c r="B733" i="23"/>
  <c r="A187" i="23"/>
  <c r="G2656" i="23"/>
  <c r="C367" i="22"/>
  <c r="C1270" i="23"/>
  <c r="G182" i="23"/>
  <c r="G1070" i="23"/>
  <c r="C44" i="23"/>
  <c r="F2947" i="23"/>
  <c r="D306" i="23"/>
  <c r="H725" i="23"/>
  <c r="H1596" i="23"/>
  <c r="A892" i="23"/>
  <c r="G1519" i="23"/>
  <c r="F333" i="22"/>
  <c r="B1318" i="23"/>
  <c r="F452" i="23"/>
  <c r="C871" i="23"/>
  <c r="F2155" i="23"/>
  <c r="E330" i="22"/>
  <c r="F1968" i="23"/>
  <c r="F418" i="23"/>
  <c r="A423" i="22"/>
  <c r="A1755" i="23"/>
  <c r="H1974" i="23"/>
  <c r="C1586" i="23"/>
  <c r="F888" i="23"/>
  <c r="A851" i="23"/>
  <c r="B218" i="22"/>
  <c r="C311" i="22"/>
  <c r="B1013" i="23"/>
  <c r="C1995" i="23"/>
  <c r="E364" i="23"/>
  <c r="C665" i="23"/>
  <c r="F636" i="23"/>
  <c r="C1148" i="23"/>
  <c r="B854" i="23"/>
  <c r="F2387" i="23"/>
  <c r="F1106" i="23"/>
  <c r="B98" i="22"/>
  <c r="G1701" i="23"/>
  <c r="E88" i="22"/>
  <c r="H2271" i="23"/>
  <c r="D1038" i="23"/>
  <c r="G2232" i="23"/>
  <c r="G78" i="23"/>
  <c r="F6" i="23"/>
  <c r="H1453" i="23"/>
  <c r="B310" i="22"/>
  <c r="E2138" i="23"/>
  <c r="C1027" i="23"/>
  <c r="C1844" i="23"/>
  <c r="B165" i="22"/>
  <c r="F2070" i="23"/>
  <c r="E1273" i="23"/>
  <c r="G309" i="22"/>
  <c r="D1585" i="23"/>
  <c r="B983" i="23"/>
  <c r="A1566" i="23"/>
  <c r="F339" i="23"/>
  <c r="H905" i="23"/>
  <c r="H1041" i="23"/>
  <c r="F1018" i="23"/>
  <c r="D1672" i="23"/>
  <c r="G2425" i="23"/>
  <c r="C824" i="23"/>
  <c r="G519" i="23"/>
  <c r="E1364" i="23"/>
  <c r="B830" i="23"/>
  <c r="B32" i="22"/>
  <c r="D1303" i="23"/>
  <c r="F538" i="23"/>
  <c r="A631" i="23"/>
  <c r="A301" i="23"/>
  <c r="A1254" i="23"/>
  <c r="E323" i="22"/>
  <c r="B269" i="23"/>
  <c r="B1420" i="23"/>
  <c r="E12" i="23"/>
  <c r="C303" i="23"/>
  <c r="A289" i="23"/>
  <c r="F1524" i="23"/>
  <c r="G922" i="23"/>
  <c r="F862" i="23"/>
  <c r="E1266" i="23"/>
  <c r="B421" i="22"/>
  <c r="F1059" i="23"/>
  <c r="B1144" i="23"/>
  <c r="G301" i="22"/>
  <c r="H413" i="23"/>
  <c r="D1805" i="23"/>
  <c r="F2993" i="23"/>
  <c r="F150" i="22"/>
  <c r="D1516" i="23"/>
  <c r="H1685" i="23"/>
  <c r="H51" i="23"/>
  <c r="D1631" i="23"/>
  <c r="G2605" i="23"/>
  <c r="H2343" i="23"/>
  <c r="G1292" i="23"/>
  <c r="C1547" i="23"/>
  <c r="B2278" i="23"/>
  <c r="C2233" i="23"/>
  <c r="D1766" i="23"/>
  <c r="H961" i="23"/>
  <c r="H1763" i="23"/>
  <c r="F172" i="22"/>
  <c r="B1174" i="23"/>
  <c r="D190" i="23"/>
  <c r="D987" i="23"/>
  <c r="C323" i="23"/>
  <c r="B1616" i="23"/>
  <c r="F1082" i="23"/>
  <c r="C274" i="22"/>
  <c r="D271" i="23"/>
  <c r="C2185" i="23"/>
  <c r="F168" i="22"/>
  <c r="E892" i="23"/>
  <c r="H421" i="23"/>
  <c r="G2840" i="23"/>
  <c r="E1909" i="23"/>
  <c r="F1198" i="23"/>
  <c r="B211" i="23"/>
  <c r="G2246" i="23"/>
  <c r="E1172" i="23"/>
  <c r="D1302" i="23"/>
  <c r="G2559" i="23"/>
  <c r="F168" i="23"/>
  <c r="G2688" i="23"/>
  <c r="H1908" i="23"/>
  <c r="C1470" i="23"/>
  <c r="G387" i="23"/>
  <c r="F1629" i="23"/>
  <c r="C231" i="22"/>
  <c r="C663" i="23"/>
  <c r="E1525" i="23"/>
  <c r="D318" i="23"/>
  <c r="H1500" i="23"/>
  <c r="E2276" i="23"/>
  <c r="C1989" i="23"/>
  <c r="E2298" i="23"/>
  <c r="D384" i="22"/>
  <c r="H2720" i="23"/>
  <c r="A2052" i="23"/>
  <c r="H2053" i="23"/>
  <c r="F926" i="23"/>
  <c r="F2554" i="23"/>
  <c r="F2103" i="23"/>
  <c r="F2880" i="23"/>
  <c r="B488" i="23"/>
  <c r="A551" i="23"/>
  <c r="G1312" i="23"/>
  <c r="F65" i="22"/>
  <c r="F2747" i="23"/>
  <c r="C1641" i="23"/>
  <c r="H61" i="22"/>
  <c r="H2008" i="23"/>
  <c r="H430" i="23"/>
  <c r="A1240" i="23"/>
  <c r="F2170" i="23"/>
  <c r="F2305" i="23"/>
  <c r="H1444" i="23"/>
  <c r="B183" i="23"/>
  <c r="C924" i="23"/>
  <c r="F1839" i="23"/>
  <c r="E407" i="22"/>
  <c r="F2573" i="23"/>
  <c r="C2014" i="23"/>
  <c r="C834" i="23"/>
  <c r="H20" i="22"/>
  <c r="D353" i="22"/>
  <c r="E1616" i="23"/>
  <c r="E219" i="22"/>
  <c r="B76" i="23"/>
  <c r="H494" i="23"/>
  <c r="A1738" i="23"/>
  <c r="G1488" i="23"/>
  <c r="A54" i="23"/>
  <c r="A318" i="23"/>
  <c r="D627" i="23"/>
  <c r="H1071" i="23"/>
  <c r="C1333" i="23"/>
  <c r="F870" i="23"/>
  <c r="G1447" i="23"/>
  <c r="H2979" i="23"/>
  <c r="D171" i="22"/>
  <c r="G1387" i="23"/>
  <c r="A1925" i="23"/>
  <c r="F2958" i="23"/>
  <c r="E1746" i="23"/>
  <c r="F2965" i="23"/>
  <c r="A347" i="22"/>
  <c r="C586" i="23"/>
  <c r="D134" i="23"/>
  <c r="E1389" i="23"/>
  <c r="H840" i="23"/>
  <c r="F2929" i="23"/>
  <c r="A402" i="23"/>
  <c r="G2057" i="23"/>
  <c r="C1165" i="23"/>
  <c r="E885" i="23"/>
  <c r="G243" i="22"/>
  <c r="H2758" i="23"/>
  <c r="A112" i="22"/>
  <c r="B26" i="22"/>
  <c r="F1555" i="23"/>
  <c r="B455" i="23"/>
  <c r="E503" i="23"/>
  <c r="H540" i="23"/>
  <c r="F27" i="22"/>
  <c r="A683" i="23"/>
  <c r="C1847" i="23"/>
  <c r="C1997" i="23"/>
  <c r="F1828" i="23"/>
  <c r="F1603" i="23"/>
  <c r="H1672" i="23"/>
  <c r="F1728" i="23"/>
  <c r="D1572" i="23"/>
  <c r="H1319" i="23"/>
  <c r="D267" i="23"/>
  <c r="F722" i="23"/>
  <c r="H116" i="23"/>
  <c r="E61" i="22"/>
  <c r="B65" i="23"/>
  <c r="C5" i="22"/>
  <c r="F1445" i="23"/>
  <c r="F1723" i="23"/>
  <c r="F1693" i="23"/>
  <c r="D513" i="23"/>
  <c r="F1751" i="23"/>
  <c r="E1556" i="23"/>
  <c r="F359" i="23"/>
  <c r="B705" i="23"/>
  <c r="G1268" i="23"/>
  <c r="C895" i="23"/>
  <c r="E803" i="23"/>
  <c r="C1329" i="23"/>
  <c r="B202" i="23"/>
  <c r="F850" i="23"/>
  <c r="F32" i="23"/>
  <c r="E177" i="22"/>
  <c r="H2442" i="23"/>
  <c r="G2034" i="23"/>
  <c r="D688" i="23"/>
  <c r="C14" i="22"/>
  <c r="C1236" i="23"/>
  <c r="B322" i="22"/>
  <c r="F112" i="23"/>
  <c r="G2033" i="23"/>
  <c r="C25" i="23"/>
  <c r="D99" i="22"/>
  <c r="A67" i="22"/>
  <c r="E270" i="22"/>
  <c r="H3001" i="23"/>
  <c r="E1356" i="23"/>
  <c r="F1596" i="23"/>
  <c r="H1839" i="23"/>
  <c r="G1691" i="23"/>
  <c r="F2332" i="23"/>
  <c r="C658" i="23"/>
  <c r="C1416" i="23"/>
  <c r="E1628" i="23"/>
  <c r="D183" i="23"/>
  <c r="D1657" i="23"/>
  <c r="E722" i="23"/>
  <c r="E333" i="23"/>
  <c r="H1879" i="23"/>
  <c r="G560" i="23"/>
  <c r="C127" i="23"/>
  <c r="E2244" i="23"/>
  <c r="C1540" i="23"/>
  <c r="H1411" i="23"/>
  <c r="B1999" i="23"/>
  <c r="F28" i="23"/>
  <c r="H97" i="23"/>
  <c r="D354" i="22"/>
  <c r="F2347" i="23"/>
  <c r="E1507" i="23"/>
  <c r="G2603" i="23"/>
  <c r="B306" i="23"/>
  <c r="B270" i="23"/>
  <c r="G2122" i="23"/>
  <c r="B45" i="23"/>
  <c r="F2092" i="23"/>
  <c r="B753" i="23"/>
  <c r="D654" i="23"/>
  <c r="D1364" i="23"/>
  <c r="A1891" i="23"/>
  <c r="D365" i="22"/>
  <c r="F479" i="23"/>
  <c r="D546" i="23"/>
  <c r="E290" i="23"/>
  <c r="C71" i="22"/>
  <c r="B106" i="23"/>
  <c r="C1593" i="23"/>
  <c r="H204" i="23"/>
  <c r="F2340" i="23"/>
  <c r="C1472" i="23"/>
  <c r="C1795" i="23"/>
  <c r="A996" i="23"/>
  <c r="F108" i="23"/>
  <c r="G44" i="23"/>
  <c r="A1911" i="23"/>
  <c r="C475" i="23"/>
  <c r="G1278" i="23"/>
  <c r="F1891" i="23"/>
  <c r="C829" i="23"/>
  <c r="H2138" i="23"/>
  <c r="H2300" i="23"/>
  <c r="F1720" i="23"/>
  <c r="E1180" i="23"/>
  <c r="G2575" i="23"/>
  <c r="C2129" i="23"/>
  <c r="F2146" i="23"/>
  <c r="G1274" i="23"/>
  <c r="F1085" i="23"/>
  <c r="H757" i="23"/>
  <c r="D2079" i="23"/>
  <c r="D1406" i="23"/>
  <c r="D1856" i="23"/>
  <c r="E370" i="23"/>
  <c r="A1394" i="23"/>
  <c r="H935" i="23"/>
  <c r="B159" i="22"/>
  <c r="B1929" i="23"/>
  <c r="C2279" i="23"/>
  <c r="A635" i="23"/>
  <c r="A821" i="23"/>
  <c r="D171" i="23"/>
  <c r="A961" i="23"/>
  <c r="F2893" i="23"/>
  <c r="B1449" i="23"/>
  <c r="C1667" i="23"/>
  <c r="D1207" i="23"/>
  <c r="E475" i="23"/>
  <c r="H66" i="22"/>
  <c r="H1510" i="23"/>
  <c r="G420" i="22"/>
  <c r="G1543" i="23"/>
  <c r="E78" i="22"/>
  <c r="D1610" i="23"/>
  <c r="A1457" i="23"/>
  <c r="D332" i="23"/>
  <c r="D2077" i="23"/>
  <c r="C2024" i="23"/>
  <c r="C155" i="23"/>
  <c r="B97" i="22"/>
  <c r="F296" i="22"/>
  <c r="F1262" i="23"/>
  <c r="E505" i="23"/>
  <c r="G153" i="22"/>
  <c r="A1041" i="23"/>
  <c r="E1320" i="23"/>
  <c r="H2370" i="23"/>
  <c r="A524" i="23"/>
  <c r="H2616" i="23"/>
  <c r="B1321" i="23"/>
  <c r="B2283" i="23"/>
  <c r="D1077" i="23"/>
  <c r="B627" i="23"/>
  <c r="F59" i="22"/>
  <c r="D181" i="23"/>
  <c r="C239" i="23"/>
  <c r="A1336" i="23"/>
  <c r="F2191" i="23"/>
  <c r="H751" i="23"/>
  <c r="D41" i="23"/>
  <c r="B18" i="23"/>
  <c r="G2222" i="23"/>
  <c r="F963" i="23"/>
  <c r="F1049" i="23"/>
  <c r="A116" i="22"/>
  <c r="E2308" i="23"/>
  <c r="A256" i="22"/>
  <c r="C2156" i="23"/>
  <c r="B1134" i="23"/>
  <c r="F1289" i="23"/>
  <c r="B420" i="22"/>
  <c r="C1977" i="23"/>
  <c r="E1676" i="23"/>
  <c r="G419" i="23"/>
  <c r="D1047" i="23"/>
  <c r="A172" i="23"/>
  <c r="G160" i="23"/>
  <c r="C1526" i="23"/>
  <c r="B200" i="23"/>
  <c r="A126" i="23"/>
  <c r="B641" i="23"/>
  <c r="H2776" i="23"/>
  <c r="B765" i="23"/>
  <c r="F2330" i="23"/>
  <c r="F1471" i="23"/>
  <c r="G2313" i="23"/>
  <c r="G199" i="22"/>
  <c r="G102" i="23"/>
  <c r="H2818" i="23"/>
  <c r="A2029" i="23"/>
  <c r="C1275" i="23"/>
  <c r="C858" i="23"/>
  <c r="D415" i="23"/>
  <c r="G668" i="23"/>
  <c r="A1732" i="23"/>
  <c r="A1538" i="23"/>
  <c r="D274" i="23"/>
  <c r="F922" i="23"/>
  <c r="A2184" i="23"/>
  <c r="C604" i="23"/>
  <c r="G1581" i="23"/>
  <c r="C196" i="23"/>
  <c r="B1300" i="23"/>
  <c r="E1321" i="23"/>
  <c r="D1773" i="23"/>
  <c r="F5" i="23"/>
  <c r="E1006" i="23"/>
  <c r="F2980" i="23"/>
  <c r="F45" i="22"/>
  <c r="H2187" i="23"/>
  <c r="E1068" i="23"/>
  <c r="D1709" i="23"/>
  <c r="E73" i="23"/>
  <c r="E1535" i="23"/>
  <c r="F1580" i="23"/>
  <c r="F759" i="23"/>
  <c r="H2978" i="23"/>
  <c r="D1518" i="23"/>
  <c r="F858" i="23"/>
  <c r="F2883" i="23"/>
  <c r="E586" i="23"/>
  <c r="H972" i="23"/>
  <c r="A806" i="23"/>
  <c r="C549" i="23"/>
  <c r="A2130" i="23"/>
  <c r="H2516" i="23"/>
  <c r="F1665" i="23"/>
  <c r="C1774" i="23"/>
  <c r="C444" i="23"/>
  <c r="E1789" i="23"/>
  <c r="H551" i="23"/>
  <c r="G1962" i="23"/>
  <c r="A1761" i="23"/>
  <c r="A396" i="23"/>
  <c r="E658" i="23"/>
  <c r="F2591" i="23"/>
  <c r="F1812" i="23"/>
  <c r="D598" i="23"/>
  <c r="C383" i="23"/>
  <c r="G2785" i="23"/>
  <c r="H437" i="23"/>
  <c r="A2064" i="23"/>
  <c r="A400" i="23"/>
  <c r="D1594" i="23"/>
  <c r="C1441" i="23"/>
  <c r="B1965" i="23"/>
  <c r="B1041" i="23"/>
  <c r="B548" i="23"/>
  <c r="E2003" i="23"/>
  <c r="E1869" i="23"/>
  <c r="D1059" i="23"/>
  <c r="E1830" i="23"/>
  <c r="A1571" i="23"/>
  <c r="A653" i="23"/>
  <c r="H44" i="23"/>
  <c r="H555" i="23"/>
  <c r="H836" i="23"/>
  <c r="A2180" i="23"/>
  <c r="H1575" i="23"/>
  <c r="D1369" i="23"/>
  <c r="G1641" i="23"/>
  <c r="G908" i="23"/>
  <c r="G2518" i="23"/>
  <c r="D2142" i="23"/>
  <c r="A2222" i="23"/>
  <c r="B60" i="22"/>
  <c r="G60" i="23"/>
  <c r="A122" i="23"/>
  <c r="F208" i="23"/>
  <c r="E709" i="23"/>
  <c r="G1941" i="23"/>
  <c r="E13" i="22"/>
  <c r="D1397" i="23"/>
  <c r="A879" i="23"/>
  <c r="A1500" i="23"/>
  <c r="D32" i="22"/>
  <c r="A195" i="23"/>
  <c r="G326" i="22"/>
  <c r="B1498" i="23"/>
  <c r="G2677" i="23"/>
  <c r="F3" i="23"/>
  <c r="E1008" i="23"/>
  <c r="C2126" i="23"/>
  <c r="B287" i="23"/>
  <c r="C1782" i="23"/>
  <c r="G1881" i="23"/>
  <c r="B1701" i="23"/>
  <c r="E64" i="23"/>
  <c r="A2077" i="23"/>
  <c r="F425" i="22"/>
  <c r="E773" i="23"/>
  <c r="A374" i="22"/>
  <c r="D1432" i="23"/>
  <c r="A1553" i="23"/>
  <c r="D1336" i="23"/>
  <c r="A2230" i="23"/>
  <c r="E2294" i="23"/>
  <c r="A1539" i="23"/>
  <c r="D734" i="23"/>
  <c r="F1329" i="23"/>
  <c r="C1684" i="23"/>
  <c r="F1929" i="23"/>
  <c r="D5" i="23"/>
  <c r="A1980" i="23"/>
  <c r="A830" i="23"/>
  <c r="E1442" i="23"/>
  <c r="H532" i="23"/>
  <c r="E1541" i="23"/>
  <c r="H426" i="23"/>
  <c r="F1446" i="23"/>
  <c r="G143" i="23"/>
  <c r="F632" i="23"/>
  <c r="E68" i="22"/>
  <c r="F65" i="23"/>
  <c r="B271" i="22"/>
  <c r="E1043" i="23"/>
  <c r="A1926" i="23"/>
  <c r="F1767" i="23"/>
  <c r="H796" i="23"/>
  <c r="G309" i="23"/>
  <c r="F1399" i="23"/>
  <c r="C2067" i="23"/>
  <c r="A893" i="23"/>
  <c r="A279" i="23"/>
  <c r="F2284" i="23"/>
  <c r="B1046" i="23"/>
  <c r="B1978" i="23"/>
  <c r="F2008" i="23"/>
  <c r="H975" i="23"/>
  <c r="F2745" i="23"/>
  <c r="F2668" i="23"/>
  <c r="E2121" i="23"/>
  <c r="G2328" i="23"/>
  <c r="A119" i="23"/>
  <c r="H2566" i="23"/>
  <c r="H2640" i="23"/>
  <c r="A265" i="23"/>
  <c r="D1373" i="23"/>
  <c r="B1054" i="23"/>
  <c r="H1505" i="23"/>
  <c r="D464" i="23"/>
  <c r="H2011" i="23"/>
  <c r="A2267" i="23"/>
  <c r="D370" i="22"/>
  <c r="A1423" i="23"/>
  <c r="E1082" i="23"/>
  <c r="E2119" i="23"/>
  <c r="E990" i="23"/>
  <c r="B125" i="23"/>
  <c r="E63" i="23"/>
  <c r="A132" i="22"/>
  <c r="H2760" i="23"/>
  <c r="C218" i="22"/>
  <c r="D1732" i="23"/>
  <c r="H2400" i="23"/>
  <c r="G205" i="23"/>
  <c r="F363" i="22"/>
  <c r="A831" i="23"/>
  <c r="D1174" i="23"/>
  <c r="B1052" i="23"/>
  <c r="D159" i="22"/>
  <c r="D2103" i="23"/>
  <c r="F2634" i="23"/>
  <c r="C1558" i="23"/>
  <c r="G2416" i="23"/>
  <c r="H2116" i="23"/>
  <c r="F1887" i="23"/>
  <c r="D2012" i="23"/>
  <c r="G17" i="22"/>
  <c r="C1494" i="23"/>
  <c r="B387" i="23"/>
  <c r="D2062" i="23"/>
  <c r="H2240" i="23"/>
  <c r="H851" i="23"/>
  <c r="C266" i="22"/>
  <c r="G1716" i="23"/>
  <c r="A1374" i="23"/>
  <c r="G1223" i="23"/>
  <c r="F1061" i="23"/>
  <c r="G1798" i="23"/>
  <c r="B2035" i="23"/>
  <c r="E815" i="23"/>
  <c r="E942" i="23"/>
  <c r="H1798" i="23"/>
  <c r="G2254" i="23"/>
  <c r="F2264" i="23"/>
  <c r="E1297" i="23"/>
  <c r="H361" i="23"/>
  <c r="C2237" i="23"/>
  <c r="E300" i="23"/>
  <c r="B289" i="22"/>
  <c r="B763" i="23"/>
  <c r="C2010" i="23"/>
  <c r="F2689" i="23"/>
  <c r="F1625" i="23"/>
  <c r="E1492" i="23"/>
  <c r="E214" i="23"/>
  <c r="E1527" i="23"/>
  <c r="C174" i="23"/>
  <c r="C1632" i="23"/>
  <c r="B2022" i="23"/>
  <c r="E817" i="23"/>
  <c r="B1175" i="23"/>
  <c r="C429" i="23"/>
  <c r="G417" i="23"/>
  <c r="C378" i="23"/>
  <c r="G1329" i="23"/>
  <c r="B1892" i="23"/>
  <c r="F2468" i="23"/>
  <c r="F2285" i="23"/>
  <c r="A455" i="23"/>
  <c r="A1243" i="23"/>
  <c r="C487" i="23"/>
  <c r="H1704" i="23"/>
  <c r="F177" i="22"/>
  <c r="H41" i="23"/>
  <c r="H253" i="23"/>
  <c r="H638" i="23"/>
  <c r="D1500" i="23"/>
  <c r="D82" i="23"/>
  <c r="A649" i="23"/>
  <c r="C2136" i="23"/>
  <c r="G1297" i="23"/>
  <c r="B379" i="22"/>
  <c r="E36" i="23"/>
  <c r="E704" i="23"/>
  <c r="H58" i="23"/>
  <c r="G1945" i="23"/>
  <c r="H87" i="22"/>
  <c r="B342" i="23"/>
  <c r="F2309" i="23"/>
  <c r="E682" i="23"/>
  <c r="A2042" i="23"/>
  <c r="E426" i="22"/>
  <c r="G1555" i="23"/>
  <c r="D830" i="23"/>
  <c r="B1390" i="23"/>
  <c r="A171" i="23"/>
  <c r="B1823" i="23"/>
  <c r="A903" i="23"/>
  <c r="B303" i="22"/>
  <c r="F707" i="23"/>
  <c r="A216" i="22"/>
  <c r="E127" i="23"/>
  <c r="E534" i="23"/>
  <c r="G2214" i="23"/>
  <c r="B931" i="23"/>
  <c r="B123" i="23"/>
  <c r="E30" i="23"/>
  <c r="F2817" i="23"/>
  <c r="D69" i="22"/>
  <c r="D2161" i="23"/>
  <c r="B298" i="23"/>
  <c r="B217" i="22"/>
  <c r="C296" i="22"/>
  <c r="B530" i="23"/>
  <c r="F2235" i="23"/>
  <c r="G2260" i="23"/>
  <c r="H223" i="23"/>
  <c r="F1117" i="23"/>
  <c r="H2094" i="23"/>
  <c r="G742" i="23"/>
  <c r="E1528" i="23"/>
  <c r="H1953" i="23"/>
  <c r="G2207" i="23"/>
  <c r="D977" i="23"/>
  <c r="H2916" i="23"/>
  <c r="F2280" i="23"/>
  <c r="C955" i="23"/>
  <c r="B1687" i="23"/>
  <c r="G275" i="23"/>
  <c r="G2594" i="23"/>
  <c r="H2767" i="23"/>
  <c r="B1703" i="23"/>
  <c r="F1586" i="23"/>
  <c r="F1219" i="23"/>
  <c r="C1161" i="23"/>
  <c r="B1178" i="23"/>
  <c r="A541" i="23"/>
  <c r="A96" i="23"/>
  <c r="E2125" i="23"/>
  <c r="F803" i="23"/>
  <c r="G1463" i="23"/>
  <c r="F1850" i="23"/>
  <c r="D798" i="23"/>
  <c r="A29" i="22"/>
  <c r="F1512" i="23"/>
  <c r="B592" i="23"/>
  <c r="B1652" i="23"/>
  <c r="D2254" i="23"/>
  <c r="F20" i="22"/>
  <c r="G2861" i="23"/>
  <c r="C633" i="23"/>
  <c r="F1394" i="23"/>
  <c r="H2680" i="23"/>
  <c r="C57" i="23"/>
  <c r="F2569" i="23"/>
  <c r="E1516" i="23"/>
  <c r="H1385" i="23"/>
  <c r="F2523" i="23"/>
  <c r="E137" i="23"/>
  <c r="F137" i="23"/>
  <c r="E1831" i="23"/>
  <c r="H1243" i="23"/>
  <c r="F811" i="23"/>
  <c r="H1188" i="23"/>
  <c r="E635" i="23"/>
  <c r="G2491" i="23"/>
  <c r="H2536" i="23"/>
  <c r="C40" i="23"/>
  <c r="F971" i="23"/>
  <c r="F1928" i="23"/>
  <c r="C1202" i="23"/>
  <c r="D1943" i="23"/>
  <c r="B1784" i="23"/>
  <c r="A31" i="22"/>
  <c r="G621" i="23"/>
  <c r="E1216" i="23"/>
  <c r="A292" i="22"/>
  <c r="F1988" i="23"/>
  <c r="F2371" i="23"/>
  <c r="B148" i="23"/>
  <c r="A2139" i="23"/>
  <c r="H1900" i="23"/>
  <c r="C1769" i="23"/>
  <c r="F1606" i="23"/>
  <c r="C1374" i="23"/>
  <c r="H2013" i="23"/>
  <c r="B1260" i="23"/>
  <c r="H949" i="23"/>
  <c r="F1515" i="23"/>
  <c r="H1738" i="23"/>
  <c r="E1387" i="23"/>
  <c r="E1854" i="23"/>
  <c r="H1063" i="23"/>
  <c r="D997" i="23"/>
  <c r="G944" i="23"/>
  <c r="G2777" i="23"/>
  <c r="D1474" i="23"/>
  <c r="C2036" i="23"/>
  <c r="G2613" i="23"/>
  <c r="B158" i="23"/>
  <c r="D85" i="22"/>
  <c r="A533" i="23"/>
  <c r="D985" i="23"/>
  <c r="D242" i="22"/>
  <c r="G1056" i="23"/>
  <c r="G426" i="23"/>
  <c r="A115" i="23"/>
  <c r="D1161" i="23"/>
  <c r="F1677" i="23"/>
  <c r="F2669" i="23"/>
  <c r="E495" i="23"/>
  <c r="A2185" i="23"/>
  <c r="G395" i="22"/>
  <c r="B283" i="22"/>
  <c r="G259" i="23"/>
  <c r="G2895" i="23"/>
  <c r="D2296" i="23"/>
  <c r="B113" i="23"/>
  <c r="E522" i="23"/>
  <c r="C1170" i="23"/>
  <c r="C359" i="23"/>
  <c r="D56" i="23"/>
  <c r="D314" i="23"/>
  <c r="B1238" i="23"/>
  <c r="E31" i="23"/>
  <c r="F909" i="23"/>
  <c r="C1008" i="23"/>
  <c r="F2077" i="23"/>
  <c r="H1579" i="23"/>
  <c r="C1359" i="23"/>
  <c r="C1772" i="23"/>
  <c r="E1762" i="23"/>
  <c r="H2332" i="23"/>
  <c r="F1433" i="23"/>
  <c r="F2051" i="23"/>
  <c r="H1365" i="23"/>
  <c r="B1684" i="23"/>
  <c r="A324" i="23"/>
  <c r="G189" i="22"/>
  <c r="E211" i="22"/>
  <c r="G128" i="22"/>
  <c r="G498" i="23"/>
  <c r="H2660" i="23"/>
  <c r="E1867" i="23"/>
  <c r="A1040" i="23"/>
  <c r="H2143" i="23"/>
  <c r="D606" i="23"/>
  <c r="C1489" i="23"/>
  <c r="F2457" i="23"/>
  <c r="G904" i="23"/>
  <c r="C1415" i="23"/>
  <c r="E2217" i="23"/>
  <c r="E895" i="23"/>
  <c r="A945" i="23"/>
  <c r="H93" i="22"/>
  <c r="A1544" i="23"/>
  <c r="A2075" i="23"/>
  <c r="D166" i="23"/>
  <c r="G2853" i="23"/>
  <c r="D1093" i="23"/>
  <c r="E1679" i="23"/>
  <c r="B467" i="23"/>
  <c r="F424" i="22"/>
  <c r="G2664" i="23"/>
  <c r="H18" i="22"/>
  <c r="A1028" i="23"/>
  <c r="D137" i="22"/>
  <c r="F1754" i="23"/>
  <c r="B1395" i="23"/>
  <c r="B791" i="23"/>
  <c r="F2049" i="23"/>
  <c r="D683" i="23"/>
  <c r="H1819" i="23"/>
  <c r="G1120" i="23"/>
  <c r="H834" i="23"/>
  <c r="G1457" i="23"/>
  <c r="F1705" i="23"/>
  <c r="H2268" i="23"/>
  <c r="D259" i="23"/>
  <c r="A2150" i="23"/>
  <c r="D339" i="23"/>
  <c r="F1588" i="23"/>
  <c r="D1912" i="23"/>
  <c r="A69" i="22"/>
  <c r="F626" i="23"/>
  <c r="G1744" i="23"/>
  <c r="D2298" i="23"/>
  <c r="H2960" i="23"/>
  <c r="C391" i="23"/>
  <c r="B2030" i="23"/>
  <c r="C1428" i="23"/>
  <c r="D1445" i="23"/>
  <c r="C1784" i="23"/>
  <c r="H830" i="23"/>
  <c r="A25" i="23"/>
  <c r="F1438" i="23"/>
  <c r="D1618" i="23"/>
  <c r="D176" i="22"/>
  <c r="B758" i="23"/>
  <c r="F336" i="22"/>
  <c r="A270" i="22"/>
  <c r="E1374" i="23"/>
  <c r="A1932" i="23"/>
  <c r="G1486" i="23"/>
  <c r="A2016" i="23"/>
  <c r="H113" i="23"/>
  <c r="G1140" i="23"/>
  <c r="H1073" i="23"/>
  <c r="A698" i="23"/>
  <c r="D1044" i="23"/>
  <c r="A2272" i="23"/>
  <c r="D1210" i="23"/>
  <c r="G1336" i="23"/>
  <c r="H1992" i="23"/>
  <c r="F1494" i="23"/>
  <c r="F950" i="23"/>
  <c r="B1402" i="23"/>
  <c r="F182" i="22"/>
  <c r="D1214" i="23"/>
  <c r="E1956" i="23"/>
  <c r="E432" i="23"/>
  <c r="G180" i="23"/>
  <c r="H171" i="23"/>
  <c r="H2872" i="23"/>
  <c r="D1898" i="23"/>
  <c r="H2473" i="23"/>
  <c r="C843" i="23"/>
  <c r="C622" i="23"/>
  <c r="B2253" i="23"/>
  <c r="G649" i="23"/>
  <c r="G2668" i="23"/>
  <c r="F2479" i="23"/>
  <c r="D839" i="23"/>
  <c r="D489" i="23"/>
  <c r="H2550" i="23"/>
  <c r="G1607" i="23"/>
  <c r="G1137" i="23"/>
  <c r="E201" i="22"/>
  <c r="H814" i="23"/>
  <c r="D2113" i="23"/>
  <c r="A1095" i="23"/>
  <c r="G1242" i="23"/>
  <c r="B2181" i="23"/>
  <c r="A762" i="23"/>
  <c r="B225" i="22"/>
  <c r="G756" i="23"/>
  <c r="A4" i="22"/>
  <c r="C1836" i="23"/>
  <c r="A1431" i="23"/>
  <c r="D700" i="23"/>
  <c r="A2288" i="23"/>
  <c r="G2289" i="23"/>
  <c r="G988" i="23"/>
  <c r="E1870" i="23"/>
  <c r="B2263" i="23"/>
  <c r="F1466" i="23"/>
  <c r="F670" i="23"/>
  <c r="F1947" i="23"/>
  <c r="D144" i="23"/>
  <c r="E2249" i="23"/>
  <c r="A819" i="23"/>
  <c r="D1798" i="23"/>
  <c r="B1735" i="23"/>
  <c r="C126" i="22"/>
  <c r="D1527" i="23"/>
  <c r="H2540" i="23"/>
  <c r="F2946" i="23"/>
  <c r="D572" i="23"/>
  <c r="F163" i="23"/>
  <c r="B1239" i="23"/>
  <c r="H674" i="23"/>
  <c r="D1788" i="23"/>
  <c r="B2179" i="23"/>
  <c r="G247" i="23"/>
  <c r="G227" i="22"/>
  <c r="B28" i="22"/>
  <c r="D170" i="22"/>
  <c r="D1620" i="23"/>
  <c r="C2066" i="23"/>
  <c r="E623" i="23"/>
  <c r="A1494" i="23"/>
  <c r="A2048" i="23"/>
  <c r="D982" i="23"/>
  <c r="D1552" i="23"/>
  <c r="D2081" i="23"/>
  <c r="F2676" i="23"/>
  <c r="A1452" i="23"/>
  <c r="G979" i="23"/>
  <c r="A216" i="23"/>
  <c r="E1961" i="23"/>
  <c r="E208" i="22"/>
  <c r="F1879" i="23"/>
  <c r="H1274" i="23"/>
  <c r="E1243" i="23"/>
  <c r="F41" i="22"/>
  <c r="F2825" i="23"/>
  <c r="C2088" i="23"/>
  <c r="B159" i="23"/>
  <c r="E757" i="23"/>
  <c r="A1776" i="23"/>
  <c r="F67" i="22"/>
  <c r="F2602" i="23"/>
  <c r="B1740" i="23"/>
  <c r="A170" i="23"/>
  <c r="F1508" i="23"/>
  <c r="H423" i="23"/>
  <c r="G455" i="23"/>
  <c r="H1922" i="23"/>
  <c r="B1561" i="23"/>
  <c r="E253" i="23"/>
  <c r="E457" i="23"/>
  <c r="A876" i="23"/>
  <c r="B827" i="23"/>
  <c r="C116" i="23"/>
  <c r="A1764" i="23"/>
  <c r="E535" i="23"/>
  <c r="H305" i="23"/>
  <c r="F474" i="23"/>
  <c r="E2030" i="23"/>
  <c r="G795" i="23"/>
  <c r="A2142" i="23"/>
  <c r="F386" i="22"/>
  <c r="C1681" i="23"/>
  <c r="B463" i="23"/>
  <c r="A335" i="23"/>
  <c r="G320" i="22"/>
  <c r="D1026" i="23"/>
  <c r="G228" i="22"/>
  <c r="E481" i="23"/>
  <c r="E54" i="22"/>
  <c r="B659" i="23"/>
  <c r="C1811" i="23"/>
  <c r="C1585" i="23"/>
  <c r="E2062" i="23"/>
  <c r="G938" i="23"/>
  <c r="F1478" i="23"/>
  <c r="G188" i="23"/>
  <c r="G2681" i="23"/>
  <c r="D56" i="22"/>
  <c r="A1280" i="23"/>
  <c r="A936" i="23"/>
  <c r="H2005" i="23"/>
  <c r="A2270" i="23"/>
  <c r="G111" i="22"/>
  <c r="D168" i="23"/>
  <c r="B1227" i="23"/>
  <c r="E1657" i="23"/>
  <c r="G2761" i="23"/>
  <c r="F995" i="23"/>
  <c r="E320" i="22"/>
  <c r="F932" i="23"/>
  <c r="G2016" i="23"/>
  <c r="H67" i="22"/>
  <c r="H844" i="23"/>
  <c r="G195" i="23"/>
  <c r="E391" i="23"/>
  <c r="E89" i="22"/>
  <c r="E1647" i="23"/>
  <c r="A2063" i="23"/>
  <c r="C418" i="23"/>
  <c r="F2584" i="23"/>
  <c r="H1683" i="23"/>
  <c r="E230" i="23"/>
  <c r="A1853" i="23"/>
  <c r="E2293" i="23"/>
  <c r="H1029" i="23"/>
  <c r="D1191" i="23"/>
  <c r="D1262" i="23"/>
  <c r="F120" i="22"/>
  <c r="F157" i="23"/>
  <c r="E1668" i="23"/>
  <c r="B127" i="22"/>
  <c r="D842" i="23"/>
  <c r="F331" i="23"/>
  <c r="D408" i="23"/>
  <c r="A1414" i="23"/>
  <c r="H1550" i="23"/>
  <c r="B1473" i="23"/>
  <c r="E1901" i="23"/>
  <c r="C310" i="23"/>
  <c r="E108" i="23"/>
  <c r="H2471" i="23"/>
  <c r="H2237" i="23"/>
  <c r="F156" i="22"/>
  <c r="A2301" i="23"/>
  <c r="C95" i="22"/>
  <c r="A2073" i="23"/>
  <c r="C1993" i="23"/>
  <c r="F80" i="22"/>
  <c r="H1044" i="23"/>
  <c r="E421" i="23"/>
  <c r="G969" i="23"/>
  <c r="E1140" i="23"/>
  <c r="G1231" i="23"/>
  <c r="E523" i="23"/>
  <c r="H2121" i="23"/>
  <c r="E1674" i="23"/>
  <c r="C54" i="23"/>
  <c r="F2100" i="23"/>
  <c r="A1996" i="23"/>
  <c r="A1821" i="23"/>
  <c r="E2182" i="23"/>
  <c r="E1138" i="23"/>
  <c r="G1227" i="23"/>
  <c r="D2010" i="23"/>
  <c r="B1717" i="23"/>
  <c r="A2062" i="23"/>
  <c r="H1106" i="23"/>
  <c r="F1437" i="23"/>
  <c r="C784" i="23"/>
  <c r="G1232" i="23"/>
  <c r="H207" i="23"/>
  <c r="H1793" i="23"/>
  <c r="D478" i="23"/>
  <c r="F1367" i="23"/>
  <c r="D1154" i="23"/>
  <c r="E373" i="22"/>
  <c r="F864" i="23"/>
  <c r="H666" i="23"/>
  <c r="B880" i="23"/>
  <c r="F2370" i="23"/>
  <c r="B90" i="22"/>
  <c r="B1436" i="23"/>
  <c r="E1370" i="23"/>
  <c r="G397" i="23"/>
  <c r="H2097" i="23"/>
  <c r="H1984" i="23"/>
  <c r="A144" i="23"/>
  <c r="A800" i="23"/>
  <c r="G1095" i="23"/>
  <c r="C613" i="23"/>
  <c r="G2420" i="23"/>
  <c r="G132" i="23"/>
  <c r="D1102" i="23"/>
  <c r="E1551" i="23"/>
  <c r="B2281" i="23"/>
  <c r="F2402" i="23"/>
  <c r="D1278" i="23"/>
  <c r="F876" i="23"/>
  <c r="B647" i="23"/>
  <c r="G1198" i="23"/>
  <c r="F2511" i="23"/>
  <c r="G2358" i="23"/>
  <c r="C1714" i="23"/>
  <c r="G942" i="23"/>
  <c r="E1624" i="23"/>
  <c r="A1995" i="23"/>
  <c r="F680" i="23"/>
  <c r="D2042" i="23"/>
  <c r="C403" i="22"/>
  <c r="C346" i="23"/>
  <c r="H1250" i="23"/>
  <c r="B615" i="23"/>
  <c r="B1035" i="23"/>
  <c r="H1960" i="23"/>
  <c r="A588" i="23"/>
  <c r="G1565" i="23"/>
  <c r="D477" i="23"/>
  <c r="G262" i="23"/>
  <c r="F542" i="23"/>
  <c r="F1372" i="23"/>
  <c r="H615" i="23"/>
  <c r="C600" i="23"/>
  <c r="F365" i="22"/>
  <c r="H1005" i="23"/>
  <c r="H2086" i="23"/>
  <c r="F2036" i="23"/>
  <c r="C1865" i="23"/>
  <c r="D1378" i="23"/>
  <c r="F1447" i="23"/>
  <c r="A970" i="23"/>
  <c r="B1279" i="23"/>
  <c r="G589" i="23"/>
  <c r="F115" i="22"/>
  <c r="F2065" i="23"/>
  <c r="A88" i="22"/>
  <c r="F1684" i="23"/>
  <c r="B234" i="23"/>
  <c r="E574" i="23"/>
  <c r="F2149" i="23"/>
  <c r="C1219" i="23"/>
  <c r="A668" i="23"/>
  <c r="H2140" i="23"/>
  <c r="F1479" i="23"/>
  <c r="E114" i="22"/>
  <c r="D1428" i="23"/>
  <c r="F2861" i="23"/>
  <c r="F24" i="23"/>
  <c r="A1838" i="23"/>
  <c r="F2633" i="23"/>
  <c r="H1615" i="23"/>
  <c r="E1768" i="23"/>
  <c r="G410" i="22"/>
  <c r="B172" i="22"/>
  <c r="C898" i="23"/>
  <c r="F2721" i="23"/>
  <c r="D771" i="23"/>
  <c r="F55" i="22"/>
  <c r="G1003" i="23"/>
  <c r="E1019" i="23"/>
  <c r="E516" i="23"/>
  <c r="B1084" i="23"/>
  <c r="A30" i="23"/>
  <c r="D1731" i="23"/>
  <c r="D1893" i="23"/>
  <c r="F1288" i="23"/>
  <c r="E1179" i="23"/>
  <c r="G769" i="23"/>
  <c r="B1119" i="23"/>
  <c r="G924" i="23"/>
  <c r="B100" i="22"/>
  <c r="D1639" i="23"/>
  <c r="A689" i="23"/>
  <c r="F43" i="23"/>
  <c r="C1595" i="23"/>
  <c r="A319" i="23"/>
  <c r="F149" i="22"/>
  <c r="A1465" i="23"/>
  <c r="F2506" i="23"/>
  <c r="H455" i="23"/>
  <c r="G2174" i="23"/>
  <c r="D173" i="23"/>
  <c r="H164" i="23"/>
  <c r="G1310" i="23"/>
  <c r="H345" i="23"/>
  <c r="F522" i="23"/>
  <c r="B1851" i="23"/>
  <c r="A721" i="23"/>
  <c r="F439" i="23"/>
  <c r="E699" i="23"/>
  <c r="B1732" i="23"/>
  <c r="G2237" i="23"/>
  <c r="C1613" i="23"/>
  <c r="G2716" i="23"/>
  <c r="B1078" i="23"/>
  <c r="B610" i="23"/>
  <c r="E1311" i="23"/>
  <c r="H2546" i="23"/>
  <c r="D579" i="23"/>
  <c r="A674" i="23"/>
  <c r="D2191" i="23"/>
  <c r="A1338" i="23"/>
  <c r="E2033" i="23"/>
  <c r="C1516" i="23"/>
  <c r="F220" i="22"/>
  <c r="B686" i="23"/>
  <c r="B960" i="23"/>
  <c r="F336" i="23"/>
  <c r="C996" i="23"/>
  <c r="D1635" i="23"/>
  <c r="H2894" i="23"/>
  <c r="C1349" i="23"/>
  <c r="B1298" i="23"/>
  <c r="A2070" i="23"/>
  <c r="E221" i="22"/>
  <c r="G1645" i="23"/>
  <c r="A564" i="23"/>
  <c r="G209" i="22"/>
  <c r="B2115" i="23"/>
  <c r="B380" i="22"/>
  <c r="B1924" i="23"/>
  <c r="G2337" i="23"/>
  <c r="C1120" i="23"/>
  <c r="B312" i="23"/>
  <c r="G343" i="22"/>
  <c r="F2287" i="23"/>
  <c r="D198" i="22"/>
  <c r="H1815" i="23"/>
  <c r="E1111" i="23"/>
  <c r="C326" i="23"/>
  <c r="G200" i="23"/>
  <c r="H2381" i="23"/>
  <c r="B398" i="22"/>
  <c r="B611" i="23"/>
  <c r="G2597" i="23"/>
  <c r="B1667" i="23"/>
  <c r="D391" i="23"/>
  <c r="D1427" i="23"/>
  <c r="C1814" i="23"/>
  <c r="C519" i="23"/>
  <c r="B1761" i="23"/>
  <c r="E2180" i="23"/>
  <c r="D422" i="22"/>
  <c r="A2082" i="23"/>
  <c r="F788" i="23"/>
  <c r="F1498" i="23"/>
  <c r="F246" i="23"/>
  <c r="H694" i="23"/>
  <c r="C297" i="23"/>
  <c r="B936" i="23"/>
  <c r="E2247" i="23"/>
  <c r="A48" i="22"/>
  <c r="D481" i="23"/>
  <c r="G304" i="22"/>
  <c r="G2615" i="23"/>
  <c r="C277" i="23"/>
  <c r="B185" i="23"/>
  <c r="C995" i="23"/>
  <c r="E78" i="23"/>
  <c r="D248" i="22"/>
  <c r="H163" i="23"/>
  <c r="E1230" i="23"/>
  <c r="B288" i="23"/>
  <c r="F1855" i="23"/>
  <c r="F1163" i="23"/>
  <c r="F156" i="23"/>
  <c r="E431" i="23"/>
  <c r="E1160" i="23"/>
  <c r="F899" i="23"/>
  <c r="F1370" i="23"/>
  <c r="G595" i="23"/>
  <c r="C1618" i="23"/>
  <c r="B899" i="23"/>
  <c r="F874" i="23"/>
  <c r="D2288" i="23"/>
  <c r="E1698" i="23"/>
  <c r="D285" i="23"/>
  <c r="A351" i="22"/>
  <c r="F778" i="23"/>
  <c r="F2314" i="23"/>
  <c r="E1222" i="23"/>
  <c r="C251" i="22"/>
  <c r="E358" i="23"/>
  <c r="A2273" i="23"/>
  <c r="H1002" i="23"/>
  <c r="E1261" i="23"/>
  <c r="E71" i="22"/>
  <c r="E407" i="23"/>
  <c r="E1335" i="23"/>
  <c r="H2365" i="23"/>
  <c r="E821" i="23"/>
  <c r="G373" i="22"/>
  <c r="A105" i="23"/>
  <c r="G1763" i="23"/>
  <c r="G1471" i="23"/>
  <c r="A2244" i="23"/>
  <c r="F2344" i="23"/>
  <c r="B83" i="23"/>
  <c r="A1513" i="23"/>
  <c r="F1780" i="23"/>
  <c r="C696" i="23"/>
  <c r="A1069" i="23"/>
  <c r="B60" i="23"/>
  <c r="B755" i="23"/>
  <c r="B2214" i="23"/>
  <c r="G2209" i="23"/>
  <c r="H964" i="23"/>
  <c r="G2160" i="23"/>
  <c r="C164" i="23"/>
  <c r="F1719" i="23"/>
  <c r="C741" i="23"/>
  <c r="C45" i="22"/>
  <c r="H91" i="22"/>
  <c r="F916" i="23"/>
  <c r="C23" i="23"/>
  <c r="G2208" i="23"/>
  <c r="D936" i="23"/>
  <c r="C1103" i="23"/>
  <c r="B738" i="23"/>
  <c r="H1216" i="23"/>
  <c r="D437" i="23"/>
  <c r="D1392" i="23"/>
  <c r="H785" i="23"/>
  <c r="D1484" i="23"/>
  <c r="A237" i="23"/>
  <c r="A590" i="23"/>
  <c r="D944" i="23"/>
  <c r="G28" i="23"/>
  <c r="G133" i="23"/>
  <c r="D1157" i="23"/>
  <c r="C314" i="22"/>
  <c r="H1945" i="23"/>
  <c r="B684" i="23"/>
  <c r="H1818" i="23"/>
  <c r="G40" i="23"/>
  <c r="C4" i="23"/>
  <c r="F794" i="23"/>
  <c r="B2175" i="23"/>
  <c r="D2094" i="23"/>
  <c r="E1619" i="23"/>
  <c r="H1217" i="23"/>
  <c r="H1525" i="23"/>
  <c r="H721" i="23"/>
  <c r="C884" i="23"/>
  <c r="H576" i="23"/>
  <c r="G2465" i="23"/>
  <c r="H250" i="23"/>
  <c r="H2989" i="23"/>
  <c r="D1659" i="23"/>
  <c r="B1393" i="23"/>
  <c r="C1832" i="23"/>
  <c r="H1197" i="23"/>
  <c r="F2521" i="23"/>
  <c r="F199" i="23"/>
  <c r="G1975" i="23"/>
  <c r="G2714" i="23"/>
  <c r="G71" i="22"/>
  <c r="F1601" i="23"/>
  <c r="C2282" i="23"/>
  <c r="E643" i="23"/>
  <c r="H2040" i="23"/>
  <c r="F1310" i="23"/>
  <c r="C401" i="22"/>
  <c r="G218" i="23"/>
  <c r="F2665" i="23"/>
  <c r="G183" i="23"/>
  <c r="A1939" i="23"/>
  <c r="E103" i="23"/>
  <c r="G2809" i="23"/>
  <c r="F154" i="23"/>
  <c r="D198" i="23"/>
  <c r="B911" i="23"/>
  <c r="A1029" i="23"/>
  <c r="G2884" i="23"/>
  <c r="F1998" i="23"/>
  <c r="B1881" i="23"/>
  <c r="H1931" i="23"/>
  <c r="B341" i="22"/>
  <c r="G2858" i="23"/>
  <c r="H929" i="23"/>
  <c r="E1948" i="23"/>
  <c r="D179" i="23"/>
  <c r="E273" i="22"/>
  <c r="B1299" i="23"/>
  <c r="E65" i="23"/>
  <c r="F2788" i="23"/>
  <c r="D1409" i="23"/>
  <c r="H864" i="23"/>
  <c r="B391" i="22"/>
  <c r="A1555" i="23"/>
  <c r="B2271" i="23"/>
  <c r="H1955" i="23"/>
  <c r="G473" i="23"/>
  <c r="A282" i="22"/>
  <c r="H1428" i="23"/>
  <c r="C350" i="22"/>
  <c r="H2311" i="23"/>
  <c r="D444" i="23"/>
  <c r="A102" i="22"/>
  <c r="B187" i="23"/>
  <c r="A2247" i="23"/>
  <c r="A2276" i="23"/>
  <c r="C530" i="23"/>
  <c r="D64" i="23"/>
  <c r="G1476" i="23"/>
  <c r="D1251" i="23"/>
  <c r="E1766" i="23"/>
  <c r="E788" i="23"/>
  <c r="H1675" i="23"/>
  <c r="C3" i="23"/>
  <c r="A1924" i="23"/>
  <c r="H971" i="23"/>
  <c r="H546" i="23"/>
  <c r="A1175" i="23"/>
  <c r="E576" i="23"/>
  <c r="F1408" i="23"/>
  <c r="C64" i="22"/>
  <c r="H2359" i="23"/>
  <c r="C1192" i="23"/>
  <c r="F1281" i="23"/>
  <c r="E1505" i="23"/>
  <c r="E1696" i="23"/>
  <c r="E265" i="22"/>
  <c r="F767" i="23"/>
  <c r="B2063" i="23"/>
  <c r="C1532" i="23"/>
  <c r="D1489" i="23"/>
  <c r="B198" i="22"/>
  <c r="C1063" i="23"/>
  <c r="A1055" i="23"/>
  <c r="D2001" i="23"/>
  <c r="F2443" i="23"/>
  <c r="B249" i="22"/>
  <c r="H47" i="23"/>
  <c r="C647" i="23"/>
  <c r="H2641" i="23"/>
  <c r="G1857" i="23"/>
  <c r="H1493" i="23"/>
  <c r="F1520" i="23"/>
  <c r="H1286" i="23"/>
  <c r="E34" i="22"/>
  <c r="G421" i="23"/>
  <c r="F1953" i="23"/>
  <c r="F2185" i="23"/>
  <c r="G820" i="23"/>
  <c r="F853" i="23"/>
  <c r="F100" i="23"/>
  <c r="G913" i="23"/>
  <c r="B283" i="23"/>
  <c r="G372" i="22"/>
  <c r="E94" i="22"/>
  <c r="A2258" i="23"/>
  <c r="E103" i="22"/>
  <c r="F2758" i="23"/>
  <c r="B224" i="23"/>
  <c r="F2520" i="23"/>
  <c r="G1790" i="23"/>
  <c r="G277" i="22"/>
  <c r="D82" i="22"/>
  <c r="D573" i="23"/>
  <c r="G843" i="23"/>
  <c r="D2107" i="23"/>
  <c r="G2458" i="23"/>
  <c r="F521" i="23"/>
  <c r="E1323" i="23"/>
  <c r="B2238" i="23"/>
  <c r="E1726" i="23"/>
  <c r="F235" i="23"/>
  <c r="D1531" i="23"/>
  <c r="F2755" i="23"/>
  <c r="D357" i="22"/>
  <c r="H977" i="23"/>
  <c r="C1244" i="23"/>
  <c r="F923" i="23"/>
  <c r="G1039" i="23"/>
  <c r="A17" i="23"/>
  <c r="A706" i="23"/>
  <c r="H1734" i="23"/>
  <c r="B384" i="22"/>
  <c r="D253" i="22"/>
  <c r="E2146" i="23"/>
  <c r="D78" i="23"/>
  <c r="F33" i="23"/>
  <c r="D1455" i="23"/>
  <c r="A472" i="23"/>
  <c r="D78" i="22"/>
  <c r="D406" i="23"/>
  <c r="B522" i="23"/>
  <c r="F381" i="22"/>
  <c r="E1705" i="23"/>
  <c r="D51" i="23"/>
  <c r="H488" i="23"/>
  <c r="F2789" i="23"/>
  <c r="G1466" i="23"/>
  <c r="G2837" i="23"/>
  <c r="H2869" i="23"/>
  <c r="D1167" i="23"/>
  <c r="E1050" i="23"/>
  <c r="E1686" i="23"/>
  <c r="H2733" i="23"/>
  <c r="C707" i="23"/>
  <c r="B953" i="23"/>
  <c r="E263" i="23"/>
  <c r="A236" i="22"/>
  <c r="F73" i="22"/>
  <c r="D1581" i="23"/>
  <c r="A139" i="23"/>
  <c r="F22" i="23"/>
  <c r="C2148" i="23"/>
  <c r="G314" i="22"/>
  <c r="A2229" i="23"/>
  <c r="F2894" i="23"/>
  <c r="G110" i="22"/>
  <c r="D373" i="23"/>
  <c r="G2440" i="23"/>
  <c r="G585" i="23"/>
  <c r="B757" i="23"/>
  <c r="G1960" i="23"/>
  <c r="E1650" i="23"/>
  <c r="H526" i="23"/>
  <c r="G2189" i="23"/>
  <c r="H1409" i="23"/>
  <c r="E1803" i="23"/>
  <c r="H1592" i="23"/>
  <c r="H1165" i="23"/>
  <c r="B296" i="22"/>
  <c r="E764" i="23"/>
  <c r="G2918" i="23"/>
  <c r="F1963" i="23"/>
  <c r="H429" i="23"/>
  <c r="D2050" i="23"/>
  <c r="B343" i="23"/>
  <c r="E872" i="23"/>
  <c r="H1789" i="23"/>
  <c r="A19" i="22"/>
  <c r="D1065" i="23"/>
  <c r="F1481" i="23"/>
  <c r="D110" i="23"/>
  <c r="A218" i="22"/>
  <c r="G1477" i="23"/>
  <c r="H1191" i="23"/>
  <c r="F446" i="23"/>
  <c r="B1198" i="23"/>
  <c r="A1990" i="23"/>
  <c r="D1304" i="23"/>
  <c r="D1641" i="23"/>
  <c r="G138" i="23"/>
  <c r="C158" i="23"/>
  <c r="D212" i="23"/>
  <c r="B1765" i="23"/>
  <c r="E1680" i="23"/>
  <c r="H2335" i="23"/>
  <c r="E18" i="23"/>
  <c r="H126" i="23"/>
  <c r="C839" i="23"/>
  <c r="G538" i="23"/>
  <c r="F746" i="23"/>
  <c r="B1466" i="23"/>
  <c r="F2223" i="23"/>
  <c r="C1922" i="23"/>
  <c r="A963" i="23"/>
  <c r="F1449" i="23"/>
  <c r="B725" i="23"/>
  <c r="A95" i="23"/>
  <c r="G927" i="23"/>
  <c r="G1283" i="23"/>
  <c r="C173" i="22"/>
  <c r="H1901" i="23"/>
  <c r="D1492" i="23"/>
  <c r="B2260" i="23"/>
  <c r="A2015" i="23"/>
  <c r="A1729" i="23"/>
  <c r="A1605" i="23"/>
  <c r="C215" i="23"/>
  <c r="F2229" i="23"/>
  <c r="C1067" i="23"/>
  <c r="D783" i="23"/>
  <c r="E1363" i="23"/>
  <c r="F1174" i="23"/>
  <c r="C305" i="23"/>
  <c r="G426" i="22"/>
  <c r="B586" i="23"/>
  <c r="A218" i="23"/>
  <c r="E1960" i="23"/>
  <c r="C1122" i="23"/>
  <c r="F394" i="23"/>
  <c r="A397" i="23"/>
  <c r="G413" i="22"/>
  <c r="F1773" i="23"/>
  <c r="F953" i="23"/>
  <c r="D537" i="23"/>
  <c r="C1546" i="23"/>
  <c r="E401" i="23"/>
  <c r="D672" i="23"/>
  <c r="H849" i="23"/>
  <c r="E384" i="23"/>
  <c r="A235" i="23"/>
  <c r="G1959" i="23"/>
  <c r="E533" i="23"/>
  <c r="F859" i="23"/>
  <c r="G1531" i="23"/>
  <c r="B2189" i="23"/>
  <c r="D173" i="22"/>
  <c r="F1507" i="23"/>
  <c r="E717" i="23"/>
  <c r="H781" i="23"/>
  <c r="H474" i="23"/>
  <c r="D333" i="23"/>
  <c r="G280" i="22"/>
  <c r="C1928" i="23"/>
  <c r="C1028" i="23"/>
  <c r="G152" i="22"/>
  <c r="E2251" i="23"/>
  <c r="A376" i="23"/>
  <c r="A2181" i="23"/>
  <c r="C2218" i="23"/>
  <c r="F1666" i="23"/>
  <c r="A421" i="23"/>
  <c r="E2218" i="23"/>
  <c r="E118" i="22"/>
  <c r="A1008" i="23"/>
  <c r="H346" i="23"/>
  <c r="D305" i="23"/>
  <c r="A1846" i="23"/>
  <c r="D810" i="23"/>
  <c r="C1185" i="23"/>
  <c r="E655" i="23"/>
  <c r="F1660" i="23"/>
  <c r="E1003" i="23"/>
  <c r="E147" i="23"/>
  <c r="G513" i="23"/>
  <c r="C954" i="23"/>
  <c r="C555" i="23"/>
  <c r="D932" i="23"/>
  <c r="G926" i="23"/>
  <c r="G2248" i="23"/>
  <c r="A1317" i="23"/>
  <c r="C49" i="22"/>
  <c r="F1567" i="23"/>
  <c r="G1135" i="23"/>
  <c r="F468" i="23"/>
  <c r="H2001" i="23"/>
  <c r="G1224" i="23"/>
  <c r="G635" i="23"/>
  <c r="D718" i="23"/>
  <c r="D2126" i="23"/>
  <c r="H34" i="23"/>
  <c r="F1013" i="23"/>
  <c r="F1945" i="23"/>
  <c r="E421" i="22"/>
  <c r="B1709" i="23"/>
  <c r="A49" i="22"/>
  <c r="B1938" i="23"/>
  <c r="C1954" i="23"/>
  <c r="E1655" i="23"/>
  <c r="G986" i="23"/>
  <c r="D261" i="22"/>
  <c r="G2542" i="23"/>
  <c r="H31" i="22"/>
  <c r="E1151" i="23"/>
  <c r="F524" i="23"/>
  <c r="C282" i="22"/>
  <c r="A906" i="23"/>
  <c r="F1755" i="23"/>
  <c r="A1960" i="23"/>
  <c r="E150" i="23"/>
  <c r="E1368" i="23"/>
  <c r="E102" i="22"/>
  <c r="G1709" i="23"/>
  <c r="D1886" i="23"/>
  <c r="A938" i="23"/>
  <c r="C368" i="22"/>
  <c r="F2850" i="23"/>
  <c r="F610" i="23"/>
  <c r="B1578" i="23"/>
  <c r="G364" i="23"/>
  <c r="H1504" i="23"/>
  <c r="H1277" i="23"/>
  <c r="H2847" i="23"/>
  <c r="F2035" i="23"/>
  <c r="A629" i="23"/>
  <c r="B2265" i="23"/>
  <c r="B1453" i="23"/>
  <c r="A1119" i="23"/>
  <c r="C266" i="23"/>
  <c r="G2865" i="23"/>
  <c r="G2372" i="23"/>
  <c r="C2175" i="23"/>
  <c r="G300" i="23"/>
  <c r="G213" i="22"/>
  <c r="H1663" i="23"/>
  <c r="B2137" i="23"/>
  <c r="F540" i="23"/>
  <c r="B135" i="23"/>
  <c r="H2539" i="23"/>
  <c r="C477" i="23"/>
  <c r="G332" i="23"/>
  <c r="D2144" i="23"/>
  <c r="F2539" i="23"/>
  <c r="D163" i="22"/>
  <c r="C2142" i="23"/>
  <c r="G2851" i="23"/>
  <c r="A1833" i="23"/>
  <c r="G841" i="23"/>
  <c r="C148" i="23"/>
  <c r="G1366" i="23"/>
  <c r="A818" i="23"/>
  <c r="H72" i="23"/>
  <c r="F1119" i="23"/>
  <c r="C2190" i="23"/>
  <c r="C91" i="22"/>
  <c r="B521" i="23"/>
  <c r="C379" i="23"/>
  <c r="E2055" i="23"/>
  <c r="B167" i="23"/>
  <c r="H1543" i="23"/>
  <c r="D873" i="23"/>
  <c r="F119" i="23"/>
  <c r="F908" i="23"/>
  <c r="E1127" i="23"/>
  <c r="B1327" i="23"/>
  <c r="E1997" i="23"/>
  <c r="G2095" i="23"/>
  <c r="F2632" i="23"/>
  <c r="D1228" i="23"/>
  <c r="C352" i="22"/>
  <c r="G775" i="23"/>
  <c r="F1381" i="23"/>
  <c r="D402" i="23"/>
  <c r="B1961" i="23"/>
  <c r="F1035" i="23"/>
  <c r="C1001" i="23"/>
  <c r="G254" i="22"/>
  <c r="H133" i="23"/>
  <c r="B56" i="22"/>
  <c r="F1979" i="23"/>
  <c r="H585" i="23"/>
  <c r="D53" i="23"/>
  <c r="B995" i="23"/>
  <c r="F2646" i="23"/>
  <c r="G67" i="22"/>
  <c r="A399" i="23"/>
  <c r="F2561" i="23"/>
  <c r="C236" i="23"/>
  <c r="D140" i="22"/>
  <c r="C2118" i="23"/>
  <c r="A2103" i="23"/>
  <c r="D1947" i="23"/>
  <c r="B1435" i="23"/>
  <c r="A281" i="23"/>
  <c r="D605" i="23"/>
  <c r="B184" i="23"/>
  <c r="E104" i="22"/>
  <c r="B401" i="22"/>
  <c r="H1820" i="23"/>
  <c r="G2099" i="23"/>
  <c r="B1194" i="23"/>
  <c r="H2844" i="23"/>
  <c r="C1702" i="23"/>
  <c r="D1464" i="23"/>
  <c r="G2965" i="23"/>
  <c r="A447" i="23"/>
  <c r="E1258" i="23"/>
  <c r="D1690" i="23"/>
  <c r="A1334" i="23"/>
  <c r="G348" i="23"/>
  <c r="G934" i="23"/>
  <c r="G1994" i="23"/>
  <c r="C221" i="23"/>
  <c r="B1766" i="23"/>
  <c r="G9" i="23"/>
  <c r="B95" i="22"/>
  <c r="G120" i="22"/>
  <c r="F166" i="23"/>
  <c r="A862" i="23"/>
  <c r="A173" i="22"/>
  <c r="E1996" i="23"/>
  <c r="C2144" i="23"/>
  <c r="B1733" i="23"/>
  <c r="F148" i="22"/>
  <c r="C556" i="23"/>
  <c r="F1740" i="23"/>
  <c r="C179" i="22"/>
  <c r="B1493" i="23"/>
  <c r="G2171" i="23"/>
  <c r="A572" i="23"/>
  <c r="G1592" i="23"/>
  <c r="G248" i="23"/>
  <c r="H1686" i="23"/>
  <c r="F1852" i="23"/>
  <c r="H1778" i="23"/>
  <c r="D1512" i="23"/>
  <c r="D43" i="23"/>
  <c r="A1006" i="23"/>
  <c r="A841" i="23"/>
  <c r="D1163" i="23"/>
  <c r="F1099" i="23"/>
  <c r="F2714" i="23"/>
  <c r="E15" i="23"/>
  <c r="D1876" i="23"/>
  <c r="D1107" i="23"/>
  <c r="A285" i="22"/>
  <c r="C1414" i="23"/>
  <c r="F60" i="23"/>
  <c r="C588" i="23"/>
  <c r="B1984" i="23"/>
  <c r="F1173" i="23"/>
  <c r="F2239" i="23"/>
  <c r="H2772" i="23"/>
  <c r="B506" i="23"/>
  <c r="G2661" i="23"/>
  <c r="F211" i="23"/>
  <c r="D891" i="23"/>
  <c r="B2024" i="23"/>
  <c r="F663" i="23"/>
  <c r="G2786" i="23"/>
  <c r="G263" i="22"/>
  <c r="G58" i="23"/>
  <c r="A394" i="22"/>
  <c r="A1572" i="23"/>
  <c r="H579" i="23"/>
  <c r="H1999" i="23"/>
  <c r="D2319" i="23"/>
  <c r="F2338" i="23"/>
  <c r="A1385" i="23"/>
  <c r="G2621" i="23"/>
  <c r="A252" i="23"/>
  <c r="C1417" i="23"/>
  <c r="B1845" i="23"/>
  <c r="F488" i="23"/>
  <c r="E1100" i="23"/>
  <c r="F1569" i="23"/>
  <c r="H1424" i="23"/>
  <c r="G1341" i="23"/>
  <c r="G2991" i="23"/>
  <c r="A1024" i="23"/>
  <c r="A181" i="22"/>
  <c r="A1214" i="23"/>
  <c r="A834" i="23"/>
  <c r="C2105" i="23"/>
  <c r="A2216" i="23"/>
  <c r="G1183" i="23"/>
  <c r="G563" i="23"/>
  <c r="B950" i="23"/>
  <c r="D317" i="23"/>
  <c r="G2032" i="23"/>
  <c r="B1082" i="23"/>
  <c r="B101" i="23"/>
  <c r="A822" i="23"/>
  <c r="C253" i="23"/>
  <c r="F897" i="23"/>
  <c r="F1889" i="23"/>
  <c r="H2317" i="23"/>
  <c r="F2417" i="23"/>
  <c r="E314" i="23"/>
  <c r="G510" i="23"/>
  <c r="F74" i="23"/>
  <c r="H489" i="23"/>
  <c r="F54" i="23"/>
  <c r="B2291" i="23"/>
  <c r="H37" i="23"/>
  <c r="D2251" i="23"/>
  <c r="C1277" i="23"/>
  <c r="E1888" i="23"/>
  <c r="H2314" i="23"/>
  <c r="G662" i="23"/>
  <c r="C2090" i="23"/>
  <c r="H1529" i="23"/>
  <c r="C655" i="23"/>
  <c r="C1693" i="23"/>
  <c r="F1134" i="23"/>
  <c r="H1059" i="23"/>
  <c r="D200" i="22"/>
  <c r="D116" i="22"/>
  <c r="H1369" i="23"/>
  <c r="G291" i="22"/>
  <c r="G1754" i="23"/>
  <c r="G1207" i="23"/>
  <c r="D1285" i="23"/>
  <c r="D534" i="23"/>
  <c r="B973" i="23"/>
  <c r="A176" i="23"/>
  <c r="G1259" i="23"/>
  <c r="E268" i="22"/>
  <c r="E375" i="23"/>
  <c r="E1248" i="23"/>
  <c r="A76" i="22"/>
  <c r="F1002" i="23"/>
  <c r="A2061" i="23"/>
  <c r="F2245" i="23"/>
  <c r="E634" i="23"/>
  <c r="E245" i="23"/>
  <c r="E666" i="23"/>
  <c r="H1141" i="23"/>
  <c r="C2026" i="23"/>
  <c r="G2395" i="23"/>
  <c r="C748" i="23"/>
  <c r="C415" i="22"/>
  <c r="H1260" i="23"/>
  <c r="G858" i="23"/>
  <c r="H2594" i="23"/>
  <c r="F515" i="23"/>
  <c r="B808" i="23"/>
  <c r="E29" i="22"/>
  <c r="H1740" i="23"/>
  <c r="H1094" i="23"/>
  <c r="D1158" i="23"/>
  <c r="F1906" i="23"/>
  <c r="C301" i="23"/>
  <c r="E2197" i="23"/>
  <c r="F2448" i="23"/>
  <c r="B103" i="22"/>
  <c r="A167" i="23"/>
  <c r="A1701" i="23"/>
  <c r="A1047" i="23"/>
  <c r="A596" i="23"/>
  <c r="D2178" i="23"/>
  <c r="B773" i="23"/>
  <c r="D2068" i="23"/>
  <c r="H2110" i="23"/>
  <c r="B1345" i="23"/>
  <c r="A1056" i="23"/>
  <c r="B53" i="22"/>
  <c r="G270" i="22"/>
  <c r="A1362" i="23"/>
  <c r="D220" i="22"/>
  <c r="E427" i="23"/>
  <c r="D1722" i="23"/>
  <c r="F2640" i="23"/>
  <c r="G2220" i="23"/>
  <c r="H1527" i="23"/>
  <c r="C1483" i="23"/>
  <c r="H2243" i="23"/>
  <c r="B1108" i="23"/>
  <c r="D1296" i="23"/>
  <c r="B160" i="22"/>
  <c r="B1266" i="23"/>
  <c r="D128" i="22"/>
  <c r="E238" i="23"/>
  <c r="A513" i="23"/>
  <c r="D1705" i="23"/>
  <c r="H928" i="23"/>
  <c r="A242" i="23"/>
  <c r="F237" i="22"/>
  <c r="C285" i="23"/>
  <c r="A72" i="23"/>
  <c r="B1552" i="23"/>
  <c r="C913" i="23"/>
  <c r="E559" i="23"/>
  <c r="D843" i="23"/>
  <c r="F406" i="22"/>
  <c r="D2106" i="23"/>
  <c r="H2129" i="23"/>
  <c r="H2726" i="23"/>
  <c r="G222" i="23"/>
  <c r="E1740" i="23"/>
  <c r="A323" i="22"/>
  <c r="C2041" i="23"/>
  <c r="D2043" i="23"/>
  <c r="D552" i="23"/>
  <c r="C2243" i="23"/>
  <c r="G1839" i="23"/>
  <c r="A801" i="23"/>
  <c r="C1248" i="23"/>
  <c r="B646" i="23"/>
  <c r="A1510" i="23"/>
  <c r="B1311" i="23"/>
  <c r="D252" i="22"/>
  <c r="H2803" i="23"/>
  <c r="H2708" i="23"/>
  <c r="H2073" i="23"/>
  <c r="G331" i="23"/>
  <c r="C300" i="22"/>
  <c r="H2748" i="23"/>
  <c r="B1256" i="23"/>
  <c r="D2039" i="23"/>
  <c r="H2159" i="23"/>
  <c r="E1884" i="23"/>
  <c r="F2630" i="23"/>
  <c r="B520" i="23"/>
  <c r="B1039" i="23"/>
  <c r="F1516" i="23"/>
  <c r="H2424" i="23"/>
  <c r="B232" i="22"/>
  <c r="A1856" i="23"/>
  <c r="F782" i="23"/>
  <c r="B2135" i="23"/>
  <c r="G556" i="23"/>
  <c r="E66" i="22"/>
  <c r="F258" i="22"/>
  <c r="G1939" i="23"/>
  <c r="H2453" i="23"/>
  <c r="A1116" i="23"/>
  <c r="B1913" i="23"/>
  <c r="C97" i="22"/>
  <c r="G1584" i="23"/>
  <c r="C1943" i="23"/>
  <c r="E683" i="23"/>
  <c r="G95" i="22"/>
  <c r="D581" i="23"/>
  <c r="E174" i="22"/>
  <c r="B11" i="22"/>
  <c r="A1256" i="23"/>
  <c r="C691" i="23"/>
  <c r="H1485" i="23"/>
  <c r="G2667" i="23"/>
  <c r="A988" i="23"/>
  <c r="C726" i="23"/>
  <c r="A443" i="23"/>
  <c r="B879" i="23"/>
  <c r="G1448" i="23"/>
  <c r="H2437" i="23"/>
  <c r="G452" i="23"/>
  <c r="G909" i="23"/>
  <c r="B1048" i="23"/>
  <c r="E1433" i="23"/>
  <c r="G1048" i="23"/>
  <c r="E557" i="23"/>
  <c r="E2257" i="23"/>
  <c r="F1258" i="23"/>
  <c r="E255" i="23"/>
  <c r="A1798" i="23"/>
  <c r="E531" i="23"/>
  <c r="H73" i="23"/>
  <c r="C423" i="22"/>
  <c r="B720" i="23"/>
  <c r="H2583" i="23"/>
  <c r="A155" i="22"/>
  <c r="H1750" i="23"/>
  <c r="C794" i="23"/>
  <c r="D1748" i="23"/>
  <c r="D724" i="23"/>
  <c r="D1643" i="23"/>
  <c r="B2114" i="23"/>
  <c r="E1376" i="23"/>
  <c r="E1462" i="23"/>
  <c r="B242" i="22"/>
  <c r="G1237" i="23"/>
  <c r="E3" i="23"/>
  <c r="H1898" i="23"/>
  <c r="B1584" i="23"/>
  <c r="D1414" i="23"/>
  <c r="A189" i="22"/>
  <c r="A357" i="22"/>
  <c r="E750" i="23"/>
  <c r="F183" i="23"/>
  <c r="B423" i="22"/>
  <c r="F1618" i="23"/>
  <c r="C714" i="23"/>
  <c r="B2194" i="23"/>
  <c r="G1662" i="23"/>
  <c r="F2641" i="23"/>
  <c r="D2297" i="23"/>
  <c r="A1127" i="23"/>
  <c r="B1276" i="23"/>
  <c r="C368" i="23"/>
  <c r="A397" i="22"/>
  <c r="H1220" i="23"/>
  <c r="B280" i="23"/>
  <c r="H2253" i="23"/>
  <c r="F448" i="23"/>
  <c r="H103" i="23"/>
  <c r="E1456" i="23"/>
  <c r="B102" i="23"/>
  <c r="B605" i="23"/>
  <c r="A285" i="23"/>
  <c r="H315" i="23"/>
  <c r="B1418" i="23"/>
  <c r="B393" i="23"/>
  <c r="C333" i="22"/>
  <c r="H55" i="22"/>
  <c r="C356" i="23"/>
  <c r="C1788" i="23"/>
  <c r="D108" i="23"/>
  <c r="F747" i="23"/>
  <c r="E1488" i="23"/>
  <c r="H99" i="23"/>
  <c r="G1683" i="23"/>
  <c r="H2115" i="23"/>
  <c r="A2079" i="23"/>
  <c r="H2234" i="23"/>
  <c r="F1710" i="23"/>
  <c r="H2819" i="23"/>
  <c r="D544" i="23"/>
  <c r="G1427" i="23"/>
  <c r="A330" i="22"/>
  <c r="F2576" i="23"/>
  <c r="C1742" i="23"/>
  <c r="C672" i="23"/>
  <c r="G2403" i="23"/>
  <c r="F2956" i="23"/>
  <c r="C1694" i="23"/>
  <c r="A2275" i="23"/>
  <c r="B241" i="23"/>
  <c r="H1708" i="23"/>
  <c r="H1366" i="23"/>
  <c r="E420" i="22"/>
  <c r="G1932" i="23"/>
  <c r="B1042" i="23"/>
  <c r="E1652" i="23"/>
  <c r="H364" i="23"/>
  <c r="A80" i="22"/>
  <c r="F913" i="23"/>
  <c r="G1176" i="23"/>
  <c r="H862" i="23"/>
  <c r="D1576" i="23"/>
  <c r="E336" i="22"/>
  <c r="F2705" i="23"/>
  <c r="G58" i="22"/>
  <c r="H1822" i="23"/>
  <c r="H2302" i="23"/>
  <c r="G195" i="22"/>
  <c r="H1885" i="23"/>
  <c r="F555" i="23"/>
  <c r="G325" i="22"/>
  <c r="C243" i="23"/>
  <c r="A2136" i="23"/>
  <c r="D784" i="23"/>
  <c r="G2319" i="23"/>
  <c r="D1343" i="23"/>
  <c r="F1204" i="23"/>
  <c r="B107" i="23"/>
  <c r="B556" i="23"/>
  <c r="D1835" i="23"/>
  <c r="A1187" i="23"/>
  <c r="C422" i="23"/>
  <c r="D172" i="23"/>
  <c r="H2912" i="23"/>
  <c r="B1755" i="23"/>
  <c r="D2041" i="23"/>
  <c r="E1731" i="23"/>
  <c r="A2069" i="23"/>
  <c r="G2620" i="23"/>
  <c r="E1815" i="23"/>
  <c r="C270" i="23"/>
  <c r="C1967" i="23"/>
  <c r="C1959" i="23"/>
  <c r="F2753" i="23"/>
  <c r="C1670" i="23"/>
  <c r="B1643" i="23"/>
  <c r="G592" i="23"/>
  <c r="F2864" i="23"/>
  <c r="C1085" i="23"/>
  <c r="H1748" i="23"/>
  <c r="A797" i="23"/>
  <c r="G2815" i="23"/>
  <c r="B274" i="22"/>
  <c r="D1119" i="23"/>
  <c r="B85" i="23"/>
  <c r="A354" i="22"/>
  <c r="F2580" i="23"/>
  <c r="E604" i="23"/>
  <c r="E1601" i="23"/>
  <c r="H438" i="23"/>
  <c r="F396" i="23"/>
  <c r="H973" i="23"/>
  <c r="H2890" i="23"/>
  <c r="C2268" i="23"/>
  <c r="E351" i="23"/>
  <c r="C1642" i="23"/>
  <c r="H2398" i="23"/>
  <c r="H2652" i="23"/>
  <c r="G82" i="23"/>
  <c r="F88" i="22"/>
  <c r="E2008" i="23"/>
  <c r="G1782" i="23"/>
  <c r="C1662" i="23"/>
  <c r="D1300" i="23"/>
  <c r="A1147" i="23"/>
  <c r="H2083" i="23"/>
  <c r="G1903" i="23"/>
  <c r="G2958" i="23"/>
  <c r="E1972" i="23"/>
  <c r="E1526" i="23"/>
  <c r="G745" i="23"/>
  <c r="C567" i="23"/>
  <c r="H1813" i="23"/>
  <c r="D158" i="23"/>
  <c r="G676" i="23"/>
  <c r="D476" i="23"/>
  <c r="A1237" i="23"/>
  <c r="A247" i="22"/>
  <c r="C45" i="23"/>
  <c r="B119" i="23"/>
  <c r="B1627" i="23"/>
  <c r="E216" i="22"/>
  <c r="C30" i="22"/>
  <c r="F1313" i="23"/>
  <c r="D1600" i="23"/>
  <c r="E1191" i="23"/>
  <c r="G912" i="23"/>
  <c r="G1723" i="23"/>
  <c r="C878" i="23"/>
  <c r="A1084" i="23"/>
  <c r="D852" i="23"/>
  <c r="E155" i="23"/>
  <c r="C2060" i="23"/>
  <c r="E1582" i="23"/>
  <c r="F721" i="23"/>
  <c r="A2232" i="23"/>
  <c r="A33" i="23"/>
  <c r="G1468" i="23"/>
  <c r="C2015" i="23"/>
  <c r="F1249" i="23"/>
  <c r="F1638" i="23"/>
  <c r="F162" i="23"/>
  <c r="H883" i="23"/>
  <c r="D156" i="23"/>
  <c r="E1874" i="23"/>
  <c r="F2773" i="23"/>
  <c r="C1242" i="23"/>
  <c r="F2691" i="23"/>
  <c r="F705" i="23"/>
  <c r="B373" i="22"/>
  <c r="E948" i="23"/>
  <c r="A2149" i="23"/>
  <c r="F144" i="22"/>
  <c r="D742" i="23"/>
  <c r="B293" i="22"/>
  <c r="F553" i="23"/>
  <c r="H200" i="23"/>
  <c r="B1980" i="23"/>
  <c r="G272" i="22"/>
  <c r="D205" i="22"/>
  <c r="F463" i="23"/>
  <c r="F678" i="23"/>
  <c r="H2796" i="23"/>
  <c r="G164" i="22"/>
  <c r="C232" i="23"/>
  <c r="F893" i="23"/>
  <c r="H1058" i="23"/>
  <c r="F1655" i="23"/>
  <c r="F2681" i="23"/>
  <c r="G1817" i="23"/>
  <c r="B1943" i="23"/>
  <c r="D366" i="23"/>
  <c r="H739" i="23"/>
  <c r="C1036" i="23"/>
  <c r="F1425" i="23"/>
  <c r="D1877" i="23"/>
  <c r="B204" i="23"/>
  <c r="F667" i="23"/>
  <c r="F1048" i="23"/>
  <c r="E697" i="23"/>
  <c r="D1523" i="23"/>
  <c r="E354" i="22"/>
  <c r="G830" i="23"/>
  <c r="G1791" i="23"/>
  <c r="C1491" i="23"/>
  <c r="D1831" i="23"/>
  <c r="B667" i="23"/>
  <c r="H1553" i="23"/>
  <c r="C802" i="23"/>
  <c r="B57" i="22"/>
  <c r="C1463" i="23"/>
  <c r="E1509" i="23"/>
  <c r="D524" i="23"/>
  <c r="G1041" i="23"/>
  <c r="G319" i="22"/>
  <c r="B129" i="22"/>
  <c r="G823" i="23"/>
  <c r="B1029" i="23"/>
  <c r="G201" i="23"/>
  <c r="E345" i="23"/>
  <c r="E1270" i="23"/>
  <c r="B924" i="23"/>
  <c r="G46" i="23"/>
  <c r="F1248" i="23"/>
  <c r="C2086" i="23"/>
  <c r="A2124" i="23"/>
  <c r="F126" i="22"/>
  <c r="C788" i="23"/>
  <c r="H419" i="23"/>
  <c r="D680" i="23"/>
  <c r="F345" i="22"/>
  <c r="B1914" i="23"/>
  <c r="D1344" i="23"/>
  <c r="B1570" i="23"/>
  <c r="B1338" i="23"/>
  <c r="D178" i="22"/>
  <c r="F291" i="22"/>
  <c r="D1804" i="23"/>
  <c r="B976" i="23"/>
  <c r="G2782" i="23"/>
  <c r="D2105" i="23"/>
  <c r="A1185" i="23"/>
  <c r="C382" i="23"/>
  <c r="E1510" i="23"/>
  <c r="G208" i="22"/>
  <c r="E1682" i="23"/>
  <c r="H48" i="23"/>
  <c r="C685" i="23"/>
  <c r="B701" i="23"/>
  <c r="G2754" i="23"/>
  <c r="G225" i="22"/>
  <c r="B2133" i="23"/>
  <c r="E1649" i="23"/>
  <c r="A1529" i="23"/>
  <c r="H2135" i="23"/>
  <c r="A1083" i="23"/>
  <c r="F2306" i="23"/>
  <c r="B168" i="23"/>
  <c r="D1145" i="23"/>
  <c r="E2268" i="23"/>
  <c r="G962" i="23"/>
  <c r="H80" i="22"/>
  <c r="E2190" i="23"/>
  <c r="B1632" i="23"/>
  <c r="B212" i="23"/>
  <c r="C1198" i="23"/>
  <c r="H1624" i="23"/>
  <c r="E392" i="23"/>
  <c r="E243" i="22"/>
  <c r="F813" i="23"/>
  <c r="D1465" i="23"/>
  <c r="G1351" i="23"/>
  <c r="C943" i="23"/>
  <c r="F300" i="23"/>
  <c r="F1610" i="23"/>
  <c r="B123" i="22"/>
  <c r="D447" i="23"/>
  <c r="H1825" i="23"/>
  <c r="A2257" i="23"/>
  <c r="G271" i="22"/>
  <c r="G208" i="23"/>
  <c r="A261" i="23"/>
  <c r="G2719" i="23"/>
  <c r="H1084" i="23"/>
  <c r="D427" i="22"/>
  <c r="B210" i="23"/>
  <c r="B813" i="23"/>
  <c r="D114" i="23"/>
  <c r="F204" i="22"/>
  <c r="F1100" i="23"/>
  <c r="F2480" i="23"/>
  <c r="G1195" i="23"/>
  <c r="H433" i="23"/>
  <c r="H590" i="23"/>
  <c r="D1372" i="23"/>
  <c r="D273" i="23"/>
  <c r="G2379" i="23"/>
  <c r="H379" i="23"/>
  <c r="E974" i="23"/>
  <c r="F229" i="23"/>
  <c r="A1839" i="23"/>
  <c r="H2061" i="23"/>
  <c r="C511" i="23"/>
  <c r="D37" i="23"/>
  <c r="C903" i="23"/>
  <c r="F2999" i="23"/>
  <c r="D34" i="22"/>
  <c r="C176" i="22"/>
  <c r="E1218" i="23"/>
  <c r="A1099" i="23"/>
  <c r="D747" i="23"/>
  <c r="C1253" i="23"/>
  <c r="A403" i="23"/>
  <c r="G204" i="23"/>
  <c r="H1396" i="23"/>
  <c r="A202" i="22"/>
  <c r="B1818" i="23"/>
  <c r="C1475" i="23"/>
  <c r="H1776" i="23"/>
  <c r="G2192" i="23"/>
  <c r="A129" i="23"/>
  <c r="D1331" i="23"/>
  <c r="C18" i="23"/>
  <c r="C76" i="22"/>
  <c r="D1838" i="23"/>
  <c r="A269" i="22"/>
  <c r="G1998" i="23"/>
  <c r="H2956" i="23"/>
  <c r="G113" i="23"/>
  <c r="G1796" i="23"/>
  <c r="H1606" i="23"/>
  <c r="C98" i="23"/>
  <c r="H414" i="23"/>
  <c r="D117" i="22"/>
  <c r="H507" i="23"/>
  <c r="H2861" i="23"/>
  <c r="D1902" i="23"/>
  <c r="D2207" i="23"/>
  <c r="G192" i="23"/>
  <c r="B617" i="23"/>
  <c r="E2017" i="23"/>
  <c r="B119" i="22"/>
  <c r="G703" i="23"/>
  <c r="C384" i="23"/>
  <c r="G1918" i="23"/>
  <c r="B171" i="23"/>
  <c r="A1077" i="23"/>
  <c r="H1829" i="23"/>
  <c r="C1401" i="23"/>
  <c r="A1771" i="23"/>
  <c r="E338" i="22"/>
  <c r="C2073" i="23"/>
  <c r="D565" i="23"/>
  <c r="G2833" i="23"/>
  <c r="F77" i="23"/>
  <c r="A811" i="23"/>
  <c r="G2890" i="23"/>
  <c r="G2694" i="23"/>
  <c r="B234" i="22"/>
  <c r="C223" i="22"/>
  <c r="C1130" i="23"/>
  <c r="A309" i="22"/>
  <c r="E1287" i="23"/>
  <c r="A311" i="22"/>
  <c r="C902" i="23"/>
  <c r="H325" i="23"/>
  <c r="F1897" i="23"/>
  <c r="B179" i="22"/>
  <c r="H1697" i="23"/>
  <c r="E280" i="22"/>
  <c r="A410" i="23"/>
  <c r="H2572" i="23"/>
  <c r="E1929" i="23"/>
  <c r="H1150" i="23"/>
  <c r="D1074" i="23"/>
  <c r="A335" i="22"/>
  <c r="G388" i="23"/>
  <c r="C1741" i="23"/>
  <c r="G2914" i="23"/>
  <c r="F2796" i="23"/>
  <c r="H1896" i="23"/>
  <c r="F1167" i="23"/>
  <c r="E1952" i="23"/>
  <c r="C2141" i="23"/>
  <c r="D866" i="23"/>
  <c r="C256" i="22"/>
  <c r="F601" i="23"/>
  <c r="E1954" i="23"/>
  <c r="G2055" i="23"/>
  <c r="G2727" i="23"/>
  <c r="G758" i="23"/>
  <c r="E1207" i="23"/>
  <c r="F2505" i="23"/>
  <c r="G2763" i="23"/>
  <c r="A260" i="23"/>
  <c r="A1634" i="23"/>
  <c r="E1711" i="23"/>
  <c r="F152" i="23"/>
  <c r="E701" i="23"/>
  <c r="C445" i="23"/>
  <c r="B2140" i="23"/>
  <c r="C1138" i="23"/>
  <c r="C1833" i="23"/>
  <c r="A1070" i="23"/>
  <c r="C2317" i="23"/>
  <c r="H1668" i="23"/>
  <c r="B147" i="22"/>
  <c r="D2212" i="23"/>
  <c r="A352" i="23"/>
  <c r="G1546" i="23"/>
  <c r="H2622" i="23"/>
  <c r="B2020" i="23"/>
  <c r="G1614" i="23"/>
  <c r="B499" i="23"/>
  <c r="B852" i="23"/>
  <c r="C2182" i="23"/>
  <c r="H1296" i="23"/>
  <c r="E95" i="22"/>
  <c r="E286" i="22"/>
  <c r="F1611" i="23"/>
  <c r="G2803" i="23"/>
  <c r="C304" i="22"/>
  <c r="B547" i="23"/>
  <c r="F696" i="23"/>
  <c r="C286" i="23"/>
  <c r="A1354" i="23"/>
  <c r="C1780" i="23"/>
  <c r="E706" i="23"/>
  <c r="G24" i="22"/>
  <c r="B787" i="23"/>
  <c r="G346" i="23"/>
  <c r="E668" i="23"/>
  <c r="B295" i="22"/>
  <c r="H1572" i="23"/>
  <c r="E1087" i="23"/>
  <c r="D445" i="23"/>
  <c r="B932" i="23"/>
  <c r="A282" i="23"/>
  <c r="E2302" i="23"/>
  <c r="D278" i="23"/>
  <c r="C760" i="23"/>
  <c r="C1006" i="23"/>
  <c r="C1790" i="23"/>
  <c r="H237" i="23"/>
  <c r="D1202" i="23"/>
  <c r="F2241" i="23"/>
  <c r="E786" i="23"/>
  <c r="H2363" i="23"/>
  <c r="D804" i="23"/>
  <c r="G2522" i="23"/>
  <c r="B2273" i="23"/>
  <c r="G2181" i="23"/>
  <c r="E2226" i="23"/>
  <c r="C808" i="23"/>
  <c r="B1697" i="23"/>
  <c r="B1970" i="23"/>
  <c r="C1857" i="23"/>
  <c r="H2774" i="23"/>
  <c r="D95" i="22"/>
  <c r="B141" i="22"/>
  <c r="B2055" i="23"/>
  <c r="H1104" i="23"/>
  <c r="H1300" i="23"/>
  <c r="C153" i="22"/>
  <c r="C1026" i="23"/>
  <c r="C349" i="23"/>
  <c r="C612" i="23"/>
  <c r="F186" i="23"/>
  <c r="H2547" i="23"/>
  <c r="F2527" i="23"/>
  <c r="E1279" i="23"/>
  <c r="D1796" i="23"/>
  <c r="A201" i="23"/>
  <c r="E318" i="22"/>
  <c r="C175" i="22"/>
  <c r="H1157" i="23"/>
  <c r="A1227" i="23"/>
  <c r="D1814" i="23"/>
  <c r="A1476" i="23"/>
  <c r="B594" i="23"/>
  <c r="F282" i="23"/>
  <c r="F321" i="23"/>
  <c r="F173" i="23"/>
  <c r="D951" i="23"/>
  <c r="E1352" i="23"/>
  <c r="H2801" i="23"/>
  <c r="B1718" i="23"/>
  <c r="H2212" i="23"/>
  <c r="H1487" i="23"/>
  <c r="C1574" i="23"/>
  <c r="B568" i="23"/>
  <c r="C2236" i="23"/>
  <c r="G443" i="23"/>
  <c r="F1141" i="23"/>
  <c r="C7" i="22"/>
  <c r="E527" i="23"/>
  <c r="H2777" i="23"/>
  <c r="A2067" i="23"/>
  <c r="D1828" i="23"/>
  <c r="B258" i="23"/>
  <c r="A1151" i="23"/>
  <c r="F1401" i="23"/>
  <c r="H95" i="23"/>
  <c r="E316" i="23"/>
  <c r="C1598" i="23"/>
  <c r="C433" i="23"/>
  <c r="H1902" i="23"/>
  <c r="F2072" i="23"/>
  <c r="F1332" i="23"/>
  <c r="G2180" i="23"/>
  <c r="D1383" i="23"/>
  <c r="E1547" i="23"/>
  <c r="E494" i="23"/>
  <c r="F692" i="23"/>
  <c r="G2441" i="23"/>
  <c r="B2146" i="23"/>
  <c r="D131" i="22"/>
  <c r="G1126" i="23"/>
  <c r="A1873" i="23"/>
  <c r="H222" i="23"/>
  <c r="G871" i="23"/>
  <c r="C1131" i="23"/>
  <c r="B1698" i="23"/>
  <c r="E1808" i="23"/>
  <c r="D176" i="23"/>
  <c r="G2196" i="23"/>
  <c r="A843" i="23"/>
  <c r="C2192" i="23"/>
  <c r="F1843" i="23"/>
  <c r="D498" i="23"/>
  <c r="D553" i="23"/>
  <c r="B1275" i="23"/>
  <c r="E2149" i="23"/>
  <c r="F397" i="22"/>
  <c r="B1841" i="23"/>
  <c r="C2262" i="23"/>
  <c r="E1937" i="23"/>
  <c r="H1215" i="23"/>
  <c r="H1689" i="23"/>
  <c r="E187" i="23"/>
  <c r="C2145" i="23"/>
  <c r="H2907" i="23"/>
  <c r="E35" i="22"/>
  <c r="A931" i="23"/>
  <c r="A46" i="22"/>
  <c r="B1387" i="23"/>
  <c r="C294" i="23"/>
  <c r="H2814" i="23"/>
  <c r="G69" i="22"/>
  <c r="F660" i="23"/>
  <c r="G2765" i="23"/>
  <c r="F2786" i="23"/>
  <c r="F2842" i="23"/>
  <c r="G1483" i="23"/>
  <c r="F2970" i="23"/>
  <c r="B158" i="22"/>
  <c r="B1792" i="23"/>
  <c r="D1003" i="23"/>
  <c r="D642" i="23"/>
  <c r="E468" i="23"/>
  <c r="C408" i="23"/>
  <c r="E910" i="23"/>
  <c r="B1211" i="23"/>
  <c r="B362" i="23"/>
  <c r="H1712" i="23"/>
  <c r="G241" i="23"/>
  <c r="B1454" i="23"/>
  <c r="A1345" i="23"/>
  <c r="B237" i="23"/>
  <c r="F159" i="23"/>
  <c r="H1814" i="23"/>
  <c r="G2511" i="23"/>
  <c r="H1677" i="23"/>
  <c r="H1903" i="23"/>
  <c r="F1736" i="23"/>
  <c r="A108" i="23"/>
  <c r="F2379" i="23"/>
  <c r="C536" i="23"/>
  <c r="F742" i="23"/>
  <c r="E1648" i="23"/>
  <c r="F993" i="23"/>
  <c r="F2522" i="23"/>
  <c r="A2256" i="23"/>
  <c r="H2217" i="23"/>
  <c r="G2003" i="23"/>
  <c r="A1300" i="23"/>
  <c r="C257" i="23"/>
  <c r="D2228" i="23"/>
  <c r="F1990" i="23"/>
  <c r="F2491" i="23"/>
  <c r="D1741" i="23"/>
  <c r="A326" i="22"/>
  <c r="E91" i="22"/>
  <c r="E1046" i="23"/>
  <c r="C1970" i="23"/>
  <c r="B1802" i="23"/>
  <c r="H1700" i="23"/>
  <c r="G1273" i="23"/>
  <c r="F1862" i="23"/>
  <c r="B291" i="22"/>
  <c r="C1932" i="23"/>
  <c r="E627" i="23"/>
  <c r="B923" i="23"/>
  <c r="F735" i="23"/>
  <c r="D1634" i="23"/>
  <c r="H756" i="23"/>
  <c r="A912" i="23"/>
  <c r="F2067" i="23"/>
  <c r="A2208" i="23"/>
  <c r="F2207" i="23"/>
  <c r="G2494" i="23"/>
  <c r="B2096" i="23"/>
  <c r="D1985" i="23"/>
  <c r="B407" i="22"/>
  <c r="H652" i="23"/>
  <c r="D2123" i="23"/>
  <c r="B344" i="23"/>
  <c r="D1224" i="23"/>
  <c r="A1695" i="23"/>
  <c r="C125" i="23"/>
  <c r="C1514" i="23"/>
  <c r="E1938" i="23"/>
  <c r="H2653" i="23"/>
  <c r="H2353" i="23"/>
  <c r="G1248" i="23"/>
  <c r="H2387" i="23"/>
  <c r="B336" i="23"/>
  <c r="C1072" i="23"/>
  <c r="H1118" i="23"/>
  <c r="E193" i="23"/>
  <c r="E1737" i="23"/>
  <c r="E1578" i="23"/>
  <c r="G2104" i="23"/>
  <c r="D1101" i="23"/>
  <c r="C1299" i="23"/>
  <c r="B2044" i="23"/>
  <c r="F1321" i="23"/>
  <c r="A1229" i="23"/>
  <c r="B2228" i="23"/>
  <c r="A142" i="23"/>
  <c r="B424" i="22"/>
  <c r="A1233" i="23"/>
  <c r="E1256" i="23"/>
  <c r="G224" i="23"/>
  <c r="G2389" i="23"/>
  <c r="E1927" i="23"/>
  <c r="B606" i="23"/>
  <c r="H1622" i="23"/>
  <c r="B25" i="22"/>
  <c r="E1049" i="23"/>
  <c r="D1470" i="23"/>
  <c r="A267" i="22"/>
  <c r="B982" i="23"/>
  <c r="B1796" i="23"/>
  <c r="C216" i="22"/>
  <c r="G355" i="23"/>
  <c r="H1037" i="23"/>
  <c r="C249" i="23"/>
  <c r="C1056" i="23"/>
  <c r="A659" i="23"/>
  <c r="A1341" i="23"/>
  <c r="D194" i="23"/>
  <c r="G588" i="23"/>
  <c r="C1005" i="23"/>
  <c r="H1980" i="23"/>
  <c r="A1486" i="23"/>
  <c r="G1338" i="23"/>
  <c r="D1213" i="23"/>
  <c r="C353" i="22"/>
  <c r="F1794" i="23"/>
  <c r="G131" i="22"/>
  <c r="H2483" i="23"/>
  <c r="E1272" i="23"/>
  <c r="C772" i="23"/>
  <c r="G1350" i="23"/>
  <c r="D2221" i="23"/>
  <c r="A442" i="23"/>
  <c r="F1587" i="23"/>
  <c r="F1428" i="23"/>
  <c r="F910" i="23"/>
  <c r="B472" i="23"/>
  <c r="E963" i="23"/>
  <c r="F2249" i="23"/>
  <c r="F2333" i="23"/>
  <c r="H1097" i="23"/>
  <c r="D8" i="22"/>
  <c r="H100" i="22"/>
  <c r="E770" i="23"/>
  <c r="C2224" i="23"/>
  <c r="D407" i="22"/>
  <c r="H2822" i="23"/>
  <c r="G90" i="23"/>
  <c r="H2224" i="23"/>
  <c r="A10" i="22"/>
  <c r="C115" i="23"/>
  <c r="D800" i="23"/>
  <c r="C2055" i="23"/>
  <c r="C575" i="23"/>
  <c r="E160" i="23"/>
  <c r="C328" i="22"/>
  <c r="H2100" i="23"/>
  <c r="F833" i="23"/>
  <c r="D59" i="23"/>
  <c r="H98" i="23"/>
  <c r="G2373" i="23"/>
  <c r="G2386" i="23"/>
  <c r="A299" i="23"/>
  <c r="A2226" i="23"/>
  <c r="C783" i="23"/>
  <c r="H458" i="23"/>
  <c r="H2310" i="23"/>
  <c r="D410" i="22"/>
  <c r="A13" i="22"/>
  <c r="A2094" i="23"/>
  <c r="D967" i="23"/>
  <c r="F2525" i="23"/>
  <c r="B422" i="23"/>
  <c r="E2049" i="23"/>
  <c r="B2157" i="23"/>
  <c r="H2337" i="23"/>
  <c r="A911" i="23"/>
  <c r="C831" i="23"/>
  <c r="C1172" i="23"/>
  <c r="E222" i="23"/>
  <c r="C908" i="23"/>
  <c r="A358" i="22"/>
  <c r="A1273" i="23"/>
  <c r="A584" i="23"/>
  <c r="F117" i="23"/>
  <c r="B126" i="22"/>
  <c r="H329" i="23"/>
  <c r="H1790" i="23"/>
  <c r="G1155" i="23"/>
  <c r="F691" i="23"/>
  <c r="E2310" i="23"/>
  <c r="C218" i="23"/>
  <c r="G2551" i="23"/>
  <c r="B1635" i="23"/>
  <c r="D2017" i="23"/>
  <c r="E182" i="22"/>
  <c r="A127" i="23"/>
  <c r="F1195" i="23"/>
  <c r="E307" i="23"/>
  <c r="C1017" i="23"/>
  <c r="F845" i="23"/>
  <c r="B161" i="22"/>
  <c r="F1940" i="23"/>
  <c r="G107" i="22"/>
  <c r="D1807" i="23"/>
  <c r="D1117" i="23"/>
  <c r="C2240" i="23"/>
  <c r="F2678" i="23"/>
  <c r="A1640" i="23"/>
  <c r="B414" i="22"/>
  <c r="A1580" i="23"/>
  <c r="F165" i="23"/>
  <c r="B466" i="23"/>
  <c r="D808" i="23"/>
  <c r="C156" i="22"/>
  <c r="E47" i="23"/>
  <c r="E710" i="23"/>
  <c r="B1483" i="23"/>
  <c r="A1405" i="23"/>
  <c r="A1062" i="23"/>
  <c r="A61" i="22"/>
  <c r="H2006" i="23"/>
  <c r="B335" i="23"/>
  <c r="B2108" i="23"/>
  <c r="F1450" i="23"/>
  <c r="A323" i="23"/>
  <c r="C1842" i="23"/>
  <c r="C959" i="23"/>
  <c r="F2818" i="23"/>
  <c r="F35" i="22"/>
  <c r="G1866" i="23"/>
  <c r="H1231" i="23"/>
  <c r="F2848" i="23"/>
  <c r="G2653" i="23"/>
  <c r="C2057" i="23"/>
  <c r="E239" i="23"/>
  <c r="H1370" i="23"/>
  <c r="H1650" i="23"/>
  <c r="H2090" i="23"/>
  <c r="C1512" i="23"/>
  <c r="B1770" i="23"/>
  <c r="E261" i="22"/>
  <c r="E2279" i="23"/>
  <c r="D1233" i="23"/>
  <c r="G2089" i="23"/>
  <c r="A1852" i="23"/>
  <c r="E808" i="23"/>
  <c r="A276" i="23"/>
  <c r="H1976" i="23"/>
  <c r="E131" i="23"/>
  <c r="F1679" i="23"/>
  <c r="B1932" i="23"/>
  <c r="C1013" i="23"/>
  <c r="D682" i="23"/>
  <c r="H718" i="23"/>
  <c r="G1598" i="23"/>
  <c r="G1401" i="23"/>
  <c r="G259" i="22"/>
  <c r="E1758" i="23"/>
  <c r="A1395" i="23"/>
  <c r="B1882" i="23"/>
  <c r="F2052" i="23"/>
  <c r="F1969" i="23"/>
  <c r="H1724" i="23"/>
  <c r="G1846" i="23"/>
  <c r="A366" i="22"/>
  <c r="F2615" i="23"/>
  <c r="E2274" i="23"/>
  <c r="B580" i="23"/>
  <c r="G3000" i="23"/>
  <c r="A517" i="23"/>
  <c r="A174" i="23"/>
  <c r="D557" i="23"/>
  <c r="E2304" i="23"/>
  <c r="H2780" i="23"/>
  <c r="G288" i="22"/>
  <c r="H1440" i="23"/>
  <c r="H2032" i="23"/>
  <c r="C1179" i="23"/>
  <c r="H625" i="23"/>
  <c r="C2106" i="23"/>
  <c r="A1066" i="23"/>
  <c r="G1568" i="23"/>
  <c r="D1816" i="23"/>
  <c r="D300" i="22"/>
  <c r="E1148" i="23"/>
  <c r="G1342" i="23"/>
  <c r="C942" i="23"/>
  <c r="A2157" i="23"/>
  <c r="D1268" i="23"/>
  <c r="D1421" i="23"/>
  <c r="C19" i="22"/>
  <c r="G1239" i="23"/>
  <c r="E173" i="22"/>
  <c r="D339" i="22"/>
  <c r="C30" i="23"/>
  <c r="F17" i="22"/>
  <c r="F1175" i="23"/>
  <c r="H1222" i="23"/>
  <c r="H1817" i="23"/>
  <c r="G813" i="23"/>
  <c r="H2422" i="23"/>
  <c r="A91" i="23"/>
  <c r="H454" i="23"/>
  <c r="G1675" i="23"/>
  <c r="D359" i="23"/>
  <c r="D2139" i="23"/>
  <c r="D378" i="23"/>
  <c r="E884" i="23"/>
  <c r="A2153" i="23"/>
  <c r="H1542" i="23"/>
  <c r="B152" i="22"/>
  <c r="E1268" i="23"/>
  <c r="G783" i="23"/>
  <c r="F364" i="23"/>
  <c r="F191" i="22"/>
  <c r="D1569" i="23"/>
  <c r="A1463" i="23"/>
  <c r="F2718" i="23"/>
  <c r="D1443" i="23"/>
  <c r="G2701" i="23"/>
  <c r="F727" i="23"/>
  <c r="D590" i="23"/>
  <c r="E1308" i="23"/>
  <c r="E1504" i="23"/>
  <c r="H550" i="23"/>
  <c r="C398" i="23"/>
  <c r="A383" i="22"/>
  <c r="F1034" i="23"/>
  <c r="G2382" i="23"/>
  <c r="G44" i="22"/>
  <c r="A490" i="23"/>
  <c r="G1786" i="23"/>
  <c r="G1422" i="23"/>
  <c r="F1473" i="23"/>
  <c r="F493" i="23"/>
  <c r="E312" i="23"/>
  <c r="D735" i="23"/>
  <c r="H2554" i="23"/>
  <c r="A976" i="23"/>
  <c r="C166" i="23"/>
  <c r="H323" i="23"/>
  <c r="A1767" i="23"/>
  <c r="F169" i="23"/>
  <c r="G2715" i="23"/>
  <c r="G87" i="22"/>
  <c r="B2047" i="23"/>
  <c r="D882" i="23"/>
  <c r="C962" i="23"/>
  <c r="A1655" i="23"/>
  <c r="G2145" i="23"/>
  <c r="E563" i="23"/>
  <c r="B43" i="22"/>
  <c r="E206" i="23"/>
  <c r="B1509" i="23"/>
  <c r="H1275" i="23"/>
  <c r="F94" i="23"/>
  <c r="E75" i="23"/>
  <c r="D185" i="23"/>
  <c r="H31" i="23"/>
  <c r="G1094" i="23"/>
  <c r="D401" i="22"/>
  <c r="D455" i="23"/>
  <c r="A111" i="23"/>
  <c r="G1005" i="23"/>
  <c r="C1521" i="23"/>
  <c r="F2260" i="23"/>
  <c r="H2619" i="23"/>
  <c r="H465" i="23"/>
  <c r="H299" i="23"/>
  <c r="B1009" i="23"/>
  <c r="F709" i="23"/>
  <c r="H442" i="23"/>
  <c r="A212" i="23"/>
  <c r="H1621" i="23"/>
  <c r="G1078" i="23"/>
  <c r="F814" i="23"/>
  <c r="A1515" i="23"/>
  <c r="D924" i="23"/>
  <c r="E2286" i="23"/>
  <c r="H2249" i="23"/>
  <c r="D132" i="23"/>
  <c r="C36" i="23"/>
  <c r="A1357" i="23"/>
  <c r="E266" i="22"/>
  <c r="F2890" i="23"/>
  <c r="A245" i="23"/>
  <c r="B748" i="23"/>
  <c r="D315" i="23"/>
  <c r="B194" i="23"/>
  <c r="A284" i="22"/>
  <c r="D1994" i="23"/>
  <c r="H1767" i="23"/>
  <c r="C84" i="23"/>
  <c r="F326" i="23"/>
  <c r="G221" i="23"/>
  <c r="C373" i="22"/>
  <c r="B2317" i="23"/>
  <c r="C1481" i="23"/>
  <c r="F2568" i="23"/>
  <c r="C471" i="23"/>
  <c r="H2379" i="23"/>
  <c r="C80" i="22"/>
  <c r="H26" i="22"/>
  <c r="C1588" i="23"/>
  <c r="F1732" i="23"/>
  <c r="E1375" i="23"/>
  <c r="F1056" i="23"/>
  <c r="H1610" i="23"/>
  <c r="G2820" i="23"/>
  <c r="F2446" i="23"/>
  <c r="G2561" i="23"/>
  <c r="A1630" i="23"/>
  <c r="E1267" i="23"/>
  <c r="B386" i="22"/>
  <c r="E1978" i="23"/>
  <c r="A1386" i="23"/>
  <c r="F2003" i="23"/>
  <c r="B1843" i="23"/>
  <c r="C1677" i="23"/>
  <c r="E1487" i="23"/>
  <c r="F2489" i="23"/>
  <c r="G1480" i="23"/>
  <c r="A209" i="22"/>
  <c r="G1335" i="23"/>
  <c r="G1156" i="23"/>
  <c r="A1604" i="23"/>
  <c r="C1341" i="23"/>
  <c r="H2246" i="23"/>
  <c r="A1074" i="23"/>
  <c r="D253" i="23"/>
  <c r="C287" i="22"/>
  <c r="D648" i="23"/>
  <c r="E326" i="23"/>
  <c r="G2273" i="23"/>
  <c r="A2095" i="23"/>
  <c r="H82" i="22"/>
  <c r="B508" i="23"/>
  <c r="C1368" i="23"/>
  <c r="G1808" i="23"/>
  <c r="B2209" i="23"/>
  <c r="G317" i="22"/>
  <c r="A94" i="23"/>
  <c r="G2274" i="23"/>
  <c r="A1455" i="23"/>
  <c r="F1523" i="23"/>
  <c r="A97" i="23"/>
  <c r="G2735" i="23"/>
  <c r="A2053" i="23"/>
  <c r="F1112" i="23"/>
  <c r="C1871" i="23"/>
  <c r="F1900" i="23"/>
  <c r="E1137" i="23"/>
  <c r="A1817" i="23"/>
  <c r="G1353" i="23"/>
  <c r="F945" i="23"/>
  <c r="F2401" i="23"/>
  <c r="H1882" i="23"/>
  <c r="D473" i="23"/>
  <c r="E436" i="23"/>
  <c r="A8" i="22"/>
  <c r="F292" i="22"/>
  <c r="F2926" i="23"/>
  <c r="E629" i="23"/>
  <c r="A847" i="23"/>
  <c r="G108" i="23"/>
  <c r="E1630" i="23"/>
  <c r="H587" i="23"/>
  <c r="C344" i="23"/>
  <c r="C1894" i="23"/>
  <c r="E2204" i="23"/>
  <c r="A2228" i="23"/>
  <c r="B2121" i="23"/>
  <c r="A871" i="23"/>
  <c r="A1743" i="23"/>
  <c r="G2929" i="23"/>
  <c r="G2339" i="23"/>
  <c r="F2626" i="23"/>
  <c r="C1040" i="23"/>
  <c r="F1388" i="23"/>
  <c r="B295" i="23"/>
  <c r="B662" i="23"/>
  <c r="G1110" i="23"/>
  <c r="F2585" i="23"/>
  <c r="A1823" i="23"/>
  <c r="C1647" i="23"/>
  <c r="C406" i="22"/>
  <c r="H3000" i="23"/>
  <c r="D1165" i="23"/>
  <c r="B1490" i="23"/>
  <c r="G808" i="23"/>
  <c r="D1085" i="23"/>
  <c r="D689" i="23"/>
  <c r="F2205" i="23"/>
  <c r="F2308" i="23"/>
  <c r="B829" i="23"/>
  <c r="F201" i="22"/>
  <c r="G1868" i="23"/>
  <c r="D1389" i="23"/>
  <c r="H338" i="23"/>
  <c r="E250" i="23"/>
  <c r="A180" i="22"/>
  <c r="D1320" i="23"/>
  <c r="G567" i="23"/>
  <c r="D72" i="22"/>
  <c r="A1274" i="23"/>
  <c r="A400" i="22"/>
  <c r="H1099" i="23"/>
  <c r="B1022" i="23"/>
  <c r="C288" i="22"/>
  <c r="B2304" i="23"/>
  <c r="C2198" i="23"/>
  <c r="G1325" i="23"/>
  <c r="G1429" i="23"/>
  <c r="A280" i="23"/>
  <c r="D145" i="22"/>
  <c r="A2" i="22"/>
  <c r="F907" i="23"/>
  <c r="C743" i="23"/>
  <c r="B2309" i="23"/>
  <c r="A161" i="23"/>
  <c r="C1937" i="23"/>
  <c r="F78" i="23"/>
  <c r="D1376" i="23"/>
  <c r="B35" i="22"/>
  <c r="H2296" i="23"/>
  <c r="G1298" i="23"/>
  <c r="H70" i="22"/>
  <c r="G2321" i="23"/>
  <c r="C1927" i="23"/>
  <c r="B2177" i="23"/>
  <c r="B621" i="23"/>
  <c r="C2134" i="23"/>
  <c r="D426" i="23"/>
  <c r="G2506" i="23"/>
  <c r="D296" i="22"/>
  <c r="A1807" i="23"/>
  <c r="B1417" i="23"/>
  <c r="H216" i="23"/>
  <c r="A1694" i="23"/>
  <c r="A1011" i="23"/>
  <c r="F618" i="23"/>
  <c r="F2937" i="23"/>
  <c r="G749" i="23"/>
  <c r="G593" i="23"/>
  <c r="B925" i="23"/>
  <c r="B2124" i="23"/>
  <c r="C1785" i="23"/>
  <c r="F58" i="22"/>
  <c r="A1193" i="23"/>
  <c r="D1526" i="23"/>
  <c r="G2198" i="23"/>
  <c r="H631" i="23"/>
  <c r="E767" i="23"/>
  <c r="E798" i="23"/>
  <c r="A1557" i="23"/>
  <c r="G398" i="23"/>
  <c r="A192" i="22"/>
  <c r="C2018" i="23"/>
  <c r="G850" i="23"/>
  <c r="H2451" i="23"/>
  <c r="F585" i="23"/>
  <c r="A1818" i="23"/>
  <c r="D2181" i="23"/>
  <c r="A1288" i="23"/>
  <c r="F2942" i="23"/>
  <c r="D180" i="22"/>
  <c r="E7" i="23"/>
  <c r="F238" i="23"/>
  <c r="H2524" i="23"/>
  <c r="C371" i="23"/>
  <c r="F1918" i="23"/>
  <c r="G1361" i="23"/>
  <c r="D1952" i="23"/>
  <c r="B368" i="22"/>
  <c r="F2317" i="23"/>
  <c r="D1753" i="23"/>
  <c r="G615" i="23"/>
  <c r="A1810" i="23"/>
  <c r="H768" i="23"/>
  <c r="F2451" i="23"/>
  <c r="A573" i="23"/>
  <c r="A1550" i="23"/>
  <c r="D127" i="23"/>
  <c r="A222" i="22"/>
  <c r="F2388" i="23"/>
  <c r="G1503" i="23"/>
  <c r="B577" i="23"/>
  <c r="F612" i="23"/>
  <c r="E866" i="23"/>
  <c r="B2319" i="23"/>
  <c r="E497" i="23"/>
  <c r="G22" i="22"/>
  <c r="C975" i="23"/>
  <c r="B1186" i="23"/>
  <c r="H516" i="23"/>
  <c r="H784" i="23"/>
  <c r="A816" i="23"/>
  <c r="A367" i="22"/>
  <c r="B1370" i="23"/>
  <c r="E1194" i="23"/>
  <c r="B344" i="22"/>
  <c r="H1426" i="23"/>
  <c r="F565" i="23"/>
  <c r="F1744" i="23"/>
  <c r="G1891" i="23"/>
  <c r="G1623" i="23"/>
  <c r="E581" i="23"/>
  <c r="F2873" i="23"/>
  <c r="B38" i="23"/>
  <c r="G1863" i="23"/>
  <c r="E164" i="23"/>
  <c r="D756" i="23"/>
  <c r="E51" i="22"/>
  <c r="B207" i="22"/>
  <c r="E1319" i="23"/>
  <c r="G1116" i="23"/>
  <c r="C332" i="23"/>
  <c r="H38" i="23"/>
  <c r="D1840" i="23"/>
  <c r="G2863" i="23"/>
  <c r="D38" i="22"/>
  <c r="A1654" i="23"/>
  <c r="B2286" i="23"/>
  <c r="G691" i="23"/>
  <c r="B333" i="23"/>
  <c r="H1699" i="23"/>
  <c r="B848" i="23"/>
  <c r="B456" i="23"/>
  <c r="G1671" i="23"/>
  <c r="H2573" i="23"/>
  <c r="D1080" i="23"/>
  <c r="D1225" i="23"/>
  <c r="C389" i="23"/>
  <c r="H492" i="23"/>
  <c r="A1750" i="23"/>
  <c r="H68" i="22"/>
  <c r="C496" i="23"/>
  <c r="F99" i="23"/>
  <c r="F2016" i="23"/>
  <c r="G379" i="23"/>
  <c r="F491" i="23"/>
  <c r="G2489" i="23"/>
  <c r="D81" i="23"/>
  <c r="F241" i="22"/>
  <c r="G2024" i="23"/>
  <c r="D312" i="23"/>
  <c r="D529" i="23"/>
  <c r="G20" i="22"/>
  <c r="F1336" i="23"/>
  <c r="H1418" i="23"/>
  <c r="D972" i="23"/>
  <c r="G1394" i="23"/>
  <c r="F2007" i="23"/>
  <c r="E800" i="23"/>
  <c r="H1287" i="23"/>
  <c r="G1299" i="23"/>
  <c r="D1817" i="23"/>
  <c r="G2590" i="23"/>
  <c r="G930" i="23"/>
  <c r="H2751" i="23"/>
  <c r="B485" i="23"/>
  <c r="H2671" i="23"/>
  <c r="H1027" i="23"/>
  <c r="H314" i="23"/>
  <c r="A1642" i="23"/>
  <c r="B1153" i="23"/>
  <c r="G523" i="23"/>
  <c r="H2065" i="23"/>
  <c r="D1164" i="23"/>
  <c r="E2071" i="23"/>
  <c r="F1737" i="23"/>
  <c r="C424" i="23"/>
  <c r="G149" i="23"/>
  <c r="H843" i="23"/>
  <c r="B1915" i="23"/>
  <c r="F2334" i="23"/>
  <c r="A747" i="23"/>
  <c r="C386" i="23"/>
  <c r="G2308" i="23"/>
  <c r="H1558" i="23"/>
  <c r="H167" i="23"/>
  <c r="C2119" i="23"/>
  <c r="E2250" i="23"/>
  <c r="H2428" i="23"/>
  <c r="A248" i="22"/>
  <c r="F405" i="22"/>
  <c r="E1692" i="23"/>
  <c r="D272" i="23"/>
  <c r="H236" i="23"/>
  <c r="D1636" i="23"/>
  <c r="B2138" i="23"/>
  <c r="D295" i="23"/>
  <c r="D541" i="23"/>
  <c r="E875" i="23"/>
  <c r="A448" i="23"/>
  <c r="A28" i="22"/>
  <c r="H88" i="23"/>
  <c r="D262" i="22"/>
  <c r="E337" i="23"/>
  <c r="G251" i="22"/>
  <c r="A501" i="23"/>
  <c r="A271" i="23"/>
  <c r="F2876" i="23"/>
  <c r="F1859" i="23"/>
  <c r="F588" i="23"/>
  <c r="C1637" i="23"/>
  <c r="D210" i="23"/>
  <c r="F2441" i="23"/>
  <c r="G103" i="23"/>
  <c r="F1652" i="23"/>
  <c r="F1982" i="23"/>
  <c r="C506" i="23"/>
  <c r="H1456" i="23"/>
  <c r="A286" i="23"/>
  <c r="D2315" i="23"/>
  <c r="F2380" i="23"/>
  <c r="H55" i="23"/>
  <c r="C2298" i="23"/>
  <c r="H2626" i="23"/>
  <c r="A411" i="23"/>
  <c r="A844" i="23"/>
  <c r="C408" i="22"/>
  <c r="D1473" i="23"/>
  <c r="C180" i="23"/>
  <c r="B812" i="23"/>
  <c r="C2219" i="23"/>
  <c r="A1432" i="23"/>
  <c r="H1361" i="23"/>
  <c r="H2527" i="23"/>
  <c r="G1025" i="23"/>
  <c r="G2015" i="23"/>
  <c r="C1724" i="23"/>
  <c r="G605" i="23"/>
  <c r="F6" i="22"/>
  <c r="H1717" i="23"/>
  <c r="B1353" i="23"/>
  <c r="B1477" i="23"/>
  <c r="D531" i="23"/>
  <c r="B366" i="23"/>
  <c r="C1918" i="23"/>
  <c r="C538" i="23"/>
  <c r="A919" i="23"/>
  <c r="F776" i="23"/>
  <c r="B288" i="22"/>
  <c r="H1897" i="23"/>
  <c r="F1542" i="23"/>
  <c r="G2846" i="23"/>
  <c r="A1699" i="23"/>
  <c r="H497" i="23"/>
  <c r="D39" i="22"/>
  <c r="H1630" i="23"/>
  <c r="E355" i="22"/>
  <c r="B558" i="23"/>
  <c r="C132" i="23"/>
  <c r="D1771" i="23"/>
  <c r="E931" i="23"/>
  <c r="E380" i="23"/>
  <c r="D759" i="23"/>
  <c r="A1208" i="23"/>
  <c r="D508" i="23"/>
  <c r="F391" i="22"/>
  <c r="A235" i="22"/>
  <c r="H841" i="23"/>
  <c r="E338" i="23"/>
  <c r="B222" i="23"/>
  <c r="H2059" i="23"/>
  <c r="D1231" i="23"/>
  <c r="E1934" i="23"/>
  <c r="E1585" i="23"/>
  <c r="D1646" i="23"/>
  <c r="C1896" i="23"/>
  <c r="B259" i="23"/>
  <c r="E108" i="22"/>
  <c r="H2940" i="23"/>
  <c r="D1830" i="23"/>
  <c r="E868" i="23"/>
  <c r="H397" i="23"/>
  <c r="A135" i="22"/>
  <c r="C216" i="23"/>
  <c r="F497" i="23"/>
  <c r="A1092" i="23"/>
  <c r="B200" i="22"/>
  <c r="G2972" i="23"/>
  <c r="H1698" i="23"/>
  <c r="C624" i="23"/>
  <c r="C186" i="22"/>
  <c r="E651" i="23"/>
  <c r="H1924" i="23"/>
  <c r="G572" i="23"/>
  <c r="F2283" i="23"/>
  <c r="C486" i="23"/>
  <c r="F1645" i="23"/>
  <c r="D1746" i="23"/>
  <c r="D806" i="23"/>
  <c r="H320" i="23"/>
  <c r="E1322" i="23"/>
  <c r="H1146" i="23"/>
  <c r="E852" i="23"/>
  <c r="E735" i="23"/>
  <c r="B2320" i="23"/>
  <c r="G2772" i="23"/>
  <c r="E106" i="23"/>
  <c r="F121" i="23"/>
  <c r="E938" i="23"/>
  <c r="D716" i="23"/>
  <c r="D848" i="23"/>
  <c r="C864" i="23"/>
  <c r="F1654" i="23"/>
  <c r="B209" i="23"/>
  <c r="B1619" i="23"/>
  <c r="B1580" i="23"/>
  <c r="B837" i="23"/>
  <c r="A1930" i="23"/>
  <c r="G9" i="22"/>
  <c r="D1582" i="23"/>
  <c r="E766" i="23"/>
  <c r="F2179" i="23"/>
  <c r="A2152" i="23"/>
  <c r="G1104" i="23"/>
  <c r="A1866" i="23"/>
  <c r="G65" i="23"/>
  <c r="H2259" i="23"/>
  <c r="F2129" i="23"/>
  <c r="A1948" i="23"/>
  <c r="G1522" i="23"/>
  <c r="F2242" i="23"/>
  <c r="F582" i="23"/>
  <c r="C296" i="23"/>
  <c r="F84" i="23"/>
  <c r="A272" i="22"/>
  <c r="C154" i="23"/>
  <c r="A1206" i="23"/>
  <c r="D1332" i="23"/>
  <c r="F492" i="23"/>
  <c r="G650" i="23"/>
  <c r="A1223" i="23"/>
  <c r="D1868" i="23"/>
  <c r="H1021" i="23"/>
  <c r="E490" i="23"/>
  <c r="F834" i="23"/>
  <c r="H1327" i="23"/>
  <c r="F1949" i="23"/>
  <c r="F866" i="23"/>
  <c r="F2392" i="23"/>
  <c r="D1042" i="23"/>
  <c r="D1710" i="23"/>
  <c r="G2080" i="23"/>
  <c r="E1476" i="23"/>
  <c r="H2344" i="23"/>
  <c r="A198" i="22"/>
  <c r="B1967" i="23"/>
  <c r="G2241" i="23"/>
  <c r="F733" i="23"/>
  <c r="F486" i="23"/>
  <c r="F1600" i="23"/>
  <c r="B30" i="22"/>
  <c r="G1770" i="23"/>
  <c r="C2267" i="23"/>
  <c r="D635" i="23"/>
  <c r="G2821" i="23"/>
  <c r="C1891" i="23"/>
  <c r="A251" i="22"/>
  <c r="H2995" i="23"/>
  <c r="H418" i="23"/>
  <c r="F1905" i="23"/>
  <c r="F344" i="22"/>
  <c r="A1436" i="23"/>
  <c r="G1284" i="23"/>
  <c r="E2129" i="23"/>
  <c r="D135" i="22"/>
  <c r="B1577" i="23"/>
  <c r="F1442" i="23"/>
  <c r="F1209" i="23"/>
  <c r="D2218" i="23"/>
  <c r="F2865" i="23"/>
  <c r="A312" i="22"/>
  <c r="F827" i="23"/>
  <c r="G407" i="22"/>
  <c r="B367" i="23"/>
  <c r="B737" i="23"/>
  <c r="D311" i="22"/>
  <c r="A1511" i="23"/>
  <c r="G2149" i="23"/>
  <c r="C11" i="22"/>
  <c r="G1967" i="23"/>
  <c r="H2778" i="23"/>
  <c r="E1291" i="23"/>
  <c r="A2096" i="23"/>
  <c r="G2576" i="23"/>
  <c r="D268" i="22"/>
  <c r="H760" i="23"/>
  <c r="F616" i="23"/>
  <c r="H2075" i="23"/>
  <c r="G6" i="22"/>
  <c r="E628" i="23"/>
  <c r="B1772" i="23"/>
  <c r="G2066" i="23"/>
  <c r="C1218" i="23"/>
  <c r="H2051" i="23"/>
  <c r="G2780" i="23"/>
  <c r="H2902" i="23"/>
  <c r="D89" i="23"/>
  <c r="E1548" i="23"/>
  <c r="F2557" i="23"/>
  <c r="H2043" i="23"/>
  <c r="H43" i="22"/>
  <c r="G340" i="22"/>
  <c r="A1044" i="23"/>
  <c r="B1836" i="23"/>
  <c r="H303" i="23"/>
  <c r="E1802" i="23"/>
  <c r="G1052" i="23"/>
  <c r="F239" i="22"/>
  <c r="C334" i="22"/>
  <c r="F1630" i="23"/>
  <c r="G1542" i="23"/>
  <c r="C1187" i="23"/>
  <c r="H2765" i="23"/>
  <c r="C1240" i="23"/>
  <c r="A1398" i="23"/>
  <c r="C1787" i="23"/>
  <c r="D1429" i="23"/>
  <c r="A1936" i="23"/>
  <c r="H506" i="23"/>
  <c r="D1002" i="23"/>
  <c r="B89" i="23"/>
  <c r="D150" i="23"/>
  <c r="E309" i="23"/>
  <c r="G1626" i="23"/>
  <c r="A188" i="22"/>
  <c r="A1815" i="23"/>
  <c r="F1303" i="23"/>
  <c r="C1486" i="23"/>
  <c r="F2461" i="23"/>
  <c r="H2118" i="23"/>
  <c r="C1037" i="23"/>
  <c r="H2235" i="23"/>
  <c r="H2579" i="23"/>
  <c r="D1221" i="23"/>
  <c r="A178" i="22"/>
  <c r="B509" i="23"/>
  <c r="G2301" i="23"/>
  <c r="B1450" i="23"/>
  <c r="E891" i="23"/>
  <c r="A1192" i="23"/>
  <c r="B1272" i="23"/>
  <c r="B235" i="22"/>
  <c r="H2939" i="23"/>
  <c r="A525" i="23"/>
  <c r="C188" i="22"/>
  <c r="H1040" i="23"/>
  <c r="A226" i="23"/>
  <c r="D883" i="23"/>
  <c r="C1905" i="23"/>
  <c r="E2242" i="23"/>
  <c r="H1251" i="23"/>
  <c r="A2141" i="23"/>
  <c r="F2770" i="23"/>
  <c r="G397" i="22"/>
  <c r="A2137" i="23"/>
  <c r="C703" i="23"/>
  <c r="B937" i="23"/>
  <c r="F1463" i="23"/>
  <c r="A1427" i="23"/>
  <c r="E986" i="23"/>
  <c r="D335" i="23"/>
  <c r="A63" i="23"/>
  <c r="C2099" i="23"/>
  <c r="E1072" i="23"/>
  <c r="D142" i="22"/>
  <c r="E1219" i="23"/>
  <c r="E567" i="23"/>
  <c r="H693" i="23"/>
  <c r="D1733" i="23"/>
  <c r="E1247" i="23"/>
  <c r="G1085" i="23"/>
  <c r="B155" i="23"/>
  <c r="E1857" i="23"/>
  <c r="G1935" i="23"/>
  <c r="H2655" i="23"/>
  <c r="D1112" i="23"/>
  <c r="C901" i="23"/>
  <c r="D467" i="23"/>
  <c r="F570" i="23"/>
  <c r="D1615" i="23"/>
  <c r="E1687" i="23"/>
  <c r="A180" i="23"/>
  <c r="G2956" i="23"/>
  <c r="H755" i="23"/>
  <c r="C448" i="23"/>
  <c r="G236" i="23"/>
  <c r="E1025" i="23"/>
  <c r="G1154" i="23"/>
  <c r="D2119" i="23"/>
  <c r="D1273" i="23"/>
  <c r="F416" i="23"/>
  <c r="E100" i="22"/>
  <c r="A292" i="23"/>
  <c r="B150" i="22"/>
  <c r="A1651" i="23"/>
  <c r="B1478" i="23"/>
  <c r="F1604" i="23"/>
  <c r="A848" i="23"/>
  <c r="F2002" i="23"/>
  <c r="G1128" i="23"/>
  <c r="G2271" i="23"/>
  <c r="D822" i="23"/>
  <c r="G948" i="23"/>
  <c r="G2644" i="23"/>
  <c r="G891" i="23"/>
  <c r="C1571" i="23"/>
  <c r="F982" i="23"/>
  <c r="A2036" i="23"/>
  <c r="H468" i="23"/>
  <c r="G95" i="23"/>
  <c r="E1360" i="23"/>
  <c r="H2604" i="23"/>
  <c r="G1213" i="23"/>
  <c r="F1274" i="23"/>
  <c r="D583" i="23"/>
  <c r="H2574" i="23"/>
  <c r="D172" i="22"/>
  <c r="B331" i="22"/>
  <c r="E506" i="23"/>
  <c r="G2228" i="23"/>
  <c r="C1276" i="23"/>
  <c r="G220" i="22"/>
  <c r="A600" i="23"/>
  <c r="G1474" i="23"/>
  <c r="E1393" i="23"/>
  <c r="F1132" i="23"/>
  <c r="B2164" i="23"/>
  <c r="E1515" i="23"/>
  <c r="G1150" i="23"/>
  <c r="H1786" i="23"/>
  <c r="C2084" i="23"/>
  <c r="F978" i="23"/>
  <c r="H1134" i="23"/>
  <c r="G782" i="23"/>
  <c r="G1897" i="23"/>
  <c r="E1963" i="23"/>
  <c r="A286" i="22"/>
  <c r="F2263" i="23"/>
  <c r="C1560" i="23"/>
  <c r="G1478" i="23"/>
  <c r="D240" i="22"/>
  <c r="F109" i="23"/>
  <c r="E700" i="23"/>
  <c r="H195" i="23"/>
  <c r="D417" i="23"/>
  <c r="E1894" i="23"/>
  <c r="C120" i="22"/>
  <c r="B140" i="23"/>
  <c r="H2589" i="23"/>
  <c r="A1326" i="23"/>
  <c r="C520" i="23"/>
  <c r="D658" i="23"/>
  <c r="F57" i="22"/>
  <c r="G806" i="23"/>
  <c r="F404" i="23"/>
  <c r="C547" i="23"/>
  <c r="D38" i="23"/>
  <c r="B1005" i="23"/>
  <c r="F2078" i="23"/>
  <c r="B503" i="23"/>
  <c r="E1060" i="23"/>
  <c r="H505" i="23"/>
  <c r="D205" i="23"/>
  <c r="G2791" i="23"/>
  <c r="H2954" i="23"/>
  <c r="G2190" i="23"/>
  <c r="G2472" i="23"/>
  <c r="F2496" i="23"/>
  <c r="D1203" i="23"/>
  <c r="F1452" i="23"/>
  <c r="H2850" i="23"/>
  <c r="C1718" i="23"/>
  <c r="E2095" i="23"/>
  <c r="H69" i="22"/>
  <c r="A466" i="23"/>
  <c r="G2544" i="23"/>
  <c r="G2569" i="23"/>
  <c r="F1536" i="23"/>
  <c r="H2046" i="23"/>
  <c r="F2236" i="23"/>
  <c r="B71" i="23"/>
  <c r="B825" i="23"/>
  <c r="A1983" i="23"/>
  <c r="C2191" i="23"/>
  <c r="G2058" i="23"/>
  <c r="G336" i="22"/>
  <c r="B1900" i="23"/>
  <c r="C1382" i="23"/>
  <c r="F301" i="22"/>
  <c r="G547" i="23"/>
  <c r="C364" i="22"/>
  <c r="H19" i="22"/>
  <c r="C1830" i="23"/>
  <c r="F2787" i="23"/>
  <c r="G881" i="23"/>
  <c r="D1263" i="23"/>
  <c r="H1098" i="23"/>
  <c r="A134" i="22"/>
  <c r="G496" i="23"/>
  <c r="G2093" i="23"/>
  <c r="D17" i="22"/>
  <c r="D1078" i="23"/>
  <c r="H535" i="23"/>
  <c r="G1258" i="23"/>
  <c r="A737" i="23"/>
  <c r="C727" i="23"/>
  <c r="B1428" i="23"/>
  <c r="D570" i="23"/>
  <c r="H369" i="23"/>
  <c r="D1931" i="23"/>
  <c r="G1047" i="23"/>
  <c r="G364" i="22"/>
  <c r="G370" i="23"/>
  <c r="D196" i="23"/>
  <c r="C570" i="23"/>
  <c r="A1307" i="23"/>
  <c r="G1419" i="23"/>
  <c r="B860" i="23"/>
  <c r="H2194" i="23"/>
  <c r="G1549" i="23"/>
  <c r="G2692" i="23"/>
  <c r="D2215" i="23"/>
  <c r="F875" i="23"/>
  <c r="F44" i="23"/>
  <c r="G816" i="23"/>
  <c r="B1944" i="23"/>
  <c r="E133" i="23"/>
  <c r="F200" i="23"/>
  <c r="A2167" i="23"/>
  <c r="F2685" i="23"/>
  <c r="H1607" i="23"/>
  <c r="F1121" i="23"/>
  <c r="A677" i="23"/>
  <c r="H2496" i="23"/>
  <c r="F32" i="22"/>
  <c r="E554" i="23"/>
  <c r="H2668" i="23"/>
  <c r="C315" i="23"/>
  <c r="E2000" i="23"/>
  <c r="A1760" i="23"/>
  <c r="H15" i="23"/>
  <c r="G612" i="23"/>
  <c r="D954" i="23"/>
  <c r="E932" i="23"/>
  <c r="H1160" i="23"/>
  <c r="G1219" i="23"/>
  <c r="D2263" i="23"/>
  <c r="H3" i="23"/>
  <c r="F2134" i="23"/>
  <c r="C514" i="23"/>
  <c r="B15" i="23"/>
  <c r="D1245" i="23"/>
  <c r="H663" i="23"/>
  <c r="G1045" i="23"/>
  <c r="C2278" i="23"/>
  <c r="D46" i="23"/>
  <c r="E753" i="23"/>
  <c r="D2295" i="23"/>
  <c r="E31" i="22"/>
  <c r="G594" i="23"/>
  <c r="D1425" i="23"/>
  <c r="C1683" i="23"/>
  <c r="G2205" i="23"/>
  <c r="H2865" i="23"/>
  <c r="B255" i="22"/>
  <c r="F24" i="22"/>
  <c r="A752" i="23"/>
  <c r="D1849" i="23"/>
  <c r="D1128" i="23"/>
  <c r="D238" i="23"/>
  <c r="B339" i="22"/>
  <c r="G109" i="23"/>
  <c r="F222" i="23"/>
  <c r="G1757" i="23"/>
  <c r="D235" i="23"/>
  <c r="C1190" i="23"/>
  <c r="G422" i="23"/>
  <c r="F1864" i="23"/>
  <c r="F1335" i="23"/>
  <c r="A253" i="23"/>
  <c r="D502" i="23"/>
  <c r="C132" i="22"/>
  <c r="B265" i="22"/>
  <c r="C152" i="22"/>
  <c r="H75" i="23"/>
  <c r="A236" i="23"/>
  <c r="F2658" i="23"/>
  <c r="A1251" i="23"/>
  <c r="F226" i="23"/>
  <c r="E1416" i="23"/>
  <c r="D1076" i="23"/>
  <c r="E601" i="23"/>
  <c r="C469" i="23"/>
  <c r="F241" i="23"/>
  <c r="A407" i="23"/>
  <c r="F1223" i="23"/>
  <c r="E618" i="23"/>
  <c r="A484" i="23"/>
  <c r="A42" i="23"/>
  <c r="G1927" i="23"/>
  <c r="B2270" i="23"/>
  <c r="H1893" i="23"/>
  <c r="B1521" i="23"/>
  <c r="A1124" i="23"/>
  <c r="A187" i="22"/>
  <c r="G2164" i="23"/>
  <c r="F2782" i="23"/>
  <c r="E869" i="23"/>
  <c r="F1201" i="23"/>
  <c r="E712" i="23"/>
  <c r="C73" i="23"/>
  <c r="B1957" i="23"/>
  <c r="C320" i="22"/>
  <c r="C2247" i="23"/>
  <c r="G2325" i="23"/>
  <c r="E831" i="23"/>
  <c r="G2451" i="23"/>
  <c r="A2060" i="23"/>
  <c r="E1489" i="23"/>
  <c r="B10" i="23"/>
  <c r="D2071" i="23"/>
  <c r="A2093" i="23"/>
  <c r="B2301" i="23"/>
  <c r="C571" i="23"/>
  <c r="G2129" i="23"/>
  <c r="A2172" i="23"/>
  <c r="C10" i="23"/>
  <c r="A1419" i="23"/>
  <c r="E1095" i="23"/>
  <c r="E2117" i="23"/>
  <c r="D1261" i="23"/>
  <c r="F360" i="23"/>
  <c r="D1932" i="23"/>
  <c r="H2678" i="23"/>
  <c r="A214" i="23"/>
  <c r="E783" i="23"/>
  <c r="F998" i="23"/>
  <c r="D219" i="23"/>
  <c r="D430" i="23"/>
  <c r="A1252" i="23"/>
  <c r="C1563" i="23"/>
  <c r="A1533" i="23"/>
  <c r="E256" i="22"/>
  <c r="G1996" i="23"/>
  <c r="H1597" i="23"/>
  <c r="G229" i="23"/>
  <c r="B50" i="23"/>
  <c r="A2266" i="23"/>
  <c r="E1002" i="23"/>
  <c r="E1862" i="23"/>
  <c r="G1727" i="23"/>
  <c r="D1565" i="23"/>
  <c r="F1675" i="23"/>
  <c r="A1349" i="23"/>
  <c r="F1042" i="23"/>
  <c r="C409" i="22"/>
  <c r="E1540" i="23"/>
  <c r="E34" i="23"/>
  <c r="C150" i="23"/>
  <c r="A12" i="22"/>
  <c r="G215" i="23"/>
  <c r="B958" i="23"/>
  <c r="E515" i="23"/>
  <c r="C993" i="23"/>
  <c r="D2259" i="23"/>
  <c r="D165" i="23"/>
  <c r="F581" i="23"/>
  <c r="E282" i="22"/>
  <c r="F76" i="23"/>
  <c r="A415" i="23"/>
  <c r="F1287" i="23"/>
  <c r="F2567" i="23"/>
  <c r="H771" i="23"/>
  <c r="F105" i="23"/>
  <c r="A445" i="23"/>
  <c r="F86" i="22"/>
  <c r="E2193" i="23"/>
  <c r="H2077" i="23"/>
  <c r="F471" i="23"/>
  <c r="E1101" i="23"/>
  <c r="H1469" i="23"/>
  <c r="D391" i="22"/>
  <c r="B1414" i="23"/>
  <c r="H2244" i="23"/>
  <c r="F2336" i="23"/>
  <c r="H1129" i="23"/>
  <c r="B1408" i="23"/>
  <c r="G1061" i="23"/>
  <c r="B2242" i="23"/>
  <c r="D10" i="22"/>
  <c r="H770" i="23"/>
  <c r="F323" i="22"/>
  <c r="H628" i="23"/>
  <c r="G46" i="22"/>
  <c r="C2289" i="23"/>
  <c r="C1336" i="23"/>
  <c r="G1345" i="23"/>
  <c r="G1151" i="23"/>
  <c r="H50" i="23"/>
  <c r="D1456" i="23"/>
  <c r="A1941" i="23"/>
  <c r="C2133" i="23"/>
  <c r="A2134" i="23"/>
  <c r="B1649" i="23"/>
  <c r="A125" i="23"/>
  <c r="F1239" i="23"/>
  <c r="D1062" i="23"/>
  <c r="G2635" i="23"/>
  <c r="H2797" i="23"/>
  <c r="F1397" i="23"/>
  <c r="F228" i="23"/>
  <c r="G632" i="23"/>
  <c r="G2760" i="23"/>
  <c r="E2128" i="23"/>
  <c r="D1341" i="23"/>
  <c r="F2127" i="23"/>
  <c r="E383" i="22"/>
  <c r="B1406" i="23"/>
  <c r="C2038" i="23"/>
  <c r="E1386" i="23"/>
  <c r="E1154" i="23"/>
  <c r="H360" i="23"/>
  <c r="E845" i="23"/>
  <c r="G372" i="23"/>
  <c r="H670" i="23"/>
  <c r="A1283" i="23"/>
  <c r="G1652" i="23"/>
  <c r="B587" i="23"/>
  <c r="G1882" i="23"/>
  <c r="A1276" i="23"/>
  <c r="C13" i="23"/>
  <c r="F544" i="23"/>
  <c r="C131" i="22"/>
  <c r="B261" i="22"/>
  <c r="B945" i="23"/>
  <c r="A813" i="23"/>
  <c r="G1559" i="23"/>
  <c r="H1208" i="23"/>
  <c r="G2442" i="23"/>
  <c r="D922" i="23"/>
  <c r="H2364" i="23"/>
  <c r="H2167" i="23"/>
  <c r="B1615" i="23"/>
  <c r="H1969" i="23"/>
  <c r="F46" i="22"/>
  <c r="F117" i="22"/>
  <c r="D129" i="22"/>
  <c r="H1909" i="23"/>
  <c r="G176" i="22"/>
  <c r="E545" i="23"/>
  <c r="G385" i="23"/>
  <c r="H2415" i="23"/>
  <c r="A760" i="23"/>
  <c r="H127" i="23"/>
  <c r="C774" i="23"/>
  <c r="G861" i="23"/>
  <c r="B2280" i="23"/>
  <c r="G1165" i="23"/>
  <c r="G1837" i="23"/>
  <c r="H347" i="23"/>
  <c r="A2041" i="23"/>
  <c r="F2663" i="23"/>
  <c r="E912" i="23"/>
  <c r="F606" i="23"/>
  <c r="A1162" i="23"/>
  <c r="F1027" i="23"/>
  <c r="C439" i="23"/>
  <c r="E1902" i="23"/>
  <c r="G306" i="22"/>
  <c r="G1672" i="23"/>
  <c r="E1935" i="23"/>
  <c r="G1979" i="23"/>
  <c r="G223" i="23"/>
  <c r="A374" i="23"/>
  <c r="B425" i="22"/>
  <c r="A918" i="23"/>
  <c r="H1582" i="23"/>
  <c r="E2051" i="23"/>
  <c r="H2863" i="23"/>
  <c r="C14" i="23"/>
  <c r="H2339" i="23"/>
  <c r="H758" i="23"/>
  <c r="C397" i="22"/>
  <c r="E1878" i="23"/>
  <c r="E1110" i="23"/>
  <c r="G2419" i="23"/>
  <c r="H1779" i="23"/>
  <c r="E41" i="23"/>
  <c r="E1188" i="23"/>
  <c r="C52" i="23"/>
  <c r="B121" i="22"/>
  <c r="B691" i="23"/>
  <c r="B1679" i="23"/>
  <c r="H1000" i="23"/>
  <c r="F2497" i="23"/>
  <c r="H334" i="23"/>
  <c r="F2875" i="23"/>
  <c r="D862" i="23"/>
  <c r="F556" i="23"/>
  <c r="G2453" i="23"/>
  <c r="F263" i="22"/>
  <c r="B574" i="23"/>
  <c r="F440" i="23"/>
  <c r="A118" i="23"/>
  <c r="A1104" i="23"/>
  <c r="D772" i="23"/>
  <c r="G972" i="23"/>
  <c r="F252" i="23"/>
  <c r="G1072" i="23"/>
  <c r="C1164" i="23"/>
  <c r="F2037" i="23"/>
  <c r="E1818" i="23"/>
  <c r="G967" i="23"/>
  <c r="A2132" i="23"/>
  <c r="B1752" i="23"/>
  <c r="E1694" i="23"/>
  <c r="D1963" i="23"/>
  <c r="E362" i="22"/>
  <c r="E166" i="23"/>
  <c r="C2214" i="23"/>
  <c r="C827" i="23"/>
  <c r="G1311" i="23"/>
  <c r="H1845" i="23"/>
  <c r="A191" i="23"/>
  <c r="C585" i="23"/>
  <c r="F472" i="23"/>
  <c r="F1771" i="23"/>
  <c r="A453" i="23"/>
  <c r="E384" i="22"/>
  <c r="D2036" i="23"/>
  <c r="D191" i="23"/>
  <c r="F1827" i="23"/>
  <c r="D913" i="23"/>
  <c r="F1254" i="23"/>
  <c r="F2231" i="23"/>
  <c r="G1190" i="23"/>
  <c r="C938" i="23"/>
  <c r="H2889" i="23"/>
  <c r="E1080" i="23"/>
  <c r="G2077" i="23"/>
  <c r="F1575" i="23"/>
  <c r="H2270" i="23"/>
  <c r="E1023" i="23"/>
  <c r="H86" i="23"/>
  <c r="F2187" i="23"/>
  <c r="A1850" i="23"/>
  <c r="G2236" i="23"/>
  <c r="F299" i="22"/>
  <c r="G82" i="22"/>
  <c r="A2085" i="23"/>
  <c r="H254" i="23"/>
  <c r="D2202" i="23"/>
  <c r="C595" i="23"/>
  <c r="F50" i="23"/>
  <c r="H2080" i="23"/>
  <c r="B1785" i="23"/>
  <c r="H56" i="22"/>
  <c r="D1534" i="23"/>
  <c r="E1739" i="23"/>
  <c r="F1378" i="23"/>
  <c r="F2089" i="23"/>
  <c r="F41" i="23"/>
  <c r="E1970" i="23"/>
  <c r="F1631" i="23"/>
  <c r="E1382" i="23"/>
  <c r="B449" i="23"/>
  <c r="A1953" i="23"/>
  <c r="G1992" i="23"/>
  <c r="G1666" i="23"/>
  <c r="E1166" i="23"/>
  <c r="G357" i="22"/>
  <c r="C1584" i="23"/>
  <c r="H2316" i="23"/>
  <c r="D175" i="23"/>
  <c r="E159" i="23"/>
  <c r="H1869" i="23"/>
  <c r="G2814" i="23"/>
  <c r="F1529" i="23"/>
  <c r="G2475" i="23"/>
  <c r="G2749" i="23"/>
  <c r="G2509" i="23"/>
  <c r="C413" i="23"/>
  <c r="D591" i="23"/>
  <c r="G2154" i="23"/>
  <c r="H1478" i="23"/>
  <c r="F1343" i="23"/>
  <c r="H1477" i="23"/>
  <c r="D271" i="22"/>
  <c r="B1807" i="23"/>
  <c r="G2481" i="23"/>
  <c r="H2740" i="23"/>
  <c r="F2738" i="23"/>
  <c r="G1055" i="23"/>
  <c r="A1864" i="23"/>
  <c r="A2298" i="23"/>
  <c r="D1090" i="23"/>
  <c r="C1866" i="23"/>
  <c r="F726" i="23"/>
  <c r="D2117" i="23"/>
  <c r="F2066" i="23"/>
  <c r="E474" i="23"/>
  <c r="H2909" i="23"/>
  <c r="H2264" i="23"/>
  <c r="H1400" i="23"/>
  <c r="E1338" i="23"/>
  <c r="A1064" i="23"/>
  <c r="A1061" i="23"/>
  <c r="E49" i="22"/>
  <c r="F162" i="22"/>
  <c r="C1288" i="23"/>
  <c r="C233" i="23"/>
  <c r="A563" i="23"/>
  <c r="A212" i="22"/>
  <c r="E1349" i="23"/>
  <c r="D174" i="23"/>
  <c r="E396" i="23"/>
  <c r="A824" i="23"/>
  <c r="E317" i="22"/>
  <c r="C1659" i="23"/>
  <c r="G342" i="23"/>
  <c r="F2181" i="23"/>
  <c r="C2032" i="23"/>
  <c r="H1352" i="23"/>
  <c r="F1162" i="23"/>
  <c r="C1223" i="23"/>
  <c r="B2050" i="23"/>
  <c r="B907" i="23"/>
  <c r="B1479" i="23"/>
  <c r="F2321" i="23"/>
  <c r="C766" i="23"/>
  <c r="H425" i="23"/>
  <c r="G2947" i="23"/>
  <c r="F2411" i="23"/>
  <c r="B971" i="23"/>
  <c r="F645" i="23"/>
  <c r="D1317" i="23"/>
  <c r="A2315" i="23"/>
  <c r="G1378" i="23"/>
  <c r="D948" i="23"/>
  <c r="H1858" i="23"/>
  <c r="A895" i="23"/>
  <c r="F1092" i="23"/>
  <c r="H2694" i="23"/>
  <c r="C1264" i="23"/>
  <c r="G1263" i="23"/>
  <c r="B965" i="23"/>
  <c r="F2400" i="23"/>
  <c r="A2296" i="23"/>
  <c r="C790" i="23"/>
  <c r="C179" i="23"/>
  <c r="A2120" i="23"/>
  <c r="H17" i="22"/>
  <c r="A260" i="22"/>
  <c r="G2036" i="23"/>
  <c r="B2315" i="23"/>
  <c r="C709" i="23"/>
  <c r="D134" i="22"/>
  <c r="D1592" i="23"/>
  <c r="B536" i="23"/>
  <c r="C1304" i="23"/>
  <c r="G2365" i="23"/>
  <c r="B2089" i="23"/>
  <c r="F2350" i="23"/>
  <c r="G2741" i="23"/>
  <c r="E642" i="23"/>
  <c r="A2020" i="23"/>
  <c r="E125" i="23"/>
  <c r="B921" i="23"/>
  <c r="B1487" i="23"/>
  <c r="A18" i="22"/>
  <c r="A2248" i="23"/>
  <c r="H2481" i="23"/>
  <c r="D1211" i="23"/>
  <c r="E1786" i="23"/>
  <c r="D623" i="23"/>
  <c r="G221" i="22"/>
  <c r="H389" i="23"/>
  <c r="H2155" i="23"/>
  <c r="B233" i="22"/>
  <c r="B2277" i="23"/>
  <c r="D1206" i="23"/>
  <c r="E372" i="23"/>
  <c r="A1792" i="23"/>
  <c r="B1270" i="23"/>
  <c r="A646" i="23"/>
  <c r="H654" i="23"/>
  <c r="B2136" i="23"/>
  <c r="C53" i="23"/>
  <c r="C1626" i="23"/>
  <c r="A185" i="22"/>
  <c r="C1454" i="23"/>
  <c r="F429" i="23"/>
  <c r="G377" i="22"/>
  <c r="F329" i="23"/>
  <c r="H933" i="23"/>
  <c r="H599" i="23"/>
  <c r="E230" i="22"/>
  <c r="E82" i="23"/>
  <c r="C1222" i="23"/>
  <c r="E252" i="22"/>
  <c r="F960" i="23"/>
  <c r="G1054" i="23"/>
  <c r="A883" i="23"/>
  <c r="G279" i="22"/>
  <c r="D240" i="23"/>
  <c r="G2378" i="23"/>
  <c r="G2877" i="23"/>
  <c r="A535" i="23"/>
  <c r="H2699" i="23"/>
  <c r="H2186" i="23"/>
  <c r="G1822" i="23"/>
  <c r="H2799" i="23"/>
  <c r="H2976" i="23"/>
  <c r="C1705" i="23"/>
  <c r="A764" i="23"/>
  <c r="C698" i="23"/>
  <c r="A1128" i="23"/>
  <c r="H1519" i="23"/>
  <c r="H362" i="23"/>
  <c r="A707" i="23"/>
  <c r="B1644" i="23"/>
  <c r="B202" i="22"/>
  <c r="E1920" i="23"/>
  <c r="G1068" i="23"/>
  <c r="C78" i="22"/>
  <c r="H2295" i="23"/>
  <c r="C248" i="23"/>
  <c r="F119" i="22"/>
  <c r="F1667" i="23"/>
  <c r="H46" i="22"/>
  <c r="A1420" i="23"/>
  <c r="F56" i="22"/>
  <c r="F752" i="23"/>
  <c r="C577" i="23"/>
  <c r="C102" i="22"/>
  <c r="G574" i="23"/>
  <c r="H963" i="23"/>
  <c r="E141" i="22"/>
  <c r="D662" i="23"/>
  <c r="D1667" i="23"/>
  <c r="G1316" i="23"/>
  <c r="A636" i="23"/>
  <c r="G158" i="22"/>
  <c r="H1290" i="23"/>
  <c r="A1942" i="23"/>
  <c r="G2482" i="23"/>
  <c r="D833" i="23"/>
  <c r="G60" i="22"/>
  <c r="H782" i="23"/>
  <c r="B1012" i="23"/>
  <c r="C1060" i="23"/>
  <c r="E1402" i="23"/>
  <c r="G47" i="23"/>
  <c r="C880" i="23"/>
  <c r="F2253" i="23"/>
  <c r="D404" i="23"/>
  <c r="G2627" i="23"/>
  <c r="E2210" i="23"/>
  <c r="B108" i="23"/>
  <c r="H2879" i="23"/>
  <c r="G1073" i="23"/>
  <c r="C1395" i="23"/>
  <c r="H2570" i="23"/>
  <c r="B906" i="23"/>
  <c r="A927" i="23"/>
  <c r="A425" i="23"/>
  <c r="H1640" i="23"/>
  <c r="G1210" i="23"/>
  <c r="C1672" i="23"/>
  <c r="B180" i="23"/>
  <c r="G508" i="23"/>
  <c r="E765" i="23"/>
  <c r="G2173" i="23"/>
  <c r="G1375" i="23"/>
  <c r="G2602" i="23"/>
  <c r="H610" i="23"/>
  <c r="F840" i="23"/>
  <c r="B177" i="22"/>
  <c r="C879" i="23"/>
  <c r="F351" i="23"/>
  <c r="D338" i="22"/>
  <c r="G2655" i="23"/>
  <c r="B943" i="23"/>
  <c r="B893" i="23"/>
  <c r="D1208" i="23"/>
  <c r="G164" i="23"/>
  <c r="B242" i="23"/>
  <c r="B92" i="23"/>
  <c r="D2047" i="23"/>
  <c r="H2423" i="23"/>
  <c r="E1276" i="23"/>
  <c r="D1444" i="23"/>
  <c r="D202" i="22"/>
  <c r="F1975" i="23"/>
  <c r="D486" i="23"/>
  <c r="A385" i="23"/>
  <c r="G1551" i="23"/>
  <c r="F2176" i="23"/>
  <c r="H125" i="23"/>
  <c r="B1745" i="23"/>
  <c r="E2027" i="23"/>
  <c r="G412" i="22"/>
  <c r="A1236" i="23"/>
  <c r="F2112" i="23"/>
  <c r="H2050" i="23"/>
  <c r="B381" i="22"/>
  <c r="E597" i="23"/>
  <c r="H2627" i="23"/>
  <c r="F2514" i="23"/>
  <c r="G487" i="23"/>
  <c r="H1894" i="23"/>
  <c r="C391" i="22"/>
  <c r="E202" i="23"/>
  <c r="G1957" i="23"/>
  <c r="H2127" i="23"/>
  <c r="F830" i="23"/>
  <c r="B197" i="23"/>
  <c r="H59" i="23"/>
  <c r="H1741" i="23"/>
  <c r="B792" i="23"/>
  <c r="E2151" i="23"/>
  <c r="C68" i="22"/>
  <c r="G809" i="23"/>
  <c r="H1261" i="23"/>
  <c r="E762" i="23"/>
  <c r="F1375" i="23"/>
  <c r="G1688" i="23"/>
  <c r="G2963" i="23"/>
  <c r="D1066" i="23"/>
  <c r="G468" i="23"/>
  <c r="C430" i="23"/>
  <c r="B233" i="23"/>
  <c r="A786" i="23"/>
  <c r="H547" i="23"/>
  <c r="A1703" i="23"/>
  <c r="F1031" i="23"/>
  <c r="G1373" i="23"/>
  <c r="G2829" i="23"/>
  <c r="H2107" i="23"/>
  <c r="F1194" i="23"/>
  <c r="A1656" i="23"/>
  <c r="G2931" i="23"/>
  <c r="G1961" i="23"/>
  <c r="B1401" i="23"/>
  <c r="C1605" i="23"/>
  <c r="G1742" i="23"/>
  <c r="A1587" i="23"/>
  <c r="H1952" i="23"/>
  <c r="H319" i="23"/>
  <c r="D613" i="23"/>
  <c r="F1016" i="23"/>
  <c r="D379" i="22"/>
  <c r="A1358" i="23"/>
  <c r="H1731" i="23"/>
  <c r="H78" i="23"/>
  <c r="G157" i="22"/>
  <c r="D2003" i="23"/>
  <c r="D1170" i="23"/>
  <c r="H1334" i="23"/>
  <c r="C1259" i="23"/>
  <c r="G2287" i="23"/>
  <c r="E1976" i="23"/>
  <c r="H2532" i="23"/>
  <c r="H833" i="23"/>
  <c r="F1251" i="23"/>
  <c r="H266" i="23"/>
  <c r="B203" i="23"/>
  <c r="G2288" i="23"/>
  <c r="E2136" i="23"/>
  <c r="H608" i="23"/>
  <c r="G147" i="23"/>
  <c r="D2172" i="23"/>
  <c r="F1257" i="23"/>
  <c r="C1074" i="23"/>
  <c r="B432" i="23"/>
  <c r="B2091" i="23"/>
  <c r="F194" i="22"/>
  <c r="F2679" i="23"/>
  <c r="H502" i="23"/>
  <c r="C1803" i="23"/>
  <c r="B11" i="23"/>
  <c r="H677" i="23"/>
  <c r="A2310" i="23"/>
  <c r="H1414" i="23"/>
  <c r="C108" i="22"/>
  <c r="B267" i="22"/>
  <c r="B246" i="23"/>
  <c r="A221" i="23"/>
  <c r="A1184" i="23"/>
  <c r="E2216" i="23"/>
  <c r="B669" i="23"/>
  <c r="H1257" i="23"/>
  <c r="C119" i="22"/>
  <c r="G107" i="23"/>
  <c r="F1415" i="23"/>
  <c r="F1360" i="23"/>
  <c r="E8" i="23"/>
  <c r="B1579" i="23"/>
  <c r="F2407" i="23"/>
  <c r="E150" i="22"/>
  <c r="F2628" i="23"/>
  <c r="F2062" i="23"/>
  <c r="C1367" i="23"/>
  <c r="H1520" i="23"/>
  <c r="C1256" i="23"/>
  <c r="A2109" i="23"/>
  <c r="E114" i="23"/>
  <c r="D667" i="23"/>
  <c r="F342" i="23"/>
  <c r="E546" i="23"/>
  <c r="G658" i="23"/>
  <c r="B350" i="22"/>
  <c r="F1365" i="23"/>
  <c r="H1799" i="23"/>
  <c r="B1919" i="23"/>
  <c r="D738" i="23"/>
  <c r="A2261" i="23"/>
  <c r="F1306" i="23"/>
  <c r="E1796" i="23"/>
  <c r="A1673" i="23"/>
  <c r="G292" i="22"/>
  <c r="C1487" i="23"/>
  <c r="H680" i="23"/>
  <c r="F868" i="23"/>
  <c r="H1608" i="23"/>
  <c r="H1221" i="23"/>
  <c r="B882" i="23"/>
  <c r="D161" i="23"/>
  <c r="H2608" i="23"/>
  <c r="H2197" i="23"/>
  <c r="H665" i="23"/>
  <c r="E356" i="23"/>
  <c r="D329" i="22"/>
  <c r="G787" i="23"/>
  <c r="C131" i="23"/>
  <c r="F2743" i="23"/>
  <c r="H924" i="23"/>
  <c r="C324" i="23"/>
  <c r="D1905" i="23"/>
  <c r="E155" i="22"/>
  <c r="E1856" i="23"/>
  <c r="A1637" i="23"/>
  <c r="E307" i="22"/>
  <c r="C1920" i="23"/>
  <c r="F2703" i="23"/>
  <c r="F1032" i="23"/>
  <c r="B250" i="22"/>
  <c r="A311" i="23"/>
  <c r="A175" i="22"/>
  <c r="D346" i="23"/>
  <c r="G1649" i="23"/>
  <c r="H1977" i="23"/>
  <c r="H656" i="23"/>
  <c r="B415" i="22"/>
  <c r="F2219" i="23"/>
  <c r="F1888" i="23"/>
  <c r="C427" i="23"/>
  <c r="G1181" i="23"/>
  <c r="F2068" i="23"/>
  <c r="H1242" i="23"/>
  <c r="H129" i="23"/>
  <c r="G1125" i="23"/>
  <c r="D1404" i="23"/>
  <c r="H2205" i="23"/>
  <c r="A7" i="23"/>
  <c r="D246" i="23"/>
  <c r="D1907" i="23"/>
  <c r="B195" i="23"/>
  <c r="E727" i="23"/>
  <c r="F164" i="23"/>
  <c r="B70" i="23"/>
  <c r="D96" i="22"/>
  <c r="B972" i="23"/>
  <c r="G1764" i="23"/>
  <c r="D2124" i="23"/>
  <c r="F668" i="23"/>
  <c r="D2241" i="23"/>
  <c r="D520" i="23"/>
  <c r="A164" i="22"/>
  <c r="H2734" i="23"/>
  <c r="F841" i="23"/>
  <c r="A2122" i="23"/>
  <c r="B88" i="22"/>
  <c r="D1619" i="23"/>
  <c r="C614" i="23"/>
  <c r="H1461" i="23"/>
  <c r="A1082" i="23"/>
  <c r="D4" i="23"/>
  <c r="A24" i="23"/>
  <c r="A875" i="23"/>
  <c r="G521" i="23"/>
  <c r="G267" i="22"/>
  <c r="F306" i="22"/>
  <c r="E2196" i="23"/>
  <c r="C934" i="23"/>
  <c r="D909" i="23"/>
  <c r="F619" i="23"/>
  <c r="C1348" i="23"/>
  <c r="H1109" i="23"/>
  <c r="G2182" i="23"/>
  <c r="E115" i="23"/>
  <c r="G1733" i="23"/>
  <c r="D2291" i="23"/>
  <c r="F1547" i="23"/>
  <c r="F2784" i="23"/>
  <c r="A805" i="23"/>
  <c r="H1920" i="23"/>
  <c r="D1761" i="23"/>
  <c r="G1986" i="23"/>
  <c r="A1369" i="23"/>
  <c r="D1337" i="23"/>
  <c r="A1965" i="23"/>
  <c r="F2981" i="23"/>
  <c r="G701" i="23"/>
  <c r="A1446" i="23"/>
  <c r="D890" i="23"/>
  <c r="G1824" i="23"/>
  <c r="E1885" i="23"/>
  <c r="E273" i="23"/>
  <c r="B1011" i="23"/>
  <c r="H2251" i="23"/>
  <c r="G669" i="23"/>
  <c r="F805" i="23"/>
  <c r="C1375" i="23"/>
  <c r="E2175" i="23"/>
  <c r="G1686" i="23"/>
  <c r="G2810" i="23"/>
  <c r="H1940" i="23"/>
  <c r="G1642" i="23"/>
  <c r="D1352" i="23"/>
  <c r="H903" i="23"/>
  <c r="E288" i="23"/>
  <c r="H2937" i="23"/>
  <c r="E2084" i="23"/>
  <c r="A1016" i="23"/>
  <c r="C74" i="23"/>
  <c r="A104" i="23"/>
  <c r="C329" i="23"/>
  <c r="G231" i="22"/>
  <c r="C2009" i="23"/>
  <c r="A107" i="23"/>
  <c r="D2274" i="23"/>
  <c r="E616" i="23"/>
  <c r="D1671" i="23"/>
  <c r="E350" i="22"/>
  <c r="A1730" i="23"/>
  <c r="F2878" i="23"/>
  <c r="B285" i="23"/>
  <c r="G2048" i="23"/>
  <c r="D1340" i="23"/>
  <c r="G359" i="23"/>
  <c r="C1099" i="23"/>
  <c r="H2705" i="23"/>
  <c r="H1651" i="23"/>
  <c r="A738" i="23"/>
  <c r="F1984" i="23"/>
  <c r="E1288" i="23"/>
  <c r="H1253" i="23"/>
  <c r="A476" i="23"/>
  <c r="D1923" i="23"/>
  <c r="G265" i="23"/>
  <c r="C2316" i="23"/>
  <c r="F1448" i="23"/>
  <c r="E1673" i="23"/>
  <c r="C680" i="23"/>
  <c r="G1759" i="23"/>
  <c r="B1229" i="23"/>
  <c r="F1444" i="23"/>
  <c r="A2207" i="23"/>
  <c r="D251" i="22"/>
  <c r="G1071" i="23"/>
  <c r="F1293" i="23"/>
  <c r="A205" i="23"/>
  <c r="D325" i="23"/>
  <c r="F2904" i="23"/>
  <c r="G2836" i="23"/>
  <c r="C1320" i="23"/>
  <c r="E310" i="22"/>
  <c r="B293" i="23"/>
  <c r="G2649" i="23"/>
  <c r="F1983" i="23"/>
  <c r="H2098" i="23"/>
  <c r="G489" i="23"/>
  <c r="A656" i="23"/>
  <c r="D1223" i="23"/>
  <c r="F1345" i="23"/>
  <c r="C1360" i="23"/>
  <c r="D303" i="22"/>
  <c r="A639" i="23"/>
  <c r="A877" i="23"/>
  <c r="C964" i="23"/>
  <c r="G1539" i="23"/>
  <c r="B1439" i="23"/>
  <c r="H342" i="23"/>
  <c r="G2282" i="23"/>
  <c r="D1586" i="23"/>
  <c r="B1700" i="23"/>
  <c r="C338" i="23"/>
  <c r="D491" i="23"/>
  <c r="E1595" i="23"/>
  <c r="C262" i="23"/>
  <c r="E583" i="23"/>
  <c r="E207" i="22"/>
  <c r="H145" i="23"/>
  <c r="G1529" i="23"/>
  <c r="A745" i="23"/>
  <c r="E850" i="23"/>
  <c r="H2111" i="23"/>
  <c r="G127" i="22"/>
  <c r="H2848" i="23"/>
  <c r="G1405" i="23"/>
  <c r="H64" i="22"/>
  <c r="E1024" i="23"/>
  <c r="G1633" i="23"/>
  <c r="H1979" i="23"/>
  <c r="F1892" i="23"/>
  <c r="D1517" i="23"/>
  <c r="C742" i="23"/>
  <c r="D77" i="23"/>
  <c r="H2922" i="23"/>
  <c r="D9" i="22"/>
  <c r="A2234" i="23"/>
  <c r="E1292" i="23"/>
  <c r="B1877" i="23"/>
  <c r="H2891" i="23"/>
  <c r="F779" i="23"/>
  <c r="F2278" i="23"/>
  <c r="G527" i="23"/>
  <c r="D116" i="23"/>
  <c r="G2448" i="23"/>
  <c r="G2107" i="23"/>
  <c r="F2833" i="23"/>
  <c r="D1350" i="23"/>
  <c r="D991" i="23"/>
  <c r="G2252" i="23"/>
  <c r="C2295" i="23"/>
  <c r="F2177" i="23"/>
  <c r="E320" i="23"/>
  <c r="H691" i="23"/>
  <c r="B1868" i="23"/>
  <c r="D509" i="23"/>
  <c r="D1693" i="23"/>
  <c r="F61" i="22"/>
  <c r="C2081" i="23"/>
  <c r="F189" i="23"/>
  <c r="H480" i="23"/>
  <c r="A1607" i="23"/>
  <c r="C1269" i="23"/>
  <c r="H772" i="23"/>
  <c r="A387" i="22"/>
  <c r="H1678" i="23"/>
  <c r="F1004" i="23"/>
  <c r="C2123" i="23"/>
  <c r="G168" i="22"/>
  <c r="D1734" i="23"/>
  <c r="C15" i="22"/>
  <c r="D487" i="23"/>
  <c r="E1817" i="23"/>
  <c r="F987" i="23"/>
  <c r="B707" i="23"/>
  <c r="A971" i="23"/>
  <c r="F296" i="23"/>
  <c r="B1799" i="23"/>
  <c r="B875" i="23"/>
  <c r="G1726" i="23"/>
  <c r="E1226" i="23"/>
  <c r="D621" i="23"/>
  <c r="B1960" i="23"/>
  <c r="D292" i="22"/>
  <c r="H2629" i="23"/>
  <c r="B1573" i="23"/>
  <c r="C381" i="23"/>
  <c r="G4" i="23"/>
  <c r="F62" i="22"/>
  <c r="C1987" i="23"/>
  <c r="D723" i="23"/>
  <c r="G2923" i="23"/>
  <c r="D49" i="22"/>
  <c r="A2302" i="23"/>
  <c r="H2069" i="23"/>
  <c r="H2825" i="23"/>
  <c r="E1260" i="23"/>
  <c r="H2984" i="23"/>
  <c r="C881" i="23"/>
  <c r="G427" i="23"/>
  <c r="D2253" i="23"/>
  <c r="B2104" i="23"/>
  <c r="H2124" i="23"/>
  <c r="A1279" i="23"/>
  <c r="D1061" i="23"/>
  <c r="F2157" i="23"/>
  <c r="A1858" i="23"/>
  <c r="E1073" i="23"/>
  <c r="C1947" i="23"/>
  <c r="C546" i="23"/>
  <c r="E40" i="23"/>
  <c r="C407" i="23"/>
  <c r="B873" i="23"/>
  <c r="F274" i="22"/>
  <c r="E876" i="23"/>
  <c r="E1969" i="23"/>
  <c r="G257" i="23"/>
  <c r="C28" i="23"/>
  <c r="D2147" i="23"/>
  <c r="H448" i="23"/>
  <c r="A2151" i="23"/>
  <c r="E1168" i="23"/>
  <c r="C458" i="23"/>
  <c r="F1207" i="23"/>
  <c r="D221" i="22"/>
  <c r="E792" i="23"/>
  <c r="F1866" i="23"/>
  <c r="A778" i="23"/>
  <c r="D345" i="23"/>
  <c r="C285" i="22"/>
  <c r="H1998" i="23"/>
  <c r="F2386" i="23"/>
  <c r="A1751" i="23"/>
  <c r="F1090" i="23"/>
  <c r="C2183" i="23"/>
  <c r="E127" i="22"/>
  <c r="F29" i="23"/>
  <c r="F880" i="23"/>
  <c r="B2007" i="23"/>
  <c r="G1684" i="23"/>
  <c r="E1459" i="23"/>
  <c r="A1715" i="23"/>
  <c r="B86" i="23"/>
  <c r="A2128" i="23"/>
  <c r="E848" i="23"/>
  <c r="G189" i="23"/>
  <c r="C1438" i="23"/>
  <c r="G2069" i="23"/>
  <c r="F385" i="22"/>
  <c r="B282" i="23"/>
  <c r="D294" i="23"/>
  <c r="H1515" i="23"/>
  <c r="G156" i="23"/>
  <c r="C7" i="23"/>
  <c r="G2961" i="23"/>
  <c r="H2029" i="23"/>
  <c r="G2866" i="23"/>
  <c r="H1281" i="23"/>
  <c r="H2055" i="23"/>
  <c r="H1417" i="23"/>
  <c r="F2969" i="23"/>
  <c r="C1728" i="23"/>
  <c r="G2368" i="23"/>
  <c r="B150" i="23"/>
  <c r="D1114" i="23"/>
  <c r="E602" i="23"/>
  <c r="A866" i="23"/>
  <c r="H1167" i="23"/>
  <c r="G322" i="23"/>
  <c r="G454" i="23"/>
  <c r="B1262" i="23"/>
  <c r="E1562" i="23"/>
  <c r="C1583" i="23"/>
  <c r="A932" i="23"/>
  <c r="G2385" i="23"/>
  <c r="F245" i="22"/>
  <c r="A1913" i="23"/>
  <c r="H108" i="23"/>
  <c r="B314" i="23"/>
  <c r="C1082" i="23"/>
  <c r="E344" i="23"/>
  <c r="H901" i="23"/>
  <c r="E1876" i="23"/>
  <c r="D958" i="23"/>
  <c r="H2058" i="23"/>
  <c r="D118" i="23"/>
  <c r="G502" i="23"/>
  <c r="H1867" i="23"/>
  <c r="B1846" i="23"/>
  <c r="B742" i="23"/>
  <c r="D1183" i="23"/>
  <c r="C651" i="23"/>
  <c r="F1275" i="23"/>
  <c r="F2609" i="23"/>
  <c r="A1139" i="23"/>
  <c r="G34" i="23"/>
  <c r="H2441" i="23"/>
  <c r="C2258" i="23"/>
  <c r="B378" i="23"/>
  <c r="F103" i="23"/>
  <c r="G1620" i="23"/>
  <c r="H2807" i="23"/>
  <c r="G2599" i="23"/>
  <c r="F1215" i="23"/>
  <c r="B1692" i="23"/>
  <c r="F10" i="22"/>
  <c r="D42" i="23"/>
  <c r="E1497" i="23"/>
  <c r="H948" i="23"/>
  <c r="D422" i="23"/>
  <c r="B1734" i="23"/>
  <c r="G2775" i="23"/>
  <c r="E678" i="23"/>
  <c r="A338" i="23"/>
  <c r="H759" i="23"/>
  <c r="E329" i="22"/>
  <c r="H2009" i="23"/>
  <c r="E1042" i="23"/>
  <c r="B1650" i="23"/>
  <c r="C591" i="23"/>
  <c r="G1432" i="23"/>
  <c r="G2426" i="23"/>
  <c r="G2384" i="23"/>
  <c r="H953" i="23"/>
  <c r="D1200" i="23"/>
  <c r="A405" i="22"/>
  <c r="C587" i="23"/>
  <c r="A1181" i="23"/>
  <c r="A1931" i="23"/>
  <c r="H1627" i="23"/>
  <c r="E828" i="23"/>
  <c r="D299" i="22"/>
  <c r="E1286" i="23"/>
  <c r="G1591" i="23"/>
  <c r="H2724" i="23"/>
  <c r="G1781" i="23"/>
  <c r="A365" i="23"/>
  <c r="B114" i="23"/>
  <c r="B66" i="23"/>
  <c r="A2123" i="23"/>
  <c r="A1153" i="23"/>
  <c r="G991" i="23"/>
  <c r="G1107" i="23"/>
  <c r="G330" i="23"/>
  <c r="D113" i="22"/>
  <c r="G289" i="23"/>
  <c r="F126" i="23"/>
  <c r="B713" i="23"/>
  <c r="G118" i="23"/>
  <c r="G2215" i="23"/>
  <c r="D1965" i="23"/>
  <c r="A634" i="23"/>
  <c r="C82" i="23"/>
  <c r="G2989" i="23"/>
  <c r="E1221" i="23"/>
  <c r="F1331" i="23"/>
  <c r="F509" i="23"/>
  <c r="G197" i="23"/>
  <c r="A1001" i="23"/>
  <c r="D323" i="22"/>
  <c r="B1513" i="23"/>
  <c r="B77" i="23"/>
  <c r="A209" i="23"/>
  <c r="H2172" i="23"/>
  <c r="H65" i="23"/>
  <c r="H16" i="22"/>
  <c r="A293" i="22"/>
  <c r="B782" i="23"/>
  <c r="E1743" i="23"/>
  <c r="G1556" i="23"/>
  <c r="D6" i="22"/>
  <c r="H1949" i="23"/>
  <c r="G2165" i="23"/>
  <c r="A1797" i="23"/>
  <c r="E491" i="23"/>
  <c r="G2418" i="23"/>
  <c r="A432" i="23"/>
  <c r="D374" i="23"/>
  <c r="B1575" i="23"/>
  <c r="A359" i="23"/>
  <c r="A985" i="23"/>
  <c r="B1790" i="23"/>
  <c r="H2510" i="23"/>
  <c r="B655" i="23"/>
  <c r="H16" i="23"/>
  <c r="F2888" i="23"/>
  <c r="B690" i="23"/>
  <c r="F849" i="23"/>
  <c r="F2922" i="23"/>
  <c r="E1873" i="23"/>
  <c r="G1864" i="23"/>
  <c r="H1629" i="23"/>
  <c r="H798" i="23"/>
  <c r="B264" i="22"/>
  <c r="C127" i="22"/>
  <c r="C404" i="23"/>
  <c r="F2115" i="23"/>
  <c r="A2003" i="23"/>
  <c r="F1525" i="23"/>
  <c r="B2192" i="23"/>
  <c r="B446" i="23"/>
  <c r="G410" i="23"/>
  <c r="C531" i="23"/>
  <c r="E1233" i="23"/>
  <c r="F64" i="23"/>
  <c r="A2086" i="23"/>
  <c r="G2021" i="23"/>
  <c r="B1092" i="23"/>
  <c r="D216" i="22"/>
  <c r="D2024" i="23"/>
  <c r="A2204" i="23"/>
  <c r="E1078" i="23"/>
  <c r="B2128" i="23"/>
  <c r="C1539" i="23"/>
  <c r="G400" i="23"/>
  <c r="G2611" i="23"/>
  <c r="G2565" i="23"/>
  <c r="B1954" i="23"/>
  <c r="H406" i="23"/>
  <c r="G1177" i="23"/>
  <c r="D492" i="23"/>
  <c r="D1538" i="23"/>
  <c r="G1576" i="23"/>
  <c r="F1493" i="23"/>
  <c r="E215" i="22"/>
  <c r="G66" i="22"/>
  <c r="G354" i="22"/>
  <c r="C314" i="23"/>
  <c r="E1536" i="23"/>
  <c r="F2917" i="23"/>
  <c r="A199" i="23"/>
  <c r="B111" i="23"/>
  <c r="B1079" i="23"/>
  <c r="C1881" i="23"/>
  <c r="H1609" i="23"/>
  <c r="G1000" i="23"/>
  <c r="A228" i="23"/>
  <c r="C1214" i="23"/>
  <c r="A479" i="23"/>
  <c r="F569" i="23"/>
  <c r="B2203" i="23"/>
  <c r="H1554" i="23"/>
  <c r="C1464" i="23"/>
  <c r="F131" i="22"/>
  <c r="C375" i="22"/>
  <c r="H1233" i="23"/>
  <c r="F2351" i="23"/>
  <c r="A418" i="23"/>
  <c r="B1430" i="23"/>
  <c r="E473" i="23"/>
  <c r="H676" i="23"/>
  <c r="G89" i="22"/>
  <c r="B360" i="22"/>
  <c r="F153" i="23"/>
  <c r="F2800" i="23"/>
  <c r="F188" i="23"/>
  <c r="F253" i="23"/>
  <c r="B517" i="23"/>
  <c r="D264" i="22"/>
  <c r="A1646" i="23"/>
  <c r="H1067" i="23"/>
  <c r="H2838" i="23"/>
  <c r="C117" i="23"/>
  <c r="B358" i="23"/>
  <c r="A421" i="22"/>
  <c r="F91" i="22"/>
  <c r="H2247" i="23"/>
  <c r="D2152" i="23"/>
  <c r="C79" i="22"/>
  <c r="B614" i="23"/>
  <c r="F654" i="23"/>
  <c r="G245" i="23"/>
  <c r="A350" i="22"/>
  <c r="A1752" i="23"/>
  <c r="D1670" i="23"/>
  <c r="B1112" i="23"/>
  <c r="D2013" i="23"/>
  <c r="G116" i="22"/>
  <c r="B2073" i="23"/>
  <c r="F837" i="23"/>
  <c r="E357" i="23"/>
  <c r="C910" i="23"/>
  <c r="G194" i="23"/>
  <c r="A617" i="23"/>
  <c r="G1806" i="23"/>
  <c r="A308" i="23"/>
  <c r="A199" i="22"/>
  <c r="B1024" i="23"/>
  <c r="A1920" i="23"/>
  <c r="B1317" i="23"/>
  <c r="F2856" i="23"/>
  <c r="F745" i="23"/>
  <c r="C1182" i="23"/>
  <c r="H1702" i="23"/>
  <c r="H1268" i="23"/>
  <c r="C1502" i="23"/>
  <c r="B1542" i="23"/>
  <c r="H766" i="23"/>
  <c r="D1037" i="23"/>
  <c r="D1742" i="23"/>
  <c r="A1938" i="23"/>
  <c r="A1979" i="23"/>
  <c r="B613" i="23"/>
  <c r="C1155" i="23"/>
  <c r="E1257" i="23"/>
  <c r="D1039" i="23"/>
  <c r="D2080" i="23"/>
  <c r="H2892" i="23"/>
  <c r="C619" i="23"/>
  <c r="F2410" i="23"/>
  <c r="A568" i="23"/>
  <c r="G1114" i="23"/>
  <c r="D2279" i="23"/>
  <c r="D160" i="22"/>
  <c r="H1376" i="23"/>
  <c r="A1905" i="23"/>
  <c r="B2257" i="23"/>
  <c r="B1386" i="23"/>
  <c r="H387" i="23"/>
  <c r="F2675" i="23"/>
  <c r="F2390" i="23"/>
  <c r="D363" i="22"/>
  <c r="F207" i="23"/>
  <c r="H1382" i="23"/>
  <c r="G1944" i="23"/>
  <c r="C542" i="23"/>
  <c r="F1073" i="23"/>
  <c r="B67" i="22"/>
  <c r="F132" i="23"/>
  <c r="D885" i="23"/>
  <c r="A913" i="23"/>
  <c r="H2180" i="23"/>
  <c r="E936" i="23"/>
  <c r="C513" i="23"/>
  <c r="C801" i="23"/>
  <c r="A1464" i="23"/>
  <c r="A2253" i="23"/>
  <c r="F2498" i="23"/>
  <c r="H2173" i="23"/>
  <c r="F172" i="23"/>
  <c r="G328" i="22"/>
  <c r="C1525" i="23"/>
  <c r="A222" i="23"/>
  <c r="D93" i="23"/>
  <c r="B673" i="23"/>
  <c r="G482" i="23"/>
  <c r="G344" i="23"/>
  <c r="E715" i="23"/>
  <c r="H327" i="23"/>
  <c r="H1534" i="23"/>
  <c r="G2429" i="23"/>
  <c r="D229" i="22"/>
  <c r="B326" i="23"/>
  <c r="H827" i="23"/>
  <c r="A754" i="23"/>
  <c r="D294" i="22"/>
  <c r="A1037" i="23"/>
  <c r="H1727" i="23"/>
  <c r="A23" i="22"/>
  <c r="C2173" i="23"/>
  <c r="A137" i="22"/>
  <c r="C1302" i="23"/>
  <c r="F467" i="23"/>
  <c r="H2506" i="23"/>
  <c r="D2206" i="23"/>
  <c r="B1460" i="23"/>
  <c r="A122" i="22"/>
  <c r="E275" i="22"/>
  <c r="A151" i="22"/>
  <c r="C951" i="23"/>
  <c r="G530" i="23"/>
  <c r="F1688" i="23"/>
  <c r="D2187" i="23"/>
  <c r="C8" i="23"/>
  <c r="A1786" i="23"/>
  <c r="H1032" i="23"/>
  <c r="A177" i="22"/>
  <c r="G1343" i="23"/>
  <c r="E745" i="23"/>
  <c r="F2192" i="23"/>
  <c r="C1254" i="23"/>
  <c r="C1749" i="23"/>
  <c r="F2166" i="23"/>
  <c r="G321" i="22"/>
  <c r="F949" i="23"/>
  <c r="F2914" i="23"/>
  <c r="G25" i="23"/>
  <c r="E841" i="23"/>
  <c r="D247" i="23"/>
  <c r="C1274" i="23"/>
  <c r="C1211" i="23"/>
  <c r="A349" i="22"/>
  <c r="G1482" i="23"/>
  <c r="E2078" i="23"/>
  <c r="E218" i="22"/>
  <c r="H786" i="23"/>
  <c r="G96" i="23"/>
  <c r="D157" i="23"/>
  <c r="G1118" i="23"/>
  <c r="F187" i="23"/>
  <c r="F105" i="22"/>
  <c r="A355" i="23"/>
  <c r="F507" i="23"/>
  <c r="A1269" i="23"/>
  <c r="D578" i="23"/>
  <c r="C1398" i="23"/>
  <c r="F175" i="23"/>
  <c r="D245" i="22"/>
  <c r="B483" i="23"/>
  <c r="H2178" i="23"/>
  <c r="A106" i="22"/>
  <c r="D1046" i="23"/>
  <c r="F1784" i="23"/>
  <c r="A1753" i="23"/>
  <c r="H614" i="23"/>
  <c r="H2188" i="23"/>
  <c r="F1340" i="23"/>
  <c r="D383" i="23"/>
  <c r="D1661" i="23"/>
  <c r="C1137" i="23"/>
  <c r="D126" i="22"/>
  <c r="C565" i="23"/>
  <c r="C946" i="23"/>
  <c r="H1013" i="23"/>
  <c r="E791" i="23"/>
  <c r="F1068" i="23"/>
  <c r="A773" i="23"/>
  <c r="B1116" i="23"/>
  <c r="A1716" i="23"/>
  <c r="G1193" i="23"/>
  <c r="G1521" i="23"/>
  <c r="C1482" i="23"/>
  <c r="A1168" i="23"/>
  <c r="H1497" i="23"/>
  <c r="F264" i="23"/>
  <c r="B902" i="23"/>
  <c r="G2307" i="23"/>
  <c r="F1615" i="23"/>
  <c r="B185" i="22"/>
  <c r="E1917" i="23"/>
  <c r="D535" i="23"/>
  <c r="A1179" i="23"/>
  <c r="A451" i="23"/>
  <c r="B426" i="23"/>
  <c r="H2986" i="23"/>
  <c r="D764" i="23"/>
  <c r="D2273" i="23"/>
  <c r="C178" i="23"/>
  <c r="H373" i="23"/>
  <c r="C1403" i="23"/>
  <c r="A1311" i="23"/>
  <c r="D275" i="22"/>
  <c r="F2979" i="23"/>
  <c r="C1291" i="23"/>
  <c r="C1317" i="23"/>
  <c r="D511" i="23"/>
  <c r="E157" i="22"/>
  <c r="C1725" i="23"/>
  <c r="B1568" i="23"/>
  <c r="G2431" i="23"/>
  <c r="C354" i="23"/>
  <c r="E1715" i="23"/>
  <c r="D1361" i="23"/>
  <c r="E257" i="23"/>
  <c r="D679" i="23"/>
  <c r="F2291" i="23"/>
  <c r="G19" i="22"/>
  <c r="D1556" i="23"/>
  <c r="H381" i="23"/>
  <c r="F774" i="23"/>
  <c r="C60" i="23"/>
  <c r="G1222" i="23"/>
  <c r="B2111" i="23"/>
  <c r="C852" i="23"/>
  <c r="F1590" i="23"/>
  <c r="C228" i="23"/>
  <c r="H2056" i="23"/>
  <c r="C1594" i="23"/>
  <c r="B2028" i="23"/>
  <c r="B504" i="23"/>
  <c r="E1414" i="23"/>
  <c r="B270" i="22"/>
  <c r="F579" i="23"/>
  <c r="C227" i="23"/>
  <c r="A807" i="23"/>
  <c r="A567" i="23"/>
  <c r="F370" i="22"/>
  <c r="H307" i="23"/>
  <c r="A2011" i="23"/>
  <c r="F2221" i="23"/>
  <c r="H1195" i="23"/>
  <c r="B2262" i="23"/>
  <c r="G1547" i="23"/>
  <c r="B992" i="23"/>
  <c r="G1267" i="23"/>
  <c r="C1978" i="23"/>
  <c r="C1924" i="23"/>
  <c r="B2064" i="23"/>
  <c r="D461" i="23"/>
  <c r="E552" i="23"/>
  <c r="A406" i="23"/>
  <c r="F878" i="23"/>
  <c r="A1722" i="23"/>
  <c r="C1280" i="23"/>
  <c r="H1475" i="23"/>
  <c r="F1546" i="23"/>
  <c r="F1838" i="23"/>
  <c r="C2265" i="23"/>
  <c r="C725" i="23"/>
  <c r="B465" i="23"/>
  <c r="G490" i="23"/>
  <c r="A481" i="23"/>
  <c r="G1446" i="23"/>
  <c r="E1981" i="23"/>
  <c r="C395" i="23"/>
  <c r="D401" i="23"/>
  <c r="H802" i="23"/>
  <c r="G450" i="23"/>
  <c r="B1132" i="23"/>
  <c r="G707" i="23"/>
  <c r="C2003" i="23"/>
  <c r="D2070" i="23"/>
  <c r="H2273" i="23"/>
  <c r="E1105" i="23"/>
  <c r="H2128" i="23"/>
  <c r="B1297" i="23"/>
  <c r="A833" i="23"/>
  <c r="H1927" i="23"/>
  <c r="A1270" i="23"/>
  <c r="E264" i="22"/>
  <c r="E43" i="23"/>
  <c r="A430" i="23"/>
  <c r="A2182" i="23"/>
  <c r="A1691" i="23"/>
  <c r="F248" i="23"/>
  <c r="C82" i="22"/>
  <c r="E405" i="23"/>
  <c r="H1091" i="23"/>
  <c r="B1257" i="23"/>
  <c r="H1935" i="23"/>
  <c r="D331" i="23"/>
  <c r="H378" i="23"/>
  <c r="C950" i="23"/>
  <c r="H2946" i="23"/>
  <c r="D194" i="22"/>
  <c r="G219" i="23"/>
  <c r="H1915" i="23"/>
  <c r="E99" i="23"/>
  <c r="A1025" i="23"/>
  <c r="D231" i="23"/>
  <c r="D1326" i="23"/>
  <c r="C1497" i="23"/>
  <c r="D2168" i="23"/>
  <c r="E839" i="23"/>
  <c r="C33" i="23"/>
  <c r="G856" i="23"/>
  <c r="H1156" i="23"/>
  <c r="E92" i="22"/>
  <c r="A1343" i="23"/>
  <c r="H1667" i="23"/>
  <c r="B1160" i="23"/>
  <c r="H34" i="22"/>
  <c r="D1020" i="23"/>
  <c r="E718" i="23"/>
  <c r="F2482" i="23"/>
  <c r="H491" i="23"/>
  <c r="A1676" i="23"/>
  <c r="C1821" i="23"/>
  <c r="D1964" i="23"/>
  <c r="F2760" i="23"/>
  <c r="F1826" i="23"/>
  <c r="E550" i="23"/>
  <c r="H219" i="23"/>
  <c r="H2829" i="23"/>
  <c r="C1061" i="23"/>
  <c r="H1413" i="23"/>
  <c r="E2158" i="23"/>
  <c r="E2272" i="23"/>
  <c r="A1359" i="23"/>
  <c r="F2375" i="23"/>
  <c r="E308" i="23"/>
  <c r="D124" i="23"/>
  <c r="G2917" i="23"/>
  <c r="C1199" i="23"/>
  <c r="C1639" i="23"/>
  <c r="F1870" i="23"/>
  <c r="E1524" i="23"/>
  <c r="A1621" i="23"/>
  <c r="C2186" i="23"/>
  <c r="H70" i="23"/>
  <c r="D1596" i="23"/>
  <c r="G686" i="23"/>
  <c r="H210" i="23"/>
  <c r="F1185" i="23"/>
  <c r="B1854" i="23"/>
  <c r="C481" i="23"/>
  <c r="G238" i="23"/>
  <c r="G1439" i="23"/>
  <c r="D714" i="23"/>
  <c r="B1759" i="23"/>
  <c r="G2470" i="23"/>
  <c r="F227" i="23"/>
  <c r="G2816" i="23"/>
  <c r="D1606" i="23"/>
  <c r="H983" i="23"/>
  <c r="E125" i="22"/>
  <c r="J4" i="25" l="1"/>
  <c r="D3" i="25" s="1"/>
  <c r="D5" i="25" s="1"/>
</calcChain>
</file>

<file path=xl/sharedStrings.xml><?xml version="1.0" encoding="utf-8"?>
<sst xmlns="http://schemas.openxmlformats.org/spreadsheetml/2006/main" count="385" uniqueCount="217">
  <si>
    <t>LOT</t>
  </si>
  <si>
    <t>КАССА за период:</t>
  </si>
  <si>
    <t>Остаток на начало дня</t>
  </si>
  <si>
    <t>Х</t>
  </si>
  <si>
    <t>Итого за</t>
  </si>
  <si>
    <t>Остаток на конец дня</t>
  </si>
  <si>
    <t>Наличные деньги</t>
  </si>
  <si>
    <t>№ п/п</t>
  </si>
  <si>
    <t>Дата</t>
  </si>
  <si>
    <t>Категория</t>
  </si>
  <si>
    <t>Приход</t>
  </si>
  <si>
    <t>Расход</t>
  </si>
  <si>
    <t>Коментарии</t>
  </si>
  <si>
    <t>Входит в указанный период</t>
  </si>
  <si>
    <t>Штрих-код</t>
  </si>
  <si>
    <t>Артикул</t>
  </si>
  <si>
    <t>Краткое наименование</t>
  </si>
  <si>
    <t>Полное наименование</t>
  </si>
  <si>
    <t>Ед. изм.</t>
  </si>
  <si>
    <t>Код</t>
  </si>
  <si>
    <t>№ сертификата</t>
  </si>
  <si>
    <t xml:space="preserve">Действителен </t>
  </si>
  <si>
    <t>НАЧАЛЬНЫЙ ОСТАТОК</t>
  </si>
  <si>
    <t>Безнал/Банк карта</t>
  </si>
  <si>
    <t>ИП Тажимамметова QR</t>
  </si>
  <si>
    <t>ИП Анартаева QR</t>
  </si>
  <si>
    <t>ИП Искакова QR</t>
  </si>
  <si>
    <t>ИП Вахапова QR</t>
  </si>
  <si>
    <t>ИП Аманжулова QR</t>
  </si>
  <si>
    <t>ИП Абдурахманова QR</t>
  </si>
  <si>
    <t>ТОО Аль Хадия QR</t>
  </si>
  <si>
    <t>ИП Абдурахманова</t>
  </si>
  <si>
    <t>ИП Бекзатова QR</t>
  </si>
  <si>
    <t xml:space="preserve">ИП Назаров </t>
  </si>
  <si>
    <t>ИП Болат QR</t>
  </si>
  <si>
    <t xml:space="preserve">Инкасация в центральную кассу Астаны </t>
  </si>
  <si>
    <t>ТОО Asyl pharm</t>
  </si>
  <si>
    <t>ТД Жусан</t>
  </si>
  <si>
    <t>Физ лицо Интернет Магазин QR</t>
  </si>
  <si>
    <t>ИП Абдикулова</t>
  </si>
  <si>
    <t>ИП Орынбаева</t>
  </si>
  <si>
    <t>ИП Айтходжаева</t>
  </si>
  <si>
    <t>МХК Шымкент</t>
  </si>
  <si>
    <t>Физ лицо сотрудник QR</t>
  </si>
  <si>
    <t>ИП Сухрабджан</t>
  </si>
  <si>
    <t>доставка</t>
  </si>
  <si>
    <t>ИП Нур Фарм</t>
  </si>
  <si>
    <t>туркестан</t>
  </si>
  <si>
    <t>ИП Сабиржанова</t>
  </si>
  <si>
    <t>ИП Байталиева QR</t>
  </si>
  <si>
    <t>сарыагаш</t>
  </si>
  <si>
    <t>ИП Гульмира QR</t>
  </si>
  <si>
    <t>ИП Тажимаметова QR</t>
  </si>
  <si>
    <t xml:space="preserve">ИП Мадина </t>
  </si>
  <si>
    <t>ИП Али фарм QR</t>
  </si>
  <si>
    <t>ИП Юлдашев QR</t>
  </si>
  <si>
    <t>ТОО Қыран</t>
  </si>
  <si>
    <t>ИП Farm city</t>
  </si>
  <si>
    <t xml:space="preserve">ИП Салметова </t>
  </si>
  <si>
    <t>ИП Ильясов QR</t>
  </si>
  <si>
    <t>ТОО VITA плюс</t>
  </si>
  <si>
    <t>Мед центр Тоскын QR</t>
  </si>
  <si>
    <t>ТОО ANADOLU MED</t>
  </si>
  <si>
    <t>Туркестан</t>
  </si>
  <si>
    <t>ИП Мирсалиев QR</t>
  </si>
  <si>
    <t>ИП Абдурахманова ГТ QR</t>
  </si>
  <si>
    <t>ТОО SENIM - AL</t>
  </si>
  <si>
    <t>заправка и покупка катриджа</t>
  </si>
  <si>
    <t>старая накл 4865</t>
  </si>
  <si>
    <t>нак 16</t>
  </si>
  <si>
    <t>нак 13</t>
  </si>
  <si>
    <t>нак 14</t>
  </si>
  <si>
    <t>нак 67</t>
  </si>
  <si>
    <t>нак 66</t>
  </si>
  <si>
    <t>нак 95</t>
  </si>
  <si>
    <t>нак 96</t>
  </si>
  <si>
    <t>нак 97</t>
  </si>
  <si>
    <t>нак104</t>
  </si>
  <si>
    <t>накл105</t>
  </si>
  <si>
    <t>накл106</t>
  </si>
  <si>
    <t>накл 107</t>
  </si>
  <si>
    <t>накл 5431 старая</t>
  </si>
  <si>
    <t>накл 114</t>
  </si>
  <si>
    <t>накл 115</t>
  </si>
  <si>
    <t>накл 116</t>
  </si>
  <si>
    <t>накл 117</t>
  </si>
  <si>
    <t>накл 121</t>
  </si>
  <si>
    <t>накл 21</t>
  </si>
  <si>
    <t>Физ лицо запчасти QR</t>
  </si>
  <si>
    <t>накл124</t>
  </si>
  <si>
    <t>накл126</t>
  </si>
  <si>
    <t>накл 123</t>
  </si>
  <si>
    <t>накл 119</t>
  </si>
  <si>
    <t>накл  111</t>
  </si>
  <si>
    <t>накл 112</t>
  </si>
  <si>
    <t>накл 5163</t>
  </si>
  <si>
    <t>накл 5714</t>
  </si>
  <si>
    <t>ТОО  INCOMED QR</t>
  </si>
  <si>
    <t>ТОО Анар медикал QR</t>
  </si>
  <si>
    <t>ИП Smart pharm QR</t>
  </si>
  <si>
    <t>накл 5712</t>
  </si>
  <si>
    <t>накл 135</t>
  </si>
  <si>
    <t>накл 65</t>
  </si>
  <si>
    <t>ИП Мир здоровья  QR</t>
  </si>
  <si>
    <t>накл 90</t>
  </si>
  <si>
    <t>ТОО Аршат фарм QR</t>
  </si>
  <si>
    <t>накл 109</t>
  </si>
  <si>
    <t>накл 158</t>
  </si>
  <si>
    <t>накл 157</t>
  </si>
  <si>
    <t>ТОО AL MAAD QR</t>
  </si>
  <si>
    <t>накл 154</t>
  </si>
  <si>
    <t>накл 20</t>
  </si>
  <si>
    <t>накл 181</t>
  </si>
  <si>
    <t>накл 177</t>
  </si>
  <si>
    <t>sem 159</t>
  </si>
  <si>
    <t>накл 100</t>
  </si>
  <si>
    <t>накл 189</t>
  </si>
  <si>
    <t>ИП Имран</t>
  </si>
  <si>
    <t>накл 193</t>
  </si>
  <si>
    <t>накл191</t>
  </si>
  <si>
    <t>накл 192</t>
  </si>
  <si>
    <t>накл 185</t>
  </si>
  <si>
    <t>накл 184</t>
  </si>
  <si>
    <t>накл 182</t>
  </si>
  <si>
    <t>накл 183</t>
  </si>
  <si>
    <t>накл 207</t>
  </si>
  <si>
    <t>накл 188</t>
  </si>
  <si>
    <t>накл 186</t>
  </si>
  <si>
    <t>ИП ELECTO</t>
  </si>
  <si>
    <t>накл 3333</t>
  </si>
  <si>
    <t>остат 237</t>
  </si>
  <si>
    <t>накл 210</t>
  </si>
  <si>
    <t>накл 211</t>
  </si>
  <si>
    <t>накл 198</t>
  </si>
  <si>
    <t>накл 206</t>
  </si>
  <si>
    <t>накл 215</t>
  </si>
  <si>
    <t>накл 196</t>
  </si>
  <si>
    <t>накл195</t>
  </si>
  <si>
    <t>накл 194</t>
  </si>
  <si>
    <t>накл 202</t>
  </si>
  <si>
    <t>накл 4843</t>
  </si>
  <si>
    <t>накл 222</t>
  </si>
  <si>
    <t>накл226</t>
  </si>
  <si>
    <t>накл 225</t>
  </si>
  <si>
    <t>накл 5116</t>
  </si>
  <si>
    <t>накл 220</t>
  </si>
  <si>
    <t>накл 249</t>
  </si>
  <si>
    <t>накл 251</t>
  </si>
  <si>
    <t>накл 252</t>
  </si>
  <si>
    <t xml:space="preserve"> накл 250</t>
  </si>
  <si>
    <t>ост 4937</t>
  </si>
  <si>
    <t>накл 277</t>
  </si>
  <si>
    <t>ТОО Al-KausarPharm QR</t>
  </si>
  <si>
    <t xml:space="preserve"> нак 286</t>
  </si>
  <si>
    <t>накл 5356</t>
  </si>
  <si>
    <t>накл 5677</t>
  </si>
  <si>
    <t xml:space="preserve"> накл</t>
  </si>
  <si>
    <t>накл 285</t>
  </si>
  <si>
    <t>накл 281</t>
  </si>
  <si>
    <t>накл 282</t>
  </si>
  <si>
    <t xml:space="preserve"> накл 122</t>
  </si>
  <si>
    <t>накл 179</t>
  </si>
  <si>
    <t>накл 5632</t>
  </si>
  <si>
    <t>накл 108</t>
  </si>
  <si>
    <t>ТОО INCOMED QR</t>
  </si>
  <si>
    <t>накл 156</t>
  </si>
  <si>
    <t>ТОО AISHA PHARMACY</t>
  </si>
  <si>
    <t>накл 292</t>
  </si>
  <si>
    <t>накл 294</t>
  </si>
  <si>
    <t xml:space="preserve">ТОО econompharm </t>
  </si>
  <si>
    <t>накл 299</t>
  </si>
  <si>
    <t>накл 306</t>
  </si>
  <si>
    <t>накл 155</t>
  </si>
  <si>
    <t>б/н</t>
  </si>
  <si>
    <t>остаток 1603</t>
  </si>
  <si>
    <t>накл 329</t>
  </si>
  <si>
    <t>накл 305</t>
  </si>
  <si>
    <t>накл 325</t>
  </si>
  <si>
    <t>накл 347</t>
  </si>
  <si>
    <t>накл212</t>
  </si>
  <si>
    <t>накл 348</t>
  </si>
  <si>
    <t>накл 382</t>
  </si>
  <si>
    <t>накл 379</t>
  </si>
  <si>
    <t>накл 383</t>
  </si>
  <si>
    <t>накл 381</t>
  </si>
  <si>
    <t>накл 380</t>
  </si>
  <si>
    <t>накл 324</t>
  </si>
  <si>
    <t>покупка</t>
  </si>
  <si>
    <t>ланцеты для мурат фарм</t>
  </si>
  <si>
    <t>накл 5647</t>
  </si>
  <si>
    <t>накл 363</t>
  </si>
  <si>
    <t>накл 364</t>
  </si>
  <si>
    <t>накл 357</t>
  </si>
  <si>
    <t>накл 5713</t>
  </si>
  <si>
    <t>накл 5715</t>
  </si>
  <si>
    <t>накл 406</t>
  </si>
  <si>
    <t>ост 2132</t>
  </si>
  <si>
    <t>накл 424</t>
  </si>
  <si>
    <t>накл 425</t>
  </si>
  <si>
    <t>накл 432</t>
  </si>
  <si>
    <t>ТОО НұрМед фарм</t>
  </si>
  <si>
    <t>накл 411</t>
  </si>
  <si>
    <t>накл 454</t>
  </si>
  <si>
    <t>накл 451</t>
  </si>
  <si>
    <t>накл 449</t>
  </si>
  <si>
    <t>ТОО Ерлан QR</t>
  </si>
  <si>
    <t>накл 253</t>
  </si>
  <si>
    <t>ИП НУР фарм QR</t>
  </si>
  <si>
    <t>накл 5071</t>
  </si>
  <si>
    <t>накл 489</t>
  </si>
  <si>
    <t>накл 488</t>
  </si>
  <si>
    <t>накл490</t>
  </si>
  <si>
    <t>накл 503</t>
  </si>
  <si>
    <t>ост 7192</t>
  </si>
  <si>
    <t>ИП Қыран</t>
  </si>
  <si>
    <t xml:space="preserve">ТОО НұрМедФарм </t>
  </si>
  <si>
    <t>стоянка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</si>
</sst>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mm\.yyyy"/>
  </numFmts>
  <fonts count="27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rgb="FFFFFFFF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00B050"/>
      <name val="Times New Roman"/>
      <family val="1"/>
      <charset val="204"/>
    </font>
    <font>
      <sz val="8"/>
      <name val="Arial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4F81BD"/>
        <bgColor rgb="FF4F81BD"/>
      </patternFill>
    </fill>
    <fill>
      <patternFill patternType="solid">
        <fgColor rgb="FFFF0000"/>
        <bgColor rgb="FFFF0000"/>
      </patternFill>
    </fill>
    <fill>
      <patternFill patternType="solid">
        <fgColor rgb="FFDCE6F1"/>
        <bgColor rgb="FFDCE6F1"/>
      </patternFill>
    </fill>
    <fill>
      <patternFill patternType="solid">
        <fgColor rgb="FF9BBB59"/>
        <bgColor rgb="FF9BBB59"/>
      </patternFill>
    </fill>
    <fill>
      <patternFill patternType="solid">
        <fgColor rgb="FFFFFF00"/>
        <bgColor rgb="FFDCE6F1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8" borderId="0" xfId="0" applyFont="1" applyFill="1" applyAlignment="1">
      <alignment horizontal="center" wrapText="1"/>
    </xf>
    <xf numFmtId="0" fontId="3" fillId="8" borderId="0" xfId="0" applyFont="1" applyFill="1" applyAlignment="1">
      <alignment horizontal="center"/>
    </xf>
    <xf numFmtId="49" fontId="3" fillId="8" borderId="0" xfId="0" applyNumberFormat="1" applyFont="1" applyFill="1" applyAlignment="1">
      <alignment horizontal="center" wrapText="1"/>
    </xf>
    <xf numFmtId="0" fontId="4" fillId="8" borderId="0" xfId="0" applyFont="1" applyFill="1"/>
    <xf numFmtId="0" fontId="4" fillId="0" borderId="0" xfId="0" applyFont="1"/>
    <xf numFmtId="49" fontId="2" fillId="0" borderId="0" xfId="0" applyNumberFormat="1" applyFont="1"/>
    <xf numFmtId="165" fontId="2" fillId="0" borderId="0" xfId="0" applyNumberFormat="1" applyFont="1"/>
    <xf numFmtId="164" fontId="7" fillId="3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0" fontId="6" fillId="0" borderId="0" xfId="0" applyFont="1"/>
    <xf numFmtId="0" fontId="10" fillId="2" borderId="0" xfId="0" applyFont="1" applyFill="1"/>
    <xf numFmtId="0" fontId="11" fillId="0" borderId="0" xfId="0" applyFont="1" applyAlignment="1">
      <alignment horizontal="right"/>
    </xf>
    <xf numFmtId="0" fontId="7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8" fillId="4" borderId="0" xfId="0" applyFont="1" applyFill="1" applyAlignment="1">
      <alignment vertical="center"/>
    </xf>
    <xf numFmtId="0" fontId="9" fillId="2" borderId="0" xfId="0" applyFont="1" applyFill="1"/>
    <xf numFmtId="0" fontId="5" fillId="0" borderId="0" xfId="0" applyFont="1" applyAlignment="1">
      <alignment horizontal="center"/>
    </xf>
    <xf numFmtId="0" fontId="12" fillId="0" borderId="0" xfId="0" applyFont="1"/>
    <xf numFmtId="0" fontId="5" fillId="2" borderId="0" xfId="0" applyFont="1" applyFill="1" applyAlignment="1">
      <alignment horizontal="right"/>
    </xf>
    <xf numFmtId="3" fontId="5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3" fontId="15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textRotation="90"/>
    </xf>
    <xf numFmtId="164" fontId="17" fillId="4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4" borderId="2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17" fillId="4" borderId="0" xfId="0" applyFont="1" applyFill="1" applyAlignment="1">
      <alignment horizontal="left" wrapText="1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20" fillId="9" borderId="2" xfId="0" applyFont="1" applyFill="1" applyBorder="1" applyAlignment="1">
      <alignment horizontal="left"/>
    </xf>
    <xf numFmtId="0" fontId="10" fillId="12" borderId="2" xfId="0" applyFont="1" applyFill="1" applyBorder="1" applyAlignment="1">
      <alignment horizontal="left"/>
    </xf>
    <xf numFmtId="0" fontId="10" fillId="12" borderId="2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25" fillId="0" borderId="2" xfId="0" applyFont="1" applyBorder="1"/>
    <xf numFmtId="0" fontId="25" fillId="12" borderId="2" xfId="0" applyFont="1" applyFill="1" applyBorder="1" applyAlignment="1">
      <alignment horizontal="left"/>
    </xf>
    <xf numFmtId="0" fontId="25" fillId="12" borderId="2" xfId="0" applyFont="1" applyFill="1" applyBorder="1"/>
    <xf numFmtId="0" fontId="25" fillId="0" borderId="2" xfId="0" applyFont="1" applyBorder="1" applyAlignment="1">
      <alignment horizontal="left"/>
    </xf>
    <xf numFmtId="14" fontId="25" fillId="11" borderId="2" xfId="0" applyNumberFormat="1" applyFont="1" applyFill="1" applyBorder="1"/>
    <xf numFmtId="0" fontId="20" fillId="10" borderId="2" xfId="0" applyFont="1" applyFill="1" applyBorder="1" applyAlignment="1">
      <alignment horizontal="left"/>
    </xf>
    <xf numFmtId="14" fontId="25" fillId="12" borderId="2" xfId="0" applyNumberFormat="1" applyFont="1" applyFill="1" applyBorder="1"/>
    <xf numFmtId="14" fontId="10" fillId="12" borderId="2" xfId="0" applyNumberFormat="1" applyFont="1" applyFill="1" applyBorder="1"/>
    <xf numFmtId="0" fontId="10" fillId="0" borderId="2" xfId="0" applyFont="1" applyBorder="1"/>
    <xf numFmtId="14" fontId="10" fillId="11" borderId="2" xfId="0" applyNumberFormat="1" applyFont="1" applyFill="1" applyBorder="1"/>
    <xf numFmtId="0" fontId="10" fillId="11" borderId="2" xfId="0" applyFont="1" applyFill="1" applyBorder="1"/>
    <xf numFmtId="0" fontId="10" fillId="11" borderId="2" xfId="0" applyFont="1" applyFill="1" applyBorder="1" applyAlignment="1">
      <alignment horizontal="left"/>
    </xf>
    <xf numFmtId="0" fontId="26" fillId="11" borderId="2" xfId="0" applyFont="1" applyFill="1" applyBorder="1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3" fontId="1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17" fillId="5" borderId="3" xfId="0" applyFont="1" applyFill="1" applyBorder="1" applyAlignment="1">
      <alignment horizontal="center" vertical="center"/>
    </xf>
    <xf numFmtId="0" fontId="19" fillId="0" borderId="4" xfId="0" applyFont="1" applyBorder="1"/>
    <xf numFmtId="0" fontId="17" fillId="5" borderId="2" xfId="0" applyFont="1" applyFill="1" applyBorder="1" applyAlignment="1">
      <alignment horizontal="center" vertical="center" textRotation="90"/>
    </xf>
    <xf numFmtId="164" fontId="17" fillId="5" borderId="2" xfId="0" applyNumberFormat="1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left" wrapText="1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164" fontId="20" fillId="7" borderId="2" xfId="0" applyNumberFormat="1" applyFont="1" applyFill="1" applyBorder="1"/>
    <xf numFmtId="0" fontId="20" fillId="7" borderId="2" xfId="0" applyFont="1" applyFill="1" applyBorder="1" applyAlignment="1">
      <alignment horizontal="left"/>
    </xf>
    <xf numFmtId="3" fontId="21" fillId="7" borderId="2" xfId="0" applyNumberFormat="1" applyFont="1" applyFill="1" applyBorder="1"/>
    <xf numFmtId="3" fontId="20" fillId="7" borderId="2" xfId="0" applyNumberFormat="1" applyFont="1" applyFill="1" applyBorder="1"/>
    <xf numFmtId="0" fontId="20" fillId="7" borderId="2" xfId="0" applyFont="1" applyFill="1" applyBorder="1"/>
    <xf numFmtId="0" fontId="24" fillId="9" borderId="2" xfId="0" applyFont="1" applyFill="1" applyBorder="1" applyAlignment="1">
      <alignment horizontal="left"/>
    </xf>
    <xf numFmtId="0" fontId="24" fillId="10" borderId="2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11">
    <dxf>
      <fill>
        <patternFill patternType="solid">
          <fgColor rgb="FFF4C7C3"/>
          <bgColor rgb="FFF4C7C3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4">
    <tableStyle name="ПКО-style" pivot="0" count="3">
      <tableStyleElement type="headerRow" dxfId="10"/>
      <tableStyleElement type="firstRowStripe" dxfId="9"/>
      <tableStyleElement type="secondRowStripe" dxfId="8"/>
    </tableStyle>
    <tableStyle name="ДЗ-style" pivot="0" count="2">
      <tableStyleElement type="firstRowStripe" dxfId="7"/>
      <tableStyleElement type="secondRowStripe" dxfId="6"/>
    </tableStyle>
    <tableStyle name="Банк-style" pivot="0" count="3">
      <tableStyleElement type="headerRow" dxfId="5"/>
      <tableStyleElement type="firstRowStripe" dxfId="4"/>
      <tableStyleElement type="secondRowStripe" dxfId="3"/>
    </tableStyle>
    <tableStyle name="коэф.об-style" pivot="0" count="2">
      <tableStyleElement type="firstRowStripe" dxfId="2"/>
      <tableStyleElement type="secondRowStripe" dxfId="1"/>
    </tableStyle>
  </tableStyles>
  <colors>
    <mruColors>
      <color rgb="FFD0EEF0"/>
      <color rgb="FF65D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5132"/>
  <sheetViews>
    <sheetView showGridLines="0" tabSelected="1" zoomScale="85" zoomScaleNormal="85" workbookViewId="0">
      <pane ySplit="8" topLeftCell="A51" activePane="bottomLeft" state="frozen"/>
      <selection pane="bottomLeft" activeCell="D55" sqref="D55"/>
    </sheetView>
  </sheetViews>
  <sheetFormatPr defaultColWidth="12.5703125" defaultRowHeight="15.75" customHeight="1" x14ac:dyDescent="0.2"/>
  <cols>
    <col min="1" max="1" width="6" style="42" customWidth="1"/>
    <col min="2" max="2" width="13.42578125" style="42" bestFit="1" customWidth="1"/>
    <col min="3" max="3" width="41.85546875" style="43" customWidth="1"/>
    <col min="4" max="4" width="12.7109375" style="42" customWidth="1"/>
    <col min="5" max="5" width="13.28515625" style="42" customWidth="1"/>
    <col min="6" max="6" width="21.28515625" style="42" customWidth="1"/>
    <col min="7" max="7" width="35.42578125" style="42" customWidth="1"/>
    <col min="8" max="8" width="12.42578125" style="42" customWidth="1"/>
    <col min="9" max="9" width="11.85546875" style="15" bestFit="1" customWidth="1"/>
    <col min="10" max="10" width="12.5703125" style="15" hidden="1" customWidth="1"/>
    <col min="11" max="11" width="25.42578125" style="15" hidden="1" customWidth="1"/>
    <col min="12" max="16384" width="12.5703125" style="15"/>
  </cols>
  <sheetData>
    <row r="1" spans="1:11" x14ac:dyDescent="0.25">
      <c r="A1" s="62"/>
      <c r="B1" s="63"/>
      <c r="C1" s="39" t="s">
        <v>1</v>
      </c>
      <c r="D1" s="10">
        <v>46023</v>
      </c>
      <c r="E1" s="10">
        <v>46387</v>
      </c>
      <c r="F1" s="11"/>
      <c r="G1" s="47" t="s">
        <v>42</v>
      </c>
      <c r="H1" s="12"/>
      <c r="I1" s="13"/>
      <c r="J1" s="13"/>
      <c r="K1" s="14">
        <f>D1</f>
        <v>46023</v>
      </c>
    </row>
    <row r="2" spans="1:11" ht="15.75" customHeight="1" x14ac:dyDescent="0.25">
      <c r="A2" s="16"/>
      <c r="B2" s="17"/>
      <c r="C2" s="18"/>
      <c r="D2" s="19"/>
      <c r="E2" s="19"/>
      <c r="F2" s="20"/>
      <c r="G2" s="20"/>
      <c r="H2" s="21"/>
      <c r="I2" s="65"/>
      <c r="J2" s="22"/>
      <c r="K2" s="22"/>
    </row>
    <row r="3" spans="1:11" ht="15.75" customHeight="1" x14ac:dyDescent="0.25">
      <c r="A3" s="23"/>
      <c r="B3" s="24"/>
      <c r="C3" s="40" t="s">
        <v>2</v>
      </c>
      <c r="D3" s="25">
        <f>J4</f>
        <v>1662</v>
      </c>
      <c r="E3" s="25" t="s">
        <v>3</v>
      </c>
      <c r="F3" s="24"/>
      <c r="G3" s="24"/>
      <c r="H3" s="26"/>
      <c r="I3" s="64"/>
      <c r="J3" s="27">
        <f>SUMPRODUCT(((МХК!$B$9:$B712)&gt;=($J$1))*((МХК!$B$9:$B712)&lt;($K$1))*(МХК!$D$9:$D712))</f>
        <v>1662</v>
      </c>
      <c r="K3" s="27">
        <f>SUMPRODUCT(((МХК!$B$9:$B712)&gt;=($J$1))*((МХК!$B$9:$B712)&lt;($K$1))*(МХК!$E$9:$E712))</f>
        <v>0</v>
      </c>
    </row>
    <row r="4" spans="1:11" ht="15.75" customHeight="1" x14ac:dyDescent="0.25">
      <c r="A4" s="23"/>
      <c r="B4" s="24"/>
      <c r="C4" s="40" t="s">
        <v>4</v>
      </c>
      <c r="D4" s="28">
        <f>SUMPRODUCT(((МХК!$B$9:$B712)&gt;=($D$1))*((МХК!$B$9:$B712)&lt;=($E$1))*(МХК!$D$9:$D712))</f>
        <v>1689876</v>
      </c>
      <c r="E4" s="29">
        <f>SUMPRODUCT(((МХК!$B$9:$B712)&gt;=($D$1))*((МХК!$B$9:$B712)&lt;=($E$1))*(МХК!$E$9:$E712))</f>
        <v>1419515</v>
      </c>
      <c r="F4" s="24"/>
      <c r="G4" s="24"/>
      <c r="H4" s="65"/>
      <c r="I4" s="65"/>
      <c r="J4" s="22">
        <f>J3-K3</f>
        <v>1662</v>
      </c>
      <c r="K4" s="22"/>
    </row>
    <row r="5" spans="1:11" ht="15.75" customHeight="1" x14ac:dyDescent="0.25">
      <c r="A5" s="23"/>
      <c r="B5" s="24"/>
      <c r="C5" s="40" t="s">
        <v>5</v>
      </c>
      <c r="D5" s="25">
        <f>D3+D4-E4</f>
        <v>272023</v>
      </c>
      <c r="E5" s="25"/>
      <c r="F5" s="24"/>
      <c r="G5" s="24"/>
      <c r="H5" s="26"/>
      <c r="I5" s="65"/>
      <c r="J5" s="22"/>
      <c r="K5" s="22"/>
    </row>
    <row r="6" spans="1:11" ht="15" x14ac:dyDescent="0.2">
      <c r="A6" s="30"/>
      <c r="B6" s="31"/>
      <c r="C6" s="41"/>
      <c r="D6" s="32"/>
      <c r="E6" s="32"/>
      <c r="F6" s="32"/>
      <c r="G6" s="32"/>
      <c r="H6" s="33"/>
      <c r="I6" s="34"/>
      <c r="J6" s="34"/>
      <c r="K6" s="34"/>
    </row>
    <row r="7" spans="1:11" ht="15" x14ac:dyDescent="0.2">
      <c r="A7" s="30"/>
      <c r="B7" s="31"/>
      <c r="C7" s="41"/>
      <c r="D7" s="66" t="s">
        <v>6</v>
      </c>
      <c r="E7" s="67"/>
      <c r="F7" s="32"/>
      <c r="G7" s="32"/>
      <c r="H7" s="33"/>
      <c r="I7" s="34"/>
      <c r="J7" s="34"/>
      <c r="K7" s="34"/>
    </row>
    <row r="8" spans="1:11" ht="42.75" x14ac:dyDescent="0.2">
      <c r="A8" s="68" t="s">
        <v>7</v>
      </c>
      <c r="B8" s="69" t="s">
        <v>8</v>
      </c>
      <c r="C8" s="70" t="s">
        <v>9</v>
      </c>
      <c r="D8" s="71" t="s">
        <v>10</v>
      </c>
      <c r="E8" s="71" t="s">
        <v>11</v>
      </c>
      <c r="F8" s="72" t="s">
        <v>23</v>
      </c>
      <c r="G8" s="71" t="s">
        <v>12</v>
      </c>
      <c r="H8" s="73" t="s">
        <v>13</v>
      </c>
      <c r="I8" s="35"/>
      <c r="J8" s="35"/>
      <c r="K8" s="35"/>
    </row>
    <row r="9" spans="1:11" ht="15.75" customHeight="1" x14ac:dyDescent="0.25">
      <c r="A9" s="81">
        <v>1</v>
      </c>
      <c r="B9" s="74">
        <v>46022</v>
      </c>
      <c r="C9" s="75" t="s">
        <v>22</v>
      </c>
      <c r="D9" s="76">
        <v>1662</v>
      </c>
      <c r="E9" s="77"/>
      <c r="F9" s="78"/>
      <c r="G9" s="78"/>
      <c r="H9" s="36" t="str">
        <f>IF(AND(МХК!$B9&gt;=$D$1,МХК!$B9&lt;=$E$1),"V","")</f>
        <v/>
      </c>
      <c r="I9" s="37"/>
      <c r="J9" s="37"/>
      <c r="K9" s="38" t="str">
        <f ca="1">IFERROR(__xludf.DUMMYFUNCTION("SORT(UNIQUE(C9:C1112))"),"Инкассация в БЦК")</f>
        <v>Инкассация в БЦК</v>
      </c>
    </row>
    <row r="10" spans="1:11" ht="15.75" customHeight="1" x14ac:dyDescent="0.25">
      <c r="A10" s="82">
        <v>2</v>
      </c>
      <c r="B10" s="56">
        <v>46027</v>
      </c>
      <c r="C10" s="45" t="s">
        <v>55</v>
      </c>
      <c r="D10" s="46"/>
      <c r="E10" s="46"/>
      <c r="F10" s="46">
        <v>38480</v>
      </c>
      <c r="G10" s="46"/>
      <c r="H10" s="46"/>
    </row>
    <row r="11" spans="1:11" ht="15.75" customHeight="1" x14ac:dyDescent="0.25">
      <c r="A11" s="81">
        <v>3</v>
      </c>
      <c r="B11" s="58">
        <v>46027</v>
      </c>
      <c r="C11" s="48" t="s">
        <v>65</v>
      </c>
      <c r="D11" s="57"/>
      <c r="E11" s="57"/>
      <c r="F11" s="57">
        <v>13000</v>
      </c>
      <c r="G11" s="57"/>
      <c r="H11" s="57"/>
    </row>
    <row r="12" spans="1:11" ht="15.75" customHeight="1" x14ac:dyDescent="0.25">
      <c r="A12" s="82">
        <v>4</v>
      </c>
      <c r="B12" s="58">
        <v>46027</v>
      </c>
      <c r="C12" s="54" t="s">
        <v>38</v>
      </c>
      <c r="D12" s="57"/>
      <c r="E12" s="57"/>
      <c r="F12" s="57">
        <v>3540</v>
      </c>
      <c r="G12" s="57"/>
      <c r="H12" s="57"/>
    </row>
    <row r="13" spans="1:11" ht="15.75" customHeight="1" x14ac:dyDescent="0.25">
      <c r="A13" s="81">
        <v>5</v>
      </c>
      <c r="B13" s="58">
        <v>46027</v>
      </c>
      <c r="C13" s="54" t="s">
        <v>38</v>
      </c>
      <c r="D13" s="57"/>
      <c r="E13" s="57"/>
      <c r="F13" s="57">
        <v>6500</v>
      </c>
      <c r="G13" s="57"/>
      <c r="H13" s="57"/>
    </row>
    <row r="14" spans="1:11" ht="15.75" customHeight="1" x14ac:dyDescent="0.25">
      <c r="A14" s="82">
        <v>6</v>
      </c>
      <c r="B14" s="58">
        <v>46027</v>
      </c>
      <c r="C14" s="54" t="s">
        <v>38</v>
      </c>
      <c r="D14" s="57"/>
      <c r="E14" s="57"/>
      <c r="F14" s="57">
        <v>3300</v>
      </c>
      <c r="G14" s="57"/>
      <c r="H14" s="57"/>
    </row>
    <row r="15" spans="1:11" ht="15.75" customHeight="1" x14ac:dyDescent="0.25">
      <c r="A15" s="81">
        <v>7</v>
      </c>
      <c r="B15" s="58">
        <v>46027</v>
      </c>
      <c r="C15" s="48" t="s">
        <v>25</v>
      </c>
      <c r="D15" s="57"/>
      <c r="E15" s="57"/>
      <c r="F15" s="57">
        <v>51300</v>
      </c>
      <c r="G15" s="57"/>
      <c r="H15" s="57"/>
    </row>
    <row r="16" spans="1:11" ht="15.75" customHeight="1" x14ac:dyDescent="0.25">
      <c r="A16" s="82">
        <v>8</v>
      </c>
      <c r="B16" s="58">
        <v>46027</v>
      </c>
      <c r="C16" s="48" t="s">
        <v>25</v>
      </c>
      <c r="D16" s="57"/>
      <c r="E16" s="57"/>
      <c r="F16" s="57">
        <v>179880</v>
      </c>
      <c r="G16" s="57"/>
      <c r="H16" s="57"/>
    </row>
    <row r="17" spans="1:8" ht="15.75" customHeight="1" x14ac:dyDescent="0.25">
      <c r="A17" s="81">
        <v>9</v>
      </c>
      <c r="B17" s="56">
        <v>46031</v>
      </c>
      <c r="C17" s="45" t="s">
        <v>66</v>
      </c>
      <c r="D17" s="46">
        <v>32720</v>
      </c>
      <c r="E17" s="46"/>
      <c r="F17" s="46"/>
      <c r="G17" s="46"/>
      <c r="H17" s="46"/>
    </row>
    <row r="18" spans="1:8" ht="15.75" customHeight="1" x14ac:dyDescent="0.25">
      <c r="A18" s="82">
        <v>10</v>
      </c>
      <c r="B18" s="58">
        <v>46031</v>
      </c>
      <c r="C18" s="54" t="s">
        <v>67</v>
      </c>
      <c r="D18" s="59"/>
      <c r="E18" s="59">
        <v>10400</v>
      </c>
      <c r="F18" s="59"/>
      <c r="G18" s="59"/>
      <c r="H18" s="59"/>
    </row>
    <row r="19" spans="1:8" ht="15.75" customHeight="1" x14ac:dyDescent="0.25">
      <c r="A19" s="81">
        <v>11</v>
      </c>
      <c r="B19" s="56">
        <v>46034</v>
      </c>
      <c r="C19" s="44" t="s">
        <v>38</v>
      </c>
      <c r="D19" s="46"/>
      <c r="E19" s="46"/>
      <c r="F19" s="46">
        <v>19990</v>
      </c>
      <c r="G19" s="46" t="s">
        <v>70</v>
      </c>
      <c r="H19" s="46"/>
    </row>
    <row r="20" spans="1:8" ht="15.75" customHeight="1" x14ac:dyDescent="0.25">
      <c r="A20" s="82">
        <v>12</v>
      </c>
      <c r="B20" s="58">
        <v>46034</v>
      </c>
      <c r="C20" s="54" t="s">
        <v>38</v>
      </c>
      <c r="D20" s="59"/>
      <c r="E20" s="59"/>
      <c r="F20" s="59">
        <v>1990</v>
      </c>
      <c r="G20" s="59" t="s">
        <v>71</v>
      </c>
      <c r="H20" s="59"/>
    </row>
    <row r="21" spans="1:8" ht="15.75" customHeight="1" x14ac:dyDescent="0.25">
      <c r="A21" s="81">
        <v>13</v>
      </c>
      <c r="B21" s="58">
        <v>46034</v>
      </c>
      <c r="C21" s="54" t="s">
        <v>38</v>
      </c>
      <c r="D21" s="59"/>
      <c r="E21" s="59"/>
      <c r="F21" s="59">
        <v>7200</v>
      </c>
      <c r="G21" s="59" t="s">
        <v>87</v>
      </c>
      <c r="H21" s="59"/>
    </row>
    <row r="22" spans="1:8" ht="15.75" customHeight="1" x14ac:dyDescent="0.25">
      <c r="A22" s="82">
        <v>14</v>
      </c>
      <c r="B22" s="58">
        <v>46034</v>
      </c>
      <c r="C22" s="60" t="s">
        <v>62</v>
      </c>
      <c r="D22" s="61">
        <v>34290</v>
      </c>
      <c r="E22" s="59"/>
      <c r="F22" s="59"/>
      <c r="G22" s="59"/>
      <c r="H22" s="59"/>
    </row>
    <row r="23" spans="1:8" ht="15.75" customHeight="1" x14ac:dyDescent="0.25">
      <c r="A23" s="81">
        <v>15</v>
      </c>
      <c r="B23" s="58">
        <v>46034</v>
      </c>
      <c r="C23" s="60" t="s">
        <v>64</v>
      </c>
      <c r="D23" s="59"/>
      <c r="E23" s="59"/>
      <c r="F23" s="59">
        <v>20400</v>
      </c>
      <c r="G23" s="59" t="s">
        <v>69</v>
      </c>
      <c r="H23" s="59"/>
    </row>
    <row r="24" spans="1:8" ht="15.75" customHeight="1" x14ac:dyDescent="0.25">
      <c r="A24" s="82">
        <v>16</v>
      </c>
      <c r="B24" s="58">
        <v>46034</v>
      </c>
      <c r="C24" s="54" t="s">
        <v>38</v>
      </c>
      <c r="D24" s="59"/>
      <c r="E24" s="59"/>
      <c r="F24" s="59">
        <v>3200</v>
      </c>
      <c r="G24" s="59" t="s">
        <v>72</v>
      </c>
      <c r="H24" s="59"/>
    </row>
    <row r="25" spans="1:8" ht="15.75" customHeight="1" x14ac:dyDescent="0.25">
      <c r="A25" s="81">
        <v>17</v>
      </c>
      <c r="B25" s="58">
        <v>46034</v>
      </c>
      <c r="C25" s="54" t="s">
        <v>38</v>
      </c>
      <c r="D25" s="59"/>
      <c r="E25" s="59"/>
      <c r="F25" s="59">
        <v>15200</v>
      </c>
      <c r="G25" s="59" t="s">
        <v>73</v>
      </c>
      <c r="H25" s="59"/>
    </row>
    <row r="26" spans="1:8" ht="15.75" customHeight="1" x14ac:dyDescent="0.25">
      <c r="A26" s="82">
        <v>18</v>
      </c>
      <c r="B26" s="58">
        <v>46034</v>
      </c>
      <c r="C26" s="54" t="s">
        <v>38</v>
      </c>
      <c r="D26" s="59"/>
      <c r="E26" s="59"/>
      <c r="F26" s="59">
        <v>21500</v>
      </c>
      <c r="G26" s="61" t="s">
        <v>74</v>
      </c>
      <c r="H26" s="59"/>
    </row>
    <row r="27" spans="1:8" ht="15.75" customHeight="1" x14ac:dyDescent="0.25">
      <c r="A27" s="81">
        <v>19</v>
      </c>
      <c r="B27" s="58">
        <v>46034</v>
      </c>
      <c r="C27" s="60" t="s">
        <v>31</v>
      </c>
      <c r="D27" s="59"/>
      <c r="E27" s="59"/>
      <c r="F27" s="59">
        <v>29200</v>
      </c>
      <c r="G27" s="61" t="s">
        <v>68</v>
      </c>
      <c r="H27" s="59"/>
    </row>
    <row r="28" spans="1:8" ht="15.75" customHeight="1" x14ac:dyDescent="0.25">
      <c r="A28" s="82">
        <v>20</v>
      </c>
      <c r="B28" s="58">
        <v>46034</v>
      </c>
      <c r="C28" s="54" t="s">
        <v>38</v>
      </c>
      <c r="D28" s="59"/>
      <c r="E28" s="59"/>
      <c r="F28" s="59">
        <v>7200</v>
      </c>
      <c r="G28" s="59" t="s">
        <v>75</v>
      </c>
      <c r="H28" s="59"/>
    </row>
    <row r="29" spans="1:8" ht="15.75" customHeight="1" x14ac:dyDescent="0.25">
      <c r="A29" s="81">
        <v>21</v>
      </c>
      <c r="B29" s="58">
        <v>46034</v>
      </c>
      <c r="C29" s="54" t="s">
        <v>38</v>
      </c>
      <c r="D29" s="59"/>
      <c r="E29" s="59"/>
      <c r="F29" s="59">
        <v>15990</v>
      </c>
      <c r="G29" s="61" t="s">
        <v>76</v>
      </c>
      <c r="H29" s="59"/>
    </row>
    <row r="30" spans="1:8" ht="15.75" customHeight="1" x14ac:dyDescent="0.25">
      <c r="A30" s="82">
        <v>22</v>
      </c>
      <c r="B30" s="58">
        <v>46034</v>
      </c>
      <c r="C30" s="54" t="s">
        <v>38</v>
      </c>
      <c r="D30" s="59"/>
      <c r="E30" s="59"/>
      <c r="F30" s="59">
        <v>9700</v>
      </c>
      <c r="G30" s="61" t="s">
        <v>77</v>
      </c>
      <c r="H30" s="59"/>
    </row>
    <row r="31" spans="1:8" ht="15.75" customHeight="1" x14ac:dyDescent="0.25">
      <c r="A31" s="81">
        <v>23</v>
      </c>
      <c r="B31" s="58">
        <v>46034</v>
      </c>
      <c r="C31" s="54" t="s">
        <v>38</v>
      </c>
      <c r="D31" s="59"/>
      <c r="E31" s="59"/>
      <c r="F31" s="59">
        <v>15990</v>
      </c>
      <c r="G31" s="61" t="s">
        <v>78</v>
      </c>
      <c r="H31" s="59"/>
    </row>
    <row r="32" spans="1:8" ht="15.75" customHeight="1" x14ac:dyDescent="0.25">
      <c r="A32" s="82">
        <v>24</v>
      </c>
      <c r="B32" s="58">
        <v>46034</v>
      </c>
      <c r="C32" s="60" t="s">
        <v>43</v>
      </c>
      <c r="D32" s="59"/>
      <c r="E32" s="59"/>
      <c r="F32" s="59">
        <v>7121</v>
      </c>
      <c r="G32" s="61" t="s">
        <v>79</v>
      </c>
      <c r="H32" s="59"/>
    </row>
    <row r="33" spans="1:8" ht="15.75" customHeight="1" x14ac:dyDescent="0.25">
      <c r="A33" s="81">
        <v>25</v>
      </c>
      <c r="B33" s="58">
        <v>46034</v>
      </c>
      <c r="C33" s="60" t="s">
        <v>43</v>
      </c>
      <c r="D33" s="59"/>
      <c r="E33" s="59"/>
      <c r="F33" s="59">
        <v>991</v>
      </c>
      <c r="G33" s="61" t="s">
        <v>80</v>
      </c>
      <c r="H33" s="59"/>
    </row>
    <row r="34" spans="1:8" ht="15.75" customHeight="1" x14ac:dyDescent="0.25">
      <c r="A34" s="82">
        <v>26</v>
      </c>
      <c r="B34" s="58">
        <v>46034</v>
      </c>
      <c r="C34" s="60" t="s">
        <v>36</v>
      </c>
      <c r="D34" s="59"/>
      <c r="E34" s="59"/>
      <c r="F34" s="59">
        <v>49980</v>
      </c>
      <c r="G34" s="61" t="s">
        <v>81</v>
      </c>
      <c r="H34" s="59"/>
    </row>
    <row r="35" spans="1:8" ht="15.75" customHeight="1" x14ac:dyDescent="0.25">
      <c r="A35" s="81">
        <v>27</v>
      </c>
      <c r="B35" s="58">
        <v>46034</v>
      </c>
      <c r="C35" s="54" t="s">
        <v>38</v>
      </c>
      <c r="D35" s="59"/>
      <c r="E35" s="59"/>
      <c r="F35" s="59">
        <v>15990</v>
      </c>
      <c r="G35" s="61" t="s">
        <v>82</v>
      </c>
      <c r="H35" s="59"/>
    </row>
    <row r="36" spans="1:8" ht="15.75" customHeight="1" x14ac:dyDescent="0.25">
      <c r="A36" s="82">
        <v>28</v>
      </c>
      <c r="B36" s="58">
        <v>46034</v>
      </c>
      <c r="C36" s="54" t="s">
        <v>38</v>
      </c>
      <c r="D36" s="59"/>
      <c r="E36" s="59"/>
      <c r="F36" s="59">
        <v>6000</v>
      </c>
      <c r="G36" s="61" t="s">
        <v>83</v>
      </c>
      <c r="H36" s="59"/>
    </row>
    <row r="37" spans="1:8" ht="15.75" customHeight="1" x14ac:dyDescent="0.25">
      <c r="A37" s="81">
        <v>29</v>
      </c>
      <c r="B37" s="58">
        <v>46034</v>
      </c>
      <c r="C37" s="54" t="s">
        <v>38</v>
      </c>
      <c r="D37" s="59"/>
      <c r="E37" s="59"/>
      <c r="F37" s="59">
        <v>21500</v>
      </c>
      <c r="G37" s="61" t="s">
        <v>84</v>
      </c>
      <c r="H37" s="59"/>
    </row>
    <row r="38" spans="1:8" ht="15.75" customHeight="1" x14ac:dyDescent="0.25">
      <c r="A38" s="82">
        <v>30</v>
      </c>
      <c r="B38" s="58">
        <v>46034</v>
      </c>
      <c r="C38" s="54" t="s">
        <v>88</v>
      </c>
      <c r="D38" s="59"/>
      <c r="E38" s="59"/>
      <c r="F38" s="59">
        <v>3000</v>
      </c>
      <c r="G38" s="61" t="s">
        <v>85</v>
      </c>
      <c r="H38" s="59"/>
    </row>
    <row r="39" spans="1:8" ht="15.75" customHeight="1" x14ac:dyDescent="0.25">
      <c r="A39" s="81">
        <v>31</v>
      </c>
      <c r="B39" s="58">
        <v>46034</v>
      </c>
      <c r="C39" s="54" t="s">
        <v>38</v>
      </c>
      <c r="D39" s="59"/>
      <c r="E39" s="59"/>
      <c r="F39" s="59">
        <v>13704</v>
      </c>
      <c r="G39" s="61" t="s">
        <v>86</v>
      </c>
      <c r="H39" s="59"/>
    </row>
    <row r="40" spans="1:8" ht="15.75" customHeight="1" x14ac:dyDescent="0.25">
      <c r="A40" s="82">
        <v>32</v>
      </c>
      <c r="B40" s="58">
        <v>46034</v>
      </c>
      <c r="C40" s="54" t="s">
        <v>38</v>
      </c>
      <c r="D40" s="59"/>
      <c r="E40" s="59"/>
      <c r="F40" s="59">
        <v>15990</v>
      </c>
      <c r="G40" s="61" t="s">
        <v>93</v>
      </c>
      <c r="H40" s="59"/>
    </row>
    <row r="41" spans="1:8" ht="15.75" customHeight="1" x14ac:dyDescent="0.25">
      <c r="A41" s="81">
        <v>33</v>
      </c>
      <c r="B41" s="58">
        <v>46034</v>
      </c>
      <c r="C41" s="54" t="s">
        <v>38</v>
      </c>
      <c r="D41" s="59"/>
      <c r="E41" s="59"/>
      <c r="F41" s="59">
        <v>3200</v>
      </c>
      <c r="G41" s="59" t="s">
        <v>102</v>
      </c>
      <c r="H41" s="59"/>
    </row>
    <row r="42" spans="1:8" ht="15.75" customHeight="1" x14ac:dyDescent="0.25">
      <c r="A42" s="82">
        <v>34</v>
      </c>
      <c r="B42" s="56">
        <v>46035</v>
      </c>
      <c r="C42" s="44" t="s">
        <v>38</v>
      </c>
      <c r="D42" s="46"/>
      <c r="E42" s="46"/>
      <c r="F42" s="46">
        <v>15990</v>
      </c>
      <c r="G42" s="46" t="s">
        <v>91</v>
      </c>
      <c r="H42" s="46"/>
    </row>
    <row r="43" spans="1:8" ht="15.75" customHeight="1" x14ac:dyDescent="0.25">
      <c r="A43" s="81">
        <v>35</v>
      </c>
      <c r="B43" s="58">
        <v>46035</v>
      </c>
      <c r="C43" s="54" t="s">
        <v>38</v>
      </c>
      <c r="D43" s="57"/>
      <c r="E43" s="57"/>
      <c r="F43" s="57">
        <v>7200</v>
      </c>
      <c r="G43" s="57" t="s">
        <v>89</v>
      </c>
      <c r="H43" s="57"/>
    </row>
    <row r="44" spans="1:8" ht="15.75" customHeight="1" x14ac:dyDescent="0.25">
      <c r="A44" s="82">
        <v>36</v>
      </c>
      <c r="B44" s="58">
        <v>46035</v>
      </c>
      <c r="C44" s="54" t="s">
        <v>38</v>
      </c>
      <c r="D44" s="57"/>
      <c r="E44" s="57"/>
      <c r="F44" s="57">
        <v>6990</v>
      </c>
      <c r="G44" s="57" t="s">
        <v>90</v>
      </c>
      <c r="H44" s="57"/>
    </row>
    <row r="45" spans="1:8" ht="15.75" customHeight="1" x14ac:dyDescent="0.25">
      <c r="A45" s="81">
        <v>37</v>
      </c>
      <c r="B45" s="56">
        <v>46036</v>
      </c>
      <c r="C45" s="45" t="s">
        <v>29</v>
      </c>
      <c r="D45" s="46"/>
      <c r="E45" s="46"/>
      <c r="F45" s="46">
        <v>26000</v>
      </c>
      <c r="G45" s="46" t="s">
        <v>95</v>
      </c>
      <c r="H45" s="46"/>
    </row>
    <row r="46" spans="1:8" ht="15.75" customHeight="1" x14ac:dyDescent="0.25">
      <c r="A46" s="82">
        <v>38</v>
      </c>
      <c r="B46" s="58">
        <v>46036</v>
      </c>
      <c r="C46" s="48" t="s">
        <v>99</v>
      </c>
      <c r="D46" s="57"/>
      <c r="E46" s="57"/>
      <c r="F46" s="57">
        <v>15190</v>
      </c>
      <c r="G46" s="57" t="s">
        <v>92</v>
      </c>
      <c r="H46" s="57"/>
    </row>
    <row r="47" spans="1:8" ht="15.75" customHeight="1" x14ac:dyDescent="0.25">
      <c r="A47" s="81">
        <v>39</v>
      </c>
      <c r="B47" s="58">
        <v>46036</v>
      </c>
      <c r="C47" s="48" t="s">
        <v>98</v>
      </c>
      <c r="D47" s="57"/>
      <c r="E47" s="57"/>
      <c r="F47" s="57">
        <v>23720</v>
      </c>
      <c r="G47" s="57" t="s">
        <v>94</v>
      </c>
      <c r="H47" s="57"/>
    </row>
    <row r="48" spans="1:8" ht="15.75" customHeight="1" x14ac:dyDescent="0.25">
      <c r="A48" s="82">
        <v>40</v>
      </c>
      <c r="B48" s="58">
        <v>46036</v>
      </c>
      <c r="C48" s="48" t="s">
        <v>56</v>
      </c>
      <c r="D48" s="57">
        <v>19990</v>
      </c>
      <c r="E48" s="57"/>
      <c r="F48" s="57"/>
      <c r="G48" s="57"/>
      <c r="H48" s="57"/>
    </row>
    <row r="49" spans="1:8" ht="15.75" customHeight="1" x14ac:dyDescent="0.25">
      <c r="A49" s="81">
        <v>41</v>
      </c>
      <c r="B49" s="58">
        <v>46036</v>
      </c>
      <c r="C49" s="48" t="s">
        <v>97</v>
      </c>
      <c r="D49" s="57"/>
      <c r="E49" s="57"/>
      <c r="F49" s="57">
        <v>128300</v>
      </c>
      <c r="G49" s="57" t="s">
        <v>96</v>
      </c>
      <c r="H49" s="57"/>
    </row>
    <row r="50" spans="1:8" ht="15.75" customHeight="1" x14ac:dyDescent="0.25">
      <c r="A50" s="82">
        <v>42</v>
      </c>
      <c r="B50" s="58">
        <v>46036</v>
      </c>
      <c r="C50" s="48" t="s">
        <v>52</v>
      </c>
      <c r="D50" s="57"/>
      <c r="E50" s="57"/>
      <c r="F50" s="57">
        <v>44000</v>
      </c>
      <c r="G50" s="57" t="s">
        <v>100</v>
      </c>
      <c r="H50" s="57"/>
    </row>
    <row r="51" spans="1:8" ht="15.75" customHeight="1" x14ac:dyDescent="0.25">
      <c r="A51" s="81">
        <v>43</v>
      </c>
      <c r="B51" s="58">
        <v>46036</v>
      </c>
      <c r="C51" s="54" t="s">
        <v>38</v>
      </c>
      <c r="D51" s="57"/>
      <c r="E51" s="57"/>
      <c r="F51" s="57">
        <v>15680</v>
      </c>
      <c r="G51" s="57" t="s">
        <v>101</v>
      </c>
      <c r="H51" s="57"/>
    </row>
    <row r="52" spans="1:8" ht="15.75" customHeight="1" x14ac:dyDescent="0.25">
      <c r="A52" s="82">
        <v>44</v>
      </c>
      <c r="B52" s="58">
        <v>46036</v>
      </c>
      <c r="C52" s="48" t="s">
        <v>103</v>
      </c>
      <c r="D52" s="57"/>
      <c r="E52" s="57"/>
      <c r="F52" s="57">
        <v>123530</v>
      </c>
      <c r="G52" s="57" t="s">
        <v>104</v>
      </c>
      <c r="H52" s="57"/>
    </row>
    <row r="53" spans="1:8" ht="15.75" customHeight="1" x14ac:dyDescent="0.25">
      <c r="A53" s="81">
        <v>45</v>
      </c>
      <c r="B53" s="56">
        <v>46037</v>
      </c>
      <c r="C53" s="45" t="s">
        <v>105</v>
      </c>
      <c r="D53" s="46"/>
      <c r="E53" s="46"/>
      <c r="F53" s="46">
        <v>30530</v>
      </c>
      <c r="G53" s="46" t="s">
        <v>106</v>
      </c>
      <c r="H53" s="46"/>
    </row>
    <row r="54" spans="1:8" ht="15.75" customHeight="1" x14ac:dyDescent="0.25">
      <c r="A54" s="82">
        <v>46</v>
      </c>
      <c r="B54" s="58">
        <v>46037</v>
      </c>
      <c r="C54" s="54" t="s">
        <v>38</v>
      </c>
      <c r="D54" s="57"/>
      <c r="E54" s="57"/>
      <c r="F54" s="57">
        <v>7200</v>
      </c>
      <c r="G54" s="57" t="s">
        <v>114</v>
      </c>
      <c r="H54" s="57"/>
    </row>
    <row r="55" spans="1:8" ht="15.75" customHeight="1" x14ac:dyDescent="0.25">
      <c r="A55" s="81">
        <v>47</v>
      </c>
      <c r="B55" s="58">
        <v>46037</v>
      </c>
      <c r="C55" s="54" t="s">
        <v>38</v>
      </c>
      <c r="D55" s="57"/>
      <c r="E55" s="57"/>
      <c r="F55" s="57">
        <v>7200</v>
      </c>
      <c r="G55" s="57" t="s">
        <v>107</v>
      </c>
      <c r="H55" s="57"/>
    </row>
    <row r="56" spans="1:8" ht="15.75" customHeight="1" x14ac:dyDescent="0.25">
      <c r="A56" s="82">
        <v>48</v>
      </c>
      <c r="B56" s="58">
        <v>46037</v>
      </c>
      <c r="C56" s="54" t="s">
        <v>38</v>
      </c>
      <c r="D56" s="57"/>
      <c r="E56" s="57"/>
      <c r="F56" s="57">
        <v>21500</v>
      </c>
      <c r="G56" s="57" t="s">
        <v>108</v>
      </c>
      <c r="H56" s="57"/>
    </row>
    <row r="57" spans="1:8" ht="15.75" customHeight="1" x14ac:dyDescent="0.25">
      <c r="A57" s="81">
        <v>49</v>
      </c>
      <c r="B57" s="58">
        <v>46037</v>
      </c>
      <c r="C57" s="54" t="s">
        <v>109</v>
      </c>
      <c r="D57" s="57"/>
      <c r="E57" s="57"/>
      <c r="F57" s="57">
        <v>10695</v>
      </c>
      <c r="G57" s="57" t="s">
        <v>110</v>
      </c>
      <c r="H57" s="57"/>
    </row>
    <row r="58" spans="1:8" ht="15.75" customHeight="1" x14ac:dyDescent="0.25">
      <c r="A58" s="82">
        <v>50</v>
      </c>
      <c r="B58" s="58">
        <v>46037</v>
      </c>
      <c r="C58" s="54" t="s">
        <v>38</v>
      </c>
      <c r="D58" s="57"/>
      <c r="E58" s="57"/>
      <c r="F58" s="57">
        <v>7200</v>
      </c>
      <c r="G58" s="57" t="s">
        <v>113</v>
      </c>
      <c r="H58" s="57"/>
    </row>
    <row r="59" spans="1:8" ht="15.75" customHeight="1" x14ac:dyDescent="0.25">
      <c r="A59" s="81">
        <v>51</v>
      </c>
      <c r="B59" s="56">
        <v>46038</v>
      </c>
      <c r="C59" s="45" t="s">
        <v>26</v>
      </c>
      <c r="D59" s="46"/>
      <c r="E59" s="46"/>
      <c r="F59" s="46">
        <v>99140</v>
      </c>
      <c r="G59" s="46" t="s">
        <v>111</v>
      </c>
      <c r="H59" s="46"/>
    </row>
    <row r="60" spans="1:8" ht="15.75" customHeight="1" x14ac:dyDescent="0.25">
      <c r="A60" s="82">
        <v>52</v>
      </c>
      <c r="B60" s="58">
        <v>46038</v>
      </c>
      <c r="C60" s="54" t="s">
        <v>38</v>
      </c>
      <c r="D60" s="57"/>
      <c r="E60" s="57"/>
      <c r="F60" s="57">
        <v>4500</v>
      </c>
      <c r="G60" s="57" t="s">
        <v>112</v>
      </c>
      <c r="H60" s="57"/>
    </row>
    <row r="61" spans="1:8" ht="15.75" customHeight="1" x14ac:dyDescent="0.25">
      <c r="A61" s="81">
        <v>53</v>
      </c>
      <c r="B61" s="58">
        <v>46038</v>
      </c>
      <c r="C61" s="48" t="s">
        <v>61</v>
      </c>
      <c r="D61" s="57"/>
      <c r="E61" s="57"/>
      <c r="F61" s="57">
        <v>108730</v>
      </c>
      <c r="G61" s="57" t="s">
        <v>115</v>
      </c>
      <c r="H61" s="57"/>
    </row>
    <row r="62" spans="1:8" ht="15.75" customHeight="1" x14ac:dyDescent="0.25">
      <c r="A62" s="82">
        <v>54</v>
      </c>
      <c r="B62" s="58">
        <v>46038</v>
      </c>
      <c r="C62" s="54" t="s">
        <v>38</v>
      </c>
      <c r="D62" s="57"/>
      <c r="E62" s="57"/>
      <c r="F62" s="57">
        <v>19990</v>
      </c>
      <c r="G62" s="57" t="s">
        <v>116</v>
      </c>
      <c r="H62" s="57"/>
    </row>
    <row r="63" spans="1:8" ht="15.75" customHeight="1" x14ac:dyDescent="0.25">
      <c r="A63" s="81">
        <v>55</v>
      </c>
      <c r="B63" s="56">
        <v>46041</v>
      </c>
      <c r="C63" s="44" t="s">
        <v>38</v>
      </c>
      <c r="D63" s="46"/>
      <c r="E63" s="46"/>
      <c r="F63" s="46">
        <v>1990</v>
      </c>
      <c r="G63" s="46" t="s">
        <v>125</v>
      </c>
      <c r="H63" s="46"/>
    </row>
    <row r="64" spans="1:8" ht="15.75" customHeight="1" x14ac:dyDescent="0.25">
      <c r="A64" s="82">
        <v>56</v>
      </c>
      <c r="B64" s="58">
        <v>46041</v>
      </c>
      <c r="C64" s="54" t="s">
        <v>38</v>
      </c>
      <c r="D64" s="57"/>
      <c r="E64" s="57"/>
      <c r="F64" s="57">
        <v>19990</v>
      </c>
      <c r="G64" s="57" t="s">
        <v>119</v>
      </c>
      <c r="H64" s="57"/>
    </row>
    <row r="65" spans="1:8" ht="15.75" customHeight="1" x14ac:dyDescent="0.25">
      <c r="A65" s="81">
        <v>57</v>
      </c>
      <c r="B65" s="58">
        <v>46041</v>
      </c>
      <c r="C65" s="54" t="s">
        <v>38</v>
      </c>
      <c r="D65" s="57"/>
      <c r="E65" s="57"/>
      <c r="F65" s="57">
        <v>15990</v>
      </c>
      <c r="G65" s="57" t="s">
        <v>120</v>
      </c>
      <c r="H65" s="57"/>
    </row>
    <row r="66" spans="1:8" ht="15.75" customHeight="1" x14ac:dyDescent="0.25">
      <c r="A66" s="82">
        <v>58</v>
      </c>
      <c r="B66" s="58">
        <v>46041</v>
      </c>
      <c r="C66" s="54" t="s">
        <v>38</v>
      </c>
      <c r="D66" s="57"/>
      <c r="E66" s="57"/>
      <c r="F66" s="57">
        <v>21500</v>
      </c>
      <c r="G66" s="57" t="s">
        <v>118</v>
      </c>
      <c r="H66" s="57"/>
    </row>
    <row r="67" spans="1:8" ht="15.75" customHeight="1" x14ac:dyDescent="0.25">
      <c r="A67" s="81">
        <v>59</v>
      </c>
      <c r="B67" s="58">
        <v>46041</v>
      </c>
      <c r="C67" s="48" t="s">
        <v>44</v>
      </c>
      <c r="D67" s="57">
        <v>48850</v>
      </c>
      <c r="E67" s="57"/>
      <c r="F67" s="57"/>
      <c r="G67" s="57" t="s">
        <v>126</v>
      </c>
      <c r="H67" s="57"/>
    </row>
    <row r="68" spans="1:8" ht="15.75" customHeight="1" x14ac:dyDescent="0.25">
      <c r="A68" s="82">
        <v>60</v>
      </c>
      <c r="B68" s="58">
        <v>46041</v>
      </c>
      <c r="C68" s="48" t="s">
        <v>44</v>
      </c>
      <c r="D68" s="57">
        <v>34100</v>
      </c>
      <c r="E68" s="57"/>
      <c r="F68" s="57"/>
      <c r="G68" s="57" t="s">
        <v>127</v>
      </c>
      <c r="H68" s="57"/>
    </row>
    <row r="69" spans="1:8" ht="15.75" customHeight="1" x14ac:dyDescent="0.25">
      <c r="A69" s="81">
        <v>61</v>
      </c>
      <c r="B69" s="58">
        <v>46041</v>
      </c>
      <c r="C69" s="48" t="s">
        <v>53</v>
      </c>
      <c r="D69" s="57">
        <v>111225</v>
      </c>
      <c r="E69" s="57"/>
      <c r="F69" s="57"/>
      <c r="G69" s="57" t="s">
        <v>122</v>
      </c>
      <c r="H69" s="57"/>
    </row>
    <row r="70" spans="1:8" ht="15.75" customHeight="1" x14ac:dyDescent="0.25">
      <c r="A70" s="82">
        <v>62</v>
      </c>
      <c r="B70" s="58">
        <v>46041</v>
      </c>
      <c r="C70" s="48" t="s">
        <v>57</v>
      </c>
      <c r="D70" s="57">
        <v>32660</v>
      </c>
      <c r="E70" s="57"/>
      <c r="F70" s="57"/>
      <c r="G70" s="57" t="s">
        <v>123</v>
      </c>
      <c r="H70" s="57"/>
    </row>
    <row r="71" spans="1:8" ht="15.75" customHeight="1" x14ac:dyDescent="0.25">
      <c r="A71" s="81">
        <v>63</v>
      </c>
      <c r="B71" s="58">
        <v>46041</v>
      </c>
      <c r="C71" s="48" t="s">
        <v>117</v>
      </c>
      <c r="D71" s="57">
        <v>13475</v>
      </c>
      <c r="E71" s="57"/>
      <c r="F71" s="57"/>
      <c r="G71" s="57" t="s">
        <v>121</v>
      </c>
      <c r="H71" s="57"/>
    </row>
    <row r="72" spans="1:8" ht="15.75" customHeight="1" x14ac:dyDescent="0.25">
      <c r="A72" s="82">
        <v>64</v>
      </c>
      <c r="B72" s="58">
        <v>46041</v>
      </c>
      <c r="C72" s="48" t="s">
        <v>57</v>
      </c>
      <c r="D72" s="57">
        <v>17665</v>
      </c>
      <c r="E72" s="57"/>
      <c r="F72" s="57"/>
      <c r="G72" s="57" t="s">
        <v>124</v>
      </c>
      <c r="H72" s="57"/>
    </row>
    <row r="73" spans="1:8" ht="15.75" customHeight="1" x14ac:dyDescent="0.25">
      <c r="A73" s="81">
        <v>65</v>
      </c>
      <c r="B73" s="58">
        <v>46041</v>
      </c>
      <c r="C73" s="48" t="s">
        <v>128</v>
      </c>
      <c r="D73" s="57">
        <v>5000</v>
      </c>
      <c r="E73" s="57"/>
      <c r="F73" s="57"/>
      <c r="G73" s="57" t="s">
        <v>129</v>
      </c>
      <c r="H73" s="57"/>
    </row>
    <row r="74" spans="1:8" ht="15.75" customHeight="1" x14ac:dyDescent="0.25">
      <c r="A74" s="82">
        <v>66</v>
      </c>
      <c r="B74" s="55">
        <v>46042</v>
      </c>
      <c r="C74" s="50" t="s">
        <v>35</v>
      </c>
      <c r="D74" s="51"/>
      <c r="E74" s="51">
        <v>341000</v>
      </c>
      <c r="F74" s="51"/>
      <c r="G74" s="51" t="s">
        <v>130</v>
      </c>
      <c r="H74" s="51"/>
    </row>
    <row r="75" spans="1:8" ht="15.75" customHeight="1" x14ac:dyDescent="0.25">
      <c r="A75" s="81">
        <v>67</v>
      </c>
      <c r="B75" s="58">
        <v>46042</v>
      </c>
      <c r="C75" s="54" t="s">
        <v>38</v>
      </c>
      <c r="D75" s="57"/>
      <c r="E75" s="57"/>
      <c r="F75" s="57">
        <v>3200</v>
      </c>
      <c r="G75" s="57" t="s">
        <v>131</v>
      </c>
      <c r="H75" s="57"/>
    </row>
    <row r="76" spans="1:8" ht="15.75" customHeight="1" x14ac:dyDescent="0.25">
      <c r="A76" s="82">
        <v>68</v>
      </c>
      <c r="B76" s="58">
        <v>46042</v>
      </c>
      <c r="C76" s="54" t="s">
        <v>38</v>
      </c>
      <c r="D76" s="57"/>
      <c r="E76" s="57"/>
      <c r="F76" s="57">
        <v>5500</v>
      </c>
      <c r="G76" s="57" t="s">
        <v>133</v>
      </c>
      <c r="H76" s="57"/>
    </row>
    <row r="77" spans="1:8" ht="15.75" customHeight="1" x14ac:dyDescent="0.25">
      <c r="A77" s="81">
        <v>69</v>
      </c>
      <c r="B77" s="58">
        <v>46042</v>
      </c>
      <c r="C77" s="54" t="s">
        <v>38</v>
      </c>
      <c r="D77" s="57"/>
      <c r="E77" s="57"/>
      <c r="F77" s="57">
        <v>15990</v>
      </c>
      <c r="G77" s="57" t="s">
        <v>132</v>
      </c>
      <c r="H77" s="57"/>
    </row>
    <row r="78" spans="1:8" ht="15.75" customHeight="1" x14ac:dyDescent="0.25">
      <c r="A78" s="82">
        <v>70</v>
      </c>
      <c r="B78" s="58">
        <v>46042</v>
      </c>
      <c r="C78" s="54" t="s">
        <v>38</v>
      </c>
      <c r="D78" s="57"/>
      <c r="E78" s="57"/>
      <c r="F78" s="57">
        <v>3200</v>
      </c>
      <c r="G78" s="57" t="s">
        <v>134</v>
      </c>
      <c r="H78" s="57"/>
    </row>
    <row r="79" spans="1:8" ht="15.75" customHeight="1" x14ac:dyDescent="0.25">
      <c r="A79" s="81">
        <v>71</v>
      </c>
      <c r="B79" s="58">
        <v>46042</v>
      </c>
      <c r="C79" s="54" t="s">
        <v>38</v>
      </c>
      <c r="D79" s="57"/>
      <c r="E79" s="57"/>
      <c r="F79" s="57">
        <v>7200</v>
      </c>
      <c r="G79" s="57" t="s">
        <v>135</v>
      </c>
      <c r="H79" s="57"/>
    </row>
    <row r="80" spans="1:8" ht="15.75" customHeight="1" x14ac:dyDescent="0.25">
      <c r="A80" s="82">
        <v>72</v>
      </c>
      <c r="B80" s="58">
        <v>46042</v>
      </c>
      <c r="C80" s="48" t="s">
        <v>41</v>
      </c>
      <c r="D80" s="57">
        <v>12560</v>
      </c>
      <c r="E80" s="57"/>
      <c r="F80" s="57"/>
      <c r="G80" s="57" t="s">
        <v>136</v>
      </c>
      <c r="H80" s="57"/>
    </row>
    <row r="81" spans="1:8" ht="15.75" customHeight="1" x14ac:dyDescent="0.25">
      <c r="A81" s="81">
        <v>73</v>
      </c>
      <c r="B81" s="58">
        <v>46042</v>
      </c>
      <c r="C81" s="48" t="s">
        <v>40</v>
      </c>
      <c r="D81" s="57">
        <v>10545</v>
      </c>
      <c r="E81" s="57"/>
      <c r="F81" s="57"/>
      <c r="G81" s="57" t="s">
        <v>137</v>
      </c>
      <c r="H81" s="57"/>
    </row>
    <row r="82" spans="1:8" ht="15.75" customHeight="1" x14ac:dyDescent="0.25">
      <c r="A82" s="82">
        <v>74</v>
      </c>
      <c r="B82" s="58">
        <v>46042</v>
      </c>
      <c r="C82" s="48" t="s">
        <v>62</v>
      </c>
      <c r="D82" s="57">
        <v>43015</v>
      </c>
      <c r="E82" s="57"/>
      <c r="F82" s="57"/>
      <c r="G82" s="57" t="s">
        <v>138</v>
      </c>
      <c r="H82" s="57"/>
    </row>
    <row r="83" spans="1:8" ht="15.75" customHeight="1" x14ac:dyDescent="0.25">
      <c r="A83" s="81">
        <v>75</v>
      </c>
      <c r="B83" s="58">
        <v>46042</v>
      </c>
      <c r="C83" s="48" t="s">
        <v>36</v>
      </c>
      <c r="D83" s="57">
        <v>38270</v>
      </c>
      <c r="E83" s="57"/>
      <c r="F83" s="57"/>
      <c r="G83" s="57" t="s">
        <v>139</v>
      </c>
      <c r="H83" s="57"/>
    </row>
    <row r="84" spans="1:8" ht="15.75" customHeight="1" x14ac:dyDescent="0.25">
      <c r="A84" s="82">
        <v>76</v>
      </c>
      <c r="B84" s="58">
        <v>46042</v>
      </c>
      <c r="C84" s="48" t="s">
        <v>128</v>
      </c>
      <c r="D84" s="57">
        <v>5000</v>
      </c>
      <c r="E84" s="57"/>
      <c r="F84" s="57"/>
      <c r="G84" s="57" t="s">
        <v>140</v>
      </c>
      <c r="H84" s="57"/>
    </row>
    <row r="85" spans="1:8" ht="15.75" customHeight="1" x14ac:dyDescent="0.25">
      <c r="A85" s="81">
        <v>77</v>
      </c>
      <c r="B85" s="58">
        <v>46042</v>
      </c>
      <c r="C85" s="54" t="s">
        <v>38</v>
      </c>
      <c r="D85" s="57"/>
      <c r="E85" s="57"/>
      <c r="F85" s="57">
        <v>3200</v>
      </c>
      <c r="G85" s="57" t="s">
        <v>141</v>
      </c>
      <c r="H85" s="57"/>
    </row>
    <row r="86" spans="1:8" ht="15.75" customHeight="1" x14ac:dyDescent="0.25">
      <c r="A86" s="82">
        <v>78</v>
      </c>
      <c r="B86" s="58">
        <v>46042</v>
      </c>
      <c r="C86" s="54" t="s">
        <v>38</v>
      </c>
      <c r="D86" s="57"/>
      <c r="E86" s="57"/>
      <c r="F86" s="57">
        <v>15990</v>
      </c>
      <c r="G86" s="57" t="s">
        <v>142</v>
      </c>
      <c r="H86" s="57"/>
    </row>
    <row r="87" spans="1:8" ht="15.75" customHeight="1" x14ac:dyDescent="0.25">
      <c r="A87" s="81">
        <v>79</v>
      </c>
      <c r="B87" s="56">
        <v>46043</v>
      </c>
      <c r="C87" s="45" t="s">
        <v>48</v>
      </c>
      <c r="D87" s="46">
        <v>15310</v>
      </c>
      <c r="E87" s="46"/>
      <c r="F87" s="46"/>
      <c r="G87" s="46" t="s">
        <v>143</v>
      </c>
      <c r="H87" s="46"/>
    </row>
    <row r="88" spans="1:8" ht="15.75" customHeight="1" x14ac:dyDescent="0.25">
      <c r="A88" s="82">
        <v>80</v>
      </c>
      <c r="B88" s="58">
        <v>46043</v>
      </c>
      <c r="C88" s="48" t="s">
        <v>128</v>
      </c>
      <c r="D88" s="57">
        <v>5000</v>
      </c>
      <c r="E88" s="57"/>
      <c r="F88" s="57"/>
      <c r="G88" s="57" t="s">
        <v>144</v>
      </c>
      <c r="H88" s="57"/>
    </row>
    <row r="89" spans="1:8" ht="15.75" customHeight="1" x14ac:dyDescent="0.25">
      <c r="A89" s="81">
        <v>81</v>
      </c>
      <c r="B89" s="58">
        <v>46043</v>
      </c>
      <c r="C89" s="54" t="s">
        <v>38</v>
      </c>
      <c r="D89" s="57"/>
      <c r="E89" s="57"/>
      <c r="F89" s="57">
        <v>3200</v>
      </c>
      <c r="G89" s="57" t="s">
        <v>145</v>
      </c>
      <c r="H89" s="57"/>
    </row>
    <row r="90" spans="1:8" ht="15.75" customHeight="1" x14ac:dyDescent="0.25">
      <c r="A90" s="82">
        <v>82</v>
      </c>
      <c r="B90" s="56">
        <v>46044</v>
      </c>
      <c r="C90" s="44" t="s">
        <v>38</v>
      </c>
      <c r="D90" s="46"/>
      <c r="E90" s="46"/>
      <c r="F90" s="46">
        <v>15270</v>
      </c>
      <c r="G90" s="46" t="s">
        <v>146</v>
      </c>
      <c r="H90" s="46"/>
    </row>
    <row r="91" spans="1:8" ht="15.75" customHeight="1" x14ac:dyDescent="0.25">
      <c r="A91" s="81">
        <v>83</v>
      </c>
      <c r="B91" s="58">
        <v>46044</v>
      </c>
      <c r="C91" s="54" t="s">
        <v>38</v>
      </c>
      <c r="D91" s="57"/>
      <c r="E91" s="57"/>
      <c r="F91" s="57">
        <v>1990</v>
      </c>
      <c r="G91" s="57" t="s">
        <v>147</v>
      </c>
      <c r="H91" s="57"/>
    </row>
    <row r="92" spans="1:8" ht="15.75" customHeight="1" x14ac:dyDescent="0.25">
      <c r="A92" s="82">
        <v>84</v>
      </c>
      <c r="B92" s="58">
        <v>46044</v>
      </c>
      <c r="C92" s="54" t="s">
        <v>38</v>
      </c>
      <c r="D92" s="57"/>
      <c r="E92" s="57"/>
      <c r="F92" s="57">
        <v>19990</v>
      </c>
      <c r="G92" s="57" t="s">
        <v>148</v>
      </c>
      <c r="H92" s="57"/>
    </row>
    <row r="93" spans="1:8" ht="15.75" customHeight="1" x14ac:dyDescent="0.25">
      <c r="A93" s="81">
        <v>85</v>
      </c>
      <c r="B93" s="58">
        <v>46044</v>
      </c>
      <c r="C93" s="54" t="s">
        <v>38</v>
      </c>
      <c r="D93" s="57"/>
      <c r="E93" s="57"/>
      <c r="F93" s="57">
        <v>8700</v>
      </c>
      <c r="G93" s="57" t="s">
        <v>149</v>
      </c>
      <c r="H93" s="57"/>
    </row>
    <row r="94" spans="1:8" ht="15.75" customHeight="1" x14ac:dyDescent="0.25">
      <c r="A94" s="82">
        <v>86</v>
      </c>
      <c r="B94" s="53">
        <v>46044</v>
      </c>
      <c r="C94" s="52" t="s">
        <v>35</v>
      </c>
      <c r="D94" s="49"/>
      <c r="E94" s="49">
        <v>125000</v>
      </c>
      <c r="F94" s="49"/>
      <c r="G94" s="49" t="s">
        <v>150</v>
      </c>
      <c r="H94" s="49"/>
    </row>
    <row r="95" spans="1:8" ht="15.75" customHeight="1" x14ac:dyDescent="0.25">
      <c r="A95" s="81">
        <v>87</v>
      </c>
      <c r="B95" s="58">
        <v>46044</v>
      </c>
      <c r="C95" s="48" t="s">
        <v>128</v>
      </c>
      <c r="D95" s="57">
        <v>5000</v>
      </c>
      <c r="E95" s="57"/>
      <c r="F95" s="57"/>
      <c r="G95" s="57"/>
      <c r="H95" s="57"/>
    </row>
    <row r="96" spans="1:8" ht="15.75" customHeight="1" x14ac:dyDescent="0.25">
      <c r="A96" s="82">
        <v>88</v>
      </c>
      <c r="B96" s="58">
        <v>46044</v>
      </c>
      <c r="C96" s="54" t="s">
        <v>38</v>
      </c>
      <c r="D96" s="57"/>
      <c r="E96" s="57"/>
      <c r="F96" s="57">
        <v>8700</v>
      </c>
      <c r="G96" s="57" t="s">
        <v>151</v>
      </c>
      <c r="H96" s="57"/>
    </row>
    <row r="97" spans="1:8" ht="15.75" customHeight="1" x14ac:dyDescent="0.25">
      <c r="A97" s="81">
        <v>89</v>
      </c>
      <c r="B97" s="56">
        <v>46045</v>
      </c>
      <c r="C97" s="44" t="s">
        <v>38</v>
      </c>
      <c r="D97" s="46"/>
      <c r="E97" s="46"/>
      <c r="F97" s="46">
        <v>15990</v>
      </c>
      <c r="G97" s="46" t="s">
        <v>156</v>
      </c>
      <c r="H97" s="46"/>
    </row>
    <row r="98" spans="1:8" ht="15.75" customHeight="1" x14ac:dyDescent="0.25">
      <c r="A98" s="82">
        <v>90</v>
      </c>
      <c r="B98" s="58">
        <v>46045</v>
      </c>
      <c r="C98" s="48" t="s">
        <v>25</v>
      </c>
      <c r="D98" s="57"/>
      <c r="E98" s="57"/>
      <c r="F98" s="57">
        <v>71650</v>
      </c>
      <c r="G98" s="57" t="s">
        <v>160</v>
      </c>
      <c r="H98" s="57"/>
    </row>
    <row r="99" spans="1:8" ht="15.75" customHeight="1" x14ac:dyDescent="0.25">
      <c r="A99" s="81">
        <v>91</v>
      </c>
      <c r="B99" s="58">
        <v>46045</v>
      </c>
      <c r="C99" s="48" t="s">
        <v>25</v>
      </c>
      <c r="D99" s="57"/>
      <c r="E99" s="57"/>
      <c r="F99" s="57">
        <v>57330</v>
      </c>
      <c r="G99" s="57" t="s">
        <v>161</v>
      </c>
      <c r="H99" s="57"/>
    </row>
    <row r="100" spans="1:8" ht="15.75" customHeight="1" x14ac:dyDescent="0.25">
      <c r="A100" s="82">
        <v>92</v>
      </c>
      <c r="B100" s="58">
        <v>46045</v>
      </c>
      <c r="C100" s="60" t="s">
        <v>43</v>
      </c>
      <c r="D100" s="57">
        <v>2456</v>
      </c>
      <c r="E100" s="57"/>
      <c r="F100" s="57"/>
      <c r="G100" s="57" t="s">
        <v>157</v>
      </c>
      <c r="H100" s="57"/>
    </row>
    <row r="101" spans="1:8" ht="15.75" customHeight="1" x14ac:dyDescent="0.25">
      <c r="A101" s="81">
        <v>93</v>
      </c>
      <c r="B101" s="58">
        <v>46045</v>
      </c>
      <c r="C101" s="48" t="s">
        <v>45</v>
      </c>
      <c r="D101" s="57"/>
      <c r="E101" s="57">
        <v>2000</v>
      </c>
      <c r="F101" s="57"/>
      <c r="G101" s="57"/>
      <c r="H101" s="57"/>
    </row>
    <row r="102" spans="1:8" ht="15.75" customHeight="1" x14ac:dyDescent="0.25">
      <c r="A102" s="82">
        <v>94</v>
      </c>
      <c r="B102" s="58">
        <v>46045</v>
      </c>
      <c r="C102" s="48" t="s">
        <v>45</v>
      </c>
      <c r="D102" s="57"/>
      <c r="E102" s="57">
        <v>2000</v>
      </c>
      <c r="F102" s="57"/>
      <c r="G102" s="57"/>
      <c r="H102" s="57"/>
    </row>
    <row r="103" spans="1:8" ht="15.75" customHeight="1" x14ac:dyDescent="0.25">
      <c r="A103" s="81">
        <v>95</v>
      </c>
      <c r="B103" s="56">
        <v>46048</v>
      </c>
      <c r="C103" s="45" t="s">
        <v>152</v>
      </c>
      <c r="D103" s="46"/>
      <c r="E103" s="46"/>
      <c r="F103" s="46">
        <v>10290</v>
      </c>
      <c r="G103" s="46" t="s">
        <v>154</v>
      </c>
      <c r="H103" s="46"/>
    </row>
    <row r="104" spans="1:8" ht="15.75" customHeight="1" x14ac:dyDescent="0.25">
      <c r="A104" s="82">
        <v>96</v>
      </c>
      <c r="B104" s="58">
        <v>46048</v>
      </c>
      <c r="C104" s="48" t="s">
        <v>34</v>
      </c>
      <c r="D104" s="57"/>
      <c r="E104" s="57"/>
      <c r="F104" s="57">
        <v>86462</v>
      </c>
      <c r="G104" s="57" t="s">
        <v>155</v>
      </c>
      <c r="H104" s="57"/>
    </row>
    <row r="105" spans="1:8" ht="15.75" customHeight="1" x14ac:dyDescent="0.25">
      <c r="A105" s="81">
        <v>97</v>
      </c>
      <c r="B105" s="58">
        <v>46048</v>
      </c>
      <c r="C105" s="48" t="s">
        <v>44</v>
      </c>
      <c r="D105" s="57">
        <v>25600</v>
      </c>
      <c r="E105" s="57"/>
      <c r="F105" s="57"/>
      <c r="G105" s="57" t="s">
        <v>158</v>
      </c>
      <c r="H105" s="57"/>
    </row>
    <row r="106" spans="1:8" ht="15.75" customHeight="1" x14ac:dyDescent="0.25">
      <c r="A106" s="82">
        <v>98</v>
      </c>
      <c r="B106" s="58">
        <v>46048</v>
      </c>
      <c r="C106" s="48" t="s">
        <v>60</v>
      </c>
      <c r="D106" s="57">
        <v>37600</v>
      </c>
      <c r="E106" s="57"/>
      <c r="F106" s="57"/>
      <c r="G106" s="57" t="s">
        <v>159</v>
      </c>
      <c r="H106" s="57"/>
    </row>
    <row r="107" spans="1:8" ht="15.75" customHeight="1" x14ac:dyDescent="0.25">
      <c r="A107" s="81">
        <v>99</v>
      </c>
      <c r="B107" s="58">
        <v>46048</v>
      </c>
      <c r="C107" s="54" t="s">
        <v>38</v>
      </c>
      <c r="D107" s="57"/>
      <c r="E107" s="57"/>
      <c r="F107" s="57">
        <v>15990</v>
      </c>
      <c r="G107" s="57" t="s">
        <v>153</v>
      </c>
      <c r="H107" s="57"/>
    </row>
    <row r="108" spans="1:8" ht="15.75" customHeight="1" x14ac:dyDescent="0.25">
      <c r="A108" s="82">
        <v>100</v>
      </c>
      <c r="B108" s="58">
        <v>46048</v>
      </c>
      <c r="C108" s="48" t="s">
        <v>32</v>
      </c>
      <c r="D108" s="57"/>
      <c r="E108" s="57"/>
      <c r="F108" s="57">
        <v>85850</v>
      </c>
      <c r="G108" s="57" t="s">
        <v>162</v>
      </c>
      <c r="H108" s="57"/>
    </row>
    <row r="109" spans="1:8" ht="15.75" customHeight="1" x14ac:dyDescent="0.25">
      <c r="A109" s="81">
        <v>101</v>
      </c>
      <c r="B109" s="58">
        <v>46048</v>
      </c>
      <c r="C109" s="48" t="s">
        <v>24</v>
      </c>
      <c r="D109" s="57"/>
      <c r="E109" s="57"/>
      <c r="F109" s="57">
        <v>45692</v>
      </c>
      <c r="G109" s="57" t="s">
        <v>163</v>
      </c>
      <c r="H109" s="57"/>
    </row>
    <row r="110" spans="1:8" ht="15.75" customHeight="1" x14ac:dyDescent="0.25">
      <c r="A110" s="82">
        <v>102</v>
      </c>
      <c r="B110" s="58">
        <v>46048</v>
      </c>
      <c r="C110" s="48" t="s">
        <v>164</v>
      </c>
      <c r="D110" s="57"/>
      <c r="E110" s="57"/>
      <c r="F110" s="57">
        <v>59202</v>
      </c>
      <c r="G110" s="57" t="s">
        <v>165</v>
      </c>
      <c r="H110" s="57"/>
    </row>
    <row r="111" spans="1:8" ht="15.75" customHeight="1" x14ac:dyDescent="0.25">
      <c r="A111" s="81">
        <v>103</v>
      </c>
      <c r="B111" s="58">
        <v>46048</v>
      </c>
      <c r="C111" s="48" t="s">
        <v>45</v>
      </c>
      <c r="D111" s="57"/>
      <c r="E111" s="57">
        <v>4000</v>
      </c>
      <c r="F111" s="57"/>
      <c r="G111" s="57" t="s">
        <v>63</v>
      </c>
      <c r="H111" s="57"/>
    </row>
    <row r="112" spans="1:8" ht="15.75" customHeight="1" x14ac:dyDescent="0.25">
      <c r="A112" s="82">
        <v>104</v>
      </c>
      <c r="B112" s="58">
        <v>46048</v>
      </c>
      <c r="C112" s="48" t="s">
        <v>166</v>
      </c>
      <c r="D112" s="57">
        <v>11350</v>
      </c>
      <c r="E112" s="57"/>
      <c r="F112" s="57"/>
      <c r="G112" s="57"/>
      <c r="H112" s="57"/>
    </row>
    <row r="113" spans="1:8" ht="15.75" customHeight="1" x14ac:dyDescent="0.25">
      <c r="A113" s="81">
        <v>105</v>
      </c>
      <c r="B113" s="58">
        <v>46048</v>
      </c>
      <c r="C113" s="54" t="s">
        <v>38</v>
      </c>
      <c r="D113" s="57"/>
      <c r="E113" s="57"/>
      <c r="F113" s="57">
        <v>19990</v>
      </c>
      <c r="G113" s="57" t="s">
        <v>167</v>
      </c>
      <c r="H113" s="57"/>
    </row>
    <row r="114" spans="1:8" ht="15.75" customHeight="1" x14ac:dyDescent="0.25">
      <c r="A114" s="82">
        <v>106</v>
      </c>
      <c r="B114" s="58">
        <v>46048</v>
      </c>
      <c r="C114" s="48" t="s">
        <v>128</v>
      </c>
      <c r="D114" s="57">
        <v>5000</v>
      </c>
      <c r="E114" s="57"/>
      <c r="F114" s="57"/>
      <c r="G114" s="57" t="s">
        <v>173</v>
      </c>
      <c r="H114" s="57"/>
    </row>
    <row r="115" spans="1:8" ht="15.75" customHeight="1" x14ac:dyDescent="0.25">
      <c r="A115" s="81">
        <v>107</v>
      </c>
      <c r="B115" s="56">
        <v>46049</v>
      </c>
      <c r="C115" s="44" t="s">
        <v>38</v>
      </c>
      <c r="D115" s="46"/>
      <c r="E115" s="46"/>
      <c r="F115" s="46">
        <v>1990</v>
      </c>
      <c r="G115" s="46" t="s">
        <v>168</v>
      </c>
      <c r="H115" s="46"/>
    </row>
    <row r="116" spans="1:8" ht="15.75" customHeight="1" x14ac:dyDescent="0.25">
      <c r="A116" s="82">
        <v>108</v>
      </c>
      <c r="B116" s="58">
        <v>46049</v>
      </c>
      <c r="C116" s="48" t="s">
        <v>128</v>
      </c>
      <c r="D116" s="57">
        <v>5000</v>
      </c>
      <c r="E116" s="57"/>
      <c r="F116" s="57"/>
      <c r="G116" s="57" t="s">
        <v>173</v>
      </c>
      <c r="H116" s="57"/>
    </row>
    <row r="117" spans="1:8" ht="15.75" customHeight="1" x14ac:dyDescent="0.25">
      <c r="A117" s="81">
        <v>109</v>
      </c>
      <c r="B117" s="56">
        <v>46050</v>
      </c>
      <c r="C117" s="45" t="s">
        <v>169</v>
      </c>
      <c r="D117" s="46">
        <v>24550</v>
      </c>
      <c r="E117" s="46"/>
      <c r="F117" s="46"/>
      <c r="G117" s="46" t="s">
        <v>170</v>
      </c>
      <c r="H117" s="46"/>
    </row>
    <row r="118" spans="1:8" ht="15.75" customHeight="1" x14ac:dyDescent="0.25">
      <c r="A118" s="82">
        <v>110</v>
      </c>
      <c r="B118" s="58">
        <v>46050</v>
      </c>
      <c r="C118" s="54" t="s">
        <v>38</v>
      </c>
      <c r="D118" s="57"/>
      <c r="E118" s="57"/>
      <c r="F118" s="57"/>
      <c r="G118" s="57"/>
      <c r="H118" s="57"/>
    </row>
    <row r="119" spans="1:8" ht="15.75" customHeight="1" x14ac:dyDescent="0.25">
      <c r="A119" s="81">
        <v>111</v>
      </c>
      <c r="B119" s="58">
        <v>46050</v>
      </c>
      <c r="C119" s="54" t="s">
        <v>38</v>
      </c>
      <c r="D119" s="57"/>
      <c r="E119" s="57"/>
      <c r="F119" s="57">
        <v>6500</v>
      </c>
      <c r="G119" s="57" t="s">
        <v>171</v>
      </c>
      <c r="H119" s="57"/>
    </row>
    <row r="120" spans="1:8" ht="15.75" customHeight="1" x14ac:dyDescent="0.25">
      <c r="A120" s="82">
        <v>112</v>
      </c>
      <c r="B120" s="58">
        <v>46050</v>
      </c>
      <c r="C120" s="48" t="s">
        <v>37</v>
      </c>
      <c r="D120" s="57">
        <v>19110</v>
      </c>
      <c r="E120" s="57"/>
      <c r="F120" s="57"/>
      <c r="G120" s="57" t="s">
        <v>172</v>
      </c>
      <c r="H120" s="57"/>
    </row>
    <row r="121" spans="1:8" ht="15.75" customHeight="1" x14ac:dyDescent="0.25">
      <c r="A121" s="81">
        <v>113</v>
      </c>
      <c r="B121" s="55">
        <v>46051</v>
      </c>
      <c r="C121" s="50" t="s">
        <v>35</v>
      </c>
      <c r="D121" s="51"/>
      <c r="E121" s="51">
        <v>131000</v>
      </c>
      <c r="F121" s="51"/>
      <c r="G121" s="51" t="s">
        <v>174</v>
      </c>
      <c r="H121" s="51"/>
    </row>
    <row r="122" spans="1:8" ht="15.75" customHeight="1" x14ac:dyDescent="0.25">
      <c r="A122" s="82">
        <v>114</v>
      </c>
      <c r="B122" s="58">
        <v>46051</v>
      </c>
      <c r="C122" s="48" t="s">
        <v>128</v>
      </c>
      <c r="D122" s="57">
        <v>5000</v>
      </c>
      <c r="E122" s="57"/>
      <c r="F122" s="57"/>
      <c r="G122" s="57" t="s">
        <v>173</v>
      </c>
      <c r="H122" s="57"/>
    </row>
    <row r="123" spans="1:8" ht="15.75" customHeight="1" x14ac:dyDescent="0.25">
      <c r="A123" s="81">
        <v>115</v>
      </c>
      <c r="B123" s="58">
        <v>46051</v>
      </c>
      <c r="C123" s="54" t="s">
        <v>38</v>
      </c>
      <c r="D123" s="57"/>
      <c r="E123" s="57"/>
      <c r="F123" s="57">
        <v>5500</v>
      </c>
      <c r="G123" s="57" t="s">
        <v>175</v>
      </c>
      <c r="H123" s="57"/>
    </row>
    <row r="124" spans="1:8" ht="15.75" customHeight="1" x14ac:dyDescent="0.25">
      <c r="A124" s="82">
        <v>116</v>
      </c>
      <c r="B124" s="58">
        <v>46051</v>
      </c>
      <c r="C124" s="54" t="s">
        <v>38</v>
      </c>
      <c r="D124" s="57"/>
      <c r="E124" s="57"/>
      <c r="F124" s="57">
        <v>7200</v>
      </c>
      <c r="G124" s="57" t="s">
        <v>176</v>
      </c>
      <c r="H124" s="57"/>
    </row>
    <row r="125" spans="1:8" ht="15.75" customHeight="1" x14ac:dyDescent="0.25">
      <c r="A125" s="81">
        <v>117</v>
      </c>
      <c r="B125" s="58">
        <v>46051</v>
      </c>
      <c r="C125" s="48" t="s">
        <v>128</v>
      </c>
      <c r="D125" s="57">
        <v>5000</v>
      </c>
      <c r="E125" s="57"/>
      <c r="F125" s="57"/>
      <c r="G125" s="57" t="s">
        <v>173</v>
      </c>
      <c r="H125" s="57"/>
    </row>
    <row r="126" spans="1:8" ht="15.75" customHeight="1" x14ac:dyDescent="0.25">
      <c r="A126" s="82">
        <v>118</v>
      </c>
      <c r="B126" s="56">
        <v>46052</v>
      </c>
      <c r="C126" s="44" t="s">
        <v>38</v>
      </c>
      <c r="D126" s="46"/>
      <c r="E126" s="46"/>
      <c r="F126" s="46">
        <v>12500</v>
      </c>
      <c r="G126" s="46" t="s">
        <v>177</v>
      </c>
      <c r="H126" s="46"/>
    </row>
    <row r="127" spans="1:8" ht="15.75" customHeight="1" x14ac:dyDescent="0.25">
      <c r="A127" s="81">
        <v>119</v>
      </c>
      <c r="B127" s="58">
        <v>46052</v>
      </c>
      <c r="C127" s="54" t="s">
        <v>38</v>
      </c>
      <c r="D127" s="57"/>
      <c r="E127" s="57"/>
      <c r="F127" s="57">
        <v>1990</v>
      </c>
      <c r="G127" s="57" t="s">
        <v>178</v>
      </c>
      <c r="H127" s="57"/>
    </row>
    <row r="128" spans="1:8" ht="15.75" customHeight="1" x14ac:dyDescent="0.25">
      <c r="A128" s="82">
        <v>120</v>
      </c>
      <c r="B128" s="58">
        <v>46052</v>
      </c>
      <c r="C128" s="48" t="s">
        <v>128</v>
      </c>
      <c r="D128" s="57">
        <v>5000</v>
      </c>
      <c r="E128" s="57"/>
      <c r="F128" s="57"/>
      <c r="G128" s="57" t="s">
        <v>173</v>
      </c>
      <c r="H128" s="57"/>
    </row>
    <row r="129" spans="1:8" ht="15.75" customHeight="1" x14ac:dyDescent="0.25">
      <c r="A129" s="81">
        <v>121</v>
      </c>
      <c r="B129" s="58">
        <v>46052</v>
      </c>
      <c r="C129" s="60" t="s">
        <v>43</v>
      </c>
      <c r="D129" s="57">
        <v>12664</v>
      </c>
      <c r="E129" s="57"/>
      <c r="F129" s="57"/>
      <c r="G129" s="57" t="s">
        <v>179</v>
      </c>
      <c r="H129" s="57"/>
    </row>
    <row r="130" spans="1:8" ht="15.75" customHeight="1" x14ac:dyDescent="0.25">
      <c r="A130" s="82">
        <v>122</v>
      </c>
      <c r="B130" s="58">
        <v>46052</v>
      </c>
      <c r="C130" s="48" t="s">
        <v>45</v>
      </c>
      <c r="D130" s="57"/>
      <c r="E130" s="57">
        <v>1000</v>
      </c>
      <c r="F130" s="57"/>
      <c r="G130" s="57" t="s">
        <v>50</v>
      </c>
      <c r="H130" s="57"/>
    </row>
    <row r="131" spans="1:8" ht="15.75" customHeight="1" x14ac:dyDescent="0.25">
      <c r="A131" s="81">
        <v>123</v>
      </c>
      <c r="B131" s="56">
        <v>46055</v>
      </c>
      <c r="C131" s="79" t="s">
        <v>38</v>
      </c>
      <c r="D131" s="46"/>
      <c r="E131" s="46"/>
      <c r="F131" s="46">
        <v>6990</v>
      </c>
      <c r="G131" s="46" t="s">
        <v>180</v>
      </c>
      <c r="H131" s="46"/>
    </row>
    <row r="132" spans="1:8" ht="15.75" customHeight="1" x14ac:dyDescent="0.25">
      <c r="A132" s="82">
        <v>124</v>
      </c>
      <c r="B132" s="58">
        <v>46055</v>
      </c>
      <c r="C132" s="80" t="s">
        <v>38</v>
      </c>
      <c r="D132" s="57"/>
      <c r="E132" s="57"/>
      <c r="F132" s="57">
        <v>6990</v>
      </c>
      <c r="G132" s="57" t="s">
        <v>181</v>
      </c>
      <c r="H132" s="57"/>
    </row>
    <row r="133" spans="1:8" ht="15.75" customHeight="1" x14ac:dyDescent="0.25">
      <c r="A133" s="81">
        <v>125</v>
      </c>
      <c r="B133" s="58">
        <v>46055</v>
      </c>
      <c r="C133" s="80" t="s">
        <v>38</v>
      </c>
      <c r="D133" s="57"/>
      <c r="E133" s="57"/>
      <c r="F133" s="57">
        <v>21500</v>
      </c>
      <c r="G133" s="57" t="s">
        <v>182</v>
      </c>
      <c r="H133" s="57"/>
    </row>
    <row r="134" spans="1:8" ht="15.75" customHeight="1" x14ac:dyDescent="0.25">
      <c r="A134" s="82">
        <v>126</v>
      </c>
      <c r="B134" s="58">
        <v>46055</v>
      </c>
      <c r="C134" s="80" t="s">
        <v>38</v>
      </c>
      <c r="D134" s="57"/>
      <c r="E134" s="57"/>
      <c r="F134" s="57">
        <v>6990</v>
      </c>
      <c r="G134" s="57" t="s">
        <v>183</v>
      </c>
      <c r="H134" s="57"/>
    </row>
    <row r="135" spans="1:8" ht="15.75" customHeight="1" x14ac:dyDescent="0.25">
      <c r="A135" s="81">
        <v>127</v>
      </c>
      <c r="B135" s="58">
        <v>46055</v>
      </c>
      <c r="C135" s="80" t="s">
        <v>38</v>
      </c>
      <c r="D135" s="57"/>
      <c r="E135" s="57"/>
      <c r="F135" s="57">
        <v>2800</v>
      </c>
      <c r="G135" s="57" t="s">
        <v>184</v>
      </c>
      <c r="H135" s="57"/>
    </row>
    <row r="136" spans="1:8" ht="15.75" customHeight="1" x14ac:dyDescent="0.25">
      <c r="A136" s="82">
        <v>128</v>
      </c>
      <c r="B136" s="58">
        <v>46055</v>
      </c>
      <c r="C136" s="80" t="s">
        <v>38</v>
      </c>
      <c r="D136" s="57"/>
      <c r="E136" s="57"/>
      <c r="F136" s="57">
        <v>3500</v>
      </c>
      <c r="G136" s="57" t="s">
        <v>185</v>
      </c>
      <c r="H136" s="57"/>
    </row>
    <row r="137" spans="1:8" ht="15.75" customHeight="1" x14ac:dyDescent="0.25">
      <c r="A137" s="81">
        <v>129</v>
      </c>
      <c r="B137" s="58">
        <v>46055</v>
      </c>
      <c r="C137" s="48" t="s">
        <v>44</v>
      </c>
      <c r="D137" s="57">
        <v>40040</v>
      </c>
      <c r="E137" s="57"/>
      <c r="F137" s="57"/>
      <c r="G137" s="57" t="s">
        <v>190</v>
      </c>
      <c r="H137" s="57"/>
    </row>
    <row r="138" spans="1:8" ht="15.75" customHeight="1" x14ac:dyDescent="0.25">
      <c r="A138" s="82">
        <v>130</v>
      </c>
      <c r="B138" s="58">
        <v>46055</v>
      </c>
      <c r="C138" s="48" t="s">
        <v>44</v>
      </c>
      <c r="D138" s="57">
        <v>130970</v>
      </c>
      <c r="E138" s="57"/>
      <c r="F138" s="57"/>
      <c r="G138" s="57" t="s">
        <v>191</v>
      </c>
      <c r="H138" s="57"/>
    </row>
    <row r="139" spans="1:8" ht="15.75" customHeight="1" x14ac:dyDescent="0.25">
      <c r="A139" s="81">
        <v>131</v>
      </c>
      <c r="B139" s="58">
        <v>46055</v>
      </c>
      <c r="C139" s="48" t="s">
        <v>53</v>
      </c>
      <c r="D139" s="57">
        <v>22350</v>
      </c>
      <c r="E139" s="57"/>
      <c r="F139" s="57"/>
      <c r="G139" s="57" t="s">
        <v>192</v>
      </c>
      <c r="H139" s="57"/>
    </row>
    <row r="140" spans="1:8" ht="15.75" customHeight="1" x14ac:dyDescent="0.25">
      <c r="A140" s="82">
        <v>132</v>
      </c>
      <c r="B140" s="58">
        <v>46055</v>
      </c>
      <c r="C140" s="48" t="s">
        <v>152</v>
      </c>
      <c r="D140" s="57"/>
      <c r="E140" s="57"/>
      <c r="F140" s="57">
        <v>16805</v>
      </c>
      <c r="G140" s="57" t="s">
        <v>186</v>
      </c>
      <c r="H140" s="57"/>
    </row>
    <row r="141" spans="1:8" ht="15.75" customHeight="1" x14ac:dyDescent="0.25">
      <c r="A141" s="81">
        <v>133</v>
      </c>
      <c r="B141" s="58">
        <v>46055</v>
      </c>
      <c r="C141" s="48" t="s">
        <v>187</v>
      </c>
      <c r="D141" s="57"/>
      <c r="E141" s="57">
        <v>1850</v>
      </c>
      <c r="F141" s="57"/>
      <c r="G141" s="57" t="s">
        <v>188</v>
      </c>
      <c r="H141" s="57"/>
    </row>
    <row r="142" spans="1:8" ht="15.75" customHeight="1" x14ac:dyDescent="0.25">
      <c r="A142" s="82">
        <v>134</v>
      </c>
      <c r="B142" s="58">
        <v>46055</v>
      </c>
      <c r="C142" s="48" t="s">
        <v>28</v>
      </c>
      <c r="D142" s="57"/>
      <c r="E142" s="57"/>
      <c r="F142" s="57">
        <v>37240</v>
      </c>
      <c r="G142" s="57" t="s">
        <v>189</v>
      </c>
      <c r="H142" s="57"/>
    </row>
    <row r="143" spans="1:8" ht="15.75" customHeight="1" x14ac:dyDescent="0.25">
      <c r="A143" s="81">
        <v>135</v>
      </c>
      <c r="B143" s="58">
        <v>46055</v>
      </c>
      <c r="C143" s="48" t="s">
        <v>57</v>
      </c>
      <c r="D143" s="57">
        <v>25120</v>
      </c>
      <c r="E143" s="57"/>
      <c r="F143" s="57"/>
      <c r="G143" s="57"/>
      <c r="H143" s="57"/>
    </row>
    <row r="144" spans="1:8" ht="15.75" customHeight="1" x14ac:dyDescent="0.25">
      <c r="A144" s="82">
        <v>136</v>
      </c>
      <c r="B144" s="58">
        <v>46055</v>
      </c>
      <c r="C144" s="48" t="s">
        <v>128</v>
      </c>
      <c r="D144" s="57">
        <v>5000</v>
      </c>
      <c r="E144" s="57"/>
      <c r="F144" s="57"/>
      <c r="G144" s="57" t="s">
        <v>173</v>
      </c>
      <c r="H144" s="57"/>
    </row>
    <row r="145" spans="1:8" ht="15.75" customHeight="1" x14ac:dyDescent="0.25">
      <c r="A145" s="81">
        <v>137</v>
      </c>
      <c r="B145" s="56">
        <v>46056</v>
      </c>
      <c r="C145" s="45" t="s">
        <v>59</v>
      </c>
      <c r="D145" s="46"/>
      <c r="E145" s="46"/>
      <c r="F145" s="46">
        <v>19580</v>
      </c>
      <c r="G145" s="46" t="s">
        <v>193</v>
      </c>
      <c r="H145" s="46"/>
    </row>
    <row r="146" spans="1:8" ht="15.75" customHeight="1" x14ac:dyDescent="0.25">
      <c r="A146" s="82">
        <v>138</v>
      </c>
      <c r="B146" s="58">
        <v>46056</v>
      </c>
      <c r="C146" s="48" t="s">
        <v>59</v>
      </c>
      <c r="D146" s="57"/>
      <c r="E146" s="57"/>
      <c r="F146" s="57">
        <v>14740</v>
      </c>
      <c r="G146" s="57" t="s">
        <v>194</v>
      </c>
      <c r="H146" s="57"/>
    </row>
    <row r="147" spans="1:8" ht="15.75" customHeight="1" x14ac:dyDescent="0.25">
      <c r="A147" s="81">
        <v>139</v>
      </c>
      <c r="B147" s="58">
        <v>46056</v>
      </c>
      <c r="C147" s="80" t="s">
        <v>38</v>
      </c>
      <c r="D147" s="57"/>
      <c r="E147" s="57"/>
      <c r="F147" s="57">
        <v>7200</v>
      </c>
      <c r="G147" s="57" t="s">
        <v>195</v>
      </c>
      <c r="H147" s="57"/>
    </row>
    <row r="148" spans="1:8" ht="15.75" customHeight="1" x14ac:dyDescent="0.25">
      <c r="A148" s="82">
        <v>140</v>
      </c>
      <c r="B148" s="58">
        <v>46056</v>
      </c>
      <c r="C148" s="48" t="s">
        <v>187</v>
      </c>
      <c r="D148" s="57"/>
      <c r="E148" s="57">
        <v>2030</v>
      </c>
      <c r="F148" s="57"/>
      <c r="G148" s="57" t="s">
        <v>188</v>
      </c>
      <c r="H148" s="57"/>
    </row>
    <row r="149" spans="1:8" ht="15.75" customHeight="1" x14ac:dyDescent="0.25">
      <c r="A149" s="81">
        <v>141</v>
      </c>
      <c r="B149" s="58">
        <v>46056</v>
      </c>
      <c r="C149" s="48" t="s">
        <v>187</v>
      </c>
      <c r="D149" s="57"/>
      <c r="E149" s="57">
        <v>2235</v>
      </c>
      <c r="F149" s="57"/>
      <c r="G149" s="57" t="s">
        <v>188</v>
      </c>
      <c r="H149" s="57"/>
    </row>
    <row r="150" spans="1:8" ht="15.75" customHeight="1" x14ac:dyDescent="0.25">
      <c r="A150" s="82">
        <v>142</v>
      </c>
      <c r="B150" s="53">
        <v>46056</v>
      </c>
      <c r="C150" s="52" t="s">
        <v>35</v>
      </c>
      <c r="D150" s="49"/>
      <c r="E150" s="49">
        <v>243500</v>
      </c>
      <c r="F150" s="49"/>
      <c r="G150" s="49" t="s">
        <v>196</v>
      </c>
      <c r="H150" s="49"/>
    </row>
    <row r="151" spans="1:8" ht="15.75" customHeight="1" x14ac:dyDescent="0.25">
      <c r="A151" s="81">
        <v>143</v>
      </c>
      <c r="B151" s="58">
        <v>46056</v>
      </c>
      <c r="C151" s="80" t="s">
        <v>38</v>
      </c>
      <c r="D151" s="57"/>
      <c r="E151" s="57"/>
      <c r="F151" s="57">
        <v>1990</v>
      </c>
      <c r="G151" s="57" t="s">
        <v>197</v>
      </c>
      <c r="H151" s="57"/>
    </row>
    <row r="152" spans="1:8" ht="15.75" customHeight="1" x14ac:dyDescent="0.25">
      <c r="A152" s="82">
        <v>144</v>
      </c>
      <c r="B152" s="58">
        <v>46056</v>
      </c>
      <c r="C152" s="80" t="s">
        <v>38</v>
      </c>
      <c r="D152" s="57"/>
      <c r="E152" s="57"/>
      <c r="F152" s="57">
        <v>3980</v>
      </c>
      <c r="G152" s="57" t="s">
        <v>198</v>
      </c>
      <c r="H152" s="57"/>
    </row>
    <row r="153" spans="1:8" ht="15.75" customHeight="1" x14ac:dyDescent="0.25">
      <c r="A153" s="81">
        <v>145</v>
      </c>
      <c r="B153" s="58">
        <v>46056</v>
      </c>
      <c r="C153" s="48" t="s">
        <v>128</v>
      </c>
      <c r="D153" s="57">
        <v>5000</v>
      </c>
      <c r="E153" s="57"/>
      <c r="F153" s="57"/>
      <c r="G153" s="57"/>
      <c r="H153" s="57"/>
    </row>
    <row r="154" spans="1:8" ht="15.75" customHeight="1" x14ac:dyDescent="0.25">
      <c r="A154" s="82">
        <v>146</v>
      </c>
      <c r="B154" s="56">
        <v>46057</v>
      </c>
      <c r="C154" s="79" t="s">
        <v>38</v>
      </c>
      <c r="D154" s="46"/>
      <c r="E154" s="46"/>
      <c r="F154" s="46">
        <v>6000</v>
      </c>
      <c r="G154" s="46" t="s">
        <v>199</v>
      </c>
      <c r="H154" s="46"/>
    </row>
    <row r="155" spans="1:8" ht="15.75" customHeight="1" x14ac:dyDescent="0.25">
      <c r="A155" s="81">
        <v>147</v>
      </c>
      <c r="B155" s="58">
        <v>46057</v>
      </c>
      <c r="C155" s="48" t="s">
        <v>200</v>
      </c>
      <c r="D155" s="57">
        <v>19050</v>
      </c>
      <c r="E155" s="57"/>
      <c r="F155" s="57"/>
      <c r="G155" s="57" t="s">
        <v>201</v>
      </c>
      <c r="H155" s="57"/>
    </row>
    <row r="156" spans="1:8" ht="15.75" customHeight="1" x14ac:dyDescent="0.25">
      <c r="A156" s="82">
        <v>148</v>
      </c>
      <c r="B156" s="58">
        <v>46057</v>
      </c>
      <c r="C156" s="48" t="s">
        <v>128</v>
      </c>
      <c r="D156" s="57">
        <v>5000</v>
      </c>
      <c r="E156" s="57"/>
      <c r="F156" s="57"/>
      <c r="G156" s="57" t="s">
        <v>173</v>
      </c>
      <c r="H156" s="57"/>
    </row>
    <row r="157" spans="1:8" ht="15.75" customHeight="1" x14ac:dyDescent="0.25">
      <c r="A157" s="81">
        <v>149</v>
      </c>
      <c r="B157" s="56">
        <v>46058</v>
      </c>
      <c r="C157" s="45" t="s">
        <v>48</v>
      </c>
      <c r="D157" s="46">
        <v>20040</v>
      </c>
      <c r="E157" s="46"/>
      <c r="F157" s="46"/>
      <c r="G157" s="46" t="s">
        <v>202</v>
      </c>
      <c r="H157" s="46"/>
    </row>
    <row r="158" spans="1:8" ht="15.75" customHeight="1" x14ac:dyDescent="0.25">
      <c r="A158" s="82">
        <v>150</v>
      </c>
      <c r="B158" s="58">
        <v>46058</v>
      </c>
      <c r="C158" s="48" t="s">
        <v>205</v>
      </c>
      <c r="D158" s="57"/>
      <c r="E158" s="57"/>
      <c r="F158" s="57">
        <v>27731</v>
      </c>
      <c r="G158" s="57" t="s">
        <v>102</v>
      </c>
      <c r="H158" s="57"/>
    </row>
    <row r="159" spans="1:8" ht="15.75" customHeight="1" x14ac:dyDescent="0.25">
      <c r="A159" s="81">
        <v>151</v>
      </c>
      <c r="B159" s="58">
        <v>46058</v>
      </c>
      <c r="C159" s="80" t="s">
        <v>38</v>
      </c>
      <c r="D159" s="57"/>
      <c r="E159" s="57"/>
      <c r="F159" s="57">
        <v>18500</v>
      </c>
      <c r="G159" s="57" t="s">
        <v>203</v>
      </c>
      <c r="H159" s="57"/>
    </row>
    <row r="160" spans="1:8" ht="15.75" customHeight="1" x14ac:dyDescent="0.25">
      <c r="A160" s="82">
        <v>152</v>
      </c>
      <c r="B160" s="58">
        <v>46058</v>
      </c>
      <c r="C160" s="80" t="s">
        <v>38</v>
      </c>
      <c r="D160" s="57"/>
      <c r="E160" s="57"/>
      <c r="F160" s="57">
        <v>19990</v>
      </c>
      <c r="G160" s="57" t="s">
        <v>204</v>
      </c>
      <c r="H160" s="57"/>
    </row>
    <row r="161" spans="1:8" ht="15.75" customHeight="1" x14ac:dyDescent="0.25">
      <c r="A161" s="81">
        <v>153</v>
      </c>
      <c r="B161" s="58">
        <v>46058</v>
      </c>
      <c r="C161" s="48" t="s">
        <v>207</v>
      </c>
      <c r="D161" s="57"/>
      <c r="E161" s="57"/>
      <c r="F161" s="57">
        <v>22000</v>
      </c>
      <c r="G161" s="57" t="s">
        <v>206</v>
      </c>
      <c r="H161" s="57"/>
    </row>
    <row r="162" spans="1:8" ht="15.75" customHeight="1" x14ac:dyDescent="0.25">
      <c r="A162" s="82">
        <v>154</v>
      </c>
      <c r="B162" s="58">
        <v>46058</v>
      </c>
      <c r="C162" s="48" t="s">
        <v>128</v>
      </c>
      <c r="D162" s="57">
        <v>5000</v>
      </c>
      <c r="E162" s="57"/>
      <c r="F162" s="57"/>
      <c r="G162" s="57" t="s">
        <v>173</v>
      </c>
      <c r="H162" s="57"/>
    </row>
    <row r="163" spans="1:8" ht="15.75" customHeight="1" x14ac:dyDescent="0.25">
      <c r="A163" s="81">
        <v>155</v>
      </c>
      <c r="B163" s="58">
        <v>46058</v>
      </c>
      <c r="C163" s="48" t="s">
        <v>39</v>
      </c>
      <c r="D163" s="57">
        <v>11000</v>
      </c>
      <c r="E163" s="57"/>
      <c r="F163" s="57"/>
      <c r="G163" s="57" t="s">
        <v>173</v>
      </c>
      <c r="H163" s="57"/>
    </row>
    <row r="164" spans="1:8" ht="15.75" customHeight="1" x14ac:dyDescent="0.25">
      <c r="A164" s="82">
        <v>156</v>
      </c>
      <c r="B164" s="56">
        <v>46059</v>
      </c>
      <c r="C164" s="45" t="s">
        <v>30</v>
      </c>
      <c r="D164" s="46"/>
      <c r="E164" s="46"/>
      <c r="F164" s="46">
        <v>25000</v>
      </c>
      <c r="G164" s="46" t="s">
        <v>208</v>
      </c>
      <c r="H164" s="46"/>
    </row>
    <row r="165" spans="1:8" ht="15.75" customHeight="1" x14ac:dyDescent="0.25">
      <c r="A165" s="81">
        <v>157</v>
      </c>
      <c r="B165" s="58">
        <v>46059</v>
      </c>
      <c r="C165" s="80" t="s">
        <v>38</v>
      </c>
      <c r="D165" s="57"/>
      <c r="E165" s="57"/>
      <c r="F165" s="57">
        <v>3980</v>
      </c>
      <c r="G165" s="57" t="s">
        <v>209</v>
      </c>
      <c r="H165" s="57"/>
    </row>
    <row r="166" spans="1:8" ht="15.75" customHeight="1" x14ac:dyDescent="0.25">
      <c r="A166" s="82">
        <v>158</v>
      </c>
      <c r="B166" s="58">
        <v>46059</v>
      </c>
      <c r="C166" s="80" t="s">
        <v>38</v>
      </c>
      <c r="D166" s="57"/>
      <c r="E166" s="57"/>
      <c r="F166" s="57">
        <v>3200</v>
      </c>
      <c r="G166" s="57" t="s">
        <v>210</v>
      </c>
      <c r="H166" s="57"/>
    </row>
    <row r="167" spans="1:8" ht="15.75" customHeight="1" x14ac:dyDescent="0.25">
      <c r="A167" s="81">
        <v>159</v>
      </c>
      <c r="B167" s="58">
        <v>46059</v>
      </c>
      <c r="C167" s="80" t="s">
        <v>38</v>
      </c>
      <c r="D167" s="57"/>
      <c r="E167" s="57"/>
      <c r="F167" s="57">
        <v>7200</v>
      </c>
      <c r="G167" s="57" t="s">
        <v>211</v>
      </c>
      <c r="H167" s="57"/>
    </row>
    <row r="168" spans="1:8" ht="15.75" customHeight="1" x14ac:dyDescent="0.25">
      <c r="A168" s="82">
        <v>160</v>
      </c>
      <c r="B168" s="58">
        <v>46059</v>
      </c>
      <c r="C168" s="48" t="s">
        <v>33</v>
      </c>
      <c r="D168" s="57">
        <v>29975</v>
      </c>
      <c r="E168" s="57"/>
      <c r="F168" s="57"/>
      <c r="G168" s="57"/>
      <c r="H168" s="57"/>
    </row>
    <row r="169" spans="1:8" ht="15.75" customHeight="1" x14ac:dyDescent="0.25">
      <c r="A169" s="81">
        <v>161</v>
      </c>
      <c r="B169" s="58">
        <v>46059</v>
      </c>
      <c r="C169" s="48" t="s">
        <v>58</v>
      </c>
      <c r="D169" s="57">
        <v>64870</v>
      </c>
      <c r="E169" s="57"/>
      <c r="F169" s="57"/>
      <c r="G169" s="57"/>
      <c r="H169" s="57"/>
    </row>
    <row r="170" spans="1:8" ht="15.75" customHeight="1" x14ac:dyDescent="0.25">
      <c r="A170" s="82">
        <v>162</v>
      </c>
      <c r="B170" s="58">
        <v>46059</v>
      </c>
      <c r="C170" s="48" t="s">
        <v>45</v>
      </c>
      <c r="D170" s="57"/>
      <c r="E170" s="57">
        <v>3000</v>
      </c>
      <c r="F170" s="57"/>
      <c r="G170" s="57" t="s">
        <v>47</v>
      </c>
      <c r="H170" s="57"/>
    </row>
    <row r="171" spans="1:8" ht="15.75" customHeight="1" x14ac:dyDescent="0.25">
      <c r="A171" s="81">
        <v>163</v>
      </c>
      <c r="B171" s="58">
        <v>46059</v>
      </c>
      <c r="C171" s="80" t="s">
        <v>38</v>
      </c>
      <c r="D171" s="57"/>
      <c r="E171" s="57"/>
      <c r="F171" s="57">
        <v>15990</v>
      </c>
      <c r="G171" s="57" t="s">
        <v>212</v>
      </c>
      <c r="H171" s="57"/>
    </row>
    <row r="172" spans="1:8" ht="15.75" customHeight="1" x14ac:dyDescent="0.25">
      <c r="A172" s="82">
        <v>164</v>
      </c>
      <c r="B172" s="58">
        <v>46059</v>
      </c>
      <c r="C172" s="48" t="s">
        <v>128</v>
      </c>
      <c r="D172" s="57">
        <v>5000</v>
      </c>
      <c r="E172" s="57"/>
      <c r="F172" s="57"/>
      <c r="G172" s="57"/>
      <c r="H172" s="57"/>
    </row>
    <row r="173" spans="1:8" ht="15.75" customHeight="1" x14ac:dyDescent="0.25">
      <c r="A173" s="81">
        <v>165</v>
      </c>
      <c r="B173" s="56">
        <v>46062</v>
      </c>
      <c r="C173" s="45" t="s">
        <v>27</v>
      </c>
      <c r="D173" s="46"/>
      <c r="E173" s="46"/>
      <c r="F173" s="46">
        <v>190860</v>
      </c>
      <c r="G173" s="45">
        <v>5613</v>
      </c>
      <c r="H173" s="46"/>
    </row>
    <row r="174" spans="1:8" ht="15.75" customHeight="1" x14ac:dyDescent="0.25">
      <c r="A174" s="82">
        <v>166</v>
      </c>
      <c r="B174" s="58">
        <v>46062</v>
      </c>
      <c r="C174" s="48" t="s">
        <v>44</v>
      </c>
      <c r="D174" s="57">
        <v>101125</v>
      </c>
      <c r="E174" s="57"/>
      <c r="F174" s="57"/>
      <c r="G174" s="48">
        <v>501</v>
      </c>
      <c r="H174" s="57"/>
    </row>
    <row r="175" spans="1:8" ht="15.75" customHeight="1" x14ac:dyDescent="0.25">
      <c r="A175" s="81">
        <v>167</v>
      </c>
      <c r="B175" s="58">
        <v>46062</v>
      </c>
      <c r="C175" s="48" t="s">
        <v>44</v>
      </c>
      <c r="D175" s="57">
        <v>14160</v>
      </c>
      <c r="E175" s="57"/>
      <c r="F175" s="57"/>
      <c r="G175" s="48">
        <v>500</v>
      </c>
      <c r="H175" s="57"/>
    </row>
    <row r="176" spans="1:8" ht="15.75" customHeight="1" x14ac:dyDescent="0.25">
      <c r="A176" s="82">
        <v>168</v>
      </c>
      <c r="B176" s="58">
        <v>46062</v>
      </c>
      <c r="C176" s="48" t="s">
        <v>44</v>
      </c>
      <c r="D176" s="57">
        <v>52700</v>
      </c>
      <c r="E176" s="57"/>
      <c r="F176" s="57"/>
      <c r="G176" s="48">
        <v>493</v>
      </c>
      <c r="H176" s="57"/>
    </row>
    <row r="177" spans="1:8" ht="15.75" customHeight="1" x14ac:dyDescent="0.25">
      <c r="A177" s="81">
        <v>169</v>
      </c>
      <c r="B177" s="58">
        <v>46062</v>
      </c>
      <c r="C177" s="48" t="s">
        <v>60</v>
      </c>
      <c r="D177" s="57">
        <v>34860</v>
      </c>
      <c r="E177" s="57"/>
      <c r="F177" s="57"/>
      <c r="G177" s="48">
        <v>499</v>
      </c>
      <c r="H177" s="57"/>
    </row>
    <row r="178" spans="1:8" ht="15.75" customHeight="1" x14ac:dyDescent="0.25">
      <c r="A178" s="82">
        <v>170</v>
      </c>
      <c r="B178" s="58">
        <v>46062</v>
      </c>
      <c r="C178" s="48" t="s">
        <v>60</v>
      </c>
      <c r="D178" s="57">
        <v>34960</v>
      </c>
      <c r="E178" s="57"/>
      <c r="F178" s="57"/>
      <c r="G178" s="48">
        <v>492</v>
      </c>
      <c r="H178" s="57"/>
    </row>
    <row r="179" spans="1:8" ht="15.75" customHeight="1" x14ac:dyDescent="0.25">
      <c r="A179" s="81">
        <v>171</v>
      </c>
      <c r="B179" s="58">
        <v>46062</v>
      </c>
      <c r="C179" s="80" t="s">
        <v>38</v>
      </c>
      <c r="D179" s="57"/>
      <c r="E179" s="57"/>
      <c r="F179" s="57">
        <v>6990</v>
      </c>
      <c r="G179" s="48">
        <v>505</v>
      </c>
      <c r="H179" s="57"/>
    </row>
    <row r="180" spans="1:8" ht="15.75" customHeight="1" x14ac:dyDescent="0.25">
      <c r="A180" s="82">
        <v>172</v>
      </c>
      <c r="B180" s="58">
        <v>46062</v>
      </c>
      <c r="C180" s="80" t="s">
        <v>38</v>
      </c>
      <c r="D180" s="57"/>
      <c r="E180" s="57"/>
      <c r="F180" s="57">
        <v>1990</v>
      </c>
      <c r="G180" s="48">
        <v>507</v>
      </c>
      <c r="H180" s="57"/>
    </row>
    <row r="181" spans="1:8" ht="15.75" customHeight="1" x14ac:dyDescent="0.25">
      <c r="A181" s="81">
        <v>173</v>
      </c>
      <c r="B181" s="58">
        <v>46062</v>
      </c>
      <c r="C181" s="80" t="s">
        <v>38</v>
      </c>
      <c r="D181" s="57"/>
      <c r="E181" s="57"/>
      <c r="F181" s="57">
        <v>18500</v>
      </c>
      <c r="G181" s="48">
        <v>506</v>
      </c>
      <c r="H181" s="57"/>
    </row>
    <row r="182" spans="1:8" ht="15.75" customHeight="1" x14ac:dyDescent="0.25">
      <c r="A182" s="82">
        <v>174</v>
      </c>
      <c r="B182" s="58">
        <v>46062</v>
      </c>
      <c r="C182" s="80" t="s">
        <v>38</v>
      </c>
      <c r="D182" s="57"/>
      <c r="E182" s="57"/>
      <c r="F182" s="57">
        <v>14500</v>
      </c>
      <c r="G182" s="48">
        <v>504</v>
      </c>
      <c r="H182" s="57"/>
    </row>
    <row r="183" spans="1:8" ht="15.75" customHeight="1" x14ac:dyDescent="0.25">
      <c r="A183" s="81">
        <v>175</v>
      </c>
      <c r="B183" s="58">
        <v>46062</v>
      </c>
      <c r="C183" s="80" t="s">
        <v>38</v>
      </c>
      <c r="D183" s="57"/>
      <c r="E183" s="57"/>
      <c r="F183" s="57">
        <v>1990</v>
      </c>
      <c r="G183" s="48">
        <v>502</v>
      </c>
      <c r="H183" s="57"/>
    </row>
    <row r="184" spans="1:8" ht="15.75" customHeight="1" x14ac:dyDescent="0.25">
      <c r="A184" s="82">
        <v>176</v>
      </c>
      <c r="B184" s="58">
        <v>46062</v>
      </c>
      <c r="C184" s="80" t="s">
        <v>38</v>
      </c>
      <c r="D184" s="57"/>
      <c r="E184" s="57"/>
      <c r="F184" s="57">
        <v>21500</v>
      </c>
      <c r="G184" s="48">
        <v>516</v>
      </c>
      <c r="H184" s="57"/>
    </row>
    <row r="185" spans="1:8" ht="15.75" customHeight="1" x14ac:dyDescent="0.25">
      <c r="A185" s="81">
        <v>177</v>
      </c>
      <c r="B185" s="58">
        <v>46062</v>
      </c>
      <c r="C185" s="80" t="s">
        <v>38</v>
      </c>
      <c r="D185" s="57"/>
      <c r="E185" s="57"/>
      <c r="F185" s="57">
        <v>8700</v>
      </c>
      <c r="G185" s="48">
        <v>524</v>
      </c>
      <c r="H185" s="57"/>
    </row>
    <row r="186" spans="1:8" ht="15.75" customHeight="1" x14ac:dyDescent="0.25">
      <c r="A186" s="82">
        <v>178</v>
      </c>
      <c r="B186" s="58">
        <v>46062</v>
      </c>
      <c r="C186" s="80" t="s">
        <v>38</v>
      </c>
      <c r="D186" s="57"/>
      <c r="E186" s="57"/>
      <c r="F186" s="57">
        <v>18500</v>
      </c>
      <c r="G186" s="48">
        <v>520</v>
      </c>
      <c r="H186" s="57"/>
    </row>
    <row r="187" spans="1:8" ht="15.75" customHeight="1" x14ac:dyDescent="0.25">
      <c r="A187" s="81">
        <v>179</v>
      </c>
      <c r="B187" s="58">
        <v>46062</v>
      </c>
      <c r="C187" s="48" t="s">
        <v>36</v>
      </c>
      <c r="D187" s="57">
        <v>78100</v>
      </c>
      <c r="E187" s="57"/>
      <c r="F187" s="57"/>
      <c r="G187" s="48">
        <v>120</v>
      </c>
      <c r="H187" s="57"/>
    </row>
    <row r="188" spans="1:8" ht="15.75" customHeight="1" x14ac:dyDescent="0.25">
      <c r="A188" s="82">
        <v>180</v>
      </c>
      <c r="B188" s="58">
        <v>46062</v>
      </c>
      <c r="C188" s="48" t="s">
        <v>36</v>
      </c>
      <c r="D188" s="57">
        <v>69220</v>
      </c>
      <c r="E188" s="57"/>
      <c r="F188" s="57"/>
      <c r="G188" s="48">
        <v>289</v>
      </c>
      <c r="H188" s="57"/>
    </row>
    <row r="189" spans="1:8" ht="15.75" customHeight="1" x14ac:dyDescent="0.25">
      <c r="A189" s="81">
        <v>181</v>
      </c>
      <c r="B189" s="58">
        <v>46062</v>
      </c>
      <c r="C189" s="80" t="s">
        <v>38</v>
      </c>
      <c r="D189" s="57"/>
      <c r="E189" s="57"/>
      <c r="F189" s="57">
        <v>21500</v>
      </c>
      <c r="G189" s="48">
        <v>526</v>
      </c>
      <c r="H189" s="57"/>
    </row>
    <row r="190" spans="1:8" ht="15.75" customHeight="1" x14ac:dyDescent="0.25">
      <c r="A190" s="82">
        <v>182</v>
      </c>
      <c r="B190" s="58">
        <v>46062</v>
      </c>
      <c r="C190" s="48" t="s">
        <v>61</v>
      </c>
      <c r="D190" s="57"/>
      <c r="E190" s="57"/>
      <c r="F190" s="57">
        <v>47702</v>
      </c>
      <c r="G190" s="48">
        <v>359</v>
      </c>
      <c r="H190" s="57"/>
    </row>
    <row r="191" spans="1:8" ht="15.75" customHeight="1" x14ac:dyDescent="0.25">
      <c r="A191" s="81">
        <v>183</v>
      </c>
      <c r="B191" s="58">
        <v>46062</v>
      </c>
      <c r="C191" s="80" t="s">
        <v>38</v>
      </c>
      <c r="D191" s="57"/>
      <c r="E191" s="57"/>
      <c r="F191" s="57">
        <v>8700</v>
      </c>
      <c r="G191" s="48">
        <v>518</v>
      </c>
      <c r="H191" s="57"/>
    </row>
    <row r="192" spans="1:8" ht="15.75" customHeight="1" x14ac:dyDescent="0.25">
      <c r="A192" s="82">
        <v>184</v>
      </c>
      <c r="B192" s="58">
        <v>46062</v>
      </c>
      <c r="C192" s="48" t="s">
        <v>128</v>
      </c>
      <c r="D192" s="57">
        <v>5000</v>
      </c>
      <c r="E192" s="57"/>
      <c r="F192" s="57"/>
      <c r="G192" s="48" t="s">
        <v>173</v>
      </c>
      <c r="H192" s="57"/>
    </row>
    <row r="193" spans="1:8" ht="15.75" customHeight="1" x14ac:dyDescent="0.25">
      <c r="A193" s="81">
        <v>185</v>
      </c>
      <c r="B193" s="56">
        <v>46063</v>
      </c>
      <c r="C193" s="45" t="s">
        <v>35</v>
      </c>
      <c r="D193" s="46"/>
      <c r="E193" s="46">
        <v>547000</v>
      </c>
      <c r="F193" s="46"/>
      <c r="G193" s="45" t="s">
        <v>213</v>
      </c>
      <c r="H193" s="46"/>
    </row>
    <row r="194" spans="1:8" ht="15.75" customHeight="1" x14ac:dyDescent="0.25">
      <c r="A194" s="82">
        <v>186</v>
      </c>
      <c r="B194" s="58">
        <v>46063</v>
      </c>
      <c r="C194" s="48" t="s">
        <v>66</v>
      </c>
      <c r="D194" s="59">
        <v>7920</v>
      </c>
      <c r="E194" s="57"/>
      <c r="F194" s="57"/>
      <c r="G194" s="48">
        <v>515</v>
      </c>
      <c r="H194" s="57"/>
    </row>
    <row r="195" spans="1:8" ht="15.75" customHeight="1" x14ac:dyDescent="0.25">
      <c r="A195" s="81">
        <v>187</v>
      </c>
      <c r="B195" s="58">
        <v>46063</v>
      </c>
      <c r="C195" s="48" t="s">
        <v>46</v>
      </c>
      <c r="D195" s="59">
        <v>14450</v>
      </c>
      <c r="E195" s="57"/>
      <c r="F195" s="57"/>
      <c r="G195" s="48">
        <v>511</v>
      </c>
      <c r="H195" s="57"/>
    </row>
    <row r="196" spans="1:8" ht="15.75" customHeight="1" x14ac:dyDescent="0.25">
      <c r="A196" s="82">
        <v>188</v>
      </c>
      <c r="B196" s="58">
        <v>46063</v>
      </c>
      <c r="C196" s="80" t="s">
        <v>38</v>
      </c>
      <c r="D196" s="59"/>
      <c r="E196" s="57"/>
      <c r="F196" s="57">
        <v>1990</v>
      </c>
      <c r="G196" s="48">
        <v>507</v>
      </c>
      <c r="H196" s="57"/>
    </row>
    <row r="197" spans="1:8" ht="15.75" customHeight="1" x14ac:dyDescent="0.25">
      <c r="A197" s="81">
        <v>189</v>
      </c>
      <c r="B197" s="58">
        <v>46063</v>
      </c>
      <c r="C197" s="80" t="s">
        <v>38</v>
      </c>
      <c r="D197" s="59"/>
      <c r="E197" s="57"/>
      <c r="F197" s="57">
        <v>8700</v>
      </c>
      <c r="G197" s="48">
        <v>531</v>
      </c>
      <c r="H197" s="57"/>
    </row>
    <row r="198" spans="1:8" ht="15.75" customHeight="1" x14ac:dyDescent="0.25">
      <c r="A198" s="82">
        <v>190</v>
      </c>
      <c r="B198" s="58">
        <v>46063</v>
      </c>
      <c r="C198" s="48" t="s">
        <v>49</v>
      </c>
      <c r="D198" s="59"/>
      <c r="E198" s="57"/>
      <c r="F198" s="59">
        <v>262340</v>
      </c>
      <c r="G198" s="48">
        <v>331</v>
      </c>
      <c r="H198" s="57"/>
    </row>
    <row r="199" spans="1:8" ht="15.75" customHeight="1" x14ac:dyDescent="0.25">
      <c r="A199" s="81">
        <v>191</v>
      </c>
      <c r="B199" s="58">
        <v>46063</v>
      </c>
      <c r="C199" s="48" t="s">
        <v>36</v>
      </c>
      <c r="D199" s="59">
        <v>25920</v>
      </c>
      <c r="E199" s="57"/>
      <c r="F199" s="59"/>
      <c r="G199" s="48"/>
      <c r="H199" s="57"/>
    </row>
    <row r="200" spans="1:8" ht="15.75" customHeight="1" x14ac:dyDescent="0.25">
      <c r="A200" s="82">
        <v>192</v>
      </c>
      <c r="B200" s="58">
        <v>46063</v>
      </c>
      <c r="C200" s="80" t="s">
        <v>38</v>
      </c>
      <c r="D200" s="59"/>
      <c r="E200" s="57"/>
      <c r="F200" s="59">
        <v>3200</v>
      </c>
      <c r="G200" s="48">
        <v>530</v>
      </c>
      <c r="H200" s="57"/>
    </row>
    <row r="201" spans="1:8" ht="15.75" customHeight="1" x14ac:dyDescent="0.25">
      <c r="A201" s="81">
        <v>193</v>
      </c>
      <c r="B201" s="58">
        <v>46063</v>
      </c>
      <c r="C201" s="80" t="s">
        <v>38</v>
      </c>
      <c r="D201" s="59"/>
      <c r="E201" s="57"/>
      <c r="F201" s="59">
        <v>3980</v>
      </c>
      <c r="G201" s="48">
        <v>541</v>
      </c>
      <c r="H201" s="57"/>
    </row>
    <row r="202" spans="1:8" ht="15.75" customHeight="1" x14ac:dyDescent="0.25">
      <c r="A202" s="82">
        <v>194</v>
      </c>
      <c r="B202" s="58">
        <v>46063</v>
      </c>
      <c r="C202" s="48" t="s">
        <v>45</v>
      </c>
      <c r="D202" s="59"/>
      <c r="E202" s="57">
        <v>2000</v>
      </c>
      <c r="F202" s="59"/>
      <c r="G202" s="48" t="s">
        <v>63</v>
      </c>
      <c r="H202" s="57"/>
    </row>
    <row r="203" spans="1:8" ht="15.75" customHeight="1" x14ac:dyDescent="0.25">
      <c r="A203" s="81">
        <v>195</v>
      </c>
      <c r="B203" s="58">
        <v>46063</v>
      </c>
      <c r="C203" s="48" t="s">
        <v>128</v>
      </c>
      <c r="D203" s="59">
        <v>5000</v>
      </c>
      <c r="E203" s="57"/>
      <c r="F203" s="59"/>
      <c r="G203" s="48" t="s">
        <v>173</v>
      </c>
      <c r="H203" s="57"/>
    </row>
    <row r="204" spans="1:8" ht="15.75" customHeight="1" x14ac:dyDescent="0.25">
      <c r="A204" s="82">
        <v>196</v>
      </c>
      <c r="B204" s="58">
        <v>46063</v>
      </c>
      <c r="C204" s="60" t="s">
        <v>214</v>
      </c>
      <c r="D204" s="59">
        <v>14461</v>
      </c>
      <c r="E204" s="59"/>
      <c r="F204" s="59"/>
      <c r="G204" s="48">
        <v>517</v>
      </c>
      <c r="H204" s="57"/>
    </row>
    <row r="205" spans="1:8" ht="15.75" customHeight="1" x14ac:dyDescent="0.25">
      <c r="A205" s="81">
        <v>197</v>
      </c>
      <c r="B205" s="56">
        <v>46064</v>
      </c>
      <c r="C205" s="45" t="s">
        <v>169</v>
      </c>
      <c r="D205" s="46">
        <v>39860</v>
      </c>
      <c r="E205" s="46"/>
      <c r="F205" s="46"/>
      <c r="G205" s="45">
        <v>540</v>
      </c>
      <c r="H205" s="46"/>
    </row>
    <row r="206" spans="1:8" ht="15.75" customHeight="1" x14ac:dyDescent="0.25">
      <c r="A206" s="82">
        <v>198</v>
      </c>
      <c r="B206" s="58">
        <v>46064</v>
      </c>
      <c r="C206" s="80" t="s">
        <v>38</v>
      </c>
      <c r="D206" s="57"/>
      <c r="E206" s="57"/>
      <c r="F206" s="59">
        <v>1990</v>
      </c>
      <c r="G206" s="48">
        <v>537</v>
      </c>
      <c r="H206" s="57"/>
    </row>
    <row r="207" spans="1:8" ht="15.75" customHeight="1" x14ac:dyDescent="0.25">
      <c r="A207" s="81">
        <v>199</v>
      </c>
      <c r="B207" s="58">
        <v>46064</v>
      </c>
      <c r="C207" s="80" t="s">
        <v>38</v>
      </c>
      <c r="D207" s="57"/>
      <c r="E207" s="57"/>
      <c r="F207" s="59">
        <v>6990</v>
      </c>
      <c r="G207" s="48">
        <v>543</v>
      </c>
      <c r="H207" s="57"/>
    </row>
    <row r="208" spans="1:8" ht="15.75" customHeight="1" x14ac:dyDescent="0.25">
      <c r="A208" s="82">
        <v>200</v>
      </c>
      <c r="B208" s="58">
        <v>46064</v>
      </c>
      <c r="C208" s="80" t="s">
        <v>38</v>
      </c>
      <c r="D208" s="57"/>
      <c r="E208" s="57"/>
      <c r="F208" s="59">
        <v>8700</v>
      </c>
      <c r="G208" s="48">
        <v>548</v>
      </c>
      <c r="H208" s="57"/>
    </row>
    <row r="209" spans="1:8" ht="15.75" customHeight="1" x14ac:dyDescent="0.25">
      <c r="A209" s="81">
        <v>201</v>
      </c>
      <c r="B209" s="58">
        <v>46064</v>
      </c>
      <c r="C209" s="80" t="s">
        <v>38</v>
      </c>
      <c r="D209" s="57"/>
      <c r="E209" s="57"/>
      <c r="F209" s="59">
        <v>5500</v>
      </c>
      <c r="G209" s="48">
        <v>546</v>
      </c>
      <c r="H209" s="57"/>
    </row>
    <row r="210" spans="1:8" ht="15.75" customHeight="1" x14ac:dyDescent="0.25">
      <c r="A210" s="82">
        <v>202</v>
      </c>
      <c r="B210" s="58">
        <v>46064</v>
      </c>
      <c r="C210" s="48" t="s">
        <v>215</v>
      </c>
      <c r="D210" s="57">
        <v>58140</v>
      </c>
      <c r="E210" s="57"/>
      <c r="F210" s="59"/>
      <c r="G210" s="48">
        <v>533</v>
      </c>
      <c r="H210" s="57"/>
    </row>
    <row r="211" spans="1:8" ht="15.75" customHeight="1" x14ac:dyDescent="0.25">
      <c r="A211" s="81">
        <v>203</v>
      </c>
      <c r="B211" s="58">
        <v>46064</v>
      </c>
      <c r="C211" s="48" t="s">
        <v>215</v>
      </c>
      <c r="D211" s="57">
        <v>53430</v>
      </c>
      <c r="E211" s="57"/>
      <c r="F211" s="59"/>
      <c r="G211" s="48">
        <v>417</v>
      </c>
      <c r="H211" s="57"/>
    </row>
    <row r="212" spans="1:8" ht="15.75" customHeight="1" x14ac:dyDescent="0.25">
      <c r="A212" s="82">
        <v>204</v>
      </c>
      <c r="B212" s="58">
        <v>46064</v>
      </c>
      <c r="C212" s="80" t="s">
        <v>38</v>
      </c>
      <c r="D212" s="57"/>
      <c r="E212" s="57"/>
      <c r="F212" s="59">
        <v>7600</v>
      </c>
      <c r="G212" s="48">
        <v>550</v>
      </c>
      <c r="H212" s="57"/>
    </row>
    <row r="213" spans="1:8" ht="15.75" customHeight="1" x14ac:dyDescent="0.25">
      <c r="A213" s="81">
        <v>205</v>
      </c>
      <c r="B213" s="58">
        <v>46064</v>
      </c>
      <c r="C213" s="80" t="s">
        <v>38</v>
      </c>
      <c r="D213" s="57"/>
      <c r="E213" s="57"/>
      <c r="F213" s="59">
        <v>5970</v>
      </c>
      <c r="G213" s="48">
        <v>549</v>
      </c>
      <c r="H213" s="57"/>
    </row>
    <row r="214" spans="1:8" ht="15.75" customHeight="1" x14ac:dyDescent="0.25">
      <c r="A214" s="82">
        <v>206</v>
      </c>
      <c r="B214" s="58">
        <v>46064</v>
      </c>
      <c r="C214" s="80" t="s">
        <v>38</v>
      </c>
      <c r="D214" s="57"/>
      <c r="E214" s="57"/>
      <c r="F214" s="59">
        <v>15990</v>
      </c>
      <c r="G214" s="48">
        <v>545</v>
      </c>
      <c r="H214" s="57"/>
    </row>
    <row r="215" spans="1:8" ht="15.75" customHeight="1" x14ac:dyDescent="0.25">
      <c r="A215" s="81">
        <v>207</v>
      </c>
      <c r="B215" s="58">
        <v>46064</v>
      </c>
      <c r="C215" s="48" t="s">
        <v>36</v>
      </c>
      <c r="D215" s="57">
        <v>44150</v>
      </c>
      <c r="E215" s="57"/>
      <c r="F215" s="57"/>
      <c r="G215" s="48">
        <v>529</v>
      </c>
      <c r="H215" s="57"/>
    </row>
    <row r="216" spans="1:8" ht="15.75" customHeight="1" x14ac:dyDescent="0.25">
      <c r="A216" s="82">
        <v>208</v>
      </c>
      <c r="B216" s="58">
        <v>46064</v>
      </c>
      <c r="C216" s="48" t="s">
        <v>128</v>
      </c>
      <c r="D216" s="57">
        <v>5000</v>
      </c>
      <c r="E216" s="57"/>
      <c r="F216" s="57"/>
      <c r="G216" s="48"/>
      <c r="H216" s="57"/>
    </row>
    <row r="217" spans="1:8" ht="15.75" customHeight="1" x14ac:dyDescent="0.25">
      <c r="A217" s="81">
        <v>209</v>
      </c>
      <c r="B217" s="58">
        <v>46064</v>
      </c>
      <c r="C217" s="80" t="s">
        <v>38</v>
      </c>
      <c r="D217" s="57"/>
      <c r="E217" s="57"/>
      <c r="F217" s="57">
        <v>8690</v>
      </c>
      <c r="G217" s="48"/>
      <c r="H217" s="57"/>
    </row>
    <row r="218" spans="1:8" ht="15.75" customHeight="1" x14ac:dyDescent="0.25">
      <c r="A218" s="82">
        <v>210</v>
      </c>
      <c r="B218" s="56">
        <v>46065</v>
      </c>
      <c r="C218" s="45" t="s">
        <v>216</v>
      </c>
      <c r="D218" s="46"/>
      <c r="E218" s="46">
        <v>1500</v>
      </c>
      <c r="F218" s="46"/>
      <c r="G218" s="45"/>
      <c r="H218" s="57"/>
    </row>
    <row r="219" spans="1:8" ht="15.75" customHeight="1" x14ac:dyDescent="0.25">
      <c r="A219" s="81">
        <v>211</v>
      </c>
      <c r="B219" s="58">
        <v>46065</v>
      </c>
      <c r="C219" s="48" t="s">
        <v>54</v>
      </c>
      <c r="D219" s="57"/>
      <c r="E219" s="57"/>
      <c r="F219" s="57">
        <v>30000</v>
      </c>
      <c r="G219" s="48">
        <v>4404</v>
      </c>
      <c r="H219" s="57"/>
    </row>
    <row r="220" spans="1:8" ht="15.75" customHeight="1" x14ac:dyDescent="0.25">
      <c r="A220" s="82">
        <v>212</v>
      </c>
      <c r="B220" s="58">
        <v>46065</v>
      </c>
      <c r="C220" s="48" t="s">
        <v>51</v>
      </c>
      <c r="D220" s="57"/>
      <c r="E220" s="57"/>
      <c r="F220" s="57">
        <v>97950</v>
      </c>
      <c r="G220" s="48">
        <v>5614</v>
      </c>
      <c r="H220" s="57"/>
    </row>
    <row r="221" spans="1:8" ht="15.75" customHeight="1" x14ac:dyDescent="0.25">
      <c r="A221" s="81">
        <v>213</v>
      </c>
      <c r="B221" s="58">
        <v>46065</v>
      </c>
      <c r="C221" s="80" t="s">
        <v>38</v>
      </c>
      <c r="D221" s="57"/>
      <c r="E221" s="57"/>
      <c r="F221" s="57">
        <v>1990</v>
      </c>
      <c r="G221" s="48">
        <v>574</v>
      </c>
      <c r="H221" s="57"/>
    </row>
    <row r="222" spans="1:8" ht="15.75" customHeight="1" x14ac:dyDescent="0.25">
      <c r="A222" s="82">
        <v>214</v>
      </c>
      <c r="B222" s="58">
        <v>46065</v>
      </c>
      <c r="C222" s="80" t="s">
        <v>38</v>
      </c>
      <c r="D222" s="57"/>
      <c r="E222" s="57"/>
      <c r="F222" s="57">
        <v>14990</v>
      </c>
      <c r="G222" s="48">
        <v>575</v>
      </c>
      <c r="H222" s="57"/>
    </row>
    <row r="223" spans="1:8" ht="15.75" customHeight="1" x14ac:dyDescent="0.25">
      <c r="A223" s="81">
        <v>215</v>
      </c>
      <c r="B223" s="58">
        <v>46065</v>
      </c>
      <c r="C223" s="48"/>
      <c r="D223" s="57"/>
      <c r="E223" s="57"/>
      <c r="F223" s="57"/>
      <c r="G223" s="48"/>
      <c r="H223" s="57"/>
    </row>
    <row r="224" spans="1:8" ht="15.75" customHeight="1" x14ac:dyDescent="0.25">
      <c r="A224" s="82">
        <v>216</v>
      </c>
      <c r="B224" s="57"/>
      <c r="C224" s="48"/>
      <c r="D224" s="57"/>
      <c r="E224" s="57"/>
      <c r="F224" s="57"/>
      <c r="G224" s="48"/>
      <c r="H224" s="57"/>
    </row>
    <row r="225" spans="1:8" ht="15.75" customHeight="1" x14ac:dyDescent="0.25">
      <c r="A225" s="81">
        <v>217</v>
      </c>
      <c r="B225" s="57"/>
      <c r="C225" s="48"/>
      <c r="D225" s="57"/>
      <c r="E225" s="57"/>
      <c r="F225" s="57"/>
      <c r="G225" s="48"/>
      <c r="H225" s="57"/>
    </row>
    <row r="226" spans="1:8" ht="15.75" customHeight="1" x14ac:dyDescent="0.25">
      <c r="A226" s="82">
        <v>218</v>
      </c>
      <c r="B226" s="57"/>
      <c r="C226" s="48"/>
      <c r="D226" s="57"/>
      <c r="E226" s="57"/>
      <c r="F226" s="57"/>
      <c r="G226" s="48"/>
      <c r="H226" s="57"/>
    </row>
    <row r="227" spans="1:8" ht="15.75" customHeight="1" x14ac:dyDescent="0.25">
      <c r="A227" s="81">
        <v>219</v>
      </c>
      <c r="B227" s="57"/>
      <c r="C227" s="48"/>
      <c r="D227" s="57"/>
      <c r="E227" s="57"/>
      <c r="F227" s="57"/>
      <c r="G227" s="48"/>
      <c r="H227" s="57"/>
    </row>
    <row r="228" spans="1:8" ht="15.75" customHeight="1" x14ac:dyDescent="0.25">
      <c r="A228" s="82">
        <v>220</v>
      </c>
      <c r="B228" s="57"/>
      <c r="C228" s="48"/>
      <c r="D228" s="57"/>
      <c r="E228" s="57"/>
      <c r="F228" s="57"/>
      <c r="G228" s="48"/>
      <c r="H228" s="57"/>
    </row>
    <row r="229" spans="1:8" ht="15.75" customHeight="1" x14ac:dyDescent="0.25">
      <c r="A229" s="81">
        <v>221</v>
      </c>
      <c r="B229" s="57"/>
      <c r="C229" s="48"/>
      <c r="D229" s="57"/>
      <c r="E229" s="57"/>
      <c r="F229" s="57"/>
      <c r="G229" s="48"/>
      <c r="H229" s="57"/>
    </row>
    <row r="230" spans="1:8" ht="15.75" customHeight="1" x14ac:dyDescent="0.25">
      <c r="A230" s="82">
        <v>222</v>
      </c>
      <c r="B230" s="57"/>
      <c r="C230" s="48"/>
      <c r="D230" s="57"/>
      <c r="E230" s="57"/>
      <c r="F230" s="57"/>
      <c r="G230" s="48"/>
      <c r="H230" s="57"/>
    </row>
    <row r="231" spans="1:8" ht="15.75" customHeight="1" x14ac:dyDescent="0.25">
      <c r="A231" s="81">
        <v>223</v>
      </c>
      <c r="B231" s="57"/>
      <c r="C231" s="48"/>
      <c r="D231" s="57"/>
      <c r="E231" s="57"/>
      <c r="F231" s="57"/>
      <c r="G231" s="48"/>
      <c r="H231" s="57"/>
    </row>
    <row r="232" spans="1:8" ht="15.75" customHeight="1" x14ac:dyDescent="0.25">
      <c r="A232" s="82">
        <v>224</v>
      </c>
      <c r="B232" s="57"/>
      <c r="C232" s="48"/>
      <c r="D232" s="57"/>
      <c r="E232" s="57"/>
      <c r="F232" s="57"/>
      <c r="G232" s="48"/>
      <c r="H232" s="57"/>
    </row>
    <row r="233" spans="1:8" ht="15.75" customHeight="1" x14ac:dyDescent="0.25">
      <c r="A233" s="81">
        <v>225</v>
      </c>
      <c r="B233" s="57"/>
      <c r="C233" s="48"/>
      <c r="D233" s="57"/>
      <c r="E233" s="57"/>
      <c r="F233" s="57"/>
      <c r="G233" s="48"/>
      <c r="H233" s="57"/>
    </row>
    <row r="234" spans="1:8" ht="15.75" customHeight="1" x14ac:dyDescent="0.25">
      <c r="A234" s="82">
        <v>226</v>
      </c>
      <c r="B234" s="57"/>
      <c r="C234" s="48"/>
      <c r="D234" s="57"/>
      <c r="E234" s="57"/>
      <c r="F234" s="57"/>
      <c r="G234" s="48"/>
      <c r="H234" s="57"/>
    </row>
    <row r="235" spans="1:8" ht="15.75" customHeight="1" x14ac:dyDescent="0.25">
      <c r="A235" s="81">
        <v>227</v>
      </c>
      <c r="B235" s="57"/>
      <c r="C235" s="48"/>
      <c r="D235" s="57"/>
      <c r="E235" s="57"/>
      <c r="F235" s="57"/>
      <c r="G235" s="48"/>
      <c r="H235" s="57"/>
    </row>
    <row r="236" spans="1:8" ht="15.75" customHeight="1" x14ac:dyDescent="0.25">
      <c r="A236" s="82">
        <v>228</v>
      </c>
      <c r="B236" s="57"/>
      <c r="C236" s="48"/>
      <c r="D236" s="57"/>
      <c r="E236" s="57"/>
      <c r="F236" s="57"/>
      <c r="G236" s="48"/>
      <c r="H236" s="57"/>
    </row>
    <row r="237" spans="1:8" ht="15.75" customHeight="1" x14ac:dyDescent="0.25">
      <c r="A237" s="81">
        <v>229</v>
      </c>
      <c r="B237" s="57"/>
      <c r="C237" s="48"/>
      <c r="D237" s="57"/>
      <c r="E237" s="57"/>
      <c r="F237" s="57"/>
      <c r="G237" s="48"/>
      <c r="H237" s="57"/>
    </row>
    <row r="238" spans="1:8" ht="15.75" customHeight="1" x14ac:dyDescent="0.25">
      <c r="A238" s="82">
        <v>230</v>
      </c>
      <c r="B238" s="57"/>
      <c r="C238" s="48"/>
      <c r="D238" s="57"/>
      <c r="E238" s="57"/>
      <c r="F238" s="57"/>
      <c r="G238" s="48"/>
      <c r="H238" s="57"/>
    </row>
    <row r="239" spans="1:8" ht="15.75" customHeight="1" x14ac:dyDescent="0.25">
      <c r="A239" s="81">
        <v>231</v>
      </c>
      <c r="B239" s="57"/>
      <c r="C239" s="48"/>
      <c r="D239" s="57"/>
      <c r="E239" s="57"/>
      <c r="F239" s="57"/>
      <c r="G239" s="48"/>
      <c r="H239" s="57"/>
    </row>
    <row r="240" spans="1:8" ht="15.75" customHeight="1" x14ac:dyDescent="0.25">
      <c r="A240" s="82">
        <v>232</v>
      </c>
      <c r="B240" s="57"/>
      <c r="C240" s="48"/>
      <c r="D240" s="57"/>
      <c r="E240" s="57"/>
      <c r="F240" s="57"/>
      <c r="G240" s="48"/>
      <c r="H240" s="57"/>
    </row>
    <row r="241" spans="1:8" ht="15.75" customHeight="1" x14ac:dyDescent="0.25">
      <c r="A241" s="81">
        <v>233</v>
      </c>
      <c r="B241" s="57"/>
      <c r="C241" s="48"/>
      <c r="D241" s="57"/>
      <c r="E241" s="57"/>
      <c r="F241" s="57"/>
      <c r="G241" s="48"/>
      <c r="H241" s="57"/>
    </row>
    <row r="242" spans="1:8" ht="15.75" customHeight="1" x14ac:dyDescent="0.25">
      <c r="A242" s="82">
        <v>234</v>
      </c>
      <c r="B242" s="57"/>
      <c r="C242" s="48"/>
      <c r="D242" s="57"/>
      <c r="E242" s="57"/>
      <c r="F242" s="57"/>
      <c r="G242" s="48"/>
      <c r="H242" s="57"/>
    </row>
    <row r="243" spans="1:8" ht="15.75" customHeight="1" x14ac:dyDescent="0.25">
      <c r="A243" s="81">
        <v>235</v>
      </c>
      <c r="B243" s="57"/>
      <c r="C243" s="48"/>
      <c r="D243" s="57"/>
      <c r="E243" s="57"/>
      <c r="F243" s="57"/>
      <c r="G243" s="48"/>
      <c r="H243" s="57"/>
    </row>
    <row r="244" spans="1:8" ht="15.75" customHeight="1" x14ac:dyDescent="0.25">
      <c r="A244" s="82">
        <v>236</v>
      </c>
      <c r="B244" s="57"/>
      <c r="C244" s="48"/>
      <c r="D244" s="57"/>
      <c r="E244" s="57"/>
      <c r="F244" s="57"/>
      <c r="G244" s="48"/>
      <c r="H244" s="57"/>
    </row>
    <row r="245" spans="1:8" ht="15.75" customHeight="1" x14ac:dyDescent="0.25">
      <c r="A245" s="81">
        <v>237</v>
      </c>
      <c r="B245" s="57"/>
      <c r="C245" s="48"/>
      <c r="D245" s="57"/>
      <c r="E245" s="57"/>
      <c r="F245" s="57"/>
      <c r="G245" s="48"/>
      <c r="H245" s="57"/>
    </row>
    <row r="246" spans="1:8" ht="15.75" customHeight="1" x14ac:dyDescent="0.25">
      <c r="A246" s="82">
        <v>238</v>
      </c>
      <c r="B246" s="57"/>
      <c r="C246" s="48"/>
      <c r="D246" s="57"/>
      <c r="E246" s="57"/>
      <c r="F246" s="57"/>
      <c r="G246" s="48"/>
      <c r="H246" s="57"/>
    </row>
    <row r="247" spans="1:8" ht="15.75" customHeight="1" x14ac:dyDescent="0.25">
      <c r="A247" s="81">
        <v>239</v>
      </c>
      <c r="B247" s="57"/>
      <c r="C247" s="48"/>
      <c r="D247" s="57"/>
      <c r="E247" s="57"/>
      <c r="F247" s="57"/>
      <c r="G247" s="48"/>
      <c r="H247" s="57"/>
    </row>
    <row r="248" spans="1:8" ht="15.75" customHeight="1" x14ac:dyDescent="0.25">
      <c r="A248" s="82">
        <v>240</v>
      </c>
      <c r="B248" s="57"/>
      <c r="C248" s="48"/>
      <c r="D248" s="57"/>
      <c r="E248" s="57"/>
      <c r="F248" s="57"/>
      <c r="G248" s="48"/>
      <c r="H248" s="57"/>
    </row>
    <row r="249" spans="1:8" ht="15.75" customHeight="1" x14ac:dyDescent="0.25">
      <c r="A249" s="81">
        <v>241</v>
      </c>
      <c r="B249" s="57"/>
      <c r="C249" s="48"/>
      <c r="D249" s="57"/>
      <c r="E249" s="57"/>
      <c r="F249" s="57"/>
      <c r="G249" s="48"/>
      <c r="H249" s="57"/>
    </row>
    <row r="250" spans="1:8" ht="15.75" customHeight="1" x14ac:dyDescent="0.25">
      <c r="A250" s="82">
        <v>242</v>
      </c>
      <c r="B250" s="57"/>
      <c r="C250" s="48"/>
      <c r="D250" s="57"/>
      <c r="E250" s="57"/>
      <c r="F250" s="57"/>
      <c r="G250" s="48"/>
      <c r="H250" s="57"/>
    </row>
    <row r="251" spans="1:8" ht="15.75" customHeight="1" x14ac:dyDescent="0.25">
      <c r="A251" s="81">
        <v>243</v>
      </c>
      <c r="B251" s="57"/>
      <c r="C251" s="48"/>
      <c r="D251" s="57"/>
      <c r="E251" s="57"/>
      <c r="F251" s="57"/>
      <c r="G251" s="48"/>
      <c r="H251" s="57"/>
    </row>
    <row r="252" spans="1:8" ht="15.75" customHeight="1" x14ac:dyDescent="0.25">
      <c r="A252" s="82">
        <v>244</v>
      </c>
      <c r="B252" s="57"/>
      <c r="C252" s="48"/>
      <c r="D252" s="57"/>
      <c r="E252" s="57"/>
      <c r="F252" s="57"/>
      <c r="G252" s="48"/>
      <c r="H252" s="57"/>
    </row>
    <row r="253" spans="1:8" ht="15.75" customHeight="1" x14ac:dyDescent="0.25">
      <c r="A253" s="81">
        <v>245</v>
      </c>
      <c r="B253" s="57"/>
      <c r="C253" s="48"/>
      <c r="D253" s="57"/>
      <c r="E253" s="57"/>
      <c r="F253" s="57"/>
      <c r="G253" s="48"/>
      <c r="H253" s="57"/>
    </row>
    <row r="254" spans="1:8" ht="15.75" customHeight="1" x14ac:dyDescent="0.25">
      <c r="A254" s="82">
        <v>246</v>
      </c>
      <c r="B254" s="57"/>
      <c r="C254" s="48"/>
      <c r="D254" s="57"/>
      <c r="E254" s="57"/>
      <c r="F254" s="57"/>
      <c r="G254" s="48"/>
      <c r="H254" s="57"/>
    </row>
    <row r="255" spans="1:8" ht="15.75" customHeight="1" x14ac:dyDescent="0.25">
      <c r="A255" s="81">
        <v>247</v>
      </c>
      <c r="B255" s="57"/>
      <c r="C255" s="48"/>
      <c r="D255" s="57"/>
      <c r="E255" s="57"/>
      <c r="F255" s="57"/>
      <c r="G255" s="48"/>
      <c r="H255" s="57"/>
    </row>
    <row r="256" spans="1:8" ht="15.75" customHeight="1" x14ac:dyDescent="0.25">
      <c r="A256" s="82">
        <v>248</v>
      </c>
      <c r="B256" s="57"/>
      <c r="C256" s="48"/>
      <c r="D256" s="57"/>
      <c r="E256" s="57"/>
      <c r="F256" s="57"/>
      <c r="G256" s="48"/>
      <c r="H256" s="57"/>
    </row>
    <row r="257" spans="1:8" ht="15.75" customHeight="1" x14ac:dyDescent="0.25">
      <c r="A257" s="81">
        <v>249</v>
      </c>
      <c r="B257" s="57"/>
      <c r="C257" s="48"/>
      <c r="D257" s="57"/>
      <c r="E257" s="57"/>
      <c r="F257" s="57"/>
      <c r="G257" s="48"/>
      <c r="H257" s="57"/>
    </row>
    <row r="258" spans="1:8" ht="15.75" customHeight="1" x14ac:dyDescent="0.25">
      <c r="A258" s="82">
        <v>250</v>
      </c>
      <c r="B258" s="57"/>
      <c r="C258" s="48"/>
      <c r="D258" s="57"/>
      <c r="E258" s="57"/>
      <c r="F258" s="57"/>
      <c r="G258" s="48"/>
      <c r="H258" s="57"/>
    </row>
    <row r="259" spans="1:8" ht="15.75" customHeight="1" x14ac:dyDescent="0.25">
      <c r="A259" s="81">
        <v>251</v>
      </c>
      <c r="B259" s="57"/>
      <c r="C259" s="48"/>
      <c r="D259" s="57"/>
      <c r="E259" s="57"/>
      <c r="F259" s="57"/>
      <c r="G259" s="48"/>
      <c r="H259" s="57"/>
    </row>
    <row r="260" spans="1:8" ht="15.75" customHeight="1" x14ac:dyDescent="0.25">
      <c r="A260" s="82">
        <v>252</v>
      </c>
      <c r="B260" s="57"/>
      <c r="C260" s="48"/>
      <c r="D260" s="57"/>
      <c r="E260" s="57"/>
      <c r="F260" s="57"/>
      <c r="G260" s="48"/>
      <c r="H260" s="57"/>
    </row>
    <row r="261" spans="1:8" ht="15.75" customHeight="1" x14ac:dyDescent="0.25">
      <c r="A261" s="81">
        <v>253</v>
      </c>
      <c r="B261" s="57"/>
      <c r="C261" s="48"/>
      <c r="D261" s="57"/>
      <c r="E261" s="57"/>
      <c r="F261" s="57"/>
      <c r="G261" s="48"/>
      <c r="H261" s="57"/>
    </row>
    <row r="262" spans="1:8" ht="15.75" customHeight="1" x14ac:dyDescent="0.25">
      <c r="A262" s="82">
        <v>254</v>
      </c>
      <c r="B262" s="57"/>
      <c r="C262" s="48"/>
      <c r="D262" s="57"/>
      <c r="E262" s="57"/>
      <c r="F262" s="57"/>
      <c r="G262" s="48"/>
      <c r="H262" s="57"/>
    </row>
    <row r="263" spans="1:8" ht="15.75" customHeight="1" x14ac:dyDescent="0.25">
      <c r="A263" s="81">
        <v>255</v>
      </c>
      <c r="B263" s="57"/>
      <c r="C263" s="48"/>
      <c r="D263" s="57"/>
      <c r="E263" s="57"/>
      <c r="F263" s="57"/>
      <c r="G263" s="48"/>
      <c r="H263" s="57"/>
    </row>
    <row r="264" spans="1:8" ht="15.75" customHeight="1" x14ac:dyDescent="0.25">
      <c r="A264" s="82">
        <v>256</v>
      </c>
      <c r="B264" s="57"/>
      <c r="C264" s="48"/>
      <c r="D264" s="57"/>
      <c r="E264" s="57"/>
      <c r="F264" s="57"/>
      <c r="G264" s="48"/>
      <c r="H264" s="57"/>
    </row>
    <row r="265" spans="1:8" ht="15.75" customHeight="1" x14ac:dyDescent="0.25">
      <c r="A265" s="81">
        <v>257</v>
      </c>
      <c r="B265" s="57"/>
      <c r="C265" s="48"/>
      <c r="D265" s="57"/>
      <c r="E265" s="57"/>
      <c r="F265" s="57"/>
      <c r="G265" s="48"/>
      <c r="H265" s="57"/>
    </row>
    <row r="266" spans="1:8" ht="15.75" customHeight="1" x14ac:dyDescent="0.25">
      <c r="A266" s="82">
        <v>258</v>
      </c>
      <c r="B266" s="57"/>
      <c r="C266" s="48"/>
      <c r="D266" s="57"/>
      <c r="E266" s="57"/>
      <c r="F266" s="57"/>
      <c r="G266" s="48"/>
      <c r="H266" s="57"/>
    </row>
    <row r="267" spans="1:8" ht="15.75" customHeight="1" x14ac:dyDescent="0.25">
      <c r="A267" s="81">
        <v>259</v>
      </c>
      <c r="B267" s="57"/>
      <c r="C267" s="48"/>
      <c r="D267" s="57"/>
      <c r="E267" s="57"/>
      <c r="F267" s="57"/>
      <c r="G267" s="48"/>
      <c r="H267" s="57"/>
    </row>
    <row r="268" spans="1:8" ht="15.75" customHeight="1" x14ac:dyDescent="0.25">
      <c r="A268" s="82">
        <v>260</v>
      </c>
      <c r="B268" s="57"/>
      <c r="C268" s="48"/>
      <c r="D268" s="57"/>
      <c r="E268" s="57"/>
      <c r="F268" s="57"/>
      <c r="G268" s="48"/>
      <c r="H268" s="57"/>
    </row>
    <row r="269" spans="1:8" ht="15.75" customHeight="1" x14ac:dyDescent="0.25">
      <c r="A269" s="81">
        <v>261</v>
      </c>
      <c r="B269" s="57"/>
      <c r="C269" s="48"/>
      <c r="D269" s="57"/>
      <c r="E269" s="57"/>
      <c r="F269" s="57"/>
      <c r="G269" s="48"/>
      <c r="H269" s="57"/>
    </row>
    <row r="270" spans="1:8" ht="15.75" customHeight="1" x14ac:dyDescent="0.25">
      <c r="A270" s="82">
        <v>262</v>
      </c>
      <c r="B270" s="57"/>
      <c r="C270" s="48"/>
      <c r="D270" s="57"/>
      <c r="E270" s="57"/>
      <c r="F270" s="57"/>
      <c r="G270" s="48"/>
      <c r="H270" s="57"/>
    </row>
    <row r="271" spans="1:8" ht="15.75" customHeight="1" x14ac:dyDescent="0.25">
      <c r="A271" s="81">
        <v>263</v>
      </c>
      <c r="B271" s="57"/>
      <c r="C271" s="48"/>
      <c r="D271" s="57"/>
      <c r="E271" s="57"/>
      <c r="F271" s="57"/>
      <c r="G271" s="48"/>
      <c r="H271" s="57"/>
    </row>
    <row r="272" spans="1:8" ht="15.75" customHeight="1" x14ac:dyDescent="0.25">
      <c r="A272" s="82">
        <v>264</v>
      </c>
      <c r="B272" s="57"/>
      <c r="C272" s="48"/>
      <c r="D272" s="57"/>
      <c r="E272" s="57"/>
      <c r="F272" s="57"/>
      <c r="G272" s="48"/>
      <c r="H272" s="57"/>
    </row>
    <row r="273" spans="1:8" ht="15.75" customHeight="1" x14ac:dyDescent="0.25">
      <c r="A273" s="81">
        <v>265</v>
      </c>
      <c r="B273" s="57"/>
      <c r="C273" s="48"/>
      <c r="D273" s="57"/>
      <c r="E273" s="57"/>
      <c r="F273" s="57"/>
      <c r="G273" s="48"/>
      <c r="H273" s="57"/>
    </row>
    <row r="274" spans="1:8" ht="15.75" customHeight="1" x14ac:dyDescent="0.25">
      <c r="A274" s="82">
        <v>266</v>
      </c>
      <c r="B274" s="57"/>
      <c r="C274" s="48"/>
      <c r="D274" s="57"/>
      <c r="E274" s="57"/>
      <c r="F274" s="57"/>
      <c r="G274" s="48"/>
      <c r="H274" s="57"/>
    </row>
    <row r="275" spans="1:8" ht="15.75" customHeight="1" x14ac:dyDescent="0.25">
      <c r="A275" s="81">
        <v>267</v>
      </c>
      <c r="B275" s="57"/>
      <c r="C275" s="48"/>
      <c r="D275" s="57"/>
      <c r="E275" s="57"/>
      <c r="F275" s="57"/>
      <c r="G275" s="48"/>
      <c r="H275" s="57"/>
    </row>
    <row r="276" spans="1:8" ht="15.75" customHeight="1" x14ac:dyDescent="0.25">
      <c r="A276" s="82">
        <v>268</v>
      </c>
      <c r="B276" s="57"/>
      <c r="C276" s="48"/>
      <c r="D276" s="57"/>
      <c r="E276" s="57"/>
      <c r="F276" s="57"/>
      <c r="G276" s="48"/>
      <c r="H276" s="57"/>
    </row>
    <row r="277" spans="1:8" ht="15.75" customHeight="1" x14ac:dyDescent="0.25">
      <c r="A277" s="81">
        <v>269</v>
      </c>
      <c r="B277" s="57"/>
      <c r="C277" s="48"/>
      <c r="D277" s="57"/>
      <c r="E277" s="57"/>
      <c r="F277" s="57"/>
      <c r="G277" s="48"/>
      <c r="H277" s="57"/>
    </row>
    <row r="278" spans="1:8" ht="15.75" customHeight="1" x14ac:dyDescent="0.25">
      <c r="A278" s="82">
        <v>270</v>
      </c>
      <c r="B278" s="57"/>
      <c r="C278" s="48"/>
      <c r="D278" s="57"/>
      <c r="E278" s="57"/>
      <c r="F278" s="57"/>
      <c r="G278" s="48"/>
      <c r="H278" s="57"/>
    </row>
    <row r="279" spans="1:8" ht="15.75" customHeight="1" x14ac:dyDescent="0.25">
      <c r="A279" s="81">
        <v>271</v>
      </c>
      <c r="B279" s="57"/>
      <c r="C279" s="48"/>
      <c r="D279" s="57"/>
      <c r="E279" s="57"/>
      <c r="F279" s="57"/>
      <c r="G279" s="48"/>
      <c r="H279" s="57"/>
    </row>
    <row r="280" spans="1:8" ht="15.75" customHeight="1" x14ac:dyDescent="0.25">
      <c r="A280" s="82">
        <v>272</v>
      </c>
      <c r="B280" s="57"/>
      <c r="C280" s="48"/>
      <c r="D280" s="57"/>
      <c r="E280" s="57"/>
      <c r="F280" s="57"/>
      <c r="G280" s="48"/>
      <c r="H280" s="57"/>
    </row>
    <row r="281" spans="1:8" ht="15.75" customHeight="1" x14ac:dyDescent="0.25">
      <c r="A281" s="81">
        <v>273</v>
      </c>
      <c r="B281" s="57"/>
      <c r="C281" s="48"/>
      <c r="D281" s="57"/>
      <c r="E281" s="57"/>
      <c r="F281" s="57"/>
      <c r="G281" s="48"/>
      <c r="H281" s="57"/>
    </row>
    <row r="282" spans="1:8" ht="15.75" customHeight="1" x14ac:dyDescent="0.25">
      <c r="A282" s="82">
        <v>274</v>
      </c>
      <c r="B282" s="57"/>
      <c r="C282" s="48"/>
      <c r="D282" s="57"/>
      <c r="E282" s="57"/>
      <c r="F282" s="57"/>
      <c r="G282" s="48"/>
      <c r="H282" s="57"/>
    </row>
    <row r="283" spans="1:8" ht="15.75" customHeight="1" x14ac:dyDescent="0.25">
      <c r="A283" s="81">
        <v>275</v>
      </c>
      <c r="B283" s="57"/>
      <c r="C283" s="48"/>
      <c r="D283" s="57"/>
      <c r="E283" s="57"/>
      <c r="F283" s="57"/>
      <c r="G283" s="48"/>
      <c r="H283" s="57"/>
    </row>
    <row r="284" spans="1:8" ht="15.75" customHeight="1" x14ac:dyDescent="0.25">
      <c r="A284" s="82">
        <v>276</v>
      </c>
      <c r="B284" s="57"/>
      <c r="C284" s="48"/>
      <c r="D284" s="57"/>
      <c r="E284" s="57"/>
      <c r="F284" s="57"/>
      <c r="G284" s="48"/>
      <c r="H284" s="57"/>
    </row>
    <row r="285" spans="1:8" ht="15.75" customHeight="1" x14ac:dyDescent="0.25">
      <c r="A285" s="81">
        <v>277</v>
      </c>
      <c r="B285" s="57"/>
      <c r="C285" s="48"/>
      <c r="D285" s="57"/>
      <c r="E285" s="57"/>
      <c r="F285" s="57"/>
      <c r="G285" s="57"/>
      <c r="H285" s="57"/>
    </row>
    <row r="286" spans="1:8" ht="15.75" customHeight="1" x14ac:dyDescent="0.25">
      <c r="A286" s="82">
        <v>278</v>
      </c>
      <c r="B286" s="57"/>
      <c r="C286" s="48"/>
      <c r="D286" s="57"/>
      <c r="E286" s="57"/>
      <c r="F286" s="57"/>
      <c r="G286" s="57"/>
      <c r="H286" s="57"/>
    </row>
    <row r="287" spans="1:8" ht="15.75" customHeight="1" x14ac:dyDescent="0.25">
      <c r="A287" s="81">
        <v>279</v>
      </c>
      <c r="B287" s="57"/>
      <c r="C287" s="48"/>
      <c r="D287" s="57"/>
      <c r="E287" s="57"/>
      <c r="F287" s="57"/>
      <c r="G287" s="57"/>
      <c r="H287" s="57"/>
    </row>
    <row r="288" spans="1:8" ht="15.75" customHeight="1" x14ac:dyDescent="0.25">
      <c r="A288" s="82">
        <v>280</v>
      </c>
      <c r="B288" s="57"/>
      <c r="C288" s="48"/>
      <c r="D288" s="57"/>
      <c r="E288" s="57"/>
      <c r="F288" s="57"/>
      <c r="G288" s="57"/>
      <c r="H288" s="57"/>
    </row>
    <row r="289" spans="1:8" ht="15.75" customHeight="1" x14ac:dyDescent="0.25">
      <c r="A289" s="81">
        <v>281</v>
      </c>
      <c r="B289" s="57"/>
      <c r="C289" s="48"/>
      <c r="D289" s="57"/>
      <c r="E289" s="57"/>
      <c r="F289" s="57"/>
      <c r="G289" s="57"/>
      <c r="H289" s="57"/>
    </row>
    <row r="290" spans="1:8" ht="15.75" customHeight="1" x14ac:dyDescent="0.25">
      <c r="A290" s="82">
        <v>282</v>
      </c>
      <c r="B290" s="57"/>
      <c r="C290" s="48"/>
      <c r="D290" s="57"/>
      <c r="E290" s="57"/>
      <c r="F290" s="57"/>
      <c r="G290" s="57"/>
      <c r="H290" s="57"/>
    </row>
    <row r="291" spans="1:8" ht="15.75" customHeight="1" x14ac:dyDescent="0.25">
      <c r="A291" s="81">
        <v>283</v>
      </c>
      <c r="B291" s="57"/>
      <c r="C291" s="48"/>
      <c r="D291" s="57"/>
      <c r="E291" s="57"/>
      <c r="F291" s="57"/>
      <c r="G291" s="57"/>
      <c r="H291" s="57"/>
    </row>
    <row r="292" spans="1:8" ht="15.75" customHeight="1" x14ac:dyDescent="0.25">
      <c r="A292" s="82">
        <v>284</v>
      </c>
      <c r="B292" s="57"/>
      <c r="C292" s="48"/>
      <c r="D292" s="57"/>
      <c r="E292" s="57"/>
      <c r="F292" s="57"/>
      <c r="G292" s="57"/>
      <c r="H292" s="57"/>
    </row>
    <row r="293" spans="1:8" ht="15.75" customHeight="1" x14ac:dyDescent="0.25">
      <c r="A293" s="81">
        <v>285</v>
      </c>
      <c r="B293" s="57"/>
      <c r="C293" s="48"/>
      <c r="D293" s="57"/>
      <c r="E293" s="57"/>
      <c r="F293" s="57"/>
      <c r="G293" s="57"/>
      <c r="H293" s="57"/>
    </row>
    <row r="294" spans="1:8" ht="15.75" customHeight="1" x14ac:dyDescent="0.25">
      <c r="A294" s="82">
        <v>286</v>
      </c>
      <c r="B294" s="57"/>
      <c r="C294" s="48"/>
      <c r="D294" s="57"/>
      <c r="E294" s="57"/>
      <c r="F294" s="57"/>
      <c r="G294" s="57"/>
      <c r="H294" s="57"/>
    </row>
    <row r="295" spans="1:8" ht="15.75" customHeight="1" x14ac:dyDescent="0.25">
      <c r="A295" s="81">
        <v>287</v>
      </c>
      <c r="B295" s="57"/>
      <c r="C295" s="48"/>
      <c r="D295" s="57"/>
      <c r="E295" s="57"/>
      <c r="F295" s="57"/>
      <c r="G295" s="57"/>
      <c r="H295" s="57"/>
    </row>
    <row r="296" spans="1:8" ht="15.75" customHeight="1" x14ac:dyDescent="0.25">
      <c r="A296" s="82">
        <v>288</v>
      </c>
      <c r="B296" s="57"/>
      <c r="C296" s="48"/>
      <c r="D296" s="57"/>
      <c r="E296" s="57"/>
      <c r="F296" s="57"/>
      <c r="G296" s="57"/>
      <c r="H296" s="57"/>
    </row>
    <row r="297" spans="1:8" ht="15.75" customHeight="1" x14ac:dyDescent="0.25">
      <c r="A297" s="81">
        <v>289</v>
      </c>
      <c r="B297" s="57"/>
      <c r="C297" s="48"/>
      <c r="D297" s="57"/>
      <c r="E297" s="57"/>
      <c r="F297" s="57"/>
      <c r="G297" s="57"/>
      <c r="H297" s="57"/>
    </row>
    <row r="298" spans="1:8" ht="15.75" customHeight="1" x14ac:dyDescent="0.25">
      <c r="A298" s="82">
        <v>290</v>
      </c>
      <c r="B298" s="57"/>
      <c r="C298" s="48"/>
      <c r="D298" s="57"/>
      <c r="E298" s="57"/>
      <c r="F298" s="57"/>
      <c r="G298" s="57"/>
      <c r="H298" s="57"/>
    </row>
    <row r="299" spans="1:8" ht="15.75" customHeight="1" x14ac:dyDescent="0.25">
      <c r="A299" s="81">
        <v>291</v>
      </c>
      <c r="B299" s="57"/>
      <c r="C299" s="48"/>
      <c r="D299" s="57"/>
      <c r="E299" s="57"/>
      <c r="F299" s="57"/>
      <c r="G299" s="57"/>
      <c r="H299" s="57"/>
    </row>
    <row r="300" spans="1:8" ht="15.75" customHeight="1" x14ac:dyDescent="0.25">
      <c r="A300" s="82">
        <v>292</v>
      </c>
      <c r="B300" s="57"/>
      <c r="C300" s="48"/>
      <c r="D300" s="57"/>
      <c r="E300" s="57"/>
      <c r="F300" s="57"/>
      <c r="G300" s="57"/>
      <c r="H300" s="57"/>
    </row>
    <row r="301" spans="1:8" ht="15.75" customHeight="1" x14ac:dyDescent="0.25">
      <c r="A301" s="81">
        <v>293</v>
      </c>
      <c r="B301" s="57"/>
      <c r="C301" s="48"/>
      <c r="D301" s="57"/>
      <c r="E301" s="57"/>
      <c r="F301" s="57"/>
      <c r="G301" s="57"/>
      <c r="H301" s="57"/>
    </row>
    <row r="302" spans="1:8" ht="15.75" customHeight="1" x14ac:dyDescent="0.25">
      <c r="A302" s="82">
        <v>294</v>
      </c>
      <c r="B302" s="57"/>
      <c r="C302" s="48"/>
      <c r="D302" s="57"/>
      <c r="E302" s="57"/>
      <c r="F302" s="57"/>
      <c r="G302" s="57"/>
      <c r="H302" s="57"/>
    </row>
    <row r="303" spans="1:8" ht="15.75" customHeight="1" x14ac:dyDescent="0.25">
      <c r="A303" s="81">
        <v>295</v>
      </c>
      <c r="B303" s="57"/>
      <c r="C303" s="48"/>
      <c r="D303" s="57"/>
      <c r="E303" s="57"/>
      <c r="F303" s="57"/>
      <c r="G303" s="57"/>
      <c r="H303" s="57"/>
    </row>
    <row r="304" spans="1:8" ht="15.75" customHeight="1" x14ac:dyDescent="0.25">
      <c r="A304" s="82">
        <v>296</v>
      </c>
      <c r="B304" s="57"/>
      <c r="C304" s="48"/>
      <c r="D304" s="57"/>
      <c r="E304" s="57"/>
      <c r="F304" s="57"/>
      <c r="G304" s="57"/>
      <c r="H304" s="57"/>
    </row>
    <row r="305" spans="1:8" ht="15.75" customHeight="1" x14ac:dyDescent="0.25">
      <c r="A305" s="81">
        <v>297</v>
      </c>
      <c r="B305" s="57"/>
      <c r="C305" s="48"/>
      <c r="D305" s="57"/>
      <c r="E305" s="57"/>
      <c r="F305" s="57"/>
      <c r="G305" s="57"/>
      <c r="H305" s="57"/>
    </row>
    <row r="306" spans="1:8" ht="15.75" customHeight="1" x14ac:dyDescent="0.25">
      <c r="A306" s="82">
        <v>298</v>
      </c>
      <c r="B306" s="57"/>
      <c r="C306" s="48"/>
      <c r="D306" s="57"/>
      <c r="E306" s="57"/>
      <c r="F306" s="57"/>
      <c r="G306" s="57"/>
      <c r="H306" s="57"/>
    </row>
    <row r="307" spans="1:8" ht="15.75" customHeight="1" x14ac:dyDescent="0.25">
      <c r="A307" s="81">
        <v>299</v>
      </c>
      <c r="B307" s="57"/>
      <c r="C307" s="48"/>
      <c r="D307" s="57"/>
      <c r="E307" s="57"/>
      <c r="F307" s="57"/>
      <c r="G307" s="57"/>
      <c r="H307" s="57"/>
    </row>
    <row r="308" spans="1:8" ht="15.75" customHeight="1" x14ac:dyDescent="0.25">
      <c r="A308" s="82">
        <v>300</v>
      </c>
      <c r="B308" s="57"/>
      <c r="C308" s="48"/>
      <c r="D308" s="57"/>
      <c r="E308" s="57"/>
      <c r="F308" s="57"/>
      <c r="G308" s="57"/>
      <c r="H308" s="57"/>
    </row>
    <row r="309" spans="1:8" ht="15.75" customHeight="1" x14ac:dyDescent="0.25">
      <c r="A309" s="81">
        <v>301</v>
      </c>
      <c r="B309" s="57"/>
      <c r="C309" s="48"/>
      <c r="D309" s="57"/>
      <c r="E309" s="57"/>
      <c r="F309" s="57"/>
      <c r="G309" s="57"/>
      <c r="H309" s="57"/>
    </row>
    <row r="310" spans="1:8" ht="15.75" customHeight="1" x14ac:dyDescent="0.25">
      <c r="A310" s="82">
        <v>302</v>
      </c>
      <c r="B310" s="57"/>
      <c r="C310" s="48"/>
      <c r="D310" s="57"/>
      <c r="E310" s="57"/>
      <c r="F310" s="57"/>
      <c r="G310" s="57"/>
      <c r="H310" s="57"/>
    </row>
    <row r="311" spans="1:8" ht="15.75" customHeight="1" x14ac:dyDescent="0.25">
      <c r="A311" s="81">
        <v>303</v>
      </c>
      <c r="B311" s="57"/>
      <c r="C311" s="48"/>
      <c r="D311" s="57"/>
      <c r="E311" s="57"/>
      <c r="F311" s="57"/>
      <c r="G311" s="57"/>
      <c r="H311" s="57"/>
    </row>
    <row r="312" spans="1:8" ht="15.75" customHeight="1" x14ac:dyDescent="0.25">
      <c r="A312" s="82">
        <v>304</v>
      </c>
      <c r="B312" s="57"/>
      <c r="C312" s="48"/>
      <c r="D312" s="57"/>
      <c r="E312" s="57"/>
      <c r="F312" s="57"/>
      <c r="G312" s="57"/>
      <c r="H312" s="57"/>
    </row>
    <row r="313" spans="1:8" ht="15.75" customHeight="1" x14ac:dyDescent="0.25">
      <c r="A313" s="81">
        <v>305</v>
      </c>
      <c r="B313" s="57"/>
      <c r="C313" s="48"/>
      <c r="D313" s="57"/>
      <c r="E313" s="57"/>
      <c r="F313" s="57"/>
      <c r="G313" s="57"/>
      <c r="H313" s="57"/>
    </row>
    <row r="314" spans="1:8" ht="15.75" customHeight="1" x14ac:dyDescent="0.25">
      <c r="A314" s="82">
        <v>306</v>
      </c>
      <c r="B314" s="57"/>
      <c r="C314" s="48"/>
      <c r="D314" s="57"/>
      <c r="E314" s="57"/>
      <c r="F314" s="57"/>
      <c r="G314" s="57"/>
      <c r="H314" s="57"/>
    </row>
    <row r="315" spans="1:8" ht="15.75" customHeight="1" x14ac:dyDescent="0.25">
      <c r="A315" s="81">
        <v>307</v>
      </c>
      <c r="B315" s="57"/>
      <c r="C315" s="48"/>
      <c r="D315" s="57"/>
      <c r="E315" s="57"/>
      <c r="F315" s="57"/>
      <c r="G315" s="57"/>
      <c r="H315" s="57"/>
    </row>
    <row r="316" spans="1:8" ht="15.75" customHeight="1" x14ac:dyDescent="0.25">
      <c r="A316" s="82">
        <v>308</v>
      </c>
      <c r="B316" s="57"/>
      <c r="C316" s="48"/>
      <c r="D316" s="57"/>
      <c r="E316" s="57"/>
      <c r="F316" s="57"/>
      <c r="G316" s="57"/>
      <c r="H316" s="57"/>
    </row>
    <row r="317" spans="1:8" ht="15.75" customHeight="1" x14ac:dyDescent="0.25">
      <c r="A317" s="81">
        <v>309</v>
      </c>
      <c r="B317" s="57"/>
      <c r="C317" s="48"/>
      <c r="D317" s="57"/>
      <c r="E317" s="57"/>
      <c r="F317" s="57"/>
      <c r="G317" s="57"/>
      <c r="H317" s="57"/>
    </row>
    <row r="318" spans="1:8" ht="15.75" customHeight="1" x14ac:dyDescent="0.25">
      <c r="A318" s="82">
        <v>310</v>
      </c>
      <c r="B318" s="57"/>
      <c r="C318" s="48"/>
      <c r="D318" s="57"/>
      <c r="E318" s="57"/>
      <c r="F318" s="57"/>
      <c r="G318" s="57"/>
      <c r="H318" s="57"/>
    </row>
    <row r="319" spans="1:8" ht="15.75" customHeight="1" x14ac:dyDescent="0.25">
      <c r="A319" s="81">
        <v>311</v>
      </c>
      <c r="B319" s="57"/>
      <c r="C319" s="48"/>
      <c r="D319" s="57"/>
      <c r="E319" s="57"/>
      <c r="F319" s="57"/>
      <c r="G319" s="57"/>
      <c r="H319" s="57"/>
    </row>
    <row r="320" spans="1:8" ht="15.75" customHeight="1" x14ac:dyDescent="0.25">
      <c r="A320" s="82">
        <v>312</v>
      </c>
      <c r="B320" s="57"/>
      <c r="C320" s="48"/>
      <c r="D320" s="57"/>
      <c r="E320" s="57"/>
      <c r="F320" s="57"/>
      <c r="G320" s="57"/>
      <c r="H320" s="57"/>
    </row>
    <row r="321" spans="1:8" ht="15.75" customHeight="1" x14ac:dyDescent="0.25">
      <c r="A321" s="81">
        <v>313</v>
      </c>
      <c r="B321" s="57"/>
      <c r="C321" s="48"/>
      <c r="D321" s="57"/>
      <c r="E321" s="57"/>
      <c r="F321" s="57"/>
      <c r="G321" s="57"/>
      <c r="H321" s="57"/>
    </row>
    <row r="322" spans="1:8" ht="15.75" customHeight="1" x14ac:dyDescent="0.25">
      <c r="A322" s="82">
        <v>314</v>
      </c>
      <c r="B322" s="57"/>
      <c r="C322" s="48"/>
      <c r="D322" s="57"/>
      <c r="E322" s="57"/>
      <c r="F322" s="57"/>
      <c r="G322" s="57"/>
      <c r="H322" s="57"/>
    </row>
    <row r="323" spans="1:8" ht="15.75" customHeight="1" x14ac:dyDescent="0.25">
      <c r="A323" s="81">
        <v>315</v>
      </c>
      <c r="B323" s="57"/>
      <c r="C323" s="48"/>
      <c r="D323" s="57"/>
      <c r="E323" s="57"/>
      <c r="F323" s="57"/>
      <c r="G323" s="57"/>
      <c r="H323" s="57"/>
    </row>
    <row r="324" spans="1:8" ht="15.75" customHeight="1" x14ac:dyDescent="0.25">
      <c r="A324" s="82">
        <v>316</v>
      </c>
      <c r="B324" s="57"/>
      <c r="C324" s="48"/>
      <c r="D324" s="57"/>
      <c r="E324" s="57"/>
      <c r="F324" s="57"/>
      <c r="G324" s="57"/>
      <c r="H324" s="57"/>
    </row>
    <row r="325" spans="1:8" ht="15.75" customHeight="1" x14ac:dyDescent="0.25">
      <c r="A325" s="81">
        <v>317</v>
      </c>
      <c r="B325" s="57"/>
      <c r="C325" s="48"/>
      <c r="D325" s="57"/>
      <c r="E325" s="57"/>
      <c r="F325" s="57"/>
      <c r="G325" s="57"/>
      <c r="H325" s="57"/>
    </row>
    <row r="326" spans="1:8" ht="15.75" customHeight="1" x14ac:dyDescent="0.25">
      <c r="A326" s="82">
        <v>318</v>
      </c>
      <c r="B326" s="57"/>
      <c r="C326" s="48"/>
      <c r="D326" s="57"/>
      <c r="E326" s="57"/>
      <c r="F326" s="57"/>
      <c r="G326" s="57"/>
      <c r="H326" s="57"/>
    </row>
    <row r="327" spans="1:8" ht="15.75" customHeight="1" x14ac:dyDescent="0.25">
      <c r="A327" s="81">
        <v>319</v>
      </c>
      <c r="B327" s="57"/>
      <c r="C327" s="48"/>
      <c r="D327" s="57"/>
      <c r="E327" s="57"/>
      <c r="F327" s="57"/>
      <c r="G327" s="57"/>
      <c r="H327" s="57"/>
    </row>
    <row r="328" spans="1:8" ht="15.75" customHeight="1" x14ac:dyDescent="0.25">
      <c r="A328" s="82">
        <v>320</v>
      </c>
      <c r="B328" s="57"/>
      <c r="C328" s="48"/>
      <c r="D328" s="57"/>
      <c r="E328" s="57"/>
      <c r="F328" s="57"/>
      <c r="G328" s="57"/>
      <c r="H328" s="57"/>
    </row>
    <row r="329" spans="1:8" ht="15.75" customHeight="1" x14ac:dyDescent="0.25">
      <c r="A329" s="81">
        <v>321</v>
      </c>
      <c r="B329" s="57"/>
      <c r="C329" s="48"/>
      <c r="D329" s="57"/>
      <c r="E329" s="57"/>
      <c r="F329" s="57"/>
      <c r="G329" s="57"/>
      <c r="H329" s="57"/>
    </row>
    <row r="330" spans="1:8" ht="15.75" customHeight="1" x14ac:dyDescent="0.25">
      <c r="A330" s="82">
        <v>322</v>
      </c>
      <c r="B330" s="57"/>
      <c r="C330" s="48"/>
      <c r="D330" s="57"/>
      <c r="E330" s="57"/>
      <c r="F330" s="57"/>
      <c r="G330" s="57"/>
      <c r="H330" s="57"/>
    </row>
    <row r="331" spans="1:8" ht="15.75" customHeight="1" x14ac:dyDescent="0.25">
      <c r="A331" s="81">
        <v>323</v>
      </c>
      <c r="B331" s="57"/>
      <c r="C331" s="48"/>
      <c r="D331" s="57"/>
      <c r="E331" s="57"/>
      <c r="F331" s="57"/>
      <c r="G331" s="57"/>
      <c r="H331" s="57"/>
    </row>
    <row r="332" spans="1:8" ht="15.75" customHeight="1" x14ac:dyDescent="0.25">
      <c r="A332" s="82">
        <v>324</v>
      </c>
      <c r="B332" s="57"/>
      <c r="C332" s="48"/>
      <c r="D332" s="57"/>
      <c r="E332" s="57"/>
      <c r="F332" s="57"/>
      <c r="G332" s="57"/>
      <c r="H332" s="57"/>
    </row>
    <row r="333" spans="1:8" ht="15.75" customHeight="1" x14ac:dyDescent="0.25">
      <c r="A333" s="81">
        <v>325</v>
      </c>
      <c r="B333" s="57"/>
      <c r="C333" s="48"/>
      <c r="D333" s="57"/>
      <c r="E333" s="57"/>
      <c r="F333" s="57"/>
      <c r="G333" s="57"/>
      <c r="H333" s="57"/>
    </row>
    <row r="334" spans="1:8" ht="15.75" customHeight="1" x14ac:dyDescent="0.25">
      <c r="A334" s="82">
        <v>326</v>
      </c>
      <c r="B334" s="57"/>
      <c r="C334" s="48"/>
      <c r="D334" s="57"/>
      <c r="E334" s="57"/>
      <c r="F334" s="57"/>
      <c r="G334" s="57"/>
      <c r="H334" s="57"/>
    </row>
    <row r="335" spans="1:8" ht="15.75" customHeight="1" x14ac:dyDescent="0.25">
      <c r="A335" s="81">
        <v>327</v>
      </c>
      <c r="B335" s="57"/>
      <c r="C335" s="48"/>
      <c r="D335" s="57"/>
      <c r="E335" s="57"/>
      <c r="F335" s="57"/>
      <c r="G335" s="57"/>
      <c r="H335" s="57"/>
    </row>
    <row r="336" spans="1:8" ht="15.75" customHeight="1" x14ac:dyDescent="0.25">
      <c r="A336" s="82">
        <v>328</v>
      </c>
      <c r="B336" s="57"/>
      <c r="C336" s="48"/>
      <c r="D336" s="57"/>
      <c r="E336" s="57"/>
      <c r="F336" s="57"/>
      <c r="G336" s="57"/>
      <c r="H336" s="57"/>
    </row>
    <row r="337" spans="1:8" ht="15.75" customHeight="1" x14ac:dyDescent="0.25">
      <c r="A337" s="81">
        <v>329</v>
      </c>
      <c r="B337" s="57"/>
      <c r="C337" s="48"/>
      <c r="D337" s="57"/>
      <c r="E337" s="57"/>
      <c r="F337" s="57"/>
      <c r="G337" s="57"/>
      <c r="H337" s="57"/>
    </row>
    <row r="338" spans="1:8" ht="15.75" customHeight="1" x14ac:dyDescent="0.25">
      <c r="A338" s="82">
        <v>330</v>
      </c>
      <c r="B338" s="57"/>
      <c r="C338" s="48"/>
      <c r="D338" s="57"/>
      <c r="E338" s="57"/>
      <c r="F338" s="57"/>
      <c r="G338" s="57"/>
      <c r="H338" s="57"/>
    </row>
    <row r="339" spans="1:8" ht="15.75" customHeight="1" x14ac:dyDescent="0.25">
      <c r="A339" s="81">
        <v>331</v>
      </c>
      <c r="B339" s="57"/>
      <c r="C339" s="48"/>
      <c r="D339" s="57"/>
      <c r="E339" s="57"/>
      <c r="F339" s="57"/>
      <c r="G339" s="57"/>
      <c r="H339" s="57"/>
    </row>
    <row r="340" spans="1:8" ht="15.75" customHeight="1" x14ac:dyDescent="0.25">
      <c r="A340" s="82">
        <v>332</v>
      </c>
      <c r="B340" s="57"/>
      <c r="C340" s="48"/>
      <c r="D340" s="57"/>
      <c r="E340" s="57"/>
      <c r="F340" s="57"/>
      <c r="G340" s="57"/>
      <c r="H340" s="57"/>
    </row>
    <row r="341" spans="1:8" ht="15.75" customHeight="1" x14ac:dyDescent="0.25">
      <c r="A341" s="81">
        <v>333</v>
      </c>
      <c r="B341" s="57"/>
      <c r="C341" s="48"/>
      <c r="D341" s="57"/>
      <c r="E341" s="57"/>
      <c r="F341" s="57"/>
      <c r="G341" s="57"/>
      <c r="H341" s="57"/>
    </row>
    <row r="342" spans="1:8" ht="15.75" customHeight="1" x14ac:dyDescent="0.25">
      <c r="A342" s="82">
        <v>334</v>
      </c>
      <c r="B342" s="57"/>
      <c r="C342" s="48"/>
      <c r="D342" s="57"/>
      <c r="E342" s="57"/>
      <c r="F342" s="57"/>
      <c r="G342" s="57"/>
      <c r="H342" s="57"/>
    </row>
    <row r="343" spans="1:8" ht="15.75" customHeight="1" x14ac:dyDescent="0.25">
      <c r="A343" s="81">
        <v>335</v>
      </c>
      <c r="B343" s="57"/>
      <c r="C343" s="48"/>
      <c r="D343" s="57"/>
      <c r="E343" s="57"/>
      <c r="F343" s="57"/>
      <c r="G343" s="57"/>
      <c r="H343" s="57"/>
    </row>
    <row r="344" spans="1:8" ht="15.75" customHeight="1" x14ac:dyDescent="0.25">
      <c r="A344" s="82">
        <v>336</v>
      </c>
      <c r="B344" s="57"/>
      <c r="C344" s="48"/>
      <c r="D344" s="57"/>
      <c r="E344" s="57"/>
      <c r="F344" s="57"/>
      <c r="G344" s="57"/>
      <c r="H344" s="57"/>
    </row>
    <row r="345" spans="1:8" ht="15.75" customHeight="1" x14ac:dyDescent="0.25">
      <c r="A345" s="81">
        <v>337</v>
      </c>
      <c r="B345" s="57"/>
      <c r="C345" s="48"/>
      <c r="D345" s="57"/>
      <c r="E345" s="57"/>
      <c r="F345" s="57"/>
      <c r="G345" s="57"/>
      <c r="H345" s="57"/>
    </row>
    <row r="346" spans="1:8" ht="15.75" customHeight="1" x14ac:dyDescent="0.25">
      <c r="A346" s="82">
        <v>338</v>
      </c>
      <c r="B346" s="57"/>
      <c r="C346" s="48"/>
      <c r="D346" s="57"/>
      <c r="E346" s="57"/>
      <c r="F346" s="57"/>
      <c r="G346" s="57"/>
      <c r="H346" s="57"/>
    </row>
    <row r="347" spans="1:8" ht="15.75" customHeight="1" x14ac:dyDescent="0.25">
      <c r="A347" s="81">
        <v>339</v>
      </c>
      <c r="B347" s="57"/>
      <c r="C347" s="48"/>
      <c r="D347" s="57"/>
      <c r="E347" s="57"/>
      <c r="F347" s="57"/>
      <c r="G347" s="57"/>
      <c r="H347" s="57"/>
    </row>
    <row r="348" spans="1:8" ht="15.75" customHeight="1" x14ac:dyDescent="0.25">
      <c r="A348" s="82">
        <v>340</v>
      </c>
      <c r="B348" s="57"/>
      <c r="C348" s="48"/>
      <c r="D348" s="57"/>
      <c r="E348" s="57"/>
      <c r="F348" s="57"/>
      <c r="G348" s="57"/>
      <c r="H348" s="57"/>
    </row>
    <row r="349" spans="1:8" ht="15.75" customHeight="1" x14ac:dyDescent="0.25">
      <c r="A349" s="81">
        <v>341</v>
      </c>
      <c r="B349" s="57"/>
      <c r="C349" s="48"/>
      <c r="D349" s="57"/>
      <c r="E349" s="57"/>
      <c r="F349" s="57"/>
      <c r="G349" s="57"/>
      <c r="H349" s="57"/>
    </row>
    <row r="350" spans="1:8" ht="15.75" customHeight="1" x14ac:dyDescent="0.25">
      <c r="A350" s="82">
        <v>342</v>
      </c>
      <c r="B350" s="57"/>
      <c r="C350" s="48"/>
      <c r="D350" s="57"/>
      <c r="E350" s="57"/>
      <c r="F350" s="57"/>
      <c r="G350" s="57"/>
      <c r="H350" s="57"/>
    </row>
    <row r="351" spans="1:8" ht="15.75" customHeight="1" x14ac:dyDescent="0.25">
      <c r="A351" s="81">
        <v>343</v>
      </c>
      <c r="B351" s="57"/>
      <c r="C351" s="48"/>
      <c r="D351" s="57"/>
      <c r="E351" s="57"/>
      <c r="F351" s="57"/>
      <c r="G351" s="57"/>
      <c r="H351" s="57"/>
    </row>
    <row r="352" spans="1:8" ht="15.75" customHeight="1" x14ac:dyDescent="0.25">
      <c r="A352" s="82">
        <v>344</v>
      </c>
      <c r="B352" s="57"/>
      <c r="C352" s="48"/>
      <c r="D352" s="57"/>
      <c r="E352" s="57"/>
      <c r="F352" s="57"/>
      <c r="G352" s="57"/>
      <c r="H352" s="57"/>
    </row>
    <row r="353" spans="1:8" ht="15.75" customHeight="1" x14ac:dyDescent="0.25">
      <c r="A353" s="81">
        <v>345</v>
      </c>
      <c r="B353" s="57"/>
      <c r="C353" s="48"/>
      <c r="D353" s="57"/>
      <c r="E353" s="57"/>
      <c r="F353" s="57"/>
      <c r="G353" s="57"/>
      <c r="H353" s="57"/>
    </row>
    <row r="354" spans="1:8" ht="15.75" customHeight="1" x14ac:dyDescent="0.25">
      <c r="A354" s="82">
        <v>346</v>
      </c>
      <c r="B354" s="57"/>
      <c r="C354" s="48"/>
      <c r="D354" s="57"/>
      <c r="E354" s="57"/>
      <c r="F354" s="57"/>
      <c r="G354" s="57"/>
      <c r="H354" s="57"/>
    </row>
    <row r="355" spans="1:8" ht="15.75" customHeight="1" x14ac:dyDescent="0.25">
      <c r="A355" s="81">
        <v>347</v>
      </c>
      <c r="B355" s="57"/>
      <c r="C355" s="48"/>
      <c r="D355" s="57"/>
      <c r="E355" s="57"/>
      <c r="F355" s="57"/>
      <c r="G355" s="57"/>
      <c r="H355" s="57"/>
    </row>
    <row r="356" spans="1:8" ht="15.75" customHeight="1" x14ac:dyDescent="0.25">
      <c r="A356" s="82">
        <v>348</v>
      </c>
      <c r="B356" s="57"/>
      <c r="C356" s="48"/>
      <c r="D356" s="57"/>
      <c r="E356" s="57"/>
      <c r="F356" s="57"/>
      <c r="G356" s="57"/>
      <c r="H356" s="57"/>
    </row>
    <row r="357" spans="1:8" ht="15.75" customHeight="1" x14ac:dyDescent="0.25">
      <c r="A357" s="81">
        <v>349</v>
      </c>
      <c r="B357" s="57"/>
      <c r="C357" s="48"/>
      <c r="D357" s="57"/>
      <c r="E357" s="57"/>
      <c r="F357" s="57"/>
      <c r="G357" s="57"/>
      <c r="H357" s="57"/>
    </row>
    <row r="358" spans="1:8" ht="15.75" customHeight="1" x14ac:dyDescent="0.25">
      <c r="A358" s="82">
        <v>350</v>
      </c>
      <c r="B358" s="57"/>
      <c r="C358" s="48"/>
      <c r="D358" s="57"/>
      <c r="E358" s="57"/>
      <c r="F358" s="57"/>
      <c r="G358" s="57"/>
      <c r="H358" s="57"/>
    </row>
    <row r="359" spans="1:8" ht="15.75" customHeight="1" x14ac:dyDescent="0.25">
      <c r="A359" s="81">
        <v>351</v>
      </c>
      <c r="B359" s="57"/>
      <c r="C359" s="48"/>
      <c r="D359" s="57"/>
      <c r="E359" s="57"/>
      <c r="F359" s="57"/>
      <c r="G359" s="57"/>
      <c r="H359" s="57"/>
    </row>
    <row r="360" spans="1:8" ht="15.75" customHeight="1" x14ac:dyDescent="0.25">
      <c r="A360" s="82">
        <v>352</v>
      </c>
      <c r="B360" s="57"/>
      <c r="C360" s="48"/>
      <c r="D360" s="57"/>
      <c r="E360" s="57"/>
      <c r="F360" s="57"/>
      <c r="G360" s="57"/>
      <c r="H360" s="57"/>
    </row>
    <row r="361" spans="1:8" ht="15.75" customHeight="1" x14ac:dyDescent="0.25">
      <c r="A361" s="81">
        <v>353</v>
      </c>
      <c r="B361" s="57"/>
      <c r="C361" s="48"/>
      <c r="D361" s="57"/>
      <c r="E361" s="57"/>
      <c r="F361" s="57"/>
      <c r="G361" s="57"/>
      <c r="H361" s="57"/>
    </row>
    <row r="362" spans="1:8" ht="15.75" customHeight="1" x14ac:dyDescent="0.25">
      <c r="A362" s="82">
        <v>354</v>
      </c>
      <c r="B362" s="57"/>
      <c r="C362" s="48"/>
      <c r="D362" s="57"/>
      <c r="E362" s="57"/>
      <c r="F362" s="57"/>
      <c r="G362" s="57"/>
      <c r="H362" s="57"/>
    </row>
    <row r="363" spans="1:8" ht="15.75" customHeight="1" x14ac:dyDescent="0.25">
      <c r="A363" s="81">
        <v>355</v>
      </c>
      <c r="B363" s="57"/>
      <c r="C363" s="48"/>
      <c r="D363" s="57"/>
      <c r="E363" s="57"/>
      <c r="F363" s="57"/>
      <c r="G363" s="57"/>
      <c r="H363" s="57"/>
    </row>
    <row r="364" spans="1:8" ht="15.75" customHeight="1" x14ac:dyDescent="0.25">
      <c r="A364" s="82">
        <v>356</v>
      </c>
      <c r="B364" s="57"/>
      <c r="C364" s="48"/>
      <c r="D364" s="57"/>
      <c r="E364" s="57"/>
      <c r="F364" s="57"/>
      <c r="G364" s="57"/>
      <c r="H364" s="57"/>
    </row>
    <row r="365" spans="1:8" ht="15.75" customHeight="1" x14ac:dyDescent="0.25">
      <c r="A365" s="81">
        <v>357</v>
      </c>
      <c r="B365" s="57"/>
      <c r="C365" s="48"/>
      <c r="D365" s="57"/>
      <c r="E365" s="57"/>
      <c r="F365" s="57"/>
      <c r="G365" s="57"/>
      <c r="H365" s="57"/>
    </row>
    <row r="366" spans="1:8" ht="15.75" customHeight="1" x14ac:dyDescent="0.25">
      <c r="A366" s="82">
        <v>358</v>
      </c>
      <c r="B366" s="57"/>
      <c r="C366" s="48"/>
      <c r="D366" s="57"/>
      <c r="E366" s="57"/>
      <c r="F366" s="57"/>
      <c r="G366" s="57"/>
      <c r="H366" s="57"/>
    </row>
    <row r="367" spans="1:8" ht="15.75" customHeight="1" x14ac:dyDescent="0.25">
      <c r="A367" s="81">
        <v>359</v>
      </c>
      <c r="B367" s="57"/>
      <c r="C367" s="48"/>
      <c r="D367" s="57"/>
      <c r="E367" s="57"/>
      <c r="F367" s="57"/>
      <c r="G367" s="57"/>
      <c r="H367" s="57"/>
    </row>
    <row r="368" spans="1:8" ht="15.75" customHeight="1" x14ac:dyDescent="0.25">
      <c r="A368" s="82">
        <v>360</v>
      </c>
      <c r="B368" s="57"/>
      <c r="C368" s="48"/>
      <c r="D368" s="57"/>
      <c r="E368" s="57"/>
      <c r="F368" s="57"/>
      <c r="G368" s="57"/>
      <c r="H368" s="57"/>
    </row>
    <row r="369" spans="1:8" ht="15.75" customHeight="1" x14ac:dyDescent="0.25">
      <c r="A369" s="81">
        <v>361</v>
      </c>
      <c r="B369" s="57"/>
      <c r="C369" s="48"/>
      <c r="D369" s="57"/>
      <c r="E369" s="57"/>
      <c r="F369" s="57"/>
      <c r="G369" s="57"/>
      <c r="H369" s="57"/>
    </row>
    <row r="370" spans="1:8" ht="15.75" customHeight="1" x14ac:dyDescent="0.25">
      <c r="A370" s="82">
        <v>362</v>
      </c>
      <c r="B370" s="57"/>
      <c r="C370" s="48"/>
      <c r="D370" s="57"/>
      <c r="E370" s="57"/>
      <c r="F370" s="57"/>
      <c r="G370" s="57"/>
      <c r="H370" s="57"/>
    </row>
    <row r="371" spans="1:8" ht="15.75" customHeight="1" x14ac:dyDescent="0.25">
      <c r="A371" s="81">
        <v>363</v>
      </c>
      <c r="B371" s="57"/>
      <c r="C371" s="48"/>
      <c r="D371" s="57"/>
      <c r="E371" s="57"/>
      <c r="F371" s="57"/>
      <c r="G371" s="57"/>
      <c r="H371" s="57"/>
    </row>
    <row r="372" spans="1:8" ht="15.75" customHeight="1" x14ac:dyDescent="0.25">
      <c r="A372" s="82">
        <v>364</v>
      </c>
      <c r="B372" s="57"/>
      <c r="C372" s="48"/>
      <c r="D372" s="57"/>
      <c r="E372" s="57"/>
      <c r="F372" s="57"/>
      <c r="G372" s="57"/>
      <c r="H372" s="57"/>
    </row>
    <row r="373" spans="1:8" ht="15.75" customHeight="1" x14ac:dyDescent="0.25">
      <c r="A373" s="81">
        <v>365</v>
      </c>
      <c r="B373" s="57"/>
      <c r="C373" s="48"/>
      <c r="D373" s="57"/>
      <c r="E373" s="57"/>
      <c r="F373" s="57"/>
      <c r="G373" s="57"/>
      <c r="H373" s="57"/>
    </row>
    <row r="374" spans="1:8" ht="15.75" customHeight="1" x14ac:dyDescent="0.25">
      <c r="A374" s="82">
        <v>366</v>
      </c>
      <c r="B374" s="57"/>
      <c r="C374" s="48"/>
      <c r="D374" s="57"/>
      <c r="E374" s="57"/>
      <c r="F374" s="57"/>
      <c r="G374" s="57"/>
      <c r="H374" s="57"/>
    </row>
    <row r="375" spans="1:8" ht="15.75" customHeight="1" x14ac:dyDescent="0.25">
      <c r="A375" s="81">
        <v>367</v>
      </c>
      <c r="B375" s="57"/>
      <c r="C375" s="48"/>
      <c r="D375" s="57"/>
      <c r="E375" s="57"/>
      <c r="F375" s="57"/>
      <c r="G375" s="57"/>
      <c r="H375" s="57"/>
    </row>
    <row r="376" spans="1:8" ht="15.75" customHeight="1" x14ac:dyDescent="0.25">
      <c r="A376" s="82">
        <v>368</v>
      </c>
      <c r="B376" s="57"/>
      <c r="C376" s="48"/>
      <c r="D376" s="57"/>
      <c r="E376" s="57"/>
      <c r="F376" s="57"/>
      <c r="G376" s="57"/>
      <c r="H376" s="57"/>
    </row>
    <row r="377" spans="1:8" ht="15.75" customHeight="1" x14ac:dyDescent="0.25">
      <c r="A377" s="81">
        <v>369</v>
      </c>
      <c r="B377" s="57"/>
      <c r="C377" s="48"/>
      <c r="D377" s="57"/>
      <c r="E377" s="57"/>
      <c r="F377" s="57"/>
      <c r="G377" s="57"/>
      <c r="H377" s="57"/>
    </row>
    <row r="378" spans="1:8" ht="15.75" customHeight="1" x14ac:dyDescent="0.25">
      <c r="A378" s="82">
        <v>370</v>
      </c>
      <c r="B378" s="57"/>
      <c r="C378" s="48"/>
      <c r="D378" s="57"/>
      <c r="E378" s="57"/>
      <c r="F378" s="57"/>
      <c r="G378" s="57"/>
      <c r="H378" s="57"/>
    </row>
    <row r="379" spans="1:8" ht="15.75" customHeight="1" x14ac:dyDescent="0.25">
      <c r="A379" s="81">
        <v>371</v>
      </c>
      <c r="B379" s="57"/>
      <c r="C379" s="48"/>
      <c r="D379" s="57"/>
      <c r="E379" s="57"/>
      <c r="F379" s="57"/>
      <c r="G379" s="57"/>
      <c r="H379" s="57"/>
    </row>
    <row r="380" spans="1:8" ht="15.75" customHeight="1" x14ac:dyDescent="0.25">
      <c r="A380" s="82">
        <v>372</v>
      </c>
      <c r="B380" s="57"/>
      <c r="C380" s="48"/>
      <c r="D380" s="57"/>
      <c r="E380" s="57"/>
      <c r="F380" s="57"/>
      <c r="G380" s="57"/>
      <c r="H380" s="57"/>
    </row>
    <row r="381" spans="1:8" ht="15.75" customHeight="1" x14ac:dyDescent="0.25">
      <c r="A381" s="81">
        <v>373</v>
      </c>
      <c r="B381" s="57"/>
      <c r="C381" s="48"/>
      <c r="D381" s="57"/>
      <c r="E381" s="57"/>
      <c r="F381" s="57"/>
      <c r="G381" s="57"/>
      <c r="H381" s="57"/>
    </row>
    <row r="382" spans="1:8" ht="15.75" customHeight="1" x14ac:dyDescent="0.25">
      <c r="A382" s="82">
        <v>374</v>
      </c>
      <c r="B382" s="57"/>
      <c r="C382" s="48"/>
      <c r="D382" s="57"/>
      <c r="E382" s="57"/>
      <c r="F382" s="57"/>
      <c r="G382" s="57"/>
      <c r="H382" s="57"/>
    </row>
    <row r="383" spans="1:8" ht="15.75" customHeight="1" x14ac:dyDescent="0.25">
      <c r="A383" s="81">
        <v>375</v>
      </c>
      <c r="B383" s="57"/>
      <c r="C383" s="48"/>
      <c r="D383" s="57"/>
      <c r="E383" s="57"/>
      <c r="F383" s="57"/>
      <c r="G383" s="57"/>
      <c r="H383" s="57"/>
    </row>
    <row r="384" spans="1:8" ht="15.75" customHeight="1" x14ac:dyDescent="0.25">
      <c r="A384" s="82">
        <v>376</v>
      </c>
      <c r="B384" s="57"/>
      <c r="C384" s="48"/>
      <c r="D384" s="57"/>
      <c r="E384" s="57"/>
      <c r="F384" s="57"/>
      <c r="G384" s="57"/>
      <c r="H384" s="57"/>
    </row>
    <row r="385" spans="1:8" ht="15.75" customHeight="1" x14ac:dyDescent="0.25">
      <c r="A385" s="81">
        <v>377</v>
      </c>
      <c r="B385" s="57"/>
      <c r="C385" s="48"/>
      <c r="D385" s="57"/>
      <c r="E385" s="57"/>
      <c r="F385" s="57"/>
      <c r="G385" s="57"/>
      <c r="H385" s="57"/>
    </row>
    <row r="386" spans="1:8" ht="15.75" customHeight="1" x14ac:dyDescent="0.25">
      <c r="A386" s="82">
        <v>378</v>
      </c>
      <c r="B386" s="57"/>
      <c r="C386" s="48"/>
      <c r="D386" s="57"/>
      <c r="E386" s="57"/>
      <c r="F386" s="57"/>
      <c r="G386" s="57"/>
      <c r="H386" s="57"/>
    </row>
    <row r="387" spans="1:8" ht="15.75" customHeight="1" x14ac:dyDescent="0.25">
      <c r="A387" s="81">
        <v>379</v>
      </c>
      <c r="B387" s="57"/>
      <c r="C387" s="48"/>
      <c r="D387" s="57"/>
      <c r="E387" s="57"/>
      <c r="F387" s="57"/>
      <c r="G387" s="57"/>
      <c r="H387" s="57"/>
    </row>
    <row r="388" spans="1:8" ht="15.75" customHeight="1" x14ac:dyDescent="0.25">
      <c r="A388" s="82">
        <v>380</v>
      </c>
      <c r="B388" s="57"/>
      <c r="C388" s="48"/>
      <c r="D388" s="57"/>
      <c r="E388" s="57"/>
      <c r="F388" s="57"/>
      <c r="G388" s="57"/>
      <c r="H388" s="57"/>
    </row>
    <row r="389" spans="1:8" ht="15.75" customHeight="1" x14ac:dyDescent="0.25">
      <c r="A389" s="81">
        <v>381</v>
      </c>
      <c r="B389" s="57"/>
      <c r="C389" s="48"/>
      <c r="D389" s="57"/>
      <c r="E389" s="57"/>
      <c r="F389" s="57"/>
      <c r="G389" s="57"/>
      <c r="H389" s="57"/>
    </row>
    <row r="390" spans="1:8" ht="15.75" customHeight="1" x14ac:dyDescent="0.25">
      <c r="A390" s="82">
        <v>382</v>
      </c>
      <c r="B390" s="57"/>
      <c r="C390" s="48"/>
      <c r="D390" s="57"/>
      <c r="E390" s="57"/>
      <c r="F390" s="57"/>
      <c r="G390" s="57"/>
      <c r="H390" s="57"/>
    </row>
    <row r="391" spans="1:8" ht="15.75" customHeight="1" x14ac:dyDescent="0.25">
      <c r="A391" s="81">
        <v>383</v>
      </c>
      <c r="B391" s="57"/>
      <c r="C391" s="48"/>
      <c r="D391" s="57"/>
      <c r="E391" s="57"/>
      <c r="F391" s="57"/>
      <c r="G391" s="57"/>
      <c r="H391" s="57"/>
    </row>
    <row r="392" spans="1:8" ht="15.75" customHeight="1" x14ac:dyDescent="0.25">
      <c r="A392" s="82">
        <v>384</v>
      </c>
      <c r="B392" s="57"/>
      <c r="C392" s="48"/>
      <c r="D392" s="57"/>
      <c r="E392" s="57"/>
      <c r="F392" s="57"/>
      <c r="G392" s="57"/>
      <c r="H392" s="57"/>
    </row>
    <row r="393" spans="1:8" ht="15.75" customHeight="1" x14ac:dyDescent="0.25">
      <c r="A393" s="81">
        <v>385</v>
      </c>
      <c r="B393" s="57"/>
      <c r="C393" s="48"/>
      <c r="D393" s="57"/>
      <c r="E393" s="57"/>
      <c r="F393" s="57"/>
      <c r="G393" s="57"/>
      <c r="H393" s="57"/>
    </row>
    <row r="394" spans="1:8" ht="15.75" customHeight="1" x14ac:dyDescent="0.25">
      <c r="A394" s="82">
        <v>386</v>
      </c>
      <c r="B394" s="57"/>
      <c r="C394" s="48"/>
      <c r="D394" s="57"/>
      <c r="E394" s="57"/>
      <c r="F394" s="57"/>
      <c r="G394" s="57"/>
      <c r="H394" s="57"/>
    </row>
    <row r="395" spans="1:8" ht="15.75" customHeight="1" x14ac:dyDescent="0.25">
      <c r="A395" s="81">
        <v>387</v>
      </c>
      <c r="B395" s="57"/>
      <c r="C395" s="48"/>
      <c r="D395" s="57"/>
      <c r="E395" s="57"/>
      <c r="F395" s="57"/>
      <c r="G395" s="57"/>
      <c r="H395" s="57"/>
    </row>
    <row r="396" spans="1:8" ht="15.75" customHeight="1" x14ac:dyDescent="0.25">
      <c r="A396" s="82">
        <v>388</v>
      </c>
      <c r="B396" s="57"/>
      <c r="C396" s="48"/>
      <c r="D396" s="57"/>
      <c r="E396" s="57"/>
      <c r="F396" s="57"/>
      <c r="G396" s="57"/>
      <c r="H396" s="57"/>
    </row>
    <row r="397" spans="1:8" ht="15.75" customHeight="1" x14ac:dyDescent="0.25">
      <c r="A397" s="81">
        <v>389</v>
      </c>
      <c r="B397" s="57"/>
      <c r="C397" s="48"/>
      <c r="D397" s="57"/>
      <c r="E397" s="57"/>
      <c r="F397" s="57"/>
      <c r="G397" s="57"/>
      <c r="H397" s="57"/>
    </row>
    <row r="398" spans="1:8" ht="15.75" customHeight="1" x14ac:dyDescent="0.25">
      <c r="A398" s="82">
        <v>390</v>
      </c>
      <c r="B398" s="57"/>
      <c r="C398" s="48"/>
      <c r="D398" s="57"/>
      <c r="E398" s="57"/>
      <c r="F398" s="57"/>
      <c r="G398" s="57"/>
      <c r="H398" s="57"/>
    </row>
    <row r="399" spans="1:8" ht="15.75" customHeight="1" x14ac:dyDescent="0.25">
      <c r="A399" s="81">
        <v>391</v>
      </c>
      <c r="B399" s="57"/>
      <c r="C399" s="48"/>
      <c r="D399" s="57"/>
      <c r="E399" s="57"/>
      <c r="F399" s="57"/>
      <c r="G399" s="57"/>
      <c r="H399" s="57"/>
    </row>
    <row r="400" spans="1:8" ht="15.75" customHeight="1" x14ac:dyDescent="0.25">
      <c r="A400" s="82">
        <v>392</v>
      </c>
      <c r="B400" s="57"/>
      <c r="C400" s="48"/>
      <c r="D400" s="57"/>
      <c r="E400" s="57"/>
      <c r="F400" s="57"/>
      <c r="G400" s="57"/>
      <c r="H400" s="57"/>
    </row>
    <row r="401" spans="1:8" ht="15.75" customHeight="1" x14ac:dyDescent="0.25">
      <c r="A401" s="81">
        <v>393</v>
      </c>
      <c r="B401" s="57"/>
      <c r="C401" s="48"/>
      <c r="D401" s="57"/>
      <c r="E401" s="57"/>
      <c r="F401" s="57"/>
      <c r="G401" s="57"/>
      <c r="H401" s="57"/>
    </row>
    <row r="402" spans="1:8" ht="15.75" customHeight="1" x14ac:dyDescent="0.25">
      <c r="A402" s="82">
        <v>394</v>
      </c>
      <c r="B402" s="57"/>
      <c r="C402" s="48"/>
      <c r="D402" s="57"/>
      <c r="E402" s="57"/>
      <c r="F402" s="57"/>
      <c r="G402" s="57"/>
      <c r="H402" s="57"/>
    </row>
    <row r="403" spans="1:8" ht="15.75" customHeight="1" x14ac:dyDescent="0.25">
      <c r="A403" s="81">
        <v>395</v>
      </c>
      <c r="B403" s="57"/>
      <c r="C403" s="48"/>
      <c r="D403" s="57"/>
      <c r="E403" s="57"/>
      <c r="F403" s="57"/>
      <c r="G403" s="57"/>
      <c r="H403" s="57"/>
    </row>
    <row r="404" spans="1:8" ht="15.75" customHeight="1" x14ac:dyDescent="0.25">
      <c r="A404" s="82">
        <v>396</v>
      </c>
      <c r="B404" s="57"/>
      <c r="C404" s="48"/>
      <c r="D404" s="57"/>
      <c r="E404" s="57"/>
      <c r="F404" s="57"/>
      <c r="G404" s="57"/>
      <c r="H404" s="57"/>
    </row>
    <row r="405" spans="1:8" ht="15.75" customHeight="1" x14ac:dyDescent="0.25">
      <c r="A405" s="81">
        <v>397</v>
      </c>
      <c r="B405" s="57"/>
      <c r="C405" s="48"/>
      <c r="D405" s="57"/>
      <c r="E405" s="57"/>
      <c r="F405" s="57"/>
      <c r="G405" s="57"/>
      <c r="H405" s="57"/>
    </row>
    <row r="406" spans="1:8" ht="15.75" customHeight="1" x14ac:dyDescent="0.25">
      <c r="A406" s="82">
        <v>398</v>
      </c>
      <c r="B406" s="57"/>
      <c r="C406" s="48"/>
      <c r="D406" s="57"/>
      <c r="E406" s="57"/>
      <c r="F406" s="57"/>
      <c r="G406" s="57"/>
      <c r="H406" s="57"/>
    </row>
    <row r="407" spans="1:8" ht="15.75" customHeight="1" x14ac:dyDescent="0.25">
      <c r="A407" s="81">
        <v>399</v>
      </c>
      <c r="B407" s="57"/>
      <c r="C407" s="48"/>
      <c r="D407" s="57"/>
      <c r="E407" s="57"/>
      <c r="F407" s="57"/>
      <c r="G407" s="57"/>
      <c r="H407" s="57"/>
    </row>
    <row r="408" spans="1:8" ht="15.75" customHeight="1" x14ac:dyDescent="0.25">
      <c r="A408" s="82">
        <v>400</v>
      </c>
      <c r="B408" s="57"/>
      <c r="C408" s="48"/>
      <c r="D408" s="57"/>
      <c r="E408" s="57"/>
      <c r="F408" s="57"/>
      <c r="G408" s="57"/>
      <c r="H408" s="57"/>
    </row>
    <row r="409" spans="1:8" ht="15.75" customHeight="1" x14ac:dyDescent="0.25">
      <c r="A409" s="81">
        <v>401</v>
      </c>
      <c r="B409" s="57"/>
      <c r="C409" s="48"/>
      <c r="D409" s="57"/>
      <c r="E409" s="57"/>
      <c r="F409" s="57"/>
      <c r="G409" s="57"/>
      <c r="H409" s="57"/>
    </row>
    <row r="410" spans="1:8" ht="15.75" customHeight="1" x14ac:dyDescent="0.25">
      <c r="A410" s="82">
        <v>402</v>
      </c>
      <c r="B410" s="57"/>
      <c r="C410" s="48"/>
      <c r="D410" s="57"/>
      <c r="E410" s="57"/>
      <c r="F410" s="57"/>
      <c r="G410" s="57"/>
      <c r="H410" s="57"/>
    </row>
    <row r="411" spans="1:8" ht="15.75" customHeight="1" x14ac:dyDescent="0.25">
      <c r="A411" s="81">
        <v>403</v>
      </c>
      <c r="B411" s="57"/>
      <c r="C411" s="48"/>
      <c r="D411" s="57"/>
      <c r="E411" s="57"/>
      <c r="F411" s="57"/>
      <c r="G411" s="57"/>
      <c r="H411" s="57"/>
    </row>
    <row r="412" spans="1:8" ht="15.75" customHeight="1" x14ac:dyDescent="0.25">
      <c r="A412" s="82">
        <v>404</v>
      </c>
      <c r="B412" s="57"/>
      <c r="C412" s="48"/>
      <c r="D412" s="57"/>
      <c r="E412" s="57"/>
      <c r="F412" s="57"/>
      <c r="G412" s="57"/>
      <c r="H412" s="57"/>
    </row>
    <row r="413" spans="1:8" ht="15.75" customHeight="1" x14ac:dyDescent="0.25">
      <c r="A413" s="81">
        <v>405</v>
      </c>
      <c r="B413" s="57"/>
      <c r="C413" s="48"/>
      <c r="D413" s="57"/>
      <c r="E413" s="57"/>
      <c r="F413" s="57"/>
      <c r="G413" s="57"/>
      <c r="H413" s="57"/>
    </row>
    <row r="414" spans="1:8" ht="15.75" customHeight="1" x14ac:dyDescent="0.25">
      <c r="A414" s="82">
        <v>406</v>
      </c>
      <c r="B414" s="57"/>
      <c r="C414" s="48"/>
      <c r="D414" s="57"/>
      <c r="E414" s="57"/>
      <c r="F414" s="57"/>
      <c r="G414" s="57"/>
      <c r="H414" s="57"/>
    </row>
    <row r="415" spans="1:8" ht="15.75" customHeight="1" x14ac:dyDescent="0.25">
      <c r="A415" s="81">
        <v>407</v>
      </c>
      <c r="B415" s="57"/>
      <c r="C415" s="48"/>
      <c r="D415" s="57"/>
      <c r="E415" s="57"/>
      <c r="F415" s="57"/>
      <c r="G415" s="57"/>
      <c r="H415" s="57"/>
    </row>
    <row r="416" spans="1:8" ht="15.75" customHeight="1" x14ac:dyDescent="0.25">
      <c r="A416" s="82">
        <v>408</v>
      </c>
      <c r="B416" s="57"/>
      <c r="C416" s="48"/>
      <c r="D416" s="57"/>
      <c r="E416" s="57"/>
      <c r="F416" s="57"/>
      <c r="G416" s="57"/>
      <c r="H416" s="57"/>
    </row>
    <row r="417" spans="1:8" ht="15.75" customHeight="1" x14ac:dyDescent="0.25">
      <c r="A417" s="81">
        <v>409</v>
      </c>
      <c r="B417" s="57"/>
      <c r="C417" s="48"/>
      <c r="D417" s="57"/>
      <c r="E417" s="57"/>
      <c r="F417" s="57"/>
      <c r="G417" s="57"/>
      <c r="H417" s="57"/>
    </row>
    <row r="418" spans="1:8" ht="15.75" customHeight="1" x14ac:dyDescent="0.25">
      <c r="A418" s="82">
        <v>410</v>
      </c>
      <c r="B418" s="57"/>
      <c r="C418" s="48"/>
      <c r="D418" s="57"/>
      <c r="E418" s="57"/>
      <c r="F418" s="57"/>
      <c r="G418" s="57"/>
      <c r="H418" s="57"/>
    </row>
    <row r="419" spans="1:8" ht="15.75" customHeight="1" x14ac:dyDescent="0.25">
      <c r="A419" s="81">
        <v>411</v>
      </c>
      <c r="B419" s="57"/>
      <c r="C419" s="48"/>
      <c r="D419" s="57"/>
      <c r="E419" s="57"/>
      <c r="F419" s="57"/>
      <c r="G419" s="57"/>
      <c r="H419" s="57"/>
    </row>
    <row r="420" spans="1:8" ht="15.75" customHeight="1" x14ac:dyDescent="0.25">
      <c r="A420" s="82">
        <v>412</v>
      </c>
      <c r="B420" s="57"/>
      <c r="C420" s="48"/>
      <c r="D420" s="57"/>
      <c r="E420" s="57"/>
      <c r="F420" s="57"/>
      <c r="G420" s="57"/>
      <c r="H420" s="57"/>
    </row>
    <row r="421" spans="1:8" ht="15.75" customHeight="1" x14ac:dyDescent="0.25">
      <c r="A421" s="81">
        <v>413</v>
      </c>
      <c r="B421" s="57"/>
      <c r="C421" s="48"/>
      <c r="D421" s="57"/>
      <c r="E421" s="57"/>
      <c r="F421" s="57"/>
      <c r="G421" s="57"/>
      <c r="H421" s="57"/>
    </row>
    <row r="422" spans="1:8" ht="15.75" customHeight="1" x14ac:dyDescent="0.25">
      <c r="A422" s="82">
        <v>414</v>
      </c>
      <c r="B422" s="57"/>
      <c r="C422" s="48"/>
      <c r="D422" s="57"/>
      <c r="E422" s="57"/>
      <c r="F422" s="57"/>
      <c r="G422" s="57"/>
      <c r="H422" s="57"/>
    </row>
    <row r="423" spans="1:8" ht="15.75" customHeight="1" x14ac:dyDescent="0.25">
      <c r="A423" s="81">
        <v>415</v>
      </c>
      <c r="B423" s="57"/>
      <c r="C423" s="48"/>
      <c r="D423" s="57"/>
      <c r="E423" s="57"/>
      <c r="F423" s="57"/>
      <c r="G423" s="57"/>
      <c r="H423" s="57"/>
    </row>
    <row r="424" spans="1:8" ht="15.75" customHeight="1" x14ac:dyDescent="0.25">
      <c r="A424" s="82">
        <v>416</v>
      </c>
      <c r="B424" s="57"/>
      <c r="C424" s="48"/>
      <c r="D424" s="57"/>
      <c r="E424" s="57"/>
      <c r="F424" s="57"/>
      <c r="G424" s="57"/>
      <c r="H424" s="57"/>
    </row>
    <row r="425" spans="1:8" ht="15.75" customHeight="1" x14ac:dyDescent="0.25">
      <c r="A425" s="81">
        <v>417</v>
      </c>
      <c r="B425" s="57"/>
      <c r="C425" s="48"/>
      <c r="D425" s="57"/>
      <c r="E425" s="57"/>
      <c r="F425" s="57"/>
      <c r="G425" s="57"/>
      <c r="H425" s="57"/>
    </row>
    <row r="426" spans="1:8" ht="15.75" customHeight="1" x14ac:dyDescent="0.25">
      <c r="A426" s="82">
        <v>418</v>
      </c>
      <c r="B426" s="57"/>
      <c r="C426" s="48"/>
      <c r="D426" s="57"/>
      <c r="E426" s="57"/>
      <c r="F426" s="57"/>
      <c r="G426" s="57"/>
      <c r="H426" s="57"/>
    </row>
    <row r="427" spans="1:8" ht="15.75" customHeight="1" x14ac:dyDescent="0.25">
      <c r="A427" s="81">
        <v>419</v>
      </c>
      <c r="B427" s="57"/>
      <c r="C427" s="48"/>
      <c r="D427" s="57"/>
      <c r="E427" s="57"/>
      <c r="F427" s="57"/>
      <c r="G427" s="57"/>
      <c r="H427" s="57"/>
    </row>
    <row r="428" spans="1:8" ht="15.75" customHeight="1" x14ac:dyDescent="0.25">
      <c r="A428" s="82">
        <v>420</v>
      </c>
      <c r="B428" s="57"/>
      <c r="C428" s="48"/>
      <c r="D428" s="57"/>
      <c r="E428" s="57"/>
      <c r="F428" s="57"/>
      <c r="G428" s="57"/>
      <c r="H428" s="57"/>
    </row>
    <row r="429" spans="1:8" ht="15.75" customHeight="1" x14ac:dyDescent="0.25">
      <c r="A429" s="81">
        <v>421</v>
      </c>
      <c r="B429" s="57"/>
      <c r="C429" s="48"/>
      <c r="D429" s="57"/>
      <c r="E429" s="57"/>
      <c r="F429" s="57"/>
      <c r="G429" s="57"/>
      <c r="H429" s="57"/>
    </row>
    <row r="430" spans="1:8" ht="15.75" customHeight="1" x14ac:dyDescent="0.25">
      <c r="A430" s="82">
        <v>422</v>
      </c>
      <c r="B430" s="57"/>
      <c r="C430" s="48"/>
      <c r="D430" s="57"/>
      <c r="E430" s="57"/>
      <c r="F430" s="57"/>
      <c r="G430" s="57"/>
      <c r="H430" s="57"/>
    </row>
    <row r="431" spans="1:8" ht="15.75" customHeight="1" x14ac:dyDescent="0.25">
      <c r="A431" s="81">
        <v>423</v>
      </c>
      <c r="B431" s="57"/>
      <c r="C431" s="48"/>
      <c r="D431" s="57"/>
      <c r="E431" s="57"/>
      <c r="F431" s="57"/>
      <c r="G431" s="57"/>
      <c r="H431" s="57"/>
    </row>
    <row r="432" spans="1:8" ht="15.75" customHeight="1" x14ac:dyDescent="0.25">
      <c r="A432" s="82">
        <v>424</v>
      </c>
      <c r="B432" s="57"/>
      <c r="C432" s="48"/>
      <c r="D432" s="57"/>
      <c r="E432" s="57"/>
      <c r="F432" s="57"/>
      <c r="G432" s="57"/>
      <c r="H432" s="57"/>
    </row>
    <row r="433" spans="1:8" ht="15.75" customHeight="1" x14ac:dyDescent="0.25">
      <c r="A433" s="81">
        <v>425</v>
      </c>
      <c r="B433" s="57"/>
      <c r="C433" s="48"/>
      <c r="D433" s="57"/>
      <c r="E433" s="57"/>
      <c r="F433" s="57"/>
      <c r="G433" s="57"/>
      <c r="H433" s="57"/>
    </row>
    <row r="434" spans="1:8" ht="15.75" customHeight="1" x14ac:dyDescent="0.25">
      <c r="A434" s="82">
        <v>426</v>
      </c>
      <c r="B434" s="57"/>
      <c r="C434" s="48"/>
      <c r="D434" s="57"/>
      <c r="E434" s="57"/>
      <c r="F434" s="57"/>
      <c r="G434" s="57"/>
      <c r="H434" s="57"/>
    </row>
    <row r="435" spans="1:8" ht="15.75" customHeight="1" x14ac:dyDescent="0.25">
      <c r="A435" s="81">
        <v>427</v>
      </c>
      <c r="B435" s="57"/>
      <c r="C435" s="48"/>
      <c r="D435" s="57"/>
      <c r="E435" s="57"/>
      <c r="F435" s="57"/>
      <c r="G435" s="57"/>
      <c r="H435" s="57"/>
    </row>
    <row r="436" spans="1:8" ht="15.75" customHeight="1" x14ac:dyDescent="0.25">
      <c r="A436" s="82">
        <v>428</v>
      </c>
      <c r="B436" s="57"/>
      <c r="C436" s="48"/>
      <c r="D436" s="57"/>
      <c r="E436" s="57"/>
      <c r="F436" s="57"/>
      <c r="G436" s="57"/>
      <c r="H436" s="57"/>
    </row>
    <row r="437" spans="1:8" ht="15.75" customHeight="1" x14ac:dyDescent="0.25">
      <c r="A437" s="81">
        <v>429</v>
      </c>
      <c r="B437" s="57"/>
      <c r="C437" s="48"/>
      <c r="D437" s="57"/>
      <c r="E437" s="57"/>
      <c r="F437" s="57"/>
      <c r="G437" s="57"/>
      <c r="H437" s="57"/>
    </row>
    <row r="438" spans="1:8" ht="15.75" customHeight="1" x14ac:dyDescent="0.25">
      <c r="A438" s="82">
        <v>430</v>
      </c>
      <c r="B438" s="57"/>
      <c r="C438" s="48"/>
      <c r="D438" s="57"/>
      <c r="E438" s="57"/>
      <c r="F438" s="57"/>
      <c r="G438" s="57"/>
      <c r="H438" s="57"/>
    </row>
    <row r="439" spans="1:8" ht="15.75" customHeight="1" x14ac:dyDescent="0.25">
      <c r="A439" s="81">
        <v>431</v>
      </c>
      <c r="B439" s="57"/>
      <c r="C439" s="48"/>
      <c r="D439" s="57"/>
      <c r="E439" s="57"/>
      <c r="F439" s="57"/>
      <c r="G439" s="57"/>
      <c r="H439" s="57"/>
    </row>
    <row r="440" spans="1:8" ht="15.75" customHeight="1" x14ac:dyDescent="0.25">
      <c r="A440" s="82">
        <v>432</v>
      </c>
      <c r="B440" s="57"/>
      <c r="C440" s="48"/>
      <c r="D440" s="57"/>
      <c r="E440" s="57"/>
      <c r="F440" s="57"/>
      <c r="G440" s="57"/>
      <c r="H440" s="57"/>
    </row>
    <row r="441" spans="1:8" ht="15.75" customHeight="1" x14ac:dyDescent="0.25">
      <c r="A441" s="81">
        <v>433</v>
      </c>
      <c r="B441" s="57"/>
      <c r="C441" s="48"/>
      <c r="D441" s="57"/>
      <c r="E441" s="57"/>
      <c r="F441" s="57"/>
      <c r="G441" s="57"/>
      <c r="H441" s="57"/>
    </row>
    <row r="442" spans="1:8" ht="15.75" customHeight="1" x14ac:dyDescent="0.25">
      <c r="A442" s="82">
        <v>434</v>
      </c>
      <c r="B442" s="57"/>
      <c r="C442" s="48"/>
      <c r="D442" s="57"/>
      <c r="E442" s="57"/>
      <c r="F442" s="57"/>
      <c r="G442" s="57"/>
      <c r="H442" s="57"/>
    </row>
    <row r="443" spans="1:8" ht="15.75" customHeight="1" x14ac:dyDescent="0.25">
      <c r="A443" s="81">
        <v>435</v>
      </c>
      <c r="B443" s="57"/>
      <c r="C443" s="48"/>
      <c r="D443" s="57"/>
      <c r="E443" s="57"/>
      <c r="F443" s="57"/>
      <c r="G443" s="57"/>
      <c r="H443" s="57"/>
    </row>
    <row r="444" spans="1:8" ht="15.75" customHeight="1" x14ac:dyDescent="0.25">
      <c r="A444" s="82">
        <v>436</v>
      </c>
      <c r="B444" s="57"/>
      <c r="C444" s="48"/>
      <c r="D444" s="57"/>
      <c r="E444" s="57"/>
      <c r="F444" s="57"/>
      <c r="G444" s="57"/>
      <c r="H444" s="57"/>
    </row>
    <row r="445" spans="1:8" ht="15.75" customHeight="1" x14ac:dyDescent="0.25">
      <c r="A445" s="81">
        <v>437</v>
      </c>
      <c r="B445" s="57"/>
      <c r="C445" s="48"/>
      <c r="D445" s="57"/>
      <c r="E445" s="57"/>
      <c r="F445" s="57"/>
      <c r="G445" s="57"/>
      <c r="H445" s="57"/>
    </row>
    <row r="446" spans="1:8" ht="15.75" customHeight="1" x14ac:dyDescent="0.25">
      <c r="A446" s="82">
        <v>438</v>
      </c>
      <c r="B446" s="57"/>
      <c r="C446" s="48"/>
      <c r="D446" s="57"/>
      <c r="E446" s="57"/>
      <c r="F446" s="57"/>
      <c r="G446" s="57"/>
      <c r="H446" s="57"/>
    </row>
    <row r="447" spans="1:8" ht="15.75" customHeight="1" x14ac:dyDescent="0.25">
      <c r="A447" s="81">
        <v>439</v>
      </c>
      <c r="B447" s="57"/>
      <c r="C447" s="48"/>
      <c r="D447" s="57"/>
      <c r="E447" s="57"/>
      <c r="F447" s="57"/>
      <c r="G447" s="57"/>
      <c r="H447" s="57"/>
    </row>
    <row r="448" spans="1:8" ht="15.75" customHeight="1" x14ac:dyDescent="0.25">
      <c r="A448" s="82">
        <v>440</v>
      </c>
      <c r="B448" s="57"/>
      <c r="C448" s="48"/>
      <c r="D448" s="57"/>
      <c r="E448" s="57"/>
      <c r="F448" s="57"/>
      <c r="G448" s="57"/>
      <c r="H448" s="57"/>
    </row>
    <row r="449" spans="1:8" ht="15.75" customHeight="1" x14ac:dyDescent="0.25">
      <c r="A449" s="81">
        <v>441</v>
      </c>
      <c r="B449" s="57"/>
      <c r="C449" s="48"/>
      <c r="D449" s="57"/>
      <c r="E449" s="57"/>
      <c r="F449" s="57"/>
      <c r="G449" s="57"/>
      <c r="H449" s="57"/>
    </row>
    <row r="450" spans="1:8" ht="15.75" customHeight="1" x14ac:dyDescent="0.25">
      <c r="A450" s="82">
        <v>442</v>
      </c>
      <c r="B450" s="57"/>
      <c r="C450" s="48"/>
      <c r="D450" s="57"/>
      <c r="E450" s="57"/>
      <c r="F450" s="57"/>
      <c r="G450" s="57"/>
      <c r="H450" s="57"/>
    </row>
    <row r="451" spans="1:8" ht="15.75" customHeight="1" x14ac:dyDescent="0.25">
      <c r="A451" s="81">
        <v>443</v>
      </c>
      <c r="B451" s="57"/>
      <c r="C451" s="48"/>
      <c r="D451" s="57"/>
      <c r="E451" s="57"/>
      <c r="F451" s="57"/>
      <c r="G451" s="57"/>
      <c r="H451" s="57"/>
    </row>
    <row r="452" spans="1:8" ht="15.75" customHeight="1" x14ac:dyDescent="0.25">
      <c r="A452" s="82">
        <v>444</v>
      </c>
      <c r="B452" s="57"/>
      <c r="C452" s="48"/>
      <c r="D452" s="57"/>
      <c r="E452" s="57"/>
      <c r="F452" s="57"/>
      <c r="G452" s="57"/>
      <c r="H452" s="57"/>
    </row>
    <row r="453" spans="1:8" ht="15.75" customHeight="1" x14ac:dyDescent="0.25">
      <c r="A453" s="81">
        <v>445</v>
      </c>
      <c r="B453" s="57"/>
      <c r="C453" s="48"/>
      <c r="D453" s="57"/>
      <c r="E453" s="57"/>
      <c r="F453" s="57"/>
      <c r="G453" s="57"/>
      <c r="H453" s="57"/>
    </row>
    <row r="454" spans="1:8" ht="15.75" customHeight="1" x14ac:dyDescent="0.25">
      <c r="A454" s="82">
        <v>446</v>
      </c>
      <c r="B454" s="57"/>
      <c r="C454" s="48"/>
      <c r="D454" s="57"/>
      <c r="E454" s="57"/>
      <c r="F454" s="57"/>
      <c r="G454" s="57"/>
      <c r="H454" s="57"/>
    </row>
    <row r="455" spans="1:8" ht="15.75" customHeight="1" x14ac:dyDescent="0.25">
      <c r="A455" s="81">
        <v>447</v>
      </c>
      <c r="B455" s="57"/>
      <c r="C455" s="48"/>
      <c r="D455" s="57"/>
      <c r="E455" s="57"/>
      <c r="F455" s="57"/>
      <c r="G455" s="57"/>
      <c r="H455" s="57"/>
    </row>
    <row r="456" spans="1:8" ht="15.75" customHeight="1" x14ac:dyDescent="0.25">
      <c r="A456" s="82">
        <v>448</v>
      </c>
      <c r="B456" s="57"/>
      <c r="C456" s="48"/>
      <c r="D456" s="57"/>
      <c r="E456" s="57"/>
      <c r="F456" s="57"/>
      <c r="G456" s="57"/>
      <c r="H456" s="57"/>
    </row>
    <row r="457" spans="1:8" ht="15.75" customHeight="1" x14ac:dyDescent="0.25">
      <c r="A457" s="81">
        <v>449</v>
      </c>
      <c r="B457" s="57"/>
      <c r="C457" s="48"/>
      <c r="D457" s="57"/>
      <c r="E457" s="57"/>
      <c r="F457" s="57"/>
      <c r="G457" s="57"/>
      <c r="H457" s="57"/>
    </row>
    <row r="458" spans="1:8" ht="15.75" customHeight="1" x14ac:dyDescent="0.25">
      <c r="A458" s="82">
        <v>450</v>
      </c>
      <c r="B458" s="57"/>
      <c r="C458" s="48"/>
      <c r="D458" s="57"/>
      <c r="E458" s="57"/>
      <c r="F458" s="57"/>
      <c r="G458" s="57"/>
      <c r="H458" s="57"/>
    </row>
    <row r="459" spans="1:8" ht="15.75" customHeight="1" x14ac:dyDescent="0.25">
      <c r="A459" s="81">
        <v>451</v>
      </c>
      <c r="B459" s="57"/>
      <c r="C459" s="48"/>
      <c r="D459" s="57"/>
      <c r="E459" s="57"/>
      <c r="F459" s="57"/>
      <c r="G459" s="57"/>
      <c r="H459" s="57"/>
    </row>
    <row r="460" spans="1:8" ht="15.75" customHeight="1" x14ac:dyDescent="0.25">
      <c r="A460" s="82">
        <v>452</v>
      </c>
      <c r="B460" s="57"/>
      <c r="C460" s="48"/>
      <c r="D460" s="57"/>
      <c r="E460" s="57"/>
      <c r="F460" s="57"/>
      <c r="G460" s="57"/>
      <c r="H460" s="57"/>
    </row>
    <row r="461" spans="1:8" ht="15.75" customHeight="1" x14ac:dyDescent="0.25">
      <c r="A461" s="81">
        <v>453</v>
      </c>
      <c r="B461" s="57"/>
      <c r="C461" s="48"/>
      <c r="D461" s="57"/>
      <c r="E461" s="57"/>
      <c r="F461" s="57"/>
      <c r="G461" s="57"/>
      <c r="H461" s="57"/>
    </row>
    <row r="462" spans="1:8" ht="15.75" customHeight="1" x14ac:dyDescent="0.25">
      <c r="A462" s="82">
        <v>454</v>
      </c>
      <c r="B462" s="57"/>
      <c r="C462" s="48"/>
      <c r="D462" s="57"/>
      <c r="E462" s="57"/>
      <c r="F462" s="57"/>
      <c r="G462" s="57"/>
      <c r="H462" s="57"/>
    </row>
    <row r="463" spans="1:8" ht="15.75" customHeight="1" x14ac:dyDescent="0.25">
      <c r="A463" s="81">
        <v>455</v>
      </c>
      <c r="B463" s="57"/>
      <c r="C463" s="48"/>
      <c r="D463" s="57"/>
      <c r="E463" s="57"/>
      <c r="F463" s="57"/>
      <c r="G463" s="57"/>
      <c r="H463" s="57"/>
    </row>
    <row r="464" spans="1:8" ht="15.75" customHeight="1" x14ac:dyDescent="0.25">
      <c r="A464" s="82">
        <v>456</v>
      </c>
      <c r="B464" s="57"/>
      <c r="C464" s="48"/>
      <c r="D464" s="57"/>
      <c r="E464" s="57"/>
      <c r="F464" s="57"/>
      <c r="G464" s="57"/>
      <c r="H464" s="57"/>
    </row>
    <row r="465" spans="1:8" ht="15.75" customHeight="1" x14ac:dyDescent="0.25">
      <c r="A465" s="81">
        <v>457</v>
      </c>
      <c r="B465" s="57"/>
      <c r="C465" s="48"/>
      <c r="D465" s="57"/>
      <c r="E465" s="57"/>
      <c r="F465" s="57"/>
      <c r="G465" s="57"/>
      <c r="H465" s="57"/>
    </row>
    <row r="466" spans="1:8" ht="15.75" customHeight="1" x14ac:dyDescent="0.25">
      <c r="A466" s="82">
        <v>458</v>
      </c>
      <c r="B466" s="57"/>
      <c r="C466" s="48"/>
      <c r="D466" s="57"/>
      <c r="E466" s="57"/>
      <c r="F466" s="57"/>
      <c r="G466" s="57"/>
      <c r="H466" s="57"/>
    </row>
    <row r="467" spans="1:8" ht="15.75" customHeight="1" x14ac:dyDescent="0.25">
      <c r="A467" s="81">
        <v>459</v>
      </c>
      <c r="B467" s="57"/>
      <c r="C467" s="48"/>
      <c r="D467" s="57"/>
      <c r="E467" s="57"/>
      <c r="F467" s="57"/>
      <c r="G467" s="57"/>
      <c r="H467" s="57"/>
    </row>
    <row r="468" spans="1:8" ht="15.75" customHeight="1" x14ac:dyDescent="0.25">
      <c r="A468" s="82">
        <v>460</v>
      </c>
      <c r="B468" s="57"/>
      <c r="C468" s="48"/>
      <c r="D468" s="57"/>
      <c r="E468" s="57"/>
      <c r="F468" s="57"/>
      <c r="G468" s="57"/>
      <c r="H468" s="57"/>
    </row>
    <row r="469" spans="1:8" ht="15.75" customHeight="1" x14ac:dyDescent="0.25">
      <c r="A469" s="81">
        <v>461</v>
      </c>
      <c r="B469" s="57"/>
      <c r="C469" s="48"/>
      <c r="D469" s="57"/>
      <c r="E469" s="57"/>
      <c r="F469" s="57"/>
      <c r="G469" s="57"/>
      <c r="H469" s="57"/>
    </row>
    <row r="470" spans="1:8" ht="15.75" customHeight="1" x14ac:dyDescent="0.25">
      <c r="A470" s="82">
        <v>462</v>
      </c>
      <c r="B470" s="57"/>
      <c r="C470" s="48"/>
      <c r="D470" s="57"/>
      <c r="E470" s="57"/>
      <c r="F470" s="57"/>
      <c r="G470" s="57"/>
      <c r="H470" s="57"/>
    </row>
    <row r="471" spans="1:8" ht="15.75" customHeight="1" x14ac:dyDescent="0.25">
      <c r="A471" s="81">
        <v>463</v>
      </c>
      <c r="B471" s="57"/>
      <c r="C471" s="48"/>
      <c r="D471" s="57"/>
      <c r="E471" s="57"/>
      <c r="F471" s="57"/>
      <c r="G471" s="57"/>
      <c r="H471" s="57"/>
    </row>
    <row r="472" spans="1:8" ht="15.75" customHeight="1" x14ac:dyDescent="0.25">
      <c r="A472" s="82">
        <v>464</v>
      </c>
      <c r="B472" s="57"/>
      <c r="C472" s="48"/>
      <c r="D472" s="57"/>
      <c r="E472" s="57"/>
      <c r="F472" s="57"/>
      <c r="G472" s="57"/>
      <c r="H472" s="57"/>
    </row>
    <row r="473" spans="1:8" ht="15.75" customHeight="1" x14ac:dyDescent="0.25">
      <c r="A473" s="81">
        <v>465</v>
      </c>
      <c r="B473" s="57"/>
      <c r="C473" s="48"/>
      <c r="D473" s="57"/>
      <c r="E473" s="57"/>
      <c r="F473" s="57"/>
      <c r="G473" s="57"/>
      <c r="H473" s="57"/>
    </row>
    <row r="474" spans="1:8" ht="15.75" customHeight="1" x14ac:dyDescent="0.25">
      <c r="A474" s="82">
        <v>466</v>
      </c>
      <c r="B474" s="57"/>
      <c r="C474" s="48"/>
      <c r="D474" s="57"/>
      <c r="E474" s="57"/>
      <c r="F474" s="57"/>
      <c r="G474" s="57"/>
      <c r="H474" s="57"/>
    </row>
    <row r="475" spans="1:8" ht="15.75" customHeight="1" x14ac:dyDescent="0.25">
      <c r="A475" s="81">
        <v>467</v>
      </c>
      <c r="B475" s="57"/>
      <c r="C475" s="48"/>
      <c r="D475" s="57"/>
      <c r="E475" s="57"/>
      <c r="F475" s="57"/>
      <c r="G475" s="57"/>
      <c r="H475" s="57"/>
    </row>
    <row r="476" spans="1:8" ht="15.75" customHeight="1" x14ac:dyDescent="0.25">
      <c r="A476" s="82">
        <v>468</v>
      </c>
      <c r="B476" s="57"/>
      <c r="C476" s="48"/>
      <c r="D476" s="57"/>
      <c r="E476" s="57"/>
      <c r="F476" s="57"/>
      <c r="G476" s="57"/>
      <c r="H476" s="57"/>
    </row>
    <row r="477" spans="1:8" ht="15.75" customHeight="1" x14ac:dyDescent="0.25">
      <c r="A477" s="81">
        <v>469</v>
      </c>
      <c r="B477" s="57"/>
      <c r="C477" s="48"/>
      <c r="D477" s="57"/>
      <c r="E477" s="57"/>
      <c r="F477" s="57"/>
      <c r="G477" s="57"/>
      <c r="H477" s="57"/>
    </row>
    <row r="478" spans="1:8" ht="15.75" customHeight="1" x14ac:dyDescent="0.25">
      <c r="A478" s="82">
        <v>470</v>
      </c>
      <c r="B478" s="57"/>
      <c r="C478" s="48"/>
      <c r="D478" s="57"/>
      <c r="E478" s="57"/>
      <c r="F478" s="57"/>
      <c r="G478" s="57"/>
      <c r="H478" s="57"/>
    </row>
    <row r="479" spans="1:8" ht="15.75" customHeight="1" x14ac:dyDescent="0.25">
      <c r="A479" s="81">
        <v>471</v>
      </c>
      <c r="B479" s="57"/>
      <c r="C479" s="48"/>
      <c r="D479" s="57"/>
      <c r="E479" s="57"/>
      <c r="F479" s="57"/>
      <c r="G479" s="57"/>
      <c r="H479" s="57"/>
    </row>
    <row r="480" spans="1:8" ht="15.75" customHeight="1" x14ac:dyDescent="0.25">
      <c r="A480" s="82">
        <v>472</v>
      </c>
      <c r="B480" s="57"/>
      <c r="C480" s="48"/>
      <c r="D480" s="57"/>
      <c r="E480" s="57"/>
      <c r="F480" s="57"/>
      <c r="G480" s="57"/>
      <c r="H480" s="57"/>
    </row>
    <row r="481" spans="1:8" ht="15.75" customHeight="1" x14ac:dyDescent="0.25">
      <c r="A481" s="81">
        <v>473</v>
      </c>
      <c r="B481" s="57"/>
      <c r="C481" s="48"/>
      <c r="D481" s="57"/>
      <c r="E481" s="57"/>
      <c r="F481" s="57"/>
      <c r="G481" s="57"/>
      <c r="H481" s="57"/>
    </row>
    <row r="482" spans="1:8" ht="15.75" customHeight="1" x14ac:dyDescent="0.25">
      <c r="A482" s="82">
        <v>474</v>
      </c>
      <c r="B482" s="57"/>
      <c r="C482" s="48"/>
      <c r="D482" s="57"/>
      <c r="E482" s="57"/>
      <c r="F482" s="57"/>
      <c r="G482" s="57"/>
      <c r="H482" s="57"/>
    </row>
    <row r="483" spans="1:8" ht="15.75" customHeight="1" x14ac:dyDescent="0.25">
      <c r="A483" s="81">
        <v>475</v>
      </c>
      <c r="B483" s="57"/>
      <c r="C483" s="48"/>
      <c r="D483" s="57"/>
      <c r="E483" s="57"/>
      <c r="F483" s="57"/>
      <c r="G483" s="57"/>
      <c r="H483" s="57"/>
    </row>
    <row r="484" spans="1:8" ht="15.75" customHeight="1" x14ac:dyDescent="0.25">
      <c r="A484" s="82">
        <v>476</v>
      </c>
      <c r="B484" s="57"/>
      <c r="C484" s="48"/>
      <c r="D484" s="57"/>
      <c r="E484" s="57"/>
      <c r="F484" s="57"/>
      <c r="G484" s="57"/>
      <c r="H484" s="57"/>
    </row>
    <row r="485" spans="1:8" ht="15.75" customHeight="1" x14ac:dyDescent="0.25">
      <c r="A485" s="81">
        <v>477</v>
      </c>
      <c r="B485" s="57"/>
      <c r="C485" s="48"/>
      <c r="D485" s="57"/>
      <c r="E485" s="57"/>
      <c r="F485" s="57"/>
      <c r="G485" s="57"/>
      <c r="H485" s="57"/>
    </row>
    <row r="486" spans="1:8" ht="15.75" customHeight="1" x14ac:dyDescent="0.25">
      <c r="A486" s="82">
        <v>478</v>
      </c>
      <c r="B486" s="57"/>
      <c r="C486" s="48"/>
      <c r="D486" s="57"/>
      <c r="E486" s="57"/>
      <c r="F486" s="57"/>
      <c r="G486" s="57"/>
      <c r="H486" s="57"/>
    </row>
    <row r="487" spans="1:8" ht="15.75" customHeight="1" x14ac:dyDescent="0.25">
      <c r="A487" s="81">
        <v>479</v>
      </c>
      <c r="B487" s="57"/>
      <c r="C487" s="48"/>
      <c r="D487" s="57"/>
      <c r="E487" s="57"/>
      <c r="F487" s="57"/>
      <c r="G487" s="57"/>
      <c r="H487" s="57"/>
    </row>
    <row r="488" spans="1:8" ht="15.75" customHeight="1" x14ac:dyDescent="0.25">
      <c r="A488" s="82">
        <v>480</v>
      </c>
      <c r="B488" s="57"/>
      <c r="C488" s="48"/>
      <c r="D488" s="57"/>
      <c r="E488" s="57"/>
      <c r="F488" s="57"/>
      <c r="G488" s="57"/>
      <c r="H488" s="57"/>
    </row>
    <row r="489" spans="1:8" ht="15.75" customHeight="1" x14ac:dyDescent="0.25">
      <c r="A489" s="81">
        <v>481</v>
      </c>
      <c r="B489" s="57"/>
      <c r="C489" s="48"/>
      <c r="D489" s="57"/>
      <c r="E489" s="57"/>
      <c r="F489" s="57"/>
      <c r="G489" s="57"/>
      <c r="H489" s="57"/>
    </row>
    <row r="490" spans="1:8" ht="15.75" customHeight="1" x14ac:dyDescent="0.25">
      <c r="A490" s="82">
        <v>482</v>
      </c>
      <c r="B490" s="57"/>
      <c r="C490" s="48"/>
      <c r="D490" s="57"/>
      <c r="E490" s="57"/>
      <c r="F490" s="57"/>
      <c r="G490" s="57"/>
      <c r="H490" s="57"/>
    </row>
    <row r="491" spans="1:8" ht="15.75" customHeight="1" x14ac:dyDescent="0.25">
      <c r="A491" s="81">
        <v>483</v>
      </c>
      <c r="B491" s="57"/>
      <c r="C491" s="48"/>
      <c r="D491" s="57"/>
      <c r="E491" s="57"/>
      <c r="F491" s="57"/>
      <c r="G491" s="57"/>
      <c r="H491" s="57"/>
    </row>
    <row r="492" spans="1:8" ht="15.75" customHeight="1" x14ac:dyDescent="0.25">
      <c r="A492" s="82">
        <v>484</v>
      </c>
      <c r="B492" s="57"/>
      <c r="C492" s="48"/>
      <c r="D492" s="57"/>
      <c r="E492" s="57"/>
      <c r="F492" s="57"/>
      <c r="G492" s="57"/>
      <c r="H492" s="57"/>
    </row>
    <row r="493" spans="1:8" ht="15.75" customHeight="1" x14ac:dyDescent="0.25">
      <c r="A493" s="81">
        <v>485</v>
      </c>
      <c r="B493" s="57"/>
      <c r="C493" s="48"/>
      <c r="D493" s="57"/>
      <c r="E493" s="57"/>
      <c r="F493" s="57"/>
      <c r="G493" s="57"/>
      <c r="H493" s="57"/>
    </row>
    <row r="494" spans="1:8" ht="15.75" customHeight="1" x14ac:dyDescent="0.25">
      <c r="A494" s="82">
        <v>486</v>
      </c>
      <c r="B494" s="57"/>
      <c r="C494" s="48"/>
      <c r="D494" s="57"/>
      <c r="E494" s="57"/>
      <c r="F494" s="57"/>
      <c r="G494" s="57"/>
      <c r="H494" s="57"/>
    </row>
    <row r="495" spans="1:8" ht="15.75" customHeight="1" x14ac:dyDescent="0.25">
      <c r="A495" s="81">
        <v>487</v>
      </c>
      <c r="B495" s="57"/>
      <c r="C495" s="48"/>
      <c r="D495" s="57"/>
      <c r="E495" s="57"/>
      <c r="F495" s="57"/>
      <c r="G495" s="57"/>
      <c r="H495" s="57"/>
    </row>
    <row r="496" spans="1:8" ht="15.75" customHeight="1" x14ac:dyDescent="0.25">
      <c r="A496" s="82">
        <v>488</v>
      </c>
      <c r="B496" s="57"/>
      <c r="C496" s="48"/>
      <c r="D496" s="57"/>
      <c r="E496" s="57"/>
      <c r="F496" s="57"/>
      <c r="G496" s="57"/>
      <c r="H496" s="57"/>
    </row>
    <row r="497" spans="1:8" ht="15.75" customHeight="1" x14ac:dyDescent="0.25">
      <c r="A497" s="81">
        <v>489</v>
      </c>
      <c r="B497" s="57"/>
      <c r="C497" s="48"/>
      <c r="D497" s="57"/>
      <c r="E497" s="57"/>
      <c r="F497" s="57"/>
      <c r="G497" s="57"/>
      <c r="H497" s="57"/>
    </row>
    <row r="498" spans="1:8" ht="15.75" customHeight="1" x14ac:dyDescent="0.25">
      <c r="A498" s="82">
        <v>490</v>
      </c>
      <c r="B498" s="57"/>
      <c r="C498" s="48"/>
      <c r="D498" s="57"/>
      <c r="E498" s="57"/>
      <c r="F498" s="57"/>
      <c r="G498" s="57"/>
      <c r="H498" s="57"/>
    </row>
    <row r="499" spans="1:8" ht="15.75" customHeight="1" x14ac:dyDescent="0.25">
      <c r="A499" s="81">
        <v>491</v>
      </c>
      <c r="B499" s="57"/>
      <c r="C499" s="48"/>
      <c r="D499" s="57"/>
      <c r="E499" s="57"/>
      <c r="F499" s="57"/>
      <c r="G499" s="57"/>
      <c r="H499" s="57"/>
    </row>
    <row r="500" spans="1:8" ht="15.75" customHeight="1" x14ac:dyDescent="0.25">
      <c r="A500" s="82">
        <v>492</v>
      </c>
      <c r="B500" s="57"/>
      <c r="C500" s="48"/>
      <c r="D500" s="57"/>
      <c r="E500" s="57"/>
      <c r="F500" s="57"/>
      <c r="G500" s="57"/>
      <c r="H500" s="57"/>
    </row>
    <row r="501" spans="1:8" ht="15.75" customHeight="1" x14ac:dyDescent="0.25">
      <c r="A501" s="81">
        <v>493</v>
      </c>
      <c r="B501" s="57"/>
      <c r="C501" s="48"/>
      <c r="D501" s="57"/>
      <c r="E501" s="57"/>
      <c r="F501" s="57"/>
      <c r="G501" s="57"/>
      <c r="H501" s="57"/>
    </row>
    <row r="502" spans="1:8" ht="15.75" customHeight="1" x14ac:dyDescent="0.25">
      <c r="A502" s="82">
        <v>494</v>
      </c>
      <c r="B502" s="57"/>
      <c r="C502" s="48"/>
      <c r="D502" s="57"/>
      <c r="E502" s="57"/>
      <c r="F502" s="57"/>
      <c r="G502" s="57"/>
      <c r="H502" s="57"/>
    </row>
    <row r="503" spans="1:8" ht="15.75" customHeight="1" x14ac:dyDescent="0.25">
      <c r="A503" s="81">
        <v>495</v>
      </c>
      <c r="B503" s="57"/>
      <c r="C503" s="48"/>
      <c r="D503" s="57"/>
      <c r="E503" s="57"/>
      <c r="F503" s="57"/>
      <c r="G503" s="57"/>
      <c r="H503" s="57"/>
    </row>
    <row r="504" spans="1:8" ht="15.75" customHeight="1" x14ac:dyDescent="0.25">
      <c r="A504" s="82">
        <v>496</v>
      </c>
      <c r="B504" s="57"/>
      <c r="C504" s="48"/>
      <c r="D504" s="57"/>
      <c r="E504" s="57"/>
      <c r="F504" s="57"/>
      <c r="G504" s="57"/>
      <c r="H504" s="57"/>
    </row>
    <row r="505" spans="1:8" ht="15.75" customHeight="1" x14ac:dyDescent="0.25">
      <c r="A505" s="81">
        <v>497</v>
      </c>
      <c r="B505" s="57"/>
      <c r="C505" s="48"/>
      <c r="D505" s="57"/>
      <c r="E505" s="57"/>
      <c r="F505" s="57"/>
      <c r="G505" s="57"/>
      <c r="H505" s="57"/>
    </row>
    <row r="506" spans="1:8" ht="15.75" customHeight="1" x14ac:dyDescent="0.25">
      <c r="A506" s="82">
        <v>498</v>
      </c>
      <c r="B506" s="57"/>
      <c r="C506" s="48"/>
      <c r="D506" s="57"/>
      <c r="E506" s="57"/>
      <c r="F506" s="57"/>
      <c r="G506" s="57"/>
      <c r="H506" s="57"/>
    </row>
    <row r="507" spans="1:8" ht="15.75" customHeight="1" x14ac:dyDescent="0.25">
      <c r="A507" s="81">
        <v>499</v>
      </c>
      <c r="B507" s="57"/>
      <c r="C507" s="48"/>
      <c r="D507" s="57"/>
      <c r="E507" s="57"/>
      <c r="F507" s="57"/>
      <c r="G507" s="57"/>
      <c r="H507" s="57"/>
    </row>
    <row r="508" spans="1:8" ht="15.75" customHeight="1" x14ac:dyDescent="0.25">
      <c r="A508" s="82">
        <v>500</v>
      </c>
      <c r="B508" s="57"/>
      <c r="C508" s="48"/>
      <c r="D508" s="57"/>
      <c r="E508" s="57"/>
      <c r="F508" s="57"/>
      <c r="G508" s="57"/>
      <c r="H508" s="57"/>
    </row>
    <row r="509" spans="1:8" ht="15.75" customHeight="1" x14ac:dyDescent="0.25">
      <c r="A509" s="81">
        <v>501</v>
      </c>
      <c r="B509" s="57"/>
      <c r="C509" s="48"/>
      <c r="D509" s="57"/>
      <c r="E509" s="57"/>
      <c r="F509" s="57"/>
      <c r="G509" s="57"/>
      <c r="H509" s="57"/>
    </row>
    <row r="510" spans="1:8" ht="15.75" customHeight="1" x14ac:dyDescent="0.25">
      <c r="A510" s="82">
        <v>502</v>
      </c>
      <c r="B510" s="57"/>
      <c r="C510" s="48"/>
      <c r="D510" s="57"/>
      <c r="E510" s="57"/>
      <c r="F510" s="57"/>
      <c r="G510" s="57"/>
      <c r="H510" s="57"/>
    </row>
    <row r="511" spans="1:8" ht="15.75" customHeight="1" x14ac:dyDescent="0.25">
      <c r="A511" s="81">
        <v>503</v>
      </c>
      <c r="B511" s="57"/>
      <c r="C511" s="48"/>
      <c r="D511" s="57"/>
      <c r="E511" s="57"/>
      <c r="F511" s="57"/>
      <c r="G511" s="57"/>
      <c r="H511" s="57"/>
    </row>
    <row r="512" spans="1:8" ht="15.75" customHeight="1" x14ac:dyDescent="0.25">
      <c r="A512" s="82">
        <v>504</v>
      </c>
      <c r="B512" s="57"/>
      <c r="C512" s="48"/>
      <c r="D512" s="57"/>
      <c r="E512" s="57"/>
      <c r="F512" s="57"/>
      <c r="G512" s="57"/>
      <c r="H512" s="57"/>
    </row>
    <row r="513" spans="1:8" ht="15.75" customHeight="1" x14ac:dyDescent="0.25">
      <c r="A513" s="81">
        <v>505</v>
      </c>
      <c r="B513" s="57"/>
      <c r="C513" s="48"/>
      <c r="D513" s="57"/>
      <c r="E513" s="57"/>
      <c r="F513" s="57"/>
      <c r="G513" s="57"/>
      <c r="H513" s="57"/>
    </row>
    <row r="514" spans="1:8" ht="15.75" customHeight="1" x14ac:dyDescent="0.25">
      <c r="A514" s="82">
        <v>506</v>
      </c>
      <c r="B514" s="57"/>
      <c r="C514" s="48"/>
      <c r="D514" s="57"/>
      <c r="E514" s="57"/>
      <c r="F514" s="57"/>
      <c r="G514" s="57"/>
      <c r="H514" s="57"/>
    </row>
    <row r="515" spans="1:8" ht="15.75" customHeight="1" x14ac:dyDescent="0.25">
      <c r="A515" s="81">
        <v>507</v>
      </c>
      <c r="B515" s="57"/>
      <c r="C515" s="48"/>
      <c r="D515" s="57"/>
      <c r="E515" s="57"/>
      <c r="F515" s="57"/>
      <c r="G515" s="57"/>
      <c r="H515" s="57"/>
    </row>
    <row r="516" spans="1:8" ht="15.75" customHeight="1" x14ac:dyDescent="0.25">
      <c r="A516" s="82">
        <v>508</v>
      </c>
      <c r="B516" s="57"/>
      <c r="C516" s="48"/>
      <c r="D516" s="57"/>
      <c r="E516" s="57"/>
      <c r="F516" s="57"/>
      <c r="G516" s="57"/>
      <c r="H516" s="57"/>
    </row>
    <row r="517" spans="1:8" ht="15.75" customHeight="1" x14ac:dyDescent="0.25">
      <c r="A517" s="81">
        <v>509</v>
      </c>
      <c r="B517" s="57"/>
      <c r="C517" s="48"/>
      <c r="D517" s="57"/>
      <c r="E517" s="57"/>
      <c r="F517" s="57"/>
      <c r="G517" s="57"/>
      <c r="H517" s="57"/>
    </row>
    <row r="518" spans="1:8" ht="15.75" customHeight="1" x14ac:dyDescent="0.25">
      <c r="A518" s="82">
        <v>510</v>
      </c>
      <c r="B518" s="57"/>
      <c r="C518" s="48"/>
      <c r="D518" s="57"/>
      <c r="E518" s="57"/>
      <c r="F518" s="57"/>
      <c r="G518" s="57"/>
      <c r="H518" s="57"/>
    </row>
    <row r="519" spans="1:8" ht="15.75" customHeight="1" x14ac:dyDescent="0.25">
      <c r="A519" s="81">
        <v>511</v>
      </c>
      <c r="B519" s="57"/>
      <c r="C519" s="48"/>
      <c r="D519" s="57"/>
      <c r="E519" s="57"/>
      <c r="F519" s="57"/>
      <c r="G519" s="57"/>
      <c r="H519" s="57"/>
    </row>
    <row r="520" spans="1:8" ht="15.75" customHeight="1" x14ac:dyDescent="0.25">
      <c r="A520" s="82">
        <v>512</v>
      </c>
      <c r="B520" s="57"/>
      <c r="C520" s="48"/>
      <c r="D520" s="57"/>
      <c r="E520" s="57"/>
      <c r="F520" s="57"/>
      <c r="G520" s="57"/>
      <c r="H520" s="57"/>
    </row>
    <row r="521" spans="1:8" ht="15.75" customHeight="1" x14ac:dyDescent="0.25">
      <c r="A521" s="81">
        <v>513</v>
      </c>
      <c r="B521" s="57"/>
      <c r="C521" s="48"/>
      <c r="D521" s="57"/>
      <c r="E521" s="57"/>
      <c r="F521" s="57"/>
      <c r="G521" s="57"/>
      <c r="H521" s="57"/>
    </row>
    <row r="522" spans="1:8" ht="15.75" customHeight="1" x14ac:dyDescent="0.25">
      <c r="A522" s="82">
        <v>514</v>
      </c>
      <c r="B522" s="57"/>
      <c r="C522" s="48"/>
      <c r="D522" s="57"/>
      <c r="E522" s="57"/>
      <c r="F522" s="57"/>
      <c r="G522" s="57"/>
      <c r="H522" s="57"/>
    </row>
    <row r="523" spans="1:8" ht="15.75" customHeight="1" x14ac:dyDescent="0.25">
      <c r="A523" s="81">
        <v>515</v>
      </c>
      <c r="B523" s="57"/>
      <c r="C523" s="48"/>
      <c r="D523" s="57"/>
      <c r="E523" s="57"/>
      <c r="F523" s="57"/>
      <c r="G523" s="57"/>
      <c r="H523" s="57"/>
    </row>
    <row r="524" spans="1:8" ht="15.75" customHeight="1" x14ac:dyDescent="0.25">
      <c r="A524" s="82">
        <v>516</v>
      </c>
      <c r="B524" s="57"/>
      <c r="C524" s="48"/>
      <c r="D524" s="57"/>
      <c r="E524" s="57"/>
      <c r="F524" s="57"/>
      <c r="G524" s="57"/>
      <c r="H524" s="57"/>
    </row>
    <row r="525" spans="1:8" ht="15.75" customHeight="1" x14ac:dyDescent="0.25">
      <c r="A525" s="81">
        <v>517</v>
      </c>
      <c r="B525" s="57"/>
      <c r="C525" s="48"/>
      <c r="D525" s="57"/>
      <c r="E525" s="57"/>
      <c r="F525" s="57"/>
      <c r="G525" s="57"/>
      <c r="H525" s="57"/>
    </row>
    <row r="526" spans="1:8" ht="15.75" customHeight="1" x14ac:dyDescent="0.25">
      <c r="A526" s="82">
        <v>518</v>
      </c>
      <c r="B526" s="57"/>
      <c r="C526" s="48"/>
      <c r="D526" s="57"/>
      <c r="E526" s="57"/>
      <c r="F526" s="57"/>
      <c r="G526" s="57"/>
      <c r="H526" s="57"/>
    </row>
    <row r="527" spans="1:8" ht="15.75" customHeight="1" x14ac:dyDescent="0.25">
      <c r="A527" s="81">
        <v>519</v>
      </c>
      <c r="B527" s="57"/>
      <c r="C527" s="48"/>
      <c r="D527" s="57"/>
      <c r="E527" s="57"/>
      <c r="F527" s="57"/>
      <c r="G527" s="57"/>
      <c r="H527" s="57"/>
    </row>
    <row r="528" spans="1:8" ht="15.75" customHeight="1" x14ac:dyDescent="0.25">
      <c r="A528" s="82">
        <v>520</v>
      </c>
      <c r="B528" s="57"/>
      <c r="C528" s="48"/>
      <c r="D528" s="57"/>
      <c r="E528" s="57"/>
      <c r="F528" s="57"/>
      <c r="G528" s="57"/>
      <c r="H528" s="57"/>
    </row>
    <row r="529" spans="1:8" ht="15.75" customHeight="1" x14ac:dyDescent="0.25">
      <c r="A529" s="81">
        <v>521</v>
      </c>
      <c r="B529" s="57"/>
      <c r="C529" s="48"/>
      <c r="D529" s="57"/>
      <c r="E529" s="57"/>
      <c r="F529" s="57"/>
      <c r="G529" s="57"/>
      <c r="H529" s="57"/>
    </row>
    <row r="530" spans="1:8" ht="15.75" customHeight="1" x14ac:dyDescent="0.25">
      <c r="A530" s="82">
        <v>522</v>
      </c>
      <c r="B530" s="57"/>
      <c r="C530" s="48"/>
      <c r="D530" s="57"/>
      <c r="E530" s="57"/>
      <c r="F530" s="57"/>
      <c r="G530" s="57"/>
      <c r="H530" s="57"/>
    </row>
    <row r="531" spans="1:8" ht="15.75" customHeight="1" x14ac:dyDescent="0.25">
      <c r="A531" s="81">
        <v>523</v>
      </c>
      <c r="B531" s="57"/>
      <c r="C531" s="48"/>
      <c r="D531" s="57"/>
      <c r="E531" s="57"/>
      <c r="F531" s="57"/>
      <c r="G531" s="57"/>
      <c r="H531" s="57"/>
    </row>
    <row r="532" spans="1:8" ht="15.75" customHeight="1" x14ac:dyDescent="0.25">
      <c r="A532" s="82">
        <v>524</v>
      </c>
      <c r="B532" s="57"/>
      <c r="C532" s="48"/>
      <c r="D532" s="57"/>
      <c r="E532" s="57"/>
      <c r="F532" s="57"/>
      <c r="G532" s="57"/>
      <c r="H532" s="57"/>
    </row>
    <row r="533" spans="1:8" ht="15.75" customHeight="1" x14ac:dyDescent="0.25">
      <c r="A533" s="81">
        <v>525</v>
      </c>
      <c r="B533" s="57"/>
      <c r="C533" s="48"/>
      <c r="D533" s="57"/>
      <c r="E533" s="57"/>
      <c r="F533" s="57"/>
      <c r="G533" s="57"/>
      <c r="H533" s="57"/>
    </row>
    <row r="534" spans="1:8" ht="15.75" customHeight="1" x14ac:dyDescent="0.25">
      <c r="A534" s="82">
        <v>526</v>
      </c>
      <c r="B534" s="57"/>
      <c r="C534" s="48"/>
      <c r="D534" s="57"/>
      <c r="E534" s="57"/>
      <c r="F534" s="57"/>
      <c r="G534" s="57"/>
      <c r="H534" s="57"/>
    </row>
    <row r="535" spans="1:8" ht="15.75" customHeight="1" x14ac:dyDescent="0.25">
      <c r="A535" s="81">
        <v>527</v>
      </c>
      <c r="B535" s="57"/>
      <c r="C535" s="48"/>
      <c r="D535" s="57"/>
      <c r="E535" s="57"/>
      <c r="F535" s="57"/>
      <c r="G535" s="57"/>
      <c r="H535" s="57"/>
    </row>
    <row r="536" spans="1:8" ht="15.75" customHeight="1" x14ac:dyDescent="0.25">
      <c r="A536" s="82">
        <v>528</v>
      </c>
      <c r="B536" s="57"/>
      <c r="C536" s="48"/>
      <c r="D536" s="57"/>
      <c r="E536" s="57"/>
      <c r="F536" s="57"/>
      <c r="G536" s="57"/>
      <c r="H536" s="57"/>
    </row>
    <row r="537" spans="1:8" ht="15.75" customHeight="1" x14ac:dyDescent="0.25">
      <c r="A537" s="81">
        <v>529</v>
      </c>
      <c r="B537" s="57"/>
      <c r="C537" s="48"/>
      <c r="D537" s="57"/>
      <c r="E537" s="57"/>
      <c r="F537" s="57"/>
      <c r="G537" s="57"/>
      <c r="H537" s="57"/>
    </row>
    <row r="538" spans="1:8" ht="15.75" customHeight="1" x14ac:dyDescent="0.25">
      <c r="A538" s="82">
        <v>530</v>
      </c>
      <c r="B538" s="57"/>
      <c r="C538" s="48"/>
      <c r="D538" s="57"/>
      <c r="E538" s="57"/>
      <c r="F538" s="57"/>
      <c r="G538" s="57"/>
      <c r="H538" s="57"/>
    </row>
    <row r="539" spans="1:8" ht="15.75" customHeight="1" x14ac:dyDescent="0.25">
      <c r="A539" s="81">
        <v>531</v>
      </c>
      <c r="B539" s="57"/>
      <c r="C539" s="48"/>
      <c r="D539" s="57"/>
      <c r="E539" s="57"/>
      <c r="F539" s="57"/>
      <c r="G539" s="57"/>
      <c r="H539" s="57"/>
    </row>
    <row r="540" spans="1:8" ht="15.75" customHeight="1" x14ac:dyDescent="0.25">
      <c r="A540" s="82">
        <v>532</v>
      </c>
      <c r="B540" s="57"/>
      <c r="C540" s="48"/>
      <c r="D540" s="57"/>
      <c r="E540" s="57"/>
      <c r="F540" s="57"/>
      <c r="G540" s="57"/>
      <c r="H540" s="57"/>
    </row>
    <row r="541" spans="1:8" ht="15.75" customHeight="1" x14ac:dyDescent="0.25">
      <c r="A541" s="81">
        <v>533</v>
      </c>
      <c r="B541" s="57"/>
      <c r="C541" s="48"/>
      <c r="D541" s="57"/>
      <c r="E541" s="57"/>
      <c r="F541" s="57"/>
      <c r="G541" s="57"/>
      <c r="H541" s="57"/>
    </row>
    <row r="542" spans="1:8" ht="15.75" customHeight="1" x14ac:dyDescent="0.25">
      <c r="A542" s="82">
        <v>534</v>
      </c>
      <c r="B542" s="57"/>
      <c r="C542" s="48"/>
      <c r="D542" s="57"/>
      <c r="E542" s="57"/>
      <c r="F542" s="57"/>
      <c r="G542" s="57"/>
      <c r="H542" s="57"/>
    </row>
    <row r="543" spans="1:8" ht="15.75" customHeight="1" x14ac:dyDescent="0.25">
      <c r="A543" s="81">
        <v>535</v>
      </c>
      <c r="B543" s="57"/>
      <c r="C543" s="48"/>
      <c r="D543" s="57"/>
      <c r="E543" s="57"/>
      <c r="F543" s="57"/>
      <c r="G543" s="57"/>
      <c r="H543" s="57"/>
    </row>
    <row r="544" spans="1:8" ht="15.75" customHeight="1" x14ac:dyDescent="0.25">
      <c r="A544" s="82">
        <v>536</v>
      </c>
      <c r="B544" s="57"/>
      <c r="C544" s="48"/>
      <c r="D544" s="57"/>
      <c r="E544" s="57"/>
      <c r="F544" s="57"/>
      <c r="G544" s="57"/>
      <c r="H544" s="57"/>
    </row>
    <row r="545" spans="1:8" ht="15.75" customHeight="1" x14ac:dyDescent="0.25">
      <c r="A545" s="81">
        <v>537</v>
      </c>
      <c r="B545" s="57"/>
      <c r="C545" s="48"/>
      <c r="D545" s="57"/>
      <c r="E545" s="57"/>
      <c r="F545" s="57"/>
      <c r="G545" s="57"/>
      <c r="H545" s="57"/>
    </row>
    <row r="546" spans="1:8" ht="15.75" customHeight="1" x14ac:dyDescent="0.25">
      <c r="A546" s="82">
        <v>538</v>
      </c>
      <c r="B546" s="57"/>
      <c r="C546" s="48"/>
      <c r="D546" s="57"/>
      <c r="E546" s="57"/>
      <c r="F546" s="57"/>
      <c r="G546" s="57"/>
      <c r="H546" s="57"/>
    </row>
    <row r="547" spans="1:8" ht="15.75" customHeight="1" x14ac:dyDescent="0.25">
      <c r="A547" s="81">
        <v>539</v>
      </c>
      <c r="B547" s="57"/>
      <c r="C547" s="48"/>
      <c r="D547" s="57"/>
      <c r="E547" s="57"/>
      <c r="F547" s="57"/>
      <c r="G547" s="57"/>
      <c r="H547" s="57"/>
    </row>
    <row r="548" spans="1:8" ht="15.75" customHeight="1" x14ac:dyDescent="0.25">
      <c r="A548" s="82">
        <v>540</v>
      </c>
      <c r="B548" s="57"/>
      <c r="C548" s="48"/>
      <c r="D548" s="57"/>
      <c r="E548" s="57"/>
      <c r="F548" s="57"/>
      <c r="G548" s="57"/>
      <c r="H548" s="57"/>
    </row>
    <row r="549" spans="1:8" ht="15.75" customHeight="1" x14ac:dyDescent="0.25">
      <c r="A549" s="81">
        <v>541</v>
      </c>
      <c r="B549" s="57"/>
      <c r="C549" s="48"/>
      <c r="D549" s="57"/>
      <c r="E549" s="57"/>
      <c r="F549" s="57"/>
      <c r="G549" s="57"/>
      <c r="H549" s="57"/>
    </row>
    <row r="550" spans="1:8" ht="15.75" customHeight="1" x14ac:dyDescent="0.25">
      <c r="A550" s="82">
        <v>542</v>
      </c>
      <c r="B550" s="57"/>
      <c r="C550" s="48"/>
      <c r="D550" s="57"/>
      <c r="E550" s="57"/>
      <c r="F550" s="57"/>
      <c r="G550" s="57"/>
      <c r="H550" s="57"/>
    </row>
    <row r="551" spans="1:8" ht="15.75" customHeight="1" x14ac:dyDescent="0.25">
      <c r="A551" s="81">
        <v>543</v>
      </c>
      <c r="B551" s="57"/>
      <c r="C551" s="48"/>
      <c r="D551" s="57"/>
      <c r="E551" s="57"/>
      <c r="F551" s="57"/>
      <c r="G551" s="57"/>
      <c r="H551" s="57"/>
    </row>
    <row r="552" spans="1:8" ht="15.75" customHeight="1" x14ac:dyDescent="0.25">
      <c r="A552" s="82">
        <v>544</v>
      </c>
      <c r="B552" s="57"/>
      <c r="C552" s="48"/>
      <c r="D552" s="57"/>
      <c r="E552" s="57"/>
      <c r="F552" s="57"/>
      <c r="G552" s="57"/>
      <c r="H552" s="57"/>
    </row>
    <row r="553" spans="1:8" ht="15.75" customHeight="1" x14ac:dyDescent="0.25">
      <c r="A553" s="81">
        <v>545</v>
      </c>
      <c r="B553" s="57"/>
      <c r="C553" s="48"/>
      <c r="D553" s="57"/>
      <c r="E553" s="57"/>
      <c r="F553" s="57"/>
      <c r="G553" s="57"/>
      <c r="H553" s="57"/>
    </row>
    <row r="554" spans="1:8" ht="15.75" customHeight="1" x14ac:dyDescent="0.25">
      <c r="A554" s="82">
        <v>546</v>
      </c>
      <c r="B554" s="57"/>
      <c r="C554" s="48"/>
      <c r="D554" s="57"/>
      <c r="E554" s="57"/>
      <c r="F554" s="57"/>
      <c r="G554" s="57"/>
      <c r="H554" s="57"/>
    </row>
    <row r="555" spans="1:8" ht="15.75" customHeight="1" x14ac:dyDescent="0.25">
      <c r="A555" s="81">
        <v>547</v>
      </c>
      <c r="B555" s="57"/>
      <c r="C555" s="48"/>
      <c r="D555" s="57"/>
      <c r="E555" s="57"/>
      <c r="F555" s="57"/>
      <c r="G555" s="57"/>
      <c r="H555" s="57"/>
    </row>
    <row r="556" spans="1:8" ht="15.75" customHeight="1" x14ac:dyDescent="0.25">
      <c r="A556" s="82">
        <v>548</v>
      </c>
      <c r="B556" s="57"/>
      <c r="C556" s="48"/>
      <c r="D556" s="57"/>
      <c r="E556" s="57"/>
      <c r="F556" s="57"/>
      <c r="G556" s="57"/>
      <c r="H556" s="57"/>
    </row>
    <row r="557" spans="1:8" ht="15.75" customHeight="1" x14ac:dyDescent="0.25">
      <c r="A557" s="81">
        <v>549</v>
      </c>
      <c r="B557" s="57"/>
      <c r="C557" s="48"/>
      <c r="D557" s="57"/>
      <c r="E557" s="57"/>
      <c r="F557" s="57"/>
      <c r="G557" s="57"/>
      <c r="H557" s="57"/>
    </row>
    <row r="558" spans="1:8" ht="15.75" customHeight="1" x14ac:dyDescent="0.25">
      <c r="A558" s="82">
        <v>550</v>
      </c>
      <c r="B558" s="57"/>
      <c r="C558" s="48"/>
      <c r="D558" s="57"/>
      <c r="E558" s="57"/>
      <c r="F558" s="57"/>
      <c r="G558" s="57"/>
      <c r="H558" s="57"/>
    </row>
    <row r="559" spans="1:8" ht="15.75" customHeight="1" x14ac:dyDescent="0.25">
      <c r="A559" s="81">
        <v>551</v>
      </c>
      <c r="B559" s="57"/>
      <c r="C559" s="48"/>
      <c r="D559" s="57"/>
      <c r="E559" s="57"/>
      <c r="F559" s="57"/>
      <c r="G559" s="57"/>
      <c r="H559" s="57"/>
    </row>
    <row r="560" spans="1:8" ht="15.75" customHeight="1" x14ac:dyDescent="0.25">
      <c r="A560" s="82">
        <v>552</v>
      </c>
      <c r="B560" s="57"/>
      <c r="C560" s="48"/>
      <c r="D560" s="57"/>
      <c r="E560" s="57"/>
      <c r="F560" s="57"/>
      <c r="G560" s="57"/>
      <c r="H560" s="57"/>
    </row>
    <row r="561" spans="1:8" ht="15.75" customHeight="1" x14ac:dyDescent="0.25">
      <c r="A561" s="81">
        <v>553</v>
      </c>
      <c r="B561" s="57"/>
      <c r="C561" s="48"/>
      <c r="D561" s="57"/>
      <c r="E561" s="57"/>
      <c r="F561" s="57"/>
      <c r="G561" s="57"/>
      <c r="H561" s="57"/>
    </row>
    <row r="562" spans="1:8" ht="15.75" customHeight="1" x14ac:dyDescent="0.25">
      <c r="A562" s="82">
        <v>554</v>
      </c>
      <c r="B562" s="57"/>
      <c r="C562" s="48"/>
      <c r="D562" s="57"/>
      <c r="E562" s="57"/>
      <c r="F562" s="57"/>
      <c r="G562" s="57"/>
      <c r="H562" s="57"/>
    </row>
    <row r="563" spans="1:8" ht="15.75" customHeight="1" x14ac:dyDescent="0.25">
      <c r="A563" s="81">
        <v>555</v>
      </c>
      <c r="B563" s="57"/>
      <c r="C563" s="48"/>
      <c r="D563" s="57"/>
      <c r="E563" s="57"/>
      <c r="F563" s="57"/>
      <c r="G563" s="57"/>
      <c r="H563" s="57"/>
    </row>
    <row r="564" spans="1:8" ht="15.75" customHeight="1" x14ac:dyDescent="0.25">
      <c r="A564" s="82">
        <v>556</v>
      </c>
      <c r="B564" s="57"/>
      <c r="C564" s="48"/>
      <c r="D564" s="57"/>
      <c r="E564" s="57"/>
      <c r="F564" s="57"/>
      <c r="G564" s="57"/>
      <c r="H564" s="57"/>
    </row>
    <row r="565" spans="1:8" ht="15.75" customHeight="1" x14ac:dyDescent="0.25">
      <c r="A565" s="81">
        <v>557</v>
      </c>
      <c r="B565" s="57"/>
      <c r="C565" s="48"/>
      <c r="D565" s="57"/>
      <c r="E565" s="57"/>
      <c r="F565" s="57"/>
      <c r="G565" s="57"/>
      <c r="H565" s="57"/>
    </row>
    <row r="566" spans="1:8" ht="15.75" customHeight="1" x14ac:dyDescent="0.25">
      <c r="A566" s="82">
        <v>558</v>
      </c>
      <c r="B566" s="57"/>
      <c r="C566" s="48"/>
      <c r="D566" s="57"/>
      <c r="E566" s="57"/>
      <c r="F566" s="57"/>
      <c r="G566" s="57"/>
      <c r="H566" s="57"/>
    </row>
    <row r="567" spans="1:8" ht="15.75" customHeight="1" x14ac:dyDescent="0.25">
      <c r="A567" s="81">
        <v>559</v>
      </c>
      <c r="B567" s="57"/>
      <c r="C567" s="48"/>
      <c r="D567" s="57"/>
      <c r="E567" s="57"/>
      <c r="F567" s="57"/>
      <c r="G567" s="57"/>
      <c r="H567" s="57"/>
    </row>
    <row r="568" spans="1:8" ht="15.75" customHeight="1" x14ac:dyDescent="0.25">
      <c r="A568" s="82">
        <v>560</v>
      </c>
      <c r="B568" s="57"/>
      <c r="C568" s="48"/>
      <c r="D568" s="57"/>
      <c r="E568" s="57"/>
      <c r="F568" s="57"/>
      <c r="G568" s="57"/>
      <c r="H568" s="57"/>
    </row>
    <row r="569" spans="1:8" ht="15.75" customHeight="1" x14ac:dyDescent="0.25">
      <c r="A569" s="81">
        <v>561</v>
      </c>
      <c r="B569" s="57"/>
      <c r="C569" s="48"/>
      <c r="D569" s="57"/>
      <c r="E569" s="57"/>
      <c r="F569" s="57"/>
      <c r="G569" s="57"/>
      <c r="H569" s="57"/>
    </row>
    <row r="570" spans="1:8" ht="15.75" customHeight="1" x14ac:dyDescent="0.25">
      <c r="A570" s="82">
        <v>562</v>
      </c>
      <c r="B570" s="57"/>
      <c r="C570" s="48"/>
      <c r="D570" s="57"/>
      <c r="E570" s="57"/>
      <c r="F570" s="57"/>
      <c r="G570" s="57"/>
      <c r="H570" s="57"/>
    </row>
    <row r="571" spans="1:8" ht="15.75" customHeight="1" x14ac:dyDescent="0.25">
      <c r="A571" s="81">
        <v>563</v>
      </c>
      <c r="B571" s="57"/>
      <c r="C571" s="48"/>
      <c r="D571" s="57"/>
      <c r="E571" s="57"/>
      <c r="F571" s="57"/>
      <c r="G571" s="57"/>
      <c r="H571" s="57"/>
    </row>
    <row r="572" spans="1:8" ht="15.75" customHeight="1" x14ac:dyDescent="0.25">
      <c r="A572" s="82">
        <v>564</v>
      </c>
      <c r="B572" s="57"/>
      <c r="C572" s="48"/>
      <c r="D572" s="57"/>
      <c r="E572" s="57"/>
      <c r="F572" s="57"/>
      <c r="G572" s="57"/>
      <c r="H572" s="57"/>
    </row>
    <row r="573" spans="1:8" ht="15.75" customHeight="1" x14ac:dyDescent="0.25">
      <c r="A573" s="81">
        <v>565</v>
      </c>
      <c r="B573" s="57"/>
      <c r="C573" s="48"/>
      <c r="D573" s="57"/>
      <c r="E573" s="57"/>
      <c r="F573" s="57"/>
      <c r="G573" s="57"/>
      <c r="H573" s="57"/>
    </row>
    <row r="574" spans="1:8" ht="15.75" customHeight="1" x14ac:dyDescent="0.25">
      <c r="A574" s="82">
        <v>566</v>
      </c>
      <c r="B574" s="57"/>
      <c r="C574" s="48"/>
      <c r="D574" s="57"/>
      <c r="E574" s="57"/>
      <c r="F574" s="57"/>
      <c r="G574" s="57"/>
      <c r="H574" s="57"/>
    </row>
    <row r="575" spans="1:8" ht="15.75" customHeight="1" x14ac:dyDescent="0.25">
      <c r="A575" s="81">
        <v>567</v>
      </c>
      <c r="B575" s="57"/>
      <c r="C575" s="48"/>
      <c r="D575" s="57"/>
      <c r="E575" s="57"/>
      <c r="F575" s="57"/>
      <c r="G575" s="57"/>
      <c r="H575" s="57"/>
    </row>
    <row r="576" spans="1:8" ht="15.75" customHeight="1" x14ac:dyDescent="0.25">
      <c r="A576" s="82">
        <v>568</v>
      </c>
      <c r="B576" s="57"/>
      <c r="C576" s="48"/>
      <c r="D576" s="57"/>
      <c r="E576" s="57"/>
      <c r="F576" s="57"/>
      <c r="G576" s="57"/>
      <c r="H576" s="57"/>
    </row>
    <row r="577" spans="1:8" ht="15.75" customHeight="1" x14ac:dyDescent="0.25">
      <c r="A577" s="81">
        <v>569</v>
      </c>
      <c r="B577" s="57"/>
      <c r="C577" s="48"/>
      <c r="D577" s="57"/>
      <c r="E577" s="57"/>
      <c r="F577" s="57"/>
      <c r="G577" s="57"/>
      <c r="H577" s="57"/>
    </row>
    <row r="578" spans="1:8" ht="15.75" customHeight="1" x14ac:dyDescent="0.25">
      <c r="A578" s="82">
        <v>570</v>
      </c>
      <c r="B578" s="57"/>
      <c r="C578" s="48"/>
      <c r="D578" s="57"/>
      <c r="E578" s="57"/>
      <c r="F578" s="57"/>
      <c r="G578" s="57"/>
      <c r="H578" s="57"/>
    </row>
    <row r="579" spans="1:8" ht="15.75" customHeight="1" x14ac:dyDescent="0.25">
      <c r="A579" s="81">
        <v>571</v>
      </c>
      <c r="B579" s="57"/>
      <c r="C579" s="48"/>
      <c r="D579" s="57"/>
      <c r="E579" s="57"/>
      <c r="F579" s="57"/>
      <c r="G579" s="57"/>
      <c r="H579" s="57"/>
    </row>
    <row r="580" spans="1:8" ht="15.75" customHeight="1" x14ac:dyDescent="0.25">
      <c r="A580" s="82">
        <v>572</v>
      </c>
      <c r="B580" s="57"/>
      <c r="C580" s="48"/>
      <c r="D580" s="57"/>
      <c r="E580" s="57"/>
      <c r="F580" s="57"/>
      <c r="G580" s="57"/>
      <c r="H580" s="57"/>
    </row>
    <row r="581" spans="1:8" ht="15.75" customHeight="1" x14ac:dyDescent="0.25">
      <c r="A581" s="81">
        <v>573</v>
      </c>
      <c r="B581" s="57"/>
      <c r="C581" s="48"/>
      <c r="D581" s="57"/>
      <c r="E581" s="57"/>
      <c r="F581" s="57"/>
      <c r="G581" s="57"/>
      <c r="H581" s="57"/>
    </row>
    <row r="582" spans="1:8" ht="15.75" customHeight="1" x14ac:dyDescent="0.25">
      <c r="A582" s="82">
        <v>574</v>
      </c>
      <c r="B582" s="57"/>
      <c r="C582" s="48"/>
      <c r="D582" s="57"/>
      <c r="E582" s="57"/>
      <c r="F582" s="57"/>
      <c r="G582" s="57"/>
      <c r="H582" s="57"/>
    </row>
    <row r="583" spans="1:8" ht="15.75" customHeight="1" x14ac:dyDescent="0.25">
      <c r="A583" s="81">
        <v>575</v>
      </c>
      <c r="B583" s="57"/>
      <c r="C583" s="48"/>
      <c r="D583" s="57"/>
      <c r="E583" s="57"/>
      <c r="F583" s="57"/>
      <c r="G583" s="57"/>
      <c r="H583" s="57"/>
    </row>
    <row r="584" spans="1:8" ht="15.75" customHeight="1" x14ac:dyDescent="0.25">
      <c r="A584" s="82">
        <v>576</v>
      </c>
      <c r="B584" s="57"/>
      <c r="C584" s="48"/>
      <c r="D584" s="57"/>
      <c r="E584" s="57"/>
      <c r="F584" s="57"/>
      <c r="G584" s="57"/>
      <c r="H584" s="57"/>
    </row>
    <row r="585" spans="1:8" ht="15.75" customHeight="1" x14ac:dyDescent="0.25">
      <c r="A585" s="81">
        <v>577</v>
      </c>
      <c r="B585" s="57"/>
      <c r="C585" s="48"/>
      <c r="D585" s="57"/>
      <c r="E585" s="57"/>
      <c r="F585" s="57"/>
      <c r="G585" s="57"/>
      <c r="H585" s="57"/>
    </row>
    <row r="586" spans="1:8" ht="15.75" customHeight="1" x14ac:dyDescent="0.25">
      <c r="A586" s="82">
        <v>578</v>
      </c>
      <c r="B586" s="57"/>
      <c r="C586" s="48"/>
      <c r="D586" s="57"/>
      <c r="E586" s="57"/>
      <c r="F586" s="57"/>
      <c r="G586" s="57"/>
      <c r="H586" s="57"/>
    </row>
    <row r="587" spans="1:8" ht="15.75" customHeight="1" x14ac:dyDescent="0.25">
      <c r="A587" s="81">
        <v>579</v>
      </c>
      <c r="B587" s="57"/>
      <c r="C587" s="48"/>
      <c r="D587" s="57"/>
      <c r="E587" s="57"/>
      <c r="F587" s="57"/>
      <c r="G587" s="57"/>
      <c r="H587" s="57"/>
    </row>
    <row r="588" spans="1:8" ht="15.75" customHeight="1" x14ac:dyDescent="0.25">
      <c r="A588" s="82">
        <v>580</v>
      </c>
      <c r="B588" s="57"/>
      <c r="C588" s="48"/>
      <c r="D588" s="57"/>
      <c r="E588" s="57"/>
      <c r="F588" s="57"/>
      <c r="G588" s="57"/>
      <c r="H588" s="57"/>
    </row>
    <row r="589" spans="1:8" ht="15.75" customHeight="1" x14ac:dyDescent="0.25">
      <c r="A589" s="81">
        <v>581</v>
      </c>
      <c r="B589" s="57"/>
      <c r="C589" s="48"/>
      <c r="D589" s="57"/>
      <c r="E589" s="57"/>
      <c r="F589" s="57"/>
      <c r="G589" s="57"/>
      <c r="H589" s="57"/>
    </row>
    <row r="590" spans="1:8" ht="15.75" customHeight="1" x14ac:dyDescent="0.25">
      <c r="A590" s="82">
        <v>582</v>
      </c>
      <c r="B590" s="57"/>
      <c r="C590" s="48"/>
      <c r="D590" s="57"/>
      <c r="E590" s="57"/>
      <c r="F590" s="57"/>
      <c r="G590" s="57"/>
      <c r="H590" s="57"/>
    </row>
    <row r="591" spans="1:8" ht="15.75" customHeight="1" x14ac:dyDescent="0.25">
      <c r="A591" s="81">
        <v>583</v>
      </c>
      <c r="B591" s="57"/>
      <c r="C591" s="48"/>
      <c r="D591" s="57"/>
      <c r="E591" s="57"/>
      <c r="F591" s="57"/>
      <c r="G591" s="57"/>
      <c r="H591" s="57"/>
    </row>
    <row r="592" spans="1:8" ht="15.75" customHeight="1" x14ac:dyDescent="0.25">
      <c r="A592" s="82">
        <v>584</v>
      </c>
      <c r="B592" s="57"/>
      <c r="C592" s="48"/>
      <c r="D592" s="57"/>
      <c r="E592" s="57"/>
      <c r="F592" s="57"/>
      <c r="G592" s="57"/>
      <c r="H592" s="57"/>
    </row>
    <row r="593" spans="1:8" ht="15.75" customHeight="1" x14ac:dyDescent="0.25">
      <c r="A593" s="81">
        <v>585</v>
      </c>
      <c r="B593" s="57"/>
      <c r="C593" s="48"/>
      <c r="D593" s="57"/>
      <c r="E593" s="57"/>
      <c r="F593" s="57"/>
      <c r="G593" s="57"/>
      <c r="H593" s="57"/>
    </row>
    <row r="594" spans="1:8" ht="15.75" customHeight="1" x14ac:dyDescent="0.25">
      <c r="A594" s="82">
        <v>586</v>
      </c>
      <c r="B594" s="57"/>
      <c r="C594" s="48"/>
      <c r="D594" s="57"/>
      <c r="E594" s="57"/>
      <c r="F594" s="57"/>
      <c r="G594" s="57"/>
      <c r="H594" s="57"/>
    </row>
    <row r="595" spans="1:8" ht="15.75" customHeight="1" x14ac:dyDescent="0.25">
      <c r="A595" s="81">
        <v>587</v>
      </c>
      <c r="B595" s="57"/>
      <c r="C595" s="48"/>
      <c r="D595" s="57"/>
      <c r="E595" s="57"/>
      <c r="F595" s="57"/>
      <c r="G595" s="57"/>
      <c r="H595" s="57"/>
    </row>
    <row r="596" spans="1:8" ht="15.75" customHeight="1" x14ac:dyDescent="0.25">
      <c r="A596" s="82">
        <v>588</v>
      </c>
      <c r="B596" s="57"/>
      <c r="C596" s="48"/>
      <c r="D596" s="57"/>
      <c r="E596" s="57"/>
      <c r="F596" s="57"/>
      <c r="G596" s="57"/>
      <c r="H596" s="57"/>
    </row>
    <row r="597" spans="1:8" ht="15.75" customHeight="1" x14ac:dyDescent="0.25">
      <c r="A597" s="81">
        <v>589</v>
      </c>
      <c r="B597" s="57"/>
      <c r="C597" s="48"/>
      <c r="D597" s="57"/>
      <c r="E597" s="57"/>
      <c r="F597" s="57"/>
      <c r="G597" s="57"/>
      <c r="H597" s="57"/>
    </row>
    <row r="598" spans="1:8" ht="15.75" customHeight="1" x14ac:dyDescent="0.25">
      <c r="A598" s="82">
        <v>590</v>
      </c>
      <c r="B598" s="57"/>
      <c r="C598" s="48"/>
      <c r="D598" s="57"/>
      <c r="E598" s="57"/>
      <c r="F598" s="57"/>
      <c r="G598" s="57"/>
      <c r="H598" s="57"/>
    </row>
    <row r="599" spans="1:8" ht="15.75" customHeight="1" x14ac:dyDescent="0.25">
      <c r="A599" s="81">
        <v>591</v>
      </c>
      <c r="B599" s="57"/>
      <c r="C599" s="48"/>
      <c r="D599" s="57"/>
      <c r="E599" s="57"/>
      <c r="F599" s="57"/>
      <c r="G599" s="57"/>
      <c r="H599" s="57"/>
    </row>
    <row r="600" spans="1:8" ht="15.75" customHeight="1" x14ac:dyDescent="0.25">
      <c r="A600" s="82">
        <v>592</v>
      </c>
      <c r="B600" s="57"/>
      <c r="C600" s="48"/>
      <c r="D600" s="57"/>
      <c r="E600" s="57"/>
      <c r="F600" s="57"/>
      <c r="G600" s="57"/>
      <c r="H600" s="57"/>
    </row>
    <row r="601" spans="1:8" ht="15.75" customHeight="1" x14ac:dyDescent="0.25">
      <c r="A601" s="81">
        <v>593</v>
      </c>
      <c r="B601" s="57"/>
      <c r="C601" s="48"/>
      <c r="D601" s="57"/>
      <c r="E601" s="57"/>
      <c r="F601" s="57"/>
      <c r="G601" s="57"/>
      <c r="H601" s="57"/>
    </row>
    <row r="602" spans="1:8" ht="15.75" customHeight="1" x14ac:dyDescent="0.25">
      <c r="A602" s="82">
        <v>594</v>
      </c>
      <c r="B602" s="57"/>
      <c r="C602" s="48"/>
      <c r="D602" s="57"/>
      <c r="E602" s="57"/>
      <c r="F602" s="57"/>
      <c r="G602" s="57"/>
      <c r="H602" s="57"/>
    </row>
    <row r="603" spans="1:8" ht="15.75" customHeight="1" x14ac:dyDescent="0.25">
      <c r="A603" s="81">
        <v>595</v>
      </c>
      <c r="B603" s="57"/>
      <c r="C603" s="48"/>
      <c r="D603" s="57"/>
      <c r="E603" s="57"/>
      <c r="F603" s="57"/>
      <c r="G603" s="57"/>
      <c r="H603" s="57"/>
    </row>
    <row r="604" spans="1:8" ht="15.75" customHeight="1" x14ac:dyDescent="0.25">
      <c r="A604" s="82">
        <v>596</v>
      </c>
      <c r="B604" s="57"/>
      <c r="C604" s="48"/>
      <c r="D604" s="57"/>
      <c r="E604" s="57"/>
      <c r="F604" s="57"/>
      <c r="G604" s="57"/>
      <c r="H604" s="57"/>
    </row>
    <row r="605" spans="1:8" ht="15.75" customHeight="1" x14ac:dyDescent="0.25">
      <c r="A605" s="81">
        <v>597</v>
      </c>
      <c r="B605" s="57"/>
      <c r="C605" s="48"/>
      <c r="D605" s="57"/>
      <c r="E605" s="57"/>
      <c r="F605" s="57"/>
      <c r="G605" s="57"/>
      <c r="H605" s="57"/>
    </row>
    <row r="606" spans="1:8" ht="15.75" customHeight="1" x14ac:dyDescent="0.25">
      <c r="A606" s="82">
        <v>598</v>
      </c>
      <c r="B606" s="57"/>
      <c r="C606" s="48"/>
      <c r="D606" s="57"/>
      <c r="E606" s="57"/>
      <c r="F606" s="57"/>
      <c r="G606" s="57"/>
      <c r="H606" s="57"/>
    </row>
    <row r="607" spans="1:8" ht="15.75" customHeight="1" x14ac:dyDescent="0.25">
      <c r="A607" s="81">
        <v>599</v>
      </c>
      <c r="B607" s="57"/>
      <c r="C607" s="48"/>
      <c r="D607" s="57"/>
      <c r="E607" s="57"/>
      <c r="F607" s="57"/>
      <c r="G607" s="57"/>
      <c r="H607" s="57"/>
    </row>
    <row r="608" spans="1:8" ht="15.75" customHeight="1" x14ac:dyDescent="0.25">
      <c r="A608" s="82">
        <v>600</v>
      </c>
      <c r="B608" s="57"/>
      <c r="C608" s="48"/>
      <c r="D608" s="57"/>
      <c r="E608" s="57"/>
      <c r="F608" s="57"/>
      <c r="G608" s="57"/>
      <c r="H608" s="57"/>
    </row>
    <row r="609" spans="1:8" ht="15.75" customHeight="1" x14ac:dyDescent="0.25">
      <c r="A609" s="81">
        <v>601</v>
      </c>
      <c r="B609" s="57"/>
      <c r="C609" s="48"/>
      <c r="D609" s="57"/>
      <c r="E609" s="57"/>
      <c r="F609" s="57"/>
      <c r="G609" s="57"/>
      <c r="H609" s="57"/>
    </row>
    <row r="610" spans="1:8" ht="15.75" customHeight="1" x14ac:dyDescent="0.25">
      <c r="A610" s="82">
        <v>602</v>
      </c>
      <c r="B610" s="57"/>
      <c r="C610" s="48"/>
      <c r="D610" s="57"/>
      <c r="E610" s="57"/>
      <c r="F610" s="57"/>
      <c r="G610" s="57"/>
      <c r="H610" s="57"/>
    </row>
    <row r="611" spans="1:8" ht="15.75" customHeight="1" x14ac:dyDescent="0.25">
      <c r="A611" s="81">
        <v>603</v>
      </c>
      <c r="B611" s="57"/>
      <c r="C611" s="48"/>
      <c r="D611" s="57"/>
      <c r="E611" s="57"/>
      <c r="F611" s="57"/>
      <c r="G611" s="57"/>
      <c r="H611" s="57"/>
    </row>
    <row r="612" spans="1:8" ht="15.75" customHeight="1" x14ac:dyDescent="0.25">
      <c r="A612" s="82">
        <v>604</v>
      </c>
      <c r="B612" s="57"/>
      <c r="C612" s="48"/>
      <c r="D612" s="57"/>
      <c r="E612" s="57"/>
      <c r="F612" s="57"/>
      <c r="G612" s="57"/>
      <c r="H612" s="57"/>
    </row>
    <row r="613" spans="1:8" ht="15.75" customHeight="1" x14ac:dyDescent="0.25">
      <c r="A613" s="81">
        <v>605</v>
      </c>
      <c r="B613" s="57"/>
      <c r="C613" s="48"/>
      <c r="D613" s="57"/>
      <c r="E613" s="57"/>
      <c r="F613" s="57"/>
      <c r="G613" s="57"/>
      <c r="H613" s="57"/>
    </row>
    <row r="614" spans="1:8" ht="15.75" customHeight="1" x14ac:dyDescent="0.25">
      <c r="A614" s="82">
        <v>606</v>
      </c>
      <c r="B614" s="57"/>
      <c r="C614" s="48"/>
      <c r="D614" s="57"/>
      <c r="E614" s="57"/>
      <c r="F614" s="57"/>
      <c r="G614" s="57"/>
      <c r="H614" s="57"/>
    </row>
    <row r="615" spans="1:8" ht="15.75" customHeight="1" x14ac:dyDescent="0.25">
      <c r="A615" s="81">
        <v>607</v>
      </c>
      <c r="B615" s="57"/>
      <c r="C615" s="48"/>
      <c r="D615" s="57"/>
      <c r="E615" s="57"/>
      <c r="F615" s="57"/>
      <c r="G615" s="57"/>
      <c r="H615" s="57"/>
    </row>
    <row r="616" spans="1:8" ht="15.75" customHeight="1" x14ac:dyDescent="0.25">
      <c r="A616" s="82">
        <v>608</v>
      </c>
      <c r="B616" s="57"/>
      <c r="C616" s="48"/>
      <c r="D616" s="57"/>
      <c r="E616" s="57"/>
      <c r="F616" s="57"/>
      <c r="G616" s="57"/>
      <c r="H616" s="57"/>
    </row>
    <row r="617" spans="1:8" ht="15.75" customHeight="1" x14ac:dyDescent="0.25">
      <c r="A617" s="81">
        <v>609</v>
      </c>
      <c r="B617" s="57"/>
      <c r="C617" s="48"/>
      <c r="D617" s="57"/>
      <c r="E617" s="57"/>
      <c r="F617" s="57"/>
      <c r="G617" s="57"/>
      <c r="H617" s="57"/>
    </row>
    <row r="618" spans="1:8" ht="15.75" customHeight="1" x14ac:dyDescent="0.25">
      <c r="A618" s="82">
        <v>610</v>
      </c>
      <c r="B618" s="57"/>
      <c r="C618" s="48"/>
      <c r="D618" s="57"/>
      <c r="E618" s="57"/>
      <c r="F618" s="57"/>
      <c r="G618" s="57"/>
      <c r="H618" s="57"/>
    </row>
    <row r="619" spans="1:8" ht="15.75" customHeight="1" x14ac:dyDescent="0.25">
      <c r="A619" s="81">
        <v>611</v>
      </c>
      <c r="B619" s="57"/>
      <c r="C619" s="48"/>
      <c r="D619" s="57"/>
      <c r="E619" s="57"/>
      <c r="F619" s="57"/>
      <c r="G619" s="57"/>
      <c r="H619" s="57"/>
    </row>
    <row r="620" spans="1:8" ht="15.75" customHeight="1" x14ac:dyDescent="0.25">
      <c r="A620" s="82">
        <v>612</v>
      </c>
      <c r="B620" s="57"/>
      <c r="C620" s="48"/>
      <c r="D620" s="57"/>
      <c r="E620" s="57"/>
      <c r="F620" s="57"/>
      <c r="G620" s="57"/>
      <c r="H620" s="57"/>
    </row>
    <row r="621" spans="1:8" ht="15.75" customHeight="1" x14ac:dyDescent="0.25">
      <c r="A621" s="81">
        <v>613</v>
      </c>
      <c r="B621" s="57"/>
      <c r="C621" s="48"/>
      <c r="D621" s="57"/>
      <c r="E621" s="57"/>
      <c r="F621" s="57"/>
      <c r="G621" s="57"/>
      <c r="H621" s="57"/>
    </row>
    <row r="622" spans="1:8" ht="15.75" customHeight="1" x14ac:dyDescent="0.25">
      <c r="A622" s="82">
        <v>614</v>
      </c>
      <c r="B622" s="57"/>
      <c r="C622" s="48"/>
      <c r="D622" s="57"/>
      <c r="E622" s="57"/>
      <c r="F622" s="57"/>
      <c r="G622" s="57"/>
      <c r="H622" s="57"/>
    </row>
    <row r="623" spans="1:8" ht="15.75" customHeight="1" x14ac:dyDescent="0.25">
      <c r="A623" s="81">
        <v>615</v>
      </c>
      <c r="B623" s="57"/>
      <c r="C623" s="48"/>
      <c r="D623" s="57"/>
      <c r="E623" s="57"/>
      <c r="F623" s="57"/>
      <c r="G623" s="57"/>
      <c r="H623" s="57"/>
    </row>
    <row r="624" spans="1:8" ht="15.75" customHeight="1" x14ac:dyDescent="0.25">
      <c r="A624" s="82">
        <v>616</v>
      </c>
      <c r="B624" s="57"/>
      <c r="C624" s="48"/>
      <c r="D624" s="57"/>
      <c r="E624" s="57"/>
      <c r="F624" s="57"/>
      <c r="G624" s="57"/>
      <c r="H624" s="57"/>
    </row>
    <row r="625" spans="1:8" ht="15.75" customHeight="1" x14ac:dyDescent="0.25">
      <c r="A625" s="81">
        <v>617</v>
      </c>
      <c r="B625" s="57"/>
      <c r="C625" s="48"/>
      <c r="D625" s="57"/>
      <c r="E625" s="57"/>
      <c r="F625" s="57"/>
      <c r="G625" s="57"/>
      <c r="H625" s="57"/>
    </row>
    <row r="626" spans="1:8" ht="15.75" customHeight="1" x14ac:dyDescent="0.25">
      <c r="A626" s="82">
        <v>618</v>
      </c>
      <c r="B626" s="57"/>
      <c r="C626" s="48"/>
      <c r="D626" s="57"/>
      <c r="E626" s="57"/>
      <c r="F626" s="57"/>
      <c r="G626" s="57"/>
      <c r="H626" s="57"/>
    </row>
    <row r="627" spans="1:8" ht="15.75" customHeight="1" x14ac:dyDescent="0.25">
      <c r="A627" s="81">
        <v>619</v>
      </c>
      <c r="B627" s="57"/>
      <c r="C627" s="48"/>
      <c r="D627" s="57"/>
      <c r="E627" s="57"/>
      <c r="F627" s="57"/>
      <c r="G627" s="57"/>
      <c r="H627" s="57"/>
    </row>
    <row r="628" spans="1:8" ht="15.75" customHeight="1" x14ac:dyDescent="0.25">
      <c r="A628" s="82">
        <v>620</v>
      </c>
      <c r="B628" s="57"/>
      <c r="C628" s="48"/>
      <c r="D628" s="57"/>
      <c r="E628" s="57"/>
      <c r="F628" s="57"/>
      <c r="G628" s="57"/>
      <c r="H628" s="57"/>
    </row>
    <row r="629" spans="1:8" ht="15.75" customHeight="1" x14ac:dyDescent="0.25">
      <c r="A629" s="81">
        <v>621</v>
      </c>
      <c r="B629" s="57"/>
      <c r="C629" s="48"/>
      <c r="D629" s="57"/>
      <c r="E629" s="57"/>
      <c r="F629" s="57"/>
      <c r="G629" s="57"/>
      <c r="H629" s="57"/>
    </row>
    <row r="630" spans="1:8" ht="15.75" customHeight="1" x14ac:dyDescent="0.25">
      <c r="A630" s="82">
        <v>622</v>
      </c>
      <c r="B630" s="57"/>
      <c r="C630" s="48"/>
      <c r="D630" s="57"/>
      <c r="E630" s="57"/>
      <c r="F630" s="57"/>
      <c r="G630" s="57"/>
      <c r="H630" s="57"/>
    </row>
    <row r="631" spans="1:8" ht="15.75" customHeight="1" x14ac:dyDescent="0.25">
      <c r="A631" s="81">
        <v>623</v>
      </c>
      <c r="B631" s="57"/>
      <c r="C631" s="48"/>
      <c r="D631" s="57"/>
      <c r="E631" s="57"/>
      <c r="F631" s="57"/>
      <c r="G631" s="57"/>
      <c r="H631" s="57"/>
    </row>
    <row r="632" spans="1:8" ht="15.75" customHeight="1" x14ac:dyDescent="0.25">
      <c r="A632" s="82">
        <v>624</v>
      </c>
      <c r="B632" s="57"/>
      <c r="C632" s="48"/>
      <c r="D632" s="57"/>
      <c r="E632" s="57"/>
      <c r="F632" s="57"/>
      <c r="G632" s="57"/>
      <c r="H632" s="57"/>
    </row>
    <row r="633" spans="1:8" ht="15.75" customHeight="1" x14ac:dyDescent="0.25">
      <c r="A633" s="81">
        <v>625</v>
      </c>
      <c r="B633" s="57"/>
      <c r="C633" s="48"/>
      <c r="D633" s="57"/>
      <c r="E633" s="57"/>
      <c r="F633" s="57"/>
      <c r="G633" s="57"/>
      <c r="H633" s="57"/>
    </row>
    <row r="634" spans="1:8" ht="15.75" customHeight="1" x14ac:dyDescent="0.25">
      <c r="A634" s="82">
        <v>626</v>
      </c>
      <c r="B634" s="57"/>
      <c r="C634" s="48"/>
      <c r="D634" s="57"/>
      <c r="E634" s="57"/>
      <c r="F634" s="57"/>
      <c r="G634" s="57"/>
      <c r="H634" s="57"/>
    </row>
    <row r="635" spans="1:8" ht="15.75" customHeight="1" x14ac:dyDescent="0.25">
      <c r="A635" s="81">
        <v>627</v>
      </c>
      <c r="B635" s="57"/>
      <c r="C635" s="48"/>
      <c r="D635" s="57"/>
      <c r="E635" s="57"/>
      <c r="F635" s="57"/>
      <c r="G635" s="57"/>
      <c r="H635" s="57"/>
    </row>
    <row r="636" spans="1:8" ht="15.75" customHeight="1" x14ac:dyDescent="0.25">
      <c r="A636" s="82">
        <v>628</v>
      </c>
      <c r="B636" s="57"/>
      <c r="C636" s="48"/>
      <c r="D636" s="57"/>
      <c r="E636" s="57"/>
      <c r="F636" s="57"/>
      <c r="G636" s="57"/>
      <c r="H636" s="57"/>
    </row>
    <row r="637" spans="1:8" ht="15.75" customHeight="1" x14ac:dyDescent="0.25">
      <c r="A637" s="81">
        <v>629</v>
      </c>
      <c r="B637" s="57"/>
      <c r="C637" s="48"/>
      <c r="D637" s="57"/>
      <c r="E637" s="57"/>
      <c r="F637" s="57"/>
      <c r="G637" s="57"/>
      <c r="H637" s="57"/>
    </row>
    <row r="638" spans="1:8" ht="15.75" customHeight="1" x14ac:dyDescent="0.25">
      <c r="A638" s="82">
        <v>630</v>
      </c>
      <c r="B638" s="57"/>
      <c r="C638" s="48"/>
      <c r="D638" s="57"/>
      <c r="E638" s="57"/>
      <c r="F638" s="57"/>
      <c r="G638" s="57"/>
      <c r="H638" s="57"/>
    </row>
    <row r="639" spans="1:8" ht="15.75" customHeight="1" x14ac:dyDescent="0.25">
      <c r="A639" s="81">
        <v>631</v>
      </c>
      <c r="B639" s="57"/>
      <c r="C639" s="48"/>
      <c r="D639" s="57"/>
      <c r="E639" s="57"/>
      <c r="F639" s="57"/>
      <c r="G639" s="57"/>
      <c r="H639" s="57"/>
    </row>
    <row r="640" spans="1:8" ht="15.75" customHeight="1" x14ac:dyDescent="0.25">
      <c r="A640" s="82">
        <v>632</v>
      </c>
      <c r="B640" s="57"/>
      <c r="C640" s="48"/>
      <c r="D640" s="57"/>
      <c r="E640" s="57"/>
      <c r="F640" s="57"/>
      <c r="G640" s="57"/>
      <c r="H640" s="57"/>
    </row>
    <row r="641" spans="1:8" ht="15.75" customHeight="1" x14ac:dyDescent="0.25">
      <c r="A641" s="81">
        <v>633</v>
      </c>
      <c r="B641" s="57"/>
      <c r="C641" s="48"/>
      <c r="D641" s="57"/>
      <c r="E641" s="57"/>
      <c r="F641" s="57"/>
      <c r="G641" s="57"/>
      <c r="H641" s="57"/>
    </row>
    <row r="642" spans="1:8" ht="15.75" customHeight="1" x14ac:dyDescent="0.25">
      <c r="A642" s="82">
        <v>634</v>
      </c>
      <c r="B642" s="57"/>
      <c r="C642" s="48"/>
      <c r="D642" s="57"/>
      <c r="E642" s="57"/>
      <c r="F642" s="57"/>
      <c r="G642" s="57"/>
      <c r="H642" s="57"/>
    </row>
    <row r="643" spans="1:8" ht="15.75" customHeight="1" x14ac:dyDescent="0.25">
      <c r="A643" s="81">
        <v>635</v>
      </c>
      <c r="B643" s="57"/>
      <c r="C643" s="48"/>
      <c r="D643" s="57"/>
      <c r="E643" s="57"/>
      <c r="F643" s="57"/>
      <c r="G643" s="57"/>
      <c r="H643" s="57"/>
    </row>
    <row r="644" spans="1:8" ht="15.75" customHeight="1" x14ac:dyDescent="0.25">
      <c r="A644" s="82">
        <v>636</v>
      </c>
      <c r="B644" s="57"/>
      <c r="C644" s="48"/>
      <c r="D644" s="57"/>
      <c r="E644" s="57"/>
      <c r="F644" s="57"/>
      <c r="G644" s="57"/>
      <c r="H644" s="57"/>
    </row>
    <row r="645" spans="1:8" ht="15.75" customHeight="1" x14ac:dyDescent="0.25">
      <c r="A645" s="81">
        <v>637</v>
      </c>
      <c r="B645" s="57"/>
      <c r="C645" s="48"/>
      <c r="D645" s="57"/>
      <c r="E645" s="57"/>
      <c r="F645" s="57"/>
      <c r="G645" s="57"/>
      <c r="H645" s="57"/>
    </row>
    <row r="646" spans="1:8" ht="15.75" customHeight="1" x14ac:dyDescent="0.25">
      <c r="A646" s="82">
        <v>638</v>
      </c>
      <c r="B646" s="57"/>
      <c r="C646" s="48"/>
      <c r="D646" s="57"/>
      <c r="E646" s="57"/>
      <c r="F646" s="57"/>
      <c r="G646" s="57"/>
      <c r="H646" s="57"/>
    </row>
    <row r="647" spans="1:8" ht="15.75" customHeight="1" x14ac:dyDescent="0.25">
      <c r="A647" s="81">
        <v>639</v>
      </c>
      <c r="B647" s="57"/>
      <c r="C647" s="48"/>
      <c r="D647" s="57"/>
      <c r="E647" s="57"/>
      <c r="F647" s="57"/>
      <c r="G647" s="57"/>
      <c r="H647" s="57"/>
    </row>
    <row r="648" spans="1:8" ht="15.75" customHeight="1" x14ac:dyDescent="0.25">
      <c r="A648" s="82">
        <v>640</v>
      </c>
      <c r="B648" s="57"/>
      <c r="C648" s="48"/>
      <c r="D648" s="57"/>
      <c r="E648" s="57"/>
      <c r="F648" s="57"/>
      <c r="G648" s="57"/>
      <c r="H648" s="57"/>
    </row>
    <row r="649" spans="1:8" ht="15.75" customHeight="1" x14ac:dyDescent="0.25">
      <c r="A649" s="81">
        <v>641</v>
      </c>
      <c r="B649" s="57"/>
      <c r="C649" s="48"/>
      <c r="D649" s="57"/>
      <c r="E649" s="57"/>
      <c r="F649" s="57"/>
      <c r="G649" s="57"/>
      <c r="H649" s="57"/>
    </row>
    <row r="650" spans="1:8" ht="15.75" customHeight="1" x14ac:dyDescent="0.25">
      <c r="A650" s="82">
        <v>642</v>
      </c>
      <c r="B650" s="57"/>
      <c r="C650" s="48"/>
      <c r="D650" s="57"/>
      <c r="E650" s="57"/>
      <c r="F650" s="57"/>
      <c r="G650" s="57"/>
      <c r="H650" s="57"/>
    </row>
    <row r="651" spans="1:8" ht="15.75" customHeight="1" x14ac:dyDescent="0.25">
      <c r="A651" s="81">
        <v>643</v>
      </c>
      <c r="B651" s="57"/>
      <c r="C651" s="48"/>
      <c r="D651" s="57"/>
      <c r="E651" s="57"/>
      <c r="F651" s="57"/>
      <c r="G651" s="57"/>
      <c r="H651" s="57"/>
    </row>
    <row r="652" spans="1:8" ht="15.75" customHeight="1" x14ac:dyDescent="0.25">
      <c r="A652" s="82">
        <v>644</v>
      </c>
      <c r="B652" s="57"/>
      <c r="C652" s="48"/>
      <c r="D652" s="57"/>
      <c r="E652" s="57"/>
      <c r="F652" s="57"/>
      <c r="G652" s="57"/>
      <c r="H652" s="57"/>
    </row>
    <row r="653" spans="1:8" ht="15.75" customHeight="1" x14ac:dyDescent="0.25">
      <c r="A653" s="81">
        <v>645</v>
      </c>
      <c r="B653" s="57"/>
      <c r="C653" s="48"/>
      <c r="D653" s="57"/>
      <c r="E653" s="57"/>
      <c r="F653" s="57"/>
      <c r="G653" s="57"/>
      <c r="H653" s="57"/>
    </row>
    <row r="654" spans="1:8" ht="15.75" customHeight="1" x14ac:dyDescent="0.25">
      <c r="A654" s="82">
        <v>646</v>
      </c>
      <c r="B654" s="57"/>
      <c r="C654" s="48"/>
      <c r="D654" s="57"/>
      <c r="E654" s="57"/>
      <c r="F654" s="57"/>
      <c r="G654" s="57"/>
      <c r="H654" s="57"/>
    </row>
    <row r="655" spans="1:8" ht="15.75" customHeight="1" x14ac:dyDescent="0.25">
      <c r="A655" s="81">
        <v>647</v>
      </c>
      <c r="B655" s="57"/>
      <c r="C655" s="48"/>
      <c r="D655" s="57"/>
      <c r="E655" s="57"/>
      <c r="F655" s="57"/>
      <c r="G655" s="57"/>
      <c r="H655" s="57"/>
    </row>
    <row r="656" spans="1:8" ht="15.75" customHeight="1" x14ac:dyDescent="0.25">
      <c r="A656" s="82">
        <v>648</v>
      </c>
      <c r="B656" s="57"/>
      <c r="C656" s="48"/>
      <c r="D656" s="57"/>
      <c r="E656" s="57"/>
      <c r="F656" s="57"/>
      <c r="G656" s="57"/>
      <c r="H656" s="57"/>
    </row>
    <row r="657" spans="1:8" ht="15.75" customHeight="1" x14ac:dyDescent="0.25">
      <c r="A657" s="81">
        <v>649</v>
      </c>
      <c r="B657" s="57"/>
      <c r="C657" s="48"/>
      <c r="D657" s="57"/>
      <c r="E657" s="57"/>
      <c r="F657" s="57"/>
      <c r="G657" s="57"/>
      <c r="H657" s="57"/>
    </row>
    <row r="658" spans="1:8" ht="15.75" customHeight="1" x14ac:dyDescent="0.25">
      <c r="A658" s="82">
        <v>650</v>
      </c>
      <c r="B658" s="57"/>
      <c r="C658" s="48"/>
      <c r="D658" s="57"/>
      <c r="E658" s="57"/>
      <c r="F658" s="57"/>
      <c r="G658" s="57"/>
      <c r="H658" s="57"/>
    </row>
    <row r="659" spans="1:8" ht="15.75" customHeight="1" x14ac:dyDescent="0.25">
      <c r="A659" s="81">
        <v>651</v>
      </c>
      <c r="B659" s="57"/>
      <c r="C659" s="48"/>
      <c r="D659" s="57"/>
      <c r="E659" s="57"/>
      <c r="F659" s="57"/>
      <c r="G659" s="57"/>
      <c r="H659" s="57"/>
    </row>
    <row r="660" spans="1:8" ht="15.75" customHeight="1" x14ac:dyDescent="0.25">
      <c r="A660" s="82">
        <v>652</v>
      </c>
      <c r="B660" s="57"/>
      <c r="C660" s="48"/>
      <c r="D660" s="57"/>
      <c r="E660" s="57"/>
      <c r="F660" s="57"/>
      <c r="G660" s="57"/>
      <c r="H660" s="57"/>
    </row>
    <row r="661" spans="1:8" ht="15.75" customHeight="1" x14ac:dyDescent="0.25">
      <c r="A661" s="81">
        <v>653</v>
      </c>
      <c r="B661" s="57"/>
      <c r="C661" s="48"/>
      <c r="D661" s="57"/>
      <c r="E661" s="57"/>
      <c r="F661" s="57"/>
      <c r="G661" s="57"/>
      <c r="H661" s="57"/>
    </row>
    <row r="662" spans="1:8" ht="15.75" customHeight="1" x14ac:dyDescent="0.25">
      <c r="A662" s="82">
        <v>654</v>
      </c>
      <c r="B662" s="57"/>
      <c r="C662" s="48"/>
      <c r="D662" s="57"/>
      <c r="E662" s="57"/>
      <c r="F662" s="57"/>
      <c r="G662" s="57"/>
      <c r="H662" s="57"/>
    </row>
    <row r="663" spans="1:8" ht="15.75" customHeight="1" x14ac:dyDescent="0.25">
      <c r="A663" s="81">
        <v>655</v>
      </c>
      <c r="B663" s="57"/>
      <c r="C663" s="48"/>
      <c r="D663" s="57"/>
      <c r="E663" s="57"/>
      <c r="F663" s="57"/>
      <c r="G663" s="57"/>
      <c r="H663" s="57"/>
    </row>
    <row r="664" spans="1:8" ht="15.75" customHeight="1" x14ac:dyDescent="0.25">
      <c r="A664" s="82">
        <v>656</v>
      </c>
      <c r="B664" s="57"/>
      <c r="C664" s="48"/>
      <c r="D664" s="57"/>
      <c r="E664" s="57"/>
      <c r="F664" s="57"/>
      <c r="G664" s="57"/>
      <c r="H664" s="57"/>
    </row>
    <row r="665" spans="1:8" ht="15.75" customHeight="1" x14ac:dyDescent="0.25">
      <c r="A665" s="81">
        <v>657</v>
      </c>
      <c r="B665" s="57"/>
      <c r="C665" s="48"/>
      <c r="D665" s="57"/>
      <c r="E665" s="57"/>
      <c r="F665" s="57"/>
      <c r="G665" s="57"/>
      <c r="H665" s="57"/>
    </row>
    <row r="666" spans="1:8" ht="15.75" customHeight="1" x14ac:dyDescent="0.25">
      <c r="A666" s="82">
        <v>658</v>
      </c>
      <c r="B666" s="57"/>
      <c r="C666" s="48"/>
      <c r="D666" s="57"/>
      <c r="E666" s="57"/>
      <c r="F666" s="57"/>
      <c r="G666" s="57"/>
      <c r="H666" s="57"/>
    </row>
    <row r="667" spans="1:8" ht="15.75" customHeight="1" x14ac:dyDescent="0.25">
      <c r="A667" s="81">
        <v>659</v>
      </c>
      <c r="B667" s="57"/>
      <c r="C667" s="48"/>
      <c r="D667" s="57"/>
      <c r="E667" s="57"/>
      <c r="F667" s="57"/>
      <c r="G667" s="57"/>
      <c r="H667" s="57"/>
    </row>
    <row r="668" spans="1:8" ht="15.75" customHeight="1" x14ac:dyDescent="0.25">
      <c r="A668" s="82">
        <v>660</v>
      </c>
      <c r="B668" s="57"/>
      <c r="C668" s="48"/>
      <c r="D668" s="57"/>
      <c r="E668" s="57"/>
      <c r="F668" s="57"/>
      <c r="G668" s="57"/>
      <c r="H668" s="57"/>
    </row>
    <row r="669" spans="1:8" ht="15.75" customHeight="1" x14ac:dyDescent="0.25">
      <c r="A669" s="81">
        <v>661</v>
      </c>
      <c r="B669" s="57"/>
      <c r="C669" s="48"/>
      <c r="D669" s="57"/>
      <c r="E669" s="57"/>
      <c r="F669" s="57"/>
      <c r="G669" s="57"/>
      <c r="H669" s="57"/>
    </row>
    <row r="670" spans="1:8" ht="15.75" customHeight="1" x14ac:dyDescent="0.25">
      <c r="A670" s="82">
        <v>662</v>
      </c>
      <c r="B670" s="57"/>
      <c r="C670" s="48"/>
      <c r="D670" s="57"/>
      <c r="E670" s="57"/>
      <c r="F670" s="57"/>
      <c r="G670" s="57"/>
      <c r="H670" s="57"/>
    </row>
    <row r="671" spans="1:8" ht="15.75" customHeight="1" x14ac:dyDescent="0.25">
      <c r="A671" s="81">
        <v>663</v>
      </c>
      <c r="B671" s="57"/>
      <c r="C671" s="48"/>
      <c r="D671" s="57"/>
      <c r="E671" s="57"/>
      <c r="F671" s="57"/>
      <c r="G671" s="57"/>
      <c r="H671" s="57"/>
    </row>
    <row r="672" spans="1:8" ht="15.75" customHeight="1" x14ac:dyDescent="0.25">
      <c r="A672" s="82">
        <v>664</v>
      </c>
      <c r="B672" s="57"/>
      <c r="C672" s="48"/>
      <c r="D672" s="57"/>
      <c r="E672" s="57"/>
      <c r="F672" s="57"/>
      <c r="G672" s="57"/>
      <c r="H672" s="57"/>
    </row>
    <row r="673" spans="1:8" ht="15.75" customHeight="1" x14ac:dyDescent="0.25">
      <c r="A673" s="81">
        <v>665</v>
      </c>
      <c r="B673" s="57"/>
      <c r="C673" s="48"/>
      <c r="D673" s="57"/>
      <c r="E673" s="57"/>
      <c r="F673" s="57"/>
      <c r="G673" s="57"/>
      <c r="H673" s="57"/>
    </row>
    <row r="674" spans="1:8" ht="15.75" customHeight="1" x14ac:dyDescent="0.25">
      <c r="A674" s="82">
        <v>666</v>
      </c>
      <c r="B674" s="57"/>
      <c r="C674" s="48"/>
      <c r="D674" s="57"/>
      <c r="E674" s="57"/>
      <c r="F674" s="57"/>
      <c r="G674" s="57"/>
      <c r="H674" s="57"/>
    </row>
    <row r="675" spans="1:8" ht="15.75" customHeight="1" x14ac:dyDescent="0.25">
      <c r="A675" s="81">
        <v>667</v>
      </c>
      <c r="B675" s="57"/>
      <c r="C675" s="48"/>
      <c r="D675" s="57"/>
      <c r="E675" s="57"/>
      <c r="F675" s="57"/>
      <c r="G675" s="57"/>
      <c r="H675" s="57"/>
    </row>
    <row r="676" spans="1:8" ht="15.75" customHeight="1" x14ac:dyDescent="0.25">
      <c r="A676" s="82">
        <v>668</v>
      </c>
      <c r="B676" s="57"/>
      <c r="C676" s="48"/>
      <c r="D676" s="57"/>
      <c r="E676" s="57"/>
      <c r="F676" s="57"/>
      <c r="G676" s="57"/>
      <c r="H676" s="57"/>
    </row>
    <row r="677" spans="1:8" ht="15.75" customHeight="1" x14ac:dyDescent="0.25">
      <c r="A677" s="81">
        <v>669</v>
      </c>
      <c r="B677" s="57"/>
      <c r="C677" s="48"/>
      <c r="D677" s="57"/>
      <c r="E677" s="57"/>
      <c r="F677" s="57"/>
      <c r="G677" s="57"/>
      <c r="H677" s="57"/>
    </row>
    <row r="678" spans="1:8" ht="15.75" customHeight="1" x14ac:dyDescent="0.25">
      <c r="A678" s="82">
        <v>670</v>
      </c>
      <c r="B678" s="57"/>
      <c r="C678" s="48"/>
      <c r="D678" s="57"/>
      <c r="E678" s="57"/>
      <c r="F678" s="57"/>
      <c r="G678" s="57"/>
      <c r="H678" s="57"/>
    </row>
    <row r="679" spans="1:8" ht="15.75" customHeight="1" x14ac:dyDescent="0.25">
      <c r="A679" s="81">
        <v>671</v>
      </c>
      <c r="B679" s="57"/>
      <c r="C679" s="48"/>
      <c r="D679" s="57"/>
      <c r="E679" s="57"/>
      <c r="F679" s="57"/>
      <c r="G679" s="57"/>
      <c r="H679" s="57"/>
    </row>
    <row r="680" spans="1:8" ht="15.75" customHeight="1" x14ac:dyDescent="0.25">
      <c r="A680" s="82">
        <v>672</v>
      </c>
      <c r="B680" s="57"/>
      <c r="C680" s="48"/>
      <c r="D680" s="57"/>
      <c r="E680" s="57"/>
      <c r="F680" s="57"/>
      <c r="G680" s="57"/>
      <c r="H680" s="57"/>
    </row>
    <row r="681" spans="1:8" ht="15.75" customHeight="1" x14ac:dyDescent="0.25">
      <c r="A681" s="81">
        <v>673</v>
      </c>
      <c r="B681" s="57"/>
      <c r="C681" s="48"/>
      <c r="D681" s="57"/>
      <c r="E681" s="57"/>
      <c r="F681" s="57"/>
      <c r="G681" s="57"/>
      <c r="H681" s="57"/>
    </row>
    <row r="682" spans="1:8" ht="15.75" customHeight="1" x14ac:dyDescent="0.25">
      <c r="A682" s="82">
        <v>674</v>
      </c>
      <c r="B682" s="57"/>
      <c r="C682" s="48"/>
      <c r="D682" s="57"/>
      <c r="E682" s="57"/>
      <c r="F682" s="57"/>
      <c r="G682" s="57"/>
      <c r="H682" s="57"/>
    </row>
    <row r="683" spans="1:8" ht="15.75" customHeight="1" x14ac:dyDescent="0.25">
      <c r="A683" s="81">
        <v>675</v>
      </c>
      <c r="B683" s="57"/>
      <c r="C683" s="48"/>
      <c r="D683" s="57"/>
      <c r="E683" s="57"/>
      <c r="F683" s="57"/>
      <c r="G683" s="57"/>
      <c r="H683" s="57"/>
    </row>
    <row r="684" spans="1:8" ht="15.75" customHeight="1" x14ac:dyDescent="0.25">
      <c r="A684" s="82">
        <v>676</v>
      </c>
      <c r="B684" s="57"/>
      <c r="C684" s="48"/>
      <c r="D684" s="57"/>
      <c r="E684" s="57"/>
      <c r="F684" s="57"/>
      <c r="G684" s="57"/>
      <c r="H684" s="57"/>
    </row>
    <row r="685" spans="1:8" ht="15.75" customHeight="1" x14ac:dyDescent="0.25">
      <c r="A685" s="81">
        <v>677</v>
      </c>
      <c r="B685" s="57"/>
      <c r="C685" s="48"/>
      <c r="D685" s="57"/>
      <c r="E685" s="57"/>
      <c r="F685" s="57"/>
      <c r="G685" s="57"/>
      <c r="H685" s="57"/>
    </row>
    <row r="686" spans="1:8" ht="15.75" customHeight="1" x14ac:dyDescent="0.25">
      <c r="A686" s="82">
        <v>678</v>
      </c>
      <c r="B686" s="57"/>
      <c r="C686" s="48"/>
      <c r="D686" s="57"/>
      <c r="E686" s="57"/>
      <c r="F686" s="57"/>
      <c r="G686" s="57"/>
      <c r="H686" s="57"/>
    </row>
    <row r="687" spans="1:8" ht="15.75" customHeight="1" x14ac:dyDescent="0.25">
      <c r="A687" s="81">
        <v>679</v>
      </c>
      <c r="B687" s="57"/>
      <c r="C687" s="48"/>
      <c r="D687" s="57"/>
      <c r="E687" s="57"/>
      <c r="F687" s="57"/>
      <c r="G687" s="57"/>
      <c r="H687" s="57"/>
    </row>
    <row r="688" spans="1:8" ht="15.75" customHeight="1" x14ac:dyDescent="0.25">
      <c r="A688" s="82">
        <v>680</v>
      </c>
      <c r="B688" s="57"/>
      <c r="C688" s="48"/>
      <c r="D688" s="57"/>
      <c r="E688" s="57"/>
      <c r="F688" s="57"/>
      <c r="G688" s="57"/>
      <c r="H688" s="57"/>
    </row>
    <row r="689" spans="1:8" ht="15.75" customHeight="1" x14ac:dyDescent="0.25">
      <c r="A689" s="81">
        <v>681</v>
      </c>
      <c r="B689" s="57"/>
      <c r="C689" s="48"/>
      <c r="D689" s="57"/>
      <c r="E689" s="57"/>
      <c r="F689" s="57"/>
      <c r="G689" s="57"/>
      <c r="H689" s="57"/>
    </row>
    <row r="690" spans="1:8" ht="15.75" customHeight="1" x14ac:dyDescent="0.25">
      <c r="A690" s="82">
        <v>682</v>
      </c>
      <c r="B690" s="57"/>
      <c r="C690" s="48"/>
      <c r="D690" s="57"/>
      <c r="E690" s="57"/>
      <c r="F690" s="57"/>
      <c r="G690" s="57"/>
      <c r="H690" s="57"/>
    </row>
    <row r="691" spans="1:8" ht="15.75" customHeight="1" x14ac:dyDescent="0.25">
      <c r="A691" s="81">
        <v>683</v>
      </c>
      <c r="B691" s="57"/>
      <c r="C691" s="48"/>
      <c r="D691" s="57"/>
      <c r="E691" s="57"/>
      <c r="F691" s="57"/>
      <c r="G691" s="57"/>
      <c r="H691" s="57"/>
    </row>
    <row r="692" spans="1:8" ht="15.75" customHeight="1" x14ac:dyDescent="0.25">
      <c r="A692" s="82">
        <v>684</v>
      </c>
      <c r="B692" s="57"/>
      <c r="C692" s="48"/>
      <c r="D692" s="57"/>
      <c r="E692" s="57"/>
      <c r="F692" s="57"/>
      <c r="G692" s="57"/>
      <c r="H692" s="57"/>
    </row>
    <row r="693" spans="1:8" ht="15.75" customHeight="1" x14ac:dyDescent="0.25">
      <c r="A693" s="81">
        <v>685</v>
      </c>
      <c r="B693" s="57"/>
      <c r="C693" s="48"/>
      <c r="D693" s="57"/>
      <c r="E693" s="57"/>
      <c r="F693" s="57"/>
      <c r="G693" s="57"/>
      <c r="H693" s="57"/>
    </row>
    <row r="694" spans="1:8" ht="15.75" customHeight="1" x14ac:dyDescent="0.25">
      <c r="A694" s="82">
        <v>686</v>
      </c>
      <c r="B694" s="57"/>
      <c r="C694" s="48"/>
      <c r="D694" s="57"/>
      <c r="E694" s="57"/>
      <c r="F694" s="57"/>
      <c r="G694" s="57"/>
      <c r="H694" s="57"/>
    </row>
    <row r="695" spans="1:8" ht="15.75" customHeight="1" x14ac:dyDescent="0.25">
      <c r="A695" s="81">
        <v>687</v>
      </c>
      <c r="B695" s="57"/>
      <c r="C695" s="48"/>
      <c r="D695" s="57"/>
      <c r="E695" s="57"/>
      <c r="F695" s="57"/>
      <c r="G695" s="57"/>
      <c r="H695" s="57"/>
    </row>
    <row r="696" spans="1:8" ht="15.75" customHeight="1" x14ac:dyDescent="0.25">
      <c r="A696" s="82">
        <v>688</v>
      </c>
      <c r="B696" s="57"/>
      <c r="C696" s="48"/>
      <c r="D696" s="57"/>
      <c r="E696" s="57"/>
      <c r="F696" s="57"/>
      <c r="G696" s="57"/>
      <c r="H696" s="57"/>
    </row>
    <row r="697" spans="1:8" ht="15.75" customHeight="1" x14ac:dyDescent="0.25">
      <c r="A697" s="81">
        <v>689</v>
      </c>
      <c r="B697" s="57"/>
      <c r="C697" s="48"/>
      <c r="D697" s="57"/>
      <c r="E697" s="57"/>
      <c r="F697" s="57"/>
      <c r="G697" s="57"/>
      <c r="H697" s="57"/>
    </row>
    <row r="698" spans="1:8" ht="15.75" customHeight="1" x14ac:dyDescent="0.25">
      <c r="A698" s="82">
        <v>690</v>
      </c>
      <c r="B698" s="57"/>
      <c r="C698" s="48"/>
      <c r="D698" s="57"/>
      <c r="E698" s="57"/>
      <c r="F698" s="57"/>
      <c r="G698" s="57"/>
      <c r="H698" s="57"/>
    </row>
    <row r="699" spans="1:8" ht="15.75" customHeight="1" x14ac:dyDescent="0.2">
      <c r="A699" s="81">
        <v>691</v>
      </c>
    </row>
    <row r="700" spans="1:8" ht="15.75" customHeight="1" x14ac:dyDescent="0.2">
      <c r="A700" s="82">
        <v>692</v>
      </c>
    </row>
    <row r="701" spans="1:8" ht="15.75" customHeight="1" x14ac:dyDescent="0.2">
      <c r="A701" s="81">
        <v>693</v>
      </c>
    </row>
    <row r="702" spans="1:8" ht="15.75" customHeight="1" x14ac:dyDescent="0.2">
      <c r="A702" s="82">
        <v>694</v>
      </c>
    </row>
    <row r="703" spans="1:8" ht="15.75" customHeight="1" x14ac:dyDescent="0.2">
      <c r="A703" s="81">
        <v>695</v>
      </c>
    </row>
    <row r="704" spans="1:8" ht="15.75" customHeight="1" x14ac:dyDescent="0.2">
      <c r="A704" s="82">
        <v>696</v>
      </c>
    </row>
    <row r="705" spans="1:1" ht="15.75" customHeight="1" x14ac:dyDescent="0.2">
      <c r="A705" s="81">
        <v>697</v>
      </c>
    </row>
    <row r="706" spans="1:1" ht="15.75" customHeight="1" x14ac:dyDescent="0.2">
      <c r="A706" s="82">
        <v>698</v>
      </c>
    </row>
    <row r="707" spans="1:1" ht="15.75" customHeight="1" x14ac:dyDescent="0.2">
      <c r="A707" s="81">
        <v>699</v>
      </c>
    </row>
    <row r="708" spans="1:1" ht="15.75" customHeight="1" x14ac:dyDescent="0.2">
      <c r="A708" s="82">
        <v>700</v>
      </c>
    </row>
    <row r="709" spans="1:1" ht="15.75" customHeight="1" x14ac:dyDescent="0.2">
      <c r="A709" s="81">
        <v>701</v>
      </c>
    </row>
    <row r="710" spans="1:1" ht="15.75" customHeight="1" x14ac:dyDescent="0.2">
      <c r="A710" s="82">
        <v>702</v>
      </c>
    </row>
    <row r="711" spans="1:1" ht="15.75" customHeight="1" x14ac:dyDescent="0.2">
      <c r="A711" s="81">
        <v>703</v>
      </c>
    </row>
    <row r="712" spans="1:1" ht="15.75" customHeight="1" x14ac:dyDescent="0.2">
      <c r="A712" s="82">
        <v>704</v>
      </c>
    </row>
    <row r="713" spans="1:1" ht="15.75" customHeight="1" x14ac:dyDescent="0.2">
      <c r="A713" s="81">
        <v>705</v>
      </c>
    </row>
    <row r="714" spans="1:1" ht="15.75" customHeight="1" x14ac:dyDescent="0.2">
      <c r="A714" s="82">
        <v>706</v>
      </c>
    </row>
    <row r="715" spans="1:1" ht="15.75" customHeight="1" x14ac:dyDescent="0.2">
      <c r="A715" s="81">
        <v>707</v>
      </c>
    </row>
    <row r="716" spans="1:1" ht="15.75" customHeight="1" x14ac:dyDescent="0.2">
      <c r="A716" s="82">
        <v>708</v>
      </c>
    </row>
    <row r="717" spans="1:1" ht="15.75" customHeight="1" x14ac:dyDescent="0.2">
      <c r="A717" s="81">
        <v>709</v>
      </c>
    </row>
    <row r="718" spans="1:1" ht="15.75" customHeight="1" x14ac:dyDescent="0.2">
      <c r="A718" s="82">
        <v>710</v>
      </c>
    </row>
    <row r="719" spans="1:1" ht="15.75" customHeight="1" x14ac:dyDescent="0.2">
      <c r="A719" s="81">
        <v>711</v>
      </c>
    </row>
    <row r="720" spans="1:1" ht="15.75" customHeight="1" x14ac:dyDescent="0.2">
      <c r="A720" s="82">
        <v>712</v>
      </c>
    </row>
    <row r="721" spans="1:1" ht="15.75" customHeight="1" x14ac:dyDescent="0.2">
      <c r="A721" s="81">
        <v>713</v>
      </c>
    </row>
    <row r="722" spans="1:1" ht="15.75" customHeight="1" x14ac:dyDescent="0.2">
      <c r="A722" s="82">
        <v>714</v>
      </c>
    </row>
    <row r="723" spans="1:1" ht="15.75" customHeight="1" x14ac:dyDescent="0.2">
      <c r="A723" s="81">
        <v>715</v>
      </c>
    </row>
    <row r="724" spans="1:1" ht="15.75" customHeight="1" x14ac:dyDescent="0.2">
      <c r="A724" s="82">
        <v>716</v>
      </c>
    </row>
    <row r="725" spans="1:1" ht="15.75" customHeight="1" x14ac:dyDescent="0.2">
      <c r="A725" s="81">
        <v>717</v>
      </c>
    </row>
    <row r="726" spans="1:1" ht="15.75" customHeight="1" x14ac:dyDescent="0.2">
      <c r="A726" s="82">
        <v>718</v>
      </c>
    </row>
    <row r="727" spans="1:1" ht="15.75" customHeight="1" x14ac:dyDescent="0.2">
      <c r="A727" s="81">
        <v>719</v>
      </c>
    </row>
    <row r="728" spans="1:1" ht="15.75" customHeight="1" x14ac:dyDescent="0.2">
      <c r="A728" s="82">
        <v>720</v>
      </c>
    </row>
    <row r="729" spans="1:1" ht="15.75" customHeight="1" x14ac:dyDescent="0.2">
      <c r="A729" s="81">
        <v>721</v>
      </c>
    </row>
    <row r="730" spans="1:1" ht="15.75" customHeight="1" x14ac:dyDescent="0.2">
      <c r="A730" s="82">
        <v>722</v>
      </c>
    </row>
    <row r="731" spans="1:1" ht="15.75" customHeight="1" x14ac:dyDescent="0.2">
      <c r="A731" s="81">
        <v>723</v>
      </c>
    </row>
    <row r="732" spans="1:1" ht="15.75" customHeight="1" x14ac:dyDescent="0.2">
      <c r="A732" s="82">
        <v>724</v>
      </c>
    </row>
    <row r="733" spans="1:1" ht="15.75" customHeight="1" x14ac:dyDescent="0.2">
      <c r="A733" s="81">
        <v>725</v>
      </c>
    </row>
    <row r="734" spans="1:1" ht="15.75" customHeight="1" x14ac:dyDescent="0.2">
      <c r="A734" s="82">
        <v>726</v>
      </c>
    </row>
    <row r="735" spans="1:1" ht="15.75" customHeight="1" x14ac:dyDescent="0.2">
      <c r="A735" s="81">
        <v>727</v>
      </c>
    </row>
    <row r="736" spans="1:1" ht="15.75" customHeight="1" x14ac:dyDescent="0.2">
      <c r="A736" s="82">
        <v>728</v>
      </c>
    </row>
    <row r="737" spans="1:1" ht="15.75" customHeight="1" x14ac:dyDescent="0.2">
      <c r="A737" s="81">
        <v>729</v>
      </c>
    </row>
    <row r="738" spans="1:1" ht="15.75" customHeight="1" x14ac:dyDescent="0.2">
      <c r="A738" s="82">
        <v>730</v>
      </c>
    </row>
    <row r="739" spans="1:1" ht="15.75" customHeight="1" x14ac:dyDescent="0.2">
      <c r="A739" s="81">
        <v>731</v>
      </c>
    </row>
    <row r="740" spans="1:1" ht="15.75" customHeight="1" x14ac:dyDescent="0.2">
      <c r="A740" s="82">
        <v>732</v>
      </c>
    </row>
    <row r="741" spans="1:1" ht="15.75" customHeight="1" x14ac:dyDescent="0.2">
      <c r="A741" s="81">
        <v>733</v>
      </c>
    </row>
    <row r="742" spans="1:1" ht="15.75" customHeight="1" x14ac:dyDescent="0.2">
      <c r="A742" s="82">
        <v>734</v>
      </c>
    </row>
    <row r="743" spans="1:1" ht="15.75" customHeight="1" x14ac:dyDescent="0.2">
      <c r="A743" s="81">
        <v>735</v>
      </c>
    </row>
    <row r="744" spans="1:1" ht="15.75" customHeight="1" x14ac:dyDescent="0.2">
      <c r="A744" s="82">
        <v>736</v>
      </c>
    </row>
    <row r="745" spans="1:1" ht="15.75" customHeight="1" x14ac:dyDescent="0.2">
      <c r="A745" s="81">
        <v>737</v>
      </c>
    </row>
    <row r="746" spans="1:1" ht="15.75" customHeight="1" x14ac:dyDescent="0.2">
      <c r="A746" s="82">
        <v>738</v>
      </c>
    </row>
    <row r="747" spans="1:1" ht="15.75" customHeight="1" x14ac:dyDescent="0.2">
      <c r="A747" s="81">
        <v>739</v>
      </c>
    </row>
    <row r="748" spans="1:1" ht="15.75" customHeight="1" x14ac:dyDescent="0.2">
      <c r="A748" s="82">
        <v>740</v>
      </c>
    </row>
    <row r="749" spans="1:1" ht="15.75" customHeight="1" x14ac:dyDescent="0.2">
      <c r="A749" s="81">
        <v>741</v>
      </c>
    </row>
    <row r="750" spans="1:1" ht="15.75" customHeight="1" x14ac:dyDescent="0.2">
      <c r="A750" s="82">
        <v>742</v>
      </c>
    </row>
    <row r="751" spans="1:1" ht="15.75" customHeight="1" x14ac:dyDescent="0.2">
      <c r="A751" s="81">
        <v>743</v>
      </c>
    </row>
    <row r="752" spans="1:1" ht="15.75" customHeight="1" x14ac:dyDescent="0.2">
      <c r="A752" s="82">
        <v>744</v>
      </c>
    </row>
    <row r="753" spans="1:1" ht="15.75" customHeight="1" x14ac:dyDescent="0.2">
      <c r="A753" s="81">
        <v>745</v>
      </c>
    </row>
    <row r="754" spans="1:1" ht="15.75" customHeight="1" x14ac:dyDescent="0.2">
      <c r="A754" s="82">
        <v>746</v>
      </c>
    </row>
    <row r="755" spans="1:1" ht="15.75" customHeight="1" x14ac:dyDescent="0.2">
      <c r="A755" s="81">
        <v>747</v>
      </c>
    </row>
    <row r="756" spans="1:1" ht="15.75" customHeight="1" x14ac:dyDescent="0.2">
      <c r="A756" s="82">
        <v>748</v>
      </c>
    </row>
    <row r="757" spans="1:1" ht="15.75" customHeight="1" x14ac:dyDescent="0.2">
      <c r="A757" s="81">
        <v>749</v>
      </c>
    </row>
    <row r="758" spans="1:1" ht="15.75" customHeight="1" x14ac:dyDescent="0.2">
      <c r="A758" s="82">
        <v>750</v>
      </c>
    </row>
    <row r="759" spans="1:1" ht="15.75" customHeight="1" x14ac:dyDescent="0.2">
      <c r="A759" s="81">
        <v>751</v>
      </c>
    </row>
    <row r="760" spans="1:1" ht="15.75" customHeight="1" x14ac:dyDescent="0.2">
      <c r="A760" s="82">
        <v>752</v>
      </c>
    </row>
    <row r="761" spans="1:1" ht="15.75" customHeight="1" x14ac:dyDescent="0.2">
      <c r="A761" s="81">
        <v>753</v>
      </c>
    </row>
    <row r="762" spans="1:1" ht="15.75" customHeight="1" x14ac:dyDescent="0.2">
      <c r="A762" s="82">
        <v>754</v>
      </c>
    </row>
    <row r="763" spans="1:1" ht="15.75" customHeight="1" x14ac:dyDescent="0.2">
      <c r="A763" s="81">
        <v>755</v>
      </c>
    </row>
    <row r="764" spans="1:1" ht="15.75" customHeight="1" x14ac:dyDescent="0.2">
      <c r="A764" s="82">
        <v>756</v>
      </c>
    </row>
    <row r="765" spans="1:1" ht="15.75" customHeight="1" x14ac:dyDescent="0.2">
      <c r="A765" s="81">
        <v>757</v>
      </c>
    </row>
    <row r="766" spans="1:1" ht="15.75" customHeight="1" x14ac:dyDescent="0.2">
      <c r="A766" s="82">
        <v>758</v>
      </c>
    </row>
    <row r="767" spans="1:1" ht="15.75" customHeight="1" x14ac:dyDescent="0.2">
      <c r="A767" s="81">
        <v>759</v>
      </c>
    </row>
    <row r="768" spans="1:1" ht="15.75" customHeight="1" x14ac:dyDescent="0.2">
      <c r="A768" s="82">
        <v>760</v>
      </c>
    </row>
    <row r="769" spans="1:1" ht="15.75" customHeight="1" x14ac:dyDescent="0.2">
      <c r="A769" s="81">
        <v>761</v>
      </c>
    </row>
    <row r="770" spans="1:1" ht="15.75" customHeight="1" x14ac:dyDescent="0.2">
      <c r="A770" s="82">
        <v>762</v>
      </c>
    </row>
    <row r="771" spans="1:1" ht="15.75" customHeight="1" x14ac:dyDescent="0.2">
      <c r="A771" s="81">
        <v>763</v>
      </c>
    </row>
    <row r="772" spans="1:1" ht="15.75" customHeight="1" x14ac:dyDescent="0.2">
      <c r="A772" s="82">
        <v>764</v>
      </c>
    </row>
    <row r="773" spans="1:1" ht="15.75" customHeight="1" x14ac:dyDescent="0.2">
      <c r="A773" s="81">
        <v>765</v>
      </c>
    </row>
    <row r="774" spans="1:1" ht="15.75" customHeight="1" x14ac:dyDescent="0.2">
      <c r="A774" s="82">
        <v>766</v>
      </c>
    </row>
    <row r="775" spans="1:1" ht="15.75" customHeight="1" x14ac:dyDescent="0.2">
      <c r="A775" s="81">
        <v>767</v>
      </c>
    </row>
    <row r="776" spans="1:1" ht="15.75" customHeight="1" x14ac:dyDescent="0.2">
      <c r="A776" s="82">
        <v>768</v>
      </c>
    </row>
    <row r="777" spans="1:1" ht="15.75" customHeight="1" x14ac:dyDescent="0.2">
      <c r="A777" s="81">
        <v>769</v>
      </c>
    </row>
    <row r="778" spans="1:1" ht="15.75" customHeight="1" x14ac:dyDescent="0.2">
      <c r="A778" s="82">
        <v>770</v>
      </c>
    </row>
    <row r="779" spans="1:1" ht="15.75" customHeight="1" x14ac:dyDescent="0.2">
      <c r="A779" s="81">
        <v>771</v>
      </c>
    </row>
    <row r="780" spans="1:1" ht="15.75" customHeight="1" x14ac:dyDescent="0.2">
      <c r="A780" s="82">
        <v>772</v>
      </c>
    </row>
    <row r="781" spans="1:1" ht="15.75" customHeight="1" x14ac:dyDescent="0.2">
      <c r="A781" s="81">
        <v>773</v>
      </c>
    </row>
    <row r="782" spans="1:1" ht="15.75" customHeight="1" x14ac:dyDescent="0.2">
      <c r="A782" s="82">
        <v>774</v>
      </c>
    </row>
    <row r="783" spans="1:1" ht="15.75" customHeight="1" x14ac:dyDescent="0.2">
      <c r="A783" s="81">
        <v>775</v>
      </c>
    </row>
    <row r="784" spans="1:1" ht="15.75" customHeight="1" x14ac:dyDescent="0.2">
      <c r="A784" s="82">
        <v>776</v>
      </c>
    </row>
    <row r="785" spans="1:1" ht="15.75" customHeight="1" x14ac:dyDescent="0.2">
      <c r="A785" s="81">
        <v>777</v>
      </c>
    </row>
    <row r="786" spans="1:1" ht="15.75" customHeight="1" x14ac:dyDescent="0.2">
      <c r="A786" s="82">
        <v>778</v>
      </c>
    </row>
    <row r="787" spans="1:1" ht="15.75" customHeight="1" x14ac:dyDescent="0.2">
      <c r="A787" s="81">
        <v>779</v>
      </c>
    </row>
    <row r="788" spans="1:1" ht="15.75" customHeight="1" x14ac:dyDescent="0.2">
      <c r="A788" s="82">
        <v>780</v>
      </c>
    </row>
    <row r="789" spans="1:1" ht="15.75" customHeight="1" x14ac:dyDescent="0.2">
      <c r="A789" s="81">
        <v>781</v>
      </c>
    </row>
    <row r="790" spans="1:1" ht="15.75" customHeight="1" x14ac:dyDescent="0.2">
      <c r="A790" s="82">
        <v>782</v>
      </c>
    </row>
    <row r="791" spans="1:1" ht="15.75" customHeight="1" x14ac:dyDescent="0.2">
      <c r="A791" s="81">
        <v>783</v>
      </c>
    </row>
    <row r="792" spans="1:1" ht="15.75" customHeight="1" x14ac:dyDescent="0.2">
      <c r="A792" s="82">
        <v>784</v>
      </c>
    </row>
    <row r="793" spans="1:1" ht="15.75" customHeight="1" x14ac:dyDescent="0.2">
      <c r="A793" s="81">
        <v>785</v>
      </c>
    </row>
    <row r="794" spans="1:1" ht="15.75" customHeight="1" x14ac:dyDescent="0.2">
      <c r="A794" s="82">
        <v>786</v>
      </c>
    </row>
    <row r="795" spans="1:1" ht="15.75" customHeight="1" x14ac:dyDescent="0.2">
      <c r="A795" s="81">
        <v>787</v>
      </c>
    </row>
    <row r="796" spans="1:1" ht="15.75" customHeight="1" x14ac:dyDescent="0.2">
      <c r="A796" s="82">
        <v>788</v>
      </c>
    </row>
    <row r="797" spans="1:1" ht="15.75" customHeight="1" x14ac:dyDescent="0.2">
      <c r="A797" s="81">
        <v>789</v>
      </c>
    </row>
    <row r="798" spans="1:1" ht="15.75" customHeight="1" x14ac:dyDescent="0.2">
      <c r="A798" s="82">
        <v>790</v>
      </c>
    </row>
    <row r="799" spans="1:1" ht="15.75" customHeight="1" x14ac:dyDescent="0.2">
      <c r="A799" s="81">
        <v>791</v>
      </c>
    </row>
    <row r="800" spans="1:1" ht="15.75" customHeight="1" x14ac:dyDescent="0.2">
      <c r="A800" s="82">
        <v>792</v>
      </c>
    </row>
    <row r="801" spans="1:1" ht="15.75" customHeight="1" x14ac:dyDescent="0.2">
      <c r="A801" s="81">
        <v>793</v>
      </c>
    </row>
    <row r="802" spans="1:1" ht="15.75" customHeight="1" x14ac:dyDescent="0.2">
      <c r="A802" s="82">
        <v>794</v>
      </c>
    </row>
    <row r="803" spans="1:1" ht="15.75" customHeight="1" x14ac:dyDescent="0.2">
      <c r="A803" s="81">
        <v>795</v>
      </c>
    </row>
    <row r="804" spans="1:1" ht="15.75" customHeight="1" x14ac:dyDescent="0.2">
      <c r="A804" s="82">
        <v>796</v>
      </c>
    </row>
    <row r="805" spans="1:1" ht="15.75" customHeight="1" x14ac:dyDescent="0.2">
      <c r="A805" s="81">
        <v>797</v>
      </c>
    </row>
    <row r="806" spans="1:1" ht="15.75" customHeight="1" x14ac:dyDescent="0.2">
      <c r="A806" s="82">
        <v>798</v>
      </c>
    </row>
    <row r="807" spans="1:1" ht="15.75" customHeight="1" x14ac:dyDescent="0.2">
      <c r="A807" s="81">
        <v>799</v>
      </c>
    </row>
    <row r="808" spans="1:1" ht="15.75" customHeight="1" x14ac:dyDescent="0.2">
      <c r="A808" s="82">
        <v>800</v>
      </c>
    </row>
    <row r="809" spans="1:1" ht="15.75" customHeight="1" x14ac:dyDescent="0.2">
      <c r="A809" s="81">
        <v>801</v>
      </c>
    </row>
    <row r="810" spans="1:1" ht="15.75" customHeight="1" x14ac:dyDescent="0.2">
      <c r="A810" s="82">
        <v>802</v>
      </c>
    </row>
    <row r="811" spans="1:1" ht="15.75" customHeight="1" x14ac:dyDescent="0.2">
      <c r="A811" s="81">
        <v>803</v>
      </c>
    </row>
    <row r="812" spans="1:1" ht="15.75" customHeight="1" x14ac:dyDescent="0.2">
      <c r="A812" s="82">
        <v>804</v>
      </c>
    </row>
    <row r="813" spans="1:1" ht="15.75" customHeight="1" x14ac:dyDescent="0.2">
      <c r="A813" s="81">
        <v>805</v>
      </c>
    </row>
    <row r="814" spans="1:1" ht="15.75" customHeight="1" x14ac:dyDescent="0.2">
      <c r="A814" s="82">
        <v>806</v>
      </c>
    </row>
    <row r="815" spans="1:1" ht="15.75" customHeight="1" x14ac:dyDescent="0.2">
      <c r="A815" s="81">
        <v>807</v>
      </c>
    </row>
    <row r="816" spans="1:1" ht="15.75" customHeight="1" x14ac:dyDescent="0.2">
      <c r="A816" s="82">
        <v>808</v>
      </c>
    </row>
    <row r="817" spans="1:1" ht="15.75" customHeight="1" x14ac:dyDescent="0.2">
      <c r="A817" s="81">
        <v>809</v>
      </c>
    </row>
    <row r="818" spans="1:1" ht="15.75" customHeight="1" x14ac:dyDescent="0.2">
      <c r="A818" s="82">
        <v>810</v>
      </c>
    </row>
    <row r="819" spans="1:1" ht="15.75" customHeight="1" x14ac:dyDescent="0.2">
      <c r="A819" s="81">
        <v>811</v>
      </c>
    </row>
    <row r="820" spans="1:1" ht="15.75" customHeight="1" x14ac:dyDescent="0.2">
      <c r="A820" s="82">
        <v>812</v>
      </c>
    </row>
    <row r="821" spans="1:1" ht="15.75" customHeight="1" x14ac:dyDescent="0.2">
      <c r="A821" s="81">
        <v>813</v>
      </c>
    </row>
    <row r="822" spans="1:1" ht="15.75" customHeight="1" x14ac:dyDescent="0.2">
      <c r="A822" s="82">
        <v>814</v>
      </c>
    </row>
    <row r="823" spans="1:1" ht="15.75" customHeight="1" x14ac:dyDescent="0.2">
      <c r="A823" s="81">
        <v>815</v>
      </c>
    </row>
    <row r="824" spans="1:1" ht="15.75" customHeight="1" x14ac:dyDescent="0.2">
      <c r="A824" s="82">
        <v>816</v>
      </c>
    </row>
    <row r="825" spans="1:1" ht="15.75" customHeight="1" x14ac:dyDescent="0.2">
      <c r="A825" s="81">
        <v>817</v>
      </c>
    </row>
    <row r="826" spans="1:1" ht="15.75" customHeight="1" x14ac:dyDescent="0.2">
      <c r="A826" s="82">
        <v>818</v>
      </c>
    </row>
    <row r="827" spans="1:1" ht="15.75" customHeight="1" x14ac:dyDescent="0.2">
      <c r="A827" s="81">
        <v>819</v>
      </c>
    </row>
    <row r="828" spans="1:1" ht="15.75" customHeight="1" x14ac:dyDescent="0.2">
      <c r="A828" s="82">
        <v>820</v>
      </c>
    </row>
    <row r="829" spans="1:1" ht="15.75" customHeight="1" x14ac:dyDescent="0.2">
      <c r="A829" s="81">
        <v>821</v>
      </c>
    </row>
    <row r="830" spans="1:1" ht="15.75" customHeight="1" x14ac:dyDescent="0.2">
      <c r="A830" s="82">
        <v>822</v>
      </c>
    </row>
    <row r="831" spans="1:1" ht="15.75" customHeight="1" x14ac:dyDescent="0.2">
      <c r="A831" s="81">
        <v>823</v>
      </c>
    </row>
    <row r="832" spans="1:1" ht="15.75" customHeight="1" x14ac:dyDescent="0.2">
      <c r="A832" s="82">
        <v>824</v>
      </c>
    </row>
    <row r="833" spans="1:1" ht="15.75" customHeight="1" x14ac:dyDescent="0.2">
      <c r="A833" s="81">
        <v>825</v>
      </c>
    </row>
    <row r="834" spans="1:1" ht="15.75" customHeight="1" x14ac:dyDescent="0.2">
      <c r="A834" s="82">
        <v>826</v>
      </c>
    </row>
    <row r="835" spans="1:1" ht="15.75" customHeight="1" x14ac:dyDescent="0.2">
      <c r="A835" s="81">
        <v>827</v>
      </c>
    </row>
    <row r="836" spans="1:1" ht="15.75" customHeight="1" x14ac:dyDescent="0.2">
      <c r="A836" s="82">
        <v>828</v>
      </c>
    </row>
    <row r="837" spans="1:1" ht="15.75" customHeight="1" x14ac:dyDescent="0.2">
      <c r="A837" s="81">
        <v>829</v>
      </c>
    </row>
    <row r="838" spans="1:1" ht="15.75" customHeight="1" x14ac:dyDescent="0.2">
      <c r="A838" s="82">
        <v>830</v>
      </c>
    </row>
    <row r="839" spans="1:1" ht="15.75" customHeight="1" x14ac:dyDescent="0.2">
      <c r="A839" s="81">
        <v>831</v>
      </c>
    </row>
    <row r="840" spans="1:1" ht="15.75" customHeight="1" x14ac:dyDescent="0.2">
      <c r="A840" s="82">
        <v>832</v>
      </c>
    </row>
    <row r="841" spans="1:1" ht="15.75" customHeight="1" x14ac:dyDescent="0.2">
      <c r="A841" s="81">
        <v>833</v>
      </c>
    </row>
    <row r="842" spans="1:1" ht="15.75" customHeight="1" x14ac:dyDescent="0.2">
      <c r="A842" s="82">
        <v>834</v>
      </c>
    </row>
    <row r="843" spans="1:1" ht="15.75" customHeight="1" x14ac:dyDescent="0.2">
      <c r="A843" s="81">
        <v>835</v>
      </c>
    </row>
    <row r="844" spans="1:1" ht="15.75" customHeight="1" x14ac:dyDescent="0.2">
      <c r="A844" s="82">
        <v>836</v>
      </c>
    </row>
    <row r="845" spans="1:1" ht="15.75" customHeight="1" x14ac:dyDescent="0.2">
      <c r="A845" s="81">
        <v>837</v>
      </c>
    </row>
    <row r="846" spans="1:1" ht="15.75" customHeight="1" x14ac:dyDescent="0.2">
      <c r="A846" s="82">
        <v>838</v>
      </c>
    </row>
    <row r="847" spans="1:1" ht="15.75" customHeight="1" x14ac:dyDescent="0.2">
      <c r="A847" s="81">
        <v>839</v>
      </c>
    </row>
    <row r="848" spans="1:1" ht="15.75" customHeight="1" x14ac:dyDescent="0.2">
      <c r="A848" s="82">
        <v>840</v>
      </c>
    </row>
    <row r="849" spans="1:1" ht="15.75" customHeight="1" x14ac:dyDescent="0.2">
      <c r="A849" s="81">
        <v>841</v>
      </c>
    </row>
    <row r="850" spans="1:1" ht="15.75" customHeight="1" x14ac:dyDescent="0.2">
      <c r="A850" s="82">
        <v>842</v>
      </c>
    </row>
    <row r="851" spans="1:1" ht="15.75" customHeight="1" x14ac:dyDescent="0.2">
      <c r="A851" s="81">
        <v>843</v>
      </c>
    </row>
    <row r="852" spans="1:1" ht="15.75" customHeight="1" x14ac:dyDescent="0.2">
      <c r="A852" s="82">
        <v>844</v>
      </c>
    </row>
    <row r="853" spans="1:1" ht="15.75" customHeight="1" x14ac:dyDescent="0.2">
      <c r="A853" s="81">
        <v>845</v>
      </c>
    </row>
    <row r="854" spans="1:1" ht="15.75" customHeight="1" x14ac:dyDescent="0.2">
      <c r="A854" s="82">
        <v>846</v>
      </c>
    </row>
    <row r="855" spans="1:1" ht="15.75" customHeight="1" x14ac:dyDescent="0.2">
      <c r="A855" s="81">
        <v>847</v>
      </c>
    </row>
    <row r="856" spans="1:1" ht="15.75" customHeight="1" x14ac:dyDescent="0.2">
      <c r="A856" s="82">
        <v>848</v>
      </c>
    </row>
    <row r="857" spans="1:1" ht="15.75" customHeight="1" x14ac:dyDescent="0.2">
      <c r="A857" s="81">
        <v>849</v>
      </c>
    </row>
    <row r="858" spans="1:1" ht="15.75" customHeight="1" x14ac:dyDescent="0.2">
      <c r="A858" s="82">
        <v>850</v>
      </c>
    </row>
    <row r="859" spans="1:1" ht="15.75" customHeight="1" x14ac:dyDescent="0.2">
      <c r="A859" s="81">
        <v>851</v>
      </c>
    </row>
    <row r="860" spans="1:1" ht="15.75" customHeight="1" x14ac:dyDescent="0.2">
      <c r="A860" s="82">
        <v>852</v>
      </c>
    </row>
    <row r="861" spans="1:1" ht="15.75" customHeight="1" x14ac:dyDescent="0.2">
      <c r="A861" s="81">
        <v>853</v>
      </c>
    </row>
    <row r="862" spans="1:1" ht="15.75" customHeight="1" x14ac:dyDescent="0.2">
      <c r="A862" s="82">
        <v>854</v>
      </c>
    </row>
    <row r="863" spans="1:1" ht="15.75" customHeight="1" x14ac:dyDescent="0.2">
      <c r="A863" s="81">
        <v>855</v>
      </c>
    </row>
    <row r="864" spans="1:1" ht="15.75" customHeight="1" x14ac:dyDescent="0.2">
      <c r="A864" s="82">
        <v>856</v>
      </c>
    </row>
    <row r="865" spans="1:1" ht="15.75" customHeight="1" x14ac:dyDescent="0.2">
      <c r="A865" s="81">
        <v>857</v>
      </c>
    </row>
    <row r="866" spans="1:1" ht="15.75" customHeight="1" x14ac:dyDescent="0.2">
      <c r="A866" s="82">
        <v>858</v>
      </c>
    </row>
    <row r="867" spans="1:1" ht="15.75" customHeight="1" x14ac:dyDescent="0.2">
      <c r="A867" s="81">
        <v>859</v>
      </c>
    </row>
    <row r="868" spans="1:1" ht="15.75" customHeight="1" x14ac:dyDescent="0.2">
      <c r="A868" s="82">
        <v>860</v>
      </c>
    </row>
    <row r="869" spans="1:1" ht="15.75" customHeight="1" x14ac:dyDescent="0.2">
      <c r="A869" s="81">
        <v>861</v>
      </c>
    </row>
    <row r="870" spans="1:1" ht="15.75" customHeight="1" x14ac:dyDescent="0.2">
      <c r="A870" s="82">
        <v>862</v>
      </c>
    </row>
    <row r="871" spans="1:1" ht="15.75" customHeight="1" x14ac:dyDescent="0.2">
      <c r="A871" s="81">
        <v>863</v>
      </c>
    </row>
    <row r="872" spans="1:1" ht="15.75" customHeight="1" x14ac:dyDescent="0.2">
      <c r="A872" s="82">
        <v>864</v>
      </c>
    </row>
    <row r="873" spans="1:1" ht="15.75" customHeight="1" x14ac:dyDescent="0.2">
      <c r="A873" s="81">
        <v>865</v>
      </c>
    </row>
    <row r="874" spans="1:1" ht="15.75" customHeight="1" x14ac:dyDescent="0.2">
      <c r="A874" s="82">
        <v>866</v>
      </c>
    </row>
    <row r="875" spans="1:1" ht="15.75" customHeight="1" x14ac:dyDescent="0.2">
      <c r="A875" s="81">
        <v>867</v>
      </c>
    </row>
    <row r="876" spans="1:1" ht="15.75" customHeight="1" x14ac:dyDescent="0.2">
      <c r="A876" s="82">
        <v>868</v>
      </c>
    </row>
    <row r="877" spans="1:1" ht="15.75" customHeight="1" x14ac:dyDescent="0.2">
      <c r="A877" s="81">
        <v>869</v>
      </c>
    </row>
    <row r="878" spans="1:1" ht="15.75" customHeight="1" x14ac:dyDescent="0.2">
      <c r="A878" s="82">
        <v>870</v>
      </c>
    </row>
    <row r="879" spans="1:1" ht="15.75" customHeight="1" x14ac:dyDescent="0.2">
      <c r="A879" s="81">
        <v>871</v>
      </c>
    </row>
    <row r="880" spans="1:1" ht="15.75" customHeight="1" x14ac:dyDescent="0.2">
      <c r="A880" s="82">
        <v>872</v>
      </c>
    </row>
    <row r="881" spans="1:1" ht="15.75" customHeight="1" x14ac:dyDescent="0.2">
      <c r="A881" s="81">
        <v>873</v>
      </c>
    </row>
    <row r="882" spans="1:1" ht="15.75" customHeight="1" x14ac:dyDescent="0.2">
      <c r="A882" s="82">
        <v>874</v>
      </c>
    </row>
    <row r="883" spans="1:1" ht="15.75" customHeight="1" x14ac:dyDescent="0.2">
      <c r="A883" s="81">
        <v>875</v>
      </c>
    </row>
    <row r="884" spans="1:1" ht="15.75" customHeight="1" x14ac:dyDescent="0.2">
      <c r="A884" s="82">
        <v>876</v>
      </c>
    </row>
    <row r="885" spans="1:1" ht="15.75" customHeight="1" x14ac:dyDescent="0.2">
      <c r="A885" s="81">
        <v>877</v>
      </c>
    </row>
    <row r="886" spans="1:1" ht="15.75" customHeight="1" x14ac:dyDescent="0.2">
      <c r="A886" s="82">
        <v>878</v>
      </c>
    </row>
    <row r="887" spans="1:1" ht="15.75" customHeight="1" x14ac:dyDescent="0.2">
      <c r="A887" s="81">
        <v>879</v>
      </c>
    </row>
    <row r="888" spans="1:1" ht="15.75" customHeight="1" x14ac:dyDescent="0.2">
      <c r="A888" s="82">
        <v>880</v>
      </c>
    </row>
    <row r="889" spans="1:1" ht="15.75" customHeight="1" x14ac:dyDescent="0.2">
      <c r="A889" s="81">
        <v>881</v>
      </c>
    </row>
    <row r="890" spans="1:1" ht="15.75" customHeight="1" x14ac:dyDescent="0.2">
      <c r="A890" s="82">
        <v>882</v>
      </c>
    </row>
    <row r="891" spans="1:1" ht="15.75" customHeight="1" x14ac:dyDescent="0.2">
      <c r="A891" s="81">
        <v>883</v>
      </c>
    </row>
    <row r="892" spans="1:1" ht="15.75" customHeight="1" x14ac:dyDescent="0.2">
      <c r="A892" s="82">
        <v>884</v>
      </c>
    </row>
    <row r="893" spans="1:1" ht="15.75" customHeight="1" x14ac:dyDescent="0.2">
      <c r="A893" s="81">
        <v>885</v>
      </c>
    </row>
    <row r="894" spans="1:1" ht="15.75" customHeight="1" x14ac:dyDescent="0.2">
      <c r="A894" s="82">
        <v>886</v>
      </c>
    </row>
    <row r="895" spans="1:1" ht="15.75" customHeight="1" x14ac:dyDescent="0.2">
      <c r="A895" s="81">
        <v>887</v>
      </c>
    </row>
    <row r="896" spans="1:1" ht="15.75" customHeight="1" x14ac:dyDescent="0.2">
      <c r="A896" s="82">
        <v>888</v>
      </c>
    </row>
    <row r="897" spans="1:1" ht="15.75" customHeight="1" x14ac:dyDescent="0.2">
      <c r="A897" s="81">
        <v>889</v>
      </c>
    </row>
    <row r="898" spans="1:1" ht="15.75" customHeight="1" x14ac:dyDescent="0.2">
      <c r="A898" s="82">
        <v>890</v>
      </c>
    </row>
    <row r="899" spans="1:1" ht="15.75" customHeight="1" x14ac:dyDescent="0.2">
      <c r="A899" s="81">
        <v>891</v>
      </c>
    </row>
    <row r="900" spans="1:1" ht="15.75" customHeight="1" x14ac:dyDescent="0.2">
      <c r="A900" s="82">
        <v>892</v>
      </c>
    </row>
    <row r="901" spans="1:1" ht="15.75" customHeight="1" x14ac:dyDescent="0.2">
      <c r="A901" s="81">
        <v>893</v>
      </c>
    </row>
    <row r="902" spans="1:1" ht="15.75" customHeight="1" x14ac:dyDescent="0.2">
      <c r="A902" s="82">
        <v>894</v>
      </c>
    </row>
    <row r="903" spans="1:1" ht="15.75" customHeight="1" x14ac:dyDescent="0.2">
      <c r="A903" s="81">
        <v>895</v>
      </c>
    </row>
    <row r="904" spans="1:1" ht="15.75" customHeight="1" x14ac:dyDescent="0.2">
      <c r="A904" s="82">
        <v>896</v>
      </c>
    </row>
    <row r="905" spans="1:1" ht="15.75" customHeight="1" x14ac:dyDescent="0.2">
      <c r="A905" s="81">
        <v>897</v>
      </c>
    </row>
    <row r="906" spans="1:1" ht="15.75" customHeight="1" x14ac:dyDescent="0.2">
      <c r="A906" s="82">
        <v>898</v>
      </c>
    </row>
    <row r="907" spans="1:1" ht="15.75" customHeight="1" x14ac:dyDescent="0.2">
      <c r="A907" s="81">
        <v>899</v>
      </c>
    </row>
    <row r="908" spans="1:1" ht="15.75" customHeight="1" x14ac:dyDescent="0.2">
      <c r="A908" s="82">
        <v>900</v>
      </c>
    </row>
    <row r="909" spans="1:1" ht="15.75" customHeight="1" x14ac:dyDescent="0.2">
      <c r="A909" s="81">
        <v>901</v>
      </c>
    </row>
    <row r="910" spans="1:1" ht="15.75" customHeight="1" x14ac:dyDescent="0.2">
      <c r="A910" s="82">
        <v>902</v>
      </c>
    </row>
    <row r="911" spans="1:1" ht="15.75" customHeight="1" x14ac:dyDescent="0.2">
      <c r="A911" s="81">
        <v>903</v>
      </c>
    </row>
    <row r="912" spans="1:1" ht="15.75" customHeight="1" x14ac:dyDescent="0.2">
      <c r="A912" s="82">
        <v>904</v>
      </c>
    </row>
    <row r="913" spans="1:1" ht="15.75" customHeight="1" x14ac:dyDescent="0.2">
      <c r="A913" s="81">
        <v>905</v>
      </c>
    </row>
    <row r="914" spans="1:1" ht="15.75" customHeight="1" x14ac:dyDescent="0.2">
      <c r="A914" s="82">
        <v>906</v>
      </c>
    </row>
    <row r="915" spans="1:1" ht="15.75" customHeight="1" x14ac:dyDescent="0.2">
      <c r="A915" s="81">
        <v>907</v>
      </c>
    </row>
    <row r="916" spans="1:1" ht="15.75" customHeight="1" x14ac:dyDescent="0.2">
      <c r="A916" s="82">
        <v>908</v>
      </c>
    </row>
    <row r="917" spans="1:1" ht="15.75" customHeight="1" x14ac:dyDescent="0.2">
      <c r="A917" s="81">
        <v>909</v>
      </c>
    </row>
    <row r="918" spans="1:1" ht="15.75" customHeight="1" x14ac:dyDescent="0.2">
      <c r="A918" s="82">
        <v>910</v>
      </c>
    </row>
    <row r="919" spans="1:1" ht="15.75" customHeight="1" x14ac:dyDescent="0.2">
      <c r="A919" s="81">
        <v>911</v>
      </c>
    </row>
    <row r="920" spans="1:1" ht="15.75" customHeight="1" x14ac:dyDescent="0.2">
      <c r="A920" s="82">
        <v>912</v>
      </c>
    </row>
    <row r="921" spans="1:1" ht="15.75" customHeight="1" x14ac:dyDescent="0.2">
      <c r="A921" s="81">
        <v>913</v>
      </c>
    </row>
    <row r="922" spans="1:1" ht="15.75" customHeight="1" x14ac:dyDescent="0.2">
      <c r="A922" s="82">
        <v>914</v>
      </c>
    </row>
    <row r="923" spans="1:1" ht="15.75" customHeight="1" x14ac:dyDescent="0.2">
      <c r="A923" s="81">
        <v>915</v>
      </c>
    </row>
    <row r="924" spans="1:1" ht="15.75" customHeight="1" x14ac:dyDescent="0.2">
      <c r="A924" s="82">
        <v>916</v>
      </c>
    </row>
    <row r="925" spans="1:1" ht="15.75" customHeight="1" x14ac:dyDescent="0.2">
      <c r="A925" s="81">
        <v>917</v>
      </c>
    </row>
    <row r="926" spans="1:1" ht="15.75" customHeight="1" x14ac:dyDescent="0.2">
      <c r="A926" s="82">
        <v>918</v>
      </c>
    </row>
    <row r="927" spans="1:1" ht="15.75" customHeight="1" x14ac:dyDescent="0.2">
      <c r="A927" s="81">
        <v>919</v>
      </c>
    </row>
    <row r="928" spans="1:1" ht="15.75" customHeight="1" x14ac:dyDescent="0.2">
      <c r="A928" s="82">
        <v>920</v>
      </c>
    </row>
    <row r="929" spans="1:1" ht="15.75" customHeight="1" x14ac:dyDescent="0.2">
      <c r="A929" s="81">
        <v>921</v>
      </c>
    </row>
    <row r="930" spans="1:1" ht="15.75" customHeight="1" x14ac:dyDescent="0.2">
      <c r="A930" s="82">
        <v>922</v>
      </c>
    </row>
    <row r="931" spans="1:1" ht="15.75" customHeight="1" x14ac:dyDescent="0.2">
      <c r="A931" s="81">
        <v>923</v>
      </c>
    </row>
    <row r="932" spans="1:1" ht="15.75" customHeight="1" x14ac:dyDescent="0.2">
      <c r="A932" s="82">
        <v>924</v>
      </c>
    </row>
    <row r="933" spans="1:1" ht="15.75" customHeight="1" x14ac:dyDescent="0.2">
      <c r="A933" s="81">
        <v>925</v>
      </c>
    </row>
    <row r="934" spans="1:1" ht="15.75" customHeight="1" x14ac:dyDescent="0.2">
      <c r="A934" s="82">
        <v>926</v>
      </c>
    </row>
    <row r="935" spans="1:1" ht="15.75" customHeight="1" x14ac:dyDescent="0.2">
      <c r="A935" s="81">
        <v>927</v>
      </c>
    </row>
    <row r="936" spans="1:1" ht="15.75" customHeight="1" x14ac:dyDescent="0.2">
      <c r="A936" s="82">
        <v>928</v>
      </c>
    </row>
    <row r="937" spans="1:1" ht="15.75" customHeight="1" x14ac:dyDescent="0.2">
      <c r="A937" s="81">
        <v>929</v>
      </c>
    </row>
    <row r="938" spans="1:1" ht="15.75" customHeight="1" x14ac:dyDescent="0.2">
      <c r="A938" s="82">
        <v>930</v>
      </c>
    </row>
    <row r="939" spans="1:1" ht="15.75" customHeight="1" x14ac:dyDescent="0.2">
      <c r="A939" s="81">
        <v>931</v>
      </c>
    </row>
    <row r="940" spans="1:1" ht="15.75" customHeight="1" x14ac:dyDescent="0.2">
      <c r="A940" s="82">
        <v>932</v>
      </c>
    </row>
    <row r="941" spans="1:1" ht="15.75" customHeight="1" x14ac:dyDescent="0.2">
      <c r="A941" s="81">
        <v>933</v>
      </c>
    </row>
    <row r="942" spans="1:1" ht="15.75" customHeight="1" x14ac:dyDescent="0.2">
      <c r="A942" s="82">
        <v>934</v>
      </c>
    </row>
    <row r="943" spans="1:1" ht="15.75" customHeight="1" x14ac:dyDescent="0.2">
      <c r="A943" s="81">
        <v>935</v>
      </c>
    </row>
    <row r="944" spans="1:1" ht="15.75" customHeight="1" x14ac:dyDescent="0.2">
      <c r="A944" s="82">
        <v>936</v>
      </c>
    </row>
    <row r="945" spans="1:1" ht="15.75" customHeight="1" x14ac:dyDescent="0.2">
      <c r="A945" s="81">
        <v>937</v>
      </c>
    </row>
    <row r="946" spans="1:1" ht="15.75" customHeight="1" x14ac:dyDescent="0.2">
      <c r="A946" s="82">
        <v>938</v>
      </c>
    </row>
    <row r="947" spans="1:1" ht="15.75" customHeight="1" x14ac:dyDescent="0.2">
      <c r="A947" s="81">
        <v>939</v>
      </c>
    </row>
    <row r="948" spans="1:1" ht="15.75" customHeight="1" x14ac:dyDescent="0.2">
      <c r="A948" s="82">
        <v>940</v>
      </c>
    </row>
    <row r="949" spans="1:1" ht="15.75" customHeight="1" x14ac:dyDescent="0.2">
      <c r="A949" s="81">
        <v>941</v>
      </c>
    </row>
    <row r="950" spans="1:1" ht="15.75" customHeight="1" x14ac:dyDescent="0.2">
      <c r="A950" s="82">
        <v>942</v>
      </c>
    </row>
    <row r="951" spans="1:1" ht="15.75" customHeight="1" x14ac:dyDescent="0.2">
      <c r="A951" s="81">
        <v>943</v>
      </c>
    </row>
    <row r="952" spans="1:1" ht="15.75" customHeight="1" x14ac:dyDescent="0.2">
      <c r="A952" s="82">
        <v>944</v>
      </c>
    </row>
    <row r="953" spans="1:1" ht="15.75" customHeight="1" x14ac:dyDescent="0.2">
      <c r="A953" s="81">
        <v>945</v>
      </c>
    </row>
    <row r="954" spans="1:1" ht="15.75" customHeight="1" x14ac:dyDescent="0.2">
      <c r="A954" s="82">
        <v>946</v>
      </c>
    </row>
    <row r="955" spans="1:1" ht="15.75" customHeight="1" x14ac:dyDescent="0.2">
      <c r="A955" s="81">
        <v>947</v>
      </c>
    </row>
    <row r="956" spans="1:1" ht="15.75" customHeight="1" x14ac:dyDescent="0.2">
      <c r="A956" s="82">
        <v>948</v>
      </c>
    </row>
    <row r="957" spans="1:1" ht="15.75" customHeight="1" x14ac:dyDescent="0.2">
      <c r="A957" s="81">
        <v>949</v>
      </c>
    </row>
    <row r="958" spans="1:1" ht="15.75" customHeight="1" x14ac:dyDescent="0.2">
      <c r="A958" s="82">
        <v>950</v>
      </c>
    </row>
    <row r="959" spans="1:1" ht="15.75" customHeight="1" x14ac:dyDescent="0.2">
      <c r="A959" s="81">
        <v>951</v>
      </c>
    </row>
    <row r="960" spans="1:1" ht="15.75" customHeight="1" x14ac:dyDescent="0.2">
      <c r="A960" s="82">
        <v>952</v>
      </c>
    </row>
    <row r="961" spans="1:1" ht="15.75" customHeight="1" x14ac:dyDescent="0.2">
      <c r="A961" s="81">
        <v>953</v>
      </c>
    </row>
    <row r="962" spans="1:1" ht="15.75" customHeight="1" x14ac:dyDescent="0.2">
      <c r="A962" s="82">
        <v>954</v>
      </c>
    </row>
    <row r="963" spans="1:1" ht="15.75" customHeight="1" x14ac:dyDescent="0.2">
      <c r="A963" s="81">
        <v>955</v>
      </c>
    </row>
    <row r="964" spans="1:1" ht="15.75" customHeight="1" x14ac:dyDescent="0.2">
      <c r="A964" s="82">
        <v>956</v>
      </c>
    </row>
    <row r="965" spans="1:1" ht="15.75" customHeight="1" x14ac:dyDescent="0.2">
      <c r="A965" s="81">
        <v>957</v>
      </c>
    </row>
    <row r="966" spans="1:1" ht="15.75" customHeight="1" x14ac:dyDescent="0.2">
      <c r="A966" s="82">
        <v>958</v>
      </c>
    </row>
    <row r="967" spans="1:1" ht="15.75" customHeight="1" x14ac:dyDescent="0.2">
      <c r="A967" s="81">
        <v>959</v>
      </c>
    </row>
    <row r="968" spans="1:1" ht="15.75" customHeight="1" x14ac:dyDescent="0.2">
      <c r="A968" s="82">
        <v>960</v>
      </c>
    </row>
    <row r="969" spans="1:1" ht="15.75" customHeight="1" x14ac:dyDescent="0.2">
      <c r="A969" s="81">
        <v>961</v>
      </c>
    </row>
    <row r="970" spans="1:1" ht="15.75" customHeight="1" x14ac:dyDescent="0.2">
      <c r="A970" s="82">
        <v>962</v>
      </c>
    </row>
    <row r="971" spans="1:1" ht="15.75" customHeight="1" x14ac:dyDescent="0.2">
      <c r="A971" s="81">
        <v>963</v>
      </c>
    </row>
    <row r="972" spans="1:1" ht="15.75" customHeight="1" x14ac:dyDescent="0.2">
      <c r="A972" s="82">
        <v>964</v>
      </c>
    </row>
    <row r="973" spans="1:1" ht="15.75" customHeight="1" x14ac:dyDescent="0.2">
      <c r="A973" s="81">
        <v>965</v>
      </c>
    </row>
    <row r="974" spans="1:1" ht="15.75" customHeight="1" x14ac:dyDescent="0.2">
      <c r="A974" s="82">
        <v>966</v>
      </c>
    </row>
    <row r="975" spans="1:1" ht="15.75" customHeight="1" x14ac:dyDescent="0.2">
      <c r="A975" s="81">
        <v>967</v>
      </c>
    </row>
    <row r="976" spans="1:1" ht="15.75" customHeight="1" x14ac:dyDescent="0.2">
      <c r="A976" s="82">
        <v>968</v>
      </c>
    </row>
    <row r="977" spans="1:1" ht="15.75" customHeight="1" x14ac:dyDescent="0.2">
      <c r="A977" s="81">
        <v>969</v>
      </c>
    </row>
    <row r="978" spans="1:1" ht="15.75" customHeight="1" x14ac:dyDescent="0.2">
      <c r="A978" s="82">
        <v>970</v>
      </c>
    </row>
    <row r="979" spans="1:1" ht="15.75" customHeight="1" x14ac:dyDescent="0.2">
      <c r="A979" s="81">
        <v>971</v>
      </c>
    </row>
    <row r="980" spans="1:1" ht="15.75" customHeight="1" x14ac:dyDescent="0.2">
      <c r="A980" s="82">
        <v>972</v>
      </c>
    </row>
    <row r="981" spans="1:1" ht="15.75" customHeight="1" x14ac:dyDescent="0.2">
      <c r="A981" s="81">
        <v>973</v>
      </c>
    </row>
    <row r="982" spans="1:1" ht="15.75" customHeight="1" x14ac:dyDescent="0.2">
      <c r="A982" s="82">
        <v>974</v>
      </c>
    </row>
    <row r="983" spans="1:1" ht="15.75" customHeight="1" x14ac:dyDescent="0.2">
      <c r="A983" s="81">
        <v>975</v>
      </c>
    </row>
    <row r="984" spans="1:1" ht="15.75" customHeight="1" x14ac:dyDescent="0.2">
      <c r="A984" s="82">
        <v>976</v>
      </c>
    </row>
    <row r="985" spans="1:1" ht="15.75" customHeight="1" x14ac:dyDescent="0.2">
      <c r="A985" s="81">
        <v>977</v>
      </c>
    </row>
    <row r="986" spans="1:1" ht="15.75" customHeight="1" x14ac:dyDescent="0.2">
      <c r="A986" s="82">
        <v>978</v>
      </c>
    </row>
    <row r="987" spans="1:1" ht="15.75" customHeight="1" x14ac:dyDescent="0.2">
      <c r="A987" s="81">
        <v>979</v>
      </c>
    </row>
    <row r="988" spans="1:1" ht="15.75" customHeight="1" x14ac:dyDescent="0.2">
      <c r="A988" s="82">
        <v>980</v>
      </c>
    </row>
    <row r="989" spans="1:1" ht="15.75" customHeight="1" x14ac:dyDescent="0.2">
      <c r="A989" s="81">
        <v>981</v>
      </c>
    </row>
    <row r="990" spans="1:1" ht="15.75" customHeight="1" x14ac:dyDescent="0.2">
      <c r="A990" s="82">
        <v>982</v>
      </c>
    </row>
    <row r="991" spans="1:1" ht="15.75" customHeight="1" x14ac:dyDescent="0.2">
      <c r="A991" s="81">
        <v>983</v>
      </c>
    </row>
    <row r="992" spans="1:1" ht="15.75" customHeight="1" x14ac:dyDescent="0.2">
      <c r="A992" s="82">
        <v>984</v>
      </c>
    </row>
    <row r="993" spans="1:1" ht="15.75" customHeight="1" x14ac:dyDescent="0.2">
      <c r="A993" s="81">
        <v>985</v>
      </c>
    </row>
    <row r="994" spans="1:1" ht="15.75" customHeight="1" x14ac:dyDescent="0.2">
      <c r="A994" s="82">
        <v>986</v>
      </c>
    </row>
    <row r="995" spans="1:1" ht="15.75" customHeight="1" x14ac:dyDescent="0.2">
      <c r="A995" s="81">
        <v>987</v>
      </c>
    </row>
    <row r="996" spans="1:1" ht="15.75" customHeight="1" x14ac:dyDescent="0.2">
      <c r="A996" s="82">
        <v>988</v>
      </c>
    </row>
    <row r="997" spans="1:1" ht="15.75" customHeight="1" x14ac:dyDescent="0.2">
      <c r="A997" s="81">
        <v>989</v>
      </c>
    </row>
    <row r="998" spans="1:1" ht="15.75" customHeight="1" x14ac:dyDescent="0.2">
      <c r="A998" s="82">
        <v>990</v>
      </c>
    </row>
    <row r="999" spans="1:1" ht="15.75" customHeight="1" x14ac:dyDescent="0.2">
      <c r="A999" s="81">
        <v>991</v>
      </c>
    </row>
    <row r="1000" spans="1:1" ht="15.75" customHeight="1" x14ac:dyDescent="0.2">
      <c r="A1000" s="82">
        <v>992</v>
      </c>
    </row>
    <row r="1001" spans="1:1" ht="15.75" customHeight="1" x14ac:dyDescent="0.2">
      <c r="A1001" s="81">
        <v>993</v>
      </c>
    </row>
    <row r="1002" spans="1:1" ht="15.75" customHeight="1" x14ac:dyDescent="0.2">
      <c r="A1002" s="82">
        <v>994</v>
      </c>
    </row>
    <row r="1003" spans="1:1" ht="15.75" customHeight="1" x14ac:dyDescent="0.2">
      <c r="A1003" s="81">
        <v>995</v>
      </c>
    </row>
    <row r="1004" spans="1:1" ht="15.75" customHeight="1" x14ac:dyDescent="0.2">
      <c r="A1004" s="82">
        <v>996</v>
      </c>
    </row>
    <row r="1005" spans="1:1" ht="15.75" customHeight="1" x14ac:dyDescent="0.2">
      <c r="A1005" s="81">
        <v>997</v>
      </c>
    </row>
    <row r="1006" spans="1:1" ht="15.75" customHeight="1" x14ac:dyDescent="0.2">
      <c r="A1006" s="82">
        <v>998</v>
      </c>
    </row>
    <row r="1007" spans="1:1" ht="15.75" customHeight="1" x14ac:dyDescent="0.2">
      <c r="A1007" s="81">
        <v>999</v>
      </c>
    </row>
    <row r="1008" spans="1:1" ht="15.75" customHeight="1" x14ac:dyDescent="0.2">
      <c r="A1008" s="82">
        <v>1000</v>
      </c>
    </row>
    <row r="1009" spans="1:1" ht="15.75" customHeight="1" x14ac:dyDescent="0.2">
      <c r="A1009" s="81">
        <v>1001</v>
      </c>
    </row>
    <row r="1010" spans="1:1" ht="15.75" customHeight="1" x14ac:dyDescent="0.2">
      <c r="A1010" s="82">
        <v>1002</v>
      </c>
    </row>
    <row r="1011" spans="1:1" ht="15.75" customHeight="1" x14ac:dyDescent="0.2">
      <c r="A1011" s="81">
        <v>1003</v>
      </c>
    </row>
    <row r="1012" spans="1:1" ht="15.75" customHeight="1" x14ac:dyDescent="0.2">
      <c r="A1012" s="82">
        <v>1004</v>
      </c>
    </row>
    <row r="1013" spans="1:1" ht="15.75" customHeight="1" x14ac:dyDescent="0.2">
      <c r="A1013" s="81">
        <v>1005</v>
      </c>
    </row>
    <row r="1014" spans="1:1" ht="15.75" customHeight="1" x14ac:dyDescent="0.2">
      <c r="A1014" s="82">
        <v>1006</v>
      </c>
    </row>
    <row r="1015" spans="1:1" ht="15.75" customHeight="1" x14ac:dyDescent="0.2">
      <c r="A1015" s="81">
        <v>1007</v>
      </c>
    </row>
    <row r="1016" spans="1:1" ht="15.75" customHeight="1" x14ac:dyDescent="0.2">
      <c r="A1016" s="82">
        <v>1008</v>
      </c>
    </row>
    <row r="1017" spans="1:1" ht="15.75" customHeight="1" x14ac:dyDescent="0.2">
      <c r="A1017" s="81">
        <v>1009</v>
      </c>
    </row>
    <row r="1018" spans="1:1" ht="15.75" customHeight="1" x14ac:dyDescent="0.2">
      <c r="A1018" s="82">
        <v>1010</v>
      </c>
    </row>
    <row r="1019" spans="1:1" ht="15.75" customHeight="1" x14ac:dyDescent="0.2">
      <c r="A1019" s="81">
        <v>1011</v>
      </c>
    </row>
    <row r="1020" spans="1:1" ht="15.75" customHeight="1" x14ac:dyDescent="0.2">
      <c r="A1020" s="82">
        <v>1012</v>
      </c>
    </row>
    <row r="1021" spans="1:1" ht="15.75" customHeight="1" x14ac:dyDescent="0.2">
      <c r="A1021" s="81">
        <v>1013</v>
      </c>
    </row>
    <row r="1022" spans="1:1" ht="15.75" customHeight="1" x14ac:dyDescent="0.2">
      <c r="A1022" s="82">
        <v>1014</v>
      </c>
    </row>
    <row r="1023" spans="1:1" ht="15.75" customHeight="1" x14ac:dyDescent="0.2">
      <c r="A1023" s="81">
        <v>1015</v>
      </c>
    </row>
    <row r="1024" spans="1:1" ht="15.75" customHeight="1" x14ac:dyDescent="0.2">
      <c r="A1024" s="82">
        <v>1016</v>
      </c>
    </row>
    <row r="1025" spans="1:1" ht="15.75" customHeight="1" x14ac:dyDescent="0.2">
      <c r="A1025" s="81">
        <v>1017</v>
      </c>
    </row>
    <row r="1026" spans="1:1" ht="15.75" customHeight="1" x14ac:dyDescent="0.2">
      <c r="A1026" s="82">
        <v>1018</v>
      </c>
    </row>
    <row r="1027" spans="1:1" ht="15.75" customHeight="1" x14ac:dyDescent="0.2">
      <c r="A1027" s="81">
        <v>1019</v>
      </c>
    </row>
    <row r="1028" spans="1:1" ht="15.75" customHeight="1" x14ac:dyDescent="0.2">
      <c r="A1028" s="82">
        <v>1020</v>
      </c>
    </row>
    <row r="1029" spans="1:1" ht="15.75" customHeight="1" x14ac:dyDescent="0.2">
      <c r="A1029" s="81">
        <v>1021</v>
      </c>
    </row>
    <row r="1030" spans="1:1" ht="15.75" customHeight="1" x14ac:dyDescent="0.2">
      <c r="A1030" s="82">
        <v>1022</v>
      </c>
    </row>
    <row r="1031" spans="1:1" ht="15.75" customHeight="1" x14ac:dyDescent="0.2">
      <c r="A1031" s="81">
        <v>1023</v>
      </c>
    </row>
    <row r="1032" spans="1:1" ht="15.75" customHeight="1" x14ac:dyDescent="0.2">
      <c r="A1032" s="82">
        <v>1024</v>
      </c>
    </row>
    <row r="1033" spans="1:1" ht="15.75" customHeight="1" x14ac:dyDescent="0.2">
      <c r="A1033" s="81">
        <v>1025</v>
      </c>
    </row>
    <row r="1034" spans="1:1" ht="15.75" customHeight="1" x14ac:dyDescent="0.2">
      <c r="A1034" s="82">
        <v>1026</v>
      </c>
    </row>
    <row r="1035" spans="1:1" ht="15.75" customHeight="1" x14ac:dyDescent="0.2">
      <c r="A1035" s="81">
        <v>1027</v>
      </c>
    </row>
    <row r="1036" spans="1:1" ht="15.75" customHeight="1" x14ac:dyDescent="0.2">
      <c r="A1036" s="82">
        <v>1028</v>
      </c>
    </row>
    <row r="1037" spans="1:1" ht="15.75" customHeight="1" x14ac:dyDescent="0.2">
      <c r="A1037" s="81">
        <v>1029</v>
      </c>
    </row>
    <row r="1038" spans="1:1" ht="15.75" customHeight="1" x14ac:dyDescent="0.2">
      <c r="A1038" s="82">
        <v>1030</v>
      </c>
    </row>
    <row r="1039" spans="1:1" ht="15.75" customHeight="1" x14ac:dyDescent="0.2">
      <c r="A1039" s="81">
        <v>1031</v>
      </c>
    </row>
    <row r="1040" spans="1:1" ht="15.75" customHeight="1" x14ac:dyDescent="0.2">
      <c r="A1040" s="82">
        <v>1032</v>
      </c>
    </row>
    <row r="1041" spans="1:1" ht="15.75" customHeight="1" x14ac:dyDescent="0.2">
      <c r="A1041" s="81">
        <v>1033</v>
      </c>
    </row>
    <row r="1042" spans="1:1" ht="15.75" customHeight="1" x14ac:dyDescent="0.2">
      <c r="A1042" s="82">
        <v>1034</v>
      </c>
    </row>
    <row r="1043" spans="1:1" ht="15.75" customHeight="1" x14ac:dyDescent="0.2">
      <c r="A1043" s="81">
        <v>1035</v>
      </c>
    </row>
    <row r="1044" spans="1:1" ht="15.75" customHeight="1" x14ac:dyDescent="0.2">
      <c r="A1044" s="82">
        <v>1036</v>
      </c>
    </row>
    <row r="1045" spans="1:1" ht="15.75" customHeight="1" x14ac:dyDescent="0.2">
      <c r="A1045" s="81">
        <v>1037</v>
      </c>
    </row>
    <row r="1046" spans="1:1" ht="15.75" customHeight="1" x14ac:dyDescent="0.2">
      <c r="A1046" s="82">
        <v>1038</v>
      </c>
    </row>
    <row r="1047" spans="1:1" ht="15.75" customHeight="1" x14ac:dyDescent="0.2">
      <c r="A1047" s="81">
        <v>1039</v>
      </c>
    </row>
    <row r="1048" spans="1:1" ht="15.75" customHeight="1" x14ac:dyDescent="0.2">
      <c r="A1048" s="82">
        <v>1040</v>
      </c>
    </row>
    <row r="1049" spans="1:1" ht="15.75" customHeight="1" x14ac:dyDescent="0.2">
      <c r="A1049" s="81">
        <v>1041</v>
      </c>
    </row>
    <row r="1050" spans="1:1" ht="15.75" customHeight="1" x14ac:dyDescent="0.2">
      <c r="A1050" s="82">
        <v>1042</v>
      </c>
    </row>
    <row r="1051" spans="1:1" ht="15.75" customHeight="1" x14ac:dyDescent="0.2">
      <c r="A1051" s="81">
        <v>1043</v>
      </c>
    </row>
    <row r="1052" spans="1:1" ht="15.75" customHeight="1" x14ac:dyDescent="0.2">
      <c r="A1052" s="82">
        <v>1044</v>
      </c>
    </row>
    <row r="1053" spans="1:1" ht="15.75" customHeight="1" x14ac:dyDescent="0.2">
      <c r="A1053" s="81">
        <v>1045</v>
      </c>
    </row>
    <row r="1054" spans="1:1" ht="15.75" customHeight="1" x14ac:dyDescent="0.2">
      <c r="A1054" s="82">
        <v>1046</v>
      </c>
    </row>
    <row r="1055" spans="1:1" ht="15.75" customHeight="1" x14ac:dyDescent="0.2">
      <c r="A1055" s="81">
        <v>1047</v>
      </c>
    </row>
    <row r="1056" spans="1:1" ht="15.75" customHeight="1" x14ac:dyDescent="0.2">
      <c r="A1056" s="82">
        <v>1048</v>
      </c>
    </row>
    <row r="1057" spans="1:1" ht="15.75" customHeight="1" x14ac:dyDescent="0.2">
      <c r="A1057" s="81">
        <v>1049</v>
      </c>
    </row>
    <row r="1058" spans="1:1" ht="15.75" customHeight="1" x14ac:dyDescent="0.2">
      <c r="A1058" s="82">
        <v>1050</v>
      </c>
    </row>
    <row r="1059" spans="1:1" ht="15.75" customHeight="1" x14ac:dyDescent="0.2">
      <c r="A1059" s="81">
        <v>1051</v>
      </c>
    </row>
    <row r="1060" spans="1:1" ht="15.75" customHeight="1" x14ac:dyDescent="0.2">
      <c r="A1060" s="82">
        <v>1052</v>
      </c>
    </row>
    <row r="1061" spans="1:1" ht="15.75" customHeight="1" x14ac:dyDescent="0.2">
      <c r="A1061" s="81">
        <v>1053</v>
      </c>
    </row>
    <row r="1062" spans="1:1" ht="15.75" customHeight="1" x14ac:dyDescent="0.2">
      <c r="A1062" s="82">
        <v>1054</v>
      </c>
    </row>
    <row r="1063" spans="1:1" ht="15.75" customHeight="1" x14ac:dyDescent="0.2">
      <c r="A1063" s="81">
        <v>1055</v>
      </c>
    </row>
    <row r="1064" spans="1:1" ht="15.75" customHeight="1" x14ac:dyDescent="0.2">
      <c r="A1064" s="82">
        <v>1056</v>
      </c>
    </row>
    <row r="1065" spans="1:1" ht="15.75" customHeight="1" x14ac:dyDescent="0.2">
      <c r="A1065" s="81">
        <v>1057</v>
      </c>
    </row>
    <row r="1066" spans="1:1" ht="15.75" customHeight="1" x14ac:dyDescent="0.2">
      <c r="A1066" s="82">
        <v>1058</v>
      </c>
    </row>
    <row r="1067" spans="1:1" ht="15.75" customHeight="1" x14ac:dyDescent="0.2">
      <c r="A1067" s="81">
        <v>1059</v>
      </c>
    </row>
    <row r="1068" spans="1:1" ht="15.75" customHeight="1" x14ac:dyDescent="0.2">
      <c r="A1068" s="82">
        <v>1060</v>
      </c>
    </row>
    <row r="1069" spans="1:1" ht="15.75" customHeight="1" x14ac:dyDescent="0.2">
      <c r="A1069" s="81">
        <v>1061</v>
      </c>
    </row>
    <row r="1070" spans="1:1" ht="15.75" customHeight="1" x14ac:dyDescent="0.2">
      <c r="A1070" s="82">
        <v>1062</v>
      </c>
    </row>
    <row r="1071" spans="1:1" ht="15.75" customHeight="1" x14ac:dyDescent="0.2">
      <c r="A1071" s="81">
        <v>1063</v>
      </c>
    </row>
    <row r="1072" spans="1:1" ht="15.75" customHeight="1" x14ac:dyDescent="0.2">
      <c r="A1072" s="82">
        <v>1064</v>
      </c>
    </row>
    <row r="1073" spans="1:1" ht="15.75" customHeight="1" x14ac:dyDescent="0.2">
      <c r="A1073" s="81">
        <v>1065</v>
      </c>
    </row>
    <row r="1074" spans="1:1" ht="15.75" customHeight="1" x14ac:dyDescent="0.2">
      <c r="A1074" s="82">
        <v>1066</v>
      </c>
    </row>
    <row r="1075" spans="1:1" ht="15.75" customHeight="1" x14ac:dyDescent="0.2">
      <c r="A1075" s="81">
        <v>1067</v>
      </c>
    </row>
    <row r="1076" spans="1:1" ht="15.75" customHeight="1" x14ac:dyDescent="0.2">
      <c r="A1076" s="82">
        <v>1068</v>
      </c>
    </row>
    <row r="1077" spans="1:1" ht="15.75" customHeight="1" x14ac:dyDescent="0.2">
      <c r="A1077" s="81">
        <v>1069</v>
      </c>
    </row>
    <row r="1078" spans="1:1" ht="15.75" customHeight="1" x14ac:dyDescent="0.2">
      <c r="A1078" s="82">
        <v>1070</v>
      </c>
    </row>
    <row r="1079" spans="1:1" ht="15.75" customHeight="1" x14ac:dyDescent="0.2">
      <c r="A1079" s="81">
        <v>1071</v>
      </c>
    </row>
    <row r="1080" spans="1:1" ht="15.75" customHeight="1" x14ac:dyDescent="0.2">
      <c r="A1080" s="82">
        <v>1072</v>
      </c>
    </row>
    <row r="1081" spans="1:1" ht="15.75" customHeight="1" x14ac:dyDescent="0.2">
      <c r="A1081" s="81">
        <v>1073</v>
      </c>
    </row>
    <row r="1082" spans="1:1" ht="15.75" customHeight="1" x14ac:dyDescent="0.2">
      <c r="A1082" s="82">
        <v>1074</v>
      </c>
    </row>
    <row r="1083" spans="1:1" ht="15.75" customHeight="1" x14ac:dyDescent="0.2">
      <c r="A1083" s="81">
        <v>1075</v>
      </c>
    </row>
    <row r="1084" spans="1:1" ht="15.75" customHeight="1" x14ac:dyDescent="0.2">
      <c r="A1084" s="82">
        <v>1076</v>
      </c>
    </row>
    <row r="1085" spans="1:1" ht="15.75" customHeight="1" x14ac:dyDescent="0.2">
      <c r="A1085" s="81">
        <v>1077</v>
      </c>
    </row>
    <row r="1086" spans="1:1" ht="15.75" customHeight="1" x14ac:dyDescent="0.2">
      <c r="A1086" s="82">
        <v>1078</v>
      </c>
    </row>
    <row r="1087" spans="1:1" ht="15.75" customHeight="1" x14ac:dyDescent="0.2">
      <c r="A1087" s="81">
        <v>1079</v>
      </c>
    </row>
    <row r="1088" spans="1:1" ht="15.75" customHeight="1" x14ac:dyDescent="0.2">
      <c r="A1088" s="82">
        <v>1080</v>
      </c>
    </row>
    <row r="1089" spans="1:1" ht="15.75" customHeight="1" x14ac:dyDescent="0.2">
      <c r="A1089" s="81">
        <v>1081</v>
      </c>
    </row>
    <row r="1090" spans="1:1" ht="15.75" customHeight="1" x14ac:dyDescent="0.2">
      <c r="A1090" s="82">
        <v>1082</v>
      </c>
    </row>
    <row r="1091" spans="1:1" ht="15.75" customHeight="1" x14ac:dyDescent="0.2">
      <c r="A1091" s="81">
        <v>1083</v>
      </c>
    </row>
    <row r="1092" spans="1:1" ht="15.75" customHeight="1" x14ac:dyDescent="0.2">
      <c r="A1092" s="82">
        <v>1084</v>
      </c>
    </row>
    <row r="1093" spans="1:1" ht="15.75" customHeight="1" x14ac:dyDescent="0.2">
      <c r="A1093" s="81">
        <v>1085</v>
      </c>
    </row>
    <row r="1094" spans="1:1" ht="15.75" customHeight="1" x14ac:dyDescent="0.2">
      <c r="A1094" s="82">
        <v>1086</v>
      </c>
    </row>
    <row r="1095" spans="1:1" ht="15.75" customHeight="1" x14ac:dyDescent="0.2">
      <c r="A1095" s="81">
        <v>1087</v>
      </c>
    </row>
    <row r="1096" spans="1:1" ht="15.75" customHeight="1" x14ac:dyDescent="0.2">
      <c r="A1096" s="82">
        <v>1088</v>
      </c>
    </row>
    <row r="1097" spans="1:1" ht="15.75" customHeight="1" x14ac:dyDescent="0.2">
      <c r="A1097" s="81">
        <v>1089</v>
      </c>
    </row>
    <row r="1098" spans="1:1" ht="15.75" customHeight="1" x14ac:dyDescent="0.2">
      <c r="A1098" s="82">
        <v>1090</v>
      </c>
    </row>
    <row r="1099" spans="1:1" ht="15.75" customHeight="1" x14ac:dyDescent="0.2">
      <c r="A1099" s="81">
        <v>1091</v>
      </c>
    </row>
    <row r="1100" spans="1:1" ht="15.75" customHeight="1" x14ac:dyDescent="0.2">
      <c r="A1100" s="82">
        <v>1092</v>
      </c>
    </row>
    <row r="1101" spans="1:1" ht="15.75" customHeight="1" x14ac:dyDescent="0.2">
      <c r="A1101" s="81">
        <v>1093</v>
      </c>
    </row>
    <row r="1102" spans="1:1" ht="15.75" customHeight="1" x14ac:dyDescent="0.2">
      <c r="A1102" s="82">
        <v>1094</v>
      </c>
    </row>
    <row r="1103" spans="1:1" ht="15.75" customHeight="1" x14ac:dyDescent="0.2">
      <c r="A1103" s="81">
        <v>1095</v>
      </c>
    </row>
    <row r="1104" spans="1:1" ht="15.75" customHeight="1" x14ac:dyDescent="0.2">
      <c r="A1104" s="82">
        <v>1096</v>
      </c>
    </row>
    <row r="1105" spans="1:1" ht="15.75" customHeight="1" x14ac:dyDescent="0.2">
      <c r="A1105" s="81">
        <v>1097</v>
      </c>
    </row>
    <row r="1106" spans="1:1" ht="15.75" customHeight="1" x14ac:dyDescent="0.2">
      <c r="A1106" s="82">
        <v>1098</v>
      </c>
    </row>
    <row r="1107" spans="1:1" ht="15.75" customHeight="1" x14ac:dyDescent="0.2">
      <c r="A1107" s="81">
        <v>1099</v>
      </c>
    </row>
    <row r="1108" spans="1:1" ht="15.75" customHeight="1" x14ac:dyDescent="0.2">
      <c r="A1108" s="82">
        <v>1100</v>
      </c>
    </row>
    <row r="1109" spans="1:1" ht="15.75" customHeight="1" x14ac:dyDescent="0.2">
      <c r="A1109" s="81">
        <v>1101</v>
      </c>
    </row>
    <row r="1110" spans="1:1" ht="15.75" customHeight="1" x14ac:dyDescent="0.2">
      <c r="A1110" s="82">
        <v>1102</v>
      </c>
    </row>
    <row r="1111" spans="1:1" ht="15.75" customHeight="1" x14ac:dyDescent="0.2">
      <c r="A1111" s="81">
        <v>1103</v>
      </c>
    </row>
    <row r="1112" spans="1:1" ht="15.75" customHeight="1" x14ac:dyDescent="0.2">
      <c r="A1112" s="82">
        <v>1104</v>
      </c>
    </row>
    <row r="1113" spans="1:1" ht="15.75" customHeight="1" x14ac:dyDescent="0.2">
      <c r="A1113" s="81">
        <v>1105</v>
      </c>
    </row>
    <row r="1114" spans="1:1" ht="15.75" customHeight="1" x14ac:dyDescent="0.2">
      <c r="A1114" s="82">
        <v>1106</v>
      </c>
    </row>
    <row r="1115" spans="1:1" ht="15.75" customHeight="1" x14ac:dyDescent="0.2">
      <c r="A1115" s="81">
        <v>1107</v>
      </c>
    </row>
    <row r="1116" spans="1:1" ht="15.75" customHeight="1" x14ac:dyDescent="0.2">
      <c r="A1116" s="82">
        <v>1108</v>
      </c>
    </row>
    <row r="1117" spans="1:1" ht="15.75" customHeight="1" x14ac:dyDescent="0.2">
      <c r="A1117" s="81">
        <v>1109</v>
      </c>
    </row>
    <row r="1118" spans="1:1" ht="15.75" customHeight="1" x14ac:dyDescent="0.2">
      <c r="A1118" s="82">
        <v>1110</v>
      </c>
    </row>
    <row r="1119" spans="1:1" ht="15.75" customHeight="1" x14ac:dyDescent="0.2">
      <c r="A1119" s="81">
        <v>1111</v>
      </c>
    </row>
    <row r="1120" spans="1:1" ht="15.75" customHeight="1" x14ac:dyDescent="0.2">
      <c r="A1120" s="82">
        <v>1112</v>
      </c>
    </row>
    <row r="1121" spans="1:1" ht="15.75" customHeight="1" x14ac:dyDescent="0.2">
      <c r="A1121" s="81">
        <v>1113</v>
      </c>
    </row>
    <row r="1122" spans="1:1" ht="15.75" customHeight="1" x14ac:dyDescent="0.2">
      <c r="A1122" s="82">
        <v>1114</v>
      </c>
    </row>
    <row r="1123" spans="1:1" ht="15.75" customHeight="1" x14ac:dyDescent="0.2">
      <c r="A1123" s="81">
        <v>1115</v>
      </c>
    </row>
    <row r="1124" spans="1:1" ht="15.75" customHeight="1" x14ac:dyDescent="0.2">
      <c r="A1124" s="82">
        <v>1116</v>
      </c>
    </row>
    <row r="1125" spans="1:1" ht="15.75" customHeight="1" x14ac:dyDescent="0.2">
      <c r="A1125" s="81">
        <v>1117</v>
      </c>
    </row>
    <row r="1126" spans="1:1" ht="15.75" customHeight="1" x14ac:dyDescent="0.2">
      <c r="A1126" s="82">
        <v>1118</v>
      </c>
    </row>
    <row r="1127" spans="1:1" ht="15.75" customHeight="1" x14ac:dyDescent="0.2">
      <c r="A1127" s="81">
        <v>1119</v>
      </c>
    </row>
    <row r="1128" spans="1:1" ht="15.75" customHeight="1" x14ac:dyDescent="0.2">
      <c r="A1128" s="82">
        <v>1120</v>
      </c>
    </row>
    <row r="1129" spans="1:1" ht="15.75" customHeight="1" x14ac:dyDescent="0.2">
      <c r="A1129" s="81">
        <v>1121</v>
      </c>
    </row>
    <row r="1130" spans="1:1" ht="15.75" customHeight="1" x14ac:dyDescent="0.2">
      <c r="A1130" s="82">
        <v>1122</v>
      </c>
    </row>
    <row r="1131" spans="1:1" ht="15.75" customHeight="1" x14ac:dyDescent="0.2">
      <c r="A1131" s="81">
        <v>1123</v>
      </c>
    </row>
    <row r="1132" spans="1:1" ht="15.75" customHeight="1" x14ac:dyDescent="0.2">
      <c r="A1132" s="82">
        <v>1124</v>
      </c>
    </row>
    <row r="1133" spans="1:1" ht="15.75" customHeight="1" x14ac:dyDescent="0.2">
      <c r="A1133" s="81">
        <v>1125</v>
      </c>
    </row>
    <row r="1134" spans="1:1" ht="15.75" customHeight="1" x14ac:dyDescent="0.2">
      <c r="A1134" s="82">
        <v>1126</v>
      </c>
    </row>
    <row r="1135" spans="1:1" ht="15.75" customHeight="1" x14ac:dyDescent="0.2">
      <c r="A1135" s="81">
        <v>1127</v>
      </c>
    </row>
    <row r="1136" spans="1:1" ht="15.75" customHeight="1" x14ac:dyDescent="0.2">
      <c r="A1136" s="82">
        <v>1128</v>
      </c>
    </row>
    <row r="1137" spans="1:1" ht="15.75" customHeight="1" x14ac:dyDescent="0.2">
      <c r="A1137" s="81">
        <v>1129</v>
      </c>
    </row>
    <row r="1138" spans="1:1" ht="15.75" customHeight="1" x14ac:dyDescent="0.2">
      <c r="A1138" s="82">
        <v>1130</v>
      </c>
    </row>
    <row r="1139" spans="1:1" ht="15.75" customHeight="1" x14ac:dyDescent="0.2">
      <c r="A1139" s="81">
        <v>1131</v>
      </c>
    </row>
    <row r="1140" spans="1:1" ht="15.75" customHeight="1" x14ac:dyDescent="0.2">
      <c r="A1140" s="82">
        <v>1132</v>
      </c>
    </row>
    <row r="1141" spans="1:1" ht="15.75" customHeight="1" x14ac:dyDescent="0.2">
      <c r="A1141" s="81">
        <v>1133</v>
      </c>
    </row>
    <row r="1142" spans="1:1" ht="15.75" customHeight="1" x14ac:dyDescent="0.2">
      <c r="A1142" s="82">
        <v>1134</v>
      </c>
    </row>
    <row r="1143" spans="1:1" ht="15.75" customHeight="1" x14ac:dyDescent="0.2">
      <c r="A1143" s="81">
        <v>1135</v>
      </c>
    </row>
    <row r="1144" spans="1:1" ht="15.75" customHeight="1" x14ac:dyDescent="0.2">
      <c r="A1144" s="82">
        <v>1136</v>
      </c>
    </row>
    <row r="1145" spans="1:1" ht="15.75" customHeight="1" x14ac:dyDescent="0.2">
      <c r="A1145" s="81">
        <v>1137</v>
      </c>
    </row>
    <row r="1146" spans="1:1" ht="15.75" customHeight="1" x14ac:dyDescent="0.2">
      <c r="A1146" s="82">
        <v>1138</v>
      </c>
    </row>
    <row r="1147" spans="1:1" ht="15.75" customHeight="1" x14ac:dyDescent="0.2">
      <c r="A1147" s="81">
        <v>1139</v>
      </c>
    </row>
    <row r="1148" spans="1:1" ht="15.75" customHeight="1" x14ac:dyDescent="0.2">
      <c r="A1148" s="82">
        <v>1140</v>
      </c>
    </row>
    <row r="1149" spans="1:1" ht="15.75" customHeight="1" x14ac:dyDescent="0.2">
      <c r="A1149" s="81">
        <v>1141</v>
      </c>
    </row>
    <row r="1150" spans="1:1" ht="15.75" customHeight="1" x14ac:dyDescent="0.2">
      <c r="A1150" s="82">
        <v>1142</v>
      </c>
    </row>
    <row r="1151" spans="1:1" ht="15.75" customHeight="1" x14ac:dyDescent="0.2">
      <c r="A1151" s="81">
        <v>1143</v>
      </c>
    </row>
    <row r="1152" spans="1:1" ht="15.75" customHeight="1" x14ac:dyDescent="0.2">
      <c r="A1152" s="82">
        <v>1144</v>
      </c>
    </row>
    <row r="1153" spans="1:1" ht="15.75" customHeight="1" x14ac:dyDescent="0.2">
      <c r="A1153" s="81">
        <v>1145</v>
      </c>
    </row>
    <row r="1154" spans="1:1" ht="15.75" customHeight="1" x14ac:dyDescent="0.2">
      <c r="A1154" s="82">
        <v>1146</v>
      </c>
    </row>
    <row r="1155" spans="1:1" ht="15.75" customHeight="1" x14ac:dyDescent="0.2">
      <c r="A1155" s="81">
        <v>1147</v>
      </c>
    </row>
    <row r="1156" spans="1:1" ht="15.75" customHeight="1" x14ac:dyDescent="0.2">
      <c r="A1156" s="82">
        <v>1148</v>
      </c>
    </row>
    <row r="1157" spans="1:1" ht="15.75" customHeight="1" x14ac:dyDescent="0.2">
      <c r="A1157" s="81">
        <v>1149</v>
      </c>
    </row>
    <row r="1158" spans="1:1" ht="15.75" customHeight="1" x14ac:dyDescent="0.2">
      <c r="A1158" s="82">
        <v>1150</v>
      </c>
    </row>
    <row r="1159" spans="1:1" ht="15.75" customHeight="1" x14ac:dyDescent="0.2">
      <c r="A1159" s="81">
        <v>1151</v>
      </c>
    </row>
    <row r="1160" spans="1:1" ht="15.75" customHeight="1" x14ac:dyDescent="0.2">
      <c r="A1160" s="82">
        <v>1152</v>
      </c>
    </row>
    <row r="1161" spans="1:1" ht="15.75" customHeight="1" x14ac:dyDescent="0.2">
      <c r="A1161" s="81">
        <v>1153</v>
      </c>
    </row>
    <row r="1162" spans="1:1" ht="15.75" customHeight="1" x14ac:dyDescent="0.2">
      <c r="A1162" s="82">
        <v>1154</v>
      </c>
    </row>
    <row r="1163" spans="1:1" ht="15.75" customHeight="1" x14ac:dyDescent="0.2">
      <c r="A1163" s="81">
        <v>1155</v>
      </c>
    </row>
    <row r="1164" spans="1:1" ht="15.75" customHeight="1" x14ac:dyDescent="0.2">
      <c r="A1164" s="82">
        <v>1156</v>
      </c>
    </row>
    <row r="1165" spans="1:1" ht="15.75" customHeight="1" x14ac:dyDescent="0.2">
      <c r="A1165" s="81">
        <v>1157</v>
      </c>
    </row>
    <row r="1166" spans="1:1" ht="15.75" customHeight="1" x14ac:dyDescent="0.2">
      <c r="A1166" s="82">
        <v>1158</v>
      </c>
    </row>
    <row r="1167" spans="1:1" ht="15.75" customHeight="1" x14ac:dyDescent="0.2">
      <c r="A1167" s="81">
        <v>1159</v>
      </c>
    </row>
    <row r="1168" spans="1:1" ht="15.75" customHeight="1" x14ac:dyDescent="0.2">
      <c r="A1168" s="82">
        <v>1160</v>
      </c>
    </row>
    <row r="1169" spans="1:1" ht="15.75" customHeight="1" x14ac:dyDescent="0.2">
      <c r="A1169" s="81">
        <v>1161</v>
      </c>
    </row>
    <row r="1170" spans="1:1" ht="15.75" customHeight="1" x14ac:dyDescent="0.2">
      <c r="A1170" s="82">
        <v>1162</v>
      </c>
    </row>
    <row r="1171" spans="1:1" ht="15.75" customHeight="1" x14ac:dyDescent="0.2">
      <c r="A1171" s="81">
        <v>1163</v>
      </c>
    </row>
    <row r="1172" spans="1:1" ht="15.75" customHeight="1" x14ac:dyDescent="0.2">
      <c r="A1172" s="82">
        <v>1164</v>
      </c>
    </row>
    <row r="1173" spans="1:1" ht="15.75" customHeight="1" x14ac:dyDescent="0.2">
      <c r="A1173" s="81">
        <v>1165</v>
      </c>
    </row>
    <row r="1174" spans="1:1" ht="15.75" customHeight="1" x14ac:dyDescent="0.2">
      <c r="A1174" s="82">
        <v>1166</v>
      </c>
    </row>
    <row r="1175" spans="1:1" ht="15.75" customHeight="1" x14ac:dyDescent="0.2">
      <c r="A1175" s="81">
        <v>1167</v>
      </c>
    </row>
    <row r="1176" spans="1:1" ht="15.75" customHeight="1" x14ac:dyDescent="0.2">
      <c r="A1176" s="82">
        <v>1168</v>
      </c>
    </row>
    <row r="1177" spans="1:1" ht="15.75" customHeight="1" x14ac:dyDescent="0.2">
      <c r="A1177" s="81">
        <v>1169</v>
      </c>
    </row>
    <row r="1178" spans="1:1" ht="15.75" customHeight="1" x14ac:dyDescent="0.2">
      <c r="A1178" s="82">
        <v>1170</v>
      </c>
    </row>
    <row r="1179" spans="1:1" ht="15.75" customHeight="1" x14ac:dyDescent="0.2">
      <c r="A1179" s="81">
        <v>1171</v>
      </c>
    </row>
    <row r="1180" spans="1:1" ht="15.75" customHeight="1" x14ac:dyDescent="0.2">
      <c r="A1180" s="82">
        <v>1172</v>
      </c>
    </row>
    <row r="1181" spans="1:1" ht="15.75" customHeight="1" x14ac:dyDescent="0.2">
      <c r="A1181" s="81">
        <v>1173</v>
      </c>
    </row>
    <row r="1182" spans="1:1" ht="15.75" customHeight="1" x14ac:dyDescent="0.2">
      <c r="A1182" s="82">
        <v>1174</v>
      </c>
    </row>
    <row r="1183" spans="1:1" ht="15.75" customHeight="1" x14ac:dyDescent="0.2">
      <c r="A1183" s="81">
        <v>1175</v>
      </c>
    </row>
    <row r="1184" spans="1:1" ht="15.75" customHeight="1" x14ac:dyDescent="0.2">
      <c r="A1184" s="82">
        <v>1176</v>
      </c>
    </row>
    <row r="1185" spans="1:1" ht="15.75" customHeight="1" x14ac:dyDescent="0.2">
      <c r="A1185" s="81">
        <v>1177</v>
      </c>
    </row>
    <row r="1186" spans="1:1" ht="15.75" customHeight="1" x14ac:dyDescent="0.2">
      <c r="A1186" s="82">
        <v>1178</v>
      </c>
    </row>
    <row r="1187" spans="1:1" ht="15.75" customHeight="1" x14ac:dyDescent="0.2">
      <c r="A1187" s="81">
        <v>1179</v>
      </c>
    </row>
    <row r="1188" spans="1:1" ht="15.75" customHeight="1" x14ac:dyDescent="0.2">
      <c r="A1188" s="82">
        <v>1180</v>
      </c>
    </row>
    <row r="1189" spans="1:1" ht="15.75" customHeight="1" x14ac:dyDescent="0.2">
      <c r="A1189" s="81">
        <v>1181</v>
      </c>
    </row>
    <row r="1190" spans="1:1" ht="15.75" customHeight="1" x14ac:dyDescent="0.2">
      <c r="A1190" s="82">
        <v>1182</v>
      </c>
    </row>
    <row r="1191" spans="1:1" ht="15.75" customHeight="1" x14ac:dyDescent="0.2">
      <c r="A1191" s="81">
        <v>1183</v>
      </c>
    </row>
    <row r="1192" spans="1:1" ht="15.75" customHeight="1" x14ac:dyDescent="0.2">
      <c r="A1192" s="82">
        <v>1184</v>
      </c>
    </row>
    <row r="1193" spans="1:1" ht="15.75" customHeight="1" x14ac:dyDescent="0.2">
      <c r="A1193" s="81">
        <v>1185</v>
      </c>
    </row>
    <row r="1194" spans="1:1" ht="15.75" customHeight="1" x14ac:dyDescent="0.2">
      <c r="A1194" s="82">
        <v>1186</v>
      </c>
    </row>
    <row r="1195" spans="1:1" ht="15.75" customHeight="1" x14ac:dyDescent="0.2">
      <c r="A1195" s="81">
        <v>1187</v>
      </c>
    </row>
    <row r="1196" spans="1:1" ht="15.75" customHeight="1" x14ac:dyDescent="0.2">
      <c r="A1196" s="82">
        <v>1188</v>
      </c>
    </row>
    <row r="1197" spans="1:1" ht="15.75" customHeight="1" x14ac:dyDescent="0.2">
      <c r="A1197" s="81">
        <v>1189</v>
      </c>
    </row>
    <row r="1198" spans="1:1" ht="15.75" customHeight="1" x14ac:dyDescent="0.2">
      <c r="A1198" s="82">
        <v>1190</v>
      </c>
    </row>
    <row r="1199" spans="1:1" ht="15.75" customHeight="1" x14ac:dyDescent="0.2">
      <c r="A1199" s="81">
        <v>1191</v>
      </c>
    </row>
    <row r="1200" spans="1:1" ht="15.75" customHeight="1" x14ac:dyDescent="0.2">
      <c r="A1200" s="82">
        <v>1192</v>
      </c>
    </row>
    <row r="1201" spans="1:1" ht="15.75" customHeight="1" x14ac:dyDescent="0.2">
      <c r="A1201" s="81">
        <v>1193</v>
      </c>
    </row>
    <row r="1202" spans="1:1" ht="15.75" customHeight="1" x14ac:dyDescent="0.2">
      <c r="A1202" s="82">
        <v>1194</v>
      </c>
    </row>
    <row r="1203" spans="1:1" ht="15.75" customHeight="1" x14ac:dyDescent="0.2">
      <c r="A1203" s="81">
        <v>1195</v>
      </c>
    </row>
    <row r="1204" spans="1:1" ht="15.75" customHeight="1" x14ac:dyDescent="0.2">
      <c r="A1204" s="82">
        <v>1196</v>
      </c>
    </row>
    <row r="1205" spans="1:1" ht="15.75" customHeight="1" x14ac:dyDescent="0.2">
      <c r="A1205" s="81">
        <v>1197</v>
      </c>
    </row>
    <row r="1206" spans="1:1" ht="15.75" customHeight="1" x14ac:dyDescent="0.2">
      <c r="A1206" s="82">
        <v>1198</v>
      </c>
    </row>
    <row r="1207" spans="1:1" ht="15.75" customHeight="1" x14ac:dyDescent="0.2">
      <c r="A1207" s="81">
        <v>1199</v>
      </c>
    </row>
    <row r="1208" spans="1:1" ht="15.75" customHeight="1" x14ac:dyDescent="0.2">
      <c r="A1208" s="82">
        <v>1200</v>
      </c>
    </row>
    <row r="1209" spans="1:1" ht="15.75" customHeight="1" x14ac:dyDescent="0.2">
      <c r="A1209" s="81">
        <v>1201</v>
      </c>
    </row>
    <row r="1210" spans="1:1" ht="15.75" customHeight="1" x14ac:dyDescent="0.2">
      <c r="A1210" s="82">
        <v>1202</v>
      </c>
    </row>
    <row r="1211" spans="1:1" ht="15.75" customHeight="1" x14ac:dyDescent="0.2">
      <c r="A1211" s="81">
        <v>1203</v>
      </c>
    </row>
    <row r="1212" spans="1:1" ht="15.75" customHeight="1" x14ac:dyDescent="0.2">
      <c r="A1212" s="82">
        <v>1204</v>
      </c>
    </row>
    <row r="1213" spans="1:1" ht="15.75" customHeight="1" x14ac:dyDescent="0.2">
      <c r="A1213" s="81">
        <v>1205</v>
      </c>
    </row>
    <row r="1214" spans="1:1" ht="15.75" customHeight="1" x14ac:dyDescent="0.2">
      <c r="A1214" s="82">
        <v>1206</v>
      </c>
    </row>
    <row r="1215" spans="1:1" ht="15.75" customHeight="1" x14ac:dyDescent="0.2">
      <c r="A1215" s="81">
        <v>1207</v>
      </c>
    </row>
    <row r="1216" spans="1:1" ht="15.75" customHeight="1" x14ac:dyDescent="0.2">
      <c r="A1216" s="82">
        <v>1208</v>
      </c>
    </row>
    <row r="1217" spans="1:1" ht="15.75" customHeight="1" x14ac:dyDescent="0.2">
      <c r="A1217" s="81">
        <v>1209</v>
      </c>
    </row>
    <row r="1218" spans="1:1" ht="15.75" customHeight="1" x14ac:dyDescent="0.2">
      <c r="A1218" s="82">
        <v>1210</v>
      </c>
    </row>
    <row r="1219" spans="1:1" ht="15.75" customHeight="1" x14ac:dyDescent="0.2">
      <c r="A1219" s="81">
        <v>1211</v>
      </c>
    </row>
    <row r="1220" spans="1:1" ht="15.75" customHeight="1" x14ac:dyDescent="0.2">
      <c r="A1220" s="82">
        <v>1212</v>
      </c>
    </row>
    <row r="1221" spans="1:1" ht="15.75" customHeight="1" x14ac:dyDescent="0.2">
      <c r="A1221" s="81">
        <v>1213</v>
      </c>
    </row>
    <row r="1222" spans="1:1" ht="15.75" customHeight="1" x14ac:dyDescent="0.2">
      <c r="A1222" s="82">
        <v>1214</v>
      </c>
    </row>
    <row r="1223" spans="1:1" ht="15.75" customHeight="1" x14ac:dyDescent="0.2">
      <c r="A1223" s="81">
        <v>1215</v>
      </c>
    </row>
    <row r="1224" spans="1:1" ht="15.75" customHeight="1" x14ac:dyDescent="0.2">
      <c r="A1224" s="82">
        <v>1216</v>
      </c>
    </row>
    <row r="1225" spans="1:1" ht="15.75" customHeight="1" x14ac:dyDescent="0.2">
      <c r="A1225" s="81">
        <v>1217</v>
      </c>
    </row>
    <row r="1226" spans="1:1" ht="15.75" customHeight="1" x14ac:dyDescent="0.2">
      <c r="A1226" s="82">
        <v>1218</v>
      </c>
    </row>
    <row r="1227" spans="1:1" ht="15.75" customHeight="1" x14ac:dyDescent="0.2">
      <c r="A1227" s="81">
        <v>1219</v>
      </c>
    </row>
    <row r="1228" spans="1:1" ht="15.75" customHeight="1" x14ac:dyDescent="0.2">
      <c r="A1228" s="82">
        <v>1220</v>
      </c>
    </row>
    <row r="1229" spans="1:1" ht="15.75" customHeight="1" x14ac:dyDescent="0.2">
      <c r="A1229" s="81">
        <v>1221</v>
      </c>
    </row>
    <row r="1230" spans="1:1" ht="15.75" customHeight="1" x14ac:dyDescent="0.2">
      <c r="A1230" s="82">
        <v>1222</v>
      </c>
    </row>
    <row r="1231" spans="1:1" ht="15.75" customHeight="1" x14ac:dyDescent="0.2">
      <c r="A1231" s="81">
        <v>1223</v>
      </c>
    </row>
    <row r="1232" spans="1:1" ht="15.75" customHeight="1" x14ac:dyDescent="0.2">
      <c r="A1232" s="82">
        <v>1224</v>
      </c>
    </row>
    <row r="1233" spans="1:1" ht="15.75" customHeight="1" x14ac:dyDescent="0.2">
      <c r="A1233" s="81">
        <v>1225</v>
      </c>
    </row>
    <row r="1234" spans="1:1" ht="15.75" customHeight="1" x14ac:dyDescent="0.2">
      <c r="A1234" s="82">
        <v>1226</v>
      </c>
    </row>
    <row r="1235" spans="1:1" ht="15.75" customHeight="1" x14ac:dyDescent="0.2">
      <c r="A1235" s="81">
        <v>1227</v>
      </c>
    </row>
    <row r="1236" spans="1:1" ht="15.75" customHeight="1" x14ac:dyDescent="0.2">
      <c r="A1236" s="82">
        <v>1228</v>
      </c>
    </row>
    <row r="1237" spans="1:1" ht="15.75" customHeight="1" x14ac:dyDescent="0.2">
      <c r="A1237" s="81">
        <v>1229</v>
      </c>
    </row>
    <row r="1238" spans="1:1" ht="15.75" customHeight="1" x14ac:dyDescent="0.2">
      <c r="A1238" s="82">
        <v>1230</v>
      </c>
    </row>
    <row r="1239" spans="1:1" ht="15.75" customHeight="1" x14ac:dyDescent="0.2">
      <c r="A1239" s="81">
        <v>1231</v>
      </c>
    </row>
    <row r="1240" spans="1:1" ht="15.75" customHeight="1" x14ac:dyDescent="0.2">
      <c r="A1240" s="82">
        <v>1232</v>
      </c>
    </row>
    <row r="1241" spans="1:1" ht="15.75" customHeight="1" x14ac:dyDescent="0.2">
      <c r="A1241" s="81">
        <v>1233</v>
      </c>
    </row>
    <row r="1242" spans="1:1" ht="15.75" customHeight="1" x14ac:dyDescent="0.2">
      <c r="A1242" s="82">
        <v>1234</v>
      </c>
    </row>
    <row r="1243" spans="1:1" ht="15.75" customHeight="1" x14ac:dyDescent="0.2">
      <c r="A1243" s="81">
        <v>1235</v>
      </c>
    </row>
    <row r="1244" spans="1:1" ht="15.75" customHeight="1" x14ac:dyDescent="0.2">
      <c r="A1244" s="82">
        <v>1236</v>
      </c>
    </row>
    <row r="1245" spans="1:1" ht="15.75" customHeight="1" x14ac:dyDescent="0.2">
      <c r="A1245" s="81">
        <v>1237</v>
      </c>
    </row>
    <row r="1246" spans="1:1" ht="15.75" customHeight="1" x14ac:dyDescent="0.2">
      <c r="A1246" s="82">
        <v>1238</v>
      </c>
    </row>
    <row r="1247" spans="1:1" ht="15.75" customHeight="1" x14ac:dyDescent="0.2">
      <c r="A1247" s="81">
        <v>1239</v>
      </c>
    </row>
    <row r="1248" spans="1:1" ht="15.75" customHeight="1" x14ac:dyDescent="0.2">
      <c r="A1248" s="82">
        <v>1240</v>
      </c>
    </row>
    <row r="1249" spans="1:1" ht="15.75" customHeight="1" x14ac:dyDescent="0.2">
      <c r="A1249" s="81">
        <v>1241</v>
      </c>
    </row>
    <row r="1250" spans="1:1" ht="15.75" customHeight="1" x14ac:dyDescent="0.2">
      <c r="A1250" s="82">
        <v>1242</v>
      </c>
    </row>
    <row r="1251" spans="1:1" ht="15.75" customHeight="1" x14ac:dyDescent="0.2">
      <c r="A1251" s="81">
        <v>1243</v>
      </c>
    </row>
    <row r="1252" spans="1:1" ht="15.75" customHeight="1" x14ac:dyDescent="0.2">
      <c r="A1252" s="82">
        <v>1244</v>
      </c>
    </row>
    <row r="1253" spans="1:1" ht="15.75" customHeight="1" x14ac:dyDescent="0.2">
      <c r="A1253" s="81">
        <v>1245</v>
      </c>
    </row>
    <row r="1254" spans="1:1" ht="15.75" customHeight="1" x14ac:dyDescent="0.2">
      <c r="A1254" s="82">
        <v>1246</v>
      </c>
    </row>
    <row r="1255" spans="1:1" ht="15.75" customHeight="1" x14ac:dyDescent="0.2">
      <c r="A1255" s="81">
        <v>1247</v>
      </c>
    </row>
    <row r="1256" spans="1:1" ht="15.75" customHeight="1" x14ac:dyDescent="0.2">
      <c r="A1256" s="82">
        <v>1248</v>
      </c>
    </row>
    <row r="1257" spans="1:1" ht="15.75" customHeight="1" x14ac:dyDescent="0.2">
      <c r="A1257" s="81">
        <v>1249</v>
      </c>
    </row>
    <row r="1258" spans="1:1" ht="15.75" customHeight="1" x14ac:dyDescent="0.2">
      <c r="A1258" s="82">
        <v>1250</v>
      </c>
    </row>
    <row r="1259" spans="1:1" ht="15.75" customHeight="1" x14ac:dyDescent="0.2">
      <c r="A1259" s="81">
        <v>1251</v>
      </c>
    </row>
    <row r="1260" spans="1:1" ht="15.75" customHeight="1" x14ac:dyDescent="0.2">
      <c r="A1260" s="82">
        <v>1252</v>
      </c>
    </row>
    <row r="1261" spans="1:1" ht="15.75" customHeight="1" x14ac:dyDescent="0.2">
      <c r="A1261" s="81">
        <v>1253</v>
      </c>
    </row>
    <row r="1262" spans="1:1" ht="15.75" customHeight="1" x14ac:dyDescent="0.2">
      <c r="A1262" s="82">
        <v>1254</v>
      </c>
    </row>
    <row r="1263" spans="1:1" ht="15.75" customHeight="1" x14ac:dyDescent="0.2">
      <c r="A1263" s="81">
        <v>1255</v>
      </c>
    </row>
    <row r="1264" spans="1:1" ht="15.75" customHeight="1" x14ac:dyDescent="0.2">
      <c r="A1264" s="82">
        <v>1256</v>
      </c>
    </row>
    <row r="1265" spans="1:1" ht="15.75" customHeight="1" x14ac:dyDescent="0.2">
      <c r="A1265" s="81">
        <v>1257</v>
      </c>
    </row>
    <row r="1266" spans="1:1" ht="15.75" customHeight="1" x14ac:dyDescent="0.2">
      <c r="A1266" s="82">
        <v>1258</v>
      </c>
    </row>
    <row r="1267" spans="1:1" ht="15.75" customHeight="1" x14ac:dyDescent="0.2">
      <c r="A1267" s="81">
        <v>1259</v>
      </c>
    </row>
    <row r="1268" spans="1:1" ht="15.75" customHeight="1" x14ac:dyDescent="0.2">
      <c r="A1268" s="82">
        <v>1260</v>
      </c>
    </row>
    <row r="1269" spans="1:1" ht="15.75" customHeight="1" x14ac:dyDescent="0.2">
      <c r="A1269" s="81">
        <v>1261</v>
      </c>
    </row>
    <row r="1270" spans="1:1" ht="15.75" customHeight="1" x14ac:dyDescent="0.2">
      <c r="A1270" s="82">
        <v>1262</v>
      </c>
    </row>
    <row r="1271" spans="1:1" ht="15.75" customHeight="1" x14ac:dyDescent="0.2">
      <c r="A1271" s="81">
        <v>1263</v>
      </c>
    </row>
    <row r="1272" spans="1:1" ht="15.75" customHeight="1" x14ac:dyDescent="0.2">
      <c r="A1272" s="82">
        <v>1264</v>
      </c>
    </row>
    <row r="1273" spans="1:1" ht="15.75" customHeight="1" x14ac:dyDescent="0.2">
      <c r="A1273" s="81">
        <v>1265</v>
      </c>
    </row>
    <row r="1274" spans="1:1" ht="15.75" customHeight="1" x14ac:dyDescent="0.2">
      <c r="A1274" s="82">
        <v>1266</v>
      </c>
    </row>
    <row r="1275" spans="1:1" ht="15.75" customHeight="1" x14ac:dyDescent="0.2">
      <c r="A1275" s="81">
        <v>1267</v>
      </c>
    </row>
    <row r="1276" spans="1:1" ht="15.75" customHeight="1" x14ac:dyDescent="0.2">
      <c r="A1276" s="82">
        <v>1268</v>
      </c>
    </row>
    <row r="1277" spans="1:1" ht="15.75" customHeight="1" x14ac:dyDescent="0.2">
      <c r="A1277" s="81">
        <v>1269</v>
      </c>
    </row>
    <row r="1278" spans="1:1" ht="15.75" customHeight="1" x14ac:dyDescent="0.2">
      <c r="A1278" s="82">
        <v>1270</v>
      </c>
    </row>
    <row r="1279" spans="1:1" ht="15.75" customHeight="1" x14ac:dyDescent="0.2">
      <c r="A1279" s="81">
        <v>1271</v>
      </c>
    </row>
    <row r="1280" spans="1:1" ht="15.75" customHeight="1" x14ac:dyDescent="0.2">
      <c r="A1280" s="82">
        <v>1272</v>
      </c>
    </row>
    <row r="1281" spans="1:1" ht="15.75" customHeight="1" x14ac:dyDescent="0.2">
      <c r="A1281" s="81">
        <v>1273</v>
      </c>
    </row>
    <row r="1282" spans="1:1" ht="15.75" customHeight="1" x14ac:dyDescent="0.2">
      <c r="A1282" s="82">
        <v>1274</v>
      </c>
    </row>
    <row r="1283" spans="1:1" ht="15.75" customHeight="1" x14ac:dyDescent="0.2">
      <c r="A1283" s="81">
        <v>1275</v>
      </c>
    </row>
    <row r="1284" spans="1:1" ht="15.75" customHeight="1" x14ac:dyDescent="0.2">
      <c r="A1284" s="82">
        <v>1276</v>
      </c>
    </row>
    <row r="1285" spans="1:1" ht="15.75" customHeight="1" x14ac:dyDescent="0.2">
      <c r="A1285" s="81">
        <v>1277</v>
      </c>
    </row>
    <row r="1286" spans="1:1" ht="15.75" customHeight="1" x14ac:dyDescent="0.2">
      <c r="A1286" s="82">
        <v>1278</v>
      </c>
    </row>
    <row r="1287" spans="1:1" ht="15.75" customHeight="1" x14ac:dyDescent="0.2">
      <c r="A1287" s="81">
        <v>1279</v>
      </c>
    </row>
    <row r="1288" spans="1:1" ht="15.75" customHeight="1" x14ac:dyDescent="0.2">
      <c r="A1288" s="82">
        <v>1280</v>
      </c>
    </row>
    <row r="1289" spans="1:1" ht="15.75" customHeight="1" x14ac:dyDescent="0.2">
      <c r="A1289" s="81">
        <v>1281</v>
      </c>
    </row>
    <row r="1290" spans="1:1" ht="15.75" customHeight="1" x14ac:dyDescent="0.2">
      <c r="A1290" s="82">
        <v>1282</v>
      </c>
    </row>
    <row r="1291" spans="1:1" ht="15.75" customHeight="1" x14ac:dyDescent="0.2">
      <c r="A1291" s="81">
        <v>1283</v>
      </c>
    </row>
    <row r="1292" spans="1:1" ht="15.75" customHeight="1" x14ac:dyDescent="0.2">
      <c r="A1292" s="82">
        <v>1284</v>
      </c>
    </row>
    <row r="1293" spans="1:1" ht="15.75" customHeight="1" x14ac:dyDescent="0.2">
      <c r="A1293" s="81">
        <v>1285</v>
      </c>
    </row>
    <row r="1294" spans="1:1" ht="15.75" customHeight="1" x14ac:dyDescent="0.2">
      <c r="A1294" s="82">
        <v>1286</v>
      </c>
    </row>
    <row r="1295" spans="1:1" ht="15.75" customHeight="1" x14ac:dyDescent="0.2">
      <c r="A1295" s="81">
        <v>1287</v>
      </c>
    </row>
    <row r="1296" spans="1:1" ht="15.75" customHeight="1" x14ac:dyDescent="0.2">
      <c r="A1296" s="82">
        <v>1288</v>
      </c>
    </row>
    <row r="1297" spans="1:1" ht="15.75" customHeight="1" x14ac:dyDescent="0.2">
      <c r="A1297" s="81">
        <v>1289</v>
      </c>
    </row>
    <row r="1298" spans="1:1" ht="15.75" customHeight="1" x14ac:dyDescent="0.2">
      <c r="A1298" s="82">
        <v>1290</v>
      </c>
    </row>
    <row r="1299" spans="1:1" ht="15.75" customHeight="1" x14ac:dyDescent="0.2">
      <c r="A1299" s="81">
        <v>1291</v>
      </c>
    </row>
    <row r="1300" spans="1:1" ht="15.75" customHeight="1" x14ac:dyDescent="0.2">
      <c r="A1300" s="82">
        <v>1292</v>
      </c>
    </row>
    <row r="1301" spans="1:1" ht="15.75" customHeight="1" x14ac:dyDescent="0.2">
      <c r="A1301" s="81">
        <v>1293</v>
      </c>
    </row>
    <row r="1302" spans="1:1" ht="15.75" customHeight="1" x14ac:dyDescent="0.2">
      <c r="A1302" s="82">
        <v>1294</v>
      </c>
    </row>
    <row r="1303" spans="1:1" ht="15.75" customHeight="1" x14ac:dyDescent="0.2">
      <c r="A1303" s="81">
        <v>1295</v>
      </c>
    </row>
    <row r="1304" spans="1:1" ht="15.75" customHeight="1" x14ac:dyDescent="0.2">
      <c r="A1304" s="82">
        <v>1296</v>
      </c>
    </row>
    <row r="1305" spans="1:1" ht="15.75" customHeight="1" x14ac:dyDescent="0.2">
      <c r="A1305" s="81">
        <v>1297</v>
      </c>
    </row>
    <row r="1306" spans="1:1" ht="15.75" customHeight="1" x14ac:dyDescent="0.2">
      <c r="A1306" s="82">
        <v>1298</v>
      </c>
    </row>
    <row r="1307" spans="1:1" ht="15.75" customHeight="1" x14ac:dyDescent="0.2">
      <c r="A1307" s="81">
        <v>1299</v>
      </c>
    </row>
    <row r="1308" spans="1:1" ht="15.75" customHeight="1" x14ac:dyDescent="0.2">
      <c r="A1308" s="82">
        <v>1300</v>
      </c>
    </row>
    <row r="1309" spans="1:1" ht="15.75" customHeight="1" x14ac:dyDescent="0.2">
      <c r="A1309" s="81">
        <v>1301</v>
      </c>
    </row>
    <row r="1310" spans="1:1" ht="15.75" customHeight="1" x14ac:dyDescent="0.2">
      <c r="A1310" s="82">
        <v>1302</v>
      </c>
    </row>
    <row r="1311" spans="1:1" ht="15.75" customHeight="1" x14ac:dyDescent="0.2">
      <c r="A1311" s="81">
        <v>1303</v>
      </c>
    </row>
    <row r="1312" spans="1:1" ht="15.75" customHeight="1" x14ac:dyDescent="0.2">
      <c r="A1312" s="82">
        <v>1304</v>
      </c>
    </row>
    <row r="1313" spans="1:1" ht="15.75" customHeight="1" x14ac:dyDescent="0.2">
      <c r="A1313" s="81">
        <v>1305</v>
      </c>
    </row>
    <row r="1314" spans="1:1" ht="15.75" customHeight="1" x14ac:dyDescent="0.2">
      <c r="A1314" s="82">
        <v>1306</v>
      </c>
    </row>
    <row r="1315" spans="1:1" ht="15.75" customHeight="1" x14ac:dyDescent="0.2">
      <c r="A1315" s="81">
        <v>1307</v>
      </c>
    </row>
    <row r="1316" spans="1:1" ht="15.75" customHeight="1" x14ac:dyDescent="0.2">
      <c r="A1316" s="82">
        <v>1308</v>
      </c>
    </row>
    <row r="1317" spans="1:1" ht="15.75" customHeight="1" x14ac:dyDescent="0.2">
      <c r="A1317" s="81">
        <v>1309</v>
      </c>
    </row>
    <row r="1318" spans="1:1" ht="15.75" customHeight="1" x14ac:dyDescent="0.2">
      <c r="A1318" s="82">
        <v>1310</v>
      </c>
    </row>
    <row r="1319" spans="1:1" ht="15.75" customHeight="1" x14ac:dyDescent="0.2">
      <c r="A1319" s="81">
        <v>1311</v>
      </c>
    </row>
    <row r="1320" spans="1:1" ht="15.75" customHeight="1" x14ac:dyDescent="0.2">
      <c r="A1320" s="82">
        <v>1312</v>
      </c>
    </row>
    <row r="1321" spans="1:1" ht="15.75" customHeight="1" x14ac:dyDescent="0.2">
      <c r="A1321" s="81">
        <v>1313</v>
      </c>
    </row>
    <row r="1322" spans="1:1" ht="15.75" customHeight="1" x14ac:dyDescent="0.2">
      <c r="A1322" s="82">
        <v>1314</v>
      </c>
    </row>
    <row r="1323" spans="1:1" ht="15.75" customHeight="1" x14ac:dyDescent="0.2">
      <c r="A1323" s="81">
        <v>1315</v>
      </c>
    </row>
    <row r="1324" spans="1:1" ht="15.75" customHeight="1" x14ac:dyDescent="0.2">
      <c r="A1324" s="82">
        <v>1316</v>
      </c>
    </row>
    <row r="1325" spans="1:1" ht="15.75" customHeight="1" x14ac:dyDescent="0.2">
      <c r="A1325" s="81">
        <v>1317</v>
      </c>
    </row>
    <row r="1326" spans="1:1" ht="15.75" customHeight="1" x14ac:dyDescent="0.2">
      <c r="A1326" s="82">
        <v>1318</v>
      </c>
    </row>
    <row r="1327" spans="1:1" ht="15.75" customHeight="1" x14ac:dyDescent="0.2">
      <c r="A1327" s="81">
        <v>1319</v>
      </c>
    </row>
    <row r="1328" spans="1:1" ht="15.75" customHeight="1" x14ac:dyDescent="0.2">
      <c r="A1328" s="82">
        <v>1320</v>
      </c>
    </row>
    <row r="1329" spans="1:1" ht="15.75" customHeight="1" x14ac:dyDescent="0.2">
      <c r="A1329" s="81">
        <v>1321</v>
      </c>
    </row>
    <row r="1330" spans="1:1" ht="15.75" customHeight="1" x14ac:dyDescent="0.2">
      <c r="A1330" s="82">
        <v>1322</v>
      </c>
    </row>
    <row r="1331" spans="1:1" ht="15.75" customHeight="1" x14ac:dyDescent="0.2">
      <c r="A1331" s="81">
        <v>1323</v>
      </c>
    </row>
    <row r="1332" spans="1:1" ht="15.75" customHeight="1" x14ac:dyDescent="0.2">
      <c r="A1332" s="82">
        <v>1324</v>
      </c>
    </row>
    <row r="1333" spans="1:1" ht="15.75" customHeight="1" x14ac:dyDescent="0.2">
      <c r="A1333" s="81">
        <v>1325</v>
      </c>
    </row>
    <row r="1334" spans="1:1" ht="15.75" customHeight="1" x14ac:dyDescent="0.2">
      <c r="A1334" s="82">
        <v>1326</v>
      </c>
    </row>
    <row r="1335" spans="1:1" ht="15.75" customHeight="1" x14ac:dyDescent="0.2">
      <c r="A1335" s="81">
        <v>1327</v>
      </c>
    </row>
    <row r="1336" spans="1:1" ht="15.75" customHeight="1" x14ac:dyDescent="0.2">
      <c r="A1336" s="82">
        <v>1328</v>
      </c>
    </row>
    <row r="1337" spans="1:1" ht="15.75" customHeight="1" x14ac:dyDescent="0.2">
      <c r="A1337" s="81">
        <v>1329</v>
      </c>
    </row>
    <row r="1338" spans="1:1" ht="15.75" customHeight="1" x14ac:dyDescent="0.2">
      <c r="A1338" s="82">
        <v>1330</v>
      </c>
    </row>
    <row r="1339" spans="1:1" ht="15.75" customHeight="1" x14ac:dyDescent="0.2">
      <c r="A1339" s="81">
        <v>1331</v>
      </c>
    </row>
    <row r="1340" spans="1:1" ht="15.75" customHeight="1" x14ac:dyDescent="0.2">
      <c r="A1340" s="82">
        <v>1332</v>
      </c>
    </row>
    <row r="1341" spans="1:1" ht="15.75" customHeight="1" x14ac:dyDescent="0.2">
      <c r="A1341" s="81">
        <v>1333</v>
      </c>
    </row>
    <row r="1342" spans="1:1" ht="15.75" customHeight="1" x14ac:dyDescent="0.2">
      <c r="A1342" s="82">
        <v>1334</v>
      </c>
    </row>
    <row r="1343" spans="1:1" ht="15.75" customHeight="1" x14ac:dyDescent="0.2">
      <c r="A1343" s="81">
        <v>1335</v>
      </c>
    </row>
    <row r="1344" spans="1:1" ht="15.75" customHeight="1" x14ac:dyDescent="0.2">
      <c r="A1344" s="82">
        <v>1336</v>
      </c>
    </row>
    <row r="1345" spans="1:1" ht="15.75" customHeight="1" x14ac:dyDescent="0.2">
      <c r="A1345" s="81">
        <v>1337</v>
      </c>
    </row>
    <row r="1346" spans="1:1" ht="15.75" customHeight="1" x14ac:dyDescent="0.2">
      <c r="A1346" s="82">
        <v>1338</v>
      </c>
    </row>
    <row r="1347" spans="1:1" ht="15.75" customHeight="1" x14ac:dyDescent="0.2">
      <c r="A1347" s="81">
        <v>1339</v>
      </c>
    </row>
    <row r="1348" spans="1:1" ht="15.75" customHeight="1" x14ac:dyDescent="0.2">
      <c r="A1348" s="82">
        <v>1340</v>
      </c>
    </row>
    <row r="1349" spans="1:1" ht="15.75" customHeight="1" x14ac:dyDescent="0.2">
      <c r="A1349" s="81">
        <v>1341</v>
      </c>
    </row>
    <row r="1350" spans="1:1" ht="15.75" customHeight="1" x14ac:dyDescent="0.2">
      <c r="A1350" s="82">
        <v>1342</v>
      </c>
    </row>
    <row r="1351" spans="1:1" ht="15.75" customHeight="1" x14ac:dyDescent="0.2">
      <c r="A1351" s="81">
        <v>1343</v>
      </c>
    </row>
    <row r="1352" spans="1:1" ht="15.75" customHeight="1" x14ac:dyDescent="0.2">
      <c r="A1352" s="82">
        <v>1344</v>
      </c>
    </row>
    <row r="1353" spans="1:1" ht="15.75" customHeight="1" x14ac:dyDescent="0.2">
      <c r="A1353" s="81">
        <v>1345</v>
      </c>
    </row>
    <row r="1354" spans="1:1" ht="15.75" customHeight="1" x14ac:dyDescent="0.2">
      <c r="A1354" s="82">
        <v>1346</v>
      </c>
    </row>
    <row r="1355" spans="1:1" ht="15.75" customHeight="1" x14ac:dyDescent="0.2">
      <c r="A1355" s="81">
        <v>1347</v>
      </c>
    </row>
    <row r="1356" spans="1:1" ht="15.75" customHeight="1" x14ac:dyDescent="0.2">
      <c r="A1356" s="82">
        <v>1348</v>
      </c>
    </row>
    <row r="1357" spans="1:1" ht="15.75" customHeight="1" x14ac:dyDescent="0.2">
      <c r="A1357" s="81">
        <v>1349</v>
      </c>
    </row>
    <row r="1358" spans="1:1" ht="15.75" customHeight="1" x14ac:dyDescent="0.2">
      <c r="A1358" s="82">
        <v>1350</v>
      </c>
    </row>
    <row r="1359" spans="1:1" ht="15.75" customHeight="1" x14ac:dyDescent="0.2">
      <c r="A1359" s="81">
        <v>1351</v>
      </c>
    </row>
    <row r="1360" spans="1:1" ht="15.75" customHeight="1" x14ac:dyDescent="0.2">
      <c r="A1360" s="82">
        <v>1352</v>
      </c>
    </row>
    <row r="1361" spans="1:1" ht="15.75" customHeight="1" x14ac:dyDescent="0.2">
      <c r="A1361" s="81">
        <v>1353</v>
      </c>
    </row>
    <row r="1362" spans="1:1" ht="15.75" customHeight="1" x14ac:dyDescent="0.2">
      <c r="A1362" s="82">
        <v>1354</v>
      </c>
    </row>
    <row r="1363" spans="1:1" ht="15.75" customHeight="1" x14ac:dyDescent="0.2">
      <c r="A1363" s="81">
        <v>1355</v>
      </c>
    </row>
    <row r="1364" spans="1:1" ht="15.75" customHeight="1" x14ac:dyDescent="0.2">
      <c r="A1364" s="82">
        <v>1356</v>
      </c>
    </row>
    <row r="1365" spans="1:1" ht="15.75" customHeight="1" x14ac:dyDescent="0.2">
      <c r="A1365" s="81">
        <v>1357</v>
      </c>
    </row>
    <row r="1366" spans="1:1" ht="15.75" customHeight="1" x14ac:dyDescent="0.2">
      <c r="A1366" s="82">
        <v>1358</v>
      </c>
    </row>
    <row r="1367" spans="1:1" ht="15.75" customHeight="1" x14ac:dyDescent="0.2">
      <c r="A1367" s="81">
        <v>1359</v>
      </c>
    </row>
    <row r="1368" spans="1:1" ht="15.75" customHeight="1" x14ac:dyDescent="0.2">
      <c r="A1368" s="82">
        <v>1360</v>
      </c>
    </row>
    <row r="1369" spans="1:1" ht="15.75" customHeight="1" x14ac:dyDescent="0.2">
      <c r="A1369" s="81">
        <v>1361</v>
      </c>
    </row>
    <row r="1370" spans="1:1" ht="15.75" customHeight="1" x14ac:dyDescent="0.2">
      <c r="A1370" s="82">
        <v>1362</v>
      </c>
    </row>
    <row r="1371" spans="1:1" ht="15.75" customHeight="1" x14ac:dyDescent="0.2">
      <c r="A1371" s="81">
        <v>1363</v>
      </c>
    </row>
    <row r="1372" spans="1:1" ht="15.75" customHeight="1" x14ac:dyDescent="0.2">
      <c r="A1372" s="82">
        <v>1364</v>
      </c>
    </row>
    <row r="1373" spans="1:1" ht="15.75" customHeight="1" x14ac:dyDescent="0.2">
      <c r="A1373" s="81">
        <v>1365</v>
      </c>
    </row>
    <row r="1374" spans="1:1" ht="15.75" customHeight="1" x14ac:dyDescent="0.2">
      <c r="A1374" s="82">
        <v>1366</v>
      </c>
    </row>
    <row r="1375" spans="1:1" ht="15.75" customHeight="1" x14ac:dyDescent="0.2">
      <c r="A1375" s="81">
        <v>1367</v>
      </c>
    </row>
    <row r="1376" spans="1:1" ht="15.75" customHeight="1" x14ac:dyDescent="0.2">
      <c r="A1376" s="82">
        <v>1368</v>
      </c>
    </row>
    <row r="1377" spans="1:1" ht="15.75" customHeight="1" x14ac:dyDescent="0.2">
      <c r="A1377" s="81">
        <v>1369</v>
      </c>
    </row>
    <row r="1378" spans="1:1" ht="15.75" customHeight="1" x14ac:dyDescent="0.2">
      <c r="A1378" s="82">
        <v>1370</v>
      </c>
    </row>
    <row r="1379" spans="1:1" ht="15.75" customHeight="1" x14ac:dyDescent="0.2">
      <c r="A1379" s="81">
        <v>1371</v>
      </c>
    </row>
    <row r="1380" spans="1:1" ht="15.75" customHeight="1" x14ac:dyDescent="0.2">
      <c r="A1380" s="82">
        <v>1372</v>
      </c>
    </row>
    <row r="1381" spans="1:1" ht="15.75" customHeight="1" x14ac:dyDescent="0.2">
      <c r="A1381" s="81">
        <v>1373</v>
      </c>
    </row>
    <row r="1382" spans="1:1" ht="15.75" customHeight="1" x14ac:dyDescent="0.2">
      <c r="A1382" s="82">
        <v>1374</v>
      </c>
    </row>
    <row r="1383" spans="1:1" ht="15.75" customHeight="1" x14ac:dyDescent="0.2">
      <c r="A1383" s="81">
        <v>1375</v>
      </c>
    </row>
    <row r="1384" spans="1:1" ht="15.75" customHeight="1" x14ac:dyDescent="0.2">
      <c r="A1384" s="82">
        <v>1376</v>
      </c>
    </row>
    <row r="1385" spans="1:1" ht="15.75" customHeight="1" x14ac:dyDescent="0.2">
      <c r="A1385" s="81">
        <v>1377</v>
      </c>
    </row>
    <row r="1386" spans="1:1" ht="15.75" customHeight="1" x14ac:dyDescent="0.2">
      <c r="A1386" s="82">
        <v>1378</v>
      </c>
    </row>
    <row r="1387" spans="1:1" ht="15.75" customHeight="1" x14ac:dyDescent="0.2">
      <c r="A1387" s="81">
        <v>1379</v>
      </c>
    </row>
    <row r="1388" spans="1:1" ht="15.75" customHeight="1" x14ac:dyDescent="0.2">
      <c r="A1388" s="82">
        <v>1380</v>
      </c>
    </row>
    <row r="1389" spans="1:1" ht="15.75" customHeight="1" x14ac:dyDescent="0.2">
      <c r="A1389" s="81">
        <v>1381</v>
      </c>
    </row>
    <row r="1390" spans="1:1" ht="15.75" customHeight="1" x14ac:dyDescent="0.2">
      <c r="A1390" s="82">
        <v>1382</v>
      </c>
    </row>
    <row r="1391" spans="1:1" ht="15.75" customHeight="1" x14ac:dyDescent="0.2">
      <c r="A1391" s="81">
        <v>1383</v>
      </c>
    </row>
    <row r="1392" spans="1:1" ht="15.75" customHeight="1" x14ac:dyDescent="0.2">
      <c r="A1392" s="82">
        <v>1384</v>
      </c>
    </row>
    <row r="1393" spans="1:1" ht="15.75" customHeight="1" x14ac:dyDescent="0.2">
      <c r="A1393" s="81">
        <v>1385</v>
      </c>
    </row>
    <row r="1394" spans="1:1" ht="15.75" customHeight="1" x14ac:dyDescent="0.2">
      <c r="A1394" s="82">
        <v>1386</v>
      </c>
    </row>
    <row r="1395" spans="1:1" ht="15.75" customHeight="1" x14ac:dyDescent="0.2">
      <c r="A1395" s="81">
        <v>1387</v>
      </c>
    </row>
    <row r="1396" spans="1:1" ht="15.75" customHeight="1" x14ac:dyDescent="0.2">
      <c r="A1396" s="82">
        <v>1388</v>
      </c>
    </row>
    <row r="1397" spans="1:1" ht="15.75" customHeight="1" x14ac:dyDescent="0.2">
      <c r="A1397" s="81">
        <v>1389</v>
      </c>
    </row>
    <row r="1398" spans="1:1" ht="15.75" customHeight="1" x14ac:dyDescent="0.2">
      <c r="A1398" s="82">
        <v>1390</v>
      </c>
    </row>
    <row r="1399" spans="1:1" ht="15.75" customHeight="1" x14ac:dyDescent="0.2">
      <c r="A1399" s="81">
        <v>1391</v>
      </c>
    </row>
    <row r="1400" spans="1:1" ht="15.75" customHeight="1" x14ac:dyDescent="0.2">
      <c r="A1400" s="82">
        <v>1392</v>
      </c>
    </row>
    <row r="1401" spans="1:1" ht="15.75" customHeight="1" x14ac:dyDescent="0.2">
      <c r="A1401" s="81">
        <v>1393</v>
      </c>
    </row>
    <row r="1402" spans="1:1" ht="15.75" customHeight="1" x14ac:dyDescent="0.2">
      <c r="A1402" s="82">
        <v>1394</v>
      </c>
    </row>
    <row r="1403" spans="1:1" ht="15.75" customHeight="1" x14ac:dyDescent="0.2">
      <c r="A1403" s="81">
        <v>1395</v>
      </c>
    </row>
    <row r="1404" spans="1:1" ht="15.75" customHeight="1" x14ac:dyDescent="0.2">
      <c r="A1404" s="82">
        <v>1396</v>
      </c>
    </row>
    <row r="1405" spans="1:1" ht="15.75" customHeight="1" x14ac:dyDescent="0.2">
      <c r="A1405" s="81">
        <v>1397</v>
      </c>
    </row>
    <row r="1406" spans="1:1" ht="15.75" customHeight="1" x14ac:dyDescent="0.2">
      <c r="A1406" s="82">
        <v>1398</v>
      </c>
    </row>
    <row r="1407" spans="1:1" ht="15.75" customHeight="1" x14ac:dyDescent="0.2">
      <c r="A1407" s="81">
        <v>1399</v>
      </c>
    </row>
    <row r="1408" spans="1:1" ht="15.75" customHeight="1" x14ac:dyDescent="0.2">
      <c r="A1408" s="82">
        <v>1400</v>
      </c>
    </row>
    <row r="1409" spans="1:1" ht="15.75" customHeight="1" x14ac:dyDescent="0.2">
      <c r="A1409" s="81">
        <v>1401</v>
      </c>
    </row>
    <row r="1410" spans="1:1" ht="15.75" customHeight="1" x14ac:dyDescent="0.2">
      <c r="A1410" s="82">
        <v>1402</v>
      </c>
    </row>
    <row r="1411" spans="1:1" ht="15.75" customHeight="1" x14ac:dyDescent="0.2">
      <c r="A1411" s="81">
        <v>1403</v>
      </c>
    </row>
    <row r="1412" spans="1:1" ht="15.75" customHeight="1" x14ac:dyDescent="0.2">
      <c r="A1412" s="82">
        <v>1404</v>
      </c>
    </row>
    <row r="1413" spans="1:1" ht="15.75" customHeight="1" x14ac:dyDescent="0.2">
      <c r="A1413" s="81">
        <v>1405</v>
      </c>
    </row>
    <row r="1414" spans="1:1" ht="15.75" customHeight="1" x14ac:dyDescent="0.2">
      <c r="A1414" s="82">
        <v>1406</v>
      </c>
    </row>
    <row r="1415" spans="1:1" ht="15.75" customHeight="1" x14ac:dyDescent="0.2">
      <c r="A1415" s="81">
        <v>1407</v>
      </c>
    </row>
    <row r="1416" spans="1:1" ht="15.75" customHeight="1" x14ac:dyDescent="0.2">
      <c r="A1416" s="82">
        <v>1408</v>
      </c>
    </row>
    <row r="1417" spans="1:1" ht="15.75" customHeight="1" x14ac:dyDescent="0.2">
      <c r="A1417" s="81">
        <v>1409</v>
      </c>
    </row>
    <row r="1418" spans="1:1" ht="15.75" customHeight="1" x14ac:dyDescent="0.2">
      <c r="A1418" s="82">
        <v>1410</v>
      </c>
    </row>
    <row r="1419" spans="1:1" ht="15.75" customHeight="1" x14ac:dyDescent="0.2">
      <c r="A1419" s="81">
        <v>1411</v>
      </c>
    </row>
    <row r="1420" spans="1:1" ht="15.75" customHeight="1" x14ac:dyDescent="0.2">
      <c r="A1420" s="82">
        <v>1412</v>
      </c>
    </row>
    <row r="1421" spans="1:1" ht="15.75" customHeight="1" x14ac:dyDescent="0.2">
      <c r="A1421" s="81">
        <v>1413</v>
      </c>
    </row>
    <row r="1422" spans="1:1" ht="15.75" customHeight="1" x14ac:dyDescent="0.2">
      <c r="A1422" s="82">
        <v>1414</v>
      </c>
    </row>
    <row r="1423" spans="1:1" ht="15.75" customHeight="1" x14ac:dyDescent="0.2">
      <c r="A1423" s="81">
        <v>1415</v>
      </c>
    </row>
    <row r="1424" spans="1:1" ht="15.75" customHeight="1" x14ac:dyDescent="0.2">
      <c r="A1424" s="82">
        <v>1416</v>
      </c>
    </row>
    <row r="1425" spans="1:1" ht="15.75" customHeight="1" x14ac:dyDescent="0.2">
      <c r="A1425" s="81">
        <v>1417</v>
      </c>
    </row>
    <row r="1426" spans="1:1" ht="15.75" customHeight="1" x14ac:dyDescent="0.2">
      <c r="A1426" s="82">
        <v>1418</v>
      </c>
    </row>
    <row r="1427" spans="1:1" ht="15.75" customHeight="1" x14ac:dyDescent="0.2">
      <c r="A1427" s="81">
        <v>1419</v>
      </c>
    </row>
    <row r="1428" spans="1:1" ht="15.75" customHeight="1" x14ac:dyDescent="0.2">
      <c r="A1428" s="82">
        <v>1420</v>
      </c>
    </row>
    <row r="1429" spans="1:1" ht="15.75" customHeight="1" x14ac:dyDescent="0.2">
      <c r="A1429" s="81">
        <v>1421</v>
      </c>
    </row>
    <row r="1430" spans="1:1" ht="15.75" customHeight="1" x14ac:dyDescent="0.2">
      <c r="A1430" s="82">
        <v>1422</v>
      </c>
    </row>
    <row r="1431" spans="1:1" ht="15.75" customHeight="1" x14ac:dyDescent="0.2">
      <c r="A1431" s="81">
        <v>1423</v>
      </c>
    </row>
    <row r="1432" spans="1:1" ht="15.75" customHeight="1" x14ac:dyDescent="0.2">
      <c r="A1432" s="82">
        <v>1424</v>
      </c>
    </row>
    <row r="1433" spans="1:1" ht="15.75" customHeight="1" x14ac:dyDescent="0.2">
      <c r="A1433" s="81">
        <v>1425</v>
      </c>
    </row>
    <row r="1434" spans="1:1" ht="15.75" customHeight="1" x14ac:dyDescent="0.2">
      <c r="A1434" s="82">
        <v>1426</v>
      </c>
    </row>
    <row r="1435" spans="1:1" ht="15.75" customHeight="1" x14ac:dyDescent="0.2">
      <c r="A1435" s="81">
        <v>1427</v>
      </c>
    </row>
    <row r="1436" spans="1:1" ht="15.75" customHeight="1" x14ac:dyDescent="0.2">
      <c r="A1436" s="82">
        <v>1428</v>
      </c>
    </row>
    <row r="1437" spans="1:1" ht="15.75" customHeight="1" x14ac:dyDescent="0.2">
      <c r="A1437" s="81">
        <v>1429</v>
      </c>
    </row>
    <row r="1438" spans="1:1" ht="15.75" customHeight="1" x14ac:dyDescent="0.2">
      <c r="A1438" s="82">
        <v>1430</v>
      </c>
    </row>
    <row r="1439" spans="1:1" ht="15.75" customHeight="1" x14ac:dyDescent="0.2">
      <c r="A1439" s="81">
        <v>1431</v>
      </c>
    </row>
    <row r="1440" spans="1:1" ht="15.75" customHeight="1" x14ac:dyDescent="0.2">
      <c r="A1440" s="82">
        <v>1432</v>
      </c>
    </row>
    <row r="1441" spans="1:1" ht="15.75" customHeight="1" x14ac:dyDescent="0.2">
      <c r="A1441" s="81">
        <v>1433</v>
      </c>
    </row>
    <row r="1442" spans="1:1" ht="15.75" customHeight="1" x14ac:dyDescent="0.2">
      <c r="A1442" s="82">
        <v>1434</v>
      </c>
    </row>
    <row r="1443" spans="1:1" ht="15.75" customHeight="1" x14ac:dyDescent="0.2">
      <c r="A1443" s="81">
        <v>1435</v>
      </c>
    </row>
    <row r="1444" spans="1:1" ht="15.75" customHeight="1" x14ac:dyDescent="0.2">
      <c r="A1444" s="82">
        <v>1436</v>
      </c>
    </row>
    <row r="1445" spans="1:1" ht="15.75" customHeight="1" x14ac:dyDescent="0.2">
      <c r="A1445" s="81">
        <v>1437</v>
      </c>
    </row>
    <row r="1446" spans="1:1" ht="15.75" customHeight="1" x14ac:dyDescent="0.2">
      <c r="A1446" s="82">
        <v>1438</v>
      </c>
    </row>
    <row r="1447" spans="1:1" ht="15.75" customHeight="1" x14ac:dyDescent="0.2">
      <c r="A1447" s="81">
        <v>1439</v>
      </c>
    </row>
    <row r="1448" spans="1:1" ht="15.75" customHeight="1" x14ac:dyDescent="0.2">
      <c r="A1448" s="82">
        <v>1440</v>
      </c>
    </row>
    <row r="1449" spans="1:1" ht="15.75" customHeight="1" x14ac:dyDescent="0.2">
      <c r="A1449" s="81">
        <v>1441</v>
      </c>
    </row>
    <row r="1450" spans="1:1" ht="15.75" customHeight="1" x14ac:dyDescent="0.2">
      <c r="A1450" s="82">
        <v>1442</v>
      </c>
    </row>
    <row r="1451" spans="1:1" ht="15.75" customHeight="1" x14ac:dyDescent="0.2">
      <c r="A1451" s="81">
        <v>1443</v>
      </c>
    </row>
    <row r="1452" spans="1:1" ht="15.75" customHeight="1" x14ac:dyDescent="0.2">
      <c r="A1452" s="82">
        <v>1444</v>
      </c>
    </row>
    <row r="1453" spans="1:1" ht="15.75" customHeight="1" x14ac:dyDescent="0.2">
      <c r="A1453" s="81">
        <v>1445</v>
      </c>
    </row>
    <row r="1454" spans="1:1" ht="15.75" customHeight="1" x14ac:dyDescent="0.2">
      <c r="A1454" s="82">
        <v>1446</v>
      </c>
    </row>
    <row r="1455" spans="1:1" ht="15.75" customHeight="1" x14ac:dyDescent="0.2">
      <c r="A1455" s="81">
        <v>1447</v>
      </c>
    </row>
    <row r="1456" spans="1:1" ht="15.75" customHeight="1" x14ac:dyDescent="0.2">
      <c r="A1456" s="82">
        <v>1448</v>
      </c>
    </row>
    <row r="1457" spans="1:1" ht="15.75" customHeight="1" x14ac:dyDescent="0.2">
      <c r="A1457" s="81">
        <v>1449</v>
      </c>
    </row>
    <row r="1458" spans="1:1" ht="15.75" customHeight="1" x14ac:dyDescent="0.2">
      <c r="A1458" s="82">
        <v>1450</v>
      </c>
    </row>
    <row r="1459" spans="1:1" ht="15.75" customHeight="1" x14ac:dyDescent="0.2">
      <c r="A1459" s="81">
        <v>1451</v>
      </c>
    </row>
    <row r="1460" spans="1:1" ht="15.75" customHeight="1" x14ac:dyDescent="0.2">
      <c r="A1460" s="82">
        <v>1452</v>
      </c>
    </row>
    <row r="1461" spans="1:1" ht="15.75" customHeight="1" x14ac:dyDescent="0.2">
      <c r="A1461" s="81">
        <v>1453</v>
      </c>
    </row>
    <row r="1462" spans="1:1" ht="15.75" customHeight="1" x14ac:dyDescent="0.2">
      <c r="A1462" s="82">
        <v>1454</v>
      </c>
    </row>
    <row r="1463" spans="1:1" ht="15.75" customHeight="1" x14ac:dyDescent="0.2">
      <c r="A1463" s="81">
        <v>1455</v>
      </c>
    </row>
    <row r="1464" spans="1:1" ht="15.75" customHeight="1" x14ac:dyDescent="0.2">
      <c r="A1464" s="82">
        <v>1456</v>
      </c>
    </row>
    <row r="1465" spans="1:1" ht="15.75" customHeight="1" x14ac:dyDescent="0.2">
      <c r="A1465" s="81">
        <v>1457</v>
      </c>
    </row>
    <row r="1466" spans="1:1" ht="15.75" customHeight="1" x14ac:dyDescent="0.2">
      <c r="A1466" s="82">
        <v>1458</v>
      </c>
    </row>
    <row r="1467" spans="1:1" ht="15.75" customHeight="1" x14ac:dyDescent="0.2">
      <c r="A1467" s="81">
        <v>1459</v>
      </c>
    </row>
    <row r="1468" spans="1:1" ht="15.75" customHeight="1" x14ac:dyDescent="0.2">
      <c r="A1468" s="82">
        <v>1460</v>
      </c>
    </row>
    <row r="1469" spans="1:1" ht="15.75" customHeight="1" x14ac:dyDescent="0.2">
      <c r="A1469" s="81">
        <v>1461</v>
      </c>
    </row>
    <row r="1470" spans="1:1" ht="15.75" customHeight="1" x14ac:dyDescent="0.2">
      <c r="A1470" s="82">
        <v>1462</v>
      </c>
    </row>
    <row r="1471" spans="1:1" ht="15.75" customHeight="1" x14ac:dyDescent="0.2">
      <c r="A1471" s="81">
        <v>1463</v>
      </c>
    </row>
    <row r="1472" spans="1:1" ht="15.75" customHeight="1" x14ac:dyDescent="0.2">
      <c r="A1472" s="82">
        <v>1464</v>
      </c>
    </row>
    <row r="1473" spans="1:1" ht="15.75" customHeight="1" x14ac:dyDescent="0.2">
      <c r="A1473" s="81">
        <v>1465</v>
      </c>
    </row>
    <row r="1474" spans="1:1" ht="15.75" customHeight="1" x14ac:dyDescent="0.2">
      <c r="A1474" s="82">
        <v>1466</v>
      </c>
    </row>
    <row r="1475" spans="1:1" ht="15.75" customHeight="1" x14ac:dyDescent="0.2">
      <c r="A1475" s="81">
        <v>1467</v>
      </c>
    </row>
    <row r="1476" spans="1:1" ht="15.75" customHeight="1" x14ac:dyDescent="0.2">
      <c r="A1476" s="82">
        <v>1468</v>
      </c>
    </row>
    <row r="1477" spans="1:1" ht="15.75" customHeight="1" x14ac:dyDescent="0.2">
      <c r="A1477" s="81">
        <v>1469</v>
      </c>
    </row>
    <row r="1478" spans="1:1" ht="15.75" customHeight="1" x14ac:dyDescent="0.2">
      <c r="A1478" s="82">
        <v>1470</v>
      </c>
    </row>
    <row r="1479" spans="1:1" ht="15.75" customHeight="1" x14ac:dyDescent="0.2">
      <c r="A1479" s="81">
        <v>1471</v>
      </c>
    </row>
    <row r="1480" spans="1:1" ht="15.75" customHeight="1" x14ac:dyDescent="0.2">
      <c r="A1480" s="82">
        <v>1472</v>
      </c>
    </row>
    <row r="1481" spans="1:1" ht="15.75" customHeight="1" x14ac:dyDescent="0.2">
      <c r="A1481" s="81">
        <v>1473</v>
      </c>
    </row>
    <row r="1482" spans="1:1" ht="15.75" customHeight="1" x14ac:dyDescent="0.2">
      <c r="A1482" s="82">
        <v>1474</v>
      </c>
    </row>
    <row r="1483" spans="1:1" ht="15.75" customHeight="1" x14ac:dyDescent="0.2">
      <c r="A1483" s="81">
        <v>1475</v>
      </c>
    </row>
    <row r="1484" spans="1:1" ht="15.75" customHeight="1" x14ac:dyDescent="0.2">
      <c r="A1484" s="82">
        <v>1476</v>
      </c>
    </row>
    <row r="1485" spans="1:1" ht="15.75" customHeight="1" x14ac:dyDescent="0.2">
      <c r="A1485" s="81">
        <v>1477</v>
      </c>
    </row>
    <row r="1486" spans="1:1" ht="15.75" customHeight="1" x14ac:dyDescent="0.2">
      <c r="A1486" s="82">
        <v>1478</v>
      </c>
    </row>
    <row r="1487" spans="1:1" ht="15.75" customHeight="1" x14ac:dyDescent="0.2">
      <c r="A1487" s="81">
        <v>1479</v>
      </c>
    </row>
    <row r="1488" spans="1:1" ht="15.75" customHeight="1" x14ac:dyDescent="0.2">
      <c r="A1488" s="82">
        <v>1480</v>
      </c>
    </row>
    <row r="1489" spans="1:1" ht="15.75" customHeight="1" x14ac:dyDescent="0.2">
      <c r="A1489" s="81">
        <v>1481</v>
      </c>
    </row>
    <row r="1490" spans="1:1" ht="15.75" customHeight="1" x14ac:dyDescent="0.2">
      <c r="A1490" s="82">
        <v>1482</v>
      </c>
    </row>
    <row r="1491" spans="1:1" ht="15.75" customHeight="1" x14ac:dyDescent="0.2">
      <c r="A1491" s="81">
        <v>1483</v>
      </c>
    </row>
    <row r="1492" spans="1:1" ht="15.75" customHeight="1" x14ac:dyDescent="0.2">
      <c r="A1492" s="82">
        <v>1484</v>
      </c>
    </row>
    <row r="1493" spans="1:1" ht="15.75" customHeight="1" x14ac:dyDescent="0.2">
      <c r="A1493" s="81">
        <v>1485</v>
      </c>
    </row>
    <row r="1494" spans="1:1" ht="15.75" customHeight="1" x14ac:dyDescent="0.2">
      <c r="A1494" s="82">
        <v>1486</v>
      </c>
    </row>
    <row r="1495" spans="1:1" ht="15.75" customHeight="1" x14ac:dyDescent="0.2">
      <c r="A1495" s="81">
        <v>1487</v>
      </c>
    </row>
    <row r="1496" spans="1:1" ht="15.75" customHeight="1" x14ac:dyDescent="0.2">
      <c r="A1496" s="82">
        <v>1488</v>
      </c>
    </row>
    <row r="1497" spans="1:1" ht="15.75" customHeight="1" x14ac:dyDescent="0.2">
      <c r="A1497" s="81">
        <v>1489</v>
      </c>
    </row>
    <row r="1498" spans="1:1" ht="15.75" customHeight="1" x14ac:dyDescent="0.2">
      <c r="A1498" s="82">
        <v>1490</v>
      </c>
    </row>
    <row r="1499" spans="1:1" ht="15.75" customHeight="1" x14ac:dyDescent="0.2">
      <c r="A1499" s="81">
        <v>1491</v>
      </c>
    </row>
    <row r="1500" spans="1:1" ht="15.75" customHeight="1" x14ac:dyDescent="0.2">
      <c r="A1500" s="82">
        <v>1492</v>
      </c>
    </row>
    <row r="1501" spans="1:1" ht="15.75" customHeight="1" x14ac:dyDescent="0.2">
      <c r="A1501" s="81">
        <v>1493</v>
      </c>
    </row>
    <row r="1502" spans="1:1" ht="15.75" customHeight="1" x14ac:dyDescent="0.2">
      <c r="A1502" s="82">
        <v>1494</v>
      </c>
    </row>
    <row r="1503" spans="1:1" ht="15.75" customHeight="1" x14ac:dyDescent="0.2">
      <c r="A1503" s="81">
        <v>1495</v>
      </c>
    </row>
    <row r="1504" spans="1:1" ht="15.75" customHeight="1" x14ac:dyDescent="0.2">
      <c r="A1504" s="82">
        <v>1496</v>
      </c>
    </row>
    <row r="1505" spans="1:1" ht="15.75" customHeight="1" x14ac:dyDescent="0.2">
      <c r="A1505" s="81">
        <v>1497</v>
      </c>
    </row>
    <row r="1506" spans="1:1" ht="15.75" customHeight="1" x14ac:dyDescent="0.2">
      <c r="A1506" s="82">
        <v>1498</v>
      </c>
    </row>
    <row r="1507" spans="1:1" ht="15.75" customHeight="1" x14ac:dyDescent="0.2">
      <c r="A1507" s="81">
        <v>1499</v>
      </c>
    </row>
    <row r="1508" spans="1:1" ht="15.75" customHeight="1" x14ac:dyDescent="0.2">
      <c r="A1508" s="82">
        <v>1500</v>
      </c>
    </row>
    <row r="1509" spans="1:1" ht="15.75" customHeight="1" x14ac:dyDescent="0.2">
      <c r="A1509" s="81">
        <v>1501</v>
      </c>
    </row>
    <row r="1510" spans="1:1" ht="15.75" customHeight="1" x14ac:dyDescent="0.2">
      <c r="A1510" s="82">
        <v>1502</v>
      </c>
    </row>
    <row r="1511" spans="1:1" ht="15.75" customHeight="1" x14ac:dyDescent="0.2">
      <c r="A1511" s="81">
        <v>1503</v>
      </c>
    </row>
    <row r="1512" spans="1:1" ht="15.75" customHeight="1" x14ac:dyDescent="0.2">
      <c r="A1512" s="82">
        <v>1504</v>
      </c>
    </row>
    <row r="1513" spans="1:1" ht="15.75" customHeight="1" x14ac:dyDescent="0.2">
      <c r="A1513" s="81">
        <v>1505</v>
      </c>
    </row>
    <row r="1514" spans="1:1" ht="15.75" customHeight="1" x14ac:dyDescent="0.2">
      <c r="A1514" s="82">
        <v>1506</v>
      </c>
    </row>
    <row r="1515" spans="1:1" ht="15.75" customHeight="1" x14ac:dyDescent="0.2">
      <c r="A1515" s="81">
        <v>1507</v>
      </c>
    </row>
    <row r="1516" spans="1:1" ht="15.75" customHeight="1" x14ac:dyDescent="0.2">
      <c r="A1516" s="82">
        <v>1508</v>
      </c>
    </row>
    <row r="1517" spans="1:1" ht="15.75" customHeight="1" x14ac:dyDescent="0.2">
      <c r="A1517" s="81">
        <v>1509</v>
      </c>
    </row>
    <row r="1518" spans="1:1" ht="15.75" customHeight="1" x14ac:dyDescent="0.2">
      <c r="A1518" s="82">
        <v>1510</v>
      </c>
    </row>
    <row r="1519" spans="1:1" ht="15.75" customHeight="1" x14ac:dyDescent="0.2">
      <c r="A1519" s="81">
        <v>1511</v>
      </c>
    </row>
    <row r="1520" spans="1:1" ht="15.75" customHeight="1" x14ac:dyDescent="0.2">
      <c r="A1520" s="82">
        <v>1512</v>
      </c>
    </row>
    <row r="1521" spans="1:1" ht="15.75" customHeight="1" x14ac:dyDescent="0.2">
      <c r="A1521" s="81">
        <v>1513</v>
      </c>
    </row>
    <row r="1522" spans="1:1" ht="15.75" customHeight="1" x14ac:dyDescent="0.2">
      <c r="A1522" s="82">
        <v>1514</v>
      </c>
    </row>
    <row r="1523" spans="1:1" ht="15.75" customHeight="1" x14ac:dyDescent="0.2">
      <c r="A1523" s="81">
        <v>1515</v>
      </c>
    </row>
    <row r="1524" spans="1:1" ht="15.75" customHeight="1" x14ac:dyDescent="0.2">
      <c r="A1524" s="82">
        <v>1516</v>
      </c>
    </row>
    <row r="1525" spans="1:1" ht="15.75" customHeight="1" x14ac:dyDescent="0.2">
      <c r="A1525" s="81">
        <v>1517</v>
      </c>
    </row>
    <row r="1526" spans="1:1" ht="15.75" customHeight="1" x14ac:dyDescent="0.2">
      <c r="A1526" s="82">
        <v>1518</v>
      </c>
    </row>
    <row r="1527" spans="1:1" ht="15.75" customHeight="1" x14ac:dyDescent="0.2">
      <c r="A1527" s="81">
        <v>1519</v>
      </c>
    </row>
    <row r="1528" spans="1:1" ht="15.75" customHeight="1" x14ac:dyDescent="0.2">
      <c r="A1528" s="82">
        <v>1520</v>
      </c>
    </row>
    <row r="1529" spans="1:1" ht="15.75" customHeight="1" x14ac:dyDescent="0.2">
      <c r="A1529" s="81">
        <v>1521</v>
      </c>
    </row>
    <row r="1530" spans="1:1" ht="15.75" customHeight="1" x14ac:dyDescent="0.2">
      <c r="A1530" s="82">
        <v>1522</v>
      </c>
    </row>
    <row r="1531" spans="1:1" ht="15.75" customHeight="1" x14ac:dyDescent="0.2">
      <c r="A1531" s="81">
        <v>1523</v>
      </c>
    </row>
    <row r="1532" spans="1:1" ht="15.75" customHeight="1" x14ac:dyDescent="0.2">
      <c r="A1532" s="82">
        <v>1524</v>
      </c>
    </row>
    <row r="1533" spans="1:1" ht="15.75" customHeight="1" x14ac:dyDescent="0.2">
      <c r="A1533" s="81">
        <v>1525</v>
      </c>
    </row>
    <row r="1534" spans="1:1" ht="15.75" customHeight="1" x14ac:dyDescent="0.2">
      <c r="A1534" s="82">
        <v>1526</v>
      </c>
    </row>
    <row r="1535" spans="1:1" ht="15.75" customHeight="1" x14ac:dyDescent="0.2">
      <c r="A1535" s="81">
        <v>1527</v>
      </c>
    </row>
    <row r="1536" spans="1:1" ht="15.75" customHeight="1" x14ac:dyDescent="0.2">
      <c r="A1536" s="82">
        <v>1528</v>
      </c>
    </row>
    <row r="1537" spans="1:1" ht="15.75" customHeight="1" x14ac:dyDescent="0.2">
      <c r="A1537" s="81">
        <v>1529</v>
      </c>
    </row>
    <row r="1538" spans="1:1" ht="15.75" customHeight="1" x14ac:dyDescent="0.2">
      <c r="A1538" s="82">
        <v>1530</v>
      </c>
    </row>
    <row r="1539" spans="1:1" ht="15.75" customHeight="1" x14ac:dyDescent="0.2">
      <c r="A1539" s="81">
        <v>1531</v>
      </c>
    </row>
    <row r="1540" spans="1:1" ht="15.75" customHeight="1" x14ac:dyDescent="0.2">
      <c r="A1540" s="82">
        <v>1532</v>
      </c>
    </row>
    <row r="1541" spans="1:1" ht="15.75" customHeight="1" x14ac:dyDescent="0.2">
      <c r="A1541" s="81">
        <v>1533</v>
      </c>
    </row>
    <row r="1542" spans="1:1" ht="15.75" customHeight="1" x14ac:dyDescent="0.2">
      <c r="A1542" s="82">
        <v>1534</v>
      </c>
    </row>
    <row r="1543" spans="1:1" ht="15.75" customHeight="1" x14ac:dyDescent="0.2">
      <c r="A1543" s="81">
        <v>1535</v>
      </c>
    </row>
    <row r="1544" spans="1:1" ht="15.75" customHeight="1" x14ac:dyDescent="0.2">
      <c r="A1544" s="82">
        <v>1536</v>
      </c>
    </row>
    <row r="1545" spans="1:1" ht="15.75" customHeight="1" x14ac:dyDescent="0.2">
      <c r="A1545" s="81">
        <v>1537</v>
      </c>
    </row>
    <row r="1546" spans="1:1" ht="15.75" customHeight="1" x14ac:dyDescent="0.2">
      <c r="A1546" s="82">
        <v>1538</v>
      </c>
    </row>
    <row r="1547" spans="1:1" ht="15.75" customHeight="1" x14ac:dyDescent="0.2">
      <c r="A1547" s="81">
        <v>1539</v>
      </c>
    </row>
    <row r="1548" spans="1:1" ht="15.75" customHeight="1" x14ac:dyDescent="0.2">
      <c r="A1548" s="82">
        <v>1540</v>
      </c>
    </row>
    <row r="1549" spans="1:1" ht="15.75" customHeight="1" x14ac:dyDescent="0.2">
      <c r="A1549" s="81">
        <v>1541</v>
      </c>
    </row>
    <row r="1550" spans="1:1" ht="15.75" customHeight="1" x14ac:dyDescent="0.2">
      <c r="A1550" s="82">
        <v>1542</v>
      </c>
    </row>
    <row r="1551" spans="1:1" ht="15.75" customHeight="1" x14ac:dyDescent="0.2">
      <c r="A1551" s="81">
        <v>1543</v>
      </c>
    </row>
    <row r="1552" spans="1:1" ht="15.75" customHeight="1" x14ac:dyDescent="0.2">
      <c r="A1552" s="82">
        <v>1544</v>
      </c>
    </row>
    <row r="1553" spans="1:1" ht="15.75" customHeight="1" x14ac:dyDescent="0.2">
      <c r="A1553" s="81">
        <v>1545</v>
      </c>
    </row>
    <row r="1554" spans="1:1" ht="15.75" customHeight="1" x14ac:dyDescent="0.2">
      <c r="A1554" s="82">
        <v>1546</v>
      </c>
    </row>
    <row r="1555" spans="1:1" ht="15.75" customHeight="1" x14ac:dyDescent="0.2">
      <c r="A1555" s="81">
        <v>1547</v>
      </c>
    </row>
    <row r="1556" spans="1:1" ht="15.75" customHeight="1" x14ac:dyDescent="0.2">
      <c r="A1556" s="82">
        <v>1548</v>
      </c>
    </row>
    <row r="1557" spans="1:1" ht="15.75" customHeight="1" x14ac:dyDescent="0.2">
      <c r="A1557" s="81">
        <v>1549</v>
      </c>
    </row>
    <row r="1558" spans="1:1" ht="15.75" customHeight="1" x14ac:dyDescent="0.2">
      <c r="A1558" s="82">
        <v>1550</v>
      </c>
    </row>
    <row r="1559" spans="1:1" ht="15.75" customHeight="1" x14ac:dyDescent="0.2">
      <c r="A1559" s="81">
        <v>1551</v>
      </c>
    </row>
    <row r="1560" spans="1:1" ht="15.75" customHeight="1" x14ac:dyDescent="0.2">
      <c r="A1560" s="82">
        <v>1552</v>
      </c>
    </row>
    <row r="1561" spans="1:1" ht="15.75" customHeight="1" x14ac:dyDescent="0.2">
      <c r="A1561" s="81">
        <v>1553</v>
      </c>
    </row>
    <row r="1562" spans="1:1" ht="15.75" customHeight="1" x14ac:dyDescent="0.2">
      <c r="A1562" s="82">
        <v>1554</v>
      </c>
    </row>
    <row r="1563" spans="1:1" ht="15.75" customHeight="1" x14ac:dyDescent="0.2">
      <c r="A1563" s="81">
        <v>1555</v>
      </c>
    </row>
    <row r="1564" spans="1:1" ht="15.75" customHeight="1" x14ac:dyDescent="0.2">
      <c r="A1564" s="82">
        <v>1556</v>
      </c>
    </row>
    <row r="1565" spans="1:1" ht="15.75" customHeight="1" x14ac:dyDescent="0.2">
      <c r="A1565" s="81">
        <v>1557</v>
      </c>
    </row>
    <row r="1566" spans="1:1" ht="15.75" customHeight="1" x14ac:dyDescent="0.2">
      <c r="A1566" s="82">
        <v>1558</v>
      </c>
    </row>
    <row r="1567" spans="1:1" ht="15.75" customHeight="1" x14ac:dyDescent="0.2">
      <c r="A1567" s="81">
        <v>1559</v>
      </c>
    </row>
    <row r="1568" spans="1:1" ht="15.75" customHeight="1" x14ac:dyDescent="0.2">
      <c r="A1568" s="82">
        <v>1560</v>
      </c>
    </row>
    <row r="1569" spans="1:1" ht="15.75" customHeight="1" x14ac:dyDescent="0.2">
      <c r="A1569" s="81">
        <v>1561</v>
      </c>
    </row>
    <row r="1570" spans="1:1" ht="15.75" customHeight="1" x14ac:dyDescent="0.2">
      <c r="A1570" s="82">
        <v>1562</v>
      </c>
    </row>
    <row r="1571" spans="1:1" ht="15.75" customHeight="1" x14ac:dyDescent="0.2">
      <c r="A1571" s="81">
        <v>1563</v>
      </c>
    </row>
    <row r="1572" spans="1:1" ht="15.75" customHeight="1" x14ac:dyDescent="0.2">
      <c r="A1572" s="82">
        <v>1564</v>
      </c>
    </row>
    <row r="1573" spans="1:1" ht="15.75" customHeight="1" x14ac:dyDescent="0.2">
      <c r="A1573" s="81">
        <v>1565</v>
      </c>
    </row>
    <row r="1574" spans="1:1" ht="15.75" customHeight="1" x14ac:dyDescent="0.2">
      <c r="A1574" s="82">
        <v>1566</v>
      </c>
    </row>
    <row r="1575" spans="1:1" ht="15.75" customHeight="1" x14ac:dyDescent="0.2">
      <c r="A1575" s="81">
        <v>1567</v>
      </c>
    </row>
    <row r="1576" spans="1:1" ht="15.75" customHeight="1" x14ac:dyDescent="0.2">
      <c r="A1576" s="82">
        <v>1568</v>
      </c>
    </row>
    <row r="1577" spans="1:1" ht="15.75" customHeight="1" x14ac:dyDescent="0.2">
      <c r="A1577" s="81">
        <v>1569</v>
      </c>
    </row>
    <row r="1578" spans="1:1" ht="15.75" customHeight="1" x14ac:dyDescent="0.2">
      <c r="A1578" s="82">
        <v>1570</v>
      </c>
    </row>
    <row r="1579" spans="1:1" ht="15.75" customHeight="1" x14ac:dyDescent="0.2">
      <c r="A1579" s="81">
        <v>1571</v>
      </c>
    </row>
    <row r="1580" spans="1:1" ht="15.75" customHeight="1" x14ac:dyDescent="0.2">
      <c r="A1580" s="82">
        <v>1572</v>
      </c>
    </row>
    <row r="1581" spans="1:1" ht="15.75" customHeight="1" x14ac:dyDescent="0.2">
      <c r="A1581" s="81">
        <v>1573</v>
      </c>
    </row>
    <row r="1582" spans="1:1" ht="15.75" customHeight="1" x14ac:dyDescent="0.2">
      <c r="A1582" s="82">
        <v>1574</v>
      </c>
    </row>
    <row r="1583" spans="1:1" ht="15.75" customHeight="1" x14ac:dyDescent="0.2">
      <c r="A1583" s="81">
        <v>1575</v>
      </c>
    </row>
    <row r="1584" spans="1:1" ht="15.75" customHeight="1" x14ac:dyDescent="0.2">
      <c r="A1584" s="82">
        <v>1576</v>
      </c>
    </row>
    <row r="1585" spans="1:1" ht="15.75" customHeight="1" x14ac:dyDescent="0.2">
      <c r="A1585" s="81">
        <v>1577</v>
      </c>
    </row>
    <row r="1586" spans="1:1" ht="15.75" customHeight="1" x14ac:dyDescent="0.2">
      <c r="A1586" s="82">
        <v>1578</v>
      </c>
    </row>
    <row r="1587" spans="1:1" ht="15.75" customHeight="1" x14ac:dyDescent="0.2">
      <c r="A1587" s="81">
        <v>1579</v>
      </c>
    </row>
    <row r="1588" spans="1:1" ht="15.75" customHeight="1" x14ac:dyDescent="0.2">
      <c r="A1588" s="82">
        <v>1580</v>
      </c>
    </row>
    <row r="1589" spans="1:1" ht="15.75" customHeight="1" x14ac:dyDescent="0.2">
      <c r="A1589" s="81">
        <v>1581</v>
      </c>
    </row>
    <row r="1590" spans="1:1" ht="15.75" customHeight="1" x14ac:dyDescent="0.2">
      <c r="A1590" s="82">
        <v>1582</v>
      </c>
    </row>
    <row r="1591" spans="1:1" ht="15.75" customHeight="1" x14ac:dyDescent="0.2">
      <c r="A1591" s="81">
        <v>1583</v>
      </c>
    </row>
    <row r="1592" spans="1:1" ht="15.75" customHeight="1" x14ac:dyDescent="0.2">
      <c r="A1592" s="82">
        <v>1584</v>
      </c>
    </row>
    <row r="1593" spans="1:1" ht="15.75" customHeight="1" x14ac:dyDescent="0.2">
      <c r="A1593" s="81">
        <v>1585</v>
      </c>
    </row>
    <row r="1594" spans="1:1" ht="15.75" customHeight="1" x14ac:dyDescent="0.2">
      <c r="A1594" s="82">
        <v>1586</v>
      </c>
    </row>
    <row r="1595" spans="1:1" ht="15.75" customHeight="1" x14ac:dyDescent="0.2">
      <c r="A1595" s="81">
        <v>1587</v>
      </c>
    </row>
    <row r="1596" spans="1:1" ht="15.75" customHeight="1" x14ac:dyDescent="0.2">
      <c r="A1596" s="82">
        <v>1588</v>
      </c>
    </row>
    <row r="1597" spans="1:1" ht="15.75" customHeight="1" x14ac:dyDescent="0.2">
      <c r="A1597" s="81">
        <v>1589</v>
      </c>
    </row>
    <row r="1598" spans="1:1" ht="15.75" customHeight="1" x14ac:dyDescent="0.2">
      <c r="A1598" s="82">
        <v>1590</v>
      </c>
    </row>
    <row r="1599" spans="1:1" ht="15.75" customHeight="1" x14ac:dyDescent="0.2">
      <c r="A1599" s="81">
        <v>1591</v>
      </c>
    </row>
    <row r="1600" spans="1:1" ht="15.75" customHeight="1" x14ac:dyDescent="0.2">
      <c r="A1600" s="82">
        <v>1592</v>
      </c>
    </row>
    <row r="1601" spans="1:1" ht="15.75" customHeight="1" x14ac:dyDescent="0.2">
      <c r="A1601" s="81">
        <v>1593</v>
      </c>
    </row>
    <row r="1602" spans="1:1" ht="15.75" customHeight="1" x14ac:dyDescent="0.2">
      <c r="A1602" s="82">
        <v>1594</v>
      </c>
    </row>
    <row r="1603" spans="1:1" ht="15.75" customHeight="1" x14ac:dyDescent="0.2">
      <c r="A1603" s="81">
        <v>1595</v>
      </c>
    </row>
    <row r="1604" spans="1:1" ht="15.75" customHeight="1" x14ac:dyDescent="0.2">
      <c r="A1604" s="82">
        <v>1596</v>
      </c>
    </row>
    <row r="1605" spans="1:1" ht="15.75" customHeight="1" x14ac:dyDescent="0.2">
      <c r="A1605" s="81">
        <v>1597</v>
      </c>
    </row>
    <row r="1606" spans="1:1" ht="15.75" customHeight="1" x14ac:dyDescent="0.2">
      <c r="A1606" s="82">
        <v>1598</v>
      </c>
    </row>
    <row r="1607" spans="1:1" ht="15.75" customHeight="1" x14ac:dyDescent="0.2">
      <c r="A1607" s="81">
        <v>1599</v>
      </c>
    </row>
    <row r="1608" spans="1:1" ht="15.75" customHeight="1" x14ac:dyDescent="0.2">
      <c r="A1608" s="82">
        <v>1600</v>
      </c>
    </row>
    <row r="1609" spans="1:1" ht="15.75" customHeight="1" x14ac:dyDescent="0.2">
      <c r="A1609" s="81">
        <v>1601</v>
      </c>
    </row>
    <row r="1610" spans="1:1" ht="15.75" customHeight="1" x14ac:dyDescent="0.2">
      <c r="A1610" s="82">
        <v>1602</v>
      </c>
    </row>
    <row r="1611" spans="1:1" ht="15.75" customHeight="1" x14ac:dyDescent="0.2">
      <c r="A1611" s="81">
        <v>1603</v>
      </c>
    </row>
    <row r="1612" spans="1:1" ht="15.75" customHeight="1" x14ac:dyDescent="0.2">
      <c r="A1612" s="82">
        <v>1604</v>
      </c>
    </row>
    <row r="1613" spans="1:1" ht="15.75" customHeight="1" x14ac:dyDescent="0.2">
      <c r="A1613" s="81">
        <v>1605</v>
      </c>
    </row>
    <row r="1614" spans="1:1" ht="15.75" customHeight="1" x14ac:dyDescent="0.2">
      <c r="A1614" s="82">
        <v>1606</v>
      </c>
    </row>
    <row r="1615" spans="1:1" ht="15.75" customHeight="1" x14ac:dyDescent="0.2">
      <c r="A1615" s="81">
        <v>1607</v>
      </c>
    </row>
    <row r="1616" spans="1:1" ht="15.75" customHeight="1" x14ac:dyDescent="0.2">
      <c r="A1616" s="82">
        <v>1608</v>
      </c>
    </row>
    <row r="1617" spans="1:1" ht="15.75" customHeight="1" x14ac:dyDescent="0.2">
      <c r="A1617" s="81">
        <v>1609</v>
      </c>
    </row>
    <row r="1618" spans="1:1" ht="15.75" customHeight="1" x14ac:dyDescent="0.2">
      <c r="A1618" s="82">
        <v>1610</v>
      </c>
    </row>
    <row r="1619" spans="1:1" ht="15.75" customHeight="1" x14ac:dyDescent="0.2">
      <c r="A1619" s="81">
        <v>1611</v>
      </c>
    </row>
    <row r="1620" spans="1:1" ht="15.75" customHeight="1" x14ac:dyDescent="0.2">
      <c r="A1620" s="82">
        <v>1612</v>
      </c>
    </row>
    <row r="1621" spans="1:1" ht="15.75" customHeight="1" x14ac:dyDescent="0.2">
      <c r="A1621" s="81">
        <v>1613</v>
      </c>
    </row>
    <row r="1622" spans="1:1" ht="15.75" customHeight="1" x14ac:dyDescent="0.2">
      <c r="A1622" s="82">
        <v>1614</v>
      </c>
    </row>
    <row r="1623" spans="1:1" ht="15.75" customHeight="1" x14ac:dyDescent="0.2">
      <c r="A1623" s="81">
        <v>1615</v>
      </c>
    </row>
    <row r="1624" spans="1:1" ht="15.75" customHeight="1" x14ac:dyDescent="0.2">
      <c r="A1624" s="82">
        <v>1616</v>
      </c>
    </row>
    <row r="1625" spans="1:1" ht="15.75" customHeight="1" x14ac:dyDescent="0.2">
      <c r="A1625" s="81">
        <v>1617</v>
      </c>
    </row>
    <row r="1626" spans="1:1" ht="15.75" customHeight="1" x14ac:dyDescent="0.2">
      <c r="A1626" s="82">
        <v>1618</v>
      </c>
    </row>
    <row r="1627" spans="1:1" ht="15.75" customHeight="1" x14ac:dyDescent="0.2">
      <c r="A1627" s="81">
        <v>1619</v>
      </c>
    </row>
    <row r="1628" spans="1:1" ht="15.75" customHeight="1" x14ac:dyDescent="0.2">
      <c r="A1628" s="82">
        <v>1620</v>
      </c>
    </row>
    <row r="1629" spans="1:1" ht="15.75" customHeight="1" x14ac:dyDescent="0.2">
      <c r="A1629" s="81">
        <v>1621</v>
      </c>
    </row>
    <row r="1630" spans="1:1" ht="15.75" customHeight="1" x14ac:dyDescent="0.2">
      <c r="A1630" s="82">
        <v>1622</v>
      </c>
    </row>
    <row r="1631" spans="1:1" ht="15.75" customHeight="1" x14ac:dyDescent="0.2">
      <c r="A1631" s="81">
        <v>1623</v>
      </c>
    </row>
    <row r="1632" spans="1:1" ht="15.75" customHeight="1" x14ac:dyDescent="0.2">
      <c r="A1632" s="82">
        <v>1624</v>
      </c>
    </row>
    <row r="1633" spans="1:1" ht="15.75" customHeight="1" x14ac:dyDescent="0.2">
      <c r="A1633" s="81">
        <v>1625</v>
      </c>
    </row>
    <row r="1634" spans="1:1" ht="15.75" customHeight="1" x14ac:dyDescent="0.2">
      <c r="A1634" s="82">
        <v>1626</v>
      </c>
    </row>
    <row r="1635" spans="1:1" ht="15.75" customHeight="1" x14ac:dyDescent="0.2">
      <c r="A1635" s="81">
        <v>1627</v>
      </c>
    </row>
    <row r="1636" spans="1:1" ht="15.75" customHeight="1" x14ac:dyDescent="0.2">
      <c r="A1636" s="82">
        <v>1628</v>
      </c>
    </row>
    <row r="1637" spans="1:1" ht="15.75" customHeight="1" x14ac:dyDescent="0.2">
      <c r="A1637" s="81">
        <v>1629</v>
      </c>
    </row>
    <row r="1638" spans="1:1" ht="15.75" customHeight="1" x14ac:dyDescent="0.2">
      <c r="A1638" s="82">
        <v>1630</v>
      </c>
    </row>
    <row r="1639" spans="1:1" ht="15.75" customHeight="1" x14ac:dyDescent="0.2">
      <c r="A1639" s="81">
        <v>1631</v>
      </c>
    </row>
    <row r="1640" spans="1:1" ht="15.75" customHeight="1" x14ac:dyDescent="0.2">
      <c r="A1640" s="82">
        <v>1632</v>
      </c>
    </row>
    <row r="1641" spans="1:1" ht="15.75" customHeight="1" x14ac:dyDescent="0.2">
      <c r="A1641" s="81">
        <v>1633</v>
      </c>
    </row>
    <row r="1642" spans="1:1" ht="15.75" customHeight="1" x14ac:dyDescent="0.2">
      <c r="A1642" s="82">
        <v>1634</v>
      </c>
    </row>
    <row r="1643" spans="1:1" ht="15.75" customHeight="1" x14ac:dyDescent="0.2">
      <c r="A1643" s="81">
        <v>1635</v>
      </c>
    </row>
    <row r="1644" spans="1:1" ht="15.75" customHeight="1" x14ac:dyDescent="0.2">
      <c r="A1644" s="82">
        <v>1636</v>
      </c>
    </row>
    <row r="1645" spans="1:1" ht="15.75" customHeight="1" x14ac:dyDescent="0.2">
      <c r="A1645" s="81">
        <v>1637</v>
      </c>
    </row>
    <row r="1646" spans="1:1" ht="15.75" customHeight="1" x14ac:dyDescent="0.2">
      <c r="A1646" s="82">
        <v>1638</v>
      </c>
    </row>
    <row r="1647" spans="1:1" ht="15.75" customHeight="1" x14ac:dyDescent="0.2">
      <c r="A1647" s="81">
        <v>1639</v>
      </c>
    </row>
    <row r="1648" spans="1:1" ht="15.75" customHeight="1" x14ac:dyDescent="0.2">
      <c r="A1648" s="82">
        <v>1640</v>
      </c>
    </row>
    <row r="1649" spans="1:1" ht="15.75" customHeight="1" x14ac:dyDescent="0.2">
      <c r="A1649" s="81">
        <v>1641</v>
      </c>
    </row>
    <row r="1650" spans="1:1" ht="15.75" customHeight="1" x14ac:dyDescent="0.2">
      <c r="A1650" s="82">
        <v>1642</v>
      </c>
    </row>
    <row r="1651" spans="1:1" ht="15.75" customHeight="1" x14ac:dyDescent="0.2">
      <c r="A1651" s="81">
        <v>1643</v>
      </c>
    </row>
    <row r="1652" spans="1:1" ht="15.75" customHeight="1" x14ac:dyDescent="0.2">
      <c r="A1652" s="82">
        <v>1644</v>
      </c>
    </row>
    <row r="1653" spans="1:1" ht="15.75" customHeight="1" x14ac:dyDescent="0.2">
      <c r="A1653" s="81">
        <v>1645</v>
      </c>
    </row>
    <row r="1654" spans="1:1" ht="15.75" customHeight="1" x14ac:dyDescent="0.2">
      <c r="A1654" s="82">
        <v>1646</v>
      </c>
    </row>
    <row r="1655" spans="1:1" ht="15.75" customHeight="1" x14ac:dyDescent="0.2">
      <c r="A1655" s="81">
        <v>1647</v>
      </c>
    </row>
    <row r="1656" spans="1:1" ht="15.75" customHeight="1" x14ac:dyDescent="0.2">
      <c r="A1656" s="82">
        <v>1648</v>
      </c>
    </row>
    <row r="1657" spans="1:1" ht="15.75" customHeight="1" x14ac:dyDescent="0.2">
      <c r="A1657" s="81">
        <v>1649</v>
      </c>
    </row>
    <row r="1658" spans="1:1" ht="15.75" customHeight="1" x14ac:dyDescent="0.2">
      <c r="A1658" s="82">
        <v>1650</v>
      </c>
    </row>
    <row r="1659" spans="1:1" ht="15.75" customHeight="1" x14ac:dyDescent="0.2">
      <c r="A1659" s="81">
        <v>1651</v>
      </c>
    </row>
    <row r="1660" spans="1:1" ht="15.75" customHeight="1" x14ac:dyDescent="0.2">
      <c r="A1660" s="82">
        <v>1652</v>
      </c>
    </row>
    <row r="1661" spans="1:1" ht="15.75" customHeight="1" x14ac:dyDescent="0.2">
      <c r="A1661" s="81">
        <v>1653</v>
      </c>
    </row>
    <row r="1662" spans="1:1" ht="15.75" customHeight="1" x14ac:dyDescent="0.2">
      <c r="A1662" s="82">
        <v>1654</v>
      </c>
    </row>
    <row r="1663" spans="1:1" ht="15.75" customHeight="1" x14ac:dyDescent="0.2">
      <c r="A1663" s="81">
        <v>1655</v>
      </c>
    </row>
    <row r="1664" spans="1:1" ht="15.75" customHeight="1" x14ac:dyDescent="0.2">
      <c r="A1664" s="82">
        <v>1656</v>
      </c>
    </row>
    <row r="1665" spans="1:1" ht="15.75" customHeight="1" x14ac:dyDescent="0.2">
      <c r="A1665" s="81">
        <v>1657</v>
      </c>
    </row>
    <row r="1666" spans="1:1" ht="15.75" customHeight="1" x14ac:dyDescent="0.2">
      <c r="A1666" s="82">
        <v>1658</v>
      </c>
    </row>
    <row r="1667" spans="1:1" ht="15.75" customHeight="1" x14ac:dyDescent="0.2">
      <c r="A1667" s="81">
        <v>1659</v>
      </c>
    </row>
    <row r="1668" spans="1:1" ht="15.75" customHeight="1" x14ac:dyDescent="0.2">
      <c r="A1668" s="82">
        <v>1660</v>
      </c>
    </row>
    <row r="1669" spans="1:1" ht="15.75" customHeight="1" x14ac:dyDescent="0.2">
      <c r="A1669" s="81">
        <v>1661</v>
      </c>
    </row>
    <row r="1670" spans="1:1" ht="15.75" customHeight="1" x14ac:dyDescent="0.2">
      <c r="A1670" s="82">
        <v>1662</v>
      </c>
    </row>
    <row r="1671" spans="1:1" ht="15.75" customHeight="1" x14ac:dyDescent="0.2">
      <c r="A1671" s="81">
        <v>1663</v>
      </c>
    </row>
    <row r="1672" spans="1:1" ht="15.75" customHeight="1" x14ac:dyDescent="0.2">
      <c r="A1672" s="82">
        <v>1664</v>
      </c>
    </row>
    <row r="1673" spans="1:1" ht="15.75" customHeight="1" x14ac:dyDescent="0.2">
      <c r="A1673" s="81">
        <v>1665</v>
      </c>
    </row>
    <row r="1674" spans="1:1" ht="15.75" customHeight="1" x14ac:dyDescent="0.2">
      <c r="A1674" s="82">
        <v>1666</v>
      </c>
    </row>
    <row r="1675" spans="1:1" ht="15.75" customHeight="1" x14ac:dyDescent="0.2">
      <c r="A1675" s="81">
        <v>1667</v>
      </c>
    </row>
    <row r="1676" spans="1:1" ht="15.75" customHeight="1" x14ac:dyDescent="0.2">
      <c r="A1676" s="82">
        <v>1668</v>
      </c>
    </row>
    <row r="1677" spans="1:1" ht="15.75" customHeight="1" x14ac:dyDescent="0.2">
      <c r="A1677" s="81">
        <v>1669</v>
      </c>
    </row>
    <row r="1678" spans="1:1" ht="15.75" customHeight="1" x14ac:dyDescent="0.2">
      <c r="A1678" s="82">
        <v>1670</v>
      </c>
    </row>
    <row r="1679" spans="1:1" ht="15.75" customHeight="1" x14ac:dyDescent="0.2">
      <c r="A1679" s="81">
        <v>1671</v>
      </c>
    </row>
    <row r="1680" spans="1:1" ht="15.75" customHeight="1" x14ac:dyDescent="0.2">
      <c r="A1680" s="82">
        <v>1672</v>
      </c>
    </row>
    <row r="1681" spans="1:1" ht="15.75" customHeight="1" x14ac:dyDescent="0.2">
      <c r="A1681" s="81">
        <v>1673</v>
      </c>
    </row>
    <row r="1682" spans="1:1" ht="15.75" customHeight="1" x14ac:dyDescent="0.2">
      <c r="A1682" s="82">
        <v>1674</v>
      </c>
    </row>
    <row r="1683" spans="1:1" ht="15.75" customHeight="1" x14ac:dyDescent="0.2">
      <c r="A1683" s="81">
        <v>1675</v>
      </c>
    </row>
    <row r="1684" spans="1:1" ht="15.75" customHeight="1" x14ac:dyDescent="0.2">
      <c r="A1684" s="82">
        <v>1676</v>
      </c>
    </row>
    <row r="1685" spans="1:1" ht="15.75" customHeight="1" x14ac:dyDescent="0.2">
      <c r="A1685" s="81">
        <v>1677</v>
      </c>
    </row>
    <row r="1686" spans="1:1" ht="15.75" customHeight="1" x14ac:dyDescent="0.2">
      <c r="A1686" s="82">
        <v>1678</v>
      </c>
    </row>
    <row r="1687" spans="1:1" ht="15.75" customHeight="1" x14ac:dyDescent="0.2">
      <c r="A1687" s="81">
        <v>1679</v>
      </c>
    </row>
    <row r="1688" spans="1:1" ht="15.75" customHeight="1" x14ac:dyDescent="0.2">
      <c r="A1688" s="82">
        <v>1680</v>
      </c>
    </row>
    <row r="1689" spans="1:1" ht="15.75" customHeight="1" x14ac:dyDescent="0.2">
      <c r="A1689" s="81">
        <v>1681</v>
      </c>
    </row>
    <row r="1690" spans="1:1" ht="15.75" customHeight="1" x14ac:dyDescent="0.2">
      <c r="A1690" s="82">
        <v>1682</v>
      </c>
    </row>
    <row r="1691" spans="1:1" ht="15.75" customHeight="1" x14ac:dyDescent="0.2">
      <c r="A1691" s="81">
        <v>1683</v>
      </c>
    </row>
    <row r="1692" spans="1:1" ht="15.75" customHeight="1" x14ac:dyDescent="0.2">
      <c r="A1692" s="82">
        <v>1684</v>
      </c>
    </row>
    <row r="1693" spans="1:1" ht="15.75" customHeight="1" x14ac:dyDescent="0.2">
      <c r="A1693" s="81">
        <v>1685</v>
      </c>
    </row>
    <row r="1694" spans="1:1" ht="15.75" customHeight="1" x14ac:dyDescent="0.2">
      <c r="A1694" s="82">
        <v>1686</v>
      </c>
    </row>
    <row r="1695" spans="1:1" ht="15.75" customHeight="1" x14ac:dyDescent="0.2">
      <c r="A1695" s="81">
        <v>1687</v>
      </c>
    </row>
    <row r="1696" spans="1:1" ht="15.75" customHeight="1" x14ac:dyDescent="0.2">
      <c r="A1696" s="82">
        <v>1688</v>
      </c>
    </row>
    <row r="1697" spans="1:1" ht="15.75" customHeight="1" x14ac:dyDescent="0.2">
      <c r="A1697" s="81">
        <v>1689</v>
      </c>
    </row>
    <row r="1698" spans="1:1" ht="15.75" customHeight="1" x14ac:dyDescent="0.2">
      <c r="A1698" s="82">
        <v>1690</v>
      </c>
    </row>
    <row r="1699" spans="1:1" ht="15.75" customHeight="1" x14ac:dyDescent="0.2">
      <c r="A1699" s="81">
        <v>1691</v>
      </c>
    </row>
    <row r="1700" spans="1:1" ht="15.75" customHeight="1" x14ac:dyDescent="0.2">
      <c r="A1700" s="82">
        <v>1692</v>
      </c>
    </row>
    <row r="1701" spans="1:1" ht="15.75" customHeight="1" x14ac:dyDescent="0.2">
      <c r="A1701" s="81">
        <v>1693</v>
      </c>
    </row>
    <row r="1702" spans="1:1" ht="15.75" customHeight="1" x14ac:dyDescent="0.2">
      <c r="A1702" s="82">
        <v>1694</v>
      </c>
    </row>
    <row r="1703" spans="1:1" ht="15.75" customHeight="1" x14ac:dyDescent="0.2">
      <c r="A1703" s="81">
        <v>1695</v>
      </c>
    </row>
    <row r="1704" spans="1:1" ht="15.75" customHeight="1" x14ac:dyDescent="0.2">
      <c r="A1704" s="82">
        <v>1696</v>
      </c>
    </row>
    <row r="1705" spans="1:1" ht="15.75" customHeight="1" x14ac:dyDescent="0.2">
      <c r="A1705" s="81">
        <v>1697</v>
      </c>
    </row>
    <row r="1706" spans="1:1" ht="15.75" customHeight="1" x14ac:dyDescent="0.2">
      <c r="A1706" s="82">
        <v>1698</v>
      </c>
    </row>
    <row r="1707" spans="1:1" ht="15.75" customHeight="1" x14ac:dyDescent="0.2">
      <c r="A1707" s="81">
        <v>1699</v>
      </c>
    </row>
    <row r="1708" spans="1:1" ht="15.75" customHeight="1" x14ac:dyDescent="0.2">
      <c r="A1708" s="82">
        <v>1700</v>
      </c>
    </row>
    <row r="1709" spans="1:1" ht="15.75" customHeight="1" x14ac:dyDescent="0.2">
      <c r="A1709" s="81">
        <v>1701</v>
      </c>
    </row>
    <row r="1710" spans="1:1" ht="15.75" customHeight="1" x14ac:dyDescent="0.2">
      <c r="A1710" s="82">
        <v>1702</v>
      </c>
    </row>
    <row r="1711" spans="1:1" ht="15.75" customHeight="1" x14ac:dyDescent="0.2">
      <c r="A1711" s="81">
        <v>1703</v>
      </c>
    </row>
    <row r="1712" spans="1:1" ht="15.75" customHeight="1" x14ac:dyDescent="0.2">
      <c r="A1712" s="82">
        <v>1704</v>
      </c>
    </row>
    <row r="1713" spans="1:1" ht="15.75" customHeight="1" x14ac:dyDescent="0.2">
      <c r="A1713" s="81">
        <v>1705</v>
      </c>
    </row>
    <row r="1714" spans="1:1" ht="15.75" customHeight="1" x14ac:dyDescent="0.2">
      <c r="A1714" s="82">
        <v>1706</v>
      </c>
    </row>
    <row r="1715" spans="1:1" ht="15.75" customHeight="1" x14ac:dyDescent="0.2">
      <c r="A1715" s="81">
        <v>1707</v>
      </c>
    </row>
    <row r="1716" spans="1:1" ht="15.75" customHeight="1" x14ac:dyDescent="0.2">
      <c r="A1716" s="82">
        <v>1708</v>
      </c>
    </row>
    <row r="1717" spans="1:1" ht="15.75" customHeight="1" x14ac:dyDescent="0.2">
      <c r="A1717" s="81">
        <v>1709</v>
      </c>
    </row>
    <row r="1718" spans="1:1" ht="15.75" customHeight="1" x14ac:dyDescent="0.2">
      <c r="A1718" s="82">
        <v>1710</v>
      </c>
    </row>
    <row r="1719" spans="1:1" ht="15.75" customHeight="1" x14ac:dyDescent="0.2">
      <c r="A1719" s="81">
        <v>1711</v>
      </c>
    </row>
    <row r="1720" spans="1:1" ht="15.75" customHeight="1" x14ac:dyDescent="0.2">
      <c r="A1720" s="82">
        <v>1712</v>
      </c>
    </row>
    <row r="1721" spans="1:1" ht="15.75" customHeight="1" x14ac:dyDescent="0.2">
      <c r="A1721" s="81">
        <v>1713</v>
      </c>
    </row>
    <row r="1722" spans="1:1" ht="15.75" customHeight="1" x14ac:dyDescent="0.2">
      <c r="A1722" s="82">
        <v>1714</v>
      </c>
    </row>
    <row r="1723" spans="1:1" ht="15.75" customHeight="1" x14ac:dyDescent="0.2">
      <c r="A1723" s="81">
        <v>1715</v>
      </c>
    </row>
    <row r="1724" spans="1:1" ht="15.75" customHeight="1" x14ac:dyDescent="0.2">
      <c r="A1724" s="82">
        <v>1716</v>
      </c>
    </row>
    <row r="1725" spans="1:1" ht="15.75" customHeight="1" x14ac:dyDescent="0.2">
      <c r="A1725" s="81">
        <v>1717</v>
      </c>
    </row>
    <row r="1726" spans="1:1" ht="15.75" customHeight="1" x14ac:dyDescent="0.2">
      <c r="A1726" s="82">
        <v>1718</v>
      </c>
    </row>
    <row r="1727" spans="1:1" ht="15.75" customHeight="1" x14ac:dyDescent="0.2">
      <c r="A1727" s="81">
        <v>1719</v>
      </c>
    </row>
    <row r="1728" spans="1:1" ht="15.75" customHeight="1" x14ac:dyDescent="0.2">
      <c r="A1728" s="82">
        <v>1720</v>
      </c>
    </row>
    <row r="1729" spans="1:1" ht="15.75" customHeight="1" x14ac:dyDescent="0.2">
      <c r="A1729" s="81">
        <v>1721</v>
      </c>
    </row>
    <row r="1730" spans="1:1" ht="15.75" customHeight="1" x14ac:dyDescent="0.2">
      <c r="A1730" s="82">
        <v>1722</v>
      </c>
    </row>
    <row r="1731" spans="1:1" ht="15.75" customHeight="1" x14ac:dyDescent="0.2">
      <c r="A1731" s="81">
        <v>1723</v>
      </c>
    </row>
    <row r="1732" spans="1:1" ht="15.75" customHeight="1" x14ac:dyDescent="0.2">
      <c r="A1732" s="82">
        <v>1724</v>
      </c>
    </row>
    <row r="1733" spans="1:1" ht="15.75" customHeight="1" x14ac:dyDescent="0.2">
      <c r="A1733" s="81">
        <v>1725</v>
      </c>
    </row>
    <row r="1734" spans="1:1" ht="15.75" customHeight="1" x14ac:dyDescent="0.2">
      <c r="A1734" s="82">
        <v>1726</v>
      </c>
    </row>
    <row r="1735" spans="1:1" ht="15.75" customHeight="1" x14ac:dyDescent="0.2">
      <c r="A1735" s="81">
        <v>1727</v>
      </c>
    </row>
    <row r="1736" spans="1:1" ht="15.75" customHeight="1" x14ac:dyDescent="0.2">
      <c r="A1736" s="82">
        <v>1728</v>
      </c>
    </row>
    <row r="1737" spans="1:1" ht="15.75" customHeight="1" x14ac:dyDescent="0.2">
      <c r="A1737" s="81">
        <v>1729</v>
      </c>
    </row>
    <row r="1738" spans="1:1" ht="15.75" customHeight="1" x14ac:dyDescent="0.2">
      <c r="A1738" s="82">
        <v>1730</v>
      </c>
    </row>
    <row r="1739" spans="1:1" ht="15.75" customHeight="1" x14ac:dyDescent="0.2">
      <c r="A1739" s="81">
        <v>1731</v>
      </c>
    </row>
    <row r="1740" spans="1:1" ht="15.75" customHeight="1" x14ac:dyDescent="0.2">
      <c r="A1740" s="82">
        <v>1732</v>
      </c>
    </row>
    <row r="1741" spans="1:1" ht="15.75" customHeight="1" x14ac:dyDescent="0.2">
      <c r="A1741" s="81">
        <v>1733</v>
      </c>
    </row>
    <row r="1742" spans="1:1" ht="15.75" customHeight="1" x14ac:dyDescent="0.2">
      <c r="A1742" s="82">
        <v>1734</v>
      </c>
    </row>
    <row r="1743" spans="1:1" ht="15.75" customHeight="1" x14ac:dyDescent="0.2">
      <c r="A1743" s="81">
        <v>1735</v>
      </c>
    </row>
    <row r="1744" spans="1:1" ht="15.75" customHeight="1" x14ac:dyDescent="0.2">
      <c r="A1744" s="82">
        <v>1736</v>
      </c>
    </row>
    <row r="1745" spans="1:1" ht="15.75" customHeight="1" x14ac:dyDescent="0.2">
      <c r="A1745" s="81">
        <v>1737</v>
      </c>
    </row>
    <row r="1746" spans="1:1" ht="15.75" customHeight="1" x14ac:dyDescent="0.2">
      <c r="A1746" s="82">
        <v>1738</v>
      </c>
    </row>
    <row r="1747" spans="1:1" ht="15.75" customHeight="1" x14ac:dyDescent="0.2">
      <c r="A1747" s="81">
        <v>1739</v>
      </c>
    </row>
    <row r="1748" spans="1:1" ht="15.75" customHeight="1" x14ac:dyDescent="0.2">
      <c r="A1748" s="82">
        <v>1740</v>
      </c>
    </row>
    <row r="1749" spans="1:1" ht="15.75" customHeight="1" x14ac:dyDescent="0.2">
      <c r="A1749" s="81">
        <v>1741</v>
      </c>
    </row>
    <row r="1750" spans="1:1" ht="15.75" customHeight="1" x14ac:dyDescent="0.2">
      <c r="A1750" s="82">
        <v>1742</v>
      </c>
    </row>
    <row r="1751" spans="1:1" ht="15.75" customHeight="1" x14ac:dyDescent="0.2">
      <c r="A1751" s="81">
        <v>1743</v>
      </c>
    </row>
    <row r="1752" spans="1:1" ht="15.75" customHeight="1" x14ac:dyDescent="0.2">
      <c r="A1752" s="82">
        <v>1744</v>
      </c>
    </row>
    <row r="1753" spans="1:1" ht="15.75" customHeight="1" x14ac:dyDescent="0.2">
      <c r="A1753" s="81">
        <v>1745</v>
      </c>
    </row>
    <row r="1754" spans="1:1" ht="15.75" customHeight="1" x14ac:dyDescent="0.2">
      <c r="A1754" s="82">
        <v>1746</v>
      </c>
    </row>
    <row r="1755" spans="1:1" ht="15.75" customHeight="1" x14ac:dyDescent="0.2">
      <c r="A1755" s="81">
        <v>1747</v>
      </c>
    </row>
    <row r="1756" spans="1:1" ht="15.75" customHeight="1" x14ac:dyDescent="0.2">
      <c r="A1756" s="82">
        <v>1748</v>
      </c>
    </row>
    <row r="1757" spans="1:1" ht="15.75" customHeight="1" x14ac:dyDescent="0.2">
      <c r="A1757" s="81">
        <v>1749</v>
      </c>
    </row>
    <row r="1758" spans="1:1" ht="15.75" customHeight="1" x14ac:dyDescent="0.2">
      <c r="A1758" s="82">
        <v>1750</v>
      </c>
    </row>
    <row r="1759" spans="1:1" ht="15.75" customHeight="1" x14ac:dyDescent="0.2">
      <c r="A1759" s="81">
        <v>1751</v>
      </c>
    </row>
    <row r="1760" spans="1:1" ht="15.75" customHeight="1" x14ac:dyDescent="0.2">
      <c r="A1760" s="82">
        <v>1752</v>
      </c>
    </row>
    <row r="1761" spans="1:1" ht="15.75" customHeight="1" x14ac:dyDescent="0.2">
      <c r="A1761" s="81">
        <v>1753</v>
      </c>
    </row>
    <row r="1762" spans="1:1" ht="15.75" customHeight="1" x14ac:dyDescent="0.2">
      <c r="A1762" s="82">
        <v>1754</v>
      </c>
    </row>
    <row r="1763" spans="1:1" ht="15.75" customHeight="1" x14ac:dyDescent="0.2">
      <c r="A1763" s="81">
        <v>1755</v>
      </c>
    </row>
    <row r="1764" spans="1:1" ht="15.75" customHeight="1" x14ac:dyDescent="0.2">
      <c r="A1764" s="82">
        <v>1756</v>
      </c>
    </row>
    <row r="1765" spans="1:1" ht="15.75" customHeight="1" x14ac:dyDescent="0.2">
      <c r="A1765" s="81">
        <v>1757</v>
      </c>
    </row>
    <row r="1766" spans="1:1" ht="15.75" customHeight="1" x14ac:dyDescent="0.2">
      <c r="A1766" s="82">
        <v>1758</v>
      </c>
    </row>
    <row r="1767" spans="1:1" ht="15.75" customHeight="1" x14ac:dyDescent="0.2">
      <c r="A1767" s="81">
        <v>1759</v>
      </c>
    </row>
    <row r="1768" spans="1:1" ht="15.75" customHeight="1" x14ac:dyDescent="0.2">
      <c r="A1768" s="82">
        <v>1760</v>
      </c>
    </row>
    <row r="1769" spans="1:1" ht="15.75" customHeight="1" x14ac:dyDescent="0.2">
      <c r="A1769" s="81">
        <v>1761</v>
      </c>
    </row>
    <row r="1770" spans="1:1" ht="15.75" customHeight="1" x14ac:dyDescent="0.2">
      <c r="A1770" s="82">
        <v>1762</v>
      </c>
    </row>
    <row r="1771" spans="1:1" ht="15.75" customHeight="1" x14ac:dyDescent="0.2">
      <c r="A1771" s="81">
        <v>1763</v>
      </c>
    </row>
    <row r="1772" spans="1:1" ht="15.75" customHeight="1" x14ac:dyDescent="0.2">
      <c r="A1772" s="82">
        <v>1764</v>
      </c>
    </row>
    <row r="1773" spans="1:1" ht="15.75" customHeight="1" x14ac:dyDescent="0.2">
      <c r="A1773" s="81">
        <v>1765</v>
      </c>
    </row>
    <row r="1774" spans="1:1" ht="15.75" customHeight="1" x14ac:dyDescent="0.2">
      <c r="A1774" s="82">
        <v>1766</v>
      </c>
    </row>
    <row r="1775" spans="1:1" ht="15.75" customHeight="1" x14ac:dyDescent="0.2">
      <c r="A1775" s="81">
        <v>1767</v>
      </c>
    </row>
    <row r="1776" spans="1:1" ht="15.75" customHeight="1" x14ac:dyDescent="0.2">
      <c r="A1776" s="82">
        <v>1768</v>
      </c>
    </row>
    <row r="1777" spans="1:1" ht="15.75" customHeight="1" x14ac:dyDescent="0.2">
      <c r="A1777" s="81">
        <v>1769</v>
      </c>
    </row>
    <row r="1778" spans="1:1" ht="15.75" customHeight="1" x14ac:dyDescent="0.2">
      <c r="A1778" s="82">
        <v>1770</v>
      </c>
    </row>
    <row r="1779" spans="1:1" ht="15.75" customHeight="1" x14ac:dyDescent="0.2">
      <c r="A1779" s="81">
        <v>1771</v>
      </c>
    </row>
    <row r="1780" spans="1:1" ht="15.75" customHeight="1" x14ac:dyDescent="0.2">
      <c r="A1780" s="82">
        <v>1772</v>
      </c>
    </row>
    <row r="1781" spans="1:1" ht="15.75" customHeight="1" x14ac:dyDescent="0.2">
      <c r="A1781" s="81">
        <v>1773</v>
      </c>
    </row>
    <row r="1782" spans="1:1" ht="15.75" customHeight="1" x14ac:dyDescent="0.2">
      <c r="A1782" s="82">
        <v>1774</v>
      </c>
    </row>
    <row r="1783" spans="1:1" ht="15.75" customHeight="1" x14ac:dyDescent="0.2">
      <c r="A1783" s="81">
        <v>1775</v>
      </c>
    </row>
    <row r="1784" spans="1:1" ht="15.75" customHeight="1" x14ac:dyDescent="0.2">
      <c r="A1784" s="82">
        <v>1776</v>
      </c>
    </row>
    <row r="1785" spans="1:1" ht="15.75" customHeight="1" x14ac:dyDescent="0.2">
      <c r="A1785" s="81">
        <v>1777</v>
      </c>
    </row>
    <row r="1786" spans="1:1" ht="15.75" customHeight="1" x14ac:dyDescent="0.2">
      <c r="A1786" s="82">
        <v>1778</v>
      </c>
    </row>
    <row r="1787" spans="1:1" ht="15.75" customHeight="1" x14ac:dyDescent="0.2">
      <c r="A1787" s="81">
        <v>1779</v>
      </c>
    </row>
    <row r="1788" spans="1:1" ht="15.75" customHeight="1" x14ac:dyDescent="0.2">
      <c r="A1788" s="82">
        <v>1780</v>
      </c>
    </row>
    <row r="1789" spans="1:1" ht="15.75" customHeight="1" x14ac:dyDescent="0.2">
      <c r="A1789" s="81">
        <v>1781</v>
      </c>
    </row>
    <row r="1790" spans="1:1" ht="15.75" customHeight="1" x14ac:dyDescent="0.2">
      <c r="A1790" s="82">
        <v>1782</v>
      </c>
    </row>
    <row r="1791" spans="1:1" ht="15.75" customHeight="1" x14ac:dyDescent="0.2">
      <c r="A1791" s="81">
        <v>1783</v>
      </c>
    </row>
    <row r="1792" spans="1:1" ht="15.75" customHeight="1" x14ac:dyDescent="0.2">
      <c r="A1792" s="82">
        <v>1784</v>
      </c>
    </row>
    <row r="1793" spans="1:1" ht="15.75" customHeight="1" x14ac:dyDescent="0.2">
      <c r="A1793" s="81">
        <v>1785</v>
      </c>
    </row>
    <row r="1794" spans="1:1" ht="15.75" customHeight="1" x14ac:dyDescent="0.2">
      <c r="A1794" s="82">
        <v>1786</v>
      </c>
    </row>
    <row r="1795" spans="1:1" ht="15.75" customHeight="1" x14ac:dyDescent="0.2">
      <c r="A1795" s="81">
        <v>1787</v>
      </c>
    </row>
    <row r="1796" spans="1:1" ht="15.75" customHeight="1" x14ac:dyDescent="0.2">
      <c r="A1796" s="82">
        <v>1788</v>
      </c>
    </row>
    <row r="1797" spans="1:1" ht="15.75" customHeight="1" x14ac:dyDescent="0.2">
      <c r="A1797" s="81">
        <v>1789</v>
      </c>
    </row>
    <row r="1798" spans="1:1" ht="15.75" customHeight="1" x14ac:dyDescent="0.2">
      <c r="A1798" s="82">
        <v>1790</v>
      </c>
    </row>
    <row r="1799" spans="1:1" ht="15.75" customHeight="1" x14ac:dyDescent="0.2">
      <c r="A1799" s="81">
        <v>1791</v>
      </c>
    </row>
    <row r="1800" spans="1:1" ht="15.75" customHeight="1" x14ac:dyDescent="0.2">
      <c r="A1800" s="82">
        <v>1792</v>
      </c>
    </row>
    <row r="1801" spans="1:1" ht="15.75" customHeight="1" x14ac:dyDescent="0.2">
      <c r="A1801" s="81">
        <v>1793</v>
      </c>
    </row>
    <row r="1802" spans="1:1" ht="15.75" customHeight="1" x14ac:dyDescent="0.2">
      <c r="A1802" s="82">
        <v>1794</v>
      </c>
    </row>
    <row r="1803" spans="1:1" ht="15.75" customHeight="1" x14ac:dyDescent="0.2">
      <c r="A1803" s="81">
        <v>1795</v>
      </c>
    </row>
    <row r="1804" spans="1:1" ht="15.75" customHeight="1" x14ac:dyDescent="0.2">
      <c r="A1804" s="82">
        <v>1796</v>
      </c>
    </row>
    <row r="1805" spans="1:1" ht="15.75" customHeight="1" x14ac:dyDescent="0.2">
      <c r="A1805" s="81">
        <v>1797</v>
      </c>
    </row>
    <row r="1806" spans="1:1" ht="15.75" customHeight="1" x14ac:dyDescent="0.2">
      <c r="A1806" s="82">
        <v>1798</v>
      </c>
    </row>
    <row r="1807" spans="1:1" ht="15.75" customHeight="1" x14ac:dyDescent="0.2">
      <c r="A1807" s="81">
        <v>1799</v>
      </c>
    </row>
    <row r="1808" spans="1:1" ht="15.75" customHeight="1" x14ac:dyDescent="0.2">
      <c r="A1808" s="82">
        <v>1800</v>
      </c>
    </row>
    <row r="1809" spans="1:1" ht="15.75" customHeight="1" x14ac:dyDescent="0.2">
      <c r="A1809" s="81">
        <v>1801</v>
      </c>
    </row>
    <row r="1810" spans="1:1" ht="15.75" customHeight="1" x14ac:dyDescent="0.2">
      <c r="A1810" s="82">
        <v>1802</v>
      </c>
    </row>
    <row r="1811" spans="1:1" ht="15.75" customHeight="1" x14ac:dyDescent="0.2">
      <c r="A1811" s="81">
        <v>1803</v>
      </c>
    </row>
    <row r="1812" spans="1:1" ht="15.75" customHeight="1" x14ac:dyDescent="0.2">
      <c r="A1812" s="82">
        <v>1804</v>
      </c>
    </row>
    <row r="1813" spans="1:1" ht="15.75" customHeight="1" x14ac:dyDescent="0.2">
      <c r="A1813" s="81">
        <v>1805</v>
      </c>
    </row>
    <row r="1814" spans="1:1" ht="15.75" customHeight="1" x14ac:dyDescent="0.2">
      <c r="A1814" s="82">
        <v>1806</v>
      </c>
    </row>
    <row r="1815" spans="1:1" ht="15.75" customHeight="1" x14ac:dyDescent="0.2">
      <c r="A1815" s="81">
        <v>1807</v>
      </c>
    </row>
    <row r="1816" spans="1:1" ht="15.75" customHeight="1" x14ac:dyDescent="0.2">
      <c r="A1816" s="82">
        <v>1808</v>
      </c>
    </row>
    <row r="1817" spans="1:1" ht="15.75" customHeight="1" x14ac:dyDescent="0.2">
      <c r="A1817" s="81">
        <v>1809</v>
      </c>
    </row>
    <row r="1818" spans="1:1" ht="15.75" customHeight="1" x14ac:dyDescent="0.2">
      <c r="A1818" s="82">
        <v>1810</v>
      </c>
    </row>
    <row r="1819" spans="1:1" ht="15.75" customHeight="1" x14ac:dyDescent="0.2">
      <c r="A1819" s="81">
        <v>1811</v>
      </c>
    </row>
    <row r="1820" spans="1:1" ht="15.75" customHeight="1" x14ac:dyDescent="0.2">
      <c r="A1820" s="82">
        <v>1812</v>
      </c>
    </row>
    <row r="1821" spans="1:1" ht="15.75" customHeight="1" x14ac:dyDescent="0.2">
      <c r="A1821" s="81">
        <v>1813</v>
      </c>
    </row>
    <row r="1822" spans="1:1" ht="15.75" customHeight="1" x14ac:dyDescent="0.2">
      <c r="A1822" s="82">
        <v>1814</v>
      </c>
    </row>
    <row r="1823" spans="1:1" ht="15.75" customHeight="1" x14ac:dyDescent="0.2">
      <c r="A1823" s="81">
        <v>1815</v>
      </c>
    </row>
    <row r="1824" spans="1:1" ht="15.75" customHeight="1" x14ac:dyDescent="0.2">
      <c r="A1824" s="82">
        <v>1816</v>
      </c>
    </row>
    <row r="1825" spans="1:1" ht="15.75" customHeight="1" x14ac:dyDescent="0.2">
      <c r="A1825" s="81">
        <v>1817</v>
      </c>
    </row>
    <row r="1826" spans="1:1" ht="15.75" customHeight="1" x14ac:dyDescent="0.2">
      <c r="A1826" s="82">
        <v>1818</v>
      </c>
    </row>
    <row r="1827" spans="1:1" ht="15.75" customHeight="1" x14ac:dyDescent="0.2">
      <c r="A1827" s="81">
        <v>1819</v>
      </c>
    </row>
    <row r="1828" spans="1:1" ht="15.75" customHeight="1" x14ac:dyDescent="0.2">
      <c r="A1828" s="82">
        <v>1820</v>
      </c>
    </row>
    <row r="1829" spans="1:1" ht="15.75" customHeight="1" x14ac:dyDescent="0.2">
      <c r="A1829" s="81">
        <v>1821</v>
      </c>
    </row>
    <row r="1830" spans="1:1" ht="15.75" customHeight="1" x14ac:dyDescent="0.2">
      <c r="A1830" s="82">
        <v>1822</v>
      </c>
    </row>
    <row r="1831" spans="1:1" ht="15.75" customHeight="1" x14ac:dyDescent="0.2">
      <c r="A1831" s="81">
        <v>1823</v>
      </c>
    </row>
    <row r="1832" spans="1:1" ht="15.75" customHeight="1" x14ac:dyDescent="0.2">
      <c r="A1832" s="82">
        <v>1824</v>
      </c>
    </row>
    <row r="1833" spans="1:1" ht="15.75" customHeight="1" x14ac:dyDescent="0.2">
      <c r="A1833" s="81">
        <v>1825</v>
      </c>
    </row>
    <row r="1834" spans="1:1" ht="15.75" customHeight="1" x14ac:dyDescent="0.2">
      <c r="A1834" s="82">
        <v>1826</v>
      </c>
    </row>
    <row r="1835" spans="1:1" ht="15.75" customHeight="1" x14ac:dyDescent="0.2">
      <c r="A1835" s="81">
        <v>1827</v>
      </c>
    </row>
    <row r="1836" spans="1:1" ht="15.75" customHeight="1" x14ac:dyDescent="0.2">
      <c r="A1836" s="82">
        <v>1828</v>
      </c>
    </row>
    <row r="1837" spans="1:1" ht="15.75" customHeight="1" x14ac:dyDescent="0.2">
      <c r="A1837" s="81">
        <v>1829</v>
      </c>
    </row>
    <row r="1838" spans="1:1" ht="15.75" customHeight="1" x14ac:dyDescent="0.2">
      <c r="A1838" s="82">
        <v>1830</v>
      </c>
    </row>
    <row r="1839" spans="1:1" ht="15.75" customHeight="1" x14ac:dyDescent="0.2">
      <c r="A1839" s="81">
        <v>1831</v>
      </c>
    </row>
    <row r="1840" spans="1:1" ht="15.75" customHeight="1" x14ac:dyDescent="0.2">
      <c r="A1840" s="82">
        <v>1832</v>
      </c>
    </row>
    <row r="1841" spans="1:1" ht="15.75" customHeight="1" x14ac:dyDescent="0.2">
      <c r="A1841" s="81">
        <v>1833</v>
      </c>
    </row>
    <row r="1842" spans="1:1" ht="15.75" customHeight="1" x14ac:dyDescent="0.2">
      <c r="A1842" s="82">
        <v>1834</v>
      </c>
    </row>
    <row r="1843" spans="1:1" ht="15.75" customHeight="1" x14ac:dyDescent="0.2">
      <c r="A1843" s="81">
        <v>1835</v>
      </c>
    </row>
    <row r="1844" spans="1:1" ht="15.75" customHeight="1" x14ac:dyDescent="0.2">
      <c r="A1844" s="82">
        <v>1836</v>
      </c>
    </row>
    <row r="1845" spans="1:1" ht="15.75" customHeight="1" x14ac:dyDescent="0.2">
      <c r="A1845" s="81">
        <v>1837</v>
      </c>
    </row>
    <row r="1846" spans="1:1" ht="15.75" customHeight="1" x14ac:dyDescent="0.2">
      <c r="A1846" s="82">
        <v>1838</v>
      </c>
    </row>
    <row r="1847" spans="1:1" ht="15.75" customHeight="1" x14ac:dyDescent="0.2">
      <c r="A1847" s="81">
        <v>1839</v>
      </c>
    </row>
    <row r="1848" spans="1:1" ht="15.75" customHeight="1" x14ac:dyDescent="0.2">
      <c r="A1848" s="82">
        <v>1840</v>
      </c>
    </row>
    <row r="1849" spans="1:1" ht="15.75" customHeight="1" x14ac:dyDescent="0.2">
      <c r="A1849" s="81">
        <v>1841</v>
      </c>
    </row>
    <row r="1850" spans="1:1" ht="15.75" customHeight="1" x14ac:dyDescent="0.2">
      <c r="A1850" s="82">
        <v>1842</v>
      </c>
    </row>
    <row r="1851" spans="1:1" ht="15.75" customHeight="1" x14ac:dyDescent="0.2">
      <c r="A1851" s="81">
        <v>1843</v>
      </c>
    </row>
    <row r="1852" spans="1:1" ht="15.75" customHeight="1" x14ac:dyDescent="0.2">
      <c r="A1852" s="82">
        <v>1844</v>
      </c>
    </row>
    <row r="1853" spans="1:1" ht="15.75" customHeight="1" x14ac:dyDescent="0.2">
      <c r="A1853" s="81">
        <v>1845</v>
      </c>
    </row>
    <row r="1854" spans="1:1" ht="15.75" customHeight="1" x14ac:dyDescent="0.2">
      <c r="A1854" s="82">
        <v>1846</v>
      </c>
    </row>
    <row r="1855" spans="1:1" ht="15.75" customHeight="1" x14ac:dyDescent="0.2">
      <c r="A1855" s="81">
        <v>1847</v>
      </c>
    </row>
    <row r="1856" spans="1:1" ht="15.75" customHeight="1" x14ac:dyDescent="0.2">
      <c r="A1856" s="82">
        <v>1848</v>
      </c>
    </row>
    <row r="1857" spans="1:1" ht="15.75" customHeight="1" x14ac:dyDescent="0.2">
      <c r="A1857" s="81">
        <v>1849</v>
      </c>
    </row>
    <row r="1858" spans="1:1" ht="15.75" customHeight="1" x14ac:dyDescent="0.2">
      <c r="A1858" s="82">
        <v>1850</v>
      </c>
    </row>
    <row r="1859" spans="1:1" ht="15.75" customHeight="1" x14ac:dyDescent="0.2">
      <c r="A1859" s="81">
        <v>1851</v>
      </c>
    </row>
    <row r="1860" spans="1:1" ht="15.75" customHeight="1" x14ac:dyDescent="0.2">
      <c r="A1860" s="82">
        <v>1852</v>
      </c>
    </row>
    <row r="1861" spans="1:1" ht="15.75" customHeight="1" x14ac:dyDescent="0.2">
      <c r="A1861" s="81">
        <v>1853</v>
      </c>
    </row>
    <row r="1862" spans="1:1" ht="15.75" customHeight="1" x14ac:dyDescent="0.2">
      <c r="A1862" s="82">
        <v>1854</v>
      </c>
    </row>
    <row r="1863" spans="1:1" ht="15.75" customHeight="1" x14ac:dyDescent="0.2">
      <c r="A1863" s="81">
        <v>1855</v>
      </c>
    </row>
    <row r="1864" spans="1:1" ht="15.75" customHeight="1" x14ac:dyDescent="0.2">
      <c r="A1864" s="82">
        <v>1856</v>
      </c>
    </row>
    <row r="1865" spans="1:1" ht="15.75" customHeight="1" x14ac:dyDescent="0.2">
      <c r="A1865" s="81">
        <v>1857</v>
      </c>
    </row>
    <row r="1866" spans="1:1" ht="15.75" customHeight="1" x14ac:dyDescent="0.2">
      <c r="A1866" s="82">
        <v>1858</v>
      </c>
    </row>
    <row r="1867" spans="1:1" ht="15.75" customHeight="1" x14ac:dyDescent="0.2">
      <c r="A1867" s="81">
        <v>1859</v>
      </c>
    </row>
    <row r="1868" spans="1:1" ht="15.75" customHeight="1" x14ac:dyDescent="0.2">
      <c r="A1868" s="82">
        <v>1860</v>
      </c>
    </row>
    <row r="1869" spans="1:1" ht="15.75" customHeight="1" x14ac:dyDescent="0.2">
      <c r="A1869" s="81">
        <v>1861</v>
      </c>
    </row>
    <row r="1870" spans="1:1" ht="15.75" customHeight="1" x14ac:dyDescent="0.2">
      <c r="A1870" s="82">
        <v>1862</v>
      </c>
    </row>
    <row r="1871" spans="1:1" ht="15.75" customHeight="1" x14ac:dyDescent="0.2">
      <c r="A1871" s="81">
        <v>1863</v>
      </c>
    </row>
    <row r="1872" spans="1:1" ht="15.75" customHeight="1" x14ac:dyDescent="0.2">
      <c r="A1872" s="82">
        <v>1864</v>
      </c>
    </row>
    <row r="1873" spans="1:1" ht="15.75" customHeight="1" x14ac:dyDescent="0.2">
      <c r="A1873" s="81">
        <v>1865</v>
      </c>
    </row>
    <row r="1874" spans="1:1" ht="15.75" customHeight="1" x14ac:dyDescent="0.2">
      <c r="A1874" s="82">
        <v>1866</v>
      </c>
    </row>
    <row r="1875" spans="1:1" ht="15.75" customHeight="1" x14ac:dyDescent="0.2">
      <c r="A1875" s="81">
        <v>1867</v>
      </c>
    </row>
    <row r="1876" spans="1:1" ht="15.75" customHeight="1" x14ac:dyDescent="0.2">
      <c r="A1876" s="82">
        <v>1868</v>
      </c>
    </row>
    <row r="1877" spans="1:1" ht="15.75" customHeight="1" x14ac:dyDescent="0.2">
      <c r="A1877" s="81">
        <v>1869</v>
      </c>
    </row>
    <row r="1878" spans="1:1" ht="15.75" customHeight="1" x14ac:dyDescent="0.2">
      <c r="A1878" s="82">
        <v>1870</v>
      </c>
    </row>
    <row r="1879" spans="1:1" ht="15.75" customHeight="1" x14ac:dyDescent="0.2">
      <c r="A1879" s="81">
        <v>1871</v>
      </c>
    </row>
    <row r="1880" spans="1:1" ht="15.75" customHeight="1" x14ac:dyDescent="0.2">
      <c r="A1880" s="82">
        <v>1872</v>
      </c>
    </row>
    <row r="1881" spans="1:1" ht="15.75" customHeight="1" x14ac:dyDescent="0.2">
      <c r="A1881" s="81">
        <v>1873</v>
      </c>
    </row>
    <row r="1882" spans="1:1" ht="15.75" customHeight="1" x14ac:dyDescent="0.2">
      <c r="A1882" s="82">
        <v>1874</v>
      </c>
    </row>
    <row r="1883" spans="1:1" ht="15.75" customHeight="1" x14ac:dyDescent="0.2">
      <c r="A1883" s="81">
        <v>1875</v>
      </c>
    </row>
    <row r="1884" spans="1:1" ht="15.75" customHeight="1" x14ac:dyDescent="0.2">
      <c r="A1884" s="82">
        <v>1876</v>
      </c>
    </row>
    <row r="1885" spans="1:1" ht="15.75" customHeight="1" x14ac:dyDescent="0.2">
      <c r="A1885" s="81">
        <v>1877</v>
      </c>
    </row>
    <row r="1886" spans="1:1" ht="15.75" customHeight="1" x14ac:dyDescent="0.2">
      <c r="A1886" s="82">
        <v>1878</v>
      </c>
    </row>
    <row r="1887" spans="1:1" ht="15.75" customHeight="1" x14ac:dyDescent="0.2">
      <c r="A1887" s="81">
        <v>1879</v>
      </c>
    </row>
    <row r="1888" spans="1:1" ht="15.75" customHeight="1" x14ac:dyDescent="0.2">
      <c r="A1888" s="82">
        <v>1880</v>
      </c>
    </row>
    <row r="1889" spans="1:1" ht="15.75" customHeight="1" x14ac:dyDescent="0.2">
      <c r="A1889" s="81">
        <v>1881</v>
      </c>
    </row>
    <row r="1890" spans="1:1" ht="15.75" customHeight="1" x14ac:dyDescent="0.2">
      <c r="A1890" s="82">
        <v>1882</v>
      </c>
    </row>
    <row r="1891" spans="1:1" ht="15.75" customHeight="1" x14ac:dyDescent="0.2">
      <c r="A1891" s="81">
        <v>1883</v>
      </c>
    </row>
    <row r="1892" spans="1:1" ht="15.75" customHeight="1" x14ac:dyDescent="0.2">
      <c r="A1892" s="82">
        <v>1884</v>
      </c>
    </row>
    <row r="1893" spans="1:1" ht="15.75" customHeight="1" x14ac:dyDescent="0.2">
      <c r="A1893" s="81">
        <v>1885</v>
      </c>
    </row>
    <row r="1894" spans="1:1" ht="15.75" customHeight="1" x14ac:dyDescent="0.2">
      <c r="A1894" s="82">
        <v>1886</v>
      </c>
    </row>
    <row r="1895" spans="1:1" ht="15.75" customHeight="1" x14ac:dyDescent="0.2">
      <c r="A1895" s="81">
        <v>1887</v>
      </c>
    </row>
    <row r="1896" spans="1:1" ht="15.75" customHeight="1" x14ac:dyDescent="0.2">
      <c r="A1896" s="82">
        <v>1888</v>
      </c>
    </row>
    <row r="1897" spans="1:1" ht="15.75" customHeight="1" x14ac:dyDescent="0.2">
      <c r="A1897" s="81">
        <v>1889</v>
      </c>
    </row>
    <row r="1898" spans="1:1" ht="15.75" customHeight="1" x14ac:dyDescent="0.2">
      <c r="A1898" s="82">
        <v>1890</v>
      </c>
    </row>
    <row r="1899" spans="1:1" ht="15.75" customHeight="1" x14ac:dyDescent="0.2">
      <c r="A1899" s="81">
        <v>1891</v>
      </c>
    </row>
    <row r="1900" spans="1:1" ht="15.75" customHeight="1" x14ac:dyDescent="0.2">
      <c r="A1900" s="82">
        <v>1892</v>
      </c>
    </row>
    <row r="1901" spans="1:1" ht="15.75" customHeight="1" x14ac:dyDescent="0.2">
      <c r="A1901" s="81">
        <v>1893</v>
      </c>
    </row>
    <row r="1902" spans="1:1" ht="15.75" customHeight="1" x14ac:dyDescent="0.2">
      <c r="A1902" s="82">
        <v>1894</v>
      </c>
    </row>
    <row r="1903" spans="1:1" ht="15.75" customHeight="1" x14ac:dyDescent="0.2">
      <c r="A1903" s="81">
        <v>1895</v>
      </c>
    </row>
    <row r="1904" spans="1:1" ht="15.75" customHeight="1" x14ac:dyDescent="0.2">
      <c r="A1904" s="82">
        <v>1896</v>
      </c>
    </row>
    <row r="1905" spans="1:1" ht="15.75" customHeight="1" x14ac:dyDescent="0.2">
      <c r="A1905" s="81">
        <v>1897</v>
      </c>
    </row>
    <row r="1906" spans="1:1" ht="15.75" customHeight="1" x14ac:dyDescent="0.2">
      <c r="A1906" s="82">
        <v>1898</v>
      </c>
    </row>
    <row r="1907" spans="1:1" ht="15.75" customHeight="1" x14ac:dyDescent="0.2">
      <c r="A1907" s="81">
        <v>1899</v>
      </c>
    </row>
    <row r="1908" spans="1:1" ht="15.75" customHeight="1" x14ac:dyDescent="0.2">
      <c r="A1908" s="82">
        <v>1900</v>
      </c>
    </row>
    <row r="1909" spans="1:1" ht="15.75" customHeight="1" x14ac:dyDescent="0.2">
      <c r="A1909" s="81">
        <v>1901</v>
      </c>
    </row>
    <row r="1910" spans="1:1" ht="15.75" customHeight="1" x14ac:dyDescent="0.2">
      <c r="A1910" s="82">
        <v>1902</v>
      </c>
    </row>
    <row r="1911" spans="1:1" ht="15.75" customHeight="1" x14ac:dyDescent="0.2">
      <c r="A1911" s="81">
        <v>1903</v>
      </c>
    </row>
    <row r="1912" spans="1:1" ht="15.75" customHeight="1" x14ac:dyDescent="0.2">
      <c r="A1912" s="82">
        <v>1904</v>
      </c>
    </row>
    <row r="1913" spans="1:1" ht="15.75" customHeight="1" x14ac:dyDescent="0.2">
      <c r="A1913" s="81">
        <v>1905</v>
      </c>
    </row>
    <row r="1914" spans="1:1" ht="15.75" customHeight="1" x14ac:dyDescent="0.2">
      <c r="A1914" s="82">
        <v>1906</v>
      </c>
    </row>
    <row r="1915" spans="1:1" ht="15.75" customHeight="1" x14ac:dyDescent="0.2">
      <c r="A1915" s="81">
        <v>1907</v>
      </c>
    </row>
    <row r="1916" spans="1:1" ht="15.75" customHeight="1" x14ac:dyDescent="0.2">
      <c r="A1916" s="82">
        <v>1908</v>
      </c>
    </row>
    <row r="1917" spans="1:1" ht="15.75" customHeight="1" x14ac:dyDescent="0.2">
      <c r="A1917" s="81">
        <v>1909</v>
      </c>
    </row>
    <row r="1918" spans="1:1" ht="15.75" customHeight="1" x14ac:dyDescent="0.2">
      <c r="A1918" s="82">
        <v>1910</v>
      </c>
    </row>
    <row r="1919" spans="1:1" ht="15.75" customHeight="1" x14ac:dyDescent="0.2">
      <c r="A1919" s="81">
        <v>1911</v>
      </c>
    </row>
    <row r="1920" spans="1:1" ht="15.75" customHeight="1" x14ac:dyDescent="0.2">
      <c r="A1920" s="82">
        <v>1912</v>
      </c>
    </row>
    <row r="1921" spans="1:1" ht="15.75" customHeight="1" x14ac:dyDescent="0.2">
      <c r="A1921" s="81">
        <v>1913</v>
      </c>
    </row>
    <row r="1922" spans="1:1" ht="15.75" customHeight="1" x14ac:dyDescent="0.2">
      <c r="A1922" s="82">
        <v>1914</v>
      </c>
    </row>
    <row r="1923" spans="1:1" ht="15.75" customHeight="1" x14ac:dyDescent="0.2">
      <c r="A1923" s="81">
        <v>1915</v>
      </c>
    </row>
    <row r="1924" spans="1:1" ht="15.75" customHeight="1" x14ac:dyDescent="0.2">
      <c r="A1924" s="82">
        <v>1916</v>
      </c>
    </row>
    <row r="1925" spans="1:1" ht="15.75" customHeight="1" x14ac:dyDescent="0.2">
      <c r="A1925" s="81">
        <v>1917</v>
      </c>
    </row>
    <row r="1926" spans="1:1" ht="15.75" customHeight="1" x14ac:dyDescent="0.2">
      <c r="A1926" s="82">
        <v>1918</v>
      </c>
    </row>
    <row r="1927" spans="1:1" ht="15.75" customHeight="1" x14ac:dyDescent="0.2">
      <c r="A1927" s="81">
        <v>1919</v>
      </c>
    </row>
    <row r="1928" spans="1:1" ht="15.75" customHeight="1" x14ac:dyDescent="0.2">
      <c r="A1928" s="82">
        <v>1920</v>
      </c>
    </row>
    <row r="1929" spans="1:1" ht="15.75" customHeight="1" x14ac:dyDescent="0.2">
      <c r="A1929" s="81">
        <v>1921</v>
      </c>
    </row>
    <row r="1930" spans="1:1" ht="15.75" customHeight="1" x14ac:dyDescent="0.2">
      <c r="A1930" s="82">
        <v>1922</v>
      </c>
    </row>
    <row r="1931" spans="1:1" ht="15.75" customHeight="1" x14ac:dyDescent="0.2">
      <c r="A1931" s="81">
        <v>1923</v>
      </c>
    </row>
    <row r="1932" spans="1:1" ht="15.75" customHeight="1" x14ac:dyDescent="0.2">
      <c r="A1932" s="82">
        <v>1924</v>
      </c>
    </row>
    <row r="1933" spans="1:1" ht="15.75" customHeight="1" x14ac:dyDescent="0.2">
      <c r="A1933" s="81">
        <v>1925</v>
      </c>
    </row>
    <row r="1934" spans="1:1" ht="15.75" customHeight="1" x14ac:dyDescent="0.2">
      <c r="A1934" s="82">
        <v>1926</v>
      </c>
    </row>
    <row r="1935" spans="1:1" ht="15.75" customHeight="1" x14ac:dyDescent="0.2">
      <c r="A1935" s="81">
        <v>1927</v>
      </c>
    </row>
    <row r="1936" spans="1:1" ht="15.75" customHeight="1" x14ac:dyDescent="0.2">
      <c r="A1936" s="82">
        <v>1928</v>
      </c>
    </row>
    <row r="1937" spans="1:1" ht="15.75" customHeight="1" x14ac:dyDescent="0.2">
      <c r="A1937" s="81">
        <v>1929</v>
      </c>
    </row>
    <row r="1938" spans="1:1" ht="15.75" customHeight="1" x14ac:dyDescent="0.2">
      <c r="A1938" s="82">
        <v>1930</v>
      </c>
    </row>
    <row r="1939" spans="1:1" ht="15.75" customHeight="1" x14ac:dyDescent="0.2">
      <c r="A1939" s="81">
        <v>1931</v>
      </c>
    </row>
    <row r="1940" spans="1:1" ht="15.75" customHeight="1" x14ac:dyDescent="0.2">
      <c r="A1940" s="82">
        <v>1932</v>
      </c>
    </row>
    <row r="1941" spans="1:1" ht="15.75" customHeight="1" x14ac:dyDescent="0.2">
      <c r="A1941" s="81">
        <v>1933</v>
      </c>
    </row>
    <row r="1942" spans="1:1" ht="15.75" customHeight="1" x14ac:dyDescent="0.2">
      <c r="A1942" s="82">
        <v>1934</v>
      </c>
    </row>
    <row r="1943" spans="1:1" ht="15.75" customHeight="1" x14ac:dyDescent="0.2">
      <c r="A1943" s="81">
        <v>1935</v>
      </c>
    </row>
    <row r="1944" spans="1:1" ht="15.75" customHeight="1" x14ac:dyDescent="0.2">
      <c r="A1944" s="82">
        <v>1936</v>
      </c>
    </row>
    <row r="1945" spans="1:1" ht="15.75" customHeight="1" x14ac:dyDescent="0.2">
      <c r="A1945" s="81">
        <v>1937</v>
      </c>
    </row>
    <row r="1946" spans="1:1" ht="15.75" customHeight="1" x14ac:dyDescent="0.2">
      <c r="A1946" s="82">
        <v>1938</v>
      </c>
    </row>
    <row r="1947" spans="1:1" ht="15.75" customHeight="1" x14ac:dyDescent="0.2">
      <c r="A1947" s="81">
        <v>1939</v>
      </c>
    </row>
    <row r="1948" spans="1:1" ht="15.75" customHeight="1" x14ac:dyDescent="0.2">
      <c r="A1948" s="82">
        <v>1940</v>
      </c>
    </row>
    <row r="1949" spans="1:1" ht="15.75" customHeight="1" x14ac:dyDescent="0.2">
      <c r="A1949" s="81">
        <v>1941</v>
      </c>
    </row>
    <row r="1950" spans="1:1" ht="15.75" customHeight="1" x14ac:dyDescent="0.2">
      <c r="A1950" s="82">
        <v>1942</v>
      </c>
    </row>
    <row r="1951" spans="1:1" ht="15.75" customHeight="1" x14ac:dyDescent="0.2">
      <c r="A1951" s="81">
        <v>1943</v>
      </c>
    </row>
    <row r="1952" spans="1:1" ht="15.75" customHeight="1" x14ac:dyDescent="0.2">
      <c r="A1952" s="82">
        <v>1944</v>
      </c>
    </row>
    <row r="1953" spans="1:1" ht="15.75" customHeight="1" x14ac:dyDescent="0.2">
      <c r="A1953" s="81">
        <v>1945</v>
      </c>
    </row>
    <row r="1954" spans="1:1" ht="15.75" customHeight="1" x14ac:dyDescent="0.2">
      <c r="A1954" s="82">
        <v>1946</v>
      </c>
    </row>
    <row r="1955" spans="1:1" ht="15.75" customHeight="1" x14ac:dyDescent="0.2">
      <c r="A1955" s="81">
        <v>1947</v>
      </c>
    </row>
    <row r="1956" spans="1:1" ht="15.75" customHeight="1" x14ac:dyDescent="0.2">
      <c r="A1956" s="82">
        <v>1948</v>
      </c>
    </row>
    <row r="1957" spans="1:1" ht="15.75" customHeight="1" x14ac:dyDescent="0.2">
      <c r="A1957" s="81">
        <v>1949</v>
      </c>
    </row>
    <row r="1958" spans="1:1" ht="15.75" customHeight="1" x14ac:dyDescent="0.2">
      <c r="A1958" s="82">
        <v>1950</v>
      </c>
    </row>
    <row r="1959" spans="1:1" ht="15.75" customHeight="1" x14ac:dyDescent="0.2">
      <c r="A1959" s="81">
        <v>1951</v>
      </c>
    </row>
    <row r="1960" spans="1:1" ht="15.75" customHeight="1" x14ac:dyDescent="0.2">
      <c r="A1960" s="82">
        <v>1952</v>
      </c>
    </row>
    <row r="1961" spans="1:1" ht="15.75" customHeight="1" x14ac:dyDescent="0.2">
      <c r="A1961" s="81">
        <v>1953</v>
      </c>
    </row>
    <row r="1962" spans="1:1" ht="15.75" customHeight="1" x14ac:dyDescent="0.2">
      <c r="A1962" s="82">
        <v>1954</v>
      </c>
    </row>
    <row r="1963" spans="1:1" ht="15.75" customHeight="1" x14ac:dyDescent="0.2">
      <c r="A1963" s="81">
        <v>1955</v>
      </c>
    </row>
    <row r="1964" spans="1:1" ht="15.75" customHeight="1" x14ac:dyDescent="0.2">
      <c r="A1964" s="82">
        <v>1956</v>
      </c>
    </row>
    <row r="1965" spans="1:1" ht="15.75" customHeight="1" x14ac:dyDescent="0.2">
      <c r="A1965" s="81">
        <v>1957</v>
      </c>
    </row>
    <row r="1966" spans="1:1" ht="15.75" customHeight="1" x14ac:dyDescent="0.2">
      <c r="A1966" s="82">
        <v>1958</v>
      </c>
    </row>
    <row r="1967" spans="1:1" ht="15.75" customHeight="1" x14ac:dyDescent="0.2">
      <c r="A1967" s="81">
        <v>1959</v>
      </c>
    </row>
    <row r="1968" spans="1:1" ht="15.75" customHeight="1" x14ac:dyDescent="0.2">
      <c r="A1968" s="82">
        <v>1960</v>
      </c>
    </row>
    <row r="1969" spans="1:1" ht="15.75" customHeight="1" x14ac:dyDescent="0.2">
      <c r="A1969" s="81">
        <v>1961</v>
      </c>
    </row>
    <row r="1970" spans="1:1" ht="15.75" customHeight="1" x14ac:dyDescent="0.2">
      <c r="A1970" s="82">
        <v>1962</v>
      </c>
    </row>
    <row r="1971" spans="1:1" ht="15.75" customHeight="1" x14ac:dyDescent="0.2">
      <c r="A1971" s="81">
        <v>1963</v>
      </c>
    </row>
    <row r="1972" spans="1:1" ht="15.75" customHeight="1" x14ac:dyDescent="0.2">
      <c r="A1972" s="82">
        <v>1964</v>
      </c>
    </row>
    <row r="1973" spans="1:1" ht="15.75" customHeight="1" x14ac:dyDescent="0.2">
      <c r="A1973" s="81">
        <v>1965</v>
      </c>
    </row>
    <row r="1974" spans="1:1" ht="15.75" customHeight="1" x14ac:dyDescent="0.2">
      <c r="A1974" s="82">
        <v>1966</v>
      </c>
    </row>
    <row r="1975" spans="1:1" ht="15.75" customHeight="1" x14ac:dyDescent="0.2">
      <c r="A1975" s="81">
        <v>1967</v>
      </c>
    </row>
    <row r="1976" spans="1:1" ht="15.75" customHeight="1" x14ac:dyDescent="0.2">
      <c r="A1976" s="82">
        <v>1968</v>
      </c>
    </row>
    <row r="1977" spans="1:1" ht="15.75" customHeight="1" x14ac:dyDescent="0.2">
      <c r="A1977" s="81">
        <v>1969</v>
      </c>
    </row>
    <row r="1978" spans="1:1" ht="15.75" customHeight="1" x14ac:dyDescent="0.2">
      <c r="A1978" s="82">
        <v>1970</v>
      </c>
    </row>
    <row r="1979" spans="1:1" ht="15.75" customHeight="1" x14ac:dyDescent="0.2">
      <c r="A1979" s="81">
        <v>1971</v>
      </c>
    </row>
    <row r="1980" spans="1:1" ht="15.75" customHeight="1" x14ac:dyDescent="0.2">
      <c r="A1980" s="82">
        <v>1972</v>
      </c>
    </row>
    <row r="1981" spans="1:1" ht="15.75" customHeight="1" x14ac:dyDescent="0.2">
      <c r="A1981" s="81">
        <v>1973</v>
      </c>
    </row>
    <row r="1982" spans="1:1" ht="15.75" customHeight="1" x14ac:dyDescent="0.2">
      <c r="A1982" s="82">
        <v>1974</v>
      </c>
    </row>
    <row r="1983" spans="1:1" ht="15.75" customHeight="1" x14ac:dyDescent="0.2">
      <c r="A1983" s="81">
        <v>1975</v>
      </c>
    </row>
    <row r="1984" spans="1:1" ht="15.75" customHeight="1" x14ac:dyDescent="0.2">
      <c r="A1984" s="82">
        <v>1976</v>
      </c>
    </row>
    <row r="1985" spans="1:1" ht="15.75" customHeight="1" x14ac:dyDescent="0.2">
      <c r="A1985" s="81">
        <v>1977</v>
      </c>
    </row>
    <row r="1986" spans="1:1" ht="15.75" customHeight="1" x14ac:dyDescent="0.2">
      <c r="A1986" s="82">
        <v>1978</v>
      </c>
    </row>
    <row r="1987" spans="1:1" ht="15.75" customHeight="1" x14ac:dyDescent="0.2">
      <c r="A1987" s="81">
        <v>1979</v>
      </c>
    </row>
    <row r="1988" spans="1:1" ht="15.75" customHeight="1" x14ac:dyDescent="0.2">
      <c r="A1988" s="82">
        <v>1980</v>
      </c>
    </row>
    <row r="1989" spans="1:1" ht="15.75" customHeight="1" x14ac:dyDescent="0.2">
      <c r="A1989" s="81">
        <v>1981</v>
      </c>
    </row>
    <row r="1990" spans="1:1" ht="15.75" customHeight="1" x14ac:dyDescent="0.2">
      <c r="A1990" s="82">
        <v>1982</v>
      </c>
    </row>
    <row r="1991" spans="1:1" ht="15.75" customHeight="1" x14ac:dyDescent="0.2">
      <c r="A1991" s="81">
        <v>1983</v>
      </c>
    </row>
    <row r="1992" spans="1:1" ht="15.75" customHeight="1" x14ac:dyDescent="0.2">
      <c r="A1992" s="82">
        <v>1984</v>
      </c>
    </row>
    <row r="1993" spans="1:1" ht="15.75" customHeight="1" x14ac:dyDescent="0.2">
      <c r="A1993" s="81">
        <v>1985</v>
      </c>
    </row>
    <row r="1994" spans="1:1" ht="15.75" customHeight="1" x14ac:dyDescent="0.2">
      <c r="A1994" s="82">
        <v>1986</v>
      </c>
    </row>
    <row r="1995" spans="1:1" ht="15.75" customHeight="1" x14ac:dyDescent="0.2">
      <c r="A1995" s="81">
        <v>1987</v>
      </c>
    </row>
    <row r="1996" spans="1:1" ht="15.75" customHeight="1" x14ac:dyDescent="0.2">
      <c r="A1996" s="82">
        <v>1988</v>
      </c>
    </row>
    <row r="1997" spans="1:1" ht="15.75" customHeight="1" x14ac:dyDescent="0.2">
      <c r="A1997" s="81">
        <v>1989</v>
      </c>
    </row>
    <row r="1998" spans="1:1" ht="15.75" customHeight="1" x14ac:dyDescent="0.2">
      <c r="A1998" s="82">
        <v>1990</v>
      </c>
    </row>
    <row r="1999" spans="1:1" ht="15.75" customHeight="1" x14ac:dyDescent="0.2">
      <c r="A1999" s="81">
        <v>1991</v>
      </c>
    </row>
    <row r="2000" spans="1:1" ht="15.75" customHeight="1" x14ac:dyDescent="0.2">
      <c r="A2000" s="82">
        <v>1992</v>
      </c>
    </row>
    <row r="2001" spans="1:1" ht="15.75" customHeight="1" x14ac:dyDescent="0.2">
      <c r="A2001" s="81">
        <v>1993</v>
      </c>
    </row>
    <row r="2002" spans="1:1" ht="15.75" customHeight="1" x14ac:dyDescent="0.2">
      <c r="A2002" s="82">
        <v>1994</v>
      </c>
    </row>
    <row r="2003" spans="1:1" ht="15.75" customHeight="1" x14ac:dyDescent="0.2">
      <c r="A2003" s="81">
        <v>1995</v>
      </c>
    </row>
    <row r="2004" spans="1:1" ht="15.75" customHeight="1" x14ac:dyDescent="0.2">
      <c r="A2004" s="82">
        <v>1996</v>
      </c>
    </row>
    <row r="2005" spans="1:1" ht="15.75" customHeight="1" x14ac:dyDescent="0.2">
      <c r="A2005" s="81">
        <v>1997</v>
      </c>
    </row>
    <row r="2006" spans="1:1" ht="15.75" customHeight="1" x14ac:dyDescent="0.2">
      <c r="A2006" s="82">
        <v>1998</v>
      </c>
    </row>
    <row r="2007" spans="1:1" ht="15.75" customHeight="1" x14ac:dyDescent="0.2">
      <c r="A2007" s="81">
        <v>1999</v>
      </c>
    </row>
    <row r="2008" spans="1:1" ht="15.75" customHeight="1" x14ac:dyDescent="0.2">
      <c r="A2008" s="82">
        <v>2000</v>
      </c>
    </row>
    <row r="2009" spans="1:1" ht="15.75" customHeight="1" x14ac:dyDescent="0.2">
      <c r="A2009" s="81">
        <v>2001</v>
      </c>
    </row>
    <row r="2010" spans="1:1" ht="15.75" customHeight="1" x14ac:dyDescent="0.2">
      <c r="A2010" s="82">
        <v>2002</v>
      </c>
    </row>
    <row r="2011" spans="1:1" ht="15.75" customHeight="1" x14ac:dyDescent="0.2">
      <c r="A2011" s="81">
        <v>2003</v>
      </c>
    </row>
    <row r="2012" spans="1:1" ht="15.75" customHeight="1" x14ac:dyDescent="0.2">
      <c r="A2012" s="82">
        <v>2004</v>
      </c>
    </row>
    <row r="2013" spans="1:1" ht="15.75" customHeight="1" x14ac:dyDescent="0.2">
      <c r="A2013" s="81">
        <v>2005</v>
      </c>
    </row>
    <row r="2014" spans="1:1" ht="15.75" customHeight="1" x14ac:dyDescent="0.2">
      <c r="A2014" s="82">
        <v>2006</v>
      </c>
    </row>
    <row r="2015" spans="1:1" ht="15.75" customHeight="1" x14ac:dyDescent="0.2">
      <c r="A2015" s="81">
        <v>2007</v>
      </c>
    </row>
    <row r="2016" spans="1:1" ht="15.75" customHeight="1" x14ac:dyDescent="0.2">
      <c r="A2016" s="82">
        <v>2008</v>
      </c>
    </row>
    <row r="2017" spans="1:1" ht="15.75" customHeight="1" x14ac:dyDescent="0.2">
      <c r="A2017" s="81">
        <v>2009</v>
      </c>
    </row>
    <row r="2018" spans="1:1" ht="15.75" customHeight="1" x14ac:dyDescent="0.2">
      <c r="A2018" s="82">
        <v>2010</v>
      </c>
    </row>
    <row r="2019" spans="1:1" ht="15.75" customHeight="1" x14ac:dyDescent="0.2">
      <c r="A2019" s="81">
        <v>2011</v>
      </c>
    </row>
    <row r="2020" spans="1:1" ht="15.75" customHeight="1" x14ac:dyDescent="0.2">
      <c r="A2020" s="82">
        <v>2012</v>
      </c>
    </row>
    <row r="2021" spans="1:1" ht="15.75" customHeight="1" x14ac:dyDescent="0.2">
      <c r="A2021" s="81">
        <v>2013</v>
      </c>
    </row>
    <row r="2022" spans="1:1" ht="15.75" customHeight="1" x14ac:dyDescent="0.2">
      <c r="A2022" s="82">
        <v>2014</v>
      </c>
    </row>
    <row r="2023" spans="1:1" ht="15.75" customHeight="1" x14ac:dyDescent="0.2">
      <c r="A2023" s="81">
        <v>2015</v>
      </c>
    </row>
    <row r="2024" spans="1:1" ht="15.75" customHeight="1" x14ac:dyDescent="0.2">
      <c r="A2024" s="82">
        <v>2016</v>
      </c>
    </row>
    <row r="2025" spans="1:1" ht="15.75" customHeight="1" x14ac:dyDescent="0.2">
      <c r="A2025" s="81">
        <v>2017</v>
      </c>
    </row>
    <row r="2026" spans="1:1" ht="15.75" customHeight="1" x14ac:dyDescent="0.2">
      <c r="A2026" s="82">
        <v>2018</v>
      </c>
    </row>
    <row r="2027" spans="1:1" ht="15.75" customHeight="1" x14ac:dyDescent="0.2">
      <c r="A2027" s="81">
        <v>2019</v>
      </c>
    </row>
    <row r="2028" spans="1:1" ht="15.75" customHeight="1" x14ac:dyDescent="0.2">
      <c r="A2028" s="82">
        <v>2020</v>
      </c>
    </row>
    <row r="2029" spans="1:1" ht="15.75" customHeight="1" x14ac:dyDescent="0.2">
      <c r="A2029" s="81">
        <v>2021</v>
      </c>
    </row>
    <row r="2030" spans="1:1" ht="15.75" customHeight="1" x14ac:dyDescent="0.2">
      <c r="A2030" s="82">
        <v>2022</v>
      </c>
    </row>
    <row r="2031" spans="1:1" ht="15.75" customHeight="1" x14ac:dyDescent="0.2">
      <c r="A2031" s="81">
        <v>2023</v>
      </c>
    </row>
    <row r="2032" spans="1:1" ht="15.75" customHeight="1" x14ac:dyDescent="0.2">
      <c r="A2032" s="82">
        <v>2024</v>
      </c>
    </row>
    <row r="2033" spans="1:1" ht="15.75" customHeight="1" x14ac:dyDescent="0.2">
      <c r="A2033" s="81">
        <v>2025</v>
      </c>
    </row>
    <row r="2034" spans="1:1" ht="15.75" customHeight="1" x14ac:dyDescent="0.2">
      <c r="A2034" s="82">
        <v>2026</v>
      </c>
    </row>
    <row r="2035" spans="1:1" ht="15.75" customHeight="1" x14ac:dyDescent="0.2">
      <c r="A2035" s="81">
        <v>2027</v>
      </c>
    </row>
    <row r="2036" spans="1:1" ht="15.75" customHeight="1" x14ac:dyDescent="0.2">
      <c r="A2036" s="82">
        <v>2028</v>
      </c>
    </row>
    <row r="2037" spans="1:1" ht="15.75" customHeight="1" x14ac:dyDescent="0.2">
      <c r="A2037" s="81">
        <v>2029</v>
      </c>
    </row>
    <row r="2038" spans="1:1" ht="15.75" customHeight="1" x14ac:dyDescent="0.2">
      <c r="A2038" s="82">
        <v>2030</v>
      </c>
    </row>
    <row r="2039" spans="1:1" ht="15.75" customHeight="1" x14ac:dyDescent="0.2">
      <c r="A2039" s="81">
        <v>2031</v>
      </c>
    </row>
    <row r="2040" spans="1:1" ht="15.75" customHeight="1" x14ac:dyDescent="0.2">
      <c r="A2040" s="82">
        <v>2032</v>
      </c>
    </row>
    <row r="2041" spans="1:1" ht="15.75" customHeight="1" x14ac:dyDescent="0.2">
      <c r="A2041" s="81">
        <v>2033</v>
      </c>
    </row>
    <row r="2042" spans="1:1" ht="15.75" customHeight="1" x14ac:dyDescent="0.2">
      <c r="A2042" s="82">
        <v>2034</v>
      </c>
    </row>
    <row r="2043" spans="1:1" ht="15.75" customHeight="1" x14ac:dyDescent="0.2">
      <c r="A2043" s="81">
        <v>2035</v>
      </c>
    </row>
    <row r="2044" spans="1:1" ht="15.75" customHeight="1" x14ac:dyDescent="0.2">
      <c r="A2044" s="82">
        <v>2036</v>
      </c>
    </row>
    <row r="2045" spans="1:1" ht="15.75" customHeight="1" x14ac:dyDescent="0.2">
      <c r="A2045" s="81">
        <v>2037</v>
      </c>
    </row>
    <row r="2046" spans="1:1" ht="15.75" customHeight="1" x14ac:dyDescent="0.2">
      <c r="A2046" s="82">
        <v>2038</v>
      </c>
    </row>
    <row r="2047" spans="1:1" ht="15.75" customHeight="1" x14ac:dyDescent="0.2">
      <c r="A2047" s="81">
        <v>2039</v>
      </c>
    </row>
    <row r="2048" spans="1:1" ht="15.75" customHeight="1" x14ac:dyDescent="0.2">
      <c r="A2048" s="82">
        <v>2040</v>
      </c>
    </row>
    <row r="2049" spans="1:1" ht="15.75" customHeight="1" x14ac:dyDescent="0.2">
      <c r="A2049" s="81">
        <v>2041</v>
      </c>
    </row>
    <row r="2050" spans="1:1" ht="15.75" customHeight="1" x14ac:dyDescent="0.2">
      <c r="A2050" s="82">
        <v>2042</v>
      </c>
    </row>
    <row r="2051" spans="1:1" ht="15.75" customHeight="1" x14ac:dyDescent="0.2">
      <c r="A2051" s="81">
        <v>2043</v>
      </c>
    </row>
    <row r="2052" spans="1:1" ht="15.75" customHeight="1" x14ac:dyDescent="0.2">
      <c r="A2052" s="82">
        <v>2044</v>
      </c>
    </row>
    <row r="2053" spans="1:1" ht="15.75" customHeight="1" x14ac:dyDescent="0.2">
      <c r="A2053" s="81">
        <v>2045</v>
      </c>
    </row>
    <row r="2054" spans="1:1" ht="15.75" customHeight="1" x14ac:dyDescent="0.2">
      <c r="A2054" s="82">
        <v>2046</v>
      </c>
    </row>
    <row r="2055" spans="1:1" ht="15.75" customHeight="1" x14ac:dyDescent="0.2">
      <c r="A2055" s="81">
        <v>2047</v>
      </c>
    </row>
    <row r="2056" spans="1:1" ht="15.75" customHeight="1" x14ac:dyDescent="0.2">
      <c r="A2056" s="82">
        <v>2048</v>
      </c>
    </row>
    <row r="2057" spans="1:1" ht="15.75" customHeight="1" x14ac:dyDescent="0.2">
      <c r="A2057" s="81">
        <v>2049</v>
      </c>
    </row>
    <row r="2058" spans="1:1" ht="15.75" customHeight="1" x14ac:dyDescent="0.2">
      <c r="A2058" s="82">
        <v>2050</v>
      </c>
    </row>
    <row r="2059" spans="1:1" ht="15.75" customHeight="1" x14ac:dyDescent="0.2">
      <c r="A2059" s="81">
        <v>2051</v>
      </c>
    </row>
    <row r="2060" spans="1:1" ht="15.75" customHeight="1" x14ac:dyDescent="0.2">
      <c r="A2060" s="82">
        <v>2052</v>
      </c>
    </row>
    <row r="2061" spans="1:1" ht="15.75" customHeight="1" x14ac:dyDescent="0.2">
      <c r="A2061" s="81">
        <v>2053</v>
      </c>
    </row>
    <row r="2062" spans="1:1" ht="15.75" customHeight="1" x14ac:dyDescent="0.2">
      <c r="A2062" s="82">
        <v>2054</v>
      </c>
    </row>
    <row r="2063" spans="1:1" ht="15.75" customHeight="1" x14ac:dyDescent="0.2">
      <c r="A2063" s="81">
        <v>2055</v>
      </c>
    </row>
    <row r="2064" spans="1:1" ht="15.75" customHeight="1" x14ac:dyDescent="0.2">
      <c r="A2064" s="82">
        <v>2056</v>
      </c>
    </row>
    <row r="2065" spans="1:1" ht="15.75" customHeight="1" x14ac:dyDescent="0.2">
      <c r="A2065" s="81">
        <v>2057</v>
      </c>
    </row>
    <row r="2066" spans="1:1" ht="15.75" customHeight="1" x14ac:dyDescent="0.2">
      <c r="A2066" s="82">
        <v>2058</v>
      </c>
    </row>
    <row r="2067" spans="1:1" ht="15.75" customHeight="1" x14ac:dyDescent="0.2">
      <c r="A2067" s="81">
        <v>2059</v>
      </c>
    </row>
    <row r="2068" spans="1:1" ht="15.75" customHeight="1" x14ac:dyDescent="0.2">
      <c r="A2068" s="82">
        <v>2060</v>
      </c>
    </row>
    <row r="2069" spans="1:1" ht="15.75" customHeight="1" x14ac:dyDescent="0.2">
      <c r="A2069" s="81">
        <v>2061</v>
      </c>
    </row>
    <row r="2070" spans="1:1" ht="15.75" customHeight="1" x14ac:dyDescent="0.2">
      <c r="A2070" s="82">
        <v>2062</v>
      </c>
    </row>
    <row r="2071" spans="1:1" ht="15.75" customHeight="1" x14ac:dyDescent="0.2">
      <c r="A2071" s="81">
        <v>2063</v>
      </c>
    </row>
    <row r="2072" spans="1:1" ht="15.75" customHeight="1" x14ac:dyDescent="0.2">
      <c r="A2072" s="82">
        <v>2064</v>
      </c>
    </row>
    <row r="2073" spans="1:1" ht="15.75" customHeight="1" x14ac:dyDescent="0.2">
      <c r="A2073" s="81">
        <v>2065</v>
      </c>
    </row>
    <row r="2074" spans="1:1" ht="15.75" customHeight="1" x14ac:dyDescent="0.2">
      <c r="A2074" s="82">
        <v>2066</v>
      </c>
    </row>
    <row r="2075" spans="1:1" ht="15.75" customHeight="1" x14ac:dyDescent="0.2">
      <c r="A2075" s="81">
        <v>2067</v>
      </c>
    </row>
    <row r="2076" spans="1:1" ht="15.75" customHeight="1" x14ac:dyDescent="0.2">
      <c r="A2076" s="82">
        <v>2068</v>
      </c>
    </row>
    <row r="2077" spans="1:1" ht="15.75" customHeight="1" x14ac:dyDescent="0.2">
      <c r="A2077" s="81">
        <v>2069</v>
      </c>
    </row>
    <row r="2078" spans="1:1" ht="15.75" customHeight="1" x14ac:dyDescent="0.2">
      <c r="A2078" s="82">
        <v>2070</v>
      </c>
    </row>
    <row r="2079" spans="1:1" ht="15.75" customHeight="1" x14ac:dyDescent="0.2">
      <c r="A2079" s="81">
        <v>2071</v>
      </c>
    </row>
    <row r="2080" spans="1:1" ht="15.75" customHeight="1" x14ac:dyDescent="0.2">
      <c r="A2080" s="82">
        <v>2072</v>
      </c>
    </row>
    <row r="2081" spans="1:1" ht="15.75" customHeight="1" x14ac:dyDescent="0.2">
      <c r="A2081" s="81">
        <v>2073</v>
      </c>
    </row>
    <row r="2082" spans="1:1" ht="15.75" customHeight="1" x14ac:dyDescent="0.2">
      <c r="A2082" s="82">
        <v>2074</v>
      </c>
    </row>
    <row r="2083" spans="1:1" ht="15.75" customHeight="1" x14ac:dyDescent="0.2">
      <c r="A2083" s="81">
        <v>2075</v>
      </c>
    </row>
    <row r="2084" spans="1:1" ht="15.75" customHeight="1" x14ac:dyDescent="0.2">
      <c r="A2084" s="82">
        <v>2076</v>
      </c>
    </row>
    <row r="2085" spans="1:1" ht="15.75" customHeight="1" x14ac:dyDescent="0.2">
      <c r="A2085" s="81">
        <v>2077</v>
      </c>
    </row>
    <row r="2086" spans="1:1" ht="15.75" customHeight="1" x14ac:dyDescent="0.2">
      <c r="A2086" s="82">
        <v>2078</v>
      </c>
    </row>
    <row r="2087" spans="1:1" ht="15.75" customHeight="1" x14ac:dyDescent="0.2">
      <c r="A2087" s="81">
        <v>2079</v>
      </c>
    </row>
    <row r="2088" spans="1:1" ht="15.75" customHeight="1" x14ac:dyDescent="0.2">
      <c r="A2088" s="82">
        <v>2080</v>
      </c>
    </row>
    <row r="2089" spans="1:1" ht="15.75" customHeight="1" x14ac:dyDescent="0.2">
      <c r="A2089" s="81">
        <v>2081</v>
      </c>
    </row>
    <row r="2090" spans="1:1" ht="15.75" customHeight="1" x14ac:dyDescent="0.2">
      <c r="A2090" s="82">
        <v>2082</v>
      </c>
    </row>
    <row r="2091" spans="1:1" ht="15.75" customHeight="1" x14ac:dyDescent="0.2">
      <c r="A2091" s="81">
        <v>2083</v>
      </c>
    </row>
    <row r="2092" spans="1:1" ht="15.75" customHeight="1" x14ac:dyDescent="0.2">
      <c r="A2092" s="82">
        <v>2084</v>
      </c>
    </row>
    <row r="2093" spans="1:1" ht="15.75" customHeight="1" x14ac:dyDescent="0.2">
      <c r="A2093" s="81">
        <v>2085</v>
      </c>
    </row>
    <row r="2094" spans="1:1" ht="15.75" customHeight="1" x14ac:dyDescent="0.2">
      <c r="A2094" s="82">
        <v>2086</v>
      </c>
    </row>
    <row r="2095" spans="1:1" ht="15.75" customHeight="1" x14ac:dyDescent="0.2">
      <c r="A2095" s="81">
        <v>2087</v>
      </c>
    </row>
    <row r="2096" spans="1:1" ht="15.75" customHeight="1" x14ac:dyDescent="0.2">
      <c r="A2096" s="82">
        <v>2088</v>
      </c>
    </row>
    <row r="2097" spans="1:1" ht="15.75" customHeight="1" x14ac:dyDescent="0.2">
      <c r="A2097" s="81">
        <v>2089</v>
      </c>
    </row>
    <row r="2098" spans="1:1" ht="15.75" customHeight="1" x14ac:dyDescent="0.2">
      <c r="A2098" s="82">
        <v>2090</v>
      </c>
    </row>
    <row r="2099" spans="1:1" ht="15.75" customHeight="1" x14ac:dyDescent="0.2">
      <c r="A2099" s="81">
        <v>2091</v>
      </c>
    </row>
    <row r="2100" spans="1:1" ht="15.75" customHeight="1" x14ac:dyDescent="0.2">
      <c r="A2100" s="82">
        <v>2092</v>
      </c>
    </row>
    <row r="2101" spans="1:1" ht="15.75" customHeight="1" x14ac:dyDescent="0.2">
      <c r="A2101" s="81">
        <v>2093</v>
      </c>
    </row>
    <row r="2102" spans="1:1" ht="15.75" customHeight="1" x14ac:dyDescent="0.2">
      <c r="A2102" s="82">
        <v>2094</v>
      </c>
    </row>
    <row r="2103" spans="1:1" ht="15.75" customHeight="1" x14ac:dyDescent="0.2">
      <c r="A2103" s="81">
        <v>2095</v>
      </c>
    </row>
    <row r="2104" spans="1:1" ht="15.75" customHeight="1" x14ac:dyDescent="0.2">
      <c r="A2104" s="82">
        <v>2096</v>
      </c>
    </row>
    <row r="2105" spans="1:1" ht="15.75" customHeight="1" x14ac:dyDescent="0.2">
      <c r="A2105" s="81">
        <v>2097</v>
      </c>
    </row>
    <row r="2106" spans="1:1" ht="15.75" customHeight="1" x14ac:dyDescent="0.2">
      <c r="A2106" s="82">
        <v>2098</v>
      </c>
    </row>
    <row r="2107" spans="1:1" ht="15.75" customHeight="1" x14ac:dyDescent="0.2">
      <c r="A2107" s="81">
        <v>2099</v>
      </c>
    </row>
    <row r="2108" spans="1:1" ht="15.75" customHeight="1" x14ac:dyDescent="0.2">
      <c r="A2108" s="82">
        <v>2100</v>
      </c>
    </row>
    <row r="2109" spans="1:1" ht="15.75" customHeight="1" x14ac:dyDescent="0.2">
      <c r="A2109" s="81">
        <v>2101</v>
      </c>
    </row>
    <row r="2110" spans="1:1" ht="15.75" customHeight="1" x14ac:dyDescent="0.2">
      <c r="A2110" s="82">
        <v>2102</v>
      </c>
    </row>
    <row r="2111" spans="1:1" ht="15.75" customHeight="1" x14ac:dyDescent="0.2">
      <c r="A2111" s="81">
        <v>2103</v>
      </c>
    </row>
    <row r="2112" spans="1:1" ht="15.75" customHeight="1" x14ac:dyDescent="0.2">
      <c r="A2112" s="82">
        <v>2104</v>
      </c>
    </row>
    <row r="2113" spans="1:1" ht="15.75" customHeight="1" x14ac:dyDescent="0.2">
      <c r="A2113" s="81">
        <v>2105</v>
      </c>
    </row>
    <row r="2114" spans="1:1" ht="15.75" customHeight="1" x14ac:dyDescent="0.2">
      <c r="A2114" s="82">
        <v>2106</v>
      </c>
    </row>
    <row r="2115" spans="1:1" ht="15.75" customHeight="1" x14ac:dyDescent="0.2">
      <c r="A2115" s="81">
        <v>2107</v>
      </c>
    </row>
    <row r="2116" spans="1:1" ht="15.75" customHeight="1" x14ac:dyDescent="0.2">
      <c r="A2116" s="82">
        <v>2108</v>
      </c>
    </row>
    <row r="2117" spans="1:1" ht="15.75" customHeight="1" x14ac:dyDescent="0.2">
      <c r="A2117" s="81">
        <v>2109</v>
      </c>
    </row>
    <row r="2118" spans="1:1" ht="15.75" customHeight="1" x14ac:dyDescent="0.2">
      <c r="A2118" s="82">
        <v>2110</v>
      </c>
    </row>
    <row r="2119" spans="1:1" ht="15.75" customHeight="1" x14ac:dyDescent="0.2">
      <c r="A2119" s="81">
        <v>2111</v>
      </c>
    </row>
    <row r="2120" spans="1:1" ht="15.75" customHeight="1" x14ac:dyDescent="0.2">
      <c r="A2120" s="82">
        <v>2112</v>
      </c>
    </row>
    <row r="2121" spans="1:1" ht="15.75" customHeight="1" x14ac:dyDescent="0.2">
      <c r="A2121" s="81">
        <v>2113</v>
      </c>
    </row>
    <row r="2122" spans="1:1" ht="15.75" customHeight="1" x14ac:dyDescent="0.2">
      <c r="A2122" s="82">
        <v>2114</v>
      </c>
    </row>
    <row r="2123" spans="1:1" ht="15.75" customHeight="1" x14ac:dyDescent="0.2">
      <c r="A2123" s="81">
        <v>2115</v>
      </c>
    </row>
    <row r="2124" spans="1:1" ht="15.75" customHeight="1" x14ac:dyDescent="0.2">
      <c r="A2124" s="82">
        <v>2116</v>
      </c>
    </row>
    <row r="2125" spans="1:1" ht="15.75" customHeight="1" x14ac:dyDescent="0.2">
      <c r="A2125" s="81">
        <v>2117</v>
      </c>
    </row>
    <row r="2126" spans="1:1" ht="15.75" customHeight="1" x14ac:dyDescent="0.2">
      <c r="A2126" s="82">
        <v>2118</v>
      </c>
    </row>
    <row r="2127" spans="1:1" ht="15.75" customHeight="1" x14ac:dyDescent="0.2">
      <c r="A2127" s="81">
        <v>2119</v>
      </c>
    </row>
    <row r="2128" spans="1:1" ht="15.75" customHeight="1" x14ac:dyDescent="0.2">
      <c r="A2128" s="82">
        <v>2120</v>
      </c>
    </row>
    <row r="2129" spans="1:1" ht="15.75" customHeight="1" x14ac:dyDescent="0.2">
      <c r="A2129" s="81">
        <v>2121</v>
      </c>
    </row>
    <row r="2130" spans="1:1" ht="15.75" customHeight="1" x14ac:dyDescent="0.2">
      <c r="A2130" s="82">
        <v>2122</v>
      </c>
    </row>
    <row r="2131" spans="1:1" ht="15.75" customHeight="1" x14ac:dyDescent="0.2">
      <c r="A2131" s="81">
        <v>2123</v>
      </c>
    </row>
    <row r="2132" spans="1:1" ht="15.75" customHeight="1" x14ac:dyDescent="0.2">
      <c r="A2132" s="82">
        <v>2124</v>
      </c>
    </row>
    <row r="2133" spans="1:1" ht="15.75" customHeight="1" x14ac:dyDescent="0.2">
      <c r="A2133" s="81">
        <v>2125</v>
      </c>
    </row>
    <row r="2134" spans="1:1" ht="15.75" customHeight="1" x14ac:dyDescent="0.2">
      <c r="A2134" s="82">
        <v>2126</v>
      </c>
    </row>
    <row r="2135" spans="1:1" ht="15.75" customHeight="1" x14ac:dyDescent="0.2">
      <c r="A2135" s="81">
        <v>2127</v>
      </c>
    </row>
    <row r="2136" spans="1:1" ht="15.75" customHeight="1" x14ac:dyDescent="0.2">
      <c r="A2136" s="82">
        <v>2128</v>
      </c>
    </row>
    <row r="2137" spans="1:1" ht="15.75" customHeight="1" x14ac:dyDescent="0.2">
      <c r="A2137" s="81">
        <v>2129</v>
      </c>
    </row>
    <row r="2138" spans="1:1" ht="15.75" customHeight="1" x14ac:dyDescent="0.2">
      <c r="A2138" s="82">
        <v>2130</v>
      </c>
    </row>
    <row r="2139" spans="1:1" ht="15.75" customHeight="1" x14ac:dyDescent="0.2">
      <c r="A2139" s="81">
        <v>2131</v>
      </c>
    </row>
    <row r="2140" spans="1:1" ht="15.75" customHeight="1" x14ac:dyDescent="0.2">
      <c r="A2140" s="82">
        <v>2132</v>
      </c>
    </row>
    <row r="2141" spans="1:1" ht="15.75" customHeight="1" x14ac:dyDescent="0.2">
      <c r="A2141" s="81">
        <v>2133</v>
      </c>
    </row>
    <row r="2142" spans="1:1" ht="15.75" customHeight="1" x14ac:dyDescent="0.2">
      <c r="A2142" s="82">
        <v>2134</v>
      </c>
    </row>
    <row r="2143" spans="1:1" ht="15.75" customHeight="1" x14ac:dyDescent="0.2">
      <c r="A2143" s="81">
        <v>2135</v>
      </c>
    </row>
    <row r="2144" spans="1:1" ht="15.75" customHeight="1" x14ac:dyDescent="0.2">
      <c r="A2144" s="82">
        <v>2136</v>
      </c>
    </row>
    <row r="2145" spans="1:1" ht="15.75" customHeight="1" x14ac:dyDescent="0.2">
      <c r="A2145" s="81">
        <v>2137</v>
      </c>
    </row>
    <row r="2146" spans="1:1" ht="15.75" customHeight="1" x14ac:dyDescent="0.2">
      <c r="A2146" s="82">
        <v>2138</v>
      </c>
    </row>
    <row r="2147" spans="1:1" ht="15.75" customHeight="1" x14ac:dyDescent="0.2">
      <c r="A2147" s="81">
        <v>2139</v>
      </c>
    </row>
    <row r="2148" spans="1:1" ht="15.75" customHeight="1" x14ac:dyDescent="0.2">
      <c r="A2148" s="82">
        <v>2140</v>
      </c>
    </row>
    <row r="2149" spans="1:1" ht="15.75" customHeight="1" x14ac:dyDescent="0.2">
      <c r="A2149" s="81">
        <v>2141</v>
      </c>
    </row>
    <row r="2150" spans="1:1" ht="15.75" customHeight="1" x14ac:dyDescent="0.2">
      <c r="A2150" s="82">
        <v>2142</v>
      </c>
    </row>
    <row r="2151" spans="1:1" ht="15.75" customHeight="1" x14ac:dyDescent="0.2">
      <c r="A2151" s="81">
        <v>2143</v>
      </c>
    </row>
    <row r="2152" spans="1:1" ht="15.75" customHeight="1" x14ac:dyDescent="0.2">
      <c r="A2152" s="82">
        <v>2144</v>
      </c>
    </row>
    <row r="2153" spans="1:1" ht="15.75" customHeight="1" x14ac:dyDescent="0.2">
      <c r="A2153" s="81">
        <v>2145</v>
      </c>
    </row>
    <row r="2154" spans="1:1" ht="15.75" customHeight="1" x14ac:dyDescent="0.2">
      <c r="A2154" s="82">
        <v>2146</v>
      </c>
    </row>
    <row r="2155" spans="1:1" ht="15.75" customHeight="1" x14ac:dyDescent="0.2">
      <c r="A2155" s="81">
        <v>2147</v>
      </c>
    </row>
    <row r="2156" spans="1:1" ht="15.75" customHeight="1" x14ac:dyDescent="0.2">
      <c r="A2156" s="82">
        <v>2148</v>
      </c>
    </row>
    <row r="2157" spans="1:1" ht="15.75" customHeight="1" x14ac:dyDescent="0.2">
      <c r="A2157" s="81">
        <v>2149</v>
      </c>
    </row>
    <row r="2158" spans="1:1" ht="15.75" customHeight="1" x14ac:dyDescent="0.2">
      <c r="A2158" s="82">
        <v>2150</v>
      </c>
    </row>
    <row r="2159" spans="1:1" ht="15.75" customHeight="1" x14ac:dyDescent="0.2">
      <c r="A2159" s="81">
        <v>2151</v>
      </c>
    </row>
    <row r="2160" spans="1:1" ht="15.75" customHeight="1" x14ac:dyDescent="0.2">
      <c r="A2160" s="82">
        <v>2152</v>
      </c>
    </row>
    <row r="2161" spans="1:1" ht="15.75" customHeight="1" x14ac:dyDescent="0.2">
      <c r="A2161" s="81">
        <v>2153</v>
      </c>
    </row>
    <row r="2162" spans="1:1" ht="15.75" customHeight="1" x14ac:dyDescent="0.2">
      <c r="A2162" s="82">
        <v>2154</v>
      </c>
    </row>
    <row r="2163" spans="1:1" ht="15.75" customHeight="1" x14ac:dyDescent="0.2">
      <c r="A2163" s="81">
        <v>2155</v>
      </c>
    </row>
    <row r="2164" spans="1:1" ht="15.75" customHeight="1" x14ac:dyDescent="0.2">
      <c r="A2164" s="82">
        <v>2156</v>
      </c>
    </row>
    <row r="2165" spans="1:1" ht="15.75" customHeight="1" x14ac:dyDescent="0.2">
      <c r="A2165" s="81">
        <v>2157</v>
      </c>
    </row>
    <row r="2166" spans="1:1" ht="15.75" customHeight="1" x14ac:dyDescent="0.2">
      <c r="A2166" s="82">
        <v>2158</v>
      </c>
    </row>
    <row r="2167" spans="1:1" ht="15.75" customHeight="1" x14ac:dyDescent="0.2">
      <c r="A2167" s="81">
        <v>2159</v>
      </c>
    </row>
    <row r="2168" spans="1:1" ht="15.75" customHeight="1" x14ac:dyDescent="0.2">
      <c r="A2168" s="82">
        <v>2160</v>
      </c>
    </row>
    <row r="2169" spans="1:1" ht="15.75" customHeight="1" x14ac:dyDescent="0.2">
      <c r="A2169" s="81">
        <v>2161</v>
      </c>
    </row>
    <row r="2170" spans="1:1" ht="15.75" customHeight="1" x14ac:dyDescent="0.2">
      <c r="A2170" s="82">
        <v>2162</v>
      </c>
    </row>
    <row r="2171" spans="1:1" ht="15.75" customHeight="1" x14ac:dyDescent="0.2">
      <c r="A2171" s="81">
        <v>2163</v>
      </c>
    </row>
    <row r="2172" spans="1:1" ht="15.75" customHeight="1" x14ac:dyDescent="0.2">
      <c r="A2172" s="82">
        <v>2164</v>
      </c>
    </row>
    <row r="2173" spans="1:1" ht="15.75" customHeight="1" x14ac:dyDescent="0.2">
      <c r="A2173" s="81">
        <v>2165</v>
      </c>
    </row>
    <row r="2174" spans="1:1" ht="15.75" customHeight="1" x14ac:dyDescent="0.2">
      <c r="A2174" s="82">
        <v>2166</v>
      </c>
    </row>
    <row r="2175" spans="1:1" ht="15.75" customHeight="1" x14ac:dyDescent="0.2">
      <c r="A2175" s="81">
        <v>2167</v>
      </c>
    </row>
    <row r="2176" spans="1:1" ht="15.75" customHeight="1" x14ac:dyDescent="0.2">
      <c r="A2176" s="82">
        <v>2168</v>
      </c>
    </row>
    <row r="2177" spans="1:1" ht="15.75" customHeight="1" x14ac:dyDescent="0.2">
      <c r="A2177" s="81">
        <v>2169</v>
      </c>
    </row>
    <row r="2178" spans="1:1" ht="15.75" customHeight="1" x14ac:dyDescent="0.2">
      <c r="A2178" s="82">
        <v>2170</v>
      </c>
    </row>
    <row r="2179" spans="1:1" ht="15.75" customHeight="1" x14ac:dyDescent="0.2">
      <c r="A2179" s="81">
        <v>2171</v>
      </c>
    </row>
    <row r="2180" spans="1:1" ht="15.75" customHeight="1" x14ac:dyDescent="0.2">
      <c r="A2180" s="82">
        <v>2172</v>
      </c>
    </row>
    <row r="2181" spans="1:1" ht="15.75" customHeight="1" x14ac:dyDescent="0.2">
      <c r="A2181" s="81">
        <v>2173</v>
      </c>
    </row>
    <row r="2182" spans="1:1" ht="15.75" customHeight="1" x14ac:dyDescent="0.2">
      <c r="A2182" s="82">
        <v>2174</v>
      </c>
    </row>
    <row r="2183" spans="1:1" ht="15.75" customHeight="1" x14ac:dyDescent="0.2">
      <c r="A2183" s="81">
        <v>2175</v>
      </c>
    </row>
    <row r="2184" spans="1:1" ht="15.75" customHeight="1" x14ac:dyDescent="0.2">
      <c r="A2184" s="82">
        <v>2176</v>
      </c>
    </row>
    <row r="2185" spans="1:1" ht="15.75" customHeight="1" x14ac:dyDescent="0.2">
      <c r="A2185" s="81">
        <v>2177</v>
      </c>
    </row>
    <row r="2186" spans="1:1" ht="15.75" customHeight="1" x14ac:dyDescent="0.2">
      <c r="A2186" s="82">
        <v>2178</v>
      </c>
    </row>
    <row r="2187" spans="1:1" ht="15.75" customHeight="1" x14ac:dyDescent="0.2">
      <c r="A2187" s="81">
        <v>2179</v>
      </c>
    </row>
    <row r="2188" spans="1:1" ht="15.75" customHeight="1" x14ac:dyDescent="0.2">
      <c r="A2188" s="82">
        <v>2180</v>
      </c>
    </row>
    <row r="2189" spans="1:1" ht="15.75" customHeight="1" x14ac:dyDescent="0.2">
      <c r="A2189" s="81">
        <v>2181</v>
      </c>
    </row>
    <row r="2190" spans="1:1" ht="15.75" customHeight="1" x14ac:dyDescent="0.2">
      <c r="A2190" s="82">
        <v>2182</v>
      </c>
    </row>
    <row r="2191" spans="1:1" ht="15.75" customHeight="1" x14ac:dyDescent="0.2">
      <c r="A2191" s="81">
        <v>2183</v>
      </c>
    </row>
    <row r="2192" spans="1:1" ht="15.75" customHeight="1" x14ac:dyDescent="0.2">
      <c r="A2192" s="82">
        <v>2184</v>
      </c>
    </row>
    <row r="2193" spans="1:1" ht="15.75" customHeight="1" x14ac:dyDescent="0.2">
      <c r="A2193" s="81">
        <v>2185</v>
      </c>
    </row>
    <row r="2194" spans="1:1" ht="15.75" customHeight="1" x14ac:dyDescent="0.2">
      <c r="A2194" s="82">
        <v>2186</v>
      </c>
    </row>
    <row r="2195" spans="1:1" ht="15.75" customHeight="1" x14ac:dyDescent="0.2">
      <c r="A2195" s="81">
        <v>2187</v>
      </c>
    </row>
    <row r="2196" spans="1:1" ht="15.75" customHeight="1" x14ac:dyDescent="0.2">
      <c r="A2196" s="82">
        <v>2188</v>
      </c>
    </row>
    <row r="2197" spans="1:1" ht="15.75" customHeight="1" x14ac:dyDescent="0.2">
      <c r="A2197" s="81">
        <v>2189</v>
      </c>
    </row>
    <row r="2198" spans="1:1" ht="15.75" customHeight="1" x14ac:dyDescent="0.2">
      <c r="A2198" s="82">
        <v>2190</v>
      </c>
    </row>
    <row r="2199" spans="1:1" ht="15.75" customHeight="1" x14ac:dyDescent="0.2">
      <c r="A2199" s="81">
        <v>2191</v>
      </c>
    </row>
    <row r="2200" spans="1:1" ht="15.75" customHeight="1" x14ac:dyDescent="0.2">
      <c r="A2200" s="82">
        <v>2192</v>
      </c>
    </row>
    <row r="2201" spans="1:1" ht="15.75" customHeight="1" x14ac:dyDescent="0.2">
      <c r="A2201" s="81">
        <v>2193</v>
      </c>
    </row>
    <row r="2202" spans="1:1" ht="15.75" customHeight="1" x14ac:dyDescent="0.2">
      <c r="A2202" s="82">
        <v>2194</v>
      </c>
    </row>
    <row r="2203" spans="1:1" ht="15.75" customHeight="1" x14ac:dyDescent="0.2">
      <c r="A2203" s="81">
        <v>2195</v>
      </c>
    </row>
    <row r="2204" spans="1:1" ht="15.75" customHeight="1" x14ac:dyDescent="0.2">
      <c r="A2204" s="82">
        <v>2196</v>
      </c>
    </row>
    <row r="2205" spans="1:1" ht="15.75" customHeight="1" x14ac:dyDescent="0.2">
      <c r="A2205" s="81">
        <v>2197</v>
      </c>
    </row>
    <row r="2206" spans="1:1" ht="15.75" customHeight="1" x14ac:dyDescent="0.2">
      <c r="A2206" s="82">
        <v>2198</v>
      </c>
    </row>
    <row r="2207" spans="1:1" ht="15.75" customHeight="1" x14ac:dyDescent="0.2">
      <c r="A2207" s="81">
        <v>2199</v>
      </c>
    </row>
    <row r="2208" spans="1:1" ht="15.75" customHeight="1" x14ac:dyDescent="0.2">
      <c r="A2208" s="82">
        <v>2200</v>
      </c>
    </row>
    <row r="2209" spans="1:1" ht="15.75" customHeight="1" x14ac:dyDescent="0.2">
      <c r="A2209" s="81">
        <v>2201</v>
      </c>
    </row>
    <row r="2210" spans="1:1" ht="15.75" customHeight="1" x14ac:dyDescent="0.2">
      <c r="A2210" s="82">
        <v>2202</v>
      </c>
    </row>
    <row r="2211" spans="1:1" ht="15.75" customHeight="1" x14ac:dyDescent="0.2">
      <c r="A2211" s="81">
        <v>2203</v>
      </c>
    </row>
    <row r="2212" spans="1:1" ht="15.75" customHeight="1" x14ac:dyDescent="0.2">
      <c r="A2212" s="82">
        <v>2204</v>
      </c>
    </row>
    <row r="2213" spans="1:1" ht="15.75" customHeight="1" x14ac:dyDescent="0.2">
      <c r="A2213" s="81">
        <v>2205</v>
      </c>
    </row>
    <row r="2214" spans="1:1" ht="15.75" customHeight="1" x14ac:dyDescent="0.2">
      <c r="A2214" s="82">
        <v>2206</v>
      </c>
    </row>
    <row r="2215" spans="1:1" ht="15.75" customHeight="1" x14ac:dyDescent="0.2">
      <c r="A2215" s="81">
        <v>2207</v>
      </c>
    </row>
    <row r="2216" spans="1:1" ht="15.75" customHeight="1" x14ac:dyDescent="0.2">
      <c r="A2216" s="82">
        <v>2208</v>
      </c>
    </row>
    <row r="2217" spans="1:1" ht="15.75" customHeight="1" x14ac:dyDescent="0.2">
      <c r="A2217" s="81">
        <v>2209</v>
      </c>
    </row>
    <row r="2218" spans="1:1" ht="15.75" customHeight="1" x14ac:dyDescent="0.2">
      <c r="A2218" s="82">
        <v>2210</v>
      </c>
    </row>
    <row r="2219" spans="1:1" ht="15.75" customHeight="1" x14ac:dyDescent="0.2">
      <c r="A2219" s="81">
        <v>2211</v>
      </c>
    </row>
    <row r="2220" spans="1:1" ht="15.75" customHeight="1" x14ac:dyDescent="0.2">
      <c r="A2220" s="82">
        <v>2212</v>
      </c>
    </row>
    <row r="2221" spans="1:1" ht="15.75" customHeight="1" x14ac:dyDescent="0.2">
      <c r="A2221" s="81">
        <v>2213</v>
      </c>
    </row>
    <row r="2222" spans="1:1" ht="15.75" customHeight="1" x14ac:dyDescent="0.2">
      <c r="A2222" s="82">
        <v>2214</v>
      </c>
    </row>
    <row r="2223" spans="1:1" ht="15.75" customHeight="1" x14ac:dyDescent="0.2">
      <c r="A2223" s="81">
        <v>2215</v>
      </c>
    </row>
    <row r="2224" spans="1:1" ht="15.75" customHeight="1" x14ac:dyDescent="0.2">
      <c r="A2224" s="82">
        <v>2216</v>
      </c>
    </row>
    <row r="2225" spans="1:1" ht="15.75" customHeight="1" x14ac:dyDescent="0.2">
      <c r="A2225" s="81">
        <v>2217</v>
      </c>
    </row>
    <row r="2226" spans="1:1" ht="15.75" customHeight="1" x14ac:dyDescent="0.2">
      <c r="A2226" s="82">
        <v>2218</v>
      </c>
    </row>
    <row r="2227" spans="1:1" ht="15.75" customHeight="1" x14ac:dyDescent="0.2">
      <c r="A2227" s="81">
        <v>2219</v>
      </c>
    </row>
    <row r="2228" spans="1:1" ht="15.75" customHeight="1" x14ac:dyDescent="0.2">
      <c r="A2228" s="82">
        <v>2220</v>
      </c>
    </row>
    <row r="2229" spans="1:1" ht="15.75" customHeight="1" x14ac:dyDescent="0.2">
      <c r="A2229" s="81">
        <v>2221</v>
      </c>
    </row>
    <row r="2230" spans="1:1" ht="15.75" customHeight="1" x14ac:dyDescent="0.2">
      <c r="A2230" s="82">
        <v>2222</v>
      </c>
    </row>
    <row r="2231" spans="1:1" ht="15.75" customHeight="1" x14ac:dyDescent="0.2">
      <c r="A2231" s="81">
        <v>2223</v>
      </c>
    </row>
    <row r="2232" spans="1:1" ht="15.75" customHeight="1" x14ac:dyDescent="0.2">
      <c r="A2232" s="82">
        <v>2224</v>
      </c>
    </row>
    <row r="2233" spans="1:1" ht="15.75" customHeight="1" x14ac:dyDescent="0.2">
      <c r="A2233" s="81">
        <v>2225</v>
      </c>
    </row>
    <row r="2234" spans="1:1" ht="15.75" customHeight="1" x14ac:dyDescent="0.2">
      <c r="A2234" s="82">
        <v>2226</v>
      </c>
    </row>
    <row r="2235" spans="1:1" ht="15.75" customHeight="1" x14ac:dyDescent="0.2">
      <c r="A2235" s="81">
        <v>2227</v>
      </c>
    </row>
    <row r="2236" spans="1:1" ht="15.75" customHeight="1" x14ac:dyDescent="0.2">
      <c r="A2236" s="82">
        <v>2228</v>
      </c>
    </row>
    <row r="2237" spans="1:1" ht="15.75" customHeight="1" x14ac:dyDescent="0.2">
      <c r="A2237" s="81">
        <v>2229</v>
      </c>
    </row>
    <row r="2238" spans="1:1" ht="15.75" customHeight="1" x14ac:dyDescent="0.2">
      <c r="A2238" s="82">
        <v>2230</v>
      </c>
    </row>
    <row r="2239" spans="1:1" ht="15.75" customHeight="1" x14ac:dyDescent="0.2">
      <c r="A2239" s="81">
        <v>2231</v>
      </c>
    </row>
    <row r="2240" spans="1:1" ht="15.75" customHeight="1" x14ac:dyDescent="0.2">
      <c r="A2240" s="82">
        <v>2232</v>
      </c>
    </row>
    <row r="2241" spans="1:1" ht="15.75" customHeight="1" x14ac:dyDescent="0.2">
      <c r="A2241" s="81">
        <v>2233</v>
      </c>
    </row>
    <row r="2242" spans="1:1" ht="15.75" customHeight="1" x14ac:dyDescent="0.2">
      <c r="A2242" s="82">
        <v>2234</v>
      </c>
    </row>
    <row r="2243" spans="1:1" ht="15.75" customHeight="1" x14ac:dyDescent="0.2">
      <c r="A2243" s="81">
        <v>2235</v>
      </c>
    </row>
    <row r="2244" spans="1:1" ht="15.75" customHeight="1" x14ac:dyDescent="0.2">
      <c r="A2244" s="82">
        <v>2236</v>
      </c>
    </row>
    <row r="2245" spans="1:1" ht="15.75" customHeight="1" x14ac:dyDescent="0.2">
      <c r="A2245" s="81">
        <v>2237</v>
      </c>
    </row>
    <row r="2246" spans="1:1" ht="15.75" customHeight="1" x14ac:dyDescent="0.2">
      <c r="A2246" s="82">
        <v>2238</v>
      </c>
    </row>
    <row r="2247" spans="1:1" ht="15.75" customHeight="1" x14ac:dyDescent="0.2">
      <c r="A2247" s="81">
        <v>2239</v>
      </c>
    </row>
    <row r="2248" spans="1:1" ht="15.75" customHeight="1" x14ac:dyDescent="0.2">
      <c r="A2248" s="82">
        <v>2240</v>
      </c>
    </row>
    <row r="2249" spans="1:1" ht="15.75" customHeight="1" x14ac:dyDescent="0.2">
      <c r="A2249" s="81">
        <v>2241</v>
      </c>
    </row>
    <row r="2250" spans="1:1" ht="15.75" customHeight="1" x14ac:dyDescent="0.2">
      <c r="A2250" s="82">
        <v>2242</v>
      </c>
    </row>
    <row r="2251" spans="1:1" ht="15.75" customHeight="1" x14ac:dyDescent="0.2">
      <c r="A2251" s="81">
        <v>2243</v>
      </c>
    </row>
    <row r="2252" spans="1:1" ht="15.75" customHeight="1" x14ac:dyDescent="0.2">
      <c r="A2252" s="82">
        <v>2244</v>
      </c>
    </row>
    <row r="2253" spans="1:1" ht="15.75" customHeight="1" x14ac:dyDescent="0.2">
      <c r="A2253" s="81">
        <v>2245</v>
      </c>
    </row>
    <row r="2254" spans="1:1" ht="15.75" customHeight="1" x14ac:dyDescent="0.2">
      <c r="A2254" s="82">
        <v>2246</v>
      </c>
    </row>
    <row r="2255" spans="1:1" ht="15.75" customHeight="1" x14ac:dyDescent="0.2">
      <c r="A2255" s="81">
        <v>2247</v>
      </c>
    </row>
    <row r="2256" spans="1:1" ht="15.75" customHeight="1" x14ac:dyDescent="0.2">
      <c r="A2256" s="82">
        <v>2248</v>
      </c>
    </row>
    <row r="2257" spans="1:1" ht="15.75" customHeight="1" x14ac:dyDescent="0.2">
      <c r="A2257" s="81">
        <v>2249</v>
      </c>
    </row>
    <row r="2258" spans="1:1" ht="15.75" customHeight="1" x14ac:dyDescent="0.2">
      <c r="A2258" s="82">
        <v>2250</v>
      </c>
    </row>
    <row r="2259" spans="1:1" ht="15.75" customHeight="1" x14ac:dyDescent="0.2">
      <c r="A2259" s="81">
        <v>2251</v>
      </c>
    </row>
    <row r="2260" spans="1:1" ht="15.75" customHeight="1" x14ac:dyDescent="0.2">
      <c r="A2260" s="82">
        <v>2252</v>
      </c>
    </row>
    <row r="2261" spans="1:1" ht="15.75" customHeight="1" x14ac:dyDescent="0.2">
      <c r="A2261" s="81">
        <v>2253</v>
      </c>
    </row>
    <row r="2262" spans="1:1" ht="15.75" customHeight="1" x14ac:dyDescent="0.2">
      <c r="A2262" s="82">
        <v>2254</v>
      </c>
    </row>
    <row r="2263" spans="1:1" ht="15.75" customHeight="1" x14ac:dyDescent="0.2">
      <c r="A2263" s="81">
        <v>2255</v>
      </c>
    </row>
    <row r="2264" spans="1:1" ht="15.75" customHeight="1" x14ac:dyDescent="0.2">
      <c r="A2264" s="82">
        <v>2256</v>
      </c>
    </row>
    <row r="2265" spans="1:1" ht="15.75" customHeight="1" x14ac:dyDescent="0.2">
      <c r="A2265" s="81">
        <v>2257</v>
      </c>
    </row>
    <row r="2266" spans="1:1" ht="15.75" customHeight="1" x14ac:dyDescent="0.2">
      <c r="A2266" s="82">
        <v>2258</v>
      </c>
    </row>
    <row r="2267" spans="1:1" ht="15.75" customHeight="1" x14ac:dyDescent="0.2">
      <c r="A2267" s="81">
        <v>2259</v>
      </c>
    </row>
    <row r="2268" spans="1:1" ht="15.75" customHeight="1" x14ac:dyDescent="0.2">
      <c r="A2268" s="82">
        <v>2260</v>
      </c>
    </row>
    <row r="2269" spans="1:1" ht="15.75" customHeight="1" x14ac:dyDescent="0.2">
      <c r="A2269" s="81">
        <v>2261</v>
      </c>
    </row>
    <row r="2270" spans="1:1" ht="15.75" customHeight="1" x14ac:dyDescent="0.2">
      <c r="A2270" s="82">
        <v>2262</v>
      </c>
    </row>
    <row r="2271" spans="1:1" ht="15.75" customHeight="1" x14ac:dyDescent="0.2">
      <c r="A2271" s="81">
        <v>2263</v>
      </c>
    </row>
    <row r="2272" spans="1:1" ht="15.75" customHeight="1" x14ac:dyDescent="0.2">
      <c r="A2272" s="82">
        <v>2264</v>
      </c>
    </row>
    <row r="2273" spans="1:1" ht="15.75" customHeight="1" x14ac:dyDescent="0.2">
      <c r="A2273" s="81">
        <v>2265</v>
      </c>
    </row>
    <row r="2274" spans="1:1" ht="15.75" customHeight="1" x14ac:dyDescent="0.2">
      <c r="A2274" s="82">
        <v>2266</v>
      </c>
    </row>
    <row r="2275" spans="1:1" ht="15.75" customHeight="1" x14ac:dyDescent="0.2">
      <c r="A2275" s="81">
        <v>2267</v>
      </c>
    </row>
    <row r="2276" spans="1:1" ht="15.75" customHeight="1" x14ac:dyDescent="0.2">
      <c r="A2276" s="82">
        <v>2268</v>
      </c>
    </row>
    <row r="2277" spans="1:1" ht="15.75" customHeight="1" x14ac:dyDescent="0.2">
      <c r="A2277" s="81">
        <v>2269</v>
      </c>
    </row>
    <row r="2278" spans="1:1" ht="15.75" customHeight="1" x14ac:dyDescent="0.2">
      <c r="A2278" s="82">
        <v>2270</v>
      </c>
    </row>
    <row r="2279" spans="1:1" ht="15.75" customHeight="1" x14ac:dyDescent="0.2">
      <c r="A2279" s="81">
        <v>2271</v>
      </c>
    </row>
    <row r="2280" spans="1:1" ht="15.75" customHeight="1" x14ac:dyDescent="0.2">
      <c r="A2280" s="82">
        <v>2272</v>
      </c>
    </row>
    <row r="2281" spans="1:1" ht="15.75" customHeight="1" x14ac:dyDescent="0.2">
      <c r="A2281" s="81">
        <v>2273</v>
      </c>
    </row>
    <row r="2282" spans="1:1" ht="15.75" customHeight="1" x14ac:dyDescent="0.2">
      <c r="A2282" s="82">
        <v>2274</v>
      </c>
    </row>
    <row r="2283" spans="1:1" ht="15.75" customHeight="1" x14ac:dyDescent="0.2">
      <c r="A2283" s="81">
        <v>2275</v>
      </c>
    </row>
    <row r="2284" spans="1:1" ht="15.75" customHeight="1" x14ac:dyDescent="0.2">
      <c r="A2284" s="82">
        <v>2276</v>
      </c>
    </row>
    <row r="2285" spans="1:1" ht="15.75" customHeight="1" x14ac:dyDescent="0.2">
      <c r="A2285" s="81">
        <v>2277</v>
      </c>
    </row>
    <row r="2286" spans="1:1" ht="15.75" customHeight="1" x14ac:dyDescent="0.2">
      <c r="A2286" s="82">
        <v>2278</v>
      </c>
    </row>
    <row r="2287" spans="1:1" ht="15.75" customHeight="1" x14ac:dyDescent="0.2">
      <c r="A2287" s="81">
        <v>2279</v>
      </c>
    </row>
    <row r="2288" spans="1:1" ht="15.75" customHeight="1" x14ac:dyDescent="0.2">
      <c r="A2288" s="82">
        <v>2280</v>
      </c>
    </row>
    <row r="2289" spans="1:1" ht="15.75" customHeight="1" x14ac:dyDescent="0.2">
      <c r="A2289" s="81">
        <v>2281</v>
      </c>
    </row>
    <row r="2290" spans="1:1" ht="15.75" customHeight="1" x14ac:dyDescent="0.2">
      <c r="A2290" s="82">
        <v>2282</v>
      </c>
    </row>
    <row r="2291" spans="1:1" ht="15.75" customHeight="1" x14ac:dyDescent="0.2">
      <c r="A2291" s="81">
        <v>2283</v>
      </c>
    </row>
    <row r="2292" spans="1:1" ht="15.75" customHeight="1" x14ac:dyDescent="0.2">
      <c r="A2292" s="82">
        <v>2284</v>
      </c>
    </row>
    <row r="2293" spans="1:1" ht="15.75" customHeight="1" x14ac:dyDescent="0.2">
      <c r="A2293" s="81">
        <v>2285</v>
      </c>
    </row>
    <row r="2294" spans="1:1" ht="15.75" customHeight="1" x14ac:dyDescent="0.2">
      <c r="A2294" s="82">
        <v>2286</v>
      </c>
    </row>
    <row r="2295" spans="1:1" ht="15.75" customHeight="1" x14ac:dyDescent="0.2">
      <c r="A2295" s="81">
        <v>2287</v>
      </c>
    </row>
    <row r="2296" spans="1:1" ht="15.75" customHeight="1" x14ac:dyDescent="0.2">
      <c r="A2296" s="82">
        <v>2288</v>
      </c>
    </row>
    <row r="2297" spans="1:1" ht="15.75" customHeight="1" x14ac:dyDescent="0.2">
      <c r="A2297" s="81">
        <v>2289</v>
      </c>
    </row>
    <row r="2298" spans="1:1" ht="15.75" customHeight="1" x14ac:dyDescent="0.2">
      <c r="A2298" s="82">
        <v>2290</v>
      </c>
    </row>
    <row r="2299" spans="1:1" ht="15.75" customHeight="1" x14ac:dyDescent="0.2">
      <c r="A2299" s="81">
        <v>2291</v>
      </c>
    </row>
    <row r="2300" spans="1:1" ht="15.75" customHeight="1" x14ac:dyDescent="0.2">
      <c r="A2300" s="82">
        <v>2292</v>
      </c>
    </row>
    <row r="2301" spans="1:1" ht="15.75" customHeight="1" x14ac:dyDescent="0.2">
      <c r="A2301" s="81">
        <v>2293</v>
      </c>
    </row>
    <row r="2302" spans="1:1" ht="15.75" customHeight="1" x14ac:dyDescent="0.2">
      <c r="A2302" s="82">
        <v>2294</v>
      </c>
    </row>
    <row r="2303" spans="1:1" ht="15.75" customHeight="1" x14ac:dyDescent="0.2">
      <c r="A2303" s="81">
        <v>2295</v>
      </c>
    </row>
    <row r="2304" spans="1:1" ht="15.75" customHeight="1" x14ac:dyDescent="0.2">
      <c r="A2304" s="82">
        <v>2296</v>
      </c>
    </row>
    <row r="2305" spans="1:1" ht="15.75" customHeight="1" x14ac:dyDescent="0.2">
      <c r="A2305" s="81">
        <v>2297</v>
      </c>
    </row>
    <row r="2306" spans="1:1" ht="15.75" customHeight="1" x14ac:dyDescent="0.2">
      <c r="A2306" s="82">
        <v>2298</v>
      </c>
    </row>
    <row r="2307" spans="1:1" ht="15.75" customHeight="1" x14ac:dyDescent="0.2">
      <c r="A2307" s="81">
        <v>2299</v>
      </c>
    </row>
    <row r="2308" spans="1:1" ht="15.75" customHeight="1" x14ac:dyDescent="0.2">
      <c r="A2308" s="82">
        <v>2300</v>
      </c>
    </row>
    <row r="2309" spans="1:1" ht="15.75" customHeight="1" x14ac:dyDescent="0.2">
      <c r="A2309" s="81">
        <v>2301</v>
      </c>
    </row>
    <row r="2310" spans="1:1" ht="15.75" customHeight="1" x14ac:dyDescent="0.2">
      <c r="A2310" s="82">
        <v>2302</v>
      </c>
    </row>
    <row r="2311" spans="1:1" ht="15.75" customHeight="1" x14ac:dyDescent="0.2">
      <c r="A2311" s="81">
        <v>2303</v>
      </c>
    </row>
    <row r="2312" spans="1:1" ht="15.75" customHeight="1" x14ac:dyDescent="0.2">
      <c r="A2312" s="82">
        <v>2304</v>
      </c>
    </row>
    <row r="2313" spans="1:1" ht="15.75" customHeight="1" x14ac:dyDescent="0.2">
      <c r="A2313" s="81">
        <v>2305</v>
      </c>
    </row>
    <row r="2314" spans="1:1" ht="15.75" customHeight="1" x14ac:dyDescent="0.2">
      <c r="A2314" s="82">
        <v>2306</v>
      </c>
    </row>
    <row r="2315" spans="1:1" ht="15.75" customHeight="1" x14ac:dyDescent="0.2">
      <c r="A2315" s="81">
        <v>2307</v>
      </c>
    </row>
    <row r="2316" spans="1:1" ht="15.75" customHeight="1" x14ac:dyDescent="0.2">
      <c r="A2316" s="82">
        <v>2308</v>
      </c>
    </row>
    <row r="2317" spans="1:1" ht="15.75" customHeight="1" x14ac:dyDescent="0.2">
      <c r="A2317" s="81">
        <v>2309</v>
      </c>
    </row>
    <row r="2318" spans="1:1" ht="15.75" customHeight="1" x14ac:dyDescent="0.2">
      <c r="A2318" s="82">
        <v>2310</v>
      </c>
    </row>
    <row r="2319" spans="1:1" ht="15.75" customHeight="1" x14ac:dyDescent="0.2">
      <c r="A2319" s="81">
        <v>2311</v>
      </c>
    </row>
    <row r="2320" spans="1:1" ht="15.75" customHeight="1" x14ac:dyDescent="0.2">
      <c r="A2320" s="82">
        <v>2312</v>
      </c>
    </row>
    <row r="2321" spans="1:1" ht="15.75" customHeight="1" x14ac:dyDescent="0.2">
      <c r="A2321" s="81">
        <v>2313</v>
      </c>
    </row>
    <row r="2322" spans="1:1" ht="15.75" customHeight="1" x14ac:dyDescent="0.2">
      <c r="A2322" s="82">
        <v>2314</v>
      </c>
    </row>
    <row r="2323" spans="1:1" ht="15.75" customHeight="1" x14ac:dyDescent="0.2">
      <c r="A2323" s="81">
        <v>2315</v>
      </c>
    </row>
    <row r="2324" spans="1:1" ht="15.75" customHeight="1" x14ac:dyDescent="0.2">
      <c r="A2324" s="82">
        <v>2316</v>
      </c>
    </row>
    <row r="2325" spans="1:1" ht="15.75" customHeight="1" x14ac:dyDescent="0.2">
      <c r="A2325" s="81">
        <v>2317</v>
      </c>
    </row>
    <row r="2326" spans="1:1" ht="15.75" customHeight="1" x14ac:dyDescent="0.2">
      <c r="A2326" s="82">
        <v>2318</v>
      </c>
    </row>
    <row r="2327" spans="1:1" ht="15.75" customHeight="1" x14ac:dyDescent="0.2">
      <c r="A2327" s="81">
        <v>2319</v>
      </c>
    </row>
    <row r="2328" spans="1:1" ht="15.75" customHeight="1" x14ac:dyDescent="0.2">
      <c r="A2328" s="82">
        <v>2320</v>
      </c>
    </row>
    <row r="2329" spans="1:1" ht="15.75" customHeight="1" x14ac:dyDescent="0.2">
      <c r="A2329" s="81">
        <v>2321</v>
      </c>
    </row>
    <row r="2330" spans="1:1" ht="15.75" customHeight="1" x14ac:dyDescent="0.2">
      <c r="A2330" s="82">
        <v>2322</v>
      </c>
    </row>
    <row r="2331" spans="1:1" ht="15.75" customHeight="1" x14ac:dyDescent="0.2">
      <c r="A2331" s="81">
        <v>2323</v>
      </c>
    </row>
    <row r="2332" spans="1:1" ht="15.75" customHeight="1" x14ac:dyDescent="0.2">
      <c r="A2332" s="82">
        <v>2324</v>
      </c>
    </row>
    <row r="2333" spans="1:1" ht="15.75" customHeight="1" x14ac:dyDescent="0.2">
      <c r="A2333" s="81">
        <v>2325</v>
      </c>
    </row>
    <row r="2334" spans="1:1" ht="15.75" customHeight="1" x14ac:dyDescent="0.2">
      <c r="A2334" s="82">
        <v>2326</v>
      </c>
    </row>
    <row r="2335" spans="1:1" ht="15.75" customHeight="1" x14ac:dyDescent="0.2">
      <c r="A2335" s="81">
        <v>2327</v>
      </c>
    </row>
    <row r="2336" spans="1:1" ht="15.75" customHeight="1" x14ac:dyDescent="0.2">
      <c r="A2336" s="82">
        <v>2328</v>
      </c>
    </row>
    <row r="2337" spans="1:1" ht="15.75" customHeight="1" x14ac:dyDescent="0.2">
      <c r="A2337" s="81">
        <v>2329</v>
      </c>
    </row>
    <row r="2338" spans="1:1" ht="15.75" customHeight="1" x14ac:dyDescent="0.2">
      <c r="A2338" s="82">
        <v>2330</v>
      </c>
    </row>
    <row r="2339" spans="1:1" ht="15.75" customHeight="1" x14ac:dyDescent="0.2">
      <c r="A2339" s="81">
        <v>2331</v>
      </c>
    </row>
    <row r="2340" spans="1:1" ht="15.75" customHeight="1" x14ac:dyDescent="0.2">
      <c r="A2340" s="82">
        <v>2332</v>
      </c>
    </row>
    <row r="2341" spans="1:1" ht="15.75" customHeight="1" x14ac:dyDescent="0.2">
      <c r="A2341" s="81">
        <v>2333</v>
      </c>
    </row>
    <row r="2342" spans="1:1" ht="15.75" customHeight="1" x14ac:dyDescent="0.2">
      <c r="A2342" s="82">
        <v>2334</v>
      </c>
    </row>
    <row r="2343" spans="1:1" ht="15.75" customHeight="1" x14ac:dyDescent="0.2">
      <c r="A2343" s="81">
        <v>2335</v>
      </c>
    </row>
    <row r="2344" spans="1:1" ht="15.75" customHeight="1" x14ac:dyDescent="0.2">
      <c r="A2344" s="82">
        <v>2336</v>
      </c>
    </row>
    <row r="2345" spans="1:1" ht="15.75" customHeight="1" x14ac:dyDescent="0.2">
      <c r="A2345" s="81">
        <v>2337</v>
      </c>
    </row>
    <row r="2346" spans="1:1" ht="15.75" customHeight="1" x14ac:dyDescent="0.2">
      <c r="A2346" s="82">
        <v>2338</v>
      </c>
    </row>
    <row r="2347" spans="1:1" ht="15.75" customHeight="1" x14ac:dyDescent="0.2">
      <c r="A2347" s="81">
        <v>2339</v>
      </c>
    </row>
    <row r="2348" spans="1:1" ht="15.75" customHeight="1" x14ac:dyDescent="0.2">
      <c r="A2348" s="82">
        <v>2340</v>
      </c>
    </row>
    <row r="2349" spans="1:1" ht="15.75" customHeight="1" x14ac:dyDescent="0.2">
      <c r="A2349" s="81">
        <v>2341</v>
      </c>
    </row>
    <row r="2350" spans="1:1" ht="15.75" customHeight="1" x14ac:dyDescent="0.2">
      <c r="A2350" s="82">
        <v>2342</v>
      </c>
    </row>
    <row r="2351" spans="1:1" ht="15.75" customHeight="1" x14ac:dyDescent="0.2">
      <c r="A2351" s="81">
        <v>2343</v>
      </c>
    </row>
    <row r="2352" spans="1:1" ht="15.75" customHeight="1" x14ac:dyDescent="0.2">
      <c r="A2352" s="82">
        <v>2344</v>
      </c>
    </row>
    <row r="2353" spans="1:1" ht="15.75" customHeight="1" x14ac:dyDescent="0.2">
      <c r="A2353" s="81">
        <v>2345</v>
      </c>
    </row>
    <row r="2354" spans="1:1" ht="15.75" customHeight="1" x14ac:dyDescent="0.2">
      <c r="A2354" s="82">
        <v>2346</v>
      </c>
    </row>
    <row r="2355" spans="1:1" ht="15.75" customHeight="1" x14ac:dyDescent="0.2">
      <c r="A2355" s="81">
        <v>2347</v>
      </c>
    </row>
    <row r="2356" spans="1:1" ht="15.75" customHeight="1" x14ac:dyDescent="0.2">
      <c r="A2356" s="82">
        <v>2348</v>
      </c>
    </row>
    <row r="2357" spans="1:1" ht="15.75" customHeight="1" x14ac:dyDescent="0.2">
      <c r="A2357" s="81">
        <v>2349</v>
      </c>
    </row>
    <row r="2358" spans="1:1" ht="15.75" customHeight="1" x14ac:dyDescent="0.2">
      <c r="A2358" s="82">
        <v>2350</v>
      </c>
    </row>
    <row r="2359" spans="1:1" ht="15.75" customHeight="1" x14ac:dyDescent="0.2">
      <c r="A2359" s="81">
        <v>2351</v>
      </c>
    </row>
    <row r="2360" spans="1:1" ht="15.75" customHeight="1" x14ac:dyDescent="0.2">
      <c r="A2360" s="82">
        <v>2352</v>
      </c>
    </row>
    <row r="2361" spans="1:1" ht="15.75" customHeight="1" x14ac:dyDescent="0.2">
      <c r="A2361" s="81">
        <v>2353</v>
      </c>
    </row>
    <row r="2362" spans="1:1" ht="15.75" customHeight="1" x14ac:dyDescent="0.2">
      <c r="A2362" s="82">
        <v>2354</v>
      </c>
    </row>
    <row r="2363" spans="1:1" ht="15.75" customHeight="1" x14ac:dyDescent="0.2">
      <c r="A2363" s="81">
        <v>2355</v>
      </c>
    </row>
    <row r="2364" spans="1:1" ht="15.75" customHeight="1" x14ac:dyDescent="0.2">
      <c r="A2364" s="82">
        <v>2356</v>
      </c>
    </row>
    <row r="2365" spans="1:1" ht="15.75" customHeight="1" x14ac:dyDescent="0.2">
      <c r="A2365" s="81">
        <v>2357</v>
      </c>
    </row>
    <row r="2366" spans="1:1" ht="15.75" customHeight="1" x14ac:dyDescent="0.2">
      <c r="A2366" s="82">
        <v>2358</v>
      </c>
    </row>
    <row r="2367" spans="1:1" ht="15.75" customHeight="1" x14ac:dyDescent="0.2">
      <c r="A2367" s="81">
        <v>2359</v>
      </c>
    </row>
    <row r="2368" spans="1:1" ht="15.75" customHeight="1" x14ac:dyDescent="0.2">
      <c r="A2368" s="82">
        <v>2360</v>
      </c>
    </row>
    <row r="2369" spans="1:1" ht="15.75" customHeight="1" x14ac:dyDescent="0.2">
      <c r="A2369" s="81">
        <v>2361</v>
      </c>
    </row>
    <row r="2370" spans="1:1" ht="15.75" customHeight="1" x14ac:dyDescent="0.2">
      <c r="A2370" s="82">
        <v>2362</v>
      </c>
    </row>
    <row r="2371" spans="1:1" ht="15.75" customHeight="1" x14ac:dyDescent="0.2">
      <c r="A2371" s="81">
        <v>2363</v>
      </c>
    </row>
    <row r="2372" spans="1:1" ht="15.75" customHeight="1" x14ac:dyDescent="0.2">
      <c r="A2372" s="82">
        <v>2364</v>
      </c>
    </row>
    <row r="2373" spans="1:1" ht="15.75" customHeight="1" x14ac:dyDescent="0.2">
      <c r="A2373" s="81">
        <v>2365</v>
      </c>
    </row>
    <row r="2374" spans="1:1" ht="15.75" customHeight="1" x14ac:dyDescent="0.2">
      <c r="A2374" s="82">
        <v>2366</v>
      </c>
    </row>
    <row r="2375" spans="1:1" ht="15.75" customHeight="1" x14ac:dyDescent="0.2">
      <c r="A2375" s="81">
        <v>2367</v>
      </c>
    </row>
    <row r="2376" spans="1:1" ht="15.75" customHeight="1" x14ac:dyDescent="0.2">
      <c r="A2376" s="82">
        <v>2368</v>
      </c>
    </row>
    <row r="2377" spans="1:1" ht="15.75" customHeight="1" x14ac:dyDescent="0.2">
      <c r="A2377" s="81">
        <v>2369</v>
      </c>
    </row>
    <row r="2378" spans="1:1" ht="15.75" customHeight="1" x14ac:dyDescent="0.2">
      <c r="A2378" s="82">
        <v>2370</v>
      </c>
    </row>
    <row r="2379" spans="1:1" ht="15.75" customHeight="1" x14ac:dyDescent="0.2">
      <c r="A2379" s="81">
        <v>2371</v>
      </c>
    </row>
    <row r="2380" spans="1:1" ht="15.75" customHeight="1" x14ac:dyDescent="0.2">
      <c r="A2380" s="82">
        <v>2372</v>
      </c>
    </row>
    <row r="2381" spans="1:1" ht="15.75" customHeight="1" x14ac:dyDescent="0.2">
      <c r="A2381" s="81">
        <v>2373</v>
      </c>
    </row>
    <row r="2382" spans="1:1" ht="15.75" customHeight="1" x14ac:dyDescent="0.2">
      <c r="A2382" s="82">
        <v>2374</v>
      </c>
    </row>
    <row r="2383" spans="1:1" ht="15.75" customHeight="1" x14ac:dyDescent="0.2">
      <c r="A2383" s="81">
        <v>2375</v>
      </c>
    </row>
    <row r="2384" spans="1:1" ht="15.75" customHeight="1" x14ac:dyDescent="0.2">
      <c r="A2384" s="82">
        <v>2376</v>
      </c>
    </row>
    <row r="2385" spans="1:1" ht="15.75" customHeight="1" x14ac:dyDescent="0.2">
      <c r="A2385" s="81">
        <v>2377</v>
      </c>
    </row>
    <row r="2386" spans="1:1" ht="15.75" customHeight="1" x14ac:dyDescent="0.2">
      <c r="A2386" s="82">
        <v>2378</v>
      </c>
    </row>
    <row r="2387" spans="1:1" ht="15.75" customHeight="1" x14ac:dyDescent="0.2">
      <c r="A2387" s="81">
        <v>2379</v>
      </c>
    </row>
    <row r="2388" spans="1:1" ht="15.75" customHeight="1" x14ac:dyDescent="0.2">
      <c r="A2388" s="82">
        <v>2380</v>
      </c>
    </row>
    <row r="2389" spans="1:1" ht="15.75" customHeight="1" x14ac:dyDescent="0.2">
      <c r="A2389" s="81">
        <v>2381</v>
      </c>
    </row>
    <row r="2390" spans="1:1" ht="15.75" customHeight="1" x14ac:dyDescent="0.2">
      <c r="A2390" s="82">
        <v>2382</v>
      </c>
    </row>
    <row r="2391" spans="1:1" ht="15.75" customHeight="1" x14ac:dyDescent="0.2">
      <c r="A2391" s="81">
        <v>2383</v>
      </c>
    </row>
    <row r="2392" spans="1:1" ht="15.75" customHeight="1" x14ac:dyDescent="0.2">
      <c r="A2392" s="82">
        <v>2384</v>
      </c>
    </row>
    <row r="2393" spans="1:1" ht="15.75" customHeight="1" x14ac:dyDescent="0.2">
      <c r="A2393" s="81">
        <v>2385</v>
      </c>
    </row>
    <row r="2394" spans="1:1" ht="15.75" customHeight="1" x14ac:dyDescent="0.2">
      <c r="A2394" s="82">
        <v>2386</v>
      </c>
    </row>
    <row r="2395" spans="1:1" ht="15.75" customHeight="1" x14ac:dyDescent="0.2">
      <c r="A2395" s="81">
        <v>2387</v>
      </c>
    </row>
    <row r="2396" spans="1:1" ht="15.75" customHeight="1" x14ac:dyDescent="0.2">
      <c r="A2396" s="82">
        <v>2388</v>
      </c>
    </row>
    <row r="2397" spans="1:1" ht="15.75" customHeight="1" x14ac:dyDescent="0.2">
      <c r="A2397" s="81">
        <v>2389</v>
      </c>
    </row>
    <row r="2398" spans="1:1" ht="15.75" customHeight="1" x14ac:dyDescent="0.2">
      <c r="A2398" s="82">
        <v>2390</v>
      </c>
    </row>
    <row r="2399" spans="1:1" ht="15.75" customHeight="1" x14ac:dyDescent="0.2">
      <c r="A2399" s="81">
        <v>2391</v>
      </c>
    </row>
    <row r="2400" spans="1:1" ht="15.75" customHeight="1" x14ac:dyDescent="0.2">
      <c r="A2400" s="82">
        <v>2392</v>
      </c>
    </row>
    <row r="2401" spans="1:1" ht="15.75" customHeight="1" x14ac:dyDescent="0.2">
      <c r="A2401" s="81">
        <v>2393</v>
      </c>
    </row>
    <row r="2402" spans="1:1" ht="15.75" customHeight="1" x14ac:dyDescent="0.2">
      <c r="A2402" s="82">
        <v>2394</v>
      </c>
    </row>
    <row r="2403" spans="1:1" ht="15.75" customHeight="1" x14ac:dyDescent="0.2">
      <c r="A2403" s="81">
        <v>2395</v>
      </c>
    </row>
    <row r="2404" spans="1:1" ht="15.75" customHeight="1" x14ac:dyDescent="0.2">
      <c r="A2404" s="82">
        <v>2396</v>
      </c>
    </row>
    <row r="2405" spans="1:1" ht="15.75" customHeight="1" x14ac:dyDescent="0.2">
      <c r="A2405" s="81">
        <v>2397</v>
      </c>
    </row>
    <row r="2406" spans="1:1" ht="15.75" customHeight="1" x14ac:dyDescent="0.2">
      <c r="A2406" s="82">
        <v>2398</v>
      </c>
    </row>
    <row r="2407" spans="1:1" ht="15.75" customHeight="1" x14ac:dyDescent="0.2">
      <c r="A2407" s="81">
        <v>2399</v>
      </c>
    </row>
    <row r="2408" spans="1:1" ht="15.75" customHeight="1" x14ac:dyDescent="0.2">
      <c r="A2408" s="82">
        <v>2400</v>
      </c>
    </row>
    <row r="2409" spans="1:1" ht="15.75" customHeight="1" x14ac:dyDescent="0.2">
      <c r="A2409" s="81">
        <v>2401</v>
      </c>
    </row>
    <row r="2410" spans="1:1" ht="15.75" customHeight="1" x14ac:dyDescent="0.2">
      <c r="A2410" s="82">
        <v>2402</v>
      </c>
    </row>
    <row r="2411" spans="1:1" ht="15.75" customHeight="1" x14ac:dyDescent="0.2">
      <c r="A2411" s="81">
        <v>2403</v>
      </c>
    </row>
    <row r="2412" spans="1:1" ht="15.75" customHeight="1" x14ac:dyDescent="0.2">
      <c r="A2412" s="82">
        <v>2404</v>
      </c>
    </row>
    <row r="2413" spans="1:1" ht="15.75" customHeight="1" x14ac:dyDescent="0.2">
      <c r="A2413" s="81">
        <v>2405</v>
      </c>
    </row>
    <row r="2414" spans="1:1" ht="15.75" customHeight="1" x14ac:dyDescent="0.2">
      <c r="A2414" s="82">
        <v>2406</v>
      </c>
    </row>
    <row r="2415" spans="1:1" ht="15.75" customHeight="1" x14ac:dyDescent="0.2">
      <c r="A2415" s="81">
        <v>2407</v>
      </c>
    </row>
    <row r="2416" spans="1:1" ht="15.75" customHeight="1" x14ac:dyDescent="0.2">
      <c r="A2416" s="82">
        <v>2408</v>
      </c>
    </row>
    <row r="2417" spans="1:1" ht="15.75" customHeight="1" x14ac:dyDescent="0.2">
      <c r="A2417" s="81">
        <v>2409</v>
      </c>
    </row>
    <row r="2418" spans="1:1" ht="15.75" customHeight="1" x14ac:dyDescent="0.2">
      <c r="A2418" s="82">
        <v>2410</v>
      </c>
    </row>
    <row r="2419" spans="1:1" ht="15.75" customHeight="1" x14ac:dyDescent="0.2">
      <c r="A2419" s="81">
        <v>2411</v>
      </c>
    </row>
    <row r="2420" spans="1:1" ht="15.75" customHeight="1" x14ac:dyDescent="0.2">
      <c r="A2420" s="82">
        <v>2412</v>
      </c>
    </row>
    <row r="2421" spans="1:1" ht="15.75" customHeight="1" x14ac:dyDescent="0.2">
      <c r="A2421" s="81">
        <v>2413</v>
      </c>
    </row>
    <row r="2422" spans="1:1" ht="15.75" customHeight="1" x14ac:dyDescent="0.2">
      <c r="A2422" s="82">
        <v>2414</v>
      </c>
    </row>
    <row r="2423" spans="1:1" ht="15.75" customHeight="1" x14ac:dyDescent="0.2">
      <c r="A2423" s="81">
        <v>2415</v>
      </c>
    </row>
    <row r="2424" spans="1:1" ht="15.75" customHeight="1" x14ac:dyDescent="0.2">
      <c r="A2424" s="82">
        <v>2416</v>
      </c>
    </row>
    <row r="2425" spans="1:1" ht="15.75" customHeight="1" x14ac:dyDescent="0.2">
      <c r="A2425" s="81">
        <v>2417</v>
      </c>
    </row>
    <row r="2426" spans="1:1" ht="15.75" customHeight="1" x14ac:dyDescent="0.2">
      <c r="A2426" s="82">
        <v>2418</v>
      </c>
    </row>
    <row r="2427" spans="1:1" ht="15.75" customHeight="1" x14ac:dyDescent="0.2">
      <c r="A2427" s="81">
        <v>2419</v>
      </c>
    </row>
    <row r="2428" spans="1:1" ht="15.75" customHeight="1" x14ac:dyDescent="0.2">
      <c r="A2428" s="82">
        <v>2420</v>
      </c>
    </row>
    <row r="2429" spans="1:1" ht="15.75" customHeight="1" x14ac:dyDescent="0.2">
      <c r="A2429" s="81">
        <v>2421</v>
      </c>
    </row>
    <row r="2430" spans="1:1" ht="15.75" customHeight="1" x14ac:dyDescent="0.2">
      <c r="A2430" s="82">
        <v>2422</v>
      </c>
    </row>
    <row r="2431" spans="1:1" ht="15.75" customHeight="1" x14ac:dyDescent="0.2">
      <c r="A2431" s="81">
        <v>2423</v>
      </c>
    </row>
    <row r="2432" spans="1:1" ht="15.75" customHeight="1" x14ac:dyDescent="0.2">
      <c r="A2432" s="82">
        <v>2424</v>
      </c>
    </row>
    <row r="2433" spans="1:1" ht="15.75" customHeight="1" x14ac:dyDescent="0.2">
      <c r="A2433" s="81">
        <v>2425</v>
      </c>
    </row>
    <row r="2434" spans="1:1" ht="15.75" customHeight="1" x14ac:dyDescent="0.2">
      <c r="A2434" s="82">
        <v>2426</v>
      </c>
    </row>
    <row r="2435" spans="1:1" ht="15.75" customHeight="1" x14ac:dyDescent="0.2">
      <c r="A2435" s="81">
        <v>2427</v>
      </c>
    </row>
    <row r="2436" spans="1:1" ht="15.75" customHeight="1" x14ac:dyDescent="0.2">
      <c r="A2436" s="82">
        <v>2428</v>
      </c>
    </row>
    <row r="2437" spans="1:1" ht="15.75" customHeight="1" x14ac:dyDescent="0.2">
      <c r="A2437" s="81">
        <v>2429</v>
      </c>
    </row>
    <row r="2438" spans="1:1" ht="15.75" customHeight="1" x14ac:dyDescent="0.2">
      <c r="A2438" s="82">
        <v>2430</v>
      </c>
    </row>
    <row r="2439" spans="1:1" ht="15.75" customHeight="1" x14ac:dyDescent="0.2">
      <c r="A2439" s="81">
        <v>2431</v>
      </c>
    </row>
    <row r="2440" spans="1:1" ht="15.75" customHeight="1" x14ac:dyDescent="0.2">
      <c r="A2440" s="82">
        <v>2432</v>
      </c>
    </row>
    <row r="2441" spans="1:1" ht="15.75" customHeight="1" x14ac:dyDescent="0.2">
      <c r="A2441" s="81">
        <v>2433</v>
      </c>
    </row>
    <row r="2442" spans="1:1" ht="15.75" customHeight="1" x14ac:dyDescent="0.2">
      <c r="A2442" s="82">
        <v>2434</v>
      </c>
    </row>
    <row r="2443" spans="1:1" ht="15.75" customHeight="1" x14ac:dyDescent="0.2">
      <c r="A2443" s="81">
        <v>2435</v>
      </c>
    </row>
    <row r="2444" spans="1:1" ht="15.75" customHeight="1" x14ac:dyDescent="0.2">
      <c r="A2444" s="82">
        <v>2436</v>
      </c>
    </row>
    <row r="2445" spans="1:1" ht="15.75" customHeight="1" x14ac:dyDescent="0.2">
      <c r="A2445" s="81">
        <v>2437</v>
      </c>
    </row>
    <row r="2446" spans="1:1" ht="15.75" customHeight="1" x14ac:dyDescent="0.2">
      <c r="A2446" s="82">
        <v>2438</v>
      </c>
    </row>
    <row r="2447" spans="1:1" ht="15.75" customHeight="1" x14ac:dyDescent="0.2">
      <c r="A2447" s="81">
        <v>2439</v>
      </c>
    </row>
    <row r="2448" spans="1:1" ht="15.75" customHeight="1" x14ac:dyDescent="0.2">
      <c r="A2448" s="82">
        <v>2440</v>
      </c>
    </row>
    <row r="2449" spans="1:1" ht="15.75" customHeight="1" x14ac:dyDescent="0.2">
      <c r="A2449" s="81">
        <v>2441</v>
      </c>
    </row>
    <row r="2450" spans="1:1" ht="15.75" customHeight="1" x14ac:dyDescent="0.2">
      <c r="A2450" s="82">
        <v>2442</v>
      </c>
    </row>
    <row r="2451" spans="1:1" ht="15.75" customHeight="1" x14ac:dyDescent="0.2">
      <c r="A2451" s="81">
        <v>2443</v>
      </c>
    </row>
    <row r="2452" spans="1:1" ht="15.75" customHeight="1" x14ac:dyDescent="0.2">
      <c r="A2452" s="82">
        <v>2444</v>
      </c>
    </row>
    <row r="2453" spans="1:1" ht="15.75" customHeight="1" x14ac:dyDescent="0.2">
      <c r="A2453" s="81">
        <v>2445</v>
      </c>
    </row>
    <row r="2454" spans="1:1" ht="15.75" customHeight="1" x14ac:dyDescent="0.2">
      <c r="A2454" s="82">
        <v>2446</v>
      </c>
    </row>
    <row r="2455" spans="1:1" ht="15.75" customHeight="1" x14ac:dyDescent="0.2">
      <c r="A2455" s="81">
        <v>2447</v>
      </c>
    </row>
    <row r="2456" spans="1:1" ht="15.75" customHeight="1" x14ac:dyDescent="0.2">
      <c r="A2456" s="82">
        <v>2448</v>
      </c>
    </row>
    <row r="2457" spans="1:1" ht="15.75" customHeight="1" x14ac:dyDescent="0.2">
      <c r="A2457" s="81">
        <v>2449</v>
      </c>
    </row>
    <row r="2458" spans="1:1" ht="15.75" customHeight="1" x14ac:dyDescent="0.2">
      <c r="A2458" s="82">
        <v>2450</v>
      </c>
    </row>
    <row r="2459" spans="1:1" ht="15.75" customHeight="1" x14ac:dyDescent="0.2">
      <c r="A2459" s="81">
        <v>2451</v>
      </c>
    </row>
    <row r="2460" spans="1:1" ht="15.75" customHeight="1" x14ac:dyDescent="0.2">
      <c r="A2460" s="82">
        <v>2452</v>
      </c>
    </row>
    <row r="2461" spans="1:1" ht="15.75" customHeight="1" x14ac:dyDescent="0.2">
      <c r="A2461" s="81">
        <v>2453</v>
      </c>
    </row>
    <row r="2462" spans="1:1" ht="15.75" customHeight="1" x14ac:dyDescent="0.2">
      <c r="A2462" s="82">
        <v>2454</v>
      </c>
    </row>
    <row r="2463" spans="1:1" ht="15.75" customHeight="1" x14ac:dyDescent="0.2">
      <c r="A2463" s="81">
        <v>2455</v>
      </c>
    </row>
    <row r="2464" spans="1:1" ht="15.75" customHeight="1" x14ac:dyDescent="0.2">
      <c r="A2464" s="82">
        <v>2456</v>
      </c>
    </row>
    <row r="2465" spans="1:1" ht="15.75" customHeight="1" x14ac:dyDescent="0.2">
      <c r="A2465" s="81">
        <v>2457</v>
      </c>
    </row>
    <row r="2466" spans="1:1" ht="15.75" customHeight="1" x14ac:dyDescent="0.2">
      <c r="A2466" s="82">
        <v>2458</v>
      </c>
    </row>
    <row r="2467" spans="1:1" ht="15.75" customHeight="1" x14ac:dyDescent="0.2">
      <c r="A2467" s="81">
        <v>2459</v>
      </c>
    </row>
    <row r="2468" spans="1:1" ht="15.75" customHeight="1" x14ac:dyDescent="0.2">
      <c r="A2468" s="82">
        <v>2460</v>
      </c>
    </row>
    <row r="2469" spans="1:1" ht="15.75" customHeight="1" x14ac:dyDescent="0.2">
      <c r="A2469" s="81">
        <v>2461</v>
      </c>
    </row>
    <row r="2470" spans="1:1" ht="15.75" customHeight="1" x14ac:dyDescent="0.2">
      <c r="A2470" s="82">
        <v>2462</v>
      </c>
    </row>
    <row r="2471" spans="1:1" ht="15.75" customHeight="1" x14ac:dyDescent="0.2">
      <c r="A2471" s="81">
        <v>2463</v>
      </c>
    </row>
    <row r="2472" spans="1:1" ht="15.75" customHeight="1" x14ac:dyDescent="0.2">
      <c r="A2472" s="82">
        <v>2464</v>
      </c>
    </row>
    <row r="2473" spans="1:1" ht="15.75" customHeight="1" x14ac:dyDescent="0.2">
      <c r="A2473" s="81">
        <v>2465</v>
      </c>
    </row>
    <row r="2474" spans="1:1" ht="15.75" customHeight="1" x14ac:dyDescent="0.2">
      <c r="A2474" s="82">
        <v>2466</v>
      </c>
    </row>
    <row r="2475" spans="1:1" ht="15.75" customHeight="1" x14ac:dyDescent="0.2">
      <c r="A2475" s="81">
        <v>2467</v>
      </c>
    </row>
    <row r="2476" spans="1:1" ht="15.75" customHeight="1" x14ac:dyDescent="0.2">
      <c r="A2476" s="82">
        <v>2468</v>
      </c>
    </row>
    <row r="2477" spans="1:1" ht="15.75" customHeight="1" x14ac:dyDescent="0.2">
      <c r="A2477" s="81">
        <v>2469</v>
      </c>
    </row>
    <row r="2478" spans="1:1" ht="15.75" customHeight="1" x14ac:dyDescent="0.2">
      <c r="A2478" s="82">
        <v>2470</v>
      </c>
    </row>
    <row r="2479" spans="1:1" ht="15.75" customHeight="1" x14ac:dyDescent="0.2">
      <c r="A2479" s="81">
        <v>2471</v>
      </c>
    </row>
    <row r="2480" spans="1:1" ht="15.75" customHeight="1" x14ac:dyDescent="0.2">
      <c r="A2480" s="82">
        <v>2472</v>
      </c>
    </row>
    <row r="2481" spans="1:1" ht="15.75" customHeight="1" x14ac:dyDescent="0.2">
      <c r="A2481" s="81">
        <v>2473</v>
      </c>
    </row>
    <row r="2482" spans="1:1" ht="15.75" customHeight="1" x14ac:dyDescent="0.2">
      <c r="A2482" s="82">
        <v>2474</v>
      </c>
    </row>
    <row r="2483" spans="1:1" ht="15.75" customHeight="1" x14ac:dyDescent="0.2">
      <c r="A2483" s="81">
        <v>2475</v>
      </c>
    </row>
    <row r="2484" spans="1:1" ht="15.75" customHeight="1" x14ac:dyDescent="0.2">
      <c r="A2484" s="82">
        <v>2476</v>
      </c>
    </row>
    <row r="2485" spans="1:1" ht="15.75" customHeight="1" x14ac:dyDescent="0.2">
      <c r="A2485" s="81">
        <v>2477</v>
      </c>
    </row>
    <row r="2486" spans="1:1" ht="15.75" customHeight="1" x14ac:dyDescent="0.2">
      <c r="A2486" s="82">
        <v>2478</v>
      </c>
    </row>
    <row r="2487" spans="1:1" ht="15.75" customHeight="1" x14ac:dyDescent="0.2">
      <c r="A2487" s="81">
        <v>2479</v>
      </c>
    </row>
    <row r="2488" spans="1:1" ht="15.75" customHeight="1" x14ac:dyDescent="0.2">
      <c r="A2488" s="82">
        <v>2480</v>
      </c>
    </row>
    <row r="2489" spans="1:1" ht="15.75" customHeight="1" x14ac:dyDescent="0.2">
      <c r="A2489" s="81">
        <v>2481</v>
      </c>
    </row>
    <row r="2490" spans="1:1" ht="15.75" customHeight="1" x14ac:dyDescent="0.2">
      <c r="A2490" s="82">
        <v>2482</v>
      </c>
    </row>
    <row r="2491" spans="1:1" ht="15.75" customHeight="1" x14ac:dyDescent="0.2">
      <c r="A2491" s="81">
        <v>2483</v>
      </c>
    </row>
    <row r="2492" spans="1:1" ht="15.75" customHeight="1" x14ac:dyDescent="0.2">
      <c r="A2492" s="82">
        <v>2484</v>
      </c>
    </row>
    <row r="2493" spans="1:1" ht="15.75" customHeight="1" x14ac:dyDescent="0.2">
      <c r="A2493" s="81">
        <v>2485</v>
      </c>
    </row>
    <row r="2494" spans="1:1" ht="15.75" customHeight="1" x14ac:dyDescent="0.2">
      <c r="A2494" s="82">
        <v>2486</v>
      </c>
    </row>
    <row r="2495" spans="1:1" ht="15.75" customHeight="1" x14ac:dyDescent="0.2">
      <c r="A2495" s="81">
        <v>2487</v>
      </c>
    </row>
    <row r="2496" spans="1:1" ht="15.75" customHeight="1" x14ac:dyDescent="0.2">
      <c r="A2496" s="82">
        <v>2488</v>
      </c>
    </row>
    <row r="2497" spans="1:1" ht="15.75" customHeight="1" x14ac:dyDescent="0.2">
      <c r="A2497" s="81">
        <v>2489</v>
      </c>
    </row>
    <row r="2498" spans="1:1" ht="15.75" customHeight="1" x14ac:dyDescent="0.2">
      <c r="A2498" s="82">
        <v>2490</v>
      </c>
    </row>
    <row r="2499" spans="1:1" ht="15.75" customHeight="1" x14ac:dyDescent="0.2">
      <c r="A2499" s="81">
        <v>2491</v>
      </c>
    </row>
    <row r="2500" spans="1:1" ht="15.75" customHeight="1" x14ac:dyDescent="0.2">
      <c r="A2500" s="82">
        <v>2492</v>
      </c>
    </row>
    <row r="2501" spans="1:1" ht="15.75" customHeight="1" x14ac:dyDescent="0.2">
      <c r="A2501" s="81">
        <v>2493</v>
      </c>
    </row>
    <row r="2502" spans="1:1" ht="15.75" customHeight="1" x14ac:dyDescent="0.2">
      <c r="A2502" s="82">
        <v>2494</v>
      </c>
    </row>
    <row r="2503" spans="1:1" ht="15.75" customHeight="1" x14ac:dyDescent="0.2">
      <c r="A2503" s="81">
        <v>2495</v>
      </c>
    </row>
    <row r="2504" spans="1:1" ht="15.75" customHeight="1" x14ac:dyDescent="0.2">
      <c r="A2504" s="82">
        <v>2496</v>
      </c>
    </row>
    <row r="2505" spans="1:1" ht="15.75" customHeight="1" x14ac:dyDescent="0.2">
      <c r="A2505" s="81">
        <v>2497</v>
      </c>
    </row>
    <row r="2506" spans="1:1" ht="15.75" customHeight="1" x14ac:dyDescent="0.2">
      <c r="A2506" s="82">
        <v>2498</v>
      </c>
    </row>
    <row r="2507" spans="1:1" ht="15.75" customHeight="1" x14ac:dyDescent="0.2">
      <c r="A2507" s="81">
        <v>2499</v>
      </c>
    </row>
    <row r="2508" spans="1:1" ht="15.75" customHeight="1" x14ac:dyDescent="0.2">
      <c r="A2508" s="82">
        <v>2500</v>
      </c>
    </row>
    <row r="2509" spans="1:1" ht="15.75" customHeight="1" x14ac:dyDescent="0.2">
      <c r="A2509" s="81">
        <v>2501</v>
      </c>
    </row>
    <row r="2510" spans="1:1" ht="15.75" customHeight="1" x14ac:dyDescent="0.2">
      <c r="A2510" s="82">
        <v>2502</v>
      </c>
    </row>
    <row r="2511" spans="1:1" ht="15.75" customHeight="1" x14ac:dyDescent="0.2">
      <c r="A2511" s="81">
        <v>2503</v>
      </c>
    </row>
    <row r="2512" spans="1:1" ht="15.75" customHeight="1" x14ac:dyDescent="0.2">
      <c r="A2512" s="82">
        <v>2504</v>
      </c>
    </row>
    <row r="2513" spans="1:1" ht="15.75" customHeight="1" x14ac:dyDescent="0.2">
      <c r="A2513" s="81">
        <v>2505</v>
      </c>
    </row>
    <row r="2514" spans="1:1" ht="15.75" customHeight="1" x14ac:dyDescent="0.2">
      <c r="A2514" s="82">
        <v>2506</v>
      </c>
    </row>
    <row r="2515" spans="1:1" ht="15.75" customHeight="1" x14ac:dyDescent="0.2">
      <c r="A2515" s="81">
        <v>2507</v>
      </c>
    </row>
    <row r="2516" spans="1:1" ht="15.75" customHeight="1" x14ac:dyDescent="0.2">
      <c r="A2516" s="82">
        <v>2508</v>
      </c>
    </row>
    <row r="2517" spans="1:1" ht="15.75" customHeight="1" x14ac:dyDescent="0.2">
      <c r="A2517" s="81">
        <v>2509</v>
      </c>
    </row>
    <row r="2518" spans="1:1" ht="15.75" customHeight="1" x14ac:dyDescent="0.2">
      <c r="A2518" s="82">
        <v>2510</v>
      </c>
    </row>
    <row r="2519" spans="1:1" ht="15.75" customHeight="1" x14ac:dyDescent="0.2">
      <c r="A2519" s="81">
        <v>2511</v>
      </c>
    </row>
    <row r="2520" spans="1:1" ht="15.75" customHeight="1" x14ac:dyDescent="0.2">
      <c r="A2520" s="82">
        <v>2512</v>
      </c>
    </row>
    <row r="2521" spans="1:1" ht="15.75" customHeight="1" x14ac:dyDescent="0.2">
      <c r="A2521" s="81">
        <v>2513</v>
      </c>
    </row>
    <row r="2522" spans="1:1" ht="15.75" customHeight="1" x14ac:dyDescent="0.2">
      <c r="A2522" s="82">
        <v>2514</v>
      </c>
    </row>
    <row r="2523" spans="1:1" ht="15.75" customHeight="1" x14ac:dyDescent="0.2">
      <c r="A2523" s="81">
        <v>2515</v>
      </c>
    </row>
    <row r="2524" spans="1:1" ht="15.75" customHeight="1" x14ac:dyDescent="0.2">
      <c r="A2524" s="82">
        <v>2516</v>
      </c>
    </row>
    <row r="2525" spans="1:1" ht="15.75" customHeight="1" x14ac:dyDescent="0.2">
      <c r="A2525" s="81">
        <v>2517</v>
      </c>
    </row>
    <row r="2526" spans="1:1" ht="15.75" customHeight="1" x14ac:dyDescent="0.2">
      <c r="A2526" s="82">
        <v>2518</v>
      </c>
    </row>
    <row r="2527" spans="1:1" ht="15.75" customHeight="1" x14ac:dyDescent="0.2">
      <c r="A2527" s="81">
        <v>2519</v>
      </c>
    </row>
    <row r="2528" spans="1:1" ht="15.75" customHeight="1" x14ac:dyDescent="0.2">
      <c r="A2528" s="82">
        <v>2520</v>
      </c>
    </row>
    <row r="2529" spans="1:1" ht="15.75" customHeight="1" x14ac:dyDescent="0.2">
      <c r="A2529" s="81">
        <v>2521</v>
      </c>
    </row>
    <row r="2530" spans="1:1" ht="15.75" customHeight="1" x14ac:dyDescent="0.2">
      <c r="A2530" s="82">
        <v>2522</v>
      </c>
    </row>
    <row r="2531" spans="1:1" ht="15.75" customHeight="1" x14ac:dyDescent="0.2">
      <c r="A2531" s="81">
        <v>2523</v>
      </c>
    </row>
    <row r="2532" spans="1:1" ht="15.75" customHeight="1" x14ac:dyDescent="0.2">
      <c r="A2532" s="82">
        <v>2524</v>
      </c>
    </row>
    <row r="2533" spans="1:1" ht="15.75" customHeight="1" x14ac:dyDescent="0.2">
      <c r="A2533" s="81">
        <v>2525</v>
      </c>
    </row>
    <row r="2534" spans="1:1" ht="15.75" customHeight="1" x14ac:dyDescent="0.2">
      <c r="A2534" s="82">
        <v>2526</v>
      </c>
    </row>
    <row r="2535" spans="1:1" ht="15.75" customHeight="1" x14ac:dyDescent="0.2">
      <c r="A2535" s="81">
        <v>2527</v>
      </c>
    </row>
    <row r="2536" spans="1:1" ht="15.75" customHeight="1" x14ac:dyDescent="0.2">
      <c r="A2536" s="82">
        <v>2528</v>
      </c>
    </row>
    <row r="2537" spans="1:1" ht="15.75" customHeight="1" x14ac:dyDescent="0.2">
      <c r="A2537" s="81">
        <v>2529</v>
      </c>
    </row>
    <row r="2538" spans="1:1" ht="15.75" customHeight="1" x14ac:dyDescent="0.2">
      <c r="A2538" s="82">
        <v>2530</v>
      </c>
    </row>
    <row r="2539" spans="1:1" ht="15.75" customHeight="1" x14ac:dyDescent="0.2">
      <c r="A2539" s="81">
        <v>2531</v>
      </c>
    </row>
    <row r="2540" spans="1:1" ht="15.75" customHeight="1" x14ac:dyDescent="0.2">
      <c r="A2540" s="82">
        <v>2532</v>
      </c>
    </row>
    <row r="2541" spans="1:1" ht="15.75" customHeight="1" x14ac:dyDescent="0.2">
      <c r="A2541" s="81">
        <v>2533</v>
      </c>
    </row>
    <row r="2542" spans="1:1" ht="15.75" customHeight="1" x14ac:dyDescent="0.2">
      <c r="A2542" s="82">
        <v>2534</v>
      </c>
    </row>
    <row r="2543" spans="1:1" ht="15.75" customHeight="1" x14ac:dyDescent="0.2">
      <c r="A2543" s="81">
        <v>2535</v>
      </c>
    </row>
    <row r="2544" spans="1:1" ht="15.75" customHeight="1" x14ac:dyDescent="0.2">
      <c r="A2544" s="82">
        <v>2536</v>
      </c>
    </row>
    <row r="2545" spans="1:1" ht="15.75" customHeight="1" x14ac:dyDescent="0.2">
      <c r="A2545" s="81">
        <v>2537</v>
      </c>
    </row>
    <row r="2546" spans="1:1" ht="15.75" customHeight="1" x14ac:dyDescent="0.2">
      <c r="A2546" s="82">
        <v>2538</v>
      </c>
    </row>
    <row r="2547" spans="1:1" ht="15.75" customHeight="1" x14ac:dyDescent="0.2">
      <c r="A2547" s="81">
        <v>2539</v>
      </c>
    </row>
    <row r="2548" spans="1:1" ht="15.75" customHeight="1" x14ac:dyDescent="0.2">
      <c r="A2548" s="82">
        <v>2540</v>
      </c>
    </row>
    <row r="2549" spans="1:1" ht="15.75" customHeight="1" x14ac:dyDescent="0.2">
      <c r="A2549" s="81">
        <v>2541</v>
      </c>
    </row>
    <row r="2550" spans="1:1" ht="15.75" customHeight="1" x14ac:dyDescent="0.2">
      <c r="A2550" s="82">
        <v>2542</v>
      </c>
    </row>
    <row r="2551" spans="1:1" ht="15.75" customHeight="1" x14ac:dyDescent="0.2">
      <c r="A2551" s="81">
        <v>2543</v>
      </c>
    </row>
    <row r="2552" spans="1:1" ht="15.75" customHeight="1" x14ac:dyDescent="0.2">
      <c r="A2552" s="82">
        <v>2544</v>
      </c>
    </row>
    <row r="2553" spans="1:1" ht="15.75" customHeight="1" x14ac:dyDescent="0.2">
      <c r="A2553" s="81">
        <v>2545</v>
      </c>
    </row>
    <row r="2554" spans="1:1" ht="15.75" customHeight="1" x14ac:dyDescent="0.2">
      <c r="A2554" s="82">
        <v>2546</v>
      </c>
    </row>
    <row r="2555" spans="1:1" ht="15.75" customHeight="1" x14ac:dyDescent="0.2">
      <c r="A2555" s="81">
        <v>2547</v>
      </c>
    </row>
    <row r="2556" spans="1:1" ht="15.75" customHeight="1" x14ac:dyDescent="0.2">
      <c r="A2556" s="82">
        <v>2548</v>
      </c>
    </row>
    <row r="2557" spans="1:1" ht="15.75" customHeight="1" x14ac:dyDescent="0.2">
      <c r="A2557" s="81">
        <v>2549</v>
      </c>
    </row>
    <row r="2558" spans="1:1" ht="15.75" customHeight="1" x14ac:dyDescent="0.2">
      <c r="A2558" s="82">
        <v>2550</v>
      </c>
    </row>
    <row r="2559" spans="1:1" ht="15.75" customHeight="1" x14ac:dyDescent="0.2">
      <c r="A2559" s="81">
        <v>2551</v>
      </c>
    </row>
    <row r="2560" spans="1:1" ht="15.75" customHeight="1" x14ac:dyDescent="0.2">
      <c r="A2560" s="82">
        <v>2552</v>
      </c>
    </row>
    <row r="2561" spans="1:1" ht="15.75" customHeight="1" x14ac:dyDescent="0.2">
      <c r="A2561" s="81">
        <v>2553</v>
      </c>
    </row>
    <row r="2562" spans="1:1" ht="15.75" customHeight="1" x14ac:dyDescent="0.2">
      <c r="A2562" s="82">
        <v>2554</v>
      </c>
    </row>
    <row r="2563" spans="1:1" ht="15.75" customHeight="1" x14ac:dyDescent="0.2">
      <c r="A2563" s="81">
        <v>2555</v>
      </c>
    </row>
    <row r="2564" spans="1:1" ht="15.75" customHeight="1" x14ac:dyDescent="0.2">
      <c r="A2564" s="82">
        <v>2556</v>
      </c>
    </row>
    <row r="2565" spans="1:1" ht="15.75" customHeight="1" x14ac:dyDescent="0.2">
      <c r="A2565" s="81">
        <v>2557</v>
      </c>
    </row>
    <row r="2566" spans="1:1" ht="15.75" customHeight="1" x14ac:dyDescent="0.2">
      <c r="A2566" s="82">
        <v>2558</v>
      </c>
    </row>
    <row r="2567" spans="1:1" ht="15.75" customHeight="1" x14ac:dyDescent="0.2">
      <c r="A2567" s="81">
        <v>2559</v>
      </c>
    </row>
    <row r="2568" spans="1:1" ht="15.75" customHeight="1" x14ac:dyDescent="0.2">
      <c r="A2568" s="82">
        <v>2560</v>
      </c>
    </row>
    <row r="2569" spans="1:1" ht="15.75" customHeight="1" x14ac:dyDescent="0.2">
      <c r="A2569" s="81">
        <v>2561</v>
      </c>
    </row>
    <row r="2570" spans="1:1" ht="15.75" customHeight="1" x14ac:dyDescent="0.2">
      <c r="A2570" s="82">
        <v>2562</v>
      </c>
    </row>
    <row r="2571" spans="1:1" ht="15.75" customHeight="1" x14ac:dyDescent="0.2">
      <c r="A2571" s="81">
        <v>2563</v>
      </c>
    </row>
    <row r="2572" spans="1:1" ht="15.75" customHeight="1" x14ac:dyDescent="0.2">
      <c r="A2572" s="82">
        <v>2564</v>
      </c>
    </row>
    <row r="2573" spans="1:1" ht="15.75" customHeight="1" x14ac:dyDescent="0.2">
      <c r="A2573" s="81">
        <v>2565</v>
      </c>
    </row>
    <row r="2574" spans="1:1" ht="15.75" customHeight="1" x14ac:dyDescent="0.2">
      <c r="A2574" s="82">
        <v>2566</v>
      </c>
    </row>
    <row r="2575" spans="1:1" ht="15.75" customHeight="1" x14ac:dyDescent="0.2">
      <c r="A2575" s="81">
        <v>2567</v>
      </c>
    </row>
    <row r="2576" spans="1:1" ht="15.75" customHeight="1" x14ac:dyDescent="0.2">
      <c r="A2576" s="82">
        <v>2568</v>
      </c>
    </row>
    <row r="2577" spans="1:1" ht="15.75" customHeight="1" x14ac:dyDescent="0.2">
      <c r="A2577" s="81">
        <v>2569</v>
      </c>
    </row>
    <row r="2578" spans="1:1" ht="15.75" customHeight="1" x14ac:dyDescent="0.2">
      <c r="A2578" s="82">
        <v>2570</v>
      </c>
    </row>
    <row r="2579" spans="1:1" ht="15.75" customHeight="1" x14ac:dyDescent="0.2">
      <c r="A2579" s="81">
        <v>2571</v>
      </c>
    </row>
    <row r="2580" spans="1:1" ht="15.75" customHeight="1" x14ac:dyDescent="0.2">
      <c r="A2580" s="82">
        <v>2572</v>
      </c>
    </row>
    <row r="2581" spans="1:1" ht="15.75" customHeight="1" x14ac:dyDescent="0.2">
      <c r="A2581" s="81">
        <v>2573</v>
      </c>
    </row>
    <row r="2582" spans="1:1" ht="15.75" customHeight="1" x14ac:dyDescent="0.2">
      <c r="A2582" s="82">
        <v>2574</v>
      </c>
    </row>
    <row r="2583" spans="1:1" ht="15.75" customHeight="1" x14ac:dyDescent="0.2">
      <c r="A2583" s="81">
        <v>2575</v>
      </c>
    </row>
    <row r="2584" spans="1:1" ht="15.75" customHeight="1" x14ac:dyDescent="0.2">
      <c r="A2584" s="82">
        <v>2576</v>
      </c>
    </row>
    <row r="2585" spans="1:1" ht="15.75" customHeight="1" x14ac:dyDescent="0.2">
      <c r="A2585" s="81">
        <v>2577</v>
      </c>
    </row>
    <row r="2586" spans="1:1" ht="15.75" customHeight="1" x14ac:dyDescent="0.2">
      <c r="A2586" s="82">
        <v>2578</v>
      </c>
    </row>
    <row r="2587" spans="1:1" ht="15.75" customHeight="1" x14ac:dyDescent="0.2">
      <c r="A2587" s="81">
        <v>2579</v>
      </c>
    </row>
    <row r="2588" spans="1:1" ht="15.75" customHeight="1" x14ac:dyDescent="0.2">
      <c r="A2588" s="82">
        <v>2580</v>
      </c>
    </row>
    <row r="2589" spans="1:1" ht="15.75" customHeight="1" x14ac:dyDescent="0.2">
      <c r="A2589" s="81">
        <v>2581</v>
      </c>
    </row>
    <row r="2590" spans="1:1" ht="15.75" customHeight="1" x14ac:dyDescent="0.2">
      <c r="A2590" s="82">
        <v>2582</v>
      </c>
    </row>
    <row r="2591" spans="1:1" ht="15.75" customHeight="1" x14ac:dyDescent="0.2">
      <c r="A2591" s="81">
        <v>2583</v>
      </c>
    </row>
    <row r="2592" spans="1:1" ht="15.75" customHeight="1" x14ac:dyDescent="0.2">
      <c r="A2592" s="82">
        <v>2584</v>
      </c>
    </row>
    <row r="2593" spans="1:1" ht="15.75" customHeight="1" x14ac:dyDescent="0.2">
      <c r="A2593" s="81">
        <v>2585</v>
      </c>
    </row>
    <row r="2594" spans="1:1" ht="15.75" customHeight="1" x14ac:dyDescent="0.2">
      <c r="A2594" s="82">
        <v>2586</v>
      </c>
    </row>
    <row r="2595" spans="1:1" ht="15.75" customHeight="1" x14ac:dyDescent="0.2">
      <c r="A2595" s="81">
        <v>2587</v>
      </c>
    </row>
    <row r="2596" spans="1:1" ht="15.75" customHeight="1" x14ac:dyDescent="0.2">
      <c r="A2596" s="82">
        <v>2588</v>
      </c>
    </row>
    <row r="2597" spans="1:1" ht="15.75" customHeight="1" x14ac:dyDescent="0.2">
      <c r="A2597" s="81">
        <v>2589</v>
      </c>
    </row>
    <row r="2598" spans="1:1" ht="15.75" customHeight="1" x14ac:dyDescent="0.2">
      <c r="A2598" s="82">
        <v>2590</v>
      </c>
    </row>
    <row r="2599" spans="1:1" ht="15.75" customHeight="1" x14ac:dyDescent="0.2">
      <c r="A2599" s="81">
        <v>2591</v>
      </c>
    </row>
    <row r="2600" spans="1:1" ht="15.75" customHeight="1" x14ac:dyDescent="0.2">
      <c r="A2600" s="82">
        <v>2592</v>
      </c>
    </row>
    <row r="2601" spans="1:1" ht="15.75" customHeight="1" x14ac:dyDescent="0.2">
      <c r="A2601" s="81">
        <v>2593</v>
      </c>
    </row>
    <row r="2602" spans="1:1" ht="15.75" customHeight="1" x14ac:dyDescent="0.2">
      <c r="A2602" s="82">
        <v>2594</v>
      </c>
    </row>
    <row r="2603" spans="1:1" ht="15.75" customHeight="1" x14ac:dyDescent="0.2">
      <c r="A2603" s="81">
        <v>2595</v>
      </c>
    </row>
    <row r="2604" spans="1:1" ht="15.75" customHeight="1" x14ac:dyDescent="0.2">
      <c r="A2604" s="82">
        <v>2596</v>
      </c>
    </row>
    <row r="2605" spans="1:1" ht="15.75" customHeight="1" x14ac:dyDescent="0.2">
      <c r="A2605" s="81">
        <v>2597</v>
      </c>
    </row>
    <row r="2606" spans="1:1" ht="15.75" customHeight="1" x14ac:dyDescent="0.2">
      <c r="A2606" s="82">
        <v>2598</v>
      </c>
    </row>
    <row r="2607" spans="1:1" ht="15.75" customHeight="1" x14ac:dyDescent="0.2">
      <c r="A2607" s="81">
        <v>2599</v>
      </c>
    </row>
    <row r="2608" spans="1:1" ht="15.75" customHeight="1" x14ac:dyDescent="0.2">
      <c r="A2608" s="82">
        <v>2600</v>
      </c>
    </row>
    <row r="2609" spans="1:1" ht="15.75" customHeight="1" x14ac:dyDescent="0.2">
      <c r="A2609" s="81">
        <v>2601</v>
      </c>
    </row>
    <row r="2610" spans="1:1" ht="15.75" customHeight="1" x14ac:dyDescent="0.2">
      <c r="A2610" s="82">
        <v>2602</v>
      </c>
    </row>
    <row r="2611" spans="1:1" ht="15.75" customHeight="1" x14ac:dyDescent="0.2">
      <c r="A2611" s="81">
        <v>2603</v>
      </c>
    </row>
    <row r="2612" spans="1:1" ht="15.75" customHeight="1" x14ac:dyDescent="0.2">
      <c r="A2612" s="82">
        <v>2604</v>
      </c>
    </row>
    <row r="2613" spans="1:1" ht="15.75" customHeight="1" x14ac:dyDescent="0.2">
      <c r="A2613" s="81">
        <v>2605</v>
      </c>
    </row>
    <row r="2614" spans="1:1" ht="15.75" customHeight="1" x14ac:dyDescent="0.2">
      <c r="A2614" s="82">
        <v>2606</v>
      </c>
    </row>
    <row r="2615" spans="1:1" ht="15.75" customHeight="1" x14ac:dyDescent="0.2">
      <c r="A2615" s="81">
        <v>2607</v>
      </c>
    </row>
    <row r="2616" spans="1:1" ht="15.75" customHeight="1" x14ac:dyDescent="0.2">
      <c r="A2616" s="82">
        <v>2608</v>
      </c>
    </row>
    <row r="2617" spans="1:1" ht="15.75" customHeight="1" x14ac:dyDescent="0.2">
      <c r="A2617" s="81">
        <v>2609</v>
      </c>
    </row>
    <row r="2618" spans="1:1" ht="15.75" customHeight="1" x14ac:dyDescent="0.2">
      <c r="A2618" s="82">
        <v>2610</v>
      </c>
    </row>
    <row r="2619" spans="1:1" ht="15.75" customHeight="1" x14ac:dyDescent="0.2">
      <c r="A2619" s="81">
        <v>2611</v>
      </c>
    </row>
    <row r="2620" spans="1:1" ht="15.75" customHeight="1" x14ac:dyDescent="0.2">
      <c r="A2620" s="82">
        <v>2612</v>
      </c>
    </row>
    <row r="2621" spans="1:1" ht="15.75" customHeight="1" x14ac:dyDescent="0.2">
      <c r="A2621" s="81">
        <v>2613</v>
      </c>
    </row>
    <row r="2622" spans="1:1" ht="15.75" customHeight="1" x14ac:dyDescent="0.2">
      <c r="A2622" s="82">
        <v>2614</v>
      </c>
    </row>
    <row r="2623" spans="1:1" ht="15.75" customHeight="1" x14ac:dyDescent="0.2">
      <c r="A2623" s="81">
        <v>2615</v>
      </c>
    </row>
    <row r="2624" spans="1:1" ht="15.75" customHeight="1" x14ac:dyDescent="0.2">
      <c r="A2624" s="82">
        <v>2616</v>
      </c>
    </row>
    <row r="2625" spans="1:1" ht="15.75" customHeight="1" x14ac:dyDescent="0.2">
      <c r="A2625" s="81">
        <v>2617</v>
      </c>
    </row>
    <row r="2626" spans="1:1" ht="15.75" customHeight="1" x14ac:dyDescent="0.2">
      <c r="A2626" s="82">
        <v>2618</v>
      </c>
    </row>
    <row r="2627" spans="1:1" ht="15.75" customHeight="1" x14ac:dyDescent="0.2">
      <c r="A2627" s="81">
        <v>2619</v>
      </c>
    </row>
    <row r="2628" spans="1:1" ht="15.75" customHeight="1" x14ac:dyDescent="0.2">
      <c r="A2628" s="82">
        <v>2620</v>
      </c>
    </row>
    <row r="2629" spans="1:1" ht="15.75" customHeight="1" x14ac:dyDescent="0.2">
      <c r="A2629" s="81">
        <v>2621</v>
      </c>
    </row>
    <row r="2630" spans="1:1" ht="15.75" customHeight="1" x14ac:dyDescent="0.2">
      <c r="A2630" s="82">
        <v>2622</v>
      </c>
    </row>
    <row r="2631" spans="1:1" ht="15.75" customHeight="1" x14ac:dyDescent="0.2">
      <c r="A2631" s="81">
        <v>2623</v>
      </c>
    </row>
    <row r="2632" spans="1:1" ht="15.75" customHeight="1" x14ac:dyDescent="0.2">
      <c r="A2632" s="82">
        <v>2624</v>
      </c>
    </row>
    <row r="2633" spans="1:1" ht="15.75" customHeight="1" x14ac:dyDescent="0.2">
      <c r="A2633" s="81">
        <v>2625</v>
      </c>
    </row>
    <row r="2634" spans="1:1" ht="15.75" customHeight="1" x14ac:dyDescent="0.2">
      <c r="A2634" s="82">
        <v>2626</v>
      </c>
    </row>
    <row r="2635" spans="1:1" ht="15.75" customHeight="1" x14ac:dyDescent="0.2">
      <c r="A2635" s="81">
        <v>2627</v>
      </c>
    </row>
    <row r="2636" spans="1:1" ht="15.75" customHeight="1" x14ac:dyDescent="0.2">
      <c r="A2636" s="82">
        <v>2628</v>
      </c>
    </row>
    <row r="2637" spans="1:1" ht="15.75" customHeight="1" x14ac:dyDescent="0.2">
      <c r="A2637" s="81">
        <v>2629</v>
      </c>
    </row>
    <row r="2638" spans="1:1" ht="15.75" customHeight="1" x14ac:dyDescent="0.2">
      <c r="A2638" s="82">
        <v>2630</v>
      </c>
    </row>
    <row r="2639" spans="1:1" ht="15.75" customHeight="1" x14ac:dyDescent="0.2">
      <c r="A2639" s="81">
        <v>2631</v>
      </c>
    </row>
    <row r="2640" spans="1:1" ht="15.75" customHeight="1" x14ac:dyDescent="0.2">
      <c r="A2640" s="82">
        <v>2632</v>
      </c>
    </row>
    <row r="2641" spans="1:1" ht="15.75" customHeight="1" x14ac:dyDescent="0.2">
      <c r="A2641" s="81">
        <v>2633</v>
      </c>
    </row>
    <row r="2642" spans="1:1" ht="15.75" customHeight="1" x14ac:dyDescent="0.2">
      <c r="A2642" s="82">
        <v>2634</v>
      </c>
    </row>
    <row r="2643" spans="1:1" ht="15.75" customHeight="1" x14ac:dyDescent="0.2">
      <c r="A2643" s="81">
        <v>2635</v>
      </c>
    </row>
    <row r="2644" spans="1:1" ht="15.75" customHeight="1" x14ac:dyDescent="0.2">
      <c r="A2644" s="82">
        <v>2636</v>
      </c>
    </row>
    <row r="2645" spans="1:1" ht="15.75" customHeight="1" x14ac:dyDescent="0.2">
      <c r="A2645" s="81">
        <v>2637</v>
      </c>
    </row>
    <row r="2646" spans="1:1" ht="15.75" customHeight="1" x14ac:dyDescent="0.2">
      <c r="A2646" s="82">
        <v>2638</v>
      </c>
    </row>
    <row r="2647" spans="1:1" ht="15.75" customHeight="1" x14ac:dyDescent="0.2">
      <c r="A2647" s="81">
        <v>2639</v>
      </c>
    </row>
    <row r="2648" spans="1:1" ht="15.75" customHeight="1" x14ac:dyDescent="0.2">
      <c r="A2648" s="82">
        <v>2640</v>
      </c>
    </row>
    <row r="2649" spans="1:1" ht="15.75" customHeight="1" x14ac:dyDescent="0.2">
      <c r="A2649" s="81">
        <v>2641</v>
      </c>
    </row>
    <row r="2650" spans="1:1" ht="15.75" customHeight="1" x14ac:dyDescent="0.2">
      <c r="A2650" s="82">
        <v>2642</v>
      </c>
    </row>
    <row r="2651" spans="1:1" ht="15.75" customHeight="1" x14ac:dyDescent="0.2">
      <c r="A2651" s="81">
        <v>2643</v>
      </c>
    </row>
    <row r="2652" spans="1:1" ht="15.75" customHeight="1" x14ac:dyDescent="0.2">
      <c r="A2652" s="82">
        <v>2644</v>
      </c>
    </row>
    <row r="2653" spans="1:1" ht="15.75" customHeight="1" x14ac:dyDescent="0.2">
      <c r="A2653" s="81">
        <v>2645</v>
      </c>
    </row>
    <row r="2654" spans="1:1" ht="15.75" customHeight="1" x14ac:dyDescent="0.2">
      <c r="A2654" s="82">
        <v>2646</v>
      </c>
    </row>
    <row r="2655" spans="1:1" ht="15.75" customHeight="1" x14ac:dyDescent="0.2">
      <c r="A2655" s="81">
        <v>2647</v>
      </c>
    </row>
    <row r="2656" spans="1:1" ht="15.75" customHeight="1" x14ac:dyDescent="0.2">
      <c r="A2656" s="82">
        <v>2648</v>
      </c>
    </row>
    <row r="2657" spans="1:1" ht="15.75" customHeight="1" x14ac:dyDescent="0.2">
      <c r="A2657" s="81">
        <v>2649</v>
      </c>
    </row>
    <row r="2658" spans="1:1" ht="15.75" customHeight="1" x14ac:dyDescent="0.2">
      <c r="A2658" s="82">
        <v>2650</v>
      </c>
    </row>
    <row r="2659" spans="1:1" ht="15.75" customHeight="1" x14ac:dyDescent="0.2">
      <c r="A2659" s="81">
        <v>2651</v>
      </c>
    </row>
    <row r="2660" spans="1:1" ht="15.75" customHeight="1" x14ac:dyDescent="0.2">
      <c r="A2660" s="82">
        <v>2652</v>
      </c>
    </row>
    <row r="2661" spans="1:1" ht="15.75" customHeight="1" x14ac:dyDescent="0.2">
      <c r="A2661" s="81">
        <v>2653</v>
      </c>
    </row>
    <row r="2662" spans="1:1" ht="15.75" customHeight="1" x14ac:dyDescent="0.2">
      <c r="A2662" s="82">
        <v>2654</v>
      </c>
    </row>
    <row r="2663" spans="1:1" ht="15.75" customHeight="1" x14ac:dyDescent="0.2">
      <c r="A2663" s="81">
        <v>2655</v>
      </c>
    </row>
    <row r="2664" spans="1:1" ht="15.75" customHeight="1" x14ac:dyDescent="0.2">
      <c r="A2664" s="82">
        <v>2656</v>
      </c>
    </row>
    <row r="2665" spans="1:1" ht="15.75" customHeight="1" x14ac:dyDescent="0.2">
      <c r="A2665" s="81">
        <v>2657</v>
      </c>
    </row>
    <row r="2666" spans="1:1" ht="15.75" customHeight="1" x14ac:dyDescent="0.2">
      <c r="A2666" s="82">
        <v>2658</v>
      </c>
    </row>
    <row r="2667" spans="1:1" ht="15.75" customHeight="1" x14ac:dyDescent="0.2">
      <c r="A2667" s="81">
        <v>2659</v>
      </c>
    </row>
    <row r="2668" spans="1:1" ht="15.75" customHeight="1" x14ac:dyDescent="0.2">
      <c r="A2668" s="82">
        <v>2660</v>
      </c>
    </row>
    <row r="2669" spans="1:1" ht="15.75" customHeight="1" x14ac:dyDescent="0.2">
      <c r="A2669" s="81">
        <v>2661</v>
      </c>
    </row>
    <row r="2670" spans="1:1" ht="15.75" customHeight="1" x14ac:dyDescent="0.2">
      <c r="A2670" s="82">
        <v>2662</v>
      </c>
    </row>
    <row r="2671" spans="1:1" ht="15.75" customHeight="1" x14ac:dyDescent="0.2">
      <c r="A2671" s="81">
        <v>2663</v>
      </c>
    </row>
    <row r="2672" spans="1:1" ht="15.75" customHeight="1" x14ac:dyDescent="0.2">
      <c r="A2672" s="82">
        <v>2664</v>
      </c>
    </row>
    <row r="2673" spans="1:1" ht="15.75" customHeight="1" x14ac:dyDescent="0.2">
      <c r="A2673" s="81">
        <v>2665</v>
      </c>
    </row>
    <row r="2674" spans="1:1" ht="15.75" customHeight="1" x14ac:dyDescent="0.2">
      <c r="A2674" s="82">
        <v>2666</v>
      </c>
    </row>
    <row r="2675" spans="1:1" ht="15.75" customHeight="1" x14ac:dyDescent="0.2">
      <c r="A2675" s="81">
        <v>2667</v>
      </c>
    </row>
    <row r="2676" spans="1:1" ht="15.75" customHeight="1" x14ac:dyDescent="0.2">
      <c r="A2676" s="82">
        <v>2668</v>
      </c>
    </row>
    <row r="2677" spans="1:1" ht="15.75" customHeight="1" x14ac:dyDescent="0.2">
      <c r="A2677" s="81">
        <v>2669</v>
      </c>
    </row>
    <row r="2678" spans="1:1" ht="15.75" customHeight="1" x14ac:dyDescent="0.2">
      <c r="A2678" s="82">
        <v>2670</v>
      </c>
    </row>
    <row r="2679" spans="1:1" ht="15.75" customHeight="1" x14ac:dyDescent="0.2">
      <c r="A2679" s="81">
        <v>2671</v>
      </c>
    </row>
    <row r="2680" spans="1:1" ht="15.75" customHeight="1" x14ac:dyDescent="0.2">
      <c r="A2680" s="82">
        <v>2672</v>
      </c>
    </row>
    <row r="2681" spans="1:1" ht="15.75" customHeight="1" x14ac:dyDescent="0.2">
      <c r="A2681" s="81">
        <v>2673</v>
      </c>
    </row>
    <row r="2682" spans="1:1" ht="15.75" customHeight="1" x14ac:dyDescent="0.2">
      <c r="A2682" s="82">
        <v>2674</v>
      </c>
    </row>
    <row r="2683" spans="1:1" ht="15.75" customHeight="1" x14ac:dyDescent="0.2">
      <c r="A2683" s="81">
        <v>2675</v>
      </c>
    </row>
    <row r="2684" spans="1:1" ht="15.75" customHeight="1" x14ac:dyDescent="0.2">
      <c r="A2684" s="82">
        <v>2676</v>
      </c>
    </row>
    <row r="2685" spans="1:1" ht="15.75" customHeight="1" x14ac:dyDescent="0.2">
      <c r="A2685" s="81">
        <v>2677</v>
      </c>
    </row>
    <row r="2686" spans="1:1" ht="15.75" customHeight="1" x14ac:dyDescent="0.2">
      <c r="A2686" s="82">
        <v>2678</v>
      </c>
    </row>
    <row r="2687" spans="1:1" ht="15.75" customHeight="1" x14ac:dyDescent="0.2">
      <c r="A2687" s="81">
        <v>2679</v>
      </c>
    </row>
    <row r="2688" spans="1:1" ht="15.75" customHeight="1" x14ac:dyDescent="0.2">
      <c r="A2688" s="82">
        <v>2680</v>
      </c>
    </row>
    <row r="2689" spans="1:1" ht="15.75" customHeight="1" x14ac:dyDescent="0.2">
      <c r="A2689" s="81">
        <v>2681</v>
      </c>
    </row>
    <row r="2690" spans="1:1" ht="15.75" customHeight="1" x14ac:dyDescent="0.2">
      <c r="A2690" s="82">
        <v>2682</v>
      </c>
    </row>
    <row r="2691" spans="1:1" ht="15.75" customHeight="1" x14ac:dyDescent="0.2">
      <c r="A2691" s="81">
        <v>2683</v>
      </c>
    </row>
    <row r="2692" spans="1:1" ht="15.75" customHeight="1" x14ac:dyDescent="0.2">
      <c r="A2692" s="82">
        <v>2684</v>
      </c>
    </row>
    <row r="2693" spans="1:1" ht="15.75" customHeight="1" x14ac:dyDescent="0.2">
      <c r="A2693" s="81">
        <v>2685</v>
      </c>
    </row>
    <row r="2694" spans="1:1" ht="15.75" customHeight="1" x14ac:dyDescent="0.2">
      <c r="A2694" s="82">
        <v>2686</v>
      </c>
    </row>
    <row r="2695" spans="1:1" ht="15.75" customHeight="1" x14ac:dyDescent="0.2">
      <c r="A2695" s="81">
        <v>2687</v>
      </c>
    </row>
    <row r="2696" spans="1:1" ht="15.75" customHeight="1" x14ac:dyDescent="0.2">
      <c r="A2696" s="82">
        <v>2688</v>
      </c>
    </row>
    <row r="2697" spans="1:1" ht="15.75" customHeight="1" x14ac:dyDescent="0.2">
      <c r="A2697" s="81">
        <v>2689</v>
      </c>
    </row>
    <row r="2698" spans="1:1" ht="15.75" customHeight="1" x14ac:dyDescent="0.2">
      <c r="A2698" s="82">
        <v>2690</v>
      </c>
    </row>
    <row r="2699" spans="1:1" ht="15.75" customHeight="1" x14ac:dyDescent="0.2">
      <c r="A2699" s="81">
        <v>2691</v>
      </c>
    </row>
    <row r="2700" spans="1:1" ht="15.75" customHeight="1" x14ac:dyDescent="0.2">
      <c r="A2700" s="82">
        <v>2692</v>
      </c>
    </row>
    <row r="2701" spans="1:1" ht="15.75" customHeight="1" x14ac:dyDescent="0.2">
      <c r="A2701" s="81">
        <v>2693</v>
      </c>
    </row>
    <row r="2702" spans="1:1" ht="15.75" customHeight="1" x14ac:dyDescent="0.2">
      <c r="A2702" s="82">
        <v>2694</v>
      </c>
    </row>
    <row r="2703" spans="1:1" ht="15.75" customHeight="1" x14ac:dyDescent="0.2">
      <c r="A2703" s="81">
        <v>2695</v>
      </c>
    </row>
    <row r="2704" spans="1:1" ht="15.75" customHeight="1" x14ac:dyDescent="0.2">
      <c r="A2704" s="82">
        <v>2696</v>
      </c>
    </row>
    <row r="2705" spans="1:1" ht="15.75" customHeight="1" x14ac:dyDescent="0.2">
      <c r="A2705" s="81">
        <v>2697</v>
      </c>
    </row>
    <row r="2706" spans="1:1" ht="15.75" customHeight="1" x14ac:dyDescent="0.2">
      <c r="A2706" s="82">
        <v>2698</v>
      </c>
    </row>
    <row r="2707" spans="1:1" ht="15.75" customHeight="1" x14ac:dyDescent="0.2">
      <c r="A2707" s="81">
        <v>2699</v>
      </c>
    </row>
    <row r="2708" spans="1:1" ht="15.75" customHeight="1" x14ac:dyDescent="0.2">
      <c r="A2708" s="82">
        <v>2700</v>
      </c>
    </row>
    <row r="2709" spans="1:1" ht="15.75" customHeight="1" x14ac:dyDescent="0.2">
      <c r="A2709" s="81">
        <v>2701</v>
      </c>
    </row>
    <row r="2710" spans="1:1" ht="15.75" customHeight="1" x14ac:dyDescent="0.2">
      <c r="A2710" s="82">
        <v>2702</v>
      </c>
    </row>
    <row r="2711" spans="1:1" ht="15.75" customHeight="1" x14ac:dyDescent="0.2">
      <c r="A2711" s="81">
        <v>2703</v>
      </c>
    </row>
    <row r="2712" spans="1:1" ht="15.75" customHeight="1" x14ac:dyDescent="0.2">
      <c r="A2712" s="82">
        <v>2704</v>
      </c>
    </row>
    <row r="2713" spans="1:1" ht="15.75" customHeight="1" x14ac:dyDescent="0.2">
      <c r="A2713" s="81">
        <v>2705</v>
      </c>
    </row>
    <row r="2714" spans="1:1" ht="15.75" customHeight="1" x14ac:dyDescent="0.2">
      <c r="A2714" s="82">
        <v>2706</v>
      </c>
    </row>
    <row r="2715" spans="1:1" ht="15.75" customHeight="1" x14ac:dyDescent="0.2">
      <c r="A2715" s="81">
        <v>2707</v>
      </c>
    </row>
    <row r="2716" spans="1:1" ht="15.75" customHeight="1" x14ac:dyDescent="0.2">
      <c r="A2716" s="82">
        <v>2708</v>
      </c>
    </row>
    <row r="2717" spans="1:1" ht="15.75" customHeight="1" x14ac:dyDescent="0.2">
      <c r="A2717" s="81">
        <v>2709</v>
      </c>
    </row>
    <row r="2718" spans="1:1" ht="15.75" customHeight="1" x14ac:dyDescent="0.2">
      <c r="A2718" s="82">
        <v>2710</v>
      </c>
    </row>
    <row r="2719" spans="1:1" ht="15.75" customHeight="1" x14ac:dyDescent="0.2">
      <c r="A2719" s="81">
        <v>2711</v>
      </c>
    </row>
    <row r="2720" spans="1:1" ht="15.75" customHeight="1" x14ac:dyDescent="0.2">
      <c r="A2720" s="82">
        <v>2712</v>
      </c>
    </row>
    <row r="2721" spans="1:1" ht="15.75" customHeight="1" x14ac:dyDescent="0.2">
      <c r="A2721" s="81">
        <v>2713</v>
      </c>
    </row>
    <row r="2722" spans="1:1" ht="15.75" customHeight="1" x14ac:dyDescent="0.2">
      <c r="A2722" s="82">
        <v>2714</v>
      </c>
    </row>
    <row r="2723" spans="1:1" ht="15.75" customHeight="1" x14ac:dyDescent="0.2">
      <c r="A2723" s="81">
        <v>2715</v>
      </c>
    </row>
    <row r="2724" spans="1:1" ht="15.75" customHeight="1" x14ac:dyDescent="0.2">
      <c r="A2724" s="82">
        <v>2716</v>
      </c>
    </row>
    <row r="2725" spans="1:1" ht="15.75" customHeight="1" x14ac:dyDescent="0.2">
      <c r="A2725" s="81">
        <v>2717</v>
      </c>
    </row>
    <row r="2726" spans="1:1" ht="15.75" customHeight="1" x14ac:dyDescent="0.2">
      <c r="A2726" s="82">
        <v>2718</v>
      </c>
    </row>
    <row r="2727" spans="1:1" ht="15.75" customHeight="1" x14ac:dyDescent="0.2">
      <c r="A2727" s="81">
        <v>2719</v>
      </c>
    </row>
    <row r="2728" spans="1:1" ht="15.75" customHeight="1" x14ac:dyDescent="0.2">
      <c r="A2728" s="82">
        <v>2720</v>
      </c>
    </row>
    <row r="2729" spans="1:1" ht="15.75" customHeight="1" x14ac:dyDescent="0.2">
      <c r="A2729" s="81">
        <v>2721</v>
      </c>
    </row>
    <row r="2730" spans="1:1" ht="15.75" customHeight="1" x14ac:dyDescent="0.2">
      <c r="A2730" s="82">
        <v>2722</v>
      </c>
    </row>
    <row r="2731" spans="1:1" ht="15.75" customHeight="1" x14ac:dyDescent="0.2">
      <c r="A2731" s="81">
        <v>2723</v>
      </c>
    </row>
    <row r="2732" spans="1:1" ht="15.75" customHeight="1" x14ac:dyDescent="0.2">
      <c r="A2732" s="82">
        <v>2724</v>
      </c>
    </row>
    <row r="2733" spans="1:1" ht="15.75" customHeight="1" x14ac:dyDescent="0.2">
      <c r="A2733" s="81">
        <v>2725</v>
      </c>
    </row>
    <row r="2734" spans="1:1" ht="15.75" customHeight="1" x14ac:dyDescent="0.2">
      <c r="A2734" s="82">
        <v>2726</v>
      </c>
    </row>
    <row r="2735" spans="1:1" ht="15.75" customHeight="1" x14ac:dyDescent="0.2">
      <c r="A2735" s="81">
        <v>2727</v>
      </c>
    </row>
    <row r="2736" spans="1:1" ht="15.75" customHeight="1" x14ac:dyDescent="0.2">
      <c r="A2736" s="82">
        <v>2728</v>
      </c>
    </row>
    <row r="2737" spans="1:1" ht="15.75" customHeight="1" x14ac:dyDescent="0.2">
      <c r="A2737" s="81">
        <v>2729</v>
      </c>
    </row>
    <row r="2738" spans="1:1" ht="15.75" customHeight="1" x14ac:dyDescent="0.2">
      <c r="A2738" s="82">
        <v>2730</v>
      </c>
    </row>
    <row r="2739" spans="1:1" ht="15.75" customHeight="1" x14ac:dyDescent="0.2">
      <c r="A2739" s="81">
        <v>2731</v>
      </c>
    </row>
    <row r="2740" spans="1:1" ht="15.75" customHeight="1" x14ac:dyDescent="0.2">
      <c r="A2740" s="82">
        <v>2732</v>
      </c>
    </row>
    <row r="2741" spans="1:1" ht="15.75" customHeight="1" x14ac:dyDescent="0.2">
      <c r="A2741" s="81">
        <v>2733</v>
      </c>
    </row>
    <row r="2742" spans="1:1" ht="15.75" customHeight="1" x14ac:dyDescent="0.2">
      <c r="A2742" s="82">
        <v>2734</v>
      </c>
    </row>
    <row r="2743" spans="1:1" ht="15.75" customHeight="1" x14ac:dyDescent="0.2">
      <c r="A2743" s="81">
        <v>2735</v>
      </c>
    </row>
    <row r="2744" spans="1:1" ht="15.75" customHeight="1" x14ac:dyDescent="0.2">
      <c r="A2744" s="82">
        <v>2736</v>
      </c>
    </row>
    <row r="2745" spans="1:1" ht="15.75" customHeight="1" x14ac:dyDescent="0.2">
      <c r="A2745" s="81">
        <v>2737</v>
      </c>
    </row>
    <row r="2746" spans="1:1" ht="15.75" customHeight="1" x14ac:dyDescent="0.2">
      <c r="A2746" s="82">
        <v>2738</v>
      </c>
    </row>
    <row r="2747" spans="1:1" ht="15.75" customHeight="1" x14ac:dyDescent="0.2">
      <c r="A2747" s="81">
        <v>2739</v>
      </c>
    </row>
    <row r="2748" spans="1:1" ht="15.75" customHeight="1" x14ac:dyDescent="0.2">
      <c r="A2748" s="82">
        <v>2740</v>
      </c>
    </row>
    <row r="2749" spans="1:1" ht="15.75" customHeight="1" x14ac:dyDescent="0.2">
      <c r="A2749" s="81">
        <v>2741</v>
      </c>
    </row>
    <row r="2750" spans="1:1" ht="15.75" customHeight="1" x14ac:dyDescent="0.2">
      <c r="A2750" s="82">
        <v>2742</v>
      </c>
    </row>
    <row r="2751" spans="1:1" ht="15.75" customHeight="1" x14ac:dyDescent="0.2">
      <c r="A2751" s="81">
        <v>2743</v>
      </c>
    </row>
    <row r="2752" spans="1:1" ht="15.75" customHeight="1" x14ac:dyDescent="0.2">
      <c r="A2752" s="82">
        <v>2744</v>
      </c>
    </row>
    <row r="2753" spans="1:1" ht="15.75" customHeight="1" x14ac:dyDescent="0.2">
      <c r="A2753" s="81">
        <v>2745</v>
      </c>
    </row>
    <row r="2754" spans="1:1" ht="15.75" customHeight="1" x14ac:dyDescent="0.2">
      <c r="A2754" s="82">
        <v>2746</v>
      </c>
    </row>
    <row r="2755" spans="1:1" ht="15.75" customHeight="1" x14ac:dyDescent="0.2">
      <c r="A2755" s="81">
        <v>2747</v>
      </c>
    </row>
    <row r="2756" spans="1:1" ht="15.75" customHeight="1" x14ac:dyDescent="0.2">
      <c r="A2756" s="82">
        <v>2748</v>
      </c>
    </row>
    <row r="2757" spans="1:1" ht="15.75" customHeight="1" x14ac:dyDescent="0.2">
      <c r="A2757" s="81">
        <v>2749</v>
      </c>
    </row>
    <row r="2758" spans="1:1" ht="15.75" customHeight="1" x14ac:dyDescent="0.2">
      <c r="A2758" s="82">
        <v>2750</v>
      </c>
    </row>
    <row r="2759" spans="1:1" ht="15.75" customHeight="1" x14ac:dyDescent="0.2">
      <c r="A2759" s="81">
        <v>2751</v>
      </c>
    </row>
    <row r="2760" spans="1:1" ht="15.75" customHeight="1" x14ac:dyDescent="0.2">
      <c r="A2760" s="82">
        <v>2752</v>
      </c>
    </row>
    <row r="2761" spans="1:1" ht="15.75" customHeight="1" x14ac:dyDescent="0.2">
      <c r="A2761" s="81">
        <v>2753</v>
      </c>
    </row>
    <row r="2762" spans="1:1" ht="15.75" customHeight="1" x14ac:dyDescent="0.2">
      <c r="A2762" s="82">
        <v>2754</v>
      </c>
    </row>
    <row r="2763" spans="1:1" ht="15.75" customHeight="1" x14ac:dyDescent="0.2">
      <c r="A2763" s="81">
        <v>2755</v>
      </c>
    </row>
    <row r="2764" spans="1:1" ht="15.75" customHeight="1" x14ac:dyDescent="0.2">
      <c r="A2764" s="82">
        <v>2756</v>
      </c>
    </row>
    <row r="2765" spans="1:1" ht="15.75" customHeight="1" x14ac:dyDescent="0.2">
      <c r="A2765" s="81">
        <v>2757</v>
      </c>
    </row>
    <row r="2766" spans="1:1" ht="15.75" customHeight="1" x14ac:dyDescent="0.2">
      <c r="A2766" s="82">
        <v>2758</v>
      </c>
    </row>
    <row r="2767" spans="1:1" ht="15.75" customHeight="1" x14ac:dyDescent="0.2">
      <c r="A2767" s="81">
        <v>2759</v>
      </c>
    </row>
    <row r="2768" spans="1:1" ht="15.75" customHeight="1" x14ac:dyDescent="0.2">
      <c r="A2768" s="82">
        <v>2760</v>
      </c>
    </row>
    <row r="2769" spans="1:1" ht="15.75" customHeight="1" x14ac:dyDescent="0.2">
      <c r="A2769" s="81">
        <v>2761</v>
      </c>
    </row>
    <row r="2770" spans="1:1" ht="15.75" customHeight="1" x14ac:dyDescent="0.2">
      <c r="A2770" s="82">
        <v>2762</v>
      </c>
    </row>
    <row r="2771" spans="1:1" ht="15.75" customHeight="1" x14ac:dyDescent="0.2">
      <c r="A2771" s="81">
        <v>2763</v>
      </c>
    </row>
    <row r="2772" spans="1:1" ht="15.75" customHeight="1" x14ac:dyDescent="0.2">
      <c r="A2772" s="82">
        <v>2764</v>
      </c>
    </row>
    <row r="2773" spans="1:1" ht="15.75" customHeight="1" x14ac:dyDescent="0.2">
      <c r="A2773" s="81">
        <v>2765</v>
      </c>
    </row>
    <row r="2774" spans="1:1" ht="15.75" customHeight="1" x14ac:dyDescent="0.2">
      <c r="A2774" s="82">
        <v>2766</v>
      </c>
    </row>
    <row r="2775" spans="1:1" ht="15.75" customHeight="1" x14ac:dyDescent="0.2">
      <c r="A2775" s="81">
        <v>2767</v>
      </c>
    </row>
    <row r="2776" spans="1:1" ht="15.75" customHeight="1" x14ac:dyDescent="0.2">
      <c r="A2776" s="82">
        <v>2768</v>
      </c>
    </row>
    <row r="2777" spans="1:1" ht="15.75" customHeight="1" x14ac:dyDescent="0.2">
      <c r="A2777" s="81">
        <v>2769</v>
      </c>
    </row>
    <row r="2778" spans="1:1" ht="15.75" customHeight="1" x14ac:dyDescent="0.2">
      <c r="A2778" s="82">
        <v>2770</v>
      </c>
    </row>
    <row r="2779" spans="1:1" ht="15.75" customHeight="1" x14ac:dyDescent="0.2">
      <c r="A2779" s="81">
        <v>2771</v>
      </c>
    </row>
    <row r="2780" spans="1:1" ht="15.75" customHeight="1" x14ac:dyDescent="0.2">
      <c r="A2780" s="82">
        <v>2772</v>
      </c>
    </row>
    <row r="2781" spans="1:1" ht="15.75" customHeight="1" x14ac:dyDescent="0.2">
      <c r="A2781" s="81">
        <v>2773</v>
      </c>
    </row>
    <row r="2782" spans="1:1" ht="15.75" customHeight="1" x14ac:dyDescent="0.2">
      <c r="A2782" s="82">
        <v>2774</v>
      </c>
    </row>
    <row r="2783" spans="1:1" ht="15.75" customHeight="1" x14ac:dyDescent="0.2">
      <c r="A2783" s="81">
        <v>2775</v>
      </c>
    </row>
    <row r="2784" spans="1:1" ht="15.75" customHeight="1" x14ac:dyDescent="0.2">
      <c r="A2784" s="82">
        <v>2776</v>
      </c>
    </row>
    <row r="2785" spans="1:1" ht="15.75" customHeight="1" x14ac:dyDescent="0.2">
      <c r="A2785" s="81">
        <v>2777</v>
      </c>
    </row>
    <row r="2786" spans="1:1" ht="15.75" customHeight="1" x14ac:dyDescent="0.2">
      <c r="A2786" s="82">
        <v>2778</v>
      </c>
    </row>
    <row r="2787" spans="1:1" ht="15.75" customHeight="1" x14ac:dyDescent="0.2">
      <c r="A2787" s="81">
        <v>2779</v>
      </c>
    </row>
    <row r="2788" spans="1:1" ht="15.75" customHeight="1" x14ac:dyDescent="0.2">
      <c r="A2788" s="82">
        <v>2780</v>
      </c>
    </row>
    <row r="2789" spans="1:1" ht="15.75" customHeight="1" x14ac:dyDescent="0.2">
      <c r="A2789" s="81">
        <v>2781</v>
      </c>
    </row>
    <row r="2790" spans="1:1" ht="15.75" customHeight="1" x14ac:dyDescent="0.2">
      <c r="A2790" s="82">
        <v>2782</v>
      </c>
    </row>
    <row r="2791" spans="1:1" ht="15.75" customHeight="1" x14ac:dyDescent="0.2">
      <c r="A2791" s="81">
        <v>2783</v>
      </c>
    </row>
    <row r="2792" spans="1:1" ht="15.75" customHeight="1" x14ac:dyDescent="0.2">
      <c r="A2792" s="82">
        <v>2784</v>
      </c>
    </row>
    <row r="2793" spans="1:1" ht="15.75" customHeight="1" x14ac:dyDescent="0.2">
      <c r="A2793" s="81">
        <v>2785</v>
      </c>
    </row>
    <row r="2794" spans="1:1" ht="15.75" customHeight="1" x14ac:dyDescent="0.2">
      <c r="A2794" s="82">
        <v>2786</v>
      </c>
    </row>
    <row r="2795" spans="1:1" ht="15.75" customHeight="1" x14ac:dyDescent="0.2">
      <c r="A2795" s="81">
        <v>2787</v>
      </c>
    </row>
    <row r="2796" spans="1:1" ht="15.75" customHeight="1" x14ac:dyDescent="0.2">
      <c r="A2796" s="82">
        <v>2788</v>
      </c>
    </row>
    <row r="2797" spans="1:1" ht="15.75" customHeight="1" x14ac:dyDescent="0.2">
      <c r="A2797" s="81">
        <v>2789</v>
      </c>
    </row>
    <row r="2798" spans="1:1" ht="15.75" customHeight="1" x14ac:dyDescent="0.2">
      <c r="A2798" s="82">
        <v>2790</v>
      </c>
    </row>
    <row r="2799" spans="1:1" ht="15.75" customHeight="1" x14ac:dyDescent="0.2">
      <c r="A2799" s="81">
        <v>2791</v>
      </c>
    </row>
    <row r="2800" spans="1:1" ht="15.75" customHeight="1" x14ac:dyDescent="0.2">
      <c r="A2800" s="82">
        <v>2792</v>
      </c>
    </row>
    <row r="2801" spans="1:1" ht="15.75" customHeight="1" x14ac:dyDescent="0.2">
      <c r="A2801" s="81">
        <v>2793</v>
      </c>
    </row>
    <row r="2802" spans="1:1" ht="15.75" customHeight="1" x14ac:dyDescent="0.2">
      <c r="A2802" s="82">
        <v>2794</v>
      </c>
    </row>
    <row r="2803" spans="1:1" ht="15.75" customHeight="1" x14ac:dyDescent="0.2">
      <c r="A2803" s="81">
        <v>2795</v>
      </c>
    </row>
    <row r="2804" spans="1:1" ht="15.75" customHeight="1" x14ac:dyDescent="0.2">
      <c r="A2804" s="82">
        <v>2796</v>
      </c>
    </row>
    <row r="2805" spans="1:1" ht="15.75" customHeight="1" x14ac:dyDescent="0.2">
      <c r="A2805" s="81">
        <v>2797</v>
      </c>
    </row>
    <row r="2806" spans="1:1" ht="15.75" customHeight="1" x14ac:dyDescent="0.2">
      <c r="A2806" s="82">
        <v>2798</v>
      </c>
    </row>
    <row r="2807" spans="1:1" ht="15.75" customHeight="1" x14ac:dyDescent="0.2">
      <c r="A2807" s="81">
        <v>2799</v>
      </c>
    </row>
    <row r="2808" spans="1:1" ht="15.75" customHeight="1" x14ac:dyDescent="0.2">
      <c r="A2808" s="82">
        <v>2800</v>
      </c>
    </row>
    <row r="2809" spans="1:1" ht="15.75" customHeight="1" x14ac:dyDescent="0.2">
      <c r="A2809" s="81">
        <v>2801</v>
      </c>
    </row>
    <row r="2810" spans="1:1" ht="15.75" customHeight="1" x14ac:dyDescent="0.2">
      <c r="A2810" s="82">
        <v>2802</v>
      </c>
    </row>
    <row r="2811" spans="1:1" ht="15.75" customHeight="1" x14ac:dyDescent="0.2">
      <c r="A2811" s="81">
        <v>2803</v>
      </c>
    </row>
    <row r="2812" spans="1:1" ht="15.75" customHeight="1" x14ac:dyDescent="0.2">
      <c r="A2812" s="82">
        <v>2804</v>
      </c>
    </row>
    <row r="2813" spans="1:1" ht="15.75" customHeight="1" x14ac:dyDescent="0.2">
      <c r="A2813" s="81">
        <v>2805</v>
      </c>
    </row>
    <row r="2814" spans="1:1" ht="15.75" customHeight="1" x14ac:dyDescent="0.2">
      <c r="A2814" s="82">
        <v>2806</v>
      </c>
    </row>
    <row r="2815" spans="1:1" ht="15.75" customHeight="1" x14ac:dyDescent="0.2">
      <c r="A2815" s="81">
        <v>2807</v>
      </c>
    </row>
    <row r="2816" spans="1:1" ht="15.75" customHeight="1" x14ac:dyDescent="0.2">
      <c r="A2816" s="82">
        <v>2808</v>
      </c>
    </row>
    <row r="2817" spans="1:1" ht="15.75" customHeight="1" x14ac:dyDescent="0.2">
      <c r="A2817" s="81">
        <v>2809</v>
      </c>
    </row>
    <row r="2818" spans="1:1" ht="15.75" customHeight="1" x14ac:dyDescent="0.2">
      <c r="A2818" s="82">
        <v>2810</v>
      </c>
    </row>
    <row r="2819" spans="1:1" ht="15.75" customHeight="1" x14ac:dyDescent="0.2">
      <c r="A2819" s="81">
        <v>2811</v>
      </c>
    </row>
    <row r="2820" spans="1:1" ht="15.75" customHeight="1" x14ac:dyDescent="0.2">
      <c r="A2820" s="82">
        <v>2812</v>
      </c>
    </row>
    <row r="2821" spans="1:1" ht="15.75" customHeight="1" x14ac:dyDescent="0.2">
      <c r="A2821" s="81">
        <v>2813</v>
      </c>
    </row>
    <row r="2822" spans="1:1" ht="15.75" customHeight="1" x14ac:dyDescent="0.2">
      <c r="A2822" s="82">
        <v>2814</v>
      </c>
    </row>
    <row r="2823" spans="1:1" ht="15.75" customHeight="1" x14ac:dyDescent="0.2">
      <c r="A2823" s="81">
        <v>2815</v>
      </c>
    </row>
    <row r="2824" spans="1:1" ht="15.75" customHeight="1" x14ac:dyDescent="0.2">
      <c r="A2824" s="82">
        <v>2816</v>
      </c>
    </row>
    <row r="2825" spans="1:1" ht="15.75" customHeight="1" x14ac:dyDescent="0.2">
      <c r="A2825" s="81">
        <v>2817</v>
      </c>
    </row>
    <row r="2826" spans="1:1" ht="15.75" customHeight="1" x14ac:dyDescent="0.2">
      <c r="A2826" s="82">
        <v>2818</v>
      </c>
    </row>
    <row r="2827" spans="1:1" ht="15.75" customHeight="1" x14ac:dyDescent="0.2">
      <c r="A2827" s="81">
        <v>2819</v>
      </c>
    </row>
    <row r="2828" spans="1:1" ht="15.75" customHeight="1" x14ac:dyDescent="0.2">
      <c r="A2828" s="82">
        <v>2820</v>
      </c>
    </row>
    <row r="2829" spans="1:1" ht="15.75" customHeight="1" x14ac:dyDescent="0.2">
      <c r="A2829" s="81">
        <v>2821</v>
      </c>
    </row>
    <row r="2830" spans="1:1" ht="15.75" customHeight="1" x14ac:dyDescent="0.2">
      <c r="A2830" s="82">
        <v>2822</v>
      </c>
    </row>
    <row r="2831" spans="1:1" ht="15.75" customHeight="1" x14ac:dyDescent="0.2">
      <c r="A2831" s="81">
        <v>2823</v>
      </c>
    </row>
    <row r="2832" spans="1:1" ht="15.75" customHeight="1" x14ac:dyDescent="0.2">
      <c r="A2832" s="82">
        <v>2824</v>
      </c>
    </row>
    <row r="2833" spans="1:1" ht="15.75" customHeight="1" x14ac:dyDescent="0.2">
      <c r="A2833" s="81">
        <v>2825</v>
      </c>
    </row>
    <row r="2834" spans="1:1" ht="15.75" customHeight="1" x14ac:dyDescent="0.2">
      <c r="A2834" s="82">
        <v>2826</v>
      </c>
    </row>
    <row r="2835" spans="1:1" ht="15.75" customHeight="1" x14ac:dyDescent="0.2">
      <c r="A2835" s="81">
        <v>2827</v>
      </c>
    </row>
    <row r="2836" spans="1:1" ht="15.75" customHeight="1" x14ac:dyDescent="0.2">
      <c r="A2836" s="82">
        <v>2828</v>
      </c>
    </row>
    <row r="2837" spans="1:1" ht="15.75" customHeight="1" x14ac:dyDescent="0.2">
      <c r="A2837" s="81">
        <v>2829</v>
      </c>
    </row>
    <row r="2838" spans="1:1" ht="15.75" customHeight="1" x14ac:dyDescent="0.2">
      <c r="A2838" s="82">
        <v>2830</v>
      </c>
    </row>
    <row r="2839" spans="1:1" ht="15.75" customHeight="1" x14ac:dyDescent="0.2">
      <c r="A2839" s="81">
        <v>2831</v>
      </c>
    </row>
    <row r="2840" spans="1:1" ht="15.75" customHeight="1" x14ac:dyDescent="0.2">
      <c r="A2840" s="82">
        <v>2832</v>
      </c>
    </row>
    <row r="2841" spans="1:1" ht="15.75" customHeight="1" x14ac:dyDescent="0.2">
      <c r="A2841" s="81">
        <v>2833</v>
      </c>
    </row>
    <row r="2842" spans="1:1" ht="15.75" customHeight="1" x14ac:dyDescent="0.2">
      <c r="A2842" s="82">
        <v>2834</v>
      </c>
    </row>
    <row r="2843" spans="1:1" ht="15.75" customHeight="1" x14ac:dyDescent="0.2">
      <c r="A2843" s="81">
        <v>2835</v>
      </c>
    </row>
    <row r="2844" spans="1:1" ht="15.75" customHeight="1" x14ac:dyDescent="0.2">
      <c r="A2844" s="82">
        <v>2836</v>
      </c>
    </row>
    <row r="2845" spans="1:1" ht="15.75" customHeight="1" x14ac:dyDescent="0.2">
      <c r="A2845" s="81">
        <v>2837</v>
      </c>
    </row>
    <row r="2846" spans="1:1" ht="15.75" customHeight="1" x14ac:dyDescent="0.2">
      <c r="A2846" s="82">
        <v>2838</v>
      </c>
    </row>
    <row r="2847" spans="1:1" ht="15.75" customHeight="1" x14ac:dyDescent="0.2">
      <c r="A2847" s="81">
        <v>2839</v>
      </c>
    </row>
    <row r="2848" spans="1:1" ht="15.75" customHeight="1" x14ac:dyDescent="0.2">
      <c r="A2848" s="82">
        <v>2840</v>
      </c>
    </row>
    <row r="2849" spans="1:1" ht="15.75" customHeight="1" x14ac:dyDescent="0.2">
      <c r="A2849" s="81">
        <v>2841</v>
      </c>
    </row>
    <row r="2850" spans="1:1" ht="15.75" customHeight="1" x14ac:dyDescent="0.2">
      <c r="A2850" s="82">
        <v>2842</v>
      </c>
    </row>
    <row r="2851" spans="1:1" ht="15.75" customHeight="1" x14ac:dyDescent="0.2">
      <c r="A2851" s="81">
        <v>2843</v>
      </c>
    </row>
    <row r="2852" spans="1:1" ht="15.75" customHeight="1" x14ac:dyDescent="0.2">
      <c r="A2852" s="82">
        <v>2844</v>
      </c>
    </row>
    <row r="2853" spans="1:1" ht="15.75" customHeight="1" x14ac:dyDescent="0.2">
      <c r="A2853" s="81">
        <v>2845</v>
      </c>
    </row>
    <row r="2854" spans="1:1" ht="15.75" customHeight="1" x14ac:dyDescent="0.2">
      <c r="A2854" s="82">
        <v>2846</v>
      </c>
    </row>
    <row r="2855" spans="1:1" ht="15.75" customHeight="1" x14ac:dyDescent="0.2">
      <c r="A2855" s="81">
        <v>2847</v>
      </c>
    </row>
    <row r="2856" spans="1:1" ht="15.75" customHeight="1" x14ac:dyDescent="0.2">
      <c r="A2856" s="82">
        <v>2848</v>
      </c>
    </row>
    <row r="2857" spans="1:1" ht="15.75" customHeight="1" x14ac:dyDescent="0.2">
      <c r="A2857" s="81">
        <v>2849</v>
      </c>
    </row>
    <row r="2858" spans="1:1" ht="15.75" customHeight="1" x14ac:dyDescent="0.2">
      <c r="A2858" s="82">
        <v>2850</v>
      </c>
    </row>
    <row r="2859" spans="1:1" ht="15.75" customHeight="1" x14ac:dyDescent="0.2">
      <c r="A2859" s="81">
        <v>2851</v>
      </c>
    </row>
    <row r="2860" spans="1:1" ht="15.75" customHeight="1" x14ac:dyDescent="0.2">
      <c r="A2860" s="82">
        <v>2852</v>
      </c>
    </row>
    <row r="2861" spans="1:1" ht="15.75" customHeight="1" x14ac:dyDescent="0.2">
      <c r="A2861" s="81">
        <v>2853</v>
      </c>
    </row>
    <row r="2862" spans="1:1" ht="15.75" customHeight="1" x14ac:dyDescent="0.2">
      <c r="A2862" s="82">
        <v>2854</v>
      </c>
    </row>
    <row r="2863" spans="1:1" ht="15.75" customHeight="1" x14ac:dyDescent="0.2">
      <c r="A2863" s="81">
        <v>2855</v>
      </c>
    </row>
    <row r="2864" spans="1:1" ht="15.75" customHeight="1" x14ac:dyDescent="0.2">
      <c r="A2864" s="82">
        <v>2856</v>
      </c>
    </row>
    <row r="2865" spans="1:1" ht="15.75" customHeight="1" x14ac:dyDescent="0.2">
      <c r="A2865" s="81">
        <v>2857</v>
      </c>
    </row>
    <row r="2866" spans="1:1" ht="15.75" customHeight="1" x14ac:dyDescent="0.2">
      <c r="A2866" s="82">
        <v>2858</v>
      </c>
    </row>
    <row r="2867" spans="1:1" ht="15.75" customHeight="1" x14ac:dyDescent="0.2">
      <c r="A2867" s="81">
        <v>2859</v>
      </c>
    </row>
    <row r="2868" spans="1:1" ht="15.75" customHeight="1" x14ac:dyDescent="0.2">
      <c r="A2868" s="82">
        <v>2860</v>
      </c>
    </row>
    <row r="2869" spans="1:1" ht="15.75" customHeight="1" x14ac:dyDescent="0.2">
      <c r="A2869" s="81">
        <v>2861</v>
      </c>
    </row>
    <row r="2870" spans="1:1" ht="15.75" customHeight="1" x14ac:dyDescent="0.2">
      <c r="A2870" s="82">
        <v>2862</v>
      </c>
    </row>
    <row r="2871" spans="1:1" ht="15.75" customHeight="1" x14ac:dyDescent="0.2">
      <c r="A2871" s="81">
        <v>2863</v>
      </c>
    </row>
    <row r="2872" spans="1:1" ht="15.75" customHeight="1" x14ac:dyDescent="0.2">
      <c r="A2872" s="82">
        <v>2864</v>
      </c>
    </row>
    <row r="2873" spans="1:1" ht="15.75" customHeight="1" x14ac:dyDescent="0.2">
      <c r="A2873" s="81">
        <v>2865</v>
      </c>
    </row>
    <row r="2874" spans="1:1" ht="15.75" customHeight="1" x14ac:dyDescent="0.2">
      <c r="A2874" s="82">
        <v>2866</v>
      </c>
    </row>
    <row r="2875" spans="1:1" ht="15.75" customHeight="1" x14ac:dyDescent="0.2">
      <c r="A2875" s="81">
        <v>2867</v>
      </c>
    </row>
    <row r="2876" spans="1:1" ht="15.75" customHeight="1" x14ac:dyDescent="0.2">
      <c r="A2876" s="82">
        <v>2868</v>
      </c>
    </row>
    <row r="2877" spans="1:1" ht="15.75" customHeight="1" x14ac:dyDescent="0.2">
      <c r="A2877" s="81">
        <v>2869</v>
      </c>
    </row>
    <row r="2878" spans="1:1" ht="15.75" customHeight="1" x14ac:dyDescent="0.2">
      <c r="A2878" s="82">
        <v>2870</v>
      </c>
    </row>
    <row r="2879" spans="1:1" ht="15.75" customHeight="1" x14ac:dyDescent="0.2">
      <c r="A2879" s="81">
        <v>2871</v>
      </c>
    </row>
    <row r="2880" spans="1:1" ht="15.75" customHeight="1" x14ac:dyDescent="0.2">
      <c r="A2880" s="82">
        <v>2872</v>
      </c>
    </row>
    <row r="2881" spans="1:1" ht="15.75" customHeight="1" x14ac:dyDescent="0.2">
      <c r="A2881" s="81">
        <v>2873</v>
      </c>
    </row>
    <row r="2882" spans="1:1" ht="15.75" customHeight="1" x14ac:dyDescent="0.2">
      <c r="A2882" s="82">
        <v>2874</v>
      </c>
    </row>
    <row r="2883" spans="1:1" ht="15.75" customHeight="1" x14ac:dyDescent="0.2">
      <c r="A2883" s="81">
        <v>2875</v>
      </c>
    </row>
    <row r="2884" spans="1:1" ht="15.75" customHeight="1" x14ac:dyDescent="0.2">
      <c r="A2884" s="82">
        <v>2876</v>
      </c>
    </row>
    <row r="2885" spans="1:1" ht="15.75" customHeight="1" x14ac:dyDescent="0.2">
      <c r="A2885" s="81">
        <v>2877</v>
      </c>
    </row>
    <row r="2886" spans="1:1" ht="15.75" customHeight="1" x14ac:dyDescent="0.2">
      <c r="A2886" s="82">
        <v>2878</v>
      </c>
    </row>
    <row r="2887" spans="1:1" ht="15.75" customHeight="1" x14ac:dyDescent="0.2">
      <c r="A2887" s="81">
        <v>2879</v>
      </c>
    </row>
    <row r="2888" spans="1:1" ht="15.75" customHeight="1" x14ac:dyDescent="0.2">
      <c r="A2888" s="82">
        <v>2880</v>
      </c>
    </row>
    <row r="2889" spans="1:1" ht="15.75" customHeight="1" x14ac:dyDescent="0.2">
      <c r="A2889" s="81">
        <v>2881</v>
      </c>
    </row>
    <row r="2890" spans="1:1" ht="15.75" customHeight="1" x14ac:dyDescent="0.2">
      <c r="A2890" s="82">
        <v>2882</v>
      </c>
    </row>
    <row r="2891" spans="1:1" ht="15.75" customHeight="1" x14ac:dyDescent="0.2">
      <c r="A2891" s="81">
        <v>2883</v>
      </c>
    </row>
    <row r="2892" spans="1:1" ht="15.75" customHeight="1" x14ac:dyDescent="0.2">
      <c r="A2892" s="82">
        <v>2884</v>
      </c>
    </row>
    <row r="2893" spans="1:1" ht="15.75" customHeight="1" x14ac:dyDescent="0.2">
      <c r="A2893" s="81">
        <v>2885</v>
      </c>
    </row>
    <row r="2894" spans="1:1" ht="15.75" customHeight="1" x14ac:dyDescent="0.2">
      <c r="A2894" s="82">
        <v>2886</v>
      </c>
    </row>
    <row r="2895" spans="1:1" ht="15.75" customHeight="1" x14ac:dyDescent="0.2">
      <c r="A2895" s="81">
        <v>2887</v>
      </c>
    </row>
    <row r="2896" spans="1:1" ht="15.75" customHeight="1" x14ac:dyDescent="0.2">
      <c r="A2896" s="82">
        <v>2888</v>
      </c>
    </row>
    <row r="2897" spans="1:1" ht="15.75" customHeight="1" x14ac:dyDescent="0.2">
      <c r="A2897" s="81">
        <v>2889</v>
      </c>
    </row>
    <row r="2898" spans="1:1" ht="15.75" customHeight="1" x14ac:dyDescent="0.2">
      <c r="A2898" s="82">
        <v>2890</v>
      </c>
    </row>
    <row r="2899" spans="1:1" ht="15.75" customHeight="1" x14ac:dyDescent="0.2">
      <c r="A2899" s="81">
        <v>2891</v>
      </c>
    </row>
    <row r="2900" spans="1:1" ht="15.75" customHeight="1" x14ac:dyDescent="0.2">
      <c r="A2900" s="82">
        <v>2892</v>
      </c>
    </row>
    <row r="2901" spans="1:1" ht="15.75" customHeight="1" x14ac:dyDescent="0.2">
      <c r="A2901" s="81">
        <v>2893</v>
      </c>
    </row>
    <row r="2902" spans="1:1" ht="15.75" customHeight="1" x14ac:dyDescent="0.2">
      <c r="A2902" s="82">
        <v>2894</v>
      </c>
    </row>
    <row r="2903" spans="1:1" ht="15.75" customHeight="1" x14ac:dyDescent="0.2">
      <c r="A2903" s="81">
        <v>2895</v>
      </c>
    </row>
    <row r="2904" spans="1:1" ht="15.75" customHeight="1" x14ac:dyDescent="0.2">
      <c r="A2904" s="82">
        <v>2896</v>
      </c>
    </row>
    <row r="2905" spans="1:1" ht="15.75" customHeight="1" x14ac:dyDescent="0.2">
      <c r="A2905" s="81">
        <v>2897</v>
      </c>
    </row>
    <row r="2906" spans="1:1" ht="15.75" customHeight="1" x14ac:dyDescent="0.2">
      <c r="A2906" s="82">
        <v>2898</v>
      </c>
    </row>
    <row r="2907" spans="1:1" ht="15.75" customHeight="1" x14ac:dyDescent="0.2">
      <c r="A2907" s="81">
        <v>2899</v>
      </c>
    </row>
    <row r="2908" spans="1:1" ht="15.75" customHeight="1" x14ac:dyDescent="0.2">
      <c r="A2908" s="82">
        <v>2900</v>
      </c>
    </row>
    <row r="2909" spans="1:1" ht="15.75" customHeight="1" x14ac:dyDescent="0.2">
      <c r="A2909" s="81">
        <v>2901</v>
      </c>
    </row>
    <row r="2910" spans="1:1" ht="15.75" customHeight="1" x14ac:dyDescent="0.2">
      <c r="A2910" s="82">
        <v>2902</v>
      </c>
    </row>
    <row r="2911" spans="1:1" ht="15.75" customHeight="1" x14ac:dyDescent="0.2">
      <c r="A2911" s="81">
        <v>2903</v>
      </c>
    </row>
    <row r="2912" spans="1:1" ht="15.75" customHeight="1" x14ac:dyDescent="0.2">
      <c r="A2912" s="82">
        <v>2904</v>
      </c>
    </row>
    <row r="2913" spans="1:1" ht="15.75" customHeight="1" x14ac:dyDescent="0.2">
      <c r="A2913" s="81">
        <v>2905</v>
      </c>
    </row>
    <row r="2914" spans="1:1" ht="15.75" customHeight="1" x14ac:dyDescent="0.2">
      <c r="A2914" s="82">
        <v>2906</v>
      </c>
    </row>
    <row r="2915" spans="1:1" ht="15.75" customHeight="1" x14ac:dyDescent="0.2">
      <c r="A2915" s="81">
        <v>2907</v>
      </c>
    </row>
    <row r="2916" spans="1:1" ht="15.75" customHeight="1" x14ac:dyDescent="0.2">
      <c r="A2916" s="82">
        <v>2908</v>
      </c>
    </row>
    <row r="2917" spans="1:1" ht="15.75" customHeight="1" x14ac:dyDescent="0.2">
      <c r="A2917" s="81">
        <v>2909</v>
      </c>
    </row>
    <row r="2918" spans="1:1" ht="15.75" customHeight="1" x14ac:dyDescent="0.2">
      <c r="A2918" s="82">
        <v>2910</v>
      </c>
    </row>
    <row r="2919" spans="1:1" ht="15.75" customHeight="1" x14ac:dyDescent="0.2">
      <c r="A2919" s="81">
        <v>2911</v>
      </c>
    </row>
    <row r="2920" spans="1:1" ht="15.75" customHeight="1" x14ac:dyDescent="0.2">
      <c r="A2920" s="82">
        <v>2912</v>
      </c>
    </row>
    <row r="2921" spans="1:1" ht="15.75" customHeight="1" x14ac:dyDescent="0.2">
      <c r="A2921" s="81">
        <v>2913</v>
      </c>
    </row>
    <row r="2922" spans="1:1" ht="15.75" customHeight="1" x14ac:dyDescent="0.2">
      <c r="A2922" s="82">
        <v>2914</v>
      </c>
    </row>
    <row r="2923" spans="1:1" ht="15.75" customHeight="1" x14ac:dyDescent="0.2">
      <c r="A2923" s="81">
        <v>2915</v>
      </c>
    </row>
    <row r="2924" spans="1:1" ht="15.75" customHeight="1" x14ac:dyDescent="0.2">
      <c r="A2924" s="82">
        <v>2916</v>
      </c>
    </row>
    <row r="2925" spans="1:1" ht="15.75" customHeight="1" x14ac:dyDescent="0.2">
      <c r="A2925" s="81">
        <v>2917</v>
      </c>
    </row>
    <row r="2926" spans="1:1" ht="15.75" customHeight="1" x14ac:dyDescent="0.2">
      <c r="A2926" s="82">
        <v>2918</v>
      </c>
    </row>
    <row r="2927" spans="1:1" ht="15.75" customHeight="1" x14ac:dyDescent="0.2">
      <c r="A2927" s="81">
        <v>2919</v>
      </c>
    </row>
    <row r="2928" spans="1:1" ht="15.75" customHeight="1" x14ac:dyDescent="0.2">
      <c r="A2928" s="82">
        <v>2920</v>
      </c>
    </row>
    <row r="2929" spans="1:1" ht="15.75" customHeight="1" x14ac:dyDescent="0.2">
      <c r="A2929" s="81">
        <v>2921</v>
      </c>
    </row>
    <row r="2930" spans="1:1" ht="15.75" customHeight="1" x14ac:dyDescent="0.2">
      <c r="A2930" s="82">
        <v>2922</v>
      </c>
    </row>
    <row r="2931" spans="1:1" ht="15.75" customHeight="1" x14ac:dyDescent="0.2">
      <c r="A2931" s="81">
        <v>2923</v>
      </c>
    </row>
    <row r="2932" spans="1:1" ht="15.75" customHeight="1" x14ac:dyDescent="0.2">
      <c r="A2932" s="82">
        <v>2924</v>
      </c>
    </row>
    <row r="2933" spans="1:1" ht="15.75" customHeight="1" x14ac:dyDescent="0.2">
      <c r="A2933" s="81">
        <v>2925</v>
      </c>
    </row>
    <row r="2934" spans="1:1" ht="15.75" customHeight="1" x14ac:dyDescent="0.2">
      <c r="A2934" s="82">
        <v>2926</v>
      </c>
    </row>
    <row r="2935" spans="1:1" ht="15.75" customHeight="1" x14ac:dyDescent="0.2">
      <c r="A2935" s="81">
        <v>2927</v>
      </c>
    </row>
    <row r="2936" spans="1:1" ht="15.75" customHeight="1" x14ac:dyDescent="0.2">
      <c r="A2936" s="82">
        <v>2928</v>
      </c>
    </row>
    <row r="2937" spans="1:1" ht="15.75" customHeight="1" x14ac:dyDescent="0.2">
      <c r="A2937" s="81">
        <v>2929</v>
      </c>
    </row>
    <row r="2938" spans="1:1" ht="15.75" customHeight="1" x14ac:dyDescent="0.2">
      <c r="A2938" s="82">
        <v>2930</v>
      </c>
    </row>
    <row r="2939" spans="1:1" ht="15.75" customHeight="1" x14ac:dyDescent="0.2">
      <c r="A2939" s="81">
        <v>2931</v>
      </c>
    </row>
    <row r="2940" spans="1:1" ht="15.75" customHeight="1" x14ac:dyDescent="0.2">
      <c r="A2940" s="82">
        <v>2932</v>
      </c>
    </row>
    <row r="2941" spans="1:1" ht="15.75" customHeight="1" x14ac:dyDescent="0.2">
      <c r="A2941" s="81">
        <v>2933</v>
      </c>
    </row>
    <row r="2942" spans="1:1" ht="15.75" customHeight="1" x14ac:dyDescent="0.2">
      <c r="A2942" s="82">
        <v>2934</v>
      </c>
    </row>
    <row r="2943" spans="1:1" ht="15.75" customHeight="1" x14ac:dyDescent="0.2">
      <c r="A2943" s="81">
        <v>2935</v>
      </c>
    </row>
    <row r="2944" spans="1:1" ht="15.75" customHeight="1" x14ac:dyDescent="0.2">
      <c r="A2944" s="82">
        <v>2936</v>
      </c>
    </row>
    <row r="2945" spans="1:1" ht="15.75" customHeight="1" x14ac:dyDescent="0.2">
      <c r="A2945" s="81">
        <v>2937</v>
      </c>
    </row>
    <row r="2946" spans="1:1" ht="15.75" customHeight="1" x14ac:dyDescent="0.2">
      <c r="A2946" s="82">
        <v>2938</v>
      </c>
    </row>
    <row r="2947" spans="1:1" ht="15.75" customHeight="1" x14ac:dyDescent="0.2">
      <c r="A2947" s="81">
        <v>2939</v>
      </c>
    </row>
    <row r="2948" spans="1:1" ht="15.75" customHeight="1" x14ac:dyDescent="0.2">
      <c r="A2948" s="82">
        <v>2940</v>
      </c>
    </row>
    <row r="2949" spans="1:1" ht="15.75" customHeight="1" x14ac:dyDescent="0.2">
      <c r="A2949" s="81">
        <v>2941</v>
      </c>
    </row>
    <row r="2950" spans="1:1" ht="15.75" customHeight="1" x14ac:dyDescent="0.2">
      <c r="A2950" s="82">
        <v>2942</v>
      </c>
    </row>
    <row r="2951" spans="1:1" ht="15.75" customHeight="1" x14ac:dyDescent="0.2">
      <c r="A2951" s="81">
        <v>2943</v>
      </c>
    </row>
    <row r="2952" spans="1:1" ht="15.75" customHeight="1" x14ac:dyDescent="0.2">
      <c r="A2952" s="82">
        <v>2944</v>
      </c>
    </row>
    <row r="2953" spans="1:1" ht="15.75" customHeight="1" x14ac:dyDescent="0.2">
      <c r="A2953" s="81">
        <v>2945</v>
      </c>
    </row>
    <row r="2954" spans="1:1" ht="15.75" customHeight="1" x14ac:dyDescent="0.2">
      <c r="A2954" s="82">
        <v>2946</v>
      </c>
    </row>
    <row r="2955" spans="1:1" ht="15.75" customHeight="1" x14ac:dyDescent="0.2">
      <c r="A2955" s="81">
        <v>2947</v>
      </c>
    </row>
    <row r="2956" spans="1:1" ht="15.75" customHeight="1" x14ac:dyDescent="0.2">
      <c r="A2956" s="82">
        <v>2948</v>
      </c>
    </row>
    <row r="2957" spans="1:1" ht="15.75" customHeight="1" x14ac:dyDescent="0.2">
      <c r="A2957" s="81">
        <v>2949</v>
      </c>
    </row>
    <row r="2958" spans="1:1" ht="15.75" customHeight="1" x14ac:dyDescent="0.2">
      <c r="A2958" s="82">
        <v>2950</v>
      </c>
    </row>
    <row r="2959" spans="1:1" ht="15.75" customHeight="1" x14ac:dyDescent="0.2">
      <c r="A2959" s="81">
        <v>2951</v>
      </c>
    </row>
    <row r="2960" spans="1:1" ht="15.75" customHeight="1" x14ac:dyDescent="0.2">
      <c r="A2960" s="82">
        <v>2952</v>
      </c>
    </row>
    <row r="2961" spans="1:1" ht="15.75" customHeight="1" x14ac:dyDescent="0.2">
      <c r="A2961" s="81">
        <v>2953</v>
      </c>
    </row>
    <row r="2962" spans="1:1" ht="15.75" customHeight="1" x14ac:dyDescent="0.2">
      <c r="A2962" s="82">
        <v>2954</v>
      </c>
    </row>
    <row r="2963" spans="1:1" ht="15.75" customHeight="1" x14ac:dyDescent="0.2">
      <c r="A2963" s="81">
        <v>2955</v>
      </c>
    </row>
    <row r="2964" spans="1:1" ht="15.75" customHeight="1" x14ac:dyDescent="0.2">
      <c r="A2964" s="82">
        <v>2956</v>
      </c>
    </row>
    <row r="2965" spans="1:1" ht="15.75" customHeight="1" x14ac:dyDescent="0.2">
      <c r="A2965" s="81">
        <v>2957</v>
      </c>
    </row>
    <row r="2966" spans="1:1" ht="15.75" customHeight="1" x14ac:dyDescent="0.2">
      <c r="A2966" s="82">
        <v>2958</v>
      </c>
    </row>
    <row r="2967" spans="1:1" ht="15.75" customHeight="1" x14ac:dyDescent="0.2">
      <c r="A2967" s="81">
        <v>2959</v>
      </c>
    </row>
    <row r="2968" spans="1:1" ht="15.75" customHeight="1" x14ac:dyDescent="0.2">
      <c r="A2968" s="82">
        <v>2960</v>
      </c>
    </row>
    <row r="2969" spans="1:1" ht="15.75" customHeight="1" x14ac:dyDescent="0.2">
      <c r="A2969" s="81">
        <v>2961</v>
      </c>
    </row>
    <row r="2970" spans="1:1" ht="15.75" customHeight="1" x14ac:dyDescent="0.2">
      <c r="A2970" s="82">
        <v>2962</v>
      </c>
    </row>
    <row r="2971" spans="1:1" ht="15.75" customHeight="1" x14ac:dyDescent="0.2">
      <c r="A2971" s="81">
        <v>2963</v>
      </c>
    </row>
    <row r="2972" spans="1:1" ht="15.75" customHeight="1" x14ac:dyDescent="0.2">
      <c r="A2972" s="82">
        <v>2964</v>
      </c>
    </row>
    <row r="2973" spans="1:1" ht="15.75" customHeight="1" x14ac:dyDescent="0.2">
      <c r="A2973" s="81">
        <v>2965</v>
      </c>
    </row>
    <row r="2974" spans="1:1" ht="15.75" customHeight="1" x14ac:dyDescent="0.2">
      <c r="A2974" s="82">
        <v>2966</v>
      </c>
    </row>
    <row r="2975" spans="1:1" ht="15.75" customHeight="1" x14ac:dyDescent="0.2">
      <c r="A2975" s="81">
        <v>2967</v>
      </c>
    </row>
    <row r="2976" spans="1:1" ht="15.75" customHeight="1" x14ac:dyDescent="0.2">
      <c r="A2976" s="82">
        <v>2968</v>
      </c>
    </row>
    <row r="2977" spans="1:1" ht="15.75" customHeight="1" x14ac:dyDescent="0.2">
      <c r="A2977" s="81">
        <v>2969</v>
      </c>
    </row>
    <row r="2978" spans="1:1" ht="15.75" customHeight="1" x14ac:dyDescent="0.2">
      <c r="A2978" s="82">
        <v>2970</v>
      </c>
    </row>
    <row r="2979" spans="1:1" ht="15.75" customHeight="1" x14ac:dyDescent="0.2">
      <c r="A2979" s="81">
        <v>2971</v>
      </c>
    </row>
    <row r="2980" spans="1:1" ht="15.75" customHeight="1" x14ac:dyDescent="0.2">
      <c r="A2980" s="82">
        <v>2972</v>
      </c>
    </row>
    <row r="2981" spans="1:1" ht="15.75" customHeight="1" x14ac:dyDescent="0.2">
      <c r="A2981" s="81">
        <v>2973</v>
      </c>
    </row>
    <row r="2982" spans="1:1" ht="15.75" customHeight="1" x14ac:dyDescent="0.2">
      <c r="A2982" s="82">
        <v>2974</v>
      </c>
    </row>
    <row r="2983" spans="1:1" ht="15.75" customHeight="1" x14ac:dyDescent="0.2">
      <c r="A2983" s="81">
        <v>2975</v>
      </c>
    </row>
    <row r="2984" spans="1:1" ht="15.75" customHeight="1" x14ac:dyDescent="0.2">
      <c r="A2984" s="82">
        <v>2976</v>
      </c>
    </row>
    <row r="2985" spans="1:1" ht="15.75" customHeight="1" x14ac:dyDescent="0.2">
      <c r="A2985" s="81">
        <v>2977</v>
      </c>
    </row>
    <row r="2986" spans="1:1" ht="15.75" customHeight="1" x14ac:dyDescent="0.2">
      <c r="A2986" s="82">
        <v>2978</v>
      </c>
    </row>
    <row r="2987" spans="1:1" ht="15.75" customHeight="1" x14ac:dyDescent="0.2">
      <c r="A2987" s="81">
        <v>2979</v>
      </c>
    </row>
    <row r="2988" spans="1:1" ht="15.75" customHeight="1" x14ac:dyDescent="0.2">
      <c r="A2988" s="82">
        <v>2980</v>
      </c>
    </row>
    <row r="2989" spans="1:1" ht="15.75" customHeight="1" x14ac:dyDescent="0.2">
      <c r="A2989" s="81">
        <v>2981</v>
      </c>
    </row>
    <row r="2990" spans="1:1" ht="15.75" customHeight="1" x14ac:dyDescent="0.2">
      <c r="A2990" s="82">
        <v>2982</v>
      </c>
    </row>
    <row r="2991" spans="1:1" ht="15.75" customHeight="1" x14ac:dyDescent="0.2">
      <c r="A2991" s="81">
        <v>2983</v>
      </c>
    </row>
    <row r="2992" spans="1:1" ht="15.75" customHeight="1" x14ac:dyDescent="0.2">
      <c r="A2992" s="82">
        <v>2984</v>
      </c>
    </row>
    <row r="2993" spans="1:1" ht="15.75" customHeight="1" x14ac:dyDescent="0.2">
      <c r="A2993" s="81">
        <v>2985</v>
      </c>
    </row>
    <row r="2994" spans="1:1" ht="15.75" customHeight="1" x14ac:dyDescent="0.2">
      <c r="A2994" s="82">
        <v>2986</v>
      </c>
    </row>
    <row r="2995" spans="1:1" ht="15.75" customHeight="1" x14ac:dyDescent="0.2">
      <c r="A2995" s="81">
        <v>2987</v>
      </c>
    </row>
    <row r="2996" spans="1:1" ht="15.75" customHeight="1" x14ac:dyDescent="0.2">
      <c r="A2996" s="82">
        <v>2988</v>
      </c>
    </row>
    <row r="2997" spans="1:1" ht="15.75" customHeight="1" x14ac:dyDescent="0.2">
      <c r="A2997" s="81">
        <v>2989</v>
      </c>
    </row>
    <row r="2998" spans="1:1" ht="15.75" customHeight="1" x14ac:dyDescent="0.2">
      <c r="A2998" s="82">
        <v>2990</v>
      </c>
    </row>
    <row r="2999" spans="1:1" ht="15.75" customHeight="1" x14ac:dyDescent="0.2">
      <c r="A2999" s="81">
        <v>2991</v>
      </c>
    </row>
    <row r="3000" spans="1:1" ht="15.75" customHeight="1" x14ac:dyDescent="0.2">
      <c r="A3000" s="82">
        <v>2992</v>
      </c>
    </row>
    <row r="3001" spans="1:1" ht="15.75" customHeight="1" x14ac:dyDescent="0.2">
      <c r="A3001" s="81">
        <v>2993</v>
      </c>
    </row>
    <row r="3002" spans="1:1" ht="15.75" customHeight="1" x14ac:dyDescent="0.2">
      <c r="A3002" s="82">
        <v>2994</v>
      </c>
    </row>
    <row r="3003" spans="1:1" ht="15.75" customHeight="1" x14ac:dyDescent="0.2">
      <c r="A3003" s="81">
        <v>2995</v>
      </c>
    </row>
    <row r="3004" spans="1:1" ht="15.75" customHeight="1" x14ac:dyDescent="0.2">
      <c r="A3004" s="82">
        <v>2996</v>
      </c>
    </row>
    <row r="3005" spans="1:1" ht="15.75" customHeight="1" x14ac:dyDescent="0.2">
      <c r="A3005" s="81">
        <v>2997</v>
      </c>
    </row>
    <row r="3006" spans="1:1" ht="15.75" customHeight="1" x14ac:dyDescent="0.2">
      <c r="A3006" s="82">
        <v>2998</v>
      </c>
    </row>
    <row r="3007" spans="1:1" ht="15.75" customHeight="1" x14ac:dyDescent="0.2">
      <c r="A3007" s="81">
        <v>2999</v>
      </c>
    </row>
    <row r="3008" spans="1:1" ht="15.75" customHeight="1" x14ac:dyDescent="0.2">
      <c r="A3008" s="82">
        <v>3000</v>
      </c>
    </row>
    <row r="3009" spans="1:1" ht="15.75" customHeight="1" x14ac:dyDescent="0.2">
      <c r="A3009" s="81">
        <v>3001</v>
      </c>
    </row>
    <row r="3010" spans="1:1" ht="15.75" customHeight="1" x14ac:dyDescent="0.2">
      <c r="A3010" s="82">
        <v>3002</v>
      </c>
    </row>
    <row r="3011" spans="1:1" ht="15.75" customHeight="1" x14ac:dyDescent="0.2">
      <c r="A3011" s="81">
        <v>3003</v>
      </c>
    </row>
    <row r="3012" spans="1:1" ht="15.75" customHeight="1" x14ac:dyDescent="0.2">
      <c r="A3012" s="82">
        <v>3004</v>
      </c>
    </row>
    <row r="3013" spans="1:1" ht="15.75" customHeight="1" x14ac:dyDescent="0.2">
      <c r="A3013" s="81">
        <v>3005</v>
      </c>
    </row>
    <row r="3014" spans="1:1" ht="15.75" customHeight="1" x14ac:dyDescent="0.2">
      <c r="A3014" s="82">
        <v>3006</v>
      </c>
    </row>
    <row r="3015" spans="1:1" ht="15.75" customHeight="1" x14ac:dyDescent="0.2">
      <c r="A3015" s="81">
        <v>3007</v>
      </c>
    </row>
    <row r="3016" spans="1:1" ht="15.75" customHeight="1" x14ac:dyDescent="0.2">
      <c r="A3016" s="82">
        <v>3008</v>
      </c>
    </row>
    <row r="3017" spans="1:1" ht="15.75" customHeight="1" x14ac:dyDescent="0.2">
      <c r="A3017" s="81">
        <v>3009</v>
      </c>
    </row>
    <row r="3018" spans="1:1" ht="15.75" customHeight="1" x14ac:dyDescent="0.2">
      <c r="A3018" s="82">
        <v>3010</v>
      </c>
    </row>
    <row r="3019" spans="1:1" ht="15.75" customHeight="1" x14ac:dyDescent="0.2">
      <c r="A3019" s="81">
        <v>3011</v>
      </c>
    </row>
    <row r="3020" spans="1:1" ht="15.75" customHeight="1" x14ac:dyDescent="0.2">
      <c r="A3020" s="82">
        <v>3012</v>
      </c>
    </row>
    <row r="3021" spans="1:1" ht="15.75" customHeight="1" x14ac:dyDescent="0.2">
      <c r="A3021" s="81">
        <v>3013</v>
      </c>
    </row>
    <row r="3022" spans="1:1" ht="15.75" customHeight="1" x14ac:dyDescent="0.2">
      <c r="A3022" s="82">
        <v>3014</v>
      </c>
    </row>
    <row r="3023" spans="1:1" ht="15.75" customHeight="1" x14ac:dyDescent="0.2">
      <c r="A3023" s="81">
        <v>3015</v>
      </c>
    </row>
    <row r="3024" spans="1:1" ht="15.75" customHeight="1" x14ac:dyDescent="0.2">
      <c r="A3024" s="82">
        <v>3016</v>
      </c>
    </row>
    <row r="3025" spans="1:1" ht="15.75" customHeight="1" x14ac:dyDescent="0.2">
      <c r="A3025" s="81">
        <v>3017</v>
      </c>
    </row>
    <row r="3026" spans="1:1" ht="15.75" customHeight="1" x14ac:dyDescent="0.2">
      <c r="A3026" s="82">
        <v>3018</v>
      </c>
    </row>
    <row r="3027" spans="1:1" ht="15.75" customHeight="1" x14ac:dyDescent="0.2">
      <c r="A3027" s="81">
        <v>3019</v>
      </c>
    </row>
    <row r="3028" spans="1:1" ht="15.75" customHeight="1" x14ac:dyDescent="0.2">
      <c r="A3028" s="82">
        <v>3020</v>
      </c>
    </row>
    <row r="3029" spans="1:1" ht="15.75" customHeight="1" x14ac:dyDescent="0.2">
      <c r="A3029" s="81">
        <v>3021</v>
      </c>
    </row>
    <row r="3030" spans="1:1" ht="15.75" customHeight="1" x14ac:dyDescent="0.2">
      <c r="A3030" s="82">
        <v>3022</v>
      </c>
    </row>
    <row r="3031" spans="1:1" ht="15.75" customHeight="1" x14ac:dyDescent="0.2">
      <c r="A3031" s="81">
        <v>3023</v>
      </c>
    </row>
    <row r="3032" spans="1:1" ht="15.75" customHeight="1" x14ac:dyDescent="0.2">
      <c r="A3032" s="82">
        <v>3024</v>
      </c>
    </row>
    <row r="3033" spans="1:1" ht="15.75" customHeight="1" x14ac:dyDescent="0.2">
      <c r="A3033" s="81">
        <v>3025</v>
      </c>
    </row>
    <row r="3034" spans="1:1" ht="15.75" customHeight="1" x14ac:dyDescent="0.2">
      <c r="A3034" s="82">
        <v>3026</v>
      </c>
    </row>
    <row r="3035" spans="1:1" ht="15.75" customHeight="1" x14ac:dyDescent="0.2">
      <c r="A3035" s="81">
        <v>3027</v>
      </c>
    </row>
    <row r="3036" spans="1:1" ht="15.75" customHeight="1" x14ac:dyDescent="0.2">
      <c r="A3036" s="82">
        <v>3028</v>
      </c>
    </row>
    <row r="3037" spans="1:1" ht="15.75" customHeight="1" x14ac:dyDescent="0.2">
      <c r="A3037" s="81">
        <v>3029</v>
      </c>
    </row>
    <row r="3038" spans="1:1" ht="15.75" customHeight="1" x14ac:dyDescent="0.2">
      <c r="A3038" s="82">
        <v>3030</v>
      </c>
    </row>
    <row r="3039" spans="1:1" ht="15.75" customHeight="1" x14ac:dyDescent="0.2">
      <c r="A3039" s="81">
        <v>3031</v>
      </c>
    </row>
    <row r="3040" spans="1:1" ht="15.75" customHeight="1" x14ac:dyDescent="0.2">
      <c r="A3040" s="82">
        <v>3032</v>
      </c>
    </row>
    <row r="3041" spans="1:1" ht="15.75" customHeight="1" x14ac:dyDescent="0.2">
      <c r="A3041" s="81">
        <v>3033</v>
      </c>
    </row>
    <row r="3042" spans="1:1" ht="15.75" customHeight="1" x14ac:dyDescent="0.2">
      <c r="A3042" s="82">
        <v>3034</v>
      </c>
    </row>
    <row r="3043" spans="1:1" ht="15.75" customHeight="1" x14ac:dyDescent="0.2">
      <c r="A3043" s="81">
        <v>3035</v>
      </c>
    </row>
    <row r="3044" spans="1:1" ht="15.75" customHeight="1" x14ac:dyDescent="0.2">
      <c r="A3044" s="82">
        <v>3036</v>
      </c>
    </row>
    <row r="3045" spans="1:1" ht="15.75" customHeight="1" x14ac:dyDescent="0.2">
      <c r="A3045" s="81">
        <v>3037</v>
      </c>
    </row>
    <row r="3046" spans="1:1" ht="15.75" customHeight="1" x14ac:dyDescent="0.2">
      <c r="A3046" s="82">
        <v>3038</v>
      </c>
    </row>
    <row r="3047" spans="1:1" ht="15.75" customHeight="1" x14ac:dyDescent="0.2">
      <c r="A3047" s="81">
        <v>3039</v>
      </c>
    </row>
    <row r="3048" spans="1:1" ht="15.75" customHeight="1" x14ac:dyDescent="0.2">
      <c r="A3048" s="82">
        <v>3040</v>
      </c>
    </row>
    <row r="3049" spans="1:1" ht="15.75" customHeight="1" x14ac:dyDescent="0.2">
      <c r="A3049" s="81">
        <v>3041</v>
      </c>
    </row>
    <row r="3050" spans="1:1" ht="15.75" customHeight="1" x14ac:dyDescent="0.2">
      <c r="A3050" s="82">
        <v>3042</v>
      </c>
    </row>
    <row r="3051" spans="1:1" ht="15.75" customHeight="1" x14ac:dyDescent="0.2">
      <c r="A3051" s="81">
        <v>3043</v>
      </c>
    </row>
    <row r="3052" spans="1:1" ht="15.75" customHeight="1" x14ac:dyDescent="0.2">
      <c r="A3052" s="82">
        <v>3044</v>
      </c>
    </row>
    <row r="3053" spans="1:1" ht="15.75" customHeight="1" x14ac:dyDescent="0.2">
      <c r="A3053" s="81">
        <v>3045</v>
      </c>
    </row>
    <row r="3054" spans="1:1" ht="15.75" customHeight="1" x14ac:dyDescent="0.2">
      <c r="A3054" s="82">
        <v>3046</v>
      </c>
    </row>
    <row r="3055" spans="1:1" ht="15.75" customHeight="1" x14ac:dyDescent="0.2">
      <c r="A3055" s="81">
        <v>3047</v>
      </c>
    </row>
    <row r="3056" spans="1:1" ht="15.75" customHeight="1" x14ac:dyDescent="0.2">
      <c r="A3056" s="82">
        <v>3048</v>
      </c>
    </row>
    <row r="3057" spans="1:1" ht="15.75" customHeight="1" x14ac:dyDescent="0.2">
      <c r="A3057" s="81">
        <v>3049</v>
      </c>
    </row>
    <row r="3058" spans="1:1" ht="15.75" customHeight="1" x14ac:dyDescent="0.2">
      <c r="A3058" s="82">
        <v>3050</v>
      </c>
    </row>
    <row r="3059" spans="1:1" ht="15.75" customHeight="1" x14ac:dyDescent="0.2">
      <c r="A3059" s="81">
        <v>3051</v>
      </c>
    </row>
    <row r="3060" spans="1:1" ht="15.75" customHeight="1" x14ac:dyDescent="0.2">
      <c r="A3060" s="82">
        <v>3052</v>
      </c>
    </row>
    <row r="3061" spans="1:1" ht="15.75" customHeight="1" x14ac:dyDescent="0.2">
      <c r="A3061" s="81">
        <v>3053</v>
      </c>
    </row>
    <row r="3062" spans="1:1" ht="15.75" customHeight="1" x14ac:dyDescent="0.2">
      <c r="A3062" s="82">
        <v>3054</v>
      </c>
    </row>
    <row r="3063" spans="1:1" ht="15.75" customHeight="1" x14ac:dyDescent="0.2">
      <c r="A3063" s="81">
        <v>3055</v>
      </c>
    </row>
    <row r="3064" spans="1:1" ht="15.75" customHeight="1" x14ac:dyDescent="0.2">
      <c r="A3064" s="82">
        <v>3056</v>
      </c>
    </row>
    <row r="3065" spans="1:1" ht="15.75" customHeight="1" x14ac:dyDescent="0.2">
      <c r="A3065" s="81">
        <v>3057</v>
      </c>
    </row>
    <row r="3066" spans="1:1" ht="15.75" customHeight="1" x14ac:dyDescent="0.2">
      <c r="A3066" s="82">
        <v>3058</v>
      </c>
    </row>
    <row r="3067" spans="1:1" ht="15.75" customHeight="1" x14ac:dyDescent="0.2">
      <c r="A3067" s="81">
        <v>3059</v>
      </c>
    </row>
    <row r="3068" spans="1:1" ht="15.75" customHeight="1" x14ac:dyDescent="0.2">
      <c r="A3068" s="82">
        <v>3060</v>
      </c>
    </row>
    <row r="3069" spans="1:1" ht="15.75" customHeight="1" x14ac:dyDescent="0.2">
      <c r="A3069" s="81">
        <v>3061</v>
      </c>
    </row>
    <row r="3070" spans="1:1" ht="15.75" customHeight="1" x14ac:dyDescent="0.2">
      <c r="A3070" s="82">
        <v>3062</v>
      </c>
    </row>
    <row r="3071" spans="1:1" ht="15.75" customHeight="1" x14ac:dyDescent="0.2">
      <c r="A3071" s="81">
        <v>3063</v>
      </c>
    </row>
    <row r="3072" spans="1:1" ht="15.75" customHeight="1" x14ac:dyDescent="0.2">
      <c r="A3072" s="82">
        <v>3064</v>
      </c>
    </row>
    <row r="3073" spans="1:1" ht="15.75" customHeight="1" x14ac:dyDescent="0.2">
      <c r="A3073" s="81">
        <v>3065</v>
      </c>
    </row>
    <row r="3074" spans="1:1" ht="15.75" customHeight="1" x14ac:dyDescent="0.2">
      <c r="A3074" s="82">
        <v>3066</v>
      </c>
    </row>
    <row r="3075" spans="1:1" ht="15.75" customHeight="1" x14ac:dyDescent="0.2">
      <c r="A3075" s="81">
        <v>3067</v>
      </c>
    </row>
    <row r="3076" spans="1:1" ht="15.75" customHeight="1" x14ac:dyDescent="0.2">
      <c r="A3076" s="82">
        <v>3068</v>
      </c>
    </row>
    <row r="3077" spans="1:1" ht="15.75" customHeight="1" x14ac:dyDescent="0.2">
      <c r="A3077" s="81">
        <v>3069</v>
      </c>
    </row>
    <row r="3078" spans="1:1" ht="15.75" customHeight="1" x14ac:dyDescent="0.2">
      <c r="A3078" s="82">
        <v>3070</v>
      </c>
    </row>
    <row r="3079" spans="1:1" ht="15.75" customHeight="1" x14ac:dyDescent="0.2">
      <c r="A3079" s="81">
        <v>3071</v>
      </c>
    </row>
    <row r="3080" spans="1:1" ht="15.75" customHeight="1" x14ac:dyDescent="0.2">
      <c r="A3080" s="82">
        <v>3072</v>
      </c>
    </row>
    <row r="3081" spans="1:1" ht="15.75" customHeight="1" x14ac:dyDescent="0.2">
      <c r="A3081" s="81">
        <v>3073</v>
      </c>
    </row>
    <row r="3082" spans="1:1" ht="15.75" customHeight="1" x14ac:dyDescent="0.2">
      <c r="A3082" s="82">
        <v>3074</v>
      </c>
    </row>
    <row r="3083" spans="1:1" ht="15.75" customHeight="1" x14ac:dyDescent="0.2">
      <c r="A3083" s="81">
        <v>3075</v>
      </c>
    </row>
    <row r="3084" spans="1:1" ht="15.75" customHeight="1" x14ac:dyDescent="0.2">
      <c r="A3084" s="82">
        <v>3076</v>
      </c>
    </row>
    <row r="3085" spans="1:1" ht="15.75" customHeight="1" x14ac:dyDescent="0.2">
      <c r="A3085" s="81">
        <v>3077</v>
      </c>
    </row>
    <row r="3086" spans="1:1" ht="15.75" customHeight="1" x14ac:dyDescent="0.2">
      <c r="A3086" s="82">
        <v>3078</v>
      </c>
    </row>
    <row r="3087" spans="1:1" ht="15.75" customHeight="1" x14ac:dyDescent="0.2">
      <c r="A3087" s="81">
        <v>3079</v>
      </c>
    </row>
    <row r="3088" spans="1:1" ht="15.75" customHeight="1" x14ac:dyDescent="0.2">
      <c r="A3088" s="82">
        <v>3080</v>
      </c>
    </row>
    <row r="3089" spans="1:1" ht="15.75" customHeight="1" x14ac:dyDescent="0.2">
      <c r="A3089" s="81">
        <v>3081</v>
      </c>
    </row>
    <row r="3090" spans="1:1" ht="15.75" customHeight="1" x14ac:dyDescent="0.2">
      <c r="A3090" s="82">
        <v>3082</v>
      </c>
    </row>
    <row r="3091" spans="1:1" ht="15.75" customHeight="1" x14ac:dyDescent="0.2">
      <c r="A3091" s="81">
        <v>3083</v>
      </c>
    </row>
    <row r="3092" spans="1:1" ht="15.75" customHeight="1" x14ac:dyDescent="0.2">
      <c r="A3092" s="82">
        <v>3084</v>
      </c>
    </row>
    <row r="3093" spans="1:1" ht="15.75" customHeight="1" x14ac:dyDescent="0.2">
      <c r="A3093" s="81">
        <v>3085</v>
      </c>
    </row>
    <row r="3094" spans="1:1" ht="15.75" customHeight="1" x14ac:dyDescent="0.2">
      <c r="A3094" s="82">
        <v>3086</v>
      </c>
    </row>
    <row r="3095" spans="1:1" ht="15.75" customHeight="1" x14ac:dyDescent="0.2">
      <c r="A3095" s="81">
        <v>3087</v>
      </c>
    </row>
    <row r="3096" spans="1:1" ht="15.75" customHeight="1" x14ac:dyDescent="0.2">
      <c r="A3096" s="82">
        <v>3088</v>
      </c>
    </row>
    <row r="3097" spans="1:1" ht="15.75" customHeight="1" x14ac:dyDescent="0.2">
      <c r="A3097" s="81">
        <v>3089</v>
      </c>
    </row>
    <row r="3098" spans="1:1" ht="15.75" customHeight="1" x14ac:dyDescent="0.2">
      <c r="A3098" s="82">
        <v>3090</v>
      </c>
    </row>
    <row r="3099" spans="1:1" ht="15.75" customHeight="1" x14ac:dyDescent="0.2">
      <c r="A3099" s="81">
        <v>3091</v>
      </c>
    </row>
    <row r="3100" spans="1:1" ht="15.75" customHeight="1" x14ac:dyDescent="0.2">
      <c r="A3100" s="82">
        <v>3092</v>
      </c>
    </row>
    <row r="3101" spans="1:1" ht="15.75" customHeight="1" x14ac:dyDescent="0.2">
      <c r="A3101" s="81">
        <v>3093</v>
      </c>
    </row>
    <row r="3102" spans="1:1" ht="15.75" customHeight="1" x14ac:dyDescent="0.2">
      <c r="A3102" s="82">
        <v>3094</v>
      </c>
    </row>
    <row r="3103" spans="1:1" ht="15.75" customHeight="1" x14ac:dyDescent="0.2">
      <c r="A3103" s="81">
        <v>3095</v>
      </c>
    </row>
    <row r="3104" spans="1:1" ht="15.75" customHeight="1" x14ac:dyDescent="0.2">
      <c r="A3104" s="82">
        <v>3096</v>
      </c>
    </row>
    <row r="3105" spans="1:1" ht="15.75" customHeight="1" x14ac:dyDescent="0.2">
      <c r="A3105" s="81">
        <v>3097</v>
      </c>
    </row>
    <row r="3106" spans="1:1" ht="15.75" customHeight="1" x14ac:dyDescent="0.2">
      <c r="A3106" s="82">
        <v>3098</v>
      </c>
    </row>
    <row r="3107" spans="1:1" ht="15.75" customHeight="1" x14ac:dyDescent="0.2">
      <c r="A3107" s="81">
        <v>3099</v>
      </c>
    </row>
    <row r="3108" spans="1:1" ht="15.75" customHeight="1" x14ac:dyDescent="0.2">
      <c r="A3108" s="82">
        <v>3100</v>
      </c>
    </row>
    <row r="3109" spans="1:1" ht="15.75" customHeight="1" x14ac:dyDescent="0.2">
      <c r="A3109" s="81">
        <v>3101</v>
      </c>
    </row>
    <row r="3110" spans="1:1" ht="15.75" customHeight="1" x14ac:dyDescent="0.2">
      <c r="A3110" s="82">
        <v>3102</v>
      </c>
    </row>
    <row r="3111" spans="1:1" ht="15.75" customHeight="1" x14ac:dyDescent="0.2">
      <c r="A3111" s="81">
        <v>3103</v>
      </c>
    </row>
    <row r="3112" spans="1:1" ht="15.75" customHeight="1" x14ac:dyDescent="0.2">
      <c r="A3112" s="82">
        <v>3104</v>
      </c>
    </row>
    <row r="3113" spans="1:1" ht="15.75" customHeight="1" x14ac:dyDescent="0.2">
      <c r="A3113" s="81">
        <v>3105</v>
      </c>
    </row>
    <row r="3114" spans="1:1" ht="15.75" customHeight="1" x14ac:dyDescent="0.2">
      <c r="A3114" s="82">
        <v>3106</v>
      </c>
    </row>
    <row r="3115" spans="1:1" ht="15.75" customHeight="1" x14ac:dyDescent="0.2">
      <c r="A3115" s="81">
        <v>3107</v>
      </c>
    </row>
    <row r="3116" spans="1:1" ht="15.75" customHeight="1" x14ac:dyDescent="0.2">
      <c r="A3116" s="82">
        <v>3108</v>
      </c>
    </row>
    <row r="3117" spans="1:1" ht="15.75" customHeight="1" x14ac:dyDescent="0.2">
      <c r="A3117" s="81">
        <v>3109</v>
      </c>
    </row>
    <row r="3118" spans="1:1" ht="15.75" customHeight="1" x14ac:dyDescent="0.2">
      <c r="A3118" s="82">
        <v>3110</v>
      </c>
    </row>
    <row r="3119" spans="1:1" ht="15.75" customHeight="1" x14ac:dyDescent="0.2">
      <c r="A3119" s="81">
        <v>3111</v>
      </c>
    </row>
    <row r="3120" spans="1:1" ht="15.75" customHeight="1" x14ac:dyDescent="0.2">
      <c r="A3120" s="82">
        <v>3112</v>
      </c>
    </row>
    <row r="3121" spans="1:1" ht="15.75" customHeight="1" x14ac:dyDescent="0.2">
      <c r="A3121" s="81">
        <v>3113</v>
      </c>
    </row>
    <row r="3122" spans="1:1" ht="15.75" customHeight="1" x14ac:dyDescent="0.2">
      <c r="A3122" s="82">
        <v>3114</v>
      </c>
    </row>
    <row r="3123" spans="1:1" ht="15.75" customHeight="1" x14ac:dyDescent="0.2">
      <c r="A3123" s="81">
        <v>3115</v>
      </c>
    </row>
    <row r="3124" spans="1:1" ht="15.75" customHeight="1" x14ac:dyDescent="0.2">
      <c r="A3124" s="82">
        <v>3116</v>
      </c>
    </row>
    <row r="3125" spans="1:1" ht="15.75" customHeight="1" x14ac:dyDescent="0.2">
      <c r="A3125" s="81">
        <v>3117</v>
      </c>
    </row>
    <row r="3126" spans="1:1" ht="15.75" customHeight="1" x14ac:dyDescent="0.2">
      <c r="A3126" s="82">
        <v>3118</v>
      </c>
    </row>
    <row r="3127" spans="1:1" ht="15.75" customHeight="1" x14ac:dyDescent="0.2">
      <c r="A3127" s="81">
        <v>3119</v>
      </c>
    </row>
    <row r="3128" spans="1:1" ht="15.75" customHeight="1" x14ac:dyDescent="0.2">
      <c r="A3128" s="82">
        <v>3120</v>
      </c>
    </row>
    <row r="3129" spans="1:1" ht="15.75" customHeight="1" x14ac:dyDescent="0.2">
      <c r="A3129" s="81">
        <v>3121</v>
      </c>
    </row>
    <row r="3130" spans="1:1" ht="15.75" customHeight="1" x14ac:dyDescent="0.2">
      <c r="A3130" s="82">
        <v>3122</v>
      </c>
    </row>
    <row r="3131" spans="1:1" ht="15.75" customHeight="1" x14ac:dyDescent="0.2">
      <c r="A3131" s="81">
        <v>3123</v>
      </c>
    </row>
    <row r="3132" spans="1:1" ht="15.75" customHeight="1" x14ac:dyDescent="0.2">
      <c r="A3132" s="82">
        <v>3124</v>
      </c>
    </row>
    <row r="3133" spans="1:1" ht="15.75" customHeight="1" x14ac:dyDescent="0.2">
      <c r="A3133" s="81">
        <v>3125</v>
      </c>
    </row>
    <row r="3134" spans="1:1" ht="15.75" customHeight="1" x14ac:dyDescent="0.2">
      <c r="A3134" s="82">
        <v>3126</v>
      </c>
    </row>
    <row r="3135" spans="1:1" ht="15.75" customHeight="1" x14ac:dyDescent="0.2">
      <c r="A3135" s="81">
        <v>3127</v>
      </c>
    </row>
    <row r="3136" spans="1:1" ht="15.75" customHeight="1" x14ac:dyDescent="0.2">
      <c r="A3136" s="82">
        <v>3128</v>
      </c>
    </row>
    <row r="3137" spans="1:1" ht="15.75" customHeight="1" x14ac:dyDescent="0.2">
      <c r="A3137" s="81">
        <v>3129</v>
      </c>
    </row>
    <row r="3138" spans="1:1" ht="15.75" customHeight="1" x14ac:dyDescent="0.2">
      <c r="A3138" s="82">
        <v>3130</v>
      </c>
    </row>
    <row r="3139" spans="1:1" ht="15.75" customHeight="1" x14ac:dyDescent="0.2">
      <c r="A3139" s="81">
        <v>3131</v>
      </c>
    </row>
    <row r="3140" spans="1:1" ht="15.75" customHeight="1" x14ac:dyDescent="0.2">
      <c r="A3140" s="82">
        <v>3132</v>
      </c>
    </row>
    <row r="3141" spans="1:1" ht="15.75" customHeight="1" x14ac:dyDescent="0.2">
      <c r="A3141" s="81">
        <v>3133</v>
      </c>
    </row>
    <row r="3142" spans="1:1" ht="15.75" customHeight="1" x14ac:dyDescent="0.2">
      <c r="A3142" s="82">
        <v>3134</v>
      </c>
    </row>
    <row r="3143" spans="1:1" ht="15.75" customHeight="1" x14ac:dyDescent="0.2">
      <c r="A3143" s="81">
        <v>3135</v>
      </c>
    </row>
    <row r="3144" spans="1:1" ht="15.75" customHeight="1" x14ac:dyDescent="0.2">
      <c r="A3144" s="82">
        <v>3136</v>
      </c>
    </row>
    <row r="3145" spans="1:1" ht="15.75" customHeight="1" x14ac:dyDescent="0.2">
      <c r="A3145" s="81">
        <v>3137</v>
      </c>
    </row>
    <row r="3146" spans="1:1" ht="15.75" customHeight="1" x14ac:dyDescent="0.2">
      <c r="A3146" s="82">
        <v>3138</v>
      </c>
    </row>
    <row r="3147" spans="1:1" ht="15.75" customHeight="1" x14ac:dyDescent="0.2">
      <c r="A3147" s="81">
        <v>3139</v>
      </c>
    </row>
    <row r="3148" spans="1:1" ht="15.75" customHeight="1" x14ac:dyDescent="0.2">
      <c r="A3148" s="82">
        <v>3140</v>
      </c>
    </row>
    <row r="3149" spans="1:1" ht="15.75" customHeight="1" x14ac:dyDescent="0.2">
      <c r="A3149" s="81">
        <v>3141</v>
      </c>
    </row>
    <row r="3150" spans="1:1" ht="15.75" customHeight="1" x14ac:dyDescent="0.2">
      <c r="A3150" s="82">
        <v>3142</v>
      </c>
    </row>
    <row r="3151" spans="1:1" ht="15.75" customHeight="1" x14ac:dyDescent="0.2">
      <c r="A3151" s="81">
        <v>3143</v>
      </c>
    </row>
    <row r="3152" spans="1:1" ht="15.75" customHeight="1" x14ac:dyDescent="0.2">
      <c r="A3152" s="82">
        <v>3144</v>
      </c>
    </row>
    <row r="3153" spans="1:1" ht="15.75" customHeight="1" x14ac:dyDescent="0.2">
      <c r="A3153" s="81">
        <v>3145</v>
      </c>
    </row>
    <row r="3154" spans="1:1" ht="15.75" customHeight="1" x14ac:dyDescent="0.2">
      <c r="A3154" s="82">
        <v>3146</v>
      </c>
    </row>
    <row r="3155" spans="1:1" ht="15.75" customHeight="1" x14ac:dyDescent="0.2">
      <c r="A3155" s="81">
        <v>3147</v>
      </c>
    </row>
    <row r="3156" spans="1:1" ht="15.75" customHeight="1" x14ac:dyDescent="0.2">
      <c r="A3156" s="82">
        <v>3148</v>
      </c>
    </row>
    <row r="3157" spans="1:1" ht="15.75" customHeight="1" x14ac:dyDescent="0.2">
      <c r="A3157" s="81">
        <v>3149</v>
      </c>
    </row>
    <row r="3158" spans="1:1" ht="15.75" customHeight="1" x14ac:dyDescent="0.2">
      <c r="A3158" s="82">
        <v>3150</v>
      </c>
    </row>
    <row r="3159" spans="1:1" ht="15.75" customHeight="1" x14ac:dyDescent="0.2">
      <c r="A3159" s="81">
        <v>3151</v>
      </c>
    </row>
    <row r="3160" spans="1:1" ht="15.75" customHeight="1" x14ac:dyDescent="0.2">
      <c r="A3160" s="82">
        <v>3152</v>
      </c>
    </row>
    <row r="3161" spans="1:1" ht="15.75" customHeight="1" x14ac:dyDescent="0.2">
      <c r="A3161" s="81">
        <v>3153</v>
      </c>
    </row>
    <row r="3162" spans="1:1" ht="15.75" customHeight="1" x14ac:dyDescent="0.2">
      <c r="A3162" s="82">
        <v>3154</v>
      </c>
    </row>
    <row r="3163" spans="1:1" ht="15.75" customHeight="1" x14ac:dyDescent="0.2">
      <c r="A3163" s="81">
        <v>3155</v>
      </c>
    </row>
    <row r="3164" spans="1:1" ht="15.75" customHeight="1" x14ac:dyDescent="0.2">
      <c r="A3164" s="82">
        <v>3156</v>
      </c>
    </row>
    <row r="3165" spans="1:1" ht="15.75" customHeight="1" x14ac:dyDescent="0.2">
      <c r="A3165" s="81">
        <v>3157</v>
      </c>
    </row>
    <row r="3166" spans="1:1" ht="15.75" customHeight="1" x14ac:dyDescent="0.2">
      <c r="A3166" s="82">
        <v>3158</v>
      </c>
    </row>
    <row r="3167" spans="1:1" ht="15.75" customHeight="1" x14ac:dyDescent="0.2">
      <c r="A3167" s="81">
        <v>3159</v>
      </c>
    </row>
    <row r="3168" spans="1:1" ht="15.75" customHeight="1" x14ac:dyDescent="0.2">
      <c r="A3168" s="82">
        <v>3160</v>
      </c>
    </row>
    <row r="3169" spans="1:1" ht="15.75" customHeight="1" x14ac:dyDescent="0.2">
      <c r="A3169" s="81">
        <v>3161</v>
      </c>
    </row>
    <row r="3170" spans="1:1" ht="15.75" customHeight="1" x14ac:dyDescent="0.2">
      <c r="A3170" s="82">
        <v>3162</v>
      </c>
    </row>
    <row r="3171" spans="1:1" ht="15.75" customHeight="1" x14ac:dyDescent="0.2">
      <c r="A3171" s="81">
        <v>3163</v>
      </c>
    </row>
    <row r="3172" spans="1:1" ht="15.75" customHeight="1" x14ac:dyDescent="0.2">
      <c r="A3172" s="82">
        <v>3164</v>
      </c>
    </row>
    <row r="3173" spans="1:1" ht="15.75" customHeight="1" x14ac:dyDescent="0.2">
      <c r="A3173" s="81">
        <v>3165</v>
      </c>
    </row>
    <row r="3174" spans="1:1" ht="15.75" customHeight="1" x14ac:dyDescent="0.2">
      <c r="A3174" s="82">
        <v>3166</v>
      </c>
    </row>
    <row r="3175" spans="1:1" ht="15.75" customHeight="1" x14ac:dyDescent="0.2">
      <c r="A3175" s="81">
        <v>3167</v>
      </c>
    </row>
    <row r="3176" spans="1:1" ht="15.75" customHeight="1" x14ac:dyDescent="0.2">
      <c r="A3176" s="82">
        <v>3168</v>
      </c>
    </row>
    <row r="3177" spans="1:1" ht="15.75" customHeight="1" x14ac:dyDescent="0.2">
      <c r="A3177" s="81">
        <v>3169</v>
      </c>
    </row>
    <row r="3178" spans="1:1" ht="15.75" customHeight="1" x14ac:dyDescent="0.2">
      <c r="A3178" s="82">
        <v>3170</v>
      </c>
    </row>
    <row r="3179" spans="1:1" ht="15.75" customHeight="1" x14ac:dyDescent="0.2">
      <c r="A3179" s="81">
        <v>3171</v>
      </c>
    </row>
    <row r="3180" spans="1:1" ht="15.75" customHeight="1" x14ac:dyDescent="0.2">
      <c r="A3180" s="82">
        <v>3172</v>
      </c>
    </row>
    <row r="3181" spans="1:1" ht="15.75" customHeight="1" x14ac:dyDescent="0.2">
      <c r="A3181" s="81">
        <v>3173</v>
      </c>
    </row>
    <row r="3182" spans="1:1" ht="15.75" customHeight="1" x14ac:dyDescent="0.2">
      <c r="A3182" s="82">
        <v>3174</v>
      </c>
    </row>
    <row r="3183" spans="1:1" ht="15.75" customHeight="1" x14ac:dyDescent="0.2">
      <c r="A3183" s="81">
        <v>3175</v>
      </c>
    </row>
    <row r="3184" spans="1:1" ht="15.75" customHeight="1" x14ac:dyDescent="0.2">
      <c r="A3184" s="82">
        <v>3176</v>
      </c>
    </row>
    <row r="3185" spans="1:1" ht="15.75" customHeight="1" x14ac:dyDescent="0.2">
      <c r="A3185" s="81">
        <v>3177</v>
      </c>
    </row>
    <row r="3186" spans="1:1" ht="15.75" customHeight="1" x14ac:dyDescent="0.2">
      <c r="A3186" s="82">
        <v>3178</v>
      </c>
    </row>
    <row r="3187" spans="1:1" ht="15.75" customHeight="1" x14ac:dyDescent="0.2">
      <c r="A3187" s="81">
        <v>3179</v>
      </c>
    </row>
    <row r="3188" spans="1:1" ht="15.75" customHeight="1" x14ac:dyDescent="0.2">
      <c r="A3188" s="82">
        <v>3180</v>
      </c>
    </row>
    <row r="3189" spans="1:1" ht="15.75" customHeight="1" x14ac:dyDescent="0.2">
      <c r="A3189" s="81">
        <v>3181</v>
      </c>
    </row>
    <row r="3190" spans="1:1" ht="15.75" customHeight="1" x14ac:dyDescent="0.2">
      <c r="A3190" s="82">
        <v>3182</v>
      </c>
    </row>
    <row r="3191" spans="1:1" ht="15.75" customHeight="1" x14ac:dyDescent="0.2">
      <c r="A3191" s="81">
        <v>3183</v>
      </c>
    </row>
    <row r="3192" spans="1:1" ht="15.75" customHeight="1" x14ac:dyDescent="0.2">
      <c r="A3192" s="82">
        <v>3184</v>
      </c>
    </row>
    <row r="3193" spans="1:1" ht="15.75" customHeight="1" x14ac:dyDescent="0.2">
      <c r="A3193" s="81">
        <v>3185</v>
      </c>
    </row>
    <row r="3194" spans="1:1" ht="15.75" customHeight="1" x14ac:dyDescent="0.2">
      <c r="A3194" s="82">
        <v>3186</v>
      </c>
    </row>
    <row r="3195" spans="1:1" ht="15.75" customHeight="1" x14ac:dyDescent="0.2">
      <c r="A3195" s="81">
        <v>3187</v>
      </c>
    </row>
    <row r="3196" spans="1:1" ht="15.75" customHeight="1" x14ac:dyDescent="0.2">
      <c r="A3196" s="82">
        <v>3188</v>
      </c>
    </row>
    <row r="3197" spans="1:1" ht="15.75" customHeight="1" x14ac:dyDescent="0.2">
      <c r="A3197" s="81">
        <v>3189</v>
      </c>
    </row>
    <row r="3198" spans="1:1" ht="15.75" customHeight="1" x14ac:dyDescent="0.2">
      <c r="A3198" s="82">
        <v>3190</v>
      </c>
    </row>
    <row r="3199" spans="1:1" ht="15.75" customHeight="1" x14ac:dyDescent="0.2">
      <c r="A3199" s="81">
        <v>3191</v>
      </c>
    </row>
    <row r="3200" spans="1:1" ht="15.75" customHeight="1" x14ac:dyDescent="0.2">
      <c r="A3200" s="82">
        <v>3192</v>
      </c>
    </row>
    <row r="3201" spans="1:1" ht="15.75" customHeight="1" x14ac:dyDescent="0.2">
      <c r="A3201" s="81">
        <v>3193</v>
      </c>
    </row>
    <row r="3202" spans="1:1" ht="15.75" customHeight="1" x14ac:dyDescent="0.2">
      <c r="A3202" s="82">
        <v>3194</v>
      </c>
    </row>
    <row r="3203" spans="1:1" ht="15.75" customHeight="1" x14ac:dyDescent="0.2">
      <c r="A3203" s="81">
        <v>3195</v>
      </c>
    </row>
    <row r="3204" spans="1:1" ht="15.75" customHeight="1" x14ac:dyDescent="0.2">
      <c r="A3204" s="82">
        <v>3196</v>
      </c>
    </row>
    <row r="3205" spans="1:1" ht="15.75" customHeight="1" x14ac:dyDescent="0.2">
      <c r="A3205" s="81">
        <v>3197</v>
      </c>
    </row>
    <row r="3206" spans="1:1" ht="15.75" customHeight="1" x14ac:dyDescent="0.2">
      <c r="A3206" s="82">
        <v>3198</v>
      </c>
    </row>
    <row r="3207" spans="1:1" ht="15.75" customHeight="1" x14ac:dyDescent="0.2">
      <c r="A3207" s="81">
        <v>3199</v>
      </c>
    </row>
    <row r="3208" spans="1:1" ht="15.75" customHeight="1" x14ac:dyDescent="0.2">
      <c r="A3208" s="82">
        <v>3200</v>
      </c>
    </row>
    <row r="3209" spans="1:1" ht="15.75" customHeight="1" x14ac:dyDescent="0.2">
      <c r="A3209" s="81">
        <v>3201</v>
      </c>
    </row>
    <row r="3210" spans="1:1" ht="15.75" customHeight="1" x14ac:dyDescent="0.2">
      <c r="A3210" s="82">
        <v>3202</v>
      </c>
    </row>
    <row r="3211" spans="1:1" ht="15.75" customHeight="1" x14ac:dyDescent="0.2">
      <c r="A3211" s="81">
        <v>3203</v>
      </c>
    </row>
    <row r="3212" spans="1:1" ht="15.75" customHeight="1" x14ac:dyDescent="0.2">
      <c r="A3212" s="82">
        <v>3204</v>
      </c>
    </row>
    <row r="3213" spans="1:1" ht="15.75" customHeight="1" x14ac:dyDescent="0.2">
      <c r="A3213" s="81">
        <v>3205</v>
      </c>
    </row>
    <row r="3214" spans="1:1" ht="15.75" customHeight="1" x14ac:dyDescent="0.2">
      <c r="A3214" s="82">
        <v>3206</v>
      </c>
    </row>
    <row r="3215" spans="1:1" ht="15.75" customHeight="1" x14ac:dyDescent="0.2">
      <c r="A3215" s="81">
        <v>3207</v>
      </c>
    </row>
    <row r="3216" spans="1:1" ht="15.75" customHeight="1" x14ac:dyDescent="0.2">
      <c r="A3216" s="82">
        <v>3208</v>
      </c>
    </row>
    <row r="3217" spans="1:1" ht="15.75" customHeight="1" x14ac:dyDescent="0.2">
      <c r="A3217" s="81">
        <v>3209</v>
      </c>
    </row>
    <row r="3218" spans="1:1" ht="15.75" customHeight="1" x14ac:dyDescent="0.2">
      <c r="A3218" s="82">
        <v>3210</v>
      </c>
    </row>
    <row r="3219" spans="1:1" ht="15.75" customHeight="1" x14ac:dyDescent="0.2">
      <c r="A3219" s="81">
        <v>3211</v>
      </c>
    </row>
    <row r="3220" spans="1:1" ht="15.75" customHeight="1" x14ac:dyDescent="0.2">
      <c r="A3220" s="82">
        <v>3212</v>
      </c>
    </row>
    <row r="3221" spans="1:1" ht="15.75" customHeight="1" x14ac:dyDescent="0.2">
      <c r="A3221" s="81">
        <v>3213</v>
      </c>
    </row>
    <row r="3222" spans="1:1" ht="15.75" customHeight="1" x14ac:dyDescent="0.2">
      <c r="A3222" s="82">
        <v>3214</v>
      </c>
    </row>
    <row r="3223" spans="1:1" ht="15.75" customHeight="1" x14ac:dyDescent="0.2">
      <c r="A3223" s="81">
        <v>3215</v>
      </c>
    </row>
    <row r="3224" spans="1:1" ht="15.75" customHeight="1" x14ac:dyDescent="0.2">
      <c r="A3224" s="82">
        <v>3216</v>
      </c>
    </row>
    <row r="3225" spans="1:1" ht="15.75" customHeight="1" x14ac:dyDescent="0.2">
      <c r="A3225" s="81">
        <v>3217</v>
      </c>
    </row>
    <row r="3226" spans="1:1" ht="15.75" customHeight="1" x14ac:dyDescent="0.2">
      <c r="A3226" s="82">
        <v>3218</v>
      </c>
    </row>
    <row r="3227" spans="1:1" ht="15.75" customHeight="1" x14ac:dyDescent="0.2">
      <c r="A3227" s="81">
        <v>3219</v>
      </c>
    </row>
    <row r="3228" spans="1:1" ht="15.75" customHeight="1" x14ac:dyDescent="0.2">
      <c r="A3228" s="82">
        <v>3220</v>
      </c>
    </row>
    <row r="3229" spans="1:1" ht="15.75" customHeight="1" x14ac:dyDescent="0.2">
      <c r="A3229" s="81">
        <v>3221</v>
      </c>
    </row>
    <row r="3230" spans="1:1" ht="15.75" customHeight="1" x14ac:dyDescent="0.2">
      <c r="A3230" s="82">
        <v>3222</v>
      </c>
    </row>
    <row r="3231" spans="1:1" ht="15.75" customHeight="1" x14ac:dyDescent="0.2">
      <c r="A3231" s="81">
        <v>3223</v>
      </c>
    </row>
    <row r="3232" spans="1:1" ht="15.75" customHeight="1" x14ac:dyDescent="0.2">
      <c r="A3232" s="82">
        <v>3224</v>
      </c>
    </row>
    <row r="3233" spans="1:1" ht="15.75" customHeight="1" x14ac:dyDescent="0.2">
      <c r="A3233" s="81">
        <v>3225</v>
      </c>
    </row>
    <row r="3234" spans="1:1" ht="15.75" customHeight="1" x14ac:dyDescent="0.2">
      <c r="A3234" s="82">
        <v>3226</v>
      </c>
    </row>
    <row r="3235" spans="1:1" ht="15.75" customHeight="1" x14ac:dyDescent="0.2">
      <c r="A3235" s="81">
        <v>3227</v>
      </c>
    </row>
    <row r="3236" spans="1:1" ht="15.75" customHeight="1" x14ac:dyDescent="0.2">
      <c r="A3236" s="82">
        <v>3228</v>
      </c>
    </row>
    <row r="3237" spans="1:1" ht="15.75" customHeight="1" x14ac:dyDescent="0.2">
      <c r="A3237" s="81">
        <v>3229</v>
      </c>
    </row>
    <row r="3238" spans="1:1" ht="15.75" customHeight="1" x14ac:dyDescent="0.2">
      <c r="A3238" s="82">
        <v>3230</v>
      </c>
    </row>
    <row r="3239" spans="1:1" ht="15.75" customHeight="1" x14ac:dyDescent="0.2">
      <c r="A3239" s="81">
        <v>3231</v>
      </c>
    </row>
    <row r="3240" spans="1:1" ht="15.75" customHeight="1" x14ac:dyDescent="0.2">
      <c r="A3240" s="82">
        <v>3232</v>
      </c>
    </row>
    <row r="3241" spans="1:1" ht="15.75" customHeight="1" x14ac:dyDescent="0.2">
      <c r="A3241" s="81">
        <v>3233</v>
      </c>
    </row>
    <row r="3242" spans="1:1" ht="15.75" customHeight="1" x14ac:dyDescent="0.2">
      <c r="A3242" s="82">
        <v>3234</v>
      </c>
    </row>
    <row r="3243" spans="1:1" ht="15.75" customHeight="1" x14ac:dyDescent="0.2">
      <c r="A3243" s="81">
        <v>3235</v>
      </c>
    </row>
    <row r="3244" spans="1:1" ht="15.75" customHeight="1" x14ac:dyDescent="0.2">
      <c r="A3244" s="82">
        <v>3236</v>
      </c>
    </row>
    <row r="3245" spans="1:1" ht="15.75" customHeight="1" x14ac:dyDescent="0.2">
      <c r="A3245" s="81">
        <v>3237</v>
      </c>
    </row>
    <row r="3246" spans="1:1" ht="15.75" customHeight="1" x14ac:dyDescent="0.2">
      <c r="A3246" s="82">
        <v>3238</v>
      </c>
    </row>
    <row r="3247" spans="1:1" ht="15.75" customHeight="1" x14ac:dyDescent="0.2">
      <c r="A3247" s="81">
        <v>3239</v>
      </c>
    </row>
    <row r="3248" spans="1:1" ht="15.75" customHeight="1" x14ac:dyDescent="0.2">
      <c r="A3248" s="82">
        <v>3240</v>
      </c>
    </row>
    <row r="3249" spans="1:1" ht="15.75" customHeight="1" x14ac:dyDescent="0.2">
      <c r="A3249" s="81">
        <v>3241</v>
      </c>
    </row>
    <row r="3250" spans="1:1" ht="15.75" customHeight="1" x14ac:dyDescent="0.2">
      <c r="A3250" s="82">
        <v>3242</v>
      </c>
    </row>
    <row r="3251" spans="1:1" ht="15.75" customHeight="1" x14ac:dyDescent="0.2">
      <c r="A3251" s="81">
        <v>3243</v>
      </c>
    </row>
    <row r="3252" spans="1:1" ht="15.75" customHeight="1" x14ac:dyDescent="0.2">
      <c r="A3252" s="82">
        <v>3244</v>
      </c>
    </row>
    <row r="3253" spans="1:1" ht="15.75" customHeight="1" x14ac:dyDescent="0.2">
      <c r="A3253" s="81">
        <v>3245</v>
      </c>
    </row>
    <row r="3254" spans="1:1" ht="15.75" customHeight="1" x14ac:dyDescent="0.2">
      <c r="A3254" s="82">
        <v>3246</v>
      </c>
    </row>
    <row r="3255" spans="1:1" ht="15.75" customHeight="1" x14ac:dyDescent="0.2">
      <c r="A3255" s="81">
        <v>3247</v>
      </c>
    </row>
    <row r="3256" spans="1:1" ht="15.75" customHeight="1" x14ac:dyDescent="0.2">
      <c r="A3256" s="82">
        <v>3248</v>
      </c>
    </row>
    <row r="3257" spans="1:1" ht="15.75" customHeight="1" x14ac:dyDescent="0.2">
      <c r="A3257" s="81">
        <v>3249</v>
      </c>
    </row>
    <row r="3258" spans="1:1" ht="15.75" customHeight="1" x14ac:dyDescent="0.2">
      <c r="A3258" s="82">
        <v>3250</v>
      </c>
    </row>
    <row r="3259" spans="1:1" ht="15.75" customHeight="1" x14ac:dyDescent="0.2">
      <c r="A3259" s="81">
        <v>3251</v>
      </c>
    </row>
    <row r="3260" spans="1:1" ht="15.75" customHeight="1" x14ac:dyDescent="0.2">
      <c r="A3260" s="82">
        <v>3252</v>
      </c>
    </row>
    <row r="3261" spans="1:1" ht="15.75" customHeight="1" x14ac:dyDescent="0.2">
      <c r="A3261" s="81">
        <v>3253</v>
      </c>
    </row>
    <row r="3262" spans="1:1" ht="15.75" customHeight="1" x14ac:dyDescent="0.2">
      <c r="A3262" s="82">
        <v>3254</v>
      </c>
    </row>
    <row r="3263" spans="1:1" ht="15.75" customHeight="1" x14ac:dyDescent="0.2">
      <c r="A3263" s="81">
        <v>3255</v>
      </c>
    </row>
    <row r="3264" spans="1:1" ht="15.75" customHeight="1" x14ac:dyDescent="0.2">
      <c r="A3264" s="82">
        <v>3256</v>
      </c>
    </row>
    <row r="3265" spans="1:1" ht="15.75" customHeight="1" x14ac:dyDescent="0.2">
      <c r="A3265" s="81">
        <v>3257</v>
      </c>
    </row>
    <row r="3266" spans="1:1" ht="15.75" customHeight="1" x14ac:dyDescent="0.2">
      <c r="A3266" s="82">
        <v>3258</v>
      </c>
    </row>
    <row r="3267" spans="1:1" ht="15.75" customHeight="1" x14ac:dyDescent="0.2">
      <c r="A3267" s="81">
        <v>3259</v>
      </c>
    </row>
    <row r="3268" spans="1:1" ht="15.75" customHeight="1" x14ac:dyDescent="0.2">
      <c r="A3268" s="82">
        <v>3260</v>
      </c>
    </row>
    <row r="3269" spans="1:1" ht="15.75" customHeight="1" x14ac:dyDescent="0.2">
      <c r="A3269" s="81">
        <v>3261</v>
      </c>
    </row>
    <row r="3270" spans="1:1" ht="15.75" customHeight="1" x14ac:dyDescent="0.2">
      <c r="A3270" s="82">
        <v>3262</v>
      </c>
    </row>
    <row r="3271" spans="1:1" ht="15.75" customHeight="1" x14ac:dyDescent="0.2">
      <c r="A3271" s="81">
        <v>3263</v>
      </c>
    </row>
    <row r="3272" spans="1:1" ht="15.75" customHeight="1" x14ac:dyDescent="0.2">
      <c r="A3272" s="82">
        <v>3264</v>
      </c>
    </row>
    <row r="3273" spans="1:1" ht="15.75" customHeight="1" x14ac:dyDescent="0.2">
      <c r="A3273" s="81">
        <v>3265</v>
      </c>
    </row>
    <row r="3274" spans="1:1" ht="15.75" customHeight="1" x14ac:dyDescent="0.2">
      <c r="A3274" s="82">
        <v>3266</v>
      </c>
    </row>
    <row r="3275" spans="1:1" ht="15.75" customHeight="1" x14ac:dyDescent="0.2">
      <c r="A3275" s="81">
        <v>3267</v>
      </c>
    </row>
    <row r="3276" spans="1:1" ht="15.75" customHeight="1" x14ac:dyDescent="0.2">
      <c r="A3276" s="82">
        <v>3268</v>
      </c>
    </row>
    <row r="3277" spans="1:1" ht="15.75" customHeight="1" x14ac:dyDescent="0.2">
      <c r="A3277" s="81">
        <v>3269</v>
      </c>
    </row>
    <row r="3278" spans="1:1" ht="15.75" customHeight="1" x14ac:dyDescent="0.2">
      <c r="A3278" s="82">
        <v>3270</v>
      </c>
    </row>
    <row r="3279" spans="1:1" ht="15.75" customHeight="1" x14ac:dyDescent="0.2">
      <c r="A3279" s="81">
        <v>3271</v>
      </c>
    </row>
    <row r="3280" spans="1:1" ht="15.75" customHeight="1" x14ac:dyDescent="0.2">
      <c r="A3280" s="82">
        <v>3272</v>
      </c>
    </row>
    <row r="3281" spans="1:1" ht="15.75" customHeight="1" x14ac:dyDescent="0.2">
      <c r="A3281" s="81">
        <v>3273</v>
      </c>
    </row>
    <row r="3282" spans="1:1" ht="15.75" customHeight="1" x14ac:dyDescent="0.2">
      <c r="A3282" s="82">
        <v>3274</v>
      </c>
    </row>
    <row r="3283" spans="1:1" ht="15.75" customHeight="1" x14ac:dyDescent="0.2">
      <c r="A3283" s="81">
        <v>3275</v>
      </c>
    </row>
    <row r="3284" spans="1:1" ht="15.75" customHeight="1" x14ac:dyDescent="0.2">
      <c r="A3284" s="82">
        <v>3276</v>
      </c>
    </row>
    <row r="3285" spans="1:1" ht="15.75" customHeight="1" x14ac:dyDescent="0.2">
      <c r="A3285" s="81">
        <v>3277</v>
      </c>
    </row>
    <row r="3286" spans="1:1" ht="15.75" customHeight="1" x14ac:dyDescent="0.2">
      <c r="A3286" s="82">
        <v>3278</v>
      </c>
    </row>
    <row r="3287" spans="1:1" ht="15.75" customHeight="1" x14ac:dyDescent="0.2">
      <c r="A3287" s="81">
        <v>3279</v>
      </c>
    </row>
    <row r="3288" spans="1:1" ht="15.75" customHeight="1" x14ac:dyDescent="0.2">
      <c r="A3288" s="82">
        <v>3280</v>
      </c>
    </row>
    <row r="3289" spans="1:1" ht="15.75" customHeight="1" x14ac:dyDescent="0.2">
      <c r="A3289" s="81">
        <v>3281</v>
      </c>
    </row>
    <row r="3290" spans="1:1" ht="15.75" customHeight="1" x14ac:dyDescent="0.2">
      <c r="A3290" s="82">
        <v>3282</v>
      </c>
    </row>
    <row r="3291" spans="1:1" ht="15.75" customHeight="1" x14ac:dyDescent="0.2">
      <c r="A3291" s="81">
        <v>3283</v>
      </c>
    </row>
    <row r="3292" spans="1:1" ht="15.75" customHeight="1" x14ac:dyDescent="0.2">
      <c r="A3292" s="82">
        <v>3284</v>
      </c>
    </row>
    <row r="3293" spans="1:1" ht="15.75" customHeight="1" x14ac:dyDescent="0.2">
      <c r="A3293" s="81">
        <v>3285</v>
      </c>
    </row>
    <row r="3294" spans="1:1" ht="15.75" customHeight="1" x14ac:dyDescent="0.2">
      <c r="A3294" s="82">
        <v>3286</v>
      </c>
    </row>
    <row r="3295" spans="1:1" ht="15.75" customHeight="1" x14ac:dyDescent="0.2">
      <c r="A3295" s="81">
        <v>3287</v>
      </c>
    </row>
    <row r="3296" spans="1:1" ht="15.75" customHeight="1" x14ac:dyDescent="0.2">
      <c r="A3296" s="82">
        <v>3288</v>
      </c>
    </row>
    <row r="3297" spans="1:1" ht="15.75" customHeight="1" x14ac:dyDescent="0.2">
      <c r="A3297" s="81">
        <v>3289</v>
      </c>
    </row>
    <row r="3298" spans="1:1" ht="15.75" customHeight="1" x14ac:dyDescent="0.2">
      <c r="A3298" s="82">
        <v>3290</v>
      </c>
    </row>
    <row r="3299" spans="1:1" ht="15.75" customHeight="1" x14ac:dyDescent="0.2">
      <c r="A3299" s="81">
        <v>3291</v>
      </c>
    </row>
    <row r="3300" spans="1:1" ht="15.75" customHeight="1" x14ac:dyDescent="0.2">
      <c r="A3300" s="82">
        <v>3292</v>
      </c>
    </row>
    <row r="3301" spans="1:1" ht="15.75" customHeight="1" x14ac:dyDescent="0.2">
      <c r="A3301" s="81">
        <v>3293</v>
      </c>
    </row>
    <row r="3302" spans="1:1" ht="15.75" customHeight="1" x14ac:dyDescent="0.2">
      <c r="A3302" s="82">
        <v>3294</v>
      </c>
    </row>
    <row r="3303" spans="1:1" ht="15.75" customHeight="1" x14ac:dyDescent="0.2">
      <c r="A3303" s="81">
        <v>3295</v>
      </c>
    </row>
    <row r="3304" spans="1:1" ht="15.75" customHeight="1" x14ac:dyDescent="0.2">
      <c r="A3304" s="82">
        <v>3296</v>
      </c>
    </row>
    <row r="3305" spans="1:1" ht="15.75" customHeight="1" x14ac:dyDescent="0.2">
      <c r="A3305" s="81">
        <v>3297</v>
      </c>
    </row>
    <row r="3306" spans="1:1" ht="15.75" customHeight="1" x14ac:dyDescent="0.2">
      <c r="A3306" s="82">
        <v>3298</v>
      </c>
    </row>
    <row r="3307" spans="1:1" ht="15.75" customHeight="1" x14ac:dyDescent="0.2">
      <c r="A3307" s="81">
        <v>3299</v>
      </c>
    </row>
    <row r="3308" spans="1:1" ht="15.75" customHeight="1" x14ac:dyDescent="0.2">
      <c r="A3308" s="82">
        <v>3300</v>
      </c>
    </row>
    <row r="3309" spans="1:1" ht="15.75" customHeight="1" x14ac:dyDescent="0.2">
      <c r="A3309" s="81">
        <v>3301</v>
      </c>
    </row>
    <row r="3310" spans="1:1" ht="15.75" customHeight="1" x14ac:dyDescent="0.2">
      <c r="A3310" s="82">
        <v>3302</v>
      </c>
    </row>
    <row r="3311" spans="1:1" ht="15.75" customHeight="1" x14ac:dyDescent="0.2">
      <c r="A3311" s="81">
        <v>3303</v>
      </c>
    </row>
    <row r="3312" spans="1:1" ht="15.75" customHeight="1" x14ac:dyDescent="0.2">
      <c r="A3312" s="82">
        <v>3304</v>
      </c>
    </row>
    <row r="3313" spans="1:1" ht="15.75" customHeight="1" x14ac:dyDescent="0.2">
      <c r="A3313" s="81">
        <v>3305</v>
      </c>
    </row>
    <row r="3314" spans="1:1" ht="15.75" customHeight="1" x14ac:dyDescent="0.2">
      <c r="A3314" s="82">
        <v>3306</v>
      </c>
    </row>
    <row r="3315" spans="1:1" ht="15.75" customHeight="1" x14ac:dyDescent="0.2">
      <c r="A3315" s="81">
        <v>3307</v>
      </c>
    </row>
    <row r="3316" spans="1:1" ht="15.75" customHeight="1" x14ac:dyDescent="0.2">
      <c r="A3316" s="82">
        <v>3308</v>
      </c>
    </row>
    <row r="3317" spans="1:1" ht="15.75" customHeight="1" x14ac:dyDescent="0.2">
      <c r="A3317" s="81">
        <v>3309</v>
      </c>
    </row>
    <row r="3318" spans="1:1" ht="15.75" customHeight="1" x14ac:dyDescent="0.2">
      <c r="A3318" s="82">
        <v>3310</v>
      </c>
    </row>
    <row r="3319" spans="1:1" ht="15.75" customHeight="1" x14ac:dyDescent="0.2">
      <c r="A3319" s="81">
        <v>3311</v>
      </c>
    </row>
    <row r="3320" spans="1:1" ht="15.75" customHeight="1" x14ac:dyDescent="0.2">
      <c r="A3320" s="82">
        <v>3312</v>
      </c>
    </row>
    <row r="3321" spans="1:1" ht="15.75" customHeight="1" x14ac:dyDescent="0.2">
      <c r="A3321" s="81">
        <v>3313</v>
      </c>
    </row>
    <row r="3322" spans="1:1" ht="15.75" customHeight="1" x14ac:dyDescent="0.2">
      <c r="A3322" s="82">
        <v>3314</v>
      </c>
    </row>
    <row r="3323" spans="1:1" ht="15.75" customHeight="1" x14ac:dyDescent="0.2">
      <c r="A3323" s="81">
        <v>3315</v>
      </c>
    </row>
    <row r="3324" spans="1:1" ht="15.75" customHeight="1" x14ac:dyDescent="0.2">
      <c r="A3324" s="82">
        <v>3316</v>
      </c>
    </row>
    <row r="3325" spans="1:1" ht="15.75" customHeight="1" x14ac:dyDescent="0.2">
      <c r="A3325" s="81">
        <v>3317</v>
      </c>
    </row>
    <row r="3326" spans="1:1" ht="15.75" customHeight="1" x14ac:dyDescent="0.2">
      <c r="A3326" s="82">
        <v>3318</v>
      </c>
    </row>
    <row r="3327" spans="1:1" ht="15.75" customHeight="1" x14ac:dyDescent="0.2">
      <c r="A3327" s="81">
        <v>3319</v>
      </c>
    </row>
    <row r="3328" spans="1:1" ht="15.75" customHeight="1" x14ac:dyDescent="0.2">
      <c r="A3328" s="82">
        <v>3320</v>
      </c>
    </row>
    <row r="3329" spans="1:1" ht="15.75" customHeight="1" x14ac:dyDescent="0.2">
      <c r="A3329" s="81">
        <v>3321</v>
      </c>
    </row>
    <row r="3330" spans="1:1" ht="15.75" customHeight="1" x14ac:dyDescent="0.2">
      <c r="A3330" s="82">
        <v>3322</v>
      </c>
    </row>
    <row r="3331" spans="1:1" ht="15.75" customHeight="1" x14ac:dyDescent="0.2">
      <c r="A3331" s="81">
        <v>3323</v>
      </c>
    </row>
    <row r="3332" spans="1:1" ht="15.75" customHeight="1" x14ac:dyDescent="0.2">
      <c r="A3332" s="82">
        <v>3324</v>
      </c>
    </row>
    <row r="3333" spans="1:1" ht="15.75" customHeight="1" x14ac:dyDescent="0.2">
      <c r="A3333" s="81">
        <v>3325</v>
      </c>
    </row>
    <row r="3334" spans="1:1" ht="15.75" customHeight="1" x14ac:dyDescent="0.2">
      <c r="A3334" s="82">
        <v>3326</v>
      </c>
    </row>
    <row r="3335" spans="1:1" ht="15.75" customHeight="1" x14ac:dyDescent="0.2">
      <c r="A3335" s="81">
        <v>3327</v>
      </c>
    </row>
    <row r="3336" spans="1:1" ht="15.75" customHeight="1" x14ac:dyDescent="0.2">
      <c r="A3336" s="82">
        <v>3328</v>
      </c>
    </row>
    <row r="3337" spans="1:1" ht="15.75" customHeight="1" x14ac:dyDescent="0.2">
      <c r="A3337" s="81">
        <v>3329</v>
      </c>
    </row>
    <row r="3338" spans="1:1" ht="15.75" customHeight="1" x14ac:dyDescent="0.2">
      <c r="A3338" s="82">
        <v>3330</v>
      </c>
    </row>
    <row r="3339" spans="1:1" ht="15.75" customHeight="1" x14ac:dyDescent="0.2">
      <c r="A3339" s="81">
        <v>3331</v>
      </c>
    </row>
    <row r="3340" spans="1:1" ht="15.75" customHeight="1" x14ac:dyDescent="0.2">
      <c r="A3340" s="82">
        <v>3332</v>
      </c>
    </row>
    <row r="3341" spans="1:1" ht="15.75" customHeight="1" x14ac:dyDescent="0.2">
      <c r="A3341" s="81">
        <v>3333</v>
      </c>
    </row>
    <row r="3342" spans="1:1" ht="15.75" customHeight="1" x14ac:dyDescent="0.2">
      <c r="A3342" s="82">
        <v>3334</v>
      </c>
    </row>
    <row r="3343" spans="1:1" ht="15.75" customHeight="1" x14ac:dyDescent="0.2">
      <c r="A3343" s="81">
        <v>3335</v>
      </c>
    </row>
    <row r="3344" spans="1:1" ht="15.75" customHeight="1" x14ac:dyDescent="0.2">
      <c r="A3344" s="82">
        <v>3336</v>
      </c>
    </row>
    <row r="3345" spans="1:1" ht="15.75" customHeight="1" x14ac:dyDescent="0.2">
      <c r="A3345" s="81">
        <v>3337</v>
      </c>
    </row>
    <row r="3346" spans="1:1" ht="15.75" customHeight="1" x14ac:dyDescent="0.2">
      <c r="A3346" s="82">
        <v>3338</v>
      </c>
    </row>
    <row r="3347" spans="1:1" ht="15.75" customHeight="1" x14ac:dyDescent="0.2">
      <c r="A3347" s="81">
        <v>3339</v>
      </c>
    </row>
    <row r="3348" spans="1:1" ht="15.75" customHeight="1" x14ac:dyDescent="0.2">
      <c r="A3348" s="82">
        <v>3340</v>
      </c>
    </row>
    <row r="3349" spans="1:1" ht="15.75" customHeight="1" x14ac:dyDescent="0.2">
      <c r="A3349" s="81">
        <v>3341</v>
      </c>
    </row>
    <row r="3350" spans="1:1" ht="15.75" customHeight="1" x14ac:dyDescent="0.2">
      <c r="A3350" s="82">
        <v>3342</v>
      </c>
    </row>
    <row r="3351" spans="1:1" ht="15.75" customHeight="1" x14ac:dyDescent="0.2">
      <c r="A3351" s="81">
        <v>3343</v>
      </c>
    </row>
    <row r="3352" spans="1:1" ht="15.75" customHeight="1" x14ac:dyDescent="0.2">
      <c r="A3352" s="82">
        <v>3344</v>
      </c>
    </row>
    <row r="3353" spans="1:1" ht="15.75" customHeight="1" x14ac:dyDescent="0.2">
      <c r="A3353" s="81">
        <v>3345</v>
      </c>
    </row>
    <row r="3354" spans="1:1" ht="15.75" customHeight="1" x14ac:dyDescent="0.2">
      <c r="A3354" s="82">
        <v>3346</v>
      </c>
    </row>
    <row r="3355" spans="1:1" ht="15.75" customHeight="1" x14ac:dyDescent="0.2">
      <c r="A3355" s="81">
        <v>3347</v>
      </c>
    </row>
    <row r="3356" spans="1:1" ht="15.75" customHeight="1" x14ac:dyDescent="0.2">
      <c r="A3356" s="82">
        <v>3348</v>
      </c>
    </row>
    <row r="3357" spans="1:1" ht="15.75" customHeight="1" x14ac:dyDescent="0.2">
      <c r="A3357" s="81">
        <v>3349</v>
      </c>
    </row>
    <row r="3358" spans="1:1" ht="15.75" customHeight="1" x14ac:dyDescent="0.2">
      <c r="A3358" s="82">
        <v>3350</v>
      </c>
    </row>
    <row r="3359" spans="1:1" ht="15.75" customHeight="1" x14ac:dyDescent="0.2">
      <c r="A3359" s="81">
        <v>3351</v>
      </c>
    </row>
    <row r="3360" spans="1:1" ht="15.75" customHeight="1" x14ac:dyDescent="0.2">
      <c r="A3360" s="82">
        <v>3352</v>
      </c>
    </row>
    <row r="3361" spans="1:1" ht="15.75" customHeight="1" x14ac:dyDescent="0.2">
      <c r="A3361" s="81">
        <v>3353</v>
      </c>
    </row>
    <row r="3362" spans="1:1" ht="15.75" customHeight="1" x14ac:dyDescent="0.2">
      <c r="A3362" s="82">
        <v>3354</v>
      </c>
    </row>
    <row r="3363" spans="1:1" ht="15.75" customHeight="1" x14ac:dyDescent="0.2">
      <c r="A3363" s="81">
        <v>3355</v>
      </c>
    </row>
    <row r="3364" spans="1:1" ht="15.75" customHeight="1" x14ac:dyDescent="0.2">
      <c r="A3364" s="82">
        <v>3356</v>
      </c>
    </row>
    <row r="3365" spans="1:1" ht="15.75" customHeight="1" x14ac:dyDescent="0.2">
      <c r="A3365" s="81">
        <v>3357</v>
      </c>
    </row>
    <row r="3366" spans="1:1" ht="15.75" customHeight="1" x14ac:dyDescent="0.2">
      <c r="A3366" s="82">
        <v>3358</v>
      </c>
    </row>
    <row r="3367" spans="1:1" ht="15.75" customHeight="1" x14ac:dyDescent="0.2">
      <c r="A3367" s="81">
        <v>3359</v>
      </c>
    </row>
    <row r="3368" spans="1:1" ht="15.75" customHeight="1" x14ac:dyDescent="0.2">
      <c r="A3368" s="82">
        <v>3360</v>
      </c>
    </row>
    <row r="3369" spans="1:1" ht="15.75" customHeight="1" x14ac:dyDescent="0.2">
      <c r="A3369" s="81">
        <v>3361</v>
      </c>
    </row>
    <row r="3370" spans="1:1" ht="15.75" customHeight="1" x14ac:dyDescent="0.2">
      <c r="A3370" s="82">
        <v>3362</v>
      </c>
    </row>
    <row r="3371" spans="1:1" ht="15.75" customHeight="1" x14ac:dyDescent="0.2">
      <c r="A3371" s="81">
        <v>3363</v>
      </c>
    </row>
    <row r="3372" spans="1:1" ht="15.75" customHeight="1" x14ac:dyDescent="0.2">
      <c r="A3372" s="82">
        <v>3364</v>
      </c>
    </row>
    <row r="3373" spans="1:1" ht="15.75" customHeight="1" x14ac:dyDescent="0.2">
      <c r="A3373" s="81">
        <v>3365</v>
      </c>
    </row>
    <row r="3374" spans="1:1" ht="15.75" customHeight="1" x14ac:dyDescent="0.2">
      <c r="A3374" s="82">
        <v>3366</v>
      </c>
    </row>
    <row r="3375" spans="1:1" ht="15.75" customHeight="1" x14ac:dyDescent="0.2">
      <c r="A3375" s="81">
        <v>3367</v>
      </c>
    </row>
    <row r="3376" spans="1:1" ht="15.75" customHeight="1" x14ac:dyDescent="0.2">
      <c r="A3376" s="82">
        <v>3368</v>
      </c>
    </row>
    <row r="3377" spans="1:1" ht="15.75" customHeight="1" x14ac:dyDescent="0.2">
      <c r="A3377" s="81">
        <v>3369</v>
      </c>
    </row>
    <row r="3378" spans="1:1" ht="15.75" customHeight="1" x14ac:dyDescent="0.2">
      <c r="A3378" s="82">
        <v>3370</v>
      </c>
    </row>
    <row r="3379" spans="1:1" ht="15.75" customHeight="1" x14ac:dyDescent="0.2">
      <c r="A3379" s="81">
        <v>3371</v>
      </c>
    </row>
    <row r="3380" spans="1:1" ht="15.75" customHeight="1" x14ac:dyDescent="0.2">
      <c r="A3380" s="82">
        <v>3372</v>
      </c>
    </row>
    <row r="3381" spans="1:1" ht="15.75" customHeight="1" x14ac:dyDescent="0.2">
      <c r="A3381" s="81">
        <v>3373</v>
      </c>
    </row>
    <row r="3382" spans="1:1" ht="15.75" customHeight="1" x14ac:dyDescent="0.2">
      <c r="A3382" s="82">
        <v>3374</v>
      </c>
    </row>
    <row r="3383" spans="1:1" ht="15.75" customHeight="1" x14ac:dyDescent="0.2">
      <c r="A3383" s="81">
        <v>3375</v>
      </c>
    </row>
    <row r="3384" spans="1:1" ht="15.75" customHeight="1" x14ac:dyDescent="0.2">
      <c r="A3384" s="82">
        <v>3376</v>
      </c>
    </row>
    <row r="3385" spans="1:1" ht="15.75" customHeight="1" x14ac:dyDescent="0.2">
      <c r="A3385" s="81">
        <v>3377</v>
      </c>
    </row>
    <row r="3386" spans="1:1" ht="15.75" customHeight="1" x14ac:dyDescent="0.2">
      <c r="A3386" s="82">
        <v>3378</v>
      </c>
    </row>
    <row r="3387" spans="1:1" ht="15.75" customHeight="1" x14ac:dyDescent="0.2">
      <c r="A3387" s="81">
        <v>3379</v>
      </c>
    </row>
    <row r="3388" spans="1:1" ht="15.75" customHeight="1" x14ac:dyDescent="0.2">
      <c r="A3388" s="82">
        <v>3380</v>
      </c>
    </row>
    <row r="3389" spans="1:1" ht="15.75" customHeight="1" x14ac:dyDescent="0.2">
      <c r="A3389" s="81">
        <v>3381</v>
      </c>
    </row>
    <row r="3390" spans="1:1" ht="15.75" customHeight="1" x14ac:dyDescent="0.2">
      <c r="A3390" s="82">
        <v>3382</v>
      </c>
    </row>
    <row r="3391" spans="1:1" ht="15.75" customHeight="1" x14ac:dyDescent="0.2">
      <c r="A3391" s="81">
        <v>3383</v>
      </c>
    </row>
    <row r="3392" spans="1:1" ht="15.75" customHeight="1" x14ac:dyDescent="0.2">
      <c r="A3392" s="82">
        <v>3384</v>
      </c>
    </row>
    <row r="3393" spans="1:1" ht="15.75" customHeight="1" x14ac:dyDescent="0.2">
      <c r="A3393" s="81">
        <v>3385</v>
      </c>
    </row>
    <row r="3394" spans="1:1" ht="15.75" customHeight="1" x14ac:dyDescent="0.2">
      <c r="A3394" s="82">
        <v>3386</v>
      </c>
    </row>
    <row r="3395" spans="1:1" ht="15.75" customHeight="1" x14ac:dyDescent="0.2">
      <c r="A3395" s="81">
        <v>3387</v>
      </c>
    </row>
    <row r="3396" spans="1:1" ht="15.75" customHeight="1" x14ac:dyDescent="0.2">
      <c r="A3396" s="82">
        <v>3388</v>
      </c>
    </row>
    <row r="3397" spans="1:1" ht="15.75" customHeight="1" x14ac:dyDescent="0.2">
      <c r="A3397" s="81">
        <v>3389</v>
      </c>
    </row>
    <row r="3398" spans="1:1" ht="15.75" customHeight="1" x14ac:dyDescent="0.2">
      <c r="A3398" s="82">
        <v>3390</v>
      </c>
    </row>
    <row r="3399" spans="1:1" ht="15.75" customHeight="1" x14ac:dyDescent="0.2">
      <c r="A3399" s="81">
        <v>3391</v>
      </c>
    </row>
    <row r="3400" spans="1:1" ht="15.75" customHeight="1" x14ac:dyDescent="0.2">
      <c r="A3400" s="82">
        <v>3392</v>
      </c>
    </row>
    <row r="3401" spans="1:1" ht="15.75" customHeight="1" x14ac:dyDescent="0.2">
      <c r="A3401" s="81">
        <v>3393</v>
      </c>
    </row>
    <row r="3402" spans="1:1" ht="15.75" customHeight="1" x14ac:dyDescent="0.2">
      <c r="A3402" s="82">
        <v>3394</v>
      </c>
    </row>
    <row r="3403" spans="1:1" ht="15.75" customHeight="1" x14ac:dyDescent="0.2">
      <c r="A3403" s="81">
        <v>3395</v>
      </c>
    </row>
    <row r="3404" spans="1:1" ht="15.75" customHeight="1" x14ac:dyDescent="0.2">
      <c r="A3404" s="82">
        <v>3396</v>
      </c>
    </row>
    <row r="3405" spans="1:1" ht="15.75" customHeight="1" x14ac:dyDescent="0.2">
      <c r="A3405" s="81">
        <v>3397</v>
      </c>
    </row>
    <row r="3406" spans="1:1" ht="15.75" customHeight="1" x14ac:dyDescent="0.2">
      <c r="A3406" s="82">
        <v>3398</v>
      </c>
    </row>
    <row r="3407" spans="1:1" ht="15.75" customHeight="1" x14ac:dyDescent="0.2">
      <c r="A3407" s="81">
        <v>3399</v>
      </c>
    </row>
    <row r="3408" spans="1:1" ht="15.75" customHeight="1" x14ac:dyDescent="0.2">
      <c r="A3408" s="82">
        <v>3400</v>
      </c>
    </row>
    <row r="3409" spans="1:1" ht="15.75" customHeight="1" x14ac:dyDescent="0.2">
      <c r="A3409" s="81">
        <v>3401</v>
      </c>
    </row>
    <row r="3410" spans="1:1" ht="15.75" customHeight="1" x14ac:dyDescent="0.2">
      <c r="A3410" s="82">
        <v>3402</v>
      </c>
    </row>
    <row r="3411" spans="1:1" ht="15.75" customHeight="1" x14ac:dyDescent="0.2">
      <c r="A3411" s="81">
        <v>3403</v>
      </c>
    </row>
    <row r="3412" spans="1:1" ht="15.75" customHeight="1" x14ac:dyDescent="0.2">
      <c r="A3412" s="82">
        <v>3404</v>
      </c>
    </row>
    <row r="3413" spans="1:1" ht="15.75" customHeight="1" x14ac:dyDescent="0.2">
      <c r="A3413" s="81">
        <v>3405</v>
      </c>
    </row>
    <row r="3414" spans="1:1" ht="15.75" customHeight="1" x14ac:dyDescent="0.2">
      <c r="A3414" s="82">
        <v>3406</v>
      </c>
    </row>
    <row r="3415" spans="1:1" ht="15.75" customHeight="1" x14ac:dyDescent="0.2">
      <c r="A3415" s="81">
        <v>3407</v>
      </c>
    </row>
    <row r="3416" spans="1:1" ht="15.75" customHeight="1" x14ac:dyDescent="0.2">
      <c r="A3416" s="82">
        <v>3408</v>
      </c>
    </row>
    <row r="3417" spans="1:1" ht="15.75" customHeight="1" x14ac:dyDescent="0.2">
      <c r="A3417" s="81">
        <v>3409</v>
      </c>
    </row>
    <row r="3418" spans="1:1" ht="15.75" customHeight="1" x14ac:dyDescent="0.2">
      <c r="A3418" s="82">
        <v>3410</v>
      </c>
    </row>
    <row r="3419" spans="1:1" ht="15.75" customHeight="1" x14ac:dyDescent="0.2">
      <c r="A3419" s="81">
        <v>3411</v>
      </c>
    </row>
    <row r="3420" spans="1:1" ht="15.75" customHeight="1" x14ac:dyDescent="0.2">
      <c r="A3420" s="82">
        <v>3412</v>
      </c>
    </row>
    <row r="3421" spans="1:1" ht="15.75" customHeight="1" x14ac:dyDescent="0.2">
      <c r="A3421" s="81">
        <v>3413</v>
      </c>
    </row>
    <row r="3422" spans="1:1" ht="15.75" customHeight="1" x14ac:dyDescent="0.2">
      <c r="A3422" s="82">
        <v>3414</v>
      </c>
    </row>
    <row r="3423" spans="1:1" ht="15.75" customHeight="1" x14ac:dyDescent="0.2">
      <c r="A3423" s="81">
        <v>3415</v>
      </c>
    </row>
    <row r="3424" spans="1:1" ht="15.75" customHeight="1" x14ac:dyDescent="0.2">
      <c r="A3424" s="82">
        <v>3416</v>
      </c>
    </row>
    <row r="3425" spans="1:1" ht="15.75" customHeight="1" x14ac:dyDescent="0.2">
      <c r="A3425" s="81">
        <v>3417</v>
      </c>
    </row>
    <row r="3426" spans="1:1" ht="15.75" customHeight="1" x14ac:dyDescent="0.2">
      <c r="A3426" s="82">
        <v>3418</v>
      </c>
    </row>
    <row r="3427" spans="1:1" ht="15.75" customHeight="1" x14ac:dyDescent="0.2">
      <c r="A3427" s="81">
        <v>3419</v>
      </c>
    </row>
    <row r="3428" spans="1:1" ht="15.75" customHeight="1" x14ac:dyDescent="0.2">
      <c r="A3428" s="82">
        <v>3420</v>
      </c>
    </row>
    <row r="3429" spans="1:1" ht="15.75" customHeight="1" x14ac:dyDescent="0.2">
      <c r="A3429" s="81">
        <v>3421</v>
      </c>
    </row>
    <row r="3430" spans="1:1" ht="15.75" customHeight="1" x14ac:dyDescent="0.2">
      <c r="A3430" s="82">
        <v>3422</v>
      </c>
    </row>
    <row r="3431" spans="1:1" ht="15.75" customHeight="1" x14ac:dyDescent="0.2">
      <c r="A3431" s="81">
        <v>3423</v>
      </c>
    </row>
    <row r="3432" spans="1:1" ht="15.75" customHeight="1" x14ac:dyDescent="0.2">
      <c r="A3432" s="82">
        <v>3424</v>
      </c>
    </row>
    <row r="3433" spans="1:1" ht="15.75" customHeight="1" x14ac:dyDescent="0.2">
      <c r="A3433" s="81">
        <v>3425</v>
      </c>
    </row>
    <row r="3434" spans="1:1" ht="15.75" customHeight="1" x14ac:dyDescent="0.2">
      <c r="A3434" s="82">
        <v>3426</v>
      </c>
    </row>
    <row r="3435" spans="1:1" ht="15.75" customHeight="1" x14ac:dyDescent="0.2">
      <c r="A3435" s="81">
        <v>3427</v>
      </c>
    </row>
    <row r="3436" spans="1:1" ht="15.75" customHeight="1" x14ac:dyDescent="0.2">
      <c r="A3436" s="82">
        <v>3428</v>
      </c>
    </row>
    <row r="3437" spans="1:1" ht="15.75" customHeight="1" x14ac:dyDescent="0.2">
      <c r="A3437" s="81">
        <v>3429</v>
      </c>
    </row>
    <row r="3438" spans="1:1" ht="15.75" customHeight="1" x14ac:dyDescent="0.2">
      <c r="A3438" s="82">
        <v>3430</v>
      </c>
    </row>
    <row r="3439" spans="1:1" ht="15.75" customHeight="1" x14ac:dyDescent="0.2">
      <c r="A3439" s="81">
        <v>3431</v>
      </c>
    </row>
    <row r="3440" spans="1:1" ht="15.75" customHeight="1" x14ac:dyDescent="0.2">
      <c r="A3440" s="82">
        <v>3432</v>
      </c>
    </row>
    <row r="3441" spans="1:1" ht="15.75" customHeight="1" x14ac:dyDescent="0.2">
      <c r="A3441" s="81">
        <v>3433</v>
      </c>
    </row>
    <row r="3442" spans="1:1" ht="15.75" customHeight="1" x14ac:dyDescent="0.2">
      <c r="A3442" s="82">
        <v>3434</v>
      </c>
    </row>
    <row r="3443" spans="1:1" ht="15.75" customHeight="1" x14ac:dyDescent="0.2">
      <c r="A3443" s="81">
        <v>3435</v>
      </c>
    </row>
    <row r="3444" spans="1:1" ht="15.75" customHeight="1" x14ac:dyDescent="0.2">
      <c r="A3444" s="82">
        <v>3436</v>
      </c>
    </row>
    <row r="3445" spans="1:1" ht="15.75" customHeight="1" x14ac:dyDescent="0.2">
      <c r="A3445" s="81">
        <v>3437</v>
      </c>
    </row>
    <row r="3446" spans="1:1" ht="15.75" customHeight="1" x14ac:dyDescent="0.2">
      <c r="A3446" s="82">
        <v>3438</v>
      </c>
    </row>
    <row r="3447" spans="1:1" ht="15.75" customHeight="1" x14ac:dyDescent="0.2">
      <c r="A3447" s="81">
        <v>3439</v>
      </c>
    </row>
    <row r="3448" spans="1:1" ht="15.75" customHeight="1" x14ac:dyDescent="0.2">
      <c r="A3448" s="82">
        <v>3440</v>
      </c>
    </row>
    <row r="3449" spans="1:1" ht="15.75" customHeight="1" x14ac:dyDescent="0.2">
      <c r="A3449" s="81">
        <v>3441</v>
      </c>
    </row>
    <row r="3450" spans="1:1" ht="15.75" customHeight="1" x14ac:dyDescent="0.2">
      <c r="A3450" s="82">
        <v>3442</v>
      </c>
    </row>
    <row r="3451" spans="1:1" ht="15.75" customHeight="1" x14ac:dyDescent="0.2">
      <c r="A3451" s="81">
        <v>3443</v>
      </c>
    </row>
    <row r="3452" spans="1:1" ht="15.75" customHeight="1" x14ac:dyDescent="0.2">
      <c r="A3452" s="82">
        <v>3444</v>
      </c>
    </row>
    <row r="3453" spans="1:1" ht="15.75" customHeight="1" x14ac:dyDescent="0.2">
      <c r="A3453" s="81">
        <v>3445</v>
      </c>
    </row>
    <row r="3454" spans="1:1" ht="15.75" customHeight="1" x14ac:dyDescent="0.2">
      <c r="A3454" s="82">
        <v>3446</v>
      </c>
    </row>
    <row r="3455" spans="1:1" ht="15.75" customHeight="1" x14ac:dyDescent="0.2">
      <c r="A3455" s="81">
        <v>3447</v>
      </c>
    </row>
    <row r="3456" spans="1:1" ht="15.75" customHeight="1" x14ac:dyDescent="0.2">
      <c r="A3456" s="82">
        <v>3448</v>
      </c>
    </row>
    <row r="3457" spans="1:1" ht="15.75" customHeight="1" x14ac:dyDescent="0.2">
      <c r="A3457" s="81">
        <v>3449</v>
      </c>
    </row>
    <row r="3458" spans="1:1" ht="15.75" customHeight="1" x14ac:dyDescent="0.2">
      <c r="A3458" s="82">
        <v>3450</v>
      </c>
    </row>
    <row r="3459" spans="1:1" ht="15.75" customHeight="1" x14ac:dyDescent="0.2">
      <c r="A3459" s="81">
        <v>3451</v>
      </c>
    </row>
    <row r="3460" spans="1:1" ht="15.75" customHeight="1" x14ac:dyDescent="0.2">
      <c r="A3460" s="82">
        <v>3452</v>
      </c>
    </row>
    <row r="3461" spans="1:1" ht="15.75" customHeight="1" x14ac:dyDescent="0.2">
      <c r="A3461" s="81">
        <v>3453</v>
      </c>
    </row>
    <row r="3462" spans="1:1" ht="15.75" customHeight="1" x14ac:dyDescent="0.2">
      <c r="A3462" s="82">
        <v>3454</v>
      </c>
    </row>
    <row r="3463" spans="1:1" ht="15.75" customHeight="1" x14ac:dyDescent="0.2">
      <c r="A3463" s="81">
        <v>3455</v>
      </c>
    </row>
    <row r="3464" spans="1:1" ht="15.75" customHeight="1" x14ac:dyDescent="0.2">
      <c r="A3464" s="82">
        <v>3456</v>
      </c>
    </row>
    <row r="3465" spans="1:1" ht="15.75" customHeight="1" x14ac:dyDescent="0.2">
      <c r="A3465" s="81">
        <v>3457</v>
      </c>
    </row>
    <row r="3466" spans="1:1" ht="15.75" customHeight="1" x14ac:dyDescent="0.2">
      <c r="A3466" s="82">
        <v>3458</v>
      </c>
    </row>
    <row r="3467" spans="1:1" ht="15.75" customHeight="1" x14ac:dyDescent="0.2">
      <c r="A3467" s="81">
        <v>3459</v>
      </c>
    </row>
    <row r="3468" spans="1:1" ht="15.75" customHeight="1" x14ac:dyDescent="0.2">
      <c r="A3468" s="82">
        <v>3460</v>
      </c>
    </row>
    <row r="3469" spans="1:1" ht="15.75" customHeight="1" x14ac:dyDescent="0.2">
      <c r="A3469" s="81">
        <v>3461</v>
      </c>
    </row>
    <row r="3470" spans="1:1" ht="15.75" customHeight="1" x14ac:dyDescent="0.2">
      <c r="A3470" s="82">
        <v>3462</v>
      </c>
    </row>
    <row r="3471" spans="1:1" ht="15.75" customHeight="1" x14ac:dyDescent="0.2">
      <c r="A3471" s="81">
        <v>3463</v>
      </c>
    </row>
    <row r="3472" spans="1:1" ht="15.75" customHeight="1" x14ac:dyDescent="0.2">
      <c r="A3472" s="82">
        <v>3464</v>
      </c>
    </row>
    <row r="3473" spans="1:1" ht="15.75" customHeight="1" x14ac:dyDescent="0.2">
      <c r="A3473" s="81">
        <v>3465</v>
      </c>
    </row>
    <row r="3474" spans="1:1" ht="15.75" customHeight="1" x14ac:dyDescent="0.2">
      <c r="A3474" s="82">
        <v>3466</v>
      </c>
    </row>
    <row r="3475" spans="1:1" ht="15.75" customHeight="1" x14ac:dyDescent="0.2">
      <c r="A3475" s="81">
        <v>3467</v>
      </c>
    </row>
    <row r="3476" spans="1:1" ht="15.75" customHeight="1" x14ac:dyDescent="0.2">
      <c r="A3476" s="82">
        <v>3468</v>
      </c>
    </row>
    <row r="3477" spans="1:1" ht="15.75" customHeight="1" x14ac:dyDescent="0.2">
      <c r="A3477" s="81">
        <v>3469</v>
      </c>
    </row>
    <row r="3478" spans="1:1" ht="15.75" customHeight="1" x14ac:dyDescent="0.2">
      <c r="A3478" s="82">
        <v>3470</v>
      </c>
    </row>
    <row r="3479" spans="1:1" ht="15.75" customHeight="1" x14ac:dyDescent="0.2">
      <c r="A3479" s="81">
        <v>3471</v>
      </c>
    </row>
    <row r="3480" spans="1:1" ht="15.75" customHeight="1" x14ac:dyDescent="0.2">
      <c r="A3480" s="82">
        <v>3472</v>
      </c>
    </row>
    <row r="3481" spans="1:1" ht="15.75" customHeight="1" x14ac:dyDescent="0.2">
      <c r="A3481" s="81">
        <v>3473</v>
      </c>
    </row>
    <row r="3482" spans="1:1" ht="15.75" customHeight="1" x14ac:dyDescent="0.2">
      <c r="A3482" s="82">
        <v>3474</v>
      </c>
    </row>
    <row r="3483" spans="1:1" ht="15.75" customHeight="1" x14ac:dyDescent="0.2">
      <c r="A3483" s="81">
        <v>3475</v>
      </c>
    </row>
    <row r="3484" spans="1:1" ht="15.75" customHeight="1" x14ac:dyDescent="0.2">
      <c r="A3484" s="82">
        <v>3476</v>
      </c>
    </row>
    <row r="3485" spans="1:1" ht="15.75" customHeight="1" x14ac:dyDescent="0.2">
      <c r="A3485" s="81">
        <v>3477</v>
      </c>
    </row>
    <row r="3486" spans="1:1" ht="15.75" customHeight="1" x14ac:dyDescent="0.2">
      <c r="A3486" s="82">
        <v>3478</v>
      </c>
    </row>
    <row r="3487" spans="1:1" ht="15.75" customHeight="1" x14ac:dyDescent="0.2">
      <c r="A3487" s="81">
        <v>3479</v>
      </c>
    </row>
    <row r="3488" spans="1:1" ht="15.75" customHeight="1" x14ac:dyDescent="0.2">
      <c r="A3488" s="82">
        <v>3480</v>
      </c>
    </row>
    <row r="3489" spans="1:1" ht="15.75" customHeight="1" x14ac:dyDescent="0.2">
      <c r="A3489" s="81">
        <v>3481</v>
      </c>
    </row>
    <row r="3490" spans="1:1" ht="15.75" customHeight="1" x14ac:dyDescent="0.2">
      <c r="A3490" s="82">
        <v>3482</v>
      </c>
    </row>
    <row r="3491" spans="1:1" ht="15.75" customHeight="1" x14ac:dyDescent="0.2">
      <c r="A3491" s="81">
        <v>3483</v>
      </c>
    </row>
    <row r="3492" spans="1:1" ht="15.75" customHeight="1" x14ac:dyDescent="0.2">
      <c r="A3492" s="82">
        <v>3484</v>
      </c>
    </row>
    <row r="3493" spans="1:1" ht="15.75" customHeight="1" x14ac:dyDescent="0.2">
      <c r="A3493" s="81">
        <v>3485</v>
      </c>
    </row>
    <row r="3494" spans="1:1" ht="15.75" customHeight="1" x14ac:dyDescent="0.2">
      <c r="A3494" s="82">
        <v>3486</v>
      </c>
    </row>
    <row r="3495" spans="1:1" ht="15.75" customHeight="1" x14ac:dyDescent="0.2">
      <c r="A3495" s="81">
        <v>3487</v>
      </c>
    </row>
    <row r="3496" spans="1:1" ht="15.75" customHeight="1" x14ac:dyDescent="0.2">
      <c r="A3496" s="82">
        <v>3488</v>
      </c>
    </row>
    <row r="3497" spans="1:1" ht="15.75" customHeight="1" x14ac:dyDescent="0.2">
      <c r="A3497" s="81">
        <v>3489</v>
      </c>
    </row>
    <row r="3498" spans="1:1" ht="15.75" customHeight="1" x14ac:dyDescent="0.2">
      <c r="A3498" s="82">
        <v>3490</v>
      </c>
    </row>
    <row r="3499" spans="1:1" ht="15.75" customHeight="1" x14ac:dyDescent="0.2">
      <c r="A3499" s="81">
        <v>3491</v>
      </c>
    </row>
    <row r="3500" spans="1:1" ht="15.75" customHeight="1" x14ac:dyDescent="0.2">
      <c r="A3500" s="82">
        <v>3492</v>
      </c>
    </row>
    <row r="3501" spans="1:1" ht="15.75" customHeight="1" x14ac:dyDescent="0.2">
      <c r="A3501" s="81">
        <v>3493</v>
      </c>
    </row>
    <row r="3502" spans="1:1" ht="15.75" customHeight="1" x14ac:dyDescent="0.2">
      <c r="A3502" s="82">
        <v>3494</v>
      </c>
    </row>
    <row r="3503" spans="1:1" ht="15.75" customHeight="1" x14ac:dyDescent="0.2">
      <c r="A3503" s="81">
        <v>3495</v>
      </c>
    </row>
    <row r="3504" spans="1:1" ht="15.75" customHeight="1" x14ac:dyDescent="0.2">
      <c r="A3504" s="82">
        <v>3496</v>
      </c>
    </row>
    <row r="3505" spans="1:1" ht="15.75" customHeight="1" x14ac:dyDescent="0.2">
      <c r="A3505" s="81">
        <v>3497</v>
      </c>
    </row>
    <row r="3506" spans="1:1" ht="15.75" customHeight="1" x14ac:dyDescent="0.2">
      <c r="A3506" s="82">
        <v>3498</v>
      </c>
    </row>
    <row r="3507" spans="1:1" ht="15.75" customHeight="1" x14ac:dyDescent="0.2">
      <c r="A3507" s="81">
        <v>3499</v>
      </c>
    </row>
    <row r="3508" spans="1:1" ht="15.75" customHeight="1" x14ac:dyDescent="0.2">
      <c r="A3508" s="82">
        <v>3500</v>
      </c>
    </row>
    <row r="3509" spans="1:1" ht="15.75" customHeight="1" x14ac:dyDescent="0.2">
      <c r="A3509" s="81">
        <v>3501</v>
      </c>
    </row>
    <row r="3510" spans="1:1" ht="15.75" customHeight="1" x14ac:dyDescent="0.2">
      <c r="A3510" s="82">
        <v>3502</v>
      </c>
    </row>
    <row r="3511" spans="1:1" ht="15.75" customHeight="1" x14ac:dyDescent="0.2">
      <c r="A3511" s="81">
        <v>3503</v>
      </c>
    </row>
    <row r="3512" spans="1:1" ht="15.75" customHeight="1" x14ac:dyDescent="0.2">
      <c r="A3512" s="82">
        <v>3504</v>
      </c>
    </row>
    <row r="3513" spans="1:1" ht="15.75" customHeight="1" x14ac:dyDescent="0.2">
      <c r="A3513" s="81">
        <v>3505</v>
      </c>
    </row>
    <row r="3514" spans="1:1" ht="15.75" customHeight="1" x14ac:dyDescent="0.2">
      <c r="A3514" s="82">
        <v>3506</v>
      </c>
    </row>
    <row r="3515" spans="1:1" ht="15.75" customHeight="1" x14ac:dyDescent="0.2">
      <c r="A3515" s="81">
        <v>3507</v>
      </c>
    </row>
    <row r="3516" spans="1:1" ht="15.75" customHeight="1" x14ac:dyDescent="0.2">
      <c r="A3516" s="82">
        <v>3508</v>
      </c>
    </row>
    <row r="3517" spans="1:1" ht="15.75" customHeight="1" x14ac:dyDescent="0.2">
      <c r="A3517" s="81">
        <v>3509</v>
      </c>
    </row>
    <row r="3518" spans="1:1" ht="15.75" customHeight="1" x14ac:dyDescent="0.2">
      <c r="A3518" s="82">
        <v>3510</v>
      </c>
    </row>
    <row r="3519" spans="1:1" ht="15.75" customHeight="1" x14ac:dyDescent="0.2">
      <c r="A3519" s="81">
        <v>3511</v>
      </c>
    </row>
    <row r="3520" spans="1:1" ht="15.75" customHeight="1" x14ac:dyDescent="0.2">
      <c r="A3520" s="82">
        <v>3512</v>
      </c>
    </row>
    <row r="3521" spans="1:1" ht="15.75" customHeight="1" x14ac:dyDescent="0.2">
      <c r="A3521" s="81">
        <v>3513</v>
      </c>
    </row>
    <row r="3522" spans="1:1" ht="15.75" customHeight="1" x14ac:dyDescent="0.2">
      <c r="A3522" s="82">
        <v>3514</v>
      </c>
    </row>
    <row r="3523" spans="1:1" ht="15.75" customHeight="1" x14ac:dyDescent="0.2">
      <c r="A3523" s="81">
        <v>3515</v>
      </c>
    </row>
    <row r="3524" spans="1:1" ht="15.75" customHeight="1" x14ac:dyDescent="0.2">
      <c r="A3524" s="82">
        <v>3516</v>
      </c>
    </row>
    <row r="3525" spans="1:1" ht="15.75" customHeight="1" x14ac:dyDescent="0.2">
      <c r="A3525" s="81">
        <v>3517</v>
      </c>
    </row>
    <row r="3526" spans="1:1" ht="15.75" customHeight="1" x14ac:dyDescent="0.2">
      <c r="A3526" s="82">
        <v>3518</v>
      </c>
    </row>
    <row r="3527" spans="1:1" ht="15.75" customHeight="1" x14ac:dyDescent="0.2">
      <c r="A3527" s="81">
        <v>3519</v>
      </c>
    </row>
    <row r="3528" spans="1:1" ht="15.75" customHeight="1" x14ac:dyDescent="0.2">
      <c r="A3528" s="82">
        <v>3520</v>
      </c>
    </row>
    <row r="3529" spans="1:1" ht="15.75" customHeight="1" x14ac:dyDescent="0.2">
      <c r="A3529" s="81">
        <v>3521</v>
      </c>
    </row>
    <row r="3530" spans="1:1" ht="15.75" customHeight="1" x14ac:dyDescent="0.2">
      <c r="A3530" s="82">
        <v>3522</v>
      </c>
    </row>
    <row r="3531" spans="1:1" ht="15.75" customHeight="1" x14ac:dyDescent="0.2">
      <c r="A3531" s="81">
        <v>3523</v>
      </c>
    </row>
    <row r="3532" spans="1:1" ht="15.75" customHeight="1" x14ac:dyDescent="0.2">
      <c r="A3532" s="82">
        <v>3524</v>
      </c>
    </row>
    <row r="3533" spans="1:1" ht="15.75" customHeight="1" x14ac:dyDescent="0.2">
      <c r="A3533" s="81">
        <v>3525</v>
      </c>
    </row>
    <row r="3534" spans="1:1" ht="15.75" customHeight="1" x14ac:dyDescent="0.2">
      <c r="A3534" s="82">
        <v>3526</v>
      </c>
    </row>
    <row r="3535" spans="1:1" ht="15.75" customHeight="1" x14ac:dyDescent="0.2">
      <c r="A3535" s="81">
        <v>3527</v>
      </c>
    </row>
    <row r="3536" spans="1:1" ht="15.75" customHeight="1" x14ac:dyDescent="0.2">
      <c r="A3536" s="82">
        <v>3528</v>
      </c>
    </row>
    <row r="3537" spans="1:1" ht="15.75" customHeight="1" x14ac:dyDescent="0.2">
      <c r="A3537" s="81">
        <v>3529</v>
      </c>
    </row>
    <row r="3538" spans="1:1" ht="15.75" customHeight="1" x14ac:dyDescent="0.2">
      <c r="A3538" s="82">
        <v>3530</v>
      </c>
    </row>
    <row r="3539" spans="1:1" ht="15.75" customHeight="1" x14ac:dyDescent="0.2">
      <c r="A3539" s="81">
        <v>3531</v>
      </c>
    </row>
    <row r="3540" spans="1:1" ht="15.75" customHeight="1" x14ac:dyDescent="0.2">
      <c r="A3540" s="82">
        <v>3532</v>
      </c>
    </row>
    <row r="3541" spans="1:1" ht="15.75" customHeight="1" x14ac:dyDescent="0.2">
      <c r="A3541" s="81">
        <v>3533</v>
      </c>
    </row>
    <row r="3542" spans="1:1" ht="15.75" customHeight="1" x14ac:dyDescent="0.2">
      <c r="A3542" s="82">
        <v>3534</v>
      </c>
    </row>
    <row r="3543" spans="1:1" ht="15.75" customHeight="1" x14ac:dyDescent="0.2">
      <c r="A3543" s="81">
        <v>3535</v>
      </c>
    </row>
    <row r="3544" spans="1:1" ht="15.75" customHeight="1" x14ac:dyDescent="0.2">
      <c r="A3544" s="82">
        <v>3536</v>
      </c>
    </row>
    <row r="3545" spans="1:1" ht="15.75" customHeight="1" x14ac:dyDescent="0.2">
      <c r="A3545" s="81">
        <v>3537</v>
      </c>
    </row>
    <row r="3546" spans="1:1" ht="15.75" customHeight="1" x14ac:dyDescent="0.2">
      <c r="A3546" s="82">
        <v>3538</v>
      </c>
    </row>
    <row r="3547" spans="1:1" ht="15.75" customHeight="1" x14ac:dyDescent="0.2">
      <c r="A3547" s="81">
        <v>3539</v>
      </c>
    </row>
    <row r="3548" spans="1:1" ht="15.75" customHeight="1" x14ac:dyDescent="0.2">
      <c r="A3548" s="82">
        <v>3540</v>
      </c>
    </row>
    <row r="3549" spans="1:1" ht="15.75" customHeight="1" x14ac:dyDescent="0.2">
      <c r="A3549" s="81">
        <v>3541</v>
      </c>
    </row>
    <row r="3550" spans="1:1" ht="15.75" customHeight="1" x14ac:dyDescent="0.2">
      <c r="A3550" s="82">
        <v>3542</v>
      </c>
    </row>
    <row r="3551" spans="1:1" ht="15.75" customHeight="1" x14ac:dyDescent="0.2">
      <c r="A3551" s="81">
        <v>3543</v>
      </c>
    </row>
    <row r="3552" spans="1:1" ht="15.75" customHeight="1" x14ac:dyDescent="0.2">
      <c r="A3552" s="82">
        <v>3544</v>
      </c>
    </row>
    <row r="3553" spans="1:1" ht="15.75" customHeight="1" x14ac:dyDescent="0.2">
      <c r="A3553" s="81">
        <v>3545</v>
      </c>
    </row>
    <row r="3554" spans="1:1" ht="15.75" customHeight="1" x14ac:dyDescent="0.2">
      <c r="A3554" s="82">
        <v>3546</v>
      </c>
    </row>
    <row r="3555" spans="1:1" ht="15.75" customHeight="1" x14ac:dyDescent="0.2">
      <c r="A3555" s="81">
        <v>3547</v>
      </c>
    </row>
    <row r="3556" spans="1:1" ht="15.75" customHeight="1" x14ac:dyDescent="0.2">
      <c r="A3556" s="82">
        <v>3548</v>
      </c>
    </row>
    <row r="3557" spans="1:1" ht="15.75" customHeight="1" x14ac:dyDescent="0.2">
      <c r="A3557" s="81">
        <v>3549</v>
      </c>
    </row>
    <row r="3558" spans="1:1" ht="15.75" customHeight="1" x14ac:dyDescent="0.2">
      <c r="A3558" s="82">
        <v>3550</v>
      </c>
    </row>
    <row r="3559" spans="1:1" ht="15.75" customHeight="1" x14ac:dyDescent="0.2">
      <c r="A3559" s="81">
        <v>3551</v>
      </c>
    </row>
    <row r="3560" spans="1:1" ht="15.75" customHeight="1" x14ac:dyDescent="0.2">
      <c r="A3560" s="82">
        <v>3552</v>
      </c>
    </row>
    <row r="3561" spans="1:1" ht="15.75" customHeight="1" x14ac:dyDescent="0.2">
      <c r="A3561" s="81">
        <v>3553</v>
      </c>
    </row>
    <row r="3562" spans="1:1" ht="15.75" customHeight="1" x14ac:dyDescent="0.2">
      <c r="A3562" s="82">
        <v>3554</v>
      </c>
    </row>
    <row r="3563" spans="1:1" ht="15.75" customHeight="1" x14ac:dyDescent="0.2">
      <c r="A3563" s="81">
        <v>3555</v>
      </c>
    </row>
    <row r="3564" spans="1:1" ht="15.75" customHeight="1" x14ac:dyDescent="0.2">
      <c r="A3564" s="82">
        <v>3556</v>
      </c>
    </row>
    <row r="3565" spans="1:1" ht="15.75" customHeight="1" x14ac:dyDescent="0.2">
      <c r="A3565" s="81">
        <v>3557</v>
      </c>
    </row>
    <row r="3566" spans="1:1" ht="15.75" customHeight="1" x14ac:dyDescent="0.2">
      <c r="A3566" s="82">
        <v>3558</v>
      </c>
    </row>
    <row r="3567" spans="1:1" ht="15.75" customHeight="1" x14ac:dyDescent="0.2">
      <c r="A3567" s="81">
        <v>3559</v>
      </c>
    </row>
    <row r="3568" spans="1:1" ht="15.75" customHeight="1" x14ac:dyDescent="0.2">
      <c r="A3568" s="82">
        <v>3560</v>
      </c>
    </row>
    <row r="3569" spans="1:1" ht="15.75" customHeight="1" x14ac:dyDescent="0.2">
      <c r="A3569" s="81">
        <v>3561</v>
      </c>
    </row>
    <row r="3570" spans="1:1" ht="15.75" customHeight="1" x14ac:dyDescent="0.2">
      <c r="A3570" s="82">
        <v>3562</v>
      </c>
    </row>
    <row r="3571" spans="1:1" ht="15.75" customHeight="1" x14ac:dyDescent="0.2">
      <c r="A3571" s="81">
        <v>3563</v>
      </c>
    </row>
    <row r="3572" spans="1:1" ht="15.75" customHeight="1" x14ac:dyDescent="0.2">
      <c r="A3572" s="82">
        <v>3564</v>
      </c>
    </row>
    <row r="3573" spans="1:1" ht="15.75" customHeight="1" x14ac:dyDescent="0.2">
      <c r="A3573" s="81">
        <v>3565</v>
      </c>
    </row>
    <row r="3574" spans="1:1" ht="15.75" customHeight="1" x14ac:dyDescent="0.2">
      <c r="A3574" s="82">
        <v>3566</v>
      </c>
    </row>
    <row r="3575" spans="1:1" ht="15.75" customHeight="1" x14ac:dyDescent="0.2">
      <c r="A3575" s="81">
        <v>3567</v>
      </c>
    </row>
    <row r="3576" spans="1:1" ht="15.75" customHeight="1" x14ac:dyDescent="0.2">
      <c r="A3576" s="82">
        <v>3568</v>
      </c>
    </row>
    <row r="3577" spans="1:1" ht="15.75" customHeight="1" x14ac:dyDescent="0.2">
      <c r="A3577" s="81">
        <v>3569</v>
      </c>
    </row>
    <row r="3578" spans="1:1" ht="15.75" customHeight="1" x14ac:dyDescent="0.2">
      <c r="A3578" s="82">
        <v>3570</v>
      </c>
    </row>
    <row r="3579" spans="1:1" ht="15.75" customHeight="1" x14ac:dyDescent="0.2">
      <c r="A3579" s="81">
        <v>3571</v>
      </c>
    </row>
    <row r="3580" spans="1:1" ht="15.75" customHeight="1" x14ac:dyDescent="0.2">
      <c r="A3580" s="82">
        <v>3572</v>
      </c>
    </row>
    <row r="3581" spans="1:1" ht="15.75" customHeight="1" x14ac:dyDescent="0.2">
      <c r="A3581" s="81">
        <v>3573</v>
      </c>
    </row>
    <row r="3582" spans="1:1" ht="15.75" customHeight="1" x14ac:dyDescent="0.2">
      <c r="A3582" s="82">
        <v>3574</v>
      </c>
    </row>
    <row r="3583" spans="1:1" ht="15.75" customHeight="1" x14ac:dyDescent="0.2">
      <c r="A3583" s="81">
        <v>3575</v>
      </c>
    </row>
    <row r="3584" spans="1:1" ht="15.75" customHeight="1" x14ac:dyDescent="0.2">
      <c r="A3584" s="82">
        <v>3576</v>
      </c>
    </row>
    <row r="3585" spans="1:1" ht="15.75" customHeight="1" x14ac:dyDescent="0.2">
      <c r="A3585" s="81">
        <v>3577</v>
      </c>
    </row>
    <row r="3586" spans="1:1" ht="15.75" customHeight="1" x14ac:dyDescent="0.2">
      <c r="A3586" s="82">
        <v>3578</v>
      </c>
    </row>
    <row r="3587" spans="1:1" ht="15.75" customHeight="1" x14ac:dyDescent="0.2">
      <c r="A3587" s="81">
        <v>3579</v>
      </c>
    </row>
    <row r="3588" spans="1:1" ht="15.75" customHeight="1" x14ac:dyDescent="0.2">
      <c r="A3588" s="82">
        <v>3580</v>
      </c>
    </row>
    <row r="3589" spans="1:1" ht="15.75" customHeight="1" x14ac:dyDescent="0.2">
      <c r="A3589" s="81">
        <v>3581</v>
      </c>
    </row>
    <row r="3590" spans="1:1" ht="15.75" customHeight="1" x14ac:dyDescent="0.2">
      <c r="A3590" s="82">
        <v>3582</v>
      </c>
    </row>
    <row r="3591" spans="1:1" ht="15.75" customHeight="1" x14ac:dyDescent="0.2">
      <c r="A3591" s="81">
        <v>3583</v>
      </c>
    </row>
    <row r="3592" spans="1:1" ht="15.75" customHeight="1" x14ac:dyDescent="0.2">
      <c r="A3592" s="82">
        <v>3584</v>
      </c>
    </row>
    <row r="3593" spans="1:1" ht="15.75" customHeight="1" x14ac:dyDescent="0.2">
      <c r="A3593" s="81">
        <v>3585</v>
      </c>
    </row>
    <row r="3594" spans="1:1" ht="15.75" customHeight="1" x14ac:dyDescent="0.2">
      <c r="A3594" s="82">
        <v>3586</v>
      </c>
    </row>
    <row r="3595" spans="1:1" ht="15.75" customHeight="1" x14ac:dyDescent="0.2">
      <c r="A3595" s="81">
        <v>3587</v>
      </c>
    </row>
    <row r="3596" spans="1:1" ht="15.75" customHeight="1" x14ac:dyDescent="0.2">
      <c r="A3596" s="82">
        <v>3588</v>
      </c>
    </row>
    <row r="3597" spans="1:1" ht="15.75" customHeight="1" x14ac:dyDescent="0.2">
      <c r="A3597" s="81">
        <v>3589</v>
      </c>
    </row>
    <row r="3598" spans="1:1" ht="15.75" customHeight="1" x14ac:dyDescent="0.2">
      <c r="A3598" s="82">
        <v>3590</v>
      </c>
    </row>
    <row r="3599" spans="1:1" ht="15.75" customHeight="1" x14ac:dyDescent="0.2">
      <c r="A3599" s="81">
        <v>3591</v>
      </c>
    </row>
    <row r="3600" spans="1:1" ht="15.75" customHeight="1" x14ac:dyDescent="0.2">
      <c r="A3600" s="82">
        <v>3592</v>
      </c>
    </row>
    <row r="3601" spans="1:1" ht="15.75" customHeight="1" x14ac:dyDescent="0.2">
      <c r="A3601" s="81">
        <v>3593</v>
      </c>
    </row>
    <row r="3602" spans="1:1" ht="15.75" customHeight="1" x14ac:dyDescent="0.2">
      <c r="A3602" s="82">
        <v>3594</v>
      </c>
    </row>
    <row r="3603" spans="1:1" ht="15.75" customHeight="1" x14ac:dyDescent="0.2">
      <c r="A3603" s="81">
        <v>3595</v>
      </c>
    </row>
    <row r="3604" spans="1:1" ht="15.75" customHeight="1" x14ac:dyDescent="0.2">
      <c r="A3604" s="82">
        <v>3596</v>
      </c>
    </row>
    <row r="3605" spans="1:1" ht="15.75" customHeight="1" x14ac:dyDescent="0.2">
      <c r="A3605" s="81">
        <v>3597</v>
      </c>
    </row>
    <row r="3606" spans="1:1" ht="15.75" customHeight="1" x14ac:dyDescent="0.2">
      <c r="A3606" s="82">
        <v>3598</v>
      </c>
    </row>
    <row r="3607" spans="1:1" ht="15.75" customHeight="1" x14ac:dyDescent="0.2">
      <c r="A3607" s="81">
        <v>3599</v>
      </c>
    </row>
    <row r="3608" spans="1:1" ht="15.75" customHeight="1" x14ac:dyDescent="0.2">
      <c r="A3608" s="82">
        <v>3600</v>
      </c>
    </row>
    <row r="3609" spans="1:1" ht="15.75" customHeight="1" x14ac:dyDescent="0.2">
      <c r="A3609" s="81">
        <v>3601</v>
      </c>
    </row>
    <row r="3610" spans="1:1" ht="15.75" customHeight="1" x14ac:dyDescent="0.2">
      <c r="A3610" s="82">
        <v>3602</v>
      </c>
    </row>
    <row r="3611" spans="1:1" ht="15.75" customHeight="1" x14ac:dyDescent="0.2">
      <c r="A3611" s="81">
        <v>3603</v>
      </c>
    </row>
    <row r="3612" spans="1:1" ht="15.75" customHeight="1" x14ac:dyDescent="0.2">
      <c r="A3612" s="82">
        <v>3604</v>
      </c>
    </row>
    <row r="3613" spans="1:1" ht="15.75" customHeight="1" x14ac:dyDescent="0.2">
      <c r="A3613" s="81">
        <v>3605</v>
      </c>
    </row>
    <row r="3614" spans="1:1" ht="15.75" customHeight="1" x14ac:dyDescent="0.2">
      <c r="A3614" s="82">
        <v>3606</v>
      </c>
    </row>
    <row r="3615" spans="1:1" ht="15.75" customHeight="1" x14ac:dyDescent="0.2">
      <c r="A3615" s="81">
        <v>3607</v>
      </c>
    </row>
    <row r="3616" spans="1:1" ht="15.75" customHeight="1" x14ac:dyDescent="0.2">
      <c r="A3616" s="82">
        <v>3608</v>
      </c>
    </row>
    <row r="3617" spans="1:1" ht="15.75" customHeight="1" x14ac:dyDescent="0.2">
      <c r="A3617" s="81">
        <v>3609</v>
      </c>
    </row>
    <row r="3618" spans="1:1" ht="15.75" customHeight="1" x14ac:dyDescent="0.2">
      <c r="A3618" s="82">
        <v>3610</v>
      </c>
    </row>
    <row r="3619" spans="1:1" ht="15.75" customHeight="1" x14ac:dyDescent="0.2">
      <c r="A3619" s="81">
        <v>3611</v>
      </c>
    </row>
    <row r="3620" spans="1:1" ht="15.75" customHeight="1" x14ac:dyDescent="0.2">
      <c r="A3620" s="82">
        <v>3612</v>
      </c>
    </row>
    <row r="3621" spans="1:1" ht="15.75" customHeight="1" x14ac:dyDescent="0.2">
      <c r="A3621" s="81">
        <v>3613</v>
      </c>
    </row>
    <row r="3622" spans="1:1" ht="15.75" customHeight="1" x14ac:dyDescent="0.2">
      <c r="A3622" s="82">
        <v>3614</v>
      </c>
    </row>
    <row r="3623" spans="1:1" ht="15.75" customHeight="1" x14ac:dyDescent="0.2">
      <c r="A3623" s="81">
        <v>3615</v>
      </c>
    </row>
    <row r="3624" spans="1:1" ht="15.75" customHeight="1" x14ac:dyDescent="0.2">
      <c r="A3624" s="82">
        <v>3616</v>
      </c>
    </row>
    <row r="3625" spans="1:1" ht="15.75" customHeight="1" x14ac:dyDescent="0.2">
      <c r="A3625" s="81">
        <v>3617</v>
      </c>
    </row>
    <row r="3626" spans="1:1" ht="15.75" customHeight="1" x14ac:dyDescent="0.2">
      <c r="A3626" s="82">
        <v>3618</v>
      </c>
    </row>
    <row r="3627" spans="1:1" ht="15.75" customHeight="1" x14ac:dyDescent="0.2">
      <c r="A3627" s="81">
        <v>3619</v>
      </c>
    </row>
    <row r="3628" spans="1:1" ht="15.75" customHeight="1" x14ac:dyDescent="0.2">
      <c r="A3628" s="82">
        <v>3620</v>
      </c>
    </row>
    <row r="3629" spans="1:1" ht="15.75" customHeight="1" x14ac:dyDescent="0.2">
      <c r="A3629" s="81">
        <v>3621</v>
      </c>
    </row>
    <row r="3630" spans="1:1" ht="15.75" customHeight="1" x14ac:dyDescent="0.2">
      <c r="A3630" s="82">
        <v>3622</v>
      </c>
    </row>
    <row r="3631" spans="1:1" ht="15.75" customHeight="1" x14ac:dyDescent="0.2">
      <c r="A3631" s="81">
        <v>3623</v>
      </c>
    </row>
    <row r="3632" spans="1:1" ht="15.75" customHeight="1" x14ac:dyDescent="0.2">
      <c r="A3632" s="82">
        <v>3624</v>
      </c>
    </row>
    <row r="3633" spans="1:1" ht="15.75" customHeight="1" x14ac:dyDescent="0.2">
      <c r="A3633" s="81">
        <v>3625</v>
      </c>
    </row>
    <row r="3634" spans="1:1" ht="15.75" customHeight="1" x14ac:dyDescent="0.2">
      <c r="A3634" s="82">
        <v>3626</v>
      </c>
    </row>
    <row r="3635" spans="1:1" ht="15.75" customHeight="1" x14ac:dyDescent="0.2">
      <c r="A3635" s="81">
        <v>3627</v>
      </c>
    </row>
    <row r="3636" spans="1:1" ht="15.75" customHeight="1" x14ac:dyDescent="0.2">
      <c r="A3636" s="82">
        <v>3628</v>
      </c>
    </row>
    <row r="3637" spans="1:1" ht="15.75" customHeight="1" x14ac:dyDescent="0.2">
      <c r="A3637" s="81">
        <v>3629</v>
      </c>
    </row>
    <row r="3638" spans="1:1" ht="15.75" customHeight="1" x14ac:dyDescent="0.2">
      <c r="A3638" s="82">
        <v>3630</v>
      </c>
    </row>
    <row r="3639" spans="1:1" ht="15.75" customHeight="1" x14ac:dyDescent="0.2">
      <c r="A3639" s="81">
        <v>3631</v>
      </c>
    </row>
    <row r="3640" spans="1:1" ht="15.75" customHeight="1" x14ac:dyDescent="0.2">
      <c r="A3640" s="82">
        <v>3632</v>
      </c>
    </row>
    <row r="3641" spans="1:1" ht="15.75" customHeight="1" x14ac:dyDescent="0.2">
      <c r="A3641" s="81">
        <v>3633</v>
      </c>
    </row>
    <row r="3642" spans="1:1" ht="15.75" customHeight="1" x14ac:dyDescent="0.2">
      <c r="A3642" s="82">
        <v>3634</v>
      </c>
    </row>
    <row r="3643" spans="1:1" ht="15.75" customHeight="1" x14ac:dyDescent="0.2">
      <c r="A3643" s="81">
        <v>3635</v>
      </c>
    </row>
    <row r="3644" spans="1:1" ht="15.75" customHeight="1" x14ac:dyDescent="0.2">
      <c r="A3644" s="82">
        <v>3636</v>
      </c>
    </row>
    <row r="3645" spans="1:1" ht="15.75" customHeight="1" x14ac:dyDescent="0.2">
      <c r="A3645" s="81">
        <v>3637</v>
      </c>
    </row>
    <row r="3646" spans="1:1" ht="15.75" customHeight="1" x14ac:dyDescent="0.2">
      <c r="A3646" s="82">
        <v>3638</v>
      </c>
    </row>
    <row r="3647" spans="1:1" ht="15.75" customHeight="1" x14ac:dyDescent="0.2">
      <c r="A3647" s="81">
        <v>3639</v>
      </c>
    </row>
    <row r="3648" spans="1:1" ht="15.75" customHeight="1" x14ac:dyDescent="0.2">
      <c r="A3648" s="82">
        <v>3640</v>
      </c>
    </row>
    <row r="3649" spans="1:1" ht="15.75" customHeight="1" x14ac:dyDescent="0.2">
      <c r="A3649" s="81">
        <v>3641</v>
      </c>
    </row>
    <row r="3650" spans="1:1" ht="15.75" customHeight="1" x14ac:dyDescent="0.2">
      <c r="A3650" s="82">
        <v>3642</v>
      </c>
    </row>
    <row r="3651" spans="1:1" ht="15.75" customHeight="1" x14ac:dyDescent="0.2">
      <c r="A3651" s="81">
        <v>3643</v>
      </c>
    </row>
    <row r="3652" spans="1:1" ht="15.75" customHeight="1" x14ac:dyDescent="0.2">
      <c r="A3652" s="82">
        <v>3644</v>
      </c>
    </row>
    <row r="3653" spans="1:1" ht="15.75" customHeight="1" x14ac:dyDescent="0.2">
      <c r="A3653" s="81">
        <v>3645</v>
      </c>
    </row>
    <row r="3654" spans="1:1" ht="15.75" customHeight="1" x14ac:dyDescent="0.2">
      <c r="A3654" s="82">
        <v>3646</v>
      </c>
    </row>
    <row r="3655" spans="1:1" ht="15.75" customHeight="1" x14ac:dyDescent="0.2">
      <c r="A3655" s="81">
        <v>3647</v>
      </c>
    </row>
    <row r="3656" spans="1:1" ht="15.75" customHeight="1" x14ac:dyDescent="0.2">
      <c r="A3656" s="82">
        <v>3648</v>
      </c>
    </row>
    <row r="3657" spans="1:1" ht="15.75" customHeight="1" x14ac:dyDescent="0.2">
      <c r="A3657" s="81">
        <v>3649</v>
      </c>
    </row>
    <row r="3658" spans="1:1" ht="15.75" customHeight="1" x14ac:dyDescent="0.2">
      <c r="A3658" s="82">
        <v>3650</v>
      </c>
    </row>
    <row r="3659" spans="1:1" ht="15.75" customHeight="1" x14ac:dyDescent="0.2">
      <c r="A3659" s="81">
        <v>3651</v>
      </c>
    </row>
    <row r="3660" spans="1:1" ht="15.75" customHeight="1" x14ac:dyDescent="0.2">
      <c r="A3660" s="82">
        <v>3652</v>
      </c>
    </row>
    <row r="3661" spans="1:1" ht="15.75" customHeight="1" x14ac:dyDescent="0.2">
      <c r="A3661" s="81">
        <v>3653</v>
      </c>
    </row>
    <row r="3662" spans="1:1" ht="15.75" customHeight="1" x14ac:dyDescent="0.2">
      <c r="A3662" s="82">
        <v>3654</v>
      </c>
    </row>
    <row r="3663" spans="1:1" ht="15.75" customHeight="1" x14ac:dyDescent="0.2">
      <c r="A3663" s="81">
        <v>3655</v>
      </c>
    </row>
    <row r="3664" spans="1:1" ht="15.75" customHeight="1" x14ac:dyDescent="0.2">
      <c r="A3664" s="82">
        <v>3656</v>
      </c>
    </row>
    <row r="3665" spans="1:1" ht="15.75" customHeight="1" x14ac:dyDescent="0.2">
      <c r="A3665" s="81">
        <v>3657</v>
      </c>
    </row>
    <row r="3666" spans="1:1" ht="15.75" customHeight="1" x14ac:dyDescent="0.2">
      <c r="A3666" s="82">
        <v>3658</v>
      </c>
    </row>
    <row r="3667" spans="1:1" ht="15.75" customHeight="1" x14ac:dyDescent="0.2">
      <c r="A3667" s="81">
        <v>3659</v>
      </c>
    </row>
    <row r="3668" spans="1:1" ht="15.75" customHeight="1" x14ac:dyDescent="0.2">
      <c r="A3668" s="82">
        <v>3660</v>
      </c>
    </row>
    <row r="3669" spans="1:1" ht="15.75" customHeight="1" x14ac:dyDescent="0.2">
      <c r="A3669" s="81">
        <v>3661</v>
      </c>
    </row>
    <row r="3670" spans="1:1" ht="15.75" customHeight="1" x14ac:dyDescent="0.2">
      <c r="A3670" s="82">
        <v>3662</v>
      </c>
    </row>
    <row r="3671" spans="1:1" ht="15.75" customHeight="1" x14ac:dyDescent="0.2">
      <c r="A3671" s="81">
        <v>3663</v>
      </c>
    </row>
    <row r="3672" spans="1:1" ht="15.75" customHeight="1" x14ac:dyDescent="0.2">
      <c r="A3672" s="82">
        <v>3664</v>
      </c>
    </row>
    <row r="3673" spans="1:1" ht="15.75" customHeight="1" x14ac:dyDescent="0.2">
      <c r="A3673" s="81">
        <v>3665</v>
      </c>
    </row>
    <row r="3674" spans="1:1" ht="15.75" customHeight="1" x14ac:dyDescent="0.2">
      <c r="A3674" s="82">
        <v>3666</v>
      </c>
    </row>
    <row r="3675" spans="1:1" ht="15.75" customHeight="1" x14ac:dyDescent="0.2">
      <c r="A3675" s="81">
        <v>3667</v>
      </c>
    </row>
    <row r="3676" spans="1:1" ht="15.75" customHeight="1" x14ac:dyDescent="0.2">
      <c r="A3676" s="82">
        <v>3668</v>
      </c>
    </row>
    <row r="3677" spans="1:1" ht="15.75" customHeight="1" x14ac:dyDescent="0.2">
      <c r="A3677" s="81">
        <v>3669</v>
      </c>
    </row>
    <row r="3678" spans="1:1" ht="15.75" customHeight="1" x14ac:dyDescent="0.2">
      <c r="A3678" s="82">
        <v>3670</v>
      </c>
    </row>
    <row r="3679" spans="1:1" ht="15.75" customHeight="1" x14ac:dyDescent="0.2">
      <c r="A3679" s="81">
        <v>3671</v>
      </c>
    </row>
    <row r="3680" spans="1:1" ht="15.75" customHeight="1" x14ac:dyDescent="0.2">
      <c r="A3680" s="82">
        <v>3672</v>
      </c>
    </row>
    <row r="3681" spans="1:1" ht="15.75" customHeight="1" x14ac:dyDescent="0.2">
      <c r="A3681" s="81">
        <v>3673</v>
      </c>
    </row>
    <row r="3682" spans="1:1" ht="15.75" customHeight="1" x14ac:dyDescent="0.2">
      <c r="A3682" s="82">
        <v>3674</v>
      </c>
    </row>
    <row r="3683" spans="1:1" ht="15.75" customHeight="1" x14ac:dyDescent="0.2">
      <c r="A3683" s="81">
        <v>3675</v>
      </c>
    </row>
    <row r="3684" spans="1:1" ht="15.75" customHeight="1" x14ac:dyDescent="0.2">
      <c r="A3684" s="82">
        <v>3676</v>
      </c>
    </row>
    <row r="3685" spans="1:1" ht="15.75" customHeight="1" x14ac:dyDescent="0.2">
      <c r="A3685" s="81">
        <v>3677</v>
      </c>
    </row>
    <row r="3686" spans="1:1" ht="15.75" customHeight="1" x14ac:dyDescent="0.2">
      <c r="A3686" s="82">
        <v>3678</v>
      </c>
    </row>
    <row r="3687" spans="1:1" ht="15.75" customHeight="1" x14ac:dyDescent="0.2">
      <c r="A3687" s="81">
        <v>3679</v>
      </c>
    </row>
    <row r="3688" spans="1:1" ht="15.75" customHeight="1" x14ac:dyDescent="0.2">
      <c r="A3688" s="82">
        <v>3680</v>
      </c>
    </row>
    <row r="3689" spans="1:1" ht="15.75" customHeight="1" x14ac:dyDescent="0.2">
      <c r="A3689" s="81">
        <v>3681</v>
      </c>
    </row>
    <row r="3690" spans="1:1" ht="15.75" customHeight="1" x14ac:dyDescent="0.2">
      <c r="A3690" s="82">
        <v>3682</v>
      </c>
    </row>
    <row r="3691" spans="1:1" ht="15.75" customHeight="1" x14ac:dyDescent="0.2">
      <c r="A3691" s="81">
        <v>3683</v>
      </c>
    </row>
    <row r="3692" spans="1:1" ht="15.75" customHeight="1" x14ac:dyDescent="0.2">
      <c r="A3692" s="82">
        <v>3684</v>
      </c>
    </row>
    <row r="3693" spans="1:1" ht="15.75" customHeight="1" x14ac:dyDescent="0.2">
      <c r="A3693" s="81">
        <v>3685</v>
      </c>
    </row>
    <row r="3694" spans="1:1" ht="15.75" customHeight="1" x14ac:dyDescent="0.2">
      <c r="A3694" s="82">
        <v>3686</v>
      </c>
    </row>
    <row r="3695" spans="1:1" ht="15.75" customHeight="1" x14ac:dyDescent="0.2">
      <c r="A3695" s="81">
        <v>3687</v>
      </c>
    </row>
    <row r="3696" spans="1:1" ht="15.75" customHeight="1" x14ac:dyDescent="0.2">
      <c r="A3696" s="82">
        <v>3688</v>
      </c>
    </row>
    <row r="3697" spans="1:1" ht="15.75" customHeight="1" x14ac:dyDescent="0.2">
      <c r="A3697" s="81">
        <v>3689</v>
      </c>
    </row>
    <row r="3698" spans="1:1" ht="15.75" customHeight="1" x14ac:dyDescent="0.2">
      <c r="A3698" s="82">
        <v>3690</v>
      </c>
    </row>
    <row r="3699" spans="1:1" ht="15.75" customHeight="1" x14ac:dyDescent="0.2">
      <c r="A3699" s="81">
        <v>3691</v>
      </c>
    </row>
    <row r="3700" spans="1:1" ht="15.75" customHeight="1" x14ac:dyDescent="0.2">
      <c r="A3700" s="82">
        <v>3692</v>
      </c>
    </row>
    <row r="3701" spans="1:1" ht="15.75" customHeight="1" x14ac:dyDescent="0.2">
      <c r="A3701" s="81">
        <v>3693</v>
      </c>
    </row>
    <row r="3702" spans="1:1" ht="15.75" customHeight="1" x14ac:dyDescent="0.2">
      <c r="A3702" s="82">
        <v>3694</v>
      </c>
    </row>
    <row r="3703" spans="1:1" ht="15.75" customHeight="1" x14ac:dyDescent="0.2">
      <c r="A3703" s="81">
        <v>3695</v>
      </c>
    </row>
    <row r="3704" spans="1:1" ht="15.75" customHeight="1" x14ac:dyDescent="0.2">
      <c r="A3704" s="82">
        <v>3696</v>
      </c>
    </row>
    <row r="3705" spans="1:1" ht="15.75" customHeight="1" x14ac:dyDescent="0.2">
      <c r="A3705" s="81">
        <v>3697</v>
      </c>
    </row>
    <row r="3706" spans="1:1" ht="15.75" customHeight="1" x14ac:dyDescent="0.2">
      <c r="A3706" s="82">
        <v>3698</v>
      </c>
    </row>
    <row r="3707" spans="1:1" ht="15.75" customHeight="1" x14ac:dyDescent="0.2">
      <c r="A3707" s="81">
        <v>3699</v>
      </c>
    </row>
    <row r="3708" spans="1:1" ht="15.75" customHeight="1" x14ac:dyDescent="0.2">
      <c r="A3708" s="82">
        <v>3700</v>
      </c>
    </row>
    <row r="3709" spans="1:1" ht="15.75" customHeight="1" x14ac:dyDescent="0.2">
      <c r="A3709" s="81">
        <v>3701</v>
      </c>
    </row>
    <row r="3710" spans="1:1" ht="15.75" customHeight="1" x14ac:dyDescent="0.2">
      <c r="A3710" s="82">
        <v>3702</v>
      </c>
    </row>
    <row r="3711" spans="1:1" ht="15.75" customHeight="1" x14ac:dyDescent="0.2">
      <c r="A3711" s="81">
        <v>3703</v>
      </c>
    </row>
    <row r="3712" spans="1:1" ht="15.75" customHeight="1" x14ac:dyDescent="0.2">
      <c r="A3712" s="82">
        <v>3704</v>
      </c>
    </row>
    <row r="3713" spans="1:1" ht="15.75" customHeight="1" x14ac:dyDescent="0.2">
      <c r="A3713" s="81">
        <v>3705</v>
      </c>
    </row>
    <row r="3714" spans="1:1" ht="15.75" customHeight="1" x14ac:dyDescent="0.2">
      <c r="A3714" s="82">
        <v>3706</v>
      </c>
    </row>
    <row r="3715" spans="1:1" ht="15.75" customHeight="1" x14ac:dyDescent="0.2">
      <c r="A3715" s="81">
        <v>3707</v>
      </c>
    </row>
    <row r="3716" spans="1:1" ht="15.75" customHeight="1" x14ac:dyDescent="0.2">
      <c r="A3716" s="82">
        <v>3708</v>
      </c>
    </row>
    <row r="3717" spans="1:1" ht="15.75" customHeight="1" x14ac:dyDescent="0.2">
      <c r="A3717" s="81">
        <v>3709</v>
      </c>
    </row>
    <row r="3718" spans="1:1" ht="15.75" customHeight="1" x14ac:dyDescent="0.2">
      <c r="A3718" s="82">
        <v>3710</v>
      </c>
    </row>
    <row r="3719" spans="1:1" ht="15.75" customHeight="1" x14ac:dyDescent="0.2">
      <c r="A3719" s="81">
        <v>3711</v>
      </c>
    </row>
    <row r="3720" spans="1:1" ht="15.75" customHeight="1" x14ac:dyDescent="0.2">
      <c r="A3720" s="82">
        <v>3712</v>
      </c>
    </row>
    <row r="3721" spans="1:1" ht="15.75" customHeight="1" x14ac:dyDescent="0.2">
      <c r="A3721" s="81">
        <v>3713</v>
      </c>
    </row>
    <row r="3722" spans="1:1" ht="15.75" customHeight="1" x14ac:dyDescent="0.2">
      <c r="A3722" s="82">
        <v>3714</v>
      </c>
    </row>
    <row r="3723" spans="1:1" ht="15.75" customHeight="1" x14ac:dyDescent="0.2">
      <c r="A3723" s="81">
        <v>3715</v>
      </c>
    </row>
    <row r="3724" spans="1:1" ht="15.75" customHeight="1" x14ac:dyDescent="0.2">
      <c r="A3724" s="82">
        <v>3716</v>
      </c>
    </row>
    <row r="3725" spans="1:1" ht="15.75" customHeight="1" x14ac:dyDescent="0.2">
      <c r="A3725" s="81">
        <v>3717</v>
      </c>
    </row>
    <row r="3726" spans="1:1" ht="15.75" customHeight="1" x14ac:dyDescent="0.2">
      <c r="A3726" s="82">
        <v>3718</v>
      </c>
    </row>
    <row r="3727" spans="1:1" ht="15.75" customHeight="1" x14ac:dyDescent="0.2">
      <c r="A3727" s="81">
        <v>3719</v>
      </c>
    </row>
    <row r="3728" spans="1:1" ht="15.75" customHeight="1" x14ac:dyDescent="0.2">
      <c r="A3728" s="82">
        <v>3720</v>
      </c>
    </row>
    <row r="3729" spans="1:1" ht="15.75" customHeight="1" x14ac:dyDescent="0.2">
      <c r="A3729" s="81">
        <v>3721</v>
      </c>
    </row>
    <row r="3730" spans="1:1" ht="15.75" customHeight="1" x14ac:dyDescent="0.2">
      <c r="A3730" s="82">
        <v>3722</v>
      </c>
    </row>
    <row r="3731" spans="1:1" ht="15.75" customHeight="1" x14ac:dyDescent="0.2">
      <c r="A3731" s="81">
        <v>3723</v>
      </c>
    </row>
    <row r="3732" spans="1:1" ht="15.75" customHeight="1" x14ac:dyDescent="0.2">
      <c r="A3732" s="82">
        <v>3724</v>
      </c>
    </row>
    <row r="3733" spans="1:1" ht="15.75" customHeight="1" x14ac:dyDescent="0.2">
      <c r="A3733" s="81">
        <v>3725</v>
      </c>
    </row>
    <row r="3734" spans="1:1" ht="15.75" customHeight="1" x14ac:dyDescent="0.2">
      <c r="A3734" s="82">
        <v>3726</v>
      </c>
    </row>
    <row r="3735" spans="1:1" ht="15.75" customHeight="1" x14ac:dyDescent="0.2">
      <c r="A3735" s="81">
        <v>3727</v>
      </c>
    </row>
    <row r="3736" spans="1:1" ht="15.75" customHeight="1" x14ac:dyDescent="0.2">
      <c r="A3736" s="82">
        <v>3728</v>
      </c>
    </row>
    <row r="3737" spans="1:1" ht="15.75" customHeight="1" x14ac:dyDescent="0.2">
      <c r="A3737" s="81">
        <v>3729</v>
      </c>
    </row>
    <row r="3738" spans="1:1" ht="15.75" customHeight="1" x14ac:dyDescent="0.2">
      <c r="A3738" s="82">
        <v>3730</v>
      </c>
    </row>
    <row r="3739" spans="1:1" ht="15.75" customHeight="1" x14ac:dyDescent="0.2">
      <c r="A3739" s="81">
        <v>3731</v>
      </c>
    </row>
    <row r="3740" spans="1:1" ht="15.75" customHeight="1" x14ac:dyDescent="0.2">
      <c r="A3740" s="82">
        <v>3732</v>
      </c>
    </row>
    <row r="3741" spans="1:1" ht="15.75" customHeight="1" x14ac:dyDescent="0.2">
      <c r="A3741" s="81">
        <v>3733</v>
      </c>
    </row>
    <row r="3742" spans="1:1" ht="15.75" customHeight="1" x14ac:dyDescent="0.2">
      <c r="A3742" s="82">
        <v>3734</v>
      </c>
    </row>
    <row r="3743" spans="1:1" ht="15.75" customHeight="1" x14ac:dyDescent="0.2">
      <c r="A3743" s="81">
        <v>3735</v>
      </c>
    </row>
    <row r="3744" spans="1:1" ht="15.75" customHeight="1" x14ac:dyDescent="0.2">
      <c r="A3744" s="82">
        <v>3736</v>
      </c>
    </row>
    <row r="3745" spans="1:1" ht="15.75" customHeight="1" x14ac:dyDescent="0.2">
      <c r="A3745" s="81">
        <v>3737</v>
      </c>
    </row>
    <row r="3746" spans="1:1" ht="15.75" customHeight="1" x14ac:dyDescent="0.2">
      <c r="A3746" s="82">
        <v>3738</v>
      </c>
    </row>
    <row r="3747" spans="1:1" ht="15.75" customHeight="1" x14ac:dyDescent="0.2">
      <c r="A3747" s="81">
        <v>3739</v>
      </c>
    </row>
    <row r="3748" spans="1:1" ht="15.75" customHeight="1" x14ac:dyDescent="0.2">
      <c r="A3748" s="82">
        <v>3740</v>
      </c>
    </row>
    <row r="3749" spans="1:1" ht="15.75" customHeight="1" x14ac:dyDescent="0.2">
      <c r="A3749" s="81">
        <v>3741</v>
      </c>
    </row>
    <row r="3750" spans="1:1" ht="15.75" customHeight="1" x14ac:dyDescent="0.2">
      <c r="A3750" s="82">
        <v>3742</v>
      </c>
    </row>
    <row r="3751" spans="1:1" ht="15.75" customHeight="1" x14ac:dyDescent="0.2">
      <c r="A3751" s="81">
        <v>3743</v>
      </c>
    </row>
    <row r="3752" spans="1:1" ht="15.75" customHeight="1" x14ac:dyDescent="0.2">
      <c r="A3752" s="82">
        <v>3744</v>
      </c>
    </row>
    <row r="3753" spans="1:1" ht="15.75" customHeight="1" x14ac:dyDescent="0.2">
      <c r="A3753" s="81">
        <v>3745</v>
      </c>
    </row>
    <row r="3754" spans="1:1" ht="15.75" customHeight="1" x14ac:dyDescent="0.2">
      <c r="A3754" s="82">
        <v>3746</v>
      </c>
    </row>
    <row r="3755" spans="1:1" ht="15.75" customHeight="1" x14ac:dyDescent="0.2">
      <c r="A3755" s="81">
        <v>3747</v>
      </c>
    </row>
    <row r="3756" spans="1:1" ht="15.75" customHeight="1" x14ac:dyDescent="0.2">
      <c r="A3756" s="82">
        <v>3748</v>
      </c>
    </row>
    <row r="3757" spans="1:1" ht="15.75" customHeight="1" x14ac:dyDescent="0.2">
      <c r="A3757" s="81">
        <v>3749</v>
      </c>
    </row>
    <row r="3758" spans="1:1" ht="15.75" customHeight="1" x14ac:dyDescent="0.2">
      <c r="A3758" s="82">
        <v>3750</v>
      </c>
    </row>
    <row r="3759" spans="1:1" ht="15.75" customHeight="1" x14ac:dyDescent="0.2">
      <c r="A3759" s="81">
        <v>3751</v>
      </c>
    </row>
    <row r="3760" spans="1:1" ht="15.75" customHeight="1" x14ac:dyDescent="0.2">
      <c r="A3760" s="82">
        <v>3752</v>
      </c>
    </row>
    <row r="3761" spans="1:1" ht="15.75" customHeight="1" x14ac:dyDescent="0.2">
      <c r="A3761" s="81">
        <v>3753</v>
      </c>
    </row>
    <row r="3762" spans="1:1" ht="15.75" customHeight="1" x14ac:dyDescent="0.2">
      <c r="A3762" s="82">
        <v>3754</v>
      </c>
    </row>
    <row r="3763" spans="1:1" ht="15.75" customHeight="1" x14ac:dyDescent="0.2">
      <c r="A3763" s="81">
        <v>3755</v>
      </c>
    </row>
    <row r="3764" spans="1:1" ht="15.75" customHeight="1" x14ac:dyDescent="0.2">
      <c r="A3764" s="82">
        <v>3756</v>
      </c>
    </row>
    <row r="3765" spans="1:1" ht="15.75" customHeight="1" x14ac:dyDescent="0.2">
      <c r="A3765" s="81">
        <v>3757</v>
      </c>
    </row>
    <row r="3766" spans="1:1" ht="15.75" customHeight="1" x14ac:dyDescent="0.2">
      <c r="A3766" s="82">
        <v>3758</v>
      </c>
    </row>
    <row r="3767" spans="1:1" ht="15.75" customHeight="1" x14ac:dyDescent="0.2">
      <c r="A3767" s="81">
        <v>3759</v>
      </c>
    </row>
    <row r="3768" spans="1:1" ht="15.75" customHeight="1" x14ac:dyDescent="0.2">
      <c r="A3768" s="82">
        <v>3760</v>
      </c>
    </row>
    <row r="3769" spans="1:1" ht="15.75" customHeight="1" x14ac:dyDescent="0.2">
      <c r="A3769" s="81">
        <v>3761</v>
      </c>
    </row>
    <row r="3770" spans="1:1" ht="15.75" customHeight="1" x14ac:dyDescent="0.2">
      <c r="A3770" s="82">
        <v>3762</v>
      </c>
    </row>
    <row r="3771" spans="1:1" ht="15.75" customHeight="1" x14ac:dyDescent="0.2">
      <c r="A3771" s="81">
        <v>3763</v>
      </c>
    </row>
    <row r="3772" spans="1:1" ht="15.75" customHeight="1" x14ac:dyDescent="0.2">
      <c r="A3772" s="82">
        <v>3764</v>
      </c>
    </row>
    <row r="3773" spans="1:1" ht="15.75" customHeight="1" x14ac:dyDescent="0.2">
      <c r="A3773" s="81">
        <v>3765</v>
      </c>
    </row>
    <row r="3774" spans="1:1" ht="15.75" customHeight="1" x14ac:dyDescent="0.2">
      <c r="A3774" s="82">
        <v>3766</v>
      </c>
    </row>
    <row r="3775" spans="1:1" ht="15.75" customHeight="1" x14ac:dyDescent="0.2">
      <c r="A3775" s="81">
        <v>3767</v>
      </c>
    </row>
    <row r="3776" spans="1:1" ht="15.75" customHeight="1" x14ac:dyDescent="0.2">
      <c r="A3776" s="82">
        <v>3768</v>
      </c>
    </row>
    <row r="3777" spans="1:1" ht="15.75" customHeight="1" x14ac:dyDescent="0.2">
      <c r="A3777" s="81">
        <v>3769</v>
      </c>
    </row>
    <row r="3778" spans="1:1" ht="15.75" customHeight="1" x14ac:dyDescent="0.2">
      <c r="A3778" s="82">
        <v>3770</v>
      </c>
    </row>
    <row r="3779" spans="1:1" ht="15.75" customHeight="1" x14ac:dyDescent="0.2">
      <c r="A3779" s="81">
        <v>3771</v>
      </c>
    </row>
    <row r="3780" spans="1:1" ht="15.75" customHeight="1" x14ac:dyDescent="0.2">
      <c r="A3780" s="82">
        <v>3772</v>
      </c>
    </row>
    <row r="3781" spans="1:1" ht="15.75" customHeight="1" x14ac:dyDescent="0.2">
      <c r="A3781" s="81">
        <v>3773</v>
      </c>
    </row>
    <row r="3782" spans="1:1" ht="15.75" customHeight="1" x14ac:dyDescent="0.2">
      <c r="A3782" s="82">
        <v>3774</v>
      </c>
    </row>
    <row r="3783" spans="1:1" ht="15.75" customHeight="1" x14ac:dyDescent="0.2">
      <c r="A3783" s="81">
        <v>3775</v>
      </c>
    </row>
    <row r="3784" spans="1:1" ht="15.75" customHeight="1" x14ac:dyDescent="0.2">
      <c r="A3784" s="82">
        <v>3776</v>
      </c>
    </row>
    <row r="3785" spans="1:1" ht="15.75" customHeight="1" x14ac:dyDescent="0.2">
      <c r="A3785" s="81">
        <v>3777</v>
      </c>
    </row>
    <row r="3786" spans="1:1" ht="15.75" customHeight="1" x14ac:dyDescent="0.2">
      <c r="A3786" s="82">
        <v>3778</v>
      </c>
    </row>
    <row r="3787" spans="1:1" ht="15.75" customHeight="1" x14ac:dyDescent="0.2">
      <c r="A3787" s="81">
        <v>3779</v>
      </c>
    </row>
    <row r="3788" spans="1:1" ht="15.75" customHeight="1" x14ac:dyDescent="0.2">
      <c r="A3788" s="82">
        <v>3780</v>
      </c>
    </row>
    <row r="3789" spans="1:1" ht="15.75" customHeight="1" x14ac:dyDescent="0.2">
      <c r="A3789" s="81">
        <v>3781</v>
      </c>
    </row>
    <row r="3790" spans="1:1" ht="15.75" customHeight="1" x14ac:dyDescent="0.2">
      <c r="A3790" s="82">
        <v>3782</v>
      </c>
    </row>
    <row r="3791" spans="1:1" ht="15.75" customHeight="1" x14ac:dyDescent="0.2">
      <c r="A3791" s="81">
        <v>3783</v>
      </c>
    </row>
    <row r="3792" spans="1:1" ht="15.75" customHeight="1" x14ac:dyDescent="0.2">
      <c r="A3792" s="82">
        <v>3784</v>
      </c>
    </row>
    <row r="3793" spans="1:1" ht="15.75" customHeight="1" x14ac:dyDescent="0.2">
      <c r="A3793" s="81">
        <v>3785</v>
      </c>
    </row>
    <row r="3794" spans="1:1" ht="15.75" customHeight="1" x14ac:dyDescent="0.2">
      <c r="A3794" s="82">
        <v>3786</v>
      </c>
    </row>
    <row r="3795" spans="1:1" ht="15.75" customHeight="1" x14ac:dyDescent="0.2">
      <c r="A3795" s="81">
        <v>3787</v>
      </c>
    </row>
    <row r="3796" spans="1:1" ht="15.75" customHeight="1" x14ac:dyDescent="0.2">
      <c r="A3796" s="82">
        <v>3788</v>
      </c>
    </row>
    <row r="3797" spans="1:1" ht="15.75" customHeight="1" x14ac:dyDescent="0.2">
      <c r="A3797" s="81">
        <v>3789</v>
      </c>
    </row>
    <row r="3798" spans="1:1" ht="15.75" customHeight="1" x14ac:dyDescent="0.2">
      <c r="A3798" s="82">
        <v>3790</v>
      </c>
    </row>
    <row r="3799" spans="1:1" ht="15.75" customHeight="1" x14ac:dyDescent="0.2">
      <c r="A3799" s="81">
        <v>3791</v>
      </c>
    </row>
    <row r="3800" spans="1:1" ht="15.75" customHeight="1" x14ac:dyDescent="0.2">
      <c r="A3800" s="82">
        <v>3792</v>
      </c>
    </row>
    <row r="3801" spans="1:1" ht="15.75" customHeight="1" x14ac:dyDescent="0.2">
      <c r="A3801" s="81">
        <v>3793</v>
      </c>
    </row>
    <row r="3802" spans="1:1" ht="15.75" customHeight="1" x14ac:dyDescent="0.2">
      <c r="A3802" s="82">
        <v>3794</v>
      </c>
    </row>
    <row r="3803" spans="1:1" ht="15.75" customHeight="1" x14ac:dyDescent="0.2">
      <c r="A3803" s="81">
        <v>3795</v>
      </c>
    </row>
    <row r="3804" spans="1:1" ht="15.75" customHeight="1" x14ac:dyDescent="0.2">
      <c r="A3804" s="82">
        <v>3796</v>
      </c>
    </row>
    <row r="3805" spans="1:1" ht="15.75" customHeight="1" x14ac:dyDescent="0.2">
      <c r="A3805" s="81">
        <v>3797</v>
      </c>
    </row>
    <row r="3806" spans="1:1" ht="15.75" customHeight="1" x14ac:dyDescent="0.2">
      <c r="A3806" s="82">
        <v>3798</v>
      </c>
    </row>
    <row r="3807" spans="1:1" ht="15.75" customHeight="1" x14ac:dyDescent="0.2">
      <c r="A3807" s="81">
        <v>3799</v>
      </c>
    </row>
    <row r="3808" spans="1:1" ht="15.75" customHeight="1" x14ac:dyDescent="0.2">
      <c r="A3808" s="82">
        <v>3800</v>
      </c>
    </row>
    <row r="3809" spans="1:1" ht="15.75" customHeight="1" x14ac:dyDescent="0.2">
      <c r="A3809" s="81">
        <v>3801</v>
      </c>
    </row>
    <row r="3810" spans="1:1" ht="15.75" customHeight="1" x14ac:dyDescent="0.2">
      <c r="A3810" s="82">
        <v>3802</v>
      </c>
    </row>
    <row r="3811" spans="1:1" ht="15.75" customHeight="1" x14ac:dyDescent="0.2">
      <c r="A3811" s="81">
        <v>3803</v>
      </c>
    </row>
    <row r="3812" spans="1:1" ht="15.75" customHeight="1" x14ac:dyDescent="0.2">
      <c r="A3812" s="82">
        <v>3804</v>
      </c>
    </row>
    <row r="3813" spans="1:1" ht="15.75" customHeight="1" x14ac:dyDescent="0.2">
      <c r="A3813" s="81">
        <v>3805</v>
      </c>
    </row>
    <row r="3814" spans="1:1" ht="15.75" customHeight="1" x14ac:dyDescent="0.2">
      <c r="A3814" s="82">
        <v>3806</v>
      </c>
    </row>
    <row r="3815" spans="1:1" ht="15.75" customHeight="1" x14ac:dyDescent="0.2">
      <c r="A3815" s="81">
        <v>3807</v>
      </c>
    </row>
    <row r="3816" spans="1:1" ht="15.75" customHeight="1" x14ac:dyDescent="0.2">
      <c r="A3816" s="82">
        <v>3808</v>
      </c>
    </row>
    <row r="3817" spans="1:1" ht="15.75" customHeight="1" x14ac:dyDescent="0.2">
      <c r="A3817" s="81">
        <v>3809</v>
      </c>
    </row>
    <row r="3818" spans="1:1" ht="15.75" customHeight="1" x14ac:dyDescent="0.2">
      <c r="A3818" s="82">
        <v>3810</v>
      </c>
    </row>
    <row r="3819" spans="1:1" ht="15.75" customHeight="1" x14ac:dyDescent="0.2">
      <c r="A3819" s="81">
        <v>3811</v>
      </c>
    </row>
    <row r="3820" spans="1:1" ht="15.75" customHeight="1" x14ac:dyDescent="0.2">
      <c r="A3820" s="82">
        <v>3812</v>
      </c>
    </row>
    <row r="3821" spans="1:1" ht="15.75" customHeight="1" x14ac:dyDescent="0.2">
      <c r="A3821" s="81">
        <v>3813</v>
      </c>
    </row>
    <row r="3822" spans="1:1" ht="15.75" customHeight="1" x14ac:dyDescent="0.2">
      <c r="A3822" s="82">
        <v>3814</v>
      </c>
    </row>
    <row r="3823" spans="1:1" ht="15.75" customHeight="1" x14ac:dyDescent="0.2">
      <c r="A3823" s="81">
        <v>3815</v>
      </c>
    </row>
    <row r="3824" spans="1:1" ht="15.75" customHeight="1" x14ac:dyDescent="0.2">
      <c r="A3824" s="82">
        <v>3816</v>
      </c>
    </row>
    <row r="3825" spans="1:1" ht="15.75" customHeight="1" x14ac:dyDescent="0.2">
      <c r="A3825" s="81">
        <v>3817</v>
      </c>
    </row>
    <row r="3826" spans="1:1" ht="15.75" customHeight="1" x14ac:dyDescent="0.2">
      <c r="A3826" s="82">
        <v>3818</v>
      </c>
    </row>
    <row r="3827" spans="1:1" ht="15.75" customHeight="1" x14ac:dyDescent="0.2">
      <c r="A3827" s="81">
        <v>3819</v>
      </c>
    </row>
    <row r="3828" spans="1:1" ht="15.75" customHeight="1" x14ac:dyDescent="0.2">
      <c r="A3828" s="82">
        <v>3820</v>
      </c>
    </row>
    <row r="3829" spans="1:1" ht="15.75" customHeight="1" x14ac:dyDescent="0.2">
      <c r="A3829" s="81">
        <v>3821</v>
      </c>
    </row>
    <row r="3830" spans="1:1" ht="15.75" customHeight="1" x14ac:dyDescent="0.2">
      <c r="A3830" s="82">
        <v>3822</v>
      </c>
    </row>
    <row r="3831" spans="1:1" ht="15.75" customHeight="1" x14ac:dyDescent="0.2">
      <c r="A3831" s="81">
        <v>3823</v>
      </c>
    </row>
    <row r="3832" spans="1:1" ht="15.75" customHeight="1" x14ac:dyDescent="0.2">
      <c r="A3832" s="82">
        <v>3824</v>
      </c>
    </row>
    <row r="3833" spans="1:1" ht="15.75" customHeight="1" x14ac:dyDescent="0.2">
      <c r="A3833" s="81">
        <v>3825</v>
      </c>
    </row>
    <row r="3834" spans="1:1" ht="15.75" customHeight="1" x14ac:dyDescent="0.2">
      <c r="A3834" s="82">
        <v>3826</v>
      </c>
    </row>
    <row r="3835" spans="1:1" ht="15.75" customHeight="1" x14ac:dyDescent="0.2">
      <c r="A3835" s="81">
        <v>3827</v>
      </c>
    </row>
    <row r="3836" spans="1:1" ht="15.75" customHeight="1" x14ac:dyDescent="0.2">
      <c r="A3836" s="82">
        <v>3828</v>
      </c>
    </row>
    <row r="3837" spans="1:1" ht="15.75" customHeight="1" x14ac:dyDescent="0.2">
      <c r="A3837" s="81">
        <v>3829</v>
      </c>
    </row>
    <row r="3838" spans="1:1" ht="15.75" customHeight="1" x14ac:dyDescent="0.2">
      <c r="A3838" s="82">
        <v>3830</v>
      </c>
    </row>
    <row r="3839" spans="1:1" ht="15.75" customHeight="1" x14ac:dyDescent="0.2">
      <c r="A3839" s="81">
        <v>3831</v>
      </c>
    </row>
    <row r="3840" spans="1:1" ht="15.75" customHeight="1" x14ac:dyDescent="0.2">
      <c r="A3840" s="82">
        <v>3832</v>
      </c>
    </row>
    <row r="3841" spans="1:1" ht="15.75" customHeight="1" x14ac:dyDescent="0.2">
      <c r="A3841" s="81">
        <v>3833</v>
      </c>
    </row>
    <row r="3842" spans="1:1" ht="15.75" customHeight="1" x14ac:dyDescent="0.2">
      <c r="A3842" s="82">
        <v>3834</v>
      </c>
    </row>
    <row r="3843" spans="1:1" ht="15.75" customHeight="1" x14ac:dyDescent="0.2">
      <c r="A3843" s="81">
        <v>3835</v>
      </c>
    </row>
    <row r="3844" spans="1:1" ht="15.75" customHeight="1" x14ac:dyDescent="0.2">
      <c r="A3844" s="82">
        <v>3836</v>
      </c>
    </row>
    <row r="3845" spans="1:1" ht="15.75" customHeight="1" x14ac:dyDescent="0.2">
      <c r="A3845" s="81">
        <v>3837</v>
      </c>
    </row>
    <row r="3846" spans="1:1" ht="15.75" customHeight="1" x14ac:dyDescent="0.2">
      <c r="A3846" s="82">
        <v>3838</v>
      </c>
    </row>
    <row r="3847" spans="1:1" ht="15.75" customHeight="1" x14ac:dyDescent="0.2">
      <c r="A3847" s="81">
        <v>3839</v>
      </c>
    </row>
    <row r="3848" spans="1:1" ht="15.75" customHeight="1" x14ac:dyDescent="0.2">
      <c r="A3848" s="82">
        <v>3840</v>
      </c>
    </row>
    <row r="3849" spans="1:1" ht="15.75" customHeight="1" x14ac:dyDescent="0.2">
      <c r="A3849" s="81">
        <v>3841</v>
      </c>
    </row>
    <row r="3850" spans="1:1" ht="15.75" customHeight="1" x14ac:dyDescent="0.2">
      <c r="A3850" s="82">
        <v>3842</v>
      </c>
    </row>
    <row r="3851" spans="1:1" ht="15.75" customHeight="1" x14ac:dyDescent="0.2">
      <c r="A3851" s="81">
        <v>3843</v>
      </c>
    </row>
    <row r="3852" spans="1:1" ht="15.75" customHeight="1" x14ac:dyDescent="0.2">
      <c r="A3852" s="82">
        <v>3844</v>
      </c>
    </row>
    <row r="3853" spans="1:1" ht="15.75" customHeight="1" x14ac:dyDescent="0.2">
      <c r="A3853" s="81">
        <v>3845</v>
      </c>
    </row>
    <row r="3854" spans="1:1" ht="15.75" customHeight="1" x14ac:dyDescent="0.2">
      <c r="A3854" s="82">
        <v>3846</v>
      </c>
    </row>
    <row r="3855" spans="1:1" ht="15.75" customHeight="1" x14ac:dyDescent="0.2">
      <c r="A3855" s="81">
        <v>3847</v>
      </c>
    </row>
    <row r="3856" spans="1:1" ht="15.75" customHeight="1" x14ac:dyDescent="0.2">
      <c r="A3856" s="82">
        <v>3848</v>
      </c>
    </row>
    <row r="3857" spans="1:1" ht="15.75" customHeight="1" x14ac:dyDescent="0.2">
      <c r="A3857" s="81">
        <v>3849</v>
      </c>
    </row>
    <row r="3858" spans="1:1" ht="15.75" customHeight="1" x14ac:dyDescent="0.2">
      <c r="A3858" s="82">
        <v>3850</v>
      </c>
    </row>
    <row r="3859" spans="1:1" ht="15.75" customHeight="1" x14ac:dyDescent="0.2">
      <c r="A3859" s="81">
        <v>3851</v>
      </c>
    </row>
    <row r="3860" spans="1:1" ht="15.75" customHeight="1" x14ac:dyDescent="0.2">
      <c r="A3860" s="82">
        <v>3852</v>
      </c>
    </row>
    <row r="3861" spans="1:1" ht="15.75" customHeight="1" x14ac:dyDescent="0.2">
      <c r="A3861" s="81">
        <v>3853</v>
      </c>
    </row>
    <row r="3862" spans="1:1" ht="15.75" customHeight="1" x14ac:dyDescent="0.2">
      <c r="A3862" s="82">
        <v>3854</v>
      </c>
    </row>
    <row r="3863" spans="1:1" ht="15.75" customHeight="1" x14ac:dyDescent="0.2">
      <c r="A3863" s="81">
        <v>3855</v>
      </c>
    </row>
    <row r="3864" spans="1:1" ht="15.75" customHeight="1" x14ac:dyDescent="0.2">
      <c r="A3864" s="82">
        <v>3856</v>
      </c>
    </row>
    <row r="3865" spans="1:1" ht="15.75" customHeight="1" x14ac:dyDescent="0.2">
      <c r="A3865" s="81">
        <v>3857</v>
      </c>
    </row>
    <row r="3866" spans="1:1" ht="15.75" customHeight="1" x14ac:dyDescent="0.2">
      <c r="A3866" s="82">
        <v>3858</v>
      </c>
    </row>
    <row r="3867" spans="1:1" ht="15.75" customHeight="1" x14ac:dyDescent="0.2">
      <c r="A3867" s="81">
        <v>3859</v>
      </c>
    </row>
    <row r="3868" spans="1:1" ht="15.75" customHeight="1" x14ac:dyDescent="0.2">
      <c r="A3868" s="82">
        <v>3860</v>
      </c>
    </row>
    <row r="3869" spans="1:1" ht="15.75" customHeight="1" x14ac:dyDescent="0.2">
      <c r="A3869" s="81">
        <v>3861</v>
      </c>
    </row>
    <row r="3870" spans="1:1" ht="15.75" customHeight="1" x14ac:dyDescent="0.2">
      <c r="A3870" s="82">
        <v>3862</v>
      </c>
    </row>
    <row r="3871" spans="1:1" ht="15.75" customHeight="1" x14ac:dyDescent="0.2">
      <c r="A3871" s="81">
        <v>3863</v>
      </c>
    </row>
    <row r="3872" spans="1:1" ht="15.75" customHeight="1" x14ac:dyDescent="0.2">
      <c r="A3872" s="82">
        <v>3864</v>
      </c>
    </row>
    <row r="3873" spans="1:1" ht="15.75" customHeight="1" x14ac:dyDescent="0.2">
      <c r="A3873" s="81">
        <v>3865</v>
      </c>
    </row>
    <row r="3874" spans="1:1" ht="15.75" customHeight="1" x14ac:dyDescent="0.2">
      <c r="A3874" s="82">
        <v>3866</v>
      </c>
    </row>
    <row r="3875" spans="1:1" ht="15.75" customHeight="1" x14ac:dyDescent="0.2">
      <c r="A3875" s="81">
        <v>3867</v>
      </c>
    </row>
    <row r="3876" spans="1:1" ht="15.75" customHeight="1" x14ac:dyDescent="0.2">
      <c r="A3876" s="82">
        <v>3868</v>
      </c>
    </row>
    <row r="3877" spans="1:1" ht="15.75" customHeight="1" x14ac:dyDescent="0.2">
      <c r="A3877" s="81">
        <v>3869</v>
      </c>
    </row>
    <row r="3878" spans="1:1" ht="15.75" customHeight="1" x14ac:dyDescent="0.2">
      <c r="A3878" s="82">
        <v>3870</v>
      </c>
    </row>
    <row r="3879" spans="1:1" ht="15.75" customHeight="1" x14ac:dyDescent="0.2">
      <c r="A3879" s="81">
        <v>3871</v>
      </c>
    </row>
    <row r="3880" spans="1:1" ht="15.75" customHeight="1" x14ac:dyDescent="0.2">
      <c r="A3880" s="82">
        <v>3872</v>
      </c>
    </row>
    <row r="3881" spans="1:1" ht="15.75" customHeight="1" x14ac:dyDescent="0.2">
      <c r="A3881" s="81">
        <v>3873</v>
      </c>
    </row>
    <row r="3882" spans="1:1" ht="15.75" customHeight="1" x14ac:dyDescent="0.2">
      <c r="A3882" s="82">
        <v>3874</v>
      </c>
    </row>
    <row r="3883" spans="1:1" ht="15.75" customHeight="1" x14ac:dyDescent="0.2">
      <c r="A3883" s="81">
        <v>3875</v>
      </c>
    </row>
    <row r="3884" spans="1:1" ht="15.75" customHeight="1" x14ac:dyDescent="0.2">
      <c r="A3884" s="82">
        <v>3876</v>
      </c>
    </row>
    <row r="3885" spans="1:1" ht="15.75" customHeight="1" x14ac:dyDescent="0.2">
      <c r="A3885" s="81">
        <v>3877</v>
      </c>
    </row>
    <row r="3886" spans="1:1" ht="15.75" customHeight="1" x14ac:dyDescent="0.2">
      <c r="A3886" s="82">
        <v>3878</v>
      </c>
    </row>
    <row r="3887" spans="1:1" ht="15.75" customHeight="1" x14ac:dyDescent="0.2">
      <c r="A3887" s="81">
        <v>3879</v>
      </c>
    </row>
    <row r="3888" spans="1:1" ht="15.75" customHeight="1" x14ac:dyDescent="0.2">
      <c r="A3888" s="82">
        <v>3880</v>
      </c>
    </row>
    <row r="3889" spans="1:1" ht="15.75" customHeight="1" x14ac:dyDescent="0.2">
      <c r="A3889" s="81">
        <v>3881</v>
      </c>
    </row>
    <row r="3890" spans="1:1" ht="15.75" customHeight="1" x14ac:dyDescent="0.2">
      <c r="A3890" s="82">
        <v>3882</v>
      </c>
    </row>
    <row r="3891" spans="1:1" ht="15.75" customHeight="1" x14ac:dyDescent="0.2">
      <c r="A3891" s="81">
        <v>3883</v>
      </c>
    </row>
    <row r="3892" spans="1:1" ht="15.75" customHeight="1" x14ac:dyDescent="0.2">
      <c r="A3892" s="82">
        <v>3884</v>
      </c>
    </row>
    <row r="3893" spans="1:1" ht="15.75" customHeight="1" x14ac:dyDescent="0.2">
      <c r="A3893" s="81">
        <v>3885</v>
      </c>
    </row>
    <row r="3894" spans="1:1" ht="15.75" customHeight="1" x14ac:dyDescent="0.2">
      <c r="A3894" s="82">
        <v>3886</v>
      </c>
    </row>
    <row r="3895" spans="1:1" ht="15.75" customHeight="1" x14ac:dyDescent="0.2">
      <c r="A3895" s="81">
        <v>3887</v>
      </c>
    </row>
    <row r="3896" spans="1:1" ht="15.75" customHeight="1" x14ac:dyDescent="0.2">
      <c r="A3896" s="82">
        <v>3888</v>
      </c>
    </row>
    <row r="3897" spans="1:1" ht="15.75" customHeight="1" x14ac:dyDescent="0.2">
      <c r="A3897" s="81">
        <v>3889</v>
      </c>
    </row>
    <row r="3898" spans="1:1" ht="15.75" customHeight="1" x14ac:dyDescent="0.2">
      <c r="A3898" s="82">
        <v>3890</v>
      </c>
    </row>
    <row r="3899" spans="1:1" ht="15.75" customHeight="1" x14ac:dyDescent="0.2">
      <c r="A3899" s="81">
        <v>3891</v>
      </c>
    </row>
    <row r="3900" spans="1:1" ht="15.75" customHeight="1" x14ac:dyDescent="0.2">
      <c r="A3900" s="82">
        <v>3892</v>
      </c>
    </row>
    <row r="3901" spans="1:1" ht="15.75" customHeight="1" x14ac:dyDescent="0.2">
      <c r="A3901" s="81">
        <v>3893</v>
      </c>
    </row>
    <row r="3902" spans="1:1" ht="15.75" customHeight="1" x14ac:dyDescent="0.2">
      <c r="A3902" s="82">
        <v>3894</v>
      </c>
    </row>
    <row r="3903" spans="1:1" ht="15.75" customHeight="1" x14ac:dyDescent="0.2">
      <c r="A3903" s="81">
        <v>3895</v>
      </c>
    </row>
    <row r="3904" spans="1:1" ht="15.75" customHeight="1" x14ac:dyDescent="0.2">
      <c r="A3904" s="82">
        <v>3896</v>
      </c>
    </row>
    <row r="3905" spans="1:1" ht="15.75" customHeight="1" x14ac:dyDescent="0.2">
      <c r="A3905" s="81">
        <v>3897</v>
      </c>
    </row>
    <row r="3906" spans="1:1" ht="15.75" customHeight="1" x14ac:dyDescent="0.2">
      <c r="A3906" s="82">
        <v>3898</v>
      </c>
    </row>
    <row r="3907" spans="1:1" ht="15.75" customHeight="1" x14ac:dyDescent="0.2">
      <c r="A3907" s="81">
        <v>3899</v>
      </c>
    </row>
    <row r="3908" spans="1:1" ht="15.75" customHeight="1" x14ac:dyDescent="0.2">
      <c r="A3908" s="82">
        <v>3900</v>
      </c>
    </row>
    <row r="3909" spans="1:1" ht="15.75" customHeight="1" x14ac:dyDescent="0.2">
      <c r="A3909" s="81">
        <v>3901</v>
      </c>
    </row>
    <row r="3910" spans="1:1" ht="15.75" customHeight="1" x14ac:dyDescent="0.2">
      <c r="A3910" s="82">
        <v>3902</v>
      </c>
    </row>
    <row r="3911" spans="1:1" ht="15.75" customHeight="1" x14ac:dyDescent="0.2">
      <c r="A3911" s="81">
        <v>3903</v>
      </c>
    </row>
    <row r="3912" spans="1:1" ht="15.75" customHeight="1" x14ac:dyDescent="0.2">
      <c r="A3912" s="82">
        <v>3904</v>
      </c>
    </row>
    <row r="3913" spans="1:1" ht="15.75" customHeight="1" x14ac:dyDescent="0.2">
      <c r="A3913" s="81">
        <v>3905</v>
      </c>
    </row>
    <row r="3914" spans="1:1" ht="15.75" customHeight="1" x14ac:dyDescent="0.2">
      <c r="A3914" s="82">
        <v>3906</v>
      </c>
    </row>
    <row r="3915" spans="1:1" ht="15.75" customHeight="1" x14ac:dyDescent="0.2">
      <c r="A3915" s="81">
        <v>3907</v>
      </c>
    </row>
    <row r="3916" spans="1:1" ht="15.75" customHeight="1" x14ac:dyDescent="0.2">
      <c r="A3916" s="82">
        <v>3908</v>
      </c>
    </row>
    <row r="3917" spans="1:1" ht="15.75" customHeight="1" x14ac:dyDescent="0.2">
      <c r="A3917" s="81">
        <v>3909</v>
      </c>
    </row>
    <row r="3918" spans="1:1" ht="15.75" customHeight="1" x14ac:dyDescent="0.2">
      <c r="A3918" s="82">
        <v>3910</v>
      </c>
    </row>
    <row r="3919" spans="1:1" ht="15.75" customHeight="1" x14ac:dyDescent="0.2">
      <c r="A3919" s="81">
        <v>3911</v>
      </c>
    </row>
    <row r="3920" spans="1:1" ht="15.75" customHeight="1" x14ac:dyDescent="0.2">
      <c r="A3920" s="82">
        <v>3912</v>
      </c>
    </row>
    <row r="3921" spans="1:1" ht="15.75" customHeight="1" x14ac:dyDescent="0.2">
      <c r="A3921" s="81">
        <v>3913</v>
      </c>
    </row>
    <row r="3922" spans="1:1" ht="15.75" customHeight="1" x14ac:dyDescent="0.2">
      <c r="A3922" s="82">
        <v>3914</v>
      </c>
    </row>
    <row r="3923" spans="1:1" ht="15.75" customHeight="1" x14ac:dyDescent="0.2">
      <c r="A3923" s="81">
        <v>3915</v>
      </c>
    </row>
    <row r="3924" spans="1:1" ht="15.75" customHeight="1" x14ac:dyDescent="0.2">
      <c r="A3924" s="82">
        <v>3916</v>
      </c>
    </row>
    <row r="3925" spans="1:1" ht="15.75" customHeight="1" x14ac:dyDescent="0.2">
      <c r="A3925" s="81">
        <v>3917</v>
      </c>
    </row>
    <row r="3926" spans="1:1" ht="15.75" customHeight="1" x14ac:dyDescent="0.2">
      <c r="A3926" s="82">
        <v>3918</v>
      </c>
    </row>
    <row r="3927" spans="1:1" ht="15.75" customHeight="1" x14ac:dyDescent="0.2">
      <c r="A3927" s="81">
        <v>3919</v>
      </c>
    </row>
    <row r="3928" spans="1:1" ht="15.75" customHeight="1" x14ac:dyDescent="0.2">
      <c r="A3928" s="82">
        <v>3920</v>
      </c>
    </row>
    <row r="3929" spans="1:1" ht="15.75" customHeight="1" x14ac:dyDescent="0.2">
      <c r="A3929" s="81">
        <v>3921</v>
      </c>
    </row>
    <row r="3930" spans="1:1" ht="15.75" customHeight="1" x14ac:dyDescent="0.2">
      <c r="A3930" s="82">
        <v>3922</v>
      </c>
    </row>
    <row r="3931" spans="1:1" ht="15.75" customHeight="1" x14ac:dyDescent="0.2">
      <c r="A3931" s="81">
        <v>3923</v>
      </c>
    </row>
    <row r="3932" spans="1:1" ht="15.75" customHeight="1" x14ac:dyDescent="0.2">
      <c r="A3932" s="82">
        <v>3924</v>
      </c>
    </row>
    <row r="3933" spans="1:1" ht="15.75" customHeight="1" x14ac:dyDescent="0.2">
      <c r="A3933" s="81">
        <v>3925</v>
      </c>
    </row>
    <row r="3934" spans="1:1" ht="15.75" customHeight="1" x14ac:dyDescent="0.2">
      <c r="A3934" s="82">
        <v>3926</v>
      </c>
    </row>
    <row r="3935" spans="1:1" ht="15.75" customHeight="1" x14ac:dyDescent="0.2">
      <c r="A3935" s="81">
        <v>3927</v>
      </c>
    </row>
    <row r="3936" spans="1:1" ht="15.75" customHeight="1" x14ac:dyDescent="0.2">
      <c r="A3936" s="82">
        <v>3928</v>
      </c>
    </row>
    <row r="3937" spans="1:1" ht="15.75" customHeight="1" x14ac:dyDescent="0.2">
      <c r="A3937" s="81">
        <v>3929</v>
      </c>
    </row>
    <row r="3938" spans="1:1" ht="15.75" customHeight="1" x14ac:dyDescent="0.2">
      <c r="A3938" s="82">
        <v>3930</v>
      </c>
    </row>
    <row r="3939" spans="1:1" ht="15.75" customHeight="1" x14ac:dyDescent="0.2">
      <c r="A3939" s="81">
        <v>3931</v>
      </c>
    </row>
    <row r="3940" spans="1:1" ht="15.75" customHeight="1" x14ac:dyDescent="0.2">
      <c r="A3940" s="82">
        <v>3932</v>
      </c>
    </row>
    <row r="3941" spans="1:1" ht="15.75" customHeight="1" x14ac:dyDescent="0.2">
      <c r="A3941" s="81">
        <v>3933</v>
      </c>
    </row>
    <row r="3942" spans="1:1" ht="15.75" customHeight="1" x14ac:dyDescent="0.2">
      <c r="A3942" s="82">
        <v>3934</v>
      </c>
    </row>
    <row r="3943" spans="1:1" ht="15.75" customHeight="1" x14ac:dyDescent="0.2">
      <c r="A3943" s="81">
        <v>3935</v>
      </c>
    </row>
    <row r="3944" spans="1:1" ht="15.75" customHeight="1" x14ac:dyDescent="0.2">
      <c r="A3944" s="82">
        <v>3936</v>
      </c>
    </row>
    <row r="3945" spans="1:1" ht="15.75" customHeight="1" x14ac:dyDescent="0.2">
      <c r="A3945" s="81">
        <v>3937</v>
      </c>
    </row>
    <row r="3946" spans="1:1" ht="15.75" customHeight="1" x14ac:dyDescent="0.2">
      <c r="A3946" s="82">
        <v>3938</v>
      </c>
    </row>
    <row r="3947" spans="1:1" ht="15.75" customHeight="1" x14ac:dyDescent="0.2">
      <c r="A3947" s="81">
        <v>3939</v>
      </c>
    </row>
    <row r="3948" spans="1:1" ht="15.75" customHeight="1" x14ac:dyDescent="0.2">
      <c r="A3948" s="82">
        <v>3940</v>
      </c>
    </row>
    <row r="3949" spans="1:1" ht="15.75" customHeight="1" x14ac:dyDescent="0.2">
      <c r="A3949" s="81">
        <v>3941</v>
      </c>
    </row>
    <row r="3950" spans="1:1" ht="15.75" customHeight="1" x14ac:dyDescent="0.2">
      <c r="A3950" s="82">
        <v>3942</v>
      </c>
    </row>
    <row r="3951" spans="1:1" ht="15.75" customHeight="1" x14ac:dyDescent="0.2">
      <c r="A3951" s="81">
        <v>3943</v>
      </c>
    </row>
    <row r="3952" spans="1:1" ht="15.75" customHeight="1" x14ac:dyDescent="0.2">
      <c r="A3952" s="82">
        <v>3944</v>
      </c>
    </row>
    <row r="3953" spans="1:1" ht="15.75" customHeight="1" x14ac:dyDescent="0.2">
      <c r="A3953" s="81">
        <v>3945</v>
      </c>
    </row>
    <row r="3954" spans="1:1" ht="15.75" customHeight="1" x14ac:dyDescent="0.2">
      <c r="A3954" s="82">
        <v>3946</v>
      </c>
    </row>
    <row r="3955" spans="1:1" ht="15.75" customHeight="1" x14ac:dyDescent="0.2">
      <c r="A3955" s="81">
        <v>3947</v>
      </c>
    </row>
    <row r="3956" spans="1:1" ht="15.75" customHeight="1" x14ac:dyDescent="0.2">
      <c r="A3956" s="82">
        <v>3948</v>
      </c>
    </row>
    <row r="3957" spans="1:1" ht="15.75" customHeight="1" x14ac:dyDescent="0.2">
      <c r="A3957" s="81">
        <v>3949</v>
      </c>
    </row>
    <row r="3958" spans="1:1" ht="15.75" customHeight="1" x14ac:dyDescent="0.2">
      <c r="A3958" s="82">
        <v>3950</v>
      </c>
    </row>
    <row r="3959" spans="1:1" ht="15.75" customHeight="1" x14ac:dyDescent="0.2">
      <c r="A3959" s="81">
        <v>3951</v>
      </c>
    </row>
    <row r="3960" spans="1:1" ht="15.75" customHeight="1" x14ac:dyDescent="0.2">
      <c r="A3960" s="82">
        <v>3952</v>
      </c>
    </row>
    <row r="3961" spans="1:1" ht="15.75" customHeight="1" x14ac:dyDescent="0.2">
      <c r="A3961" s="81">
        <v>3953</v>
      </c>
    </row>
    <row r="3962" spans="1:1" ht="15.75" customHeight="1" x14ac:dyDescent="0.2">
      <c r="A3962" s="82">
        <v>3954</v>
      </c>
    </row>
    <row r="3963" spans="1:1" ht="15.75" customHeight="1" x14ac:dyDescent="0.2">
      <c r="A3963" s="81">
        <v>3955</v>
      </c>
    </row>
    <row r="3964" spans="1:1" ht="15.75" customHeight="1" x14ac:dyDescent="0.2">
      <c r="A3964" s="82">
        <v>3956</v>
      </c>
    </row>
    <row r="3965" spans="1:1" ht="15.75" customHeight="1" x14ac:dyDescent="0.2">
      <c r="A3965" s="81">
        <v>3957</v>
      </c>
    </row>
    <row r="3966" spans="1:1" ht="15.75" customHeight="1" x14ac:dyDescent="0.2">
      <c r="A3966" s="82">
        <v>3958</v>
      </c>
    </row>
    <row r="3967" spans="1:1" ht="15.75" customHeight="1" x14ac:dyDescent="0.2">
      <c r="A3967" s="81">
        <v>3959</v>
      </c>
    </row>
    <row r="3968" spans="1:1" ht="15.75" customHeight="1" x14ac:dyDescent="0.2">
      <c r="A3968" s="82">
        <v>3960</v>
      </c>
    </row>
    <row r="3969" spans="1:1" ht="15.75" customHeight="1" x14ac:dyDescent="0.2">
      <c r="A3969" s="81">
        <v>3961</v>
      </c>
    </row>
    <row r="3970" spans="1:1" ht="15.75" customHeight="1" x14ac:dyDescent="0.2">
      <c r="A3970" s="82">
        <v>3962</v>
      </c>
    </row>
    <row r="3971" spans="1:1" ht="15.75" customHeight="1" x14ac:dyDescent="0.2">
      <c r="A3971" s="81">
        <v>3963</v>
      </c>
    </row>
    <row r="3972" spans="1:1" ht="15.75" customHeight="1" x14ac:dyDescent="0.2">
      <c r="A3972" s="82">
        <v>3964</v>
      </c>
    </row>
    <row r="3973" spans="1:1" ht="15.75" customHeight="1" x14ac:dyDescent="0.2">
      <c r="A3973" s="81">
        <v>3965</v>
      </c>
    </row>
    <row r="3974" spans="1:1" ht="15.75" customHeight="1" x14ac:dyDescent="0.2">
      <c r="A3974" s="82">
        <v>3966</v>
      </c>
    </row>
    <row r="3975" spans="1:1" ht="15.75" customHeight="1" x14ac:dyDescent="0.2">
      <c r="A3975" s="81">
        <v>3967</v>
      </c>
    </row>
    <row r="3976" spans="1:1" ht="15.75" customHeight="1" x14ac:dyDescent="0.2">
      <c r="A3976" s="82">
        <v>3968</v>
      </c>
    </row>
    <row r="3977" spans="1:1" ht="15.75" customHeight="1" x14ac:dyDescent="0.2">
      <c r="A3977" s="81">
        <v>3969</v>
      </c>
    </row>
    <row r="3978" spans="1:1" ht="15.75" customHeight="1" x14ac:dyDescent="0.2">
      <c r="A3978" s="82">
        <v>3970</v>
      </c>
    </row>
    <row r="3979" spans="1:1" ht="15.75" customHeight="1" x14ac:dyDescent="0.2">
      <c r="A3979" s="81">
        <v>3971</v>
      </c>
    </row>
    <row r="3980" spans="1:1" ht="15.75" customHeight="1" x14ac:dyDescent="0.2">
      <c r="A3980" s="82">
        <v>3972</v>
      </c>
    </row>
    <row r="3981" spans="1:1" ht="15.75" customHeight="1" x14ac:dyDescent="0.2">
      <c r="A3981" s="81">
        <v>3973</v>
      </c>
    </row>
    <row r="3982" spans="1:1" ht="15.75" customHeight="1" x14ac:dyDescent="0.2">
      <c r="A3982" s="82">
        <v>3974</v>
      </c>
    </row>
    <row r="3983" spans="1:1" ht="15.75" customHeight="1" x14ac:dyDescent="0.2">
      <c r="A3983" s="81">
        <v>3975</v>
      </c>
    </row>
    <row r="3984" spans="1:1" ht="15.75" customHeight="1" x14ac:dyDescent="0.2">
      <c r="A3984" s="82">
        <v>3976</v>
      </c>
    </row>
    <row r="3985" spans="1:1" ht="15.75" customHeight="1" x14ac:dyDescent="0.2">
      <c r="A3985" s="81">
        <v>3977</v>
      </c>
    </row>
    <row r="3986" spans="1:1" ht="15.75" customHeight="1" x14ac:dyDescent="0.2">
      <c r="A3986" s="82">
        <v>3978</v>
      </c>
    </row>
    <row r="3987" spans="1:1" ht="15.75" customHeight="1" x14ac:dyDescent="0.2">
      <c r="A3987" s="81">
        <v>3979</v>
      </c>
    </row>
    <row r="3988" spans="1:1" ht="15.75" customHeight="1" x14ac:dyDescent="0.2">
      <c r="A3988" s="82">
        <v>3980</v>
      </c>
    </row>
    <row r="3989" spans="1:1" ht="15.75" customHeight="1" x14ac:dyDescent="0.2">
      <c r="A3989" s="81">
        <v>3981</v>
      </c>
    </row>
    <row r="3990" spans="1:1" ht="15.75" customHeight="1" x14ac:dyDescent="0.2">
      <c r="A3990" s="82">
        <v>3982</v>
      </c>
    </row>
    <row r="3991" spans="1:1" ht="15.75" customHeight="1" x14ac:dyDescent="0.2">
      <c r="A3991" s="81">
        <v>3983</v>
      </c>
    </row>
    <row r="3992" spans="1:1" ht="15.75" customHeight="1" x14ac:dyDescent="0.2">
      <c r="A3992" s="82">
        <v>3984</v>
      </c>
    </row>
    <row r="3993" spans="1:1" ht="15.75" customHeight="1" x14ac:dyDescent="0.2">
      <c r="A3993" s="81">
        <v>3985</v>
      </c>
    </row>
    <row r="3994" spans="1:1" ht="15.75" customHeight="1" x14ac:dyDescent="0.2">
      <c r="A3994" s="82">
        <v>3986</v>
      </c>
    </row>
    <row r="3995" spans="1:1" ht="15.75" customHeight="1" x14ac:dyDescent="0.2">
      <c r="A3995" s="81">
        <v>3987</v>
      </c>
    </row>
    <row r="3996" spans="1:1" ht="15.75" customHeight="1" x14ac:dyDescent="0.2">
      <c r="A3996" s="82">
        <v>3988</v>
      </c>
    </row>
    <row r="3997" spans="1:1" ht="15.75" customHeight="1" x14ac:dyDescent="0.2">
      <c r="A3997" s="81">
        <v>3989</v>
      </c>
    </row>
    <row r="3998" spans="1:1" ht="15.75" customHeight="1" x14ac:dyDescent="0.2">
      <c r="A3998" s="82">
        <v>3990</v>
      </c>
    </row>
    <row r="3999" spans="1:1" ht="15.75" customHeight="1" x14ac:dyDescent="0.2">
      <c r="A3999" s="81">
        <v>3991</v>
      </c>
    </row>
    <row r="4000" spans="1:1" ht="15.75" customHeight="1" x14ac:dyDescent="0.2">
      <c r="A4000" s="82">
        <v>3992</v>
      </c>
    </row>
    <row r="4001" spans="1:1" ht="15.75" customHeight="1" x14ac:dyDescent="0.2">
      <c r="A4001" s="81">
        <v>3993</v>
      </c>
    </row>
    <row r="4002" spans="1:1" ht="15.75" customHeight="1" x14ac:dyDescent="0.2">
      <c r="A4002" s="82">
        <v>3994</v>
      </c>
    </row>
    <row r="4003" spans="1:1" ht="15.75" customHeight="1" x14ac:dyDescent="0.2">
      <c r="A4003" s="81">
        <v>3995</v>
      </c>
    </row>
    <row r="4004" spans="1:1" ht="15.75" customHeight="1" x14ac:dyDescent="0.2">
      <c r="A4004" s="82">
        <v>3996</v>
      </c>
    </row>
    <row r="4005" spans="1:1" ht="15.75" customHeight="1" x14ac:dyDescent="0.2">
      <c r="A4005" s="81">
        <v>3997</v>
      </c>
    </row>
    <row r="4006" spans="1:1" ht="15.75" customHeight="1" x14ac:dyDescent="0.2">
      <c r="A4006" s="82">
        <v>3998</v>
      </c>
    </row>
    <row r="4007" spans="1:1" ht="15.75" customHeight="1" x14ac:dyDescent="0.2">
      <c r="A4007" s="81">
        <v>3999</v>
      </c>
    </row>
    <row r="4008" spans="1:1" ht="15.75" customHeight="1" x14ac:dyDescent="0.2">
      <c r="A4008" s="82">
        <v>4000</v>
      </c>
    </row>
    <row r="4009" spans="1:1" ht="15.75" customHeight="1" x14ac:dyDescent="0.2">
      <c r="A4009" s="81">
        <v>4001</v>
      </c>
    </row>
    <row r="4010" spans="1:1" ht="15.75" customHeight="1" x14ac:dyDescent="0.2">
      <c r="A4010" s="82">
        <v>4002</v>
      </c>
    </row>
    <row r="4011" spans="1:1" ht="15.75" customHeight="1" x14ac:dyDescent="0.2">
      <c r="A4011" s="81">
        <v>4003</v>
      </c>
    </row>
    <row r="4012" spans="1:1" ht="15.75" customHeight="1" x14ac:dyDescent="0.2">
      <c r="A4012" s="82">
        <v>4004</v>
      </c>
    </row>
    <row r="4013" spans="1:1" ht="15.75" customHeight="1" x14ac:dyDescent="0.2">
      <c r="A4013" s="81">
        <v>4005</v>
      </c>
    </row>
    <row r="4014" spans="1:1" ht="15.75" customHeight="1" x14ac:dyDescent="0.2">
      <c r="A4014" s="82">
        <v>4006</v>
      </c>
    </row>
    <row r="4015" spans="1:1" ht="15.75" customHeight="1" x14ac:dyDescent="0.2">
      <c r="A4015" s="81">
        <v>4007</v>
      </c>
    </row>
    <row r="4016" spans="1:1" ht="15.75" customHeight="1" x14ac:dyDescent="0.2">
      <c r="A4016" s="82">
        <v>4008</v>
      </c>
    </row>
    <row r="4017" spans="1:1" ht="15.75" customHeight="1" x14ac:dyDescent="0.2">
      <c r="A4017" s="81">
        <v>4009</v>
      </c>
    </row>
    <row r="4018" spans="1:1" ht="15.75" customHeight="1" x14ac:dyDescent="0.2">
      <c r="A4018" s="82">
        <v>4010</v>
      </c>
    </row>
    <row r="4019" spans="1:1" ht="15.75" customHeight="1" x14ac:dyDescent="0.2">
      <c r="A4019" s="81">
        <v>4011</v>
      </c>
    </row>
    <row r="4020" spans="1:1" ht="15.75" customHeight="1" x14ac:dyDescent="0.2">
      <c r="A4020" s="82">
        <v>4012</v>
      </c>
    </row>
    <row r="4021" spans="1:1" ht="15.75" customHeight="1" x14ac:dyDescent="0.2">
      <c r="A4021" s="81">
        <v>4013</v>
      </c>
    </row>
    <row r="4022" spans="1:1" ht="15.75" customHeight="1" x14ac:dyDescent="0.2">
      <c r="A4022" s="82">
        <v>4014</v>
      </c>
    </row>
    <row r="4023" spans="1:1" ht="15.75" customHeight="1" x14ac:dyDescent="0.2">
      <c r="A4023" s="81">
        <v>4015</v>
      </c>
    </row>
    <row r="4024" spans="1:1" ht="15.75" customHeight="1" x14ac:dyDescent="0.2">
      <c r="A4024" s="82">
        <v>4016</v>
      </c>
    </row>
    <row r="4025" spans="1:1" ht="15.75" customHeight="1" x14ac:dyDescent="0.2">
      <c r="A4025" s="81">
        <v>4017</v>
      </c>
    </row>
    <row r="4026" spans="1:1" ht="15.75" customHeight="1" x14ac:dyDescent="0.2">
      <c r="A4026" s="82">
        <v>4018</v>
      </c>
    </row>
    <row r="4027" spans="1:1" ht="15.75" customHeight="1" x14ac:dyDescent="0.2">
      <c r="A4027" s="81">
        <v>4019</v>
      </c>
    </row>
    <row r="4028" spans="1:1" ht="15.75" customHeight="1" x14ac:dyDescent="0.2">
      <c r="A4028" s="82">
        <v>4020</v>
      </c>
    </row>
    <row r="4029" spans="1:1" ht="15.75" customHeight="1" x14ac:dyDescent="0.2">
      <c r="A4029" s="81">
        <v>4021</v>
      </c>
    </row>
    <row r="4030" spans="1:1" ht="15.75" customHeight="1" x14ac:dyDescent="0.2">
      <c r="A4030" s="82">
        <v>4022</v>
      </c>
    </row>
    <row r="4031" spans="1:1" ht="15.75" customHeight="1" x14ac:dyDescent="0.2">
      <c r="A4031" s="81">
        <v>4023</v>
      </c>
    </row>
    <row r="4032" spans="1:1" ht="15.75" customHeight="1" x14ac:dyDescent="0.2">
      <c r="A4032" s="82">
        <v>4024</v>
      </c>
    </row>
    <row r="4033" spans="1:1" ht="15.75" customHeight="1" x14ac:dyDescent="0.2">
      <c r="A4033" s="81">
        <v>4025</v>
      </c>
    </row>
    <row r="4034" spans="1:1" ht="15.75" customHeight="1" x14ac:dyDescent="0.2">
      <c r="A4034" s="82">
        <v>4026</v>
      </c>
    </row>
    <row r="4035" spans="1:1" ht="15.75" customHeight="1" x14ac:dyDescent="0.2">
      <c r="A4035" s="81">
        <v>4027</v>
      </c>
    </row>
    <row r="4036" spans="1:1" ht="15.75" customHeight="1" x14ac:dyDescent="0.2">
      <c r="A4036" s="82">
        <v>4028</v>
      </c>
    </row>
    <row r="4037" spans="1:1" ht="15.75" customHeight="1" x14ac:dyDescent="0.2">
      <c r="A4037" s="81">
        <v>4029</v>
      </c>
    </row>
    <row r="4038" spans="1:1" ht="15.75" customHeight="1" x14ac:dyDescent="0.2">
      <c r="A4038" s="82">
        <v>4030</v>
      </c>
    </row>
    <row r="4039" spans="1:1" ht="15.75" customHeight="1" x14ac:dyDescent="0.2">
      <c r="A4039" s="81">
        <v>4031</v>
      </c>
    </row>
    <row r="4040" spans="1:1" ht="15.75" customHeight="1" x14ac:dyDescent="0.2">
      <c r="A4040" s="82">
        <v>4032</v>
      </c>
    </row>
    <row r="4041" spans="1:1" ht="15.75" customHeight="1" x14ac:dyDescent="0.2">
      <c r="A4041" s="81">
        <v>4033</v>
      </c>
    </row>
    <row r="4042" spans="1:1" ht="15.75" customHeight="1" x14ac:dyDescent="0.2">
      <c r="A4042" s="82">
        <v>4034</v>
      </c>
    </row>
    <row r="4043" spans="1:1" ht="15.75" customHeight="1" x14ac:dyDescent="0.2">
      <c r="A4043" s="81">
        <v>4035</v>
      </c>
    </row>
    <row r="4044" spans="1:1" ht="15.75" customHeight="1" x14ac:dyDescent="0.2">
      <c r="A4044" s="82">
        <v>4036</v>
      </c>
    </row>
    <row r="4045" spans="1:1" ht="15.75" customHeight="1" x14ac:dyDescent="0.2">
      <c r="A4045" s="81">
        <v>4037</v>
      </c>
    </row>
    <row r="4046" spans="1:1" ht="15.75" customHeight="1" x14ac:dyDescent="0.2">
      <c r="A4046" s="82">
        <v>4038</v>
      </c>
    </row>
    <row r="4047" spans="1:1" ht="15.75" customHeight="1" x14ac:dyDescent="0.2">
      <c r="A4047" s="81">
        <v>4039</v>
      </c>
    </row>
    <row r="4048" spans="1:1" ht="15.75" customHeight="1" x14ac:dyDescent="0.2">
      <c r="A4048" s="82">
        <v>4040</v>
      </c>
    </row>
    <row r="4049" spans="1:1" ht="15.75" customHeight="1" x14ac:dyDescent="0.2">
      <c r="A4049" s="81">
        <v>4041</v>
      </c>
    </row>
    <row r="4050" spans="1:1" ht="15.75" customHeight="1" x14ac:dyDescent="0.2">
      <c r="A4050" s="82">
        <v>4042</v>
      </c>
    </row>
    <row r="4051" spans="1:1" ht="15.75" customHeight="1" x14ac:dyDescent="0.2">
      <c r="A4051" s="81">
        <v>4043</v>
      </c>
    </row>
    <row r="4052" spans="1:1" ht="15.75" customHeight="1" x14ac:dyDescent="0.2">
      <c r="A4052" s="82">
        <v>4044</v>
      </c>
    </row>
    <row r="4053" spans="1:1" ht="15.75" customHeight="1" x14ac:dyDescent="0.2">
      <c r="A4053" s="81">
        <v>4045</v>
      </c>
    </row>
    <row r="4054" spans="1:1" ht="15.75" customHeight="1" x14ac:dyDescent="0.2">
      <c r="A4054" s="82">
        <v>4046</v>
      </c>
    </row>
    <row r="4055" spans="1:1" ht="15.75" customHeight="1" x14ac:dyDescent="0.2">
      <c r="A4055" s="81">
        <v>4047</v>
      </c>
    </row>
    <row r="4056" spans="1:1" ht="15.75" customHeight="1" x14ac:dyDescent="0.2">
      <c r="A4056" s="82">
        <v>4048</v>
      </c>
    </row>
    <row r="4057" spans="1:1" ht="15.75" customHeight="1" x14ac:dyDescent="0.2">
      <c r="A4057" s="81">
        <v>4049</v>
      </c>
    </row>
    <row r="4058" spans="1:1" ht="15.75" customHeight="1" x14ac:dyDescent="0.2">
      <c r="A4058" s="82">
        <v>4050</v>
      </c>
    </row>
    <row r="4059" spans="1:1" ht="15.75" customHeight="1" x14ac:dyDescent="0.2">
      <c r="A4059" s="81">
        <v>4051</v>
      </c>
    </row>
    <row r="4060" spans="1:1" ht="15.75" customHeight="1" x14ac:dyDescent="0.2">
      <c r="A4060" s="82">
        <v>4052</v>
      </c>
    </row>
    <row r="4061" spans="1:1" ht="15.75" customHeight="1" x14ac:dyDescent="0.2">
      <c r="A4061" s="81">
        <v>4053</v>
      </c>
    </row>
    <row r="4062" spans="1:1" ht="15.75" customHeight="1" x14ac:dyDescent="0.2">
      <c r="A4062" s="82">
        <v>4054</v>
      </c>
    </row>
    <row r="4063" spans="1:1" ht="15.75" customHeight="1" x14ac:dyDescent="0.2">
      <c r="A4063" s="81">
        <v>4055</v>
      </c>
    </row>
    <row r="4064" spans="1:1" ht="15.75" customHeight="1" x14ac:dyDescent="0.2">
      <c r="A4064" s="82">
        <v>4056</v>
      </c>
    </row>
    <row r="4065" spans="1:1" ht="15.75" customHeight="1" x14ac:dyDescent="0.2">
      <c r="A4065" s="81">
        <v>4057</v>
      </c>
    </row>
    <row r="4066" spans="1:1" ht="15.75" customHeight="1" x14ac:dyDescent="0.2">
      <c r="A4066" s="82">
        <v>4058</v>
      </c>
    </row>
    <row r="4067" spans="1:1" ht="15.75" customHeight="1" x14ac:dyDescent="0.2">
      <c r="A4067" s="81">
        <v>4059</v>
      </c>
    </row>
    <row r="4068" spans="1:1" ht="15.75" customHeight="1" x14ac:dyDescent="0.2">
      <c r="A4068" s="82">
        <v>4060</v>
      </c>
    </row>
    <row r="4069" spans="1:1" ht="15.75" customHeight="1" x14ac:dyDescent="0.2">
      <c r="A4069" s="81">
        <v>4061</v>
      </c>
    </row>
    <row r="4070" spans="1:1" ht="15.75" customHeight="1" x14ac:dyDescent="0.2">
      <c r="A4070" s="82">
        <v>4062</v>
      </c>
    </row>
    <row r="4071" spans="1:1" ht="15.75" customHeight="1" x14ac:dyDescent="0.2">
      <c r="A4071" s="81">
        <v>4063</v>
      </c>
    </row>
    <row r="4072" spans="1:1" ht="15.75" customHeight="1" x14ac:dyDescent="0.2">
      <c r="A4072" s="82">
        <v>4064</v>
      </c>
    </row>
    <row r="4073" spans="1:1" ht="15.75" customHeight="1" x14ac:dyDescent="0.2">
      <c r="A4073" s="81">
        <v>4065</v>
      </c>
    </row>
    <row r="4074" spans="1:1" ht="15.75" customHeight="1" x14ac:dyDescent="0.2">
      <c r="A4074" s="82">
        <v>4066</v>
      </c>
    </row>
    <row r="4075" spans="1:1" ht="15.75" customHeight="1" x14ac:dyDescent="0.2">
      <c r="A4075" s="81">
        <v>4067</v>
      </c>
    </row>
    <row r="4076" spans="1:1" ht="15.75" customHeight="1" x14ac:dyDescent="0.2">
      <c r="A4076" s="82">
        <v>4068</v>
      </c>
    </row>
    <row r="4077" spans="1:1" ht="15.75" customHeight="1" x14ac:dyDescent="0.2">
      <c r="A4077" s="81">
        <v>4069</v>
      </c>
    </row>
    <row r="4078" spans="1:1" ht="15.75" customHeight="1" x14ac:dyDescent="0.2">
      <c r="A4078" s="82">
        <v>4070</v>
      </c>
    </row>
    <row r="4079" spans="1:1" ht="15.75" customHeight="1" x14ac:dyDescent="0.2">
      <c r="A4079" s="81">
        <v>4071</v>
      </c>
    </row>
    <row r="4080" spans="1:1" ht="15.75" customHeight="1" x14ac:dyDescent="0.2">
      <c r="A4080" s="82">
        <v>4072</v>
      </c>
    </row>
    <row r="4081" spans="1:1" ht="15.75" customHeight="1" x14ac:dyDescent="0.2">
      <c r="A4081" s="81">
        <v>4073</v>
      </c>
    </row>
    <row r="4082" spans="1:1" ht="15.75" customHeight="1" x14ac:dyDescent="0.2">
      <c r="A4082" s="82">
        <v>4074</v>
      </c>
    </row>
    <row r="4083" spans="1:1" ht="15.75" customHeight="1" x14ac:dyDescent="0.2">
      <c r="A4083" s="81">
        <v>4075</v>
      </c>
    </row>
    <row r="4084" spans="1:1" ht="15.75" customHeight="1" x14ac:dyDescent="0.2">
      <c r="A4084" s="82">
        <v>4076</v>
      </c>
    </row>
    <row r="4085" spans="1:1" ht="15.75" customHeight="1" x14ac:dyDescent="0.2">
      <c r="A4085" s="81">
        <v>4077</v>
      </c>
    </row>
    <row r="4086" spans="1:1" ht="15.75" customHeight="1" x14ac:dyDescent="0.2">
      <c r="A4086" s="82">
        <v>4078</v>
      </c>
    </row>
    <row r="4087" spans="1:1" ht="15.75" customHeight="1" x14ac:dyDescent="0.2">
      <c r="A4087" s="81">
        <v>4079</v>
      </c>
    </row>
    <row r="4088" spans="1:1" ht="15.75" customHeight="1" x14ac:dyDescent="0.2">
      <c r="A4088" s="82">
        <v>4080</v>
      </c>
    </row>
    <row r="4089" spans="1:1" ht="15.75" customHeight="1" x14ac:dyDescent="0.2">
      <c r="A4089" s="81">
        <v>4081</v>
      </c>
    </row>
    <row r="4090" spans="1:1" ht="15.75" customHeight="1" x14ac:dyDescent="0.2">
      <c r="A4090" s="82">
        <v>4082</v>
      </c>
    </row>
    <row r="4091" spans="1:1" ht="15.75" customHeight="1" x14ac:dyDescent="0.2">
      <c r="A4091" s="81">
        <v>4083</v>
      </c>
    </row>
    <row r="4092" spans="1:1" ht="15.75" customHeight="1" x14ac:dyDescent="0.2">
      <c r="A4092" s="82">
        <v>4084</v>
      </c>
    </row>
    <row r="4093" spans="1:1" ht="15.75" customHeight="1" x14ac:dyDescent="0.2">
      <c r="A4093" s="81">
        <v>4085</v>
      </c>
    </row>
    <row r="4094" spans="1:1" ht="15.75" customHeight="1" x14ac:dyDescent="0.2">
      <c r="A4094" s="82">
        <v>4086</v>
      </c>
    </row>
    <row r="4095" spans="1:1" ht="15.75" customHeight="1" x14ac:dyDescent="0.2">
      <c r="A4095" s="81">
        <v>4087</v>
      </c>
    </row>
    <row r="4096" spans="1:1" ht="15.75" customHeight="1" x14ac:dyDescent="0.2">
      <c r="A4096" s="82">
        <v>4088</v>
      </c>
    </row>
    <row r="4097" spans="1:1" ht="15.75" customHeight="1" x14ac:dyDescent="0.2">
      <c r="A4097" s="81">
        <v>4089</v>
      </c>
    </row>
    <row r="4098" spans="1:1" ht="15.75" customHeight="1" x14ac:dyDescent="0.2">
      <c r="A4098" s="82">
        <v>4090</v>
      </c>
    </row>
    <row r="4099" spans="1:1" ht="15.75" customHeight="1" x14ac:dyDescent="0.2">
      <c r="A4099" s="81">
        <v>4091</v>
      </c>
    </row>
    <row r="4100" spans="1:1" ht="15.75" customHeight="1" x14ac:dyDescent="0.2">
      <c r="A4100" s="82">
        <v>4092</v>
      </c>
    </row>
    <row r="4101" spans="1:1" ht="15.75" customHeight="1" x14ac:dyDescent="0.2">
      <c r="A4101" s="81">
        <v>4093</v>
      </c>
    </row>
    <row r="4102" spans="1:1" ht="15.75" customHeight="1" x14ac:dyDescent="0.2">
      <c r="A4102" s="82">
        <v>4094</v>
      </c>
    </row>
    <row r="4103" spans="1:1" ht="15.75" customHeight="1" x14ac:dyDescent="0.2">
      <c r="A4103" s="81">
        <v>4095</v>
      </c>
    </row>
    <row r="4104" spans="1:1" ht="15.75" customHeight="1" x14ac:dyDescent="0.2">
      <c r="A4104" s="82">
        <v>4096</v>
      </c>
    </row>
    <row r="4105" spans="1:1" ht="15.75" customHeight="1" x14ac:dyDescent="0.2">
      <c r="A4105" s="81">
        <v>4097</v>
      </c>
    </row>
    <row r="4106" spans="1:1" ht="15.75" customHeight="1" x14ac:dyDescent="0.2">
      <c r="A4106" s="82">
        <v>4098</v>
      </c>
    </row>
    <row r="4107" spans="1:1" ht="15.75" customHeight="1" x14ac:dyDescent="0.2">
      <c r="A4107" s="81">
        <v>4099</v>
      </c>
    </row>
    <row r="4108" spans="1:1" ht="15.75" customHeight="1" x14ac:dyDescent="0.2">
      <c r="A4108" s="82">
        <v>4100</v>
      </c>
    </row>
    <row r="4109" spans="1:1" ht="15.75" customHeight="1" x14ac:dyDescent="0.2">
      <c r="A4109" s="81">
        <v>4101</v>
      </c>
    </row>
    <row r="4110" spans="1:1" ht="15.75" customHeight="1" x14ac:dyDescent="0.2">
      <c r="A4110" s="82">
        <v>4102</v>
      </c>
    </row>
    <row r="4111" spans="1:1" ht="15.75" customHeight="1" x14ac:dyDescent="0.2">
      <c r="A4111" s="81">
        <v>4103</v>
      </c>
    </row>
    <row r="4112" spans="1:1" ht="15.75" customHeight="1" x14ac:dyDescent="0.2">
      <c r="A4112" s="82">
        <v>4104</v>
      </c>
    </row>
    <row r="4113" spans="1:1" ht="15.75" customHeight="1" x14ac:dyDescent="0.2">
      <c r="A4113" s="81">
        <v>4105</v>
      </c>
    </row>
    <row r="4114" spans="1:1" ht="15.75" customHeight="1" x14ac:dyDescent="0.2">
      <c r="A4114" s="82">
        <v>4106</v>
      </c>
    </row>
    <row r="4115" spans="1:1" ht="15.75" customHeight="1" x14ac:dyDescent="0.2">
      <c r="A4115" s="81">
        <v>4107</v>
      </c>
    </row>
    <row r="4116" spans="1:1" ht="15.75" customHeight="1" x14ac:dyDescent="0.2">
      <c r="A4116" s="82">
        <v>4108</v>
      </c>
    </row>
    <row r="4117" spans="1:1" ht="15.75" customHeight="1" x14ac:dyDescent="0.2">
      <c r="A4117" s="81">
        <v>4109</v>
      </c>
    </row>
    <row r="4118" spans="1:1" ht="15.75" customHeight="1" x14ac:dyDescent="0.2">
      <c r="A4118" s="82">
        <v>4110</v>
      </c>
    </row>
    <row r="4119" spans="1:1" ht="15.75" customHeight="1" x14ac:dyDescent="0.2">
      <c r="A4119" s="81">
        <v>4111</v>
      </c>
    </row>
    <row r="4120" spans="1:1" ht="15.75" customHeight="1" x14ac:dyDescent="0.2">
      <c r="A4120" s="82">
        <v>4112</v>
      </c>
    </row>
    <row r="4121" spans="1:1" ht="15.75" customHeight="1" x14ac:dyDescent="0.2">
      <c r="A4121" s="81">
        <v>4113</v>
      </c>
    </row>
    <row r="4122" spans="1:1" ht="15.75" customHeight="1" x14ac:dyDescent="0.2">
      <c r="A4122" s="82">
        <v>4114</v>
      </c>
    </row>
    <row r="4123" spans="1:1" ht="15.75" customHeight="1" x14ac:dyDescent="0.2">
      <c r="A4123" s="81">
        <v>4115</v>
      </c>
    </row>
    <row r="4124" spans="1:1" ht="15.75" customHeight="1" x14ac:dyDescent="0.2">
      <c r="A4124" s="82">
        <v>4116</v>
      </c>
    </row>
    <row r="4125" spans="1:1" ht="15.75" customHeight="1" x14ac:dyDescent="0.2">
      <c r="A4125" s="81">
        <v>4117</v>
      </c>
    </row>
    <row r="4126" spans="1:1" ht="15.75" customHeight="1" x14ac:dyDescent="0.2">
      <c r="A4126" s="82">
        <v>4118</v>
      </c>
    </row>
    <row r="4127" spans="1:1" ht="15.75" customHeight="1" x14ac:dyDescent="0.2">
      <c r="A4127" s="81">
        <v>4119</v>
      </c>
    </row>
    <row r="4128" spans="1:1" ht="15.75" customHeight="1" x14ac:dyDescent="0.2">
      <c r="A4128" s="82">
        <v>4120</v>
      </c>
    </row>
    <row r="4129" spans="1:1" ht="15.75" customHeight="1" x14ac:dyDescent="0.2">
      <c r="A4129" s="81">
        <v>4121</v>
      </c>
    </row>
    <row r="4130" spans="1:1" ht="15.75" customHeight="1" x14ac:dyDescent="0.2">
      <c r="A4130" s="82">
        <v>4122</v>
      </c>
    </row>
    <row r="4131" spans="1:1" ht="15.75" customHeight="1" x14ac:dyDescent="0.2">
      <c r="A4131" s="81">
        <v>4123</v>
      </c>
    </row>
    <row r="4132" spans="1:1" ht="15.75" customHeight="1" x14ac:dyDescent="0.2">
      <c r="A4132" s="82">
        <v>4124</v>
      </c>
    </row>
    <row r="4133" spans="1:1" ht="15.75" customHeight="1" x14ac:dyDescent="0.2">
      <c r="A4133" s="81">
        <v>4125</v>
      </c>
    </row>
    <row r="4134" spans="1:1" ht="15.75" customHeight="1" x14ac:dyDescent="0.2">
      <c r="A4134" s="82">
        <v>4126</v>
      </c>
    </row>
    <row r="4135" spans="1:1" ht="15.75" customHeight="1" x14ac:dyDescent="0.2">
      <c r="A4135" s="81">
        <v>4127</v>
      </c>
    </row>
    <row r="4136" spans="1:1" ht="15.75" customHeight="1" x14ac:dyDescent="0.2">
      <c r="A4136" s="82">
        <v>4128</v>
      </c>
    </row>
    <row r="4137" spans="1:1" ht="15.75" customHeight="1" x14ac:dyDescent="0.2">
      <c r="A4137" s="81">
        <v>4129</v>
      </c>
    </row>
    <row r="4138" spans="1:1" ht="15.75" customHeight="1" x14ac:dyDescent="0.2">
      <c r="A4138" s="82">
        <v>4130</v>
      </c>
    </row>
    <row r="4139" spans="1:1" ht="15.75" customHeight="1" x14ac:dyDescent="0.2">
      <c r="A4139" s="81">
        <v>4131</v>
      </c>
    </row>
    <row r="4140" spans="1:1" ht="15.75" customHeight="1" x14ac:dyDescent="0.2">
      <c r="A4140" s="82">
        <v>4132</v>
      </c>
    </row>
    <row r="4141" spans="1:1" ht="15.75" customHeight="1" x14ac:dyDescent="0.2">
      <c r="A4141" s="81">
        <v>4133</v>
      </c>
    </row>
    <row r="4142" spans="1:1" ht="15.75" customHeight="1" x14ac:dyDescent="0.2">
      <c r="A4142" s="82">
        <v>4134</v>
      </c>
    </row>
    <row r="4143" spans="1:1" ht="15.75" customHeight="1" x14ac:dyDescent="0.2">
      <c r="A4143" s="81">
        <v>4135</v>
      </c>
    </row>
    <row r="4144" spans="1:1" ht="15.75" customHeight="1" x14ac:dyDescent="0.2">
      <c r="A4144" s="82">
        <v>4136</v>
      </c>
    </row>
    <row r="4145" spans="1:1" ht="15.75" customHeight="1" x14ac:dyDescent="0.2">
      <c r="A4145" s="81">
        <v>4137</v>
      </c>
    </row>
    <row r="4146" spans="1:1" ht="15.75" customHeight="1" x14ac:dyDescent="0.2">
      <c r="A4146" s="82">
        <v>4138</v>
      </c>
    </row>
    <row r="4147" spans="1:1" ht="15.75" customHeight="1" x14ac:dyDescent="0.2">
      <c r="A4147" s="81">
        <v>4139</v>
      </c>
    </row>
    <row r="4148" spans="1:1" ht="15.75" customHeight="1" x14ac:dyDescent="0.2">
      <c r="A4148" s="82">
        <v>4140</v>
      </c>
    </row>
    <row r="4149" spans="1:1" ht="15.75" customHeight="1" x14ac:dyDescent="0.2">
      <c r="A4149" s="81">
        <v>4141</v>
      </c>
    </row>
    <row r="4150" spans="1:1" ht="15.75" customHeight="1" x14ac:dyDescent="0.2">
      <c r="A4150" s="82">
        <v>4142</v>
      </c>
    </row>
    <row r="4151" spans="1:1" ht="15.75" customHeight="1" x14ac:dyDescent="0.2">
      <c r="A4151" s="81">
        <v>4143</v>
      </c>
    </row>
    <row r="4152" spans="1:1" ht="15.75" customHeight="1" x14ac:dyDescent="0.2">
      <c r="A4152" s="82">
        <v>4144</v>
      </c>
    </row>
    <row r="4153" spans="1:1" ht="15.75" customHeight="1" x14ac:dyDescent="0.2">
      <c r="A4153" s="81">
        <v>4145</v>
      </c>
    </row>
    <row r="4154" spans="1:1" ht="15.75" customHeight="1" x14ac:dyDescent="0.2">
      <c r="A4154" s="82">
        <v>4146</v>
      </c>
    </row>
    <row r="4155" spans="1:1" ht="15.75" customHeight="1" x14ac:dyDescent="0.2">
      <c r="A4155" s="81">
        <v>4147</v>
      </c>
    </row>
    <row r="4156" spans="1:1" ht="15.75" customHeight="1" x14ac:dyDescent="0.2">
      <c r="A4156" s="82">
        <v>4148</v>
      </c>
    </row>
    <row r="4157" spans="1:1" ht="15.75" customHeight="1" x14ac:dyDescent="0.2">
      <c r="A4157" s="81">
        <v>4149</v>
      </c>
    </row>
    <row r="4158" spans="1:1" ht="15.75" customHeight="1" x14ac:dyDescent="0.2">
      <c r="A4158" s="82">
        <v>4150</v>
      </c>
    </row>
    <row r="4159" spans="1:1" ht="15.75" customHeight="1" x14ac:dyDescent="0.2">
      <c r="A4159" s="81">
        <v>4151</v>
      </c>
    </row>
    <row r="4160" spans="1:1" ht="15.75" customHeight="1" x14ac:dyDescent="0.2">
      <c r="A4160" s="82">
        <v>4152</v>
      </c>
    </row>
    <row r="4161" spans="1:1" ht="15.75" customHeight="1" x14ac:dyDescent="0.2">
      <c r="A4161" s="81">
        <v>4153</v>
      </c>
    </row>
    <row r="4162" spans="1:1" ht="15.75" customHeight="1" x14ac:dyDescent="0.2">
      <c r="A4162" s="82">
        <v>4154</v>
      </c>
    </row>
    <row r="4163" spans="1:1" ht="15.75" customHeight="1" x14ac:dyDescent="0.2">
      <c r="A4163" s="81">
        <v>4155</v>
      </c>
    </row>
    <row r="4164" spans="1:1" ht="15.75" customHeight="1" x14ac:dyDescent="0.2">
      <c r="A4164" s="82">
        <v>4156</v>
      </c>
    </row>
    <row r="4165" spans="1:1" ht="15.75" customHeight="1" x14ac:dyDescent="0.2">
      <c r="A4165" s="81">
        <v>4157</v>
      </c>
    </row>
    <row r="4166" spans="1:1" ht="15.75" customHeight="1" x14ac:dyDescent="0.2">
      <c r="A4166" s="82">
        <v>4158</v>
      </c>
    </row>
    <row r="4167" spans="1:1" ht="15.75" customHeight="1" x14ac:dyDescent="0.2">
      <c r="A4167" s="81">
        <v>4159</v>
      </c>
    </row>
    <row r="4168" spans="1:1" ht="15.75" customHeight="1" x14ac:dyDescent="0.2">
      <c r="A4168" s="82">
        <v>4160</v>
      </c>
    </row>
    <row r="4169" spans="1:1" ht="15.75" customHeight="1" x14ac:dyDescent="0.2">
      <c r="A4169" s="81">
        <v>4161</v>
      </c>
    </row>
    <row r="4170" spans="1:1" ht="15.75" customHeight="1" x14ac:dyDescent="0.2">
      <c r="A4170" s="82">
        <v>4162</v>
      </c>
    </row>
    <row r="4171" spans="1:1" ht="15.75" customHeight="1" x14ac:dyDescent="0.2">
      <c r="A4171" s="81">
        <v>4163</v>
      </c>
    </row>
    <row r="4172" spans="1:1" ht="15.75" customHeight="1" x14ac:dyDescent="0.2">
      <c r="A4172" s="82">
        <v>4164</v>
      </c>
    </row>
    <row r="4173" spans="1:1" ht="15.75" customHeight="1" x14ac:dyDescent="0.2">
      <c r="A4173" s="81">
        <v>4165</v>
      </c>
    </row>
    <row r="4174" spans="1:1" ht="15.75" customHeight="1" x14ac:dyDescent="0.2">
      <c r="A4174" s="82">
        <v>4166</v>
      </c>
    </row>
    <row r="4175" spans="1:1" ht="15.75" customHeight="1" x14ac:dyDescent="0.2">
      <c r="A4175" s="81">
        <v>4167</v>
      </c>
    </row>
    <row r="4176" spans="1:1" ht="15.75" customHeight="1" x14ac:dyDescent="0.2">
      <c r="A4176" s="82">
        <v>4168</v>
      </c>
    </row>
    <row r="4177" spans="1:1" ht="15.75" customHeight="1" x14ac:dyDescent="0.2">
      <c r="A4177" s="81">
        <v>4169</v>
      </c>
    </row>
    <row r="4178" spans="1:1" ht="15.75" customHeight="1" x14ac:dyDescent="0.2">
      <c r="A4178" s="82">
        <v>4170</v>
      </c>
    </row>
    <row r="4179" spans="1:1" ht="15.75" customHeight="1" x14ac:dyDescent="0.2">
      <c r="A4179" s="81">
        <v>4171</v>
      </c>
    </row>
    <row r="4180" spans="1:1" ht="15.75" customHeight="1" x14ac:dyDescent="0.2">
      <c r="A4180" s="82">
        <v>4172</v>
      </c>
    </row>
    <row r="4181" spans="1:1" ht="15.75" customHeight="1" x14ac:dyDescent="0.2">
      <c r="A4181" s="81">
        <v>4173</v>
      </c>
    </row>
    <row r="4182" spans="1:1" ht="15.75" customHeight="1" x14ac:dyDescent="0.2">
      <c r="A4182" s="82">
        <v>4174</v>
      </c>
    </row>
    <row r="4183" spans="1:1" ht="15.75" customHeight="1" x14ac:dyDescent="0.2">
      <c r="A4183" s="81">
        <v>4175</v>
      </c>
    </row>
    <row r="4184" spans="1:1" ht="15.75" customHeight="1" x14ac:dyDescent="0.2">
      <c r="A4184" s="82">
        <v>4176</v>
      </c>
    </row>
    <row r="4185" spans="1:1" ht="15.75" customHeight="1" x14ac:dyDescent="0.2">
      <c r="A4185" s="81">
        <v>4177</v>
      </c>
    </row>
    <row r="4186" spans="1:1" ht="15.75" customHeight="1" x14ac:dyDescent="0.2">
      <c r="A4186" s="82">
        <v>4178</v>
      </c>
    </row>
    <row r="4187" spans="1:1" ht="15.75" customHeight="1" x14ac:dyDescent="0.2">
      <c r="A4187" s="81">
        <v>4179</v>
      </c>
    </row>
    <row r="4188" spans="1:1" ht="15.75" customHeight="1" x14ac:dyDescent="0.2">
      <c r="A4188" s="82">
        <v>4180</v>
      </c>
    </row>
    <row r="4189" spans="1:1" ht="15.75" customHeight="1" x14ac:dyDescent="0.2">
      <c r="A4189" s="81">
        <v>4181</v>
      </c>
    </row>
    <row r="4190" spans="1:1" ht="15.75" customHeight="1" x14ac:dyDescent="0.2">
      <c r="A4190" s="82">
        <v>4182</v>
      </c>
    </row>
    <row r="4191" spans="1:1" ht="15.75" customHeight="1" x14ac:dyDescent="0.2">
      <c r="A4191" s="81">
        <v>4183</v>
      </c>
    </row>
    <row r="4192" spans="1:1" ht="15.75" customHeight="1" x14ac:dyDescent="0.2">
      <c r="A4192" s="82">
        <v>4184</v>
      </c>
    </row>
    <row r="4193" spans="1:1" ht="15.75" customHeight="1" x14ac:dyDescent="0.2">
      <c r="A4193" s="81">
        <v>4185</v>
      </c>
    </row>
    <row r="4194" spans="1:1" ht="15.75" customHeight="1" x14ac:dyDescent="0.2">
      <c r="A4194" s="82">
        <v>4186</v>
      </c>
    </row>
    <row r="4195" spans="1:1" ht="15.75" customHeight="1" x14ac:dyDescent="0.2">
      <c r="A4195" s="81">
        <v>4187</v>
      </c>
    </row>
    <row r="4196" spans="1:1" ht="15.75" customHeight="1" x14ac:dyDescent="0.2">
      <c r="A4196" s="82">
        <v>4188</v>
      </c>
    </row>
    <row r="4197" spans="1:1" ht="15.75" customHeight="1" x14ac:dyDescent="0.2">
      <c r="A4197" s="81">
        <v>4189</v>
      </c>
    </row>
    <row r="4198" spans="1:1" ht="15.75" customHeight="1" x14ac:dyDescent="0.2">
      <c r="A4198" s="82">
        <v>4190</v>
      </c>
    </row>
    <row r="4199" spans="1:1" ht="15.75" customHeight="1" x14ac:dyDescent="0.2">
      <c r="A4199" s="81">
        <v>4191</v>
      </c>
    </row>
    <row r="4200" spans="1:1" ht="15.75" customHeight="1" x14ac:dyDescent="0.2">
      <c r="A4200" s="82">
        <v>4192</v>
      </c>
    </row>
    <row r="4201" spans="1:1" ht="15.75" customHeight="1" x14ac:dyDescent="0.2">
      <c r="A4201" s="81">
        <v>4193</v>
      </c>
    </row>
    <row r="4202" spans="1:1" ht="15.75" customHeight="1" x14ac:dyDescent="0.2">
      <c r="A4202" s="82">
        <v>4194</v>
      </c>
    </row>
    <row r="4203" spans="1:1" ht="15.75" customHeight="1" x14ac:dyDescent="0.2">
      <c r="A4203" s="81">
        <v>4195</v>
      </c>
    </row>
    <row r="4204" spans="1:1" ht="15.75" customHeight="1" x14ac:dyDescent="0.2">
      <c r="A4204" s="82">
        <v>4196</v>
      </c>
    </row>
    <row r="4205" spans="1:1" ht="15.75" customHeight="1" x14ac:dyDescent="0.2">
      <c r="A4205" s="81">
        <v>4197</v>
      </c>
    </row>
    <row r="4206" spans="1:1" ht="15.75" customHeight="1" x14ac:dyDescent="0.2">
      <c r="A4206" s="82">
        <v>4198</v>
      </c>
    </row>
    <row r="4207" spans="1:1" ht="15.75" customHeight="1" x14ac:dyDescent="0.2">
      <c r="A4207" s="81">
        <v>4199</v>
      </c>
    </row>
    <row r="4208" spans="1:1" ht="15.75" customHeight="1" x14ac:dyDescent="0.2">
      <c r="A4208" s="82">
        <v>4200</v>
      </c>
    </row>
    <row r="4209" spans="1:1" ht="15.75" customHeight="1" x14ac:dyDescent="0.2">
      <c r="A4209" s="81">
        <v>4201</v>
      </c>
    </row>
    <row r="4210" spans="1:1" ht="15.75" customHeight="1" x14ac:dyDescent="0.2">
      <c r="A4210" s="82">
        <v>4202</v>
      </c>
    </row>
    <row r="4211" spans="1:1" ht="15.75" customHeight="1" x14ac:dyDescent="0.2">
      <c r="A4211" s="81">
        <v>4203</v>
      </c>
    </row>
    <row r="4212" spans="1:1" ht="15.75" customHeight="1" x14ac:dyDescent="0.2">
      <c r="A4212" s="82">
        <v>4204</v>
      </c>
    </row>
    <row r="4213" spans="1:1" ht="15.75" customHeight="1" x14ac:dyDescent="0.2">
      <c r="A4213" s="81">
        <v>4205</v>
      </c>
    </row>
    <row r="4214" spans="1:1" ht="15.75" customHeight="1" x14ac:dyDescent="0.2">
      <c r="A4214" s="82">
        <v>4206</v>
      </c>
    </row>
    <row r="4215" spans="1:1" ht="15.75" customHeight="1" x14ac:dyDescent="0.2">
      <c r="A4215" s="81">
        <v>4207</v>
      </c>
    </row>
    <row r="4216" spans="1:1" ht="15.75" customHeight="1" x14ac:dyDescent="0.2">
      <c r="A4216" s="82">
        <v>4208</v>
      </c>
    </row>
    <row r="4217" spans="1:1" ht="15.75" customHeight="1" x14ac:dyDescent="0.2">
      <c r="A4217" s="81">
        <v>4209</v>
      </c>
    </row>
    <row r="4218" spans="1:1" ht="15.75" customHeight="1" x14ac:dyDescent="0.2">
      <c r="A4218" s="82">
        <v>4210</v>
      </c>
    </row>
    <row r="4219" spans="1:1" ht="15.75" customHeight="1" x14ac:dyDescent="0.2">
      <c r="A4219" s="81">
        <v>4211</v>
      </c>
    </row>
    <row r="4220" spans="1:1" ht="15.75" customHeight="1" x14ac:dyDescent="0.2">
      <c r="A4220" s="82">
        <v>4212</v>
      </c>
    </row>
    <row r="4221" spans="1:1" ht="15.75" customHeight="1" x14ac:dyDescent="0.2">
      <c r="A4221" s="81">
        <v>4213</v>
      </c>
    </row>
    <row r="4222" spans="1:1" ht="15.75" customHeight="1" x14ac:dyDescent="0.2">
      <c r="A4222" s="82">
        <v>4214</v>
      </c>
    </row>
    <row r="4223" spans="1:1" ht="15.75" customHeight="1" x14ac:dyDescent="0.2">
      <c r="A4223" s="81">
        <v>4215</v>
      </c>
    </row>
    <row r="4224" spans="1:1" ht="15.75" customHeight="1" x14ac:dyDescent="0.2">
      <c r="A4224" s="82">
        <v>4216</v>
      </c>
    </row>
    <row r="4225" spans="1:1" ht="15.75" customHeight="1" x14ac:dyDescent="0.2">
      <c r="A4225" s="81">
        <v>4217</v>
      </c>
    </row>
    <row r="4226" spans="1:1" ht="15.75" customHeight="1" x14ac:dyDescent="0.2">
      <c r="A4226" s="82">
        <v>4218</v>
      </c>
    </row>
    <row r="4227" spans="1:1" ht="15.75" customHeight="1" x14ac:dyDescent="0.2">
      <c r="A4227" s="81">
        <v>4219</v>
      </c>
    </row>
    <row r="4228" spans="1:1" ht="15.75" customHeight="1" x14ac:dyDescent="0.2">
      <c r="A4228" s="82">
        <v>4220</v>
      </c>
    </row>
    <row r="4229" spans="1:1" ht="15.75" customHeight="1" x14ac:dyDescent="0.2">
      <c r="A4229" s="81">
        <v>4221</v>
      </c>
    </row>
    <row r="4230" spans="1:1" ht="15.75" customHeight="1" x14ac:dyDescent="0.2">
      <c r="A4230" s="82">
        <v>4222</v>
      </c>
    </row>
    <row r="4231" spans="1:1" ht="15.75" customHeight="1" x14ac:dyDescent="0.2">
      <c r="A4231" s="81">
        <v>4223</v>
      </c>
    </row>
    <row r="4232" spans="1:1" ht="15.75" customHeight="1" x14ac:dyDescent="0.2">
      <c r="A4232" s="82">
        <v>4224</v>
      </c>
    </row>
    <row r="4233" spans="1:1" ht="15.75" customHeight="1" x14ac:dyDescent="0.2">
      <c r="A4233" s="81">
        <v>4225</v>
      </c>
    </row>
    <row r="4234" spans="1:1" ht="15.75" customHeight="1" x14ac:dyDescent="0.2">
      <c r="A4234" s="82">
        <v>4226</v>
      </c>
    </row>
    <row r="4235" spans="1:1" ht="15.75" customHeight="1" x14ac:dyDescent="0.2">
      <c r="A4235" s="81">
        <v>4227</v>
      </c>
    </row>
    <row r="4236" spans="1:1" ht="15.75" customHeight="1" x14ac:dyDescent="0.2">
      <c r="A4236" s="82">
        <v>4228</v>
      </c>
    </row>
    <row r="4237" spans="1:1" ht="15.75" customHeight="1" x14ac:dyDescent="0.2">
      <c r="A4237" s="81">
        <v>4229</v>
      </c>
    </row>
    <row r="4238" spans="1:1" ht="15.75" customHeight="1" x14ac:dyDescent="0.2">
      <c r="A4238" s="82">
        <v>4230</v>
      </c>
    </row>
    <row r="4239" spans="1:1" ht="15.75" customHeight="1" x14ac:dyDescent="0.2">
      <c r="A4239" s="81">
        <v>4231</v>
      </c>
    </row>
    <row r="4240" spans="1:1" ht="15.75" customHeight="1" x14ac:dyDescent="0.2">
      <c r="A4240" s="82">
        <v>4232</v>
      </c>
    </row>
    <row r="4241" spans="1:1" ht="15.75" customHeight="1" x14ac:dyDescent="0.2">
      <c r="A4241" s="81">
        <v>4233</v>
      </c>
    </row>
    <row r="4242" spans="1:1" ht="15.75" customHeight="1" x14ac:dyDescent="0.2">
      <c r="A4242" s="82">
        <v>4234</v>
      </c>
    </row>
    <row r="4243" spans="1:1" ht="15.75" customHeight="1" x14ac:dyDescent="0.2">
      <c r="A4243" s="81">
        <v>4235</v>
      </c>
    </row>
    <row r="4244" spans="1:1" ht="15.75" customHeight="1" x14ac:dyDescent="0.2">
      <c r="A4244" s="82">
        <v>4236</v>
      </c>
    </row>
    <row r="4245" spans="1:1" ht="15.75" customHeight="1" x14ac:dyDescent="0.2">
      <c r="A4245" s="81">
        <v>4237</v>
      </c>
    </row>
    <row r="4246" spans="1:1" ht="15.75" customHeight="1" x14ac:dyDescent="0.2">
      <c r="A4246" s="82">
        <v>4238</v>
      </c>
    </row>
    <row r="4247" spans="1:1" ht="15.75" customHeight="1" x14ac:dyDescent="0.2">
      <c r="A4247" s="81">
        <v>4239</v>
      </c>
    </row>
    <row r="4248" spans="1:1" ht="15.75" customHeight="1" x14ac:dyDescent="0.2">
      <c r="A4248" s="82">
        <v>4240</v>
      </c>
    </row>
    <row r="4249" spans="1:1" ht="15.75" customHeight="1" x14ac:dyDescent="0.2">
      <c r="A4249" s="81">
        <v>4241</v>
      </c>
    </row>
    <row r="4250" spans="1:1" ht="15.75" customHeight="1" x14ac:dyDescent="0.2">
      <c r="A4250" s="82">
        <v>4242</v>
      </c>
    </row>
    <row r="4251" spans="1:1" ht="15.75" customHeight="1" x14ac:dyDescent="0.2">
      <c r="A4251" s="81">
        <v>4243</v>
      </c>
    </row>
    <row r="4252" spans="1:1" ht="15.75" customHeight="1" x14ac:dyDescent="0.2">
      <c r="A4252" s="82">
        <v>4244</v>
      </c>
    </row>
    <row r="4253" spans="1:1" ht="15.75" customHeight="1" x14ac:dyDescent="0.2">
      <c r="A4253" s="81">
        <v>4245</v>
      </c>
    </row>
    <row r="4254" spans="1:1" ht="15.75" customHeight="1" x14ac:dyDescent="0.2">
      <c r="A4254" s="82">
        <v>4246</v>
      </c>
    </row>
    <row r="4255" spans="1:1" ht="15.75" customHeight="1" x14ac:dyDescent="0.2">
      <c r="A4255" s="81">
        <v>4247</v>
      </c>
    </row>
    <row r="4256" spans="1:1" ht="15.75" customHeight="1" x14ac:dyDescent="0.2">
      <c r="A4256" s="82">
        <v>4248</v>
      </c>
    </row>
    <row r="4257" spans="1:1" ht="15.75" customHeight="1" x14ac:dyDescent="0.2">
      <c r="A4257" s="81">
        <v>4249</v>
      </c>
    </row>
    <row r="4258" spans="1:1" ht="15.75" customHeight="1" x14ac:dyDescent="0.2">
      <c r="A4258" s="82">
        <v>4250</v>
      </c>
    </row>
    <row r="4259" spans="1:1" ht="15.75" customHeight="1" x14ac:dyDescent="0.2">
      <c r="A4259" s="81">
        <v>4251</v>
      </c>
    </row>
    <row r="4260" spans="1:1" ht="15.75" customHeight="1" x14ac:dyDescent="0.2">
      <c r="A4260" s="82">
        <v>4252</v>
      </c>
    </row>
    <row r="4261" spans="1:1" ht="15.75" customHeight="1" x14ac:dyDescent="0.2">
      <c r="A4261" s="81">
        <v>4253</v>
      </c>
    </row>
    <row r="4262" spans="1:1" ht="15.75" customHeight="1" x14ac:dyDescent="0.2">
      <c r="A4262" s="82">
        <v>4254</v>
      </c>
    </row>
    <row r="4263" spans="1:1" ht="15.75" customHeight="1" x14ac:dyDescent="0.2">
      <c r="A4263" s="81">
        <v>4255</v>
      </c>
    </row>
    <row r="4264" spans="1:1" ht="15.75" customHeight="1" x14ac:dyDescent="0.2">
      <c r="A4264" s="82">
        <v>4256</v>
      </c>
    </row>
    <row r="4265" spans="1:1" ht="15.75" customHeight="1" x14ac:dyDescent="0.2">
      <c r="A4265" s="81">
        <v>4257</v>
      </c>
    </row>
    <row r="4266" spans="1:1" ht="15.75" customHeight="1" x14ac:dyDescent="0.2">
      <c r="A4266" s="82">
        <v>4258</v>
      </c>
    </row>
    <row r="4267" spans="1:1" ht="15.75" customHeight="1" x14ac:dyDescent="0.2">
      <c r="A4267" s="81">
        <v>4259</v>
      </c>
    </row>
    <row r="4268" spans="1:1" ht="15.75" customHeight="1" x14ac:dyDescent="0.2">
      <c r="A4268" s="82">
        <v>4260</v>
      </c>
    </row>
    <row r="4269" spans="1:1" ht="15.75" customHeight="1" x14ac:dyDescent="0.2">
      <c r="A4269" s="81">
        <v>4261</v>
      </c>
    </row>
    <row r="4270" spans="1:1" ht="15.75" customHeight="1" x14ac:dyDescent="0.2">
      <c r="A4270" s="82">
        <v>4262</v>
      </c>
    </row>
    <row r="4271" spans="1:1" ht="15.75" customHeight="1" x14ac:dyDescent="0.2">
      <c r="A4271" s="81">
        <v>4263</v>
      </c>
    </row>
    <row r="4272" spans="1:1" ht="15.75" customHeight="1" x14ac:dyDescent="0.2">
      <c r="A4272" s="82">
        <v>4264</v>
      </c>
    </row>
    <row r="4273" spans="1:1" ht="15.75" customHeight="1" x14ac:dyDescent="0.2">
      <c r="A4273" s="81">
        <v>4265</v>
      </c>
    </row>
    <row r="4274" spans="1:1" ht="15.75" customHeight="1" x14ac:dyDescent="0.2">
      <c r="A4274" s="82">
        <v>4266</v>
      </c>
    </row>
    <row r="4275" spans="1:1" ht="15.75" customHeight="1" x14ac:dyDescent="0.2">
      <c r="A4275" s="81">
        <v>4267</v>
      </c>
    </row>
    <row r="4276" spans="1:1" ht="15.75" customHeight="1" x14ac:dyDescent="0.2">
      <c r="A4276" s="82">
        <v>4268</v>
      </c>
    </row>
    <row r="4277" spans="1:1" ht="15.75" customHeight="1" x14ac:dyDescent="0.2">
      <c r="A4277" s="81">
        <v>4269</v>
      </c>
    </row>
    <row r="4278" spans="1:1" ht="15.75" customHeight="1" x14ac:dyDescent="0.2">
      <c r="A4278" s="82">
        <v>4270</v>
      </c>
    </row>
    <row r="4279" spans="1:1" ht="15.75" customHeight="1" x14ac:dyDescent="0.2">
      <c r="A4279" s="81">
        <v>4271</v>
      </c>
    </row>
    <row r="4280" spans="1:1" ht="15.75" customHeight="1" x14ac:dyDescent="0.2">
      <c r="A4280" s="82">
        <v>4272</v>
      </c>
    </row>
    <row r="4281" spans="1:1" ht="15.75" customHeight="1" x14ac:dyDescent="0.2">
      <c r="A4281" s="81">
        <v>4273</v>
      </c>
    </row>
    <row r="4282" spans="1:1" ht="15.75" customHeight="1" x14ac:dyDescent="0.2">
      <c r="A4282" s="82">
        <v>4274</v>
      </c>
    </row>
    <row r="4283" spans="1:1" ht="15.75" customHeight="1" x14ac:dyDescent="0.2">
      <c r="A4283" s="81">
        <v>4275</v>
      </c>
    </row>
    <row r="4284" spans="1:1" ht="15.75" customHeight="1" x14ac:dyDescent="0.2">
      <c r="A4284" s="82">
        <v>4276</v>
      </c>
    </row>
    <row r="4285" spans="1:1" ht="15.75" customHeight="1" x14ac:dyDescent="0.2">
      <c r="A4285" s="81">
        <v>4277</v>
      </c>
    </row>
    <row r="4286" spans="1:1" ht="15.75" customHeight="1" x14ac:dyDescent="0.2">
      <c r="A4286" s="82">
        <v>4278</v>
      </c>
    </row>
    <row r="4287" spans="1:1" ht="15.75" customHeight="1" x14ac:dyDescent="0.2">
      <c r="A4287" s="81">
        <v>4279</v>
      </c>
    </row>
    <row r="4288" spans="1:1" ht="15.75" customHeight="1" x14ac:dyDescent="0.2">
      <c r="A4288" s="82">
        <v>4280</v>
      </c>
    </row>
    <row r="4289" spans="1:1" ht="15.75" customHeight="1" x14ac:dyDescent="0.2">
      <c r="A4289" s="81">
        <v>4281</v>
      </c>
    </row>
    <row r="4290" spans="1:1" ht="15.75" customHeight="1" x14ac:dyDescent="0.2">
      <c r="A4290" s="82">
        <v>4282</v>
      </c>
    </row>
    <row r="4291" spans="1:1" ht="15.75" customHeight="1" x14ac:dyDescent="0.2">
      <c r="A4291" s="81">
        <v>4283</v>
      </c>
    </row>
    <row r="4292" spans="1:1" ht="15.75" customHeight="1" x14ac:dyDescent="0.2">
      <c r="A4292" s="82">
        <v>4284</v>
      </c>
    </row>
    <row r="4293" spans="1:1" ht="15.75" customHeight="1" x14ac:dyDescent="0.2">
      <c r="A4293" s="81">
        <v>4285</v>
      </c>
    </row>
    <row r="4294" spans="1:1" ht="15.75" customHeight="1" x14ac:dyDescent="0.2">
      <c r="A4294" s="82">
        <v>4286</v>
      </c>
    </row>
    <row r="4295" spans="1:1" ht="15.75" customHeight="1" x14ac:dyDescent="0.2">
      <c r="A4295" s="81">
        <v>4287</v>
      </c>
    </row>
    <row r="4296" spans="1:1" ht="15.75" customHeight="1" x14ac:dyDescent="0.2">
      <c r="A4296" s="82">
        <v>4288</v>
      </c>
    </row>
    <row r="4297" spans="1:1" ht="15.75" customHeight="1" x14ac:dyDescent="0.2">
      <c r="A4297" s="81">
        <v>4289</v>
      </c>
    </row>
    <row r="4298" spans="1:1" ht="15.75" customHeight="1" x14ac:dyDescent="0.2">
      <c r="A4298" s="82">
        <v>4290</v>
      </c>
    </row>
    <row r="4299" spans="1:1" ht="15.75" customHeight="1" x14ac:dyDescent="0.2">
      <c r="A4299" s="81">
        <v>4291</v>
      </c>
    </row>
    <row r="4300" spans="1:1" ht="15.75" customHeight="1" x14ac:dyDescent="0.2">
      <c r="A4300" s="82">
        <v>4292</v>
      </c>
    </row>
    <row r="4301" spans="1:1" ht="15.75" customHeight="1" x14ac:dyDescent="0.2">
      <c r="A4301" s="81">
        <v>4293</v>
      </c>
    </row>
    <row r="4302" spans="1:1" ht="15.75" customHeight="1" x14ac:dyDescent="0.2">
      <c r="A4302" s="82">
        <v>4294</v>
      </c>
    </row>
    <row r="4303" spans="1:1" ht="15.75" customHeight="1" x14ac:dyDescent="0.2">
      <c r="A4303" s="81">
        <v>4295</v>
      </c>
    </row>
    <row r="4304" spans="1:1" ht="15.75" customHeight="1" x14ac:dyDescent="0.2">
      <c r="A4304" s="82">
        <v>4296</v>
      </c>
    </row>
    <row r="4305" spans="1:1" ht="15.75" customHeight="1" x14ac:dyDescent="0.2">
      <c r="A4305" s="81">
        <v>4297</v>
      </c>
    </row>
    <row r="4306" spans="1:1" ht="15.75" customHeight="1" x14ac:dyDescent="0.2">
      <c r="A4306" s="82">
        <v>4298</v>
      </c>
    </row>
    <row r="4307" spans="1:1" ht="15.75" customHeight="1" x14ac:dyDescent="0.2">
      <c r="A4307" s="81">
        <v>4299</v>
      </c>
    </row>
    <row r="4308" spans="1:1" ht="15.75" customHeight="1" x14ac:dyDescent="0.2">
      <c r="A4308" s="82">
        <v>4300</v>
      </c>
    </row>
    <row r="4309" spans="1:1" ht="15.75" customHeight="1" x14ac:dyDescent="0.2">
      <c r="A4309" s="81">
        <v>4301</v>
      </c>
    </row>
    <row r="4310" spans="1:1" ht="15.75" customHeight="1" x14ac:dyDescent="0.2">
      <c r="A4310" s="82">
        <v>4302</v>
      </c>
    </row>
    <row r="4311" spans="1:1" ht="15.75" customHeight="1" x14ac:dyDescent="0.2">
      <c r="A4311" s="81">
        <v>4303</v>
      </c>
    </row>
    <row r="4312" spans="1:1" ht="15.75" customHeight="1" x14ac:dyDescent="0.2">
      <c r="A4312" s="82">
        <v>4304</v>
      </c>
    </row>
    <row r="4313" spans="1:1" ht="15.75" customHeight="1" x14ac:dyDescent="0.2">
      <c r="A4313" s="81">
        <v>4305</v>
      </c>
    </row>
    <row r="4314" spans="1:1" ht="15.75" customHeight="1" x14ac:dyDescent="0.2">
      <c r="A4314" s="82">
        <v>4306</v>
      </c>
    </row>
    <row r="4315" spans="1:1" ht="15.75" customHeight="1" x14ac:dyDescent="0.2">
      <c r="A4315" s="81">
        <v>4307</v>
      </c>
    </row>
    <row r="4316" spans="1:1" ht="15.75" customHeight="1" x14ac:dyDescent="0.2">
      <c r="A4316" s="82">
        <v>4308</v>
      </c>
    </row>
    <row r="4317" spans="1:1" ht="15.75" customHeight="1" x14ac:dyDescent="0.2">
      <c r="A4317" s="81">
        <v>4309</v>
      </c>
    </row>
    <row r="4318" spans="1:1" ht="15.75" customHeight="1" x14ac:dyDescent="0.2">
      <c r="A4318" s="82">
        <v>4310</v>
      </c>
    </row>
    <row r="4319" spans="1:1" ht="15.75" customHeight="1" x14ac:dyDescent="0.2">
      <c r="A4319" s="81">
        <v>4311</v>
      </c>
    </row>
    <row r="4320" spans="1:1" ht="15.75" customHeight="1" x14ac:dyDescent="0.2">
      <c r="A4320" s="82">
        <v>4312</v>
      </c>
    </row>
    <row r="4321" spans="1:1" ht="15.75" customHeight="1" x14ac:dyDescent="0.2">
      <c r="A4321" s="81">
        <v>4313</v>
      </c>
    </row>
    <row r="4322" spans="1:1" ht="15.75" customHeight="1" x14ac:dyDescent="0.2">
      <c r="A4322" s="82">
        <v>4314</v>
      </c>
    </row>
    <row r="4323" spans="1:1" ht="15.75" customHeight="1" x14ac:dyDescent="0.2">
      <c r="A4323" s="81">
        <v>4315</v>
      </c>
    </row>
    <row r="4324" spans="1:1" ht="15.75" customHeight="1" x14ac:dyDescent="0.2">
      <c r="A4324" s="82">
        <v>4316</v>
      </c>
    </row>
    <row r="4325" spans="1:1" ht="15.75" customHeight="1" x14ac:dyDescent="0.2">
      <c r="A4325" s="81">
        <v>4317</v>
      </c>
    </row>
    <row r="4326" spans="1:1" ht="15.75" customHeight="1" x14ac:dyDescent="0.2">
      <c r="A4326" s="82">
        <v>4318</v>
      </c>
    </row>
    <row r="4327" spans="1:1" ht="15.75" customHeight="1" x14ac:dyDescent="0.2">
      <c r="A4327" s="81">
        <v>4319</v>
      </c>
    </row>
    <row r="4328" spans="1:1" ht="15.75" customHeight="1" x14ac:dyDescent="0.2">
      <c r="A4328" s="82">
        <v>4320</v>
      </c>
    </row>
    <row r="4329" spans="1:1" ht="15.75" customHeight="1" x14ac:dyDescent="0.2">
      <c r="A4329" s="81">
        <v>4321</v>
      </c>
    </row>
    <row r="4330" spans="1:1" ht="15.75" customHeight="1" x14ac:dyDescent="0.2">
      <c r="A4330" s="82">
        <v>4322</v>
      </c>
    </row>
    <row r="4331" spans="1:1" ht="15.75" customHeight="1" x14ac:dyDescent="0.2">
      <c r="A4331" s="81">
        <v>4323</v>
      </c>
    </row>
    <row r="4332" spans="1:1" ht="15.75" customHeight="1" x14ac:dyDescent="0.2">
      <c r="A4332" s="82">
        <v>4324</v>
      </c>
    </row>
    <row r="4333" spans="1:1" ht="15.75" customHeight="1" x14ac:dyDescent="0.2">
      <c r="A4333" s="81">
        <v>4325</v>
      </c>
    </row>
    <row r="4334" spans="1:1" ht="15.75" customHeight="1" x14ac:dyDescent="0.2">
      <c r="A4334" s="82">
        <v>4326</v>
      </c>
    </row>
    <row r="4335" spans="1:1" ht="15.75" customHeight="1" x14ac:dyDescent="0.2">
      <c r="A4335" s="81">
        <v>4327</v>
      </c>
    </row>
    <row r="4336" spans="1:1" ht="15.75" customHeight="1" x14ac:dyDescent="0.2">
      <c r="A4336" s="82">
        <v>4328</v>
      </c>
    </row>
    <row r="4337" spans="1:1" ht="15.75" customHeight="1" x14ac:dyDescent="0.2">
      <c r="A4337" s="81">
        <v>4329</v>
      </c>
    </row>
    <row r="4338" spans="1:1" ht="15.75" customHeight="1" x14ac:dyDescent="0.2">
      <c r="A4338" s="82">
        <v>4330</v>
      </c>
    </row>
    <row r="4339" spans="1:1" ht="15.75" customHeight="1" x14ac:dyDescent="0.2">
      <c r="A4339" s="81">
        <v>4331</v>
      </c>
    </row>
    <row r="4340" spans="1:1" ht="15.75" customHeight="1" x14ac:dyDescent="0.2">
      <c r="A4340" s="82">
        <v>4332</v>
      </c>
    </row>
    <row r="4341" spans="1:1" ht="15.75" customHeight="1" x14ac:dyDescent="0.2">
      <c r="A4341" s="81">
        <v>4333</v>
      </c>
    </row>
    <row r="4342" spans="1:1" ht="15.75" customHeight="1" x14ac:dyDescent="0.2">
      <c r="A4342" s="82">
        <v>4334</v>
      </c>
    </row>
    <row r="4343" spans="1:1" ht="15.75" customHeight="1" x14ac:dyDescent="0.2">
      <c r="A4343" s="81">
        <v>4335</v>
      </c>
    </row>
    <row r="4344" spans="1:1" ht="15.75" customHeight="1" x14ac:dyDescent="0.2">
      <c r="A4344" s="82">
        <v>4336</v>
      </c>
    </row>
    <row r="4345" spans="1:1" ht="15.75" customHeight="1" x14ac:dyDescent="0.2">
      <c r="A4345" s="81">
        <v>4337</v>
      </c>
    </row>
    <row r="4346" spans="1:1" ht="15.75" customHeight="1" x14ac:dyDescent="0.2">
      <c r="A4346" s="82">
        <v>4338</v>
      </c>
    </row>
    <row r="4347" spans="1:1" ht="15.75" customHeight="1" x14ac:dyDescent="0.2">
      <c r="A4347" s="81">
        <v>4339</v>
      </c>
    </row>
    <row r="4348" spans="1:1" ht="15.75" customHeight="1" x14ac:dyDescent="0.2">
      <c r="A4348" s="82">
        <v>4340</v>
      </c>
    </row>
    <row r="4349" spans="1:1" ht="15.75" customHeight="1" x14ac:dyDescent="0.2">
      <c r="A4349" s="81">
        <v>4341</v>
      </c>
    </row>
    <row r="4350" spans="1:1" ht="15.75" customHeight="1" x14ac:dyDescent="0.2">
      <c r="A4350" s="82">
        <v>4342</v>
      </c>
    </row>
    <row r="4351" spans="1:1" ht="15.75" customHeight="1" x14ac:dyDescent="0.2">
      <c r="A4351" s="81">
        <v>4343</v>
      </c>
    </row>
    <row r="4352" spans="1:1" ht="15.75" customHeight="1" x14ac:dyDescent="0.2">
      <c r="A4352" s="82">
        <v>4344</v>
      </c>
    </row>
    <row r="4353" spans="1:1" ht="15.75" customHeight="1" x14ac:dyDescent="0.2">
      <c r="A4353" s="81">
        <v>4345</v>
      </c>
    </row>
    <row r="4354" spans="1:1" ht="15.75" customHeight="1" x14ac:dyDescent="0.2">
      <c r="A4354" s="82">
        <v>4346</v>
      </c>
    </row>
    <row r="4355" spans="1:1" ht="15.75" customHeight="1" x14ac:dyDescent="0.2">
      <c r="A4355" s="81">
        <v>4347</v>
      </c>
    </row>
    <row r="4356" spans="1:1" ht="15.75" customHeight="1" x14ac:dyDescent="0.2">
      <c r="A4356" s="82">
        <v>4348</v>
      </c>
    </row>
    <row r="4357" spans="1:1" ht="15.75" customHeight="1" x14ac:dyDescent="0.2">
      <c r="A4357" s="81">
        <v>4349</v>
      </c>
    </row>
    <row r="4358" spans="1:1" ht="15.75" customHeight="1" x14ac:dyDescent="0.2">
      <c r="A4358" s="82">
        <v>4350</v>
      </c>
    </row>
    <row r="4359" spans="1:1" ht="15.75" customHeight="1" x14ac:dyDescent="0.2">
      <c r="A4359" s="81">
        <v>4351</v>
      </c>
    </row>
    <row r="4360" spans="1:1" ht="15.75" customHeight="1" x14ac:dyDescent="0.2">
      <c r="A4360" s="82">
        <v>4352</v>
      </c>
    </row>
    <row r="4361" spans="1:1" ht="15.75" customHeight="1" x14ac:dyDescent="0.2">
      <c r="A4361" s="81">
        <v>4353</v>
      </c>
    </row>
    <row r="4362" spans="1:1" ht="15.75" customHeight="1" x14ac:dyDescent="0.2">
      <c r="A4362" s="82">
        <v>4354</v>
      </c>
    </row>
    <row r="4363" spans="1:1" ht="15.75" customHeight="1" x14ac:dyDescent="0.2">
      <c r="A4363" s="81">
        <v>4355</v>
      </c>
    </row>
    <row r="4364" spans="1:1" ht="15.75" customHeight="1" x14ac:dyDescent="0.2">
      <c r="A4364" s="82">
        <v>4356</v>
      </c>
    </row>
    <row r="4365" spans="1:1" ht="15.75" customHeight="1" x14ac:dyDescent="0.2">
      <c r="A4365" s="81">
        <v>4357</v>
      </c>
    </row>
    <row r="4366" spans="1:1" ht="15.75" customHeight="1" x14ac:dyDescent="0.2">
      <c r="A4366" s="82">
        <v>4358</v>
      </c>
    </row>
    <row r="4367" spans="1:1" ht="15.75" customHeight="1" x14ac:dyDescent="0.2">
      <c r="A4367" s="81">
        <v>4359</v>
      </c>
    </row>
    <row r="4368" spans="1:1" ht="15.75" customHeight="1" x14ac:dyDescent="0.2">
      <c r="A4368" s="82">
        <v>4360</v>
      </c>
    </row>
    <row r="4369" spans="1:1" ht="15.75" customHeight="1" x14ac:dyDescent="0.2">
      <c r="A4369" s="81">
        <v>4361</v>
      </c>
    </row>
    <row r="4370" spans="1:1" ht="15.75" customHeight="1" x14ac:dyDescent="0.2">
      <c r="A4370" s="82">
        <v>4362</v>
      </c>
    </row>
    <row r="4371" spans="1:1" ht="15.75" customHeight="1" x14ac:dyDescent="0.2">
      <c r="A4371" s="81">
        <v>4363</v>
      </c>
    </row>
    <row r="4372" spans="1:1" ht="15.75" customHeight="1" x14ac:dyDescent="0.2">
      <c r="A4372" s="82">
        <v>4364</v>
      </c>
    </row>
    <row r="4373" spans="1:1" ht="15.75" customHeight="1" x14ac:dyDescent="0.2">
      <c r="A4373" s="81">
        <v>4365</v>
      </c>
    </row>
    <row r="4374" spans="1:1" ht="15.75" customHeight="1" x14ac:dyDescent="0.2">
      <c r="A4374" s="82">
        <v>4366</v>
      </c>
    </row>
    <row r="4375" spans="1:1" ht="15.75" customHeight="1" x14ac:dyDescent="0.2">
      <c r="A4375" s="81">
        <v>4367</v>
      </c>
    </row>
    <row r="4376" spans="1:1" ht="15.75" customHeight="1" x14ac:dyDescent="0.2">
      <c r="A4376" s="82">
        <v>4368</v>
      </c>
    </row>
    <row r="4377" spans="1:1" ht="15.75" customHeight="1" x14ac:dyDescent="0.2">
      <c r="A4377" s="81">
        <v>4369</v>
      </c>
    </row>
    <row r="4378" spans="1:1" ht="15.75" customHeight="1" x14ac:dyDescent="0.2">
      <c r="A4378" s="82">
        <v>4370</v>
      </c>
    </row>
    <row r="4379" spans="1:1" ht="15.75" customHeight="1" x14ac:dyDescent="0.2">
      <c r="A4379" s="81">
        <v>4371</v>
      </c>
    </row>
    <row r="4380" spans="1:1" ht="15.75" customHeight="1" x14ac:dyDescent="0.2">
      <c r="A4380" s="82">
        <v>4372</v>
      </c>
    </row>
    <row r="4381" spans="1:1" ht="15.75" customHeight="1" x14ac:dyDescent="0.2">
      <c r="A4381" s="81">
        <v>4373</v>
      </c>
    </row>
    <row r="4382" spans="1:1" ht="15.75" customHeight="1" x14ac:dyDescent="0.2">
      <c r="A4382" s="82">
        <v>4374</v>
      </c>
    </row>
    <row r="4383" spans="1:1" ht="15.75" customHeight="1" x14ac:dyDescent="0.2">
      <c r="A4383" s="81">
        <v>4375</v>
      </c>
    </row>
    <row r="4384" spans="1:1" ht="15.75" customHeight="1" x14ac:dyDescent="0.2">
      <c r="A4384" s="82">
        <v>4376</v>
      </c>
    </row>
    <row r="4385" spans="1:1" ht="15.75" customHeight="1" x14ac:dyDescent="0.2">
      <c r="A4385" s="81">
        <v>4377</v>
      </c>
    </row>
    <row r="4386" spans="1:1" ht="15.75" customHeight="1" x14ac:dyDescent="0.2">
      <c r="A4386" s="82">
        <v>4378</v>
      </c>
    </row>
    <row r="4387" spans="1:1" ht="15.75" customHeight="1" x14ac:dyDescent="0.2">
      <c r="A4387" s="81">
        <v>4379</v>
      </c>
    </row>
    <row r="4388" spans="1:1" ht="15.75" customHeight="1" x14ac:dyDescent="0.2">
      <c r="A4388" s="82">
        <v>4380</v>
      </c>
    </row>
    <row r="4389" spans="1:1" ht="15.75" customHeight="1" x14ac:dyDescent="0.2">
      <c r="A4389" s="81">
        <v>4381</v>
      </c>
    </row>
    <row r="4390" spans="1:1" ht="15.75" customHeight="1" x14ac:dyDescent="0.2">
      <c r="A4390" s="82">
        <v>4382</v>
      </c>
    </row>
    <row r="4391" spans="1:1" ht="15.75" customHeight="1" x14ac:dyDescent="0.2">
      <c r="A4391" s="81">
        <v>4383</v>
      </c>
    </row>
    <row r="4392" spans="1:1" ht="15.75" customHeight="1" x14ac:dyDescent="0.2">
      <c r="A4392" s="82">
        <v>4384</v>
      </c>
    </row>
    <row r="4393" spans="1:1" ht="15.75" customHeight="1" x14ac:dyDescent="0.2">
      <c r="A4393" s="81">
        <v>4385</v>
      </c>
    </row>
    <row r="4394" spans="1:1" ht="15.75" customHeight="1" x14ac:dyDescent="0.2">
      <c r="A4394" s="82">
        <v>4386</v>
      </c>
    </row>
    <row r="4395" spans="1:1" ht="15.75" customHeight="1" x14ac:dyDescent="0.2">
      <c r="A4395" s="81">
        <v>4387</v>
      </c>
    </row>
    <row r="4396" spans="1:1" ht="15.75" customHeight="1" x14ac:dyDescent="0.2">
      <c r="A4396" s="82">
        <v>4388</v>
      </c>
    </row>
    <row r="4397" spans="1:1" ht="15.75" customHeight="1" x14ac:dyDescent="0.2">
      <c r="A4397" s="81">
        <v>4389</v>
      </c>
    </row>
    <row r="4398" spans="1:1" ht="15.75" customHeight="1" x14ac:dyDescent="0.2">
      <c r="A4398" s="82">
        <v>4390</v>
      </c>
    </row>
    <row r="4399" spans="1:1" ht="15.75" customHeight="1" x14ac:dyDescent="0.2">
      <c r="A4399" s="81">
        <v>4391</v>
      </c>
    </row>
    <row r="4400" spans="1:1" ht="15.75" customHeight="1" x14ac:dyDescent="0.2">
      <c r="A4400" s="82">
        <v>4392</v>
      </c>
    </row>
    <row r="4401" spans="1:1" ht="15.75" customHeight="1" x14ac:dyDescent="0.2">
      <c r="A4401" s="81">
        <v>4393</v>
      </c>
    </row>
    <row r="4402" spans="1:1" ht="15.75" customHeight="1" x14ac:dyDescent="0.2">
      <c r="A4402" s="82">
        <v>4394</v>
      </c>
    </row>
    <row r="4403" spans="1:1" ht="15.75" customHeight="1" x14ac:dyDescent="0.2">
      <c r="A4403" s="81">
        <v>4395</v>
      </c>
    </row>
    <row r="4404" spans="1:1" ht="15.75" customHeight="1" x14ac:dyDescent="0.2">
      <c r="A4404" s="82">
        <v>4396</v>
      </c>
    </row>
    <row r="4405" spans="1:1" ht="15.75" customHeight="1" x14ac:dyDescent="0.2">
      <c r="A4405" s="81">
        <v>4397</v>
      </c>
    </row>
    <row r="4406" spans="1:1" ht="15.75" customHeight="1" x14ac:dyDescent="0.2">
      <c r="A4406" s="82">
        <v>4398</v>
      </c>
    </row>
    <row r="4407" spans="1:1" ht="15.75" customHeight="1" x14ac:dyDescent="0.2">
      <c r="A4407" s="81">
        <v>4399</v>
      </c>
    </row>
    <row r="4408" spans="1:1" ht="15.75" customHeight="1" x14ac:dyDescent="0.2">
      <c r="A4408" s="82">
        <v>4400</v>
      </c>
    </row>
    <row r="4409" spans="1:1" ht="15.75" customHeight="1" x14ac:dyDescent="0.2">
      <c r="A4409" s="81">
        <v>4401</v>
      </c>
    </row>
    <row r="4410" spans="1:1" ht="15.75" customHeight="1" x14ac:dyDescent="0.2">
      <c r="A4410" s="82">
        <v>4402</v>
      </c>
    </row>
    <row r="4411" spans="1:1" ht="15.75" customHeight="1" x14ac:dyDescent="0.2">
      <c r="A4411" s="81">
        <v>4403</v>
      </c>
    </row>
    <row r="4412" spans="1:1" ht="15.75" customHeight="1" x14ac:dyDescent="0.2">
      <c r="A4412" s="82">
        <v>4404</v>
      </c>
    </row>
    <row r="4413" spans="1:1" ht="15.75" customHeight="1" x14ac:dyDescent="0.2">
      <c r="A4413" s="81">
        <v>4405</v>
      </c>
    </row>
    <row r="4414" spans="1:1" ht="15.75" customHeight="1" x14ac:dyDescent="0.2">
      <c r="A4414" s="82">
        <v>4406</v>
      </c>
    </row>
    <row r="4415" spans="1:1" ht="15.75" customHeight="1" x14ac:dyDescent="0.2">
      <c r="A4415" s="81">
        <v>4407</v>
      </c>
    </row>
    <row r="4416" spans="1:1" ht="15.75" customHeight="1" x14ac:dyDescent="0.2">
      <c r="A4416" s="82">
        <v>4408</v>
      </c>
    </row>
    <row r="4417" spans="1:1" ht="15.75" customHeight="1" x14ac:dyDescent="0.2">
      <c r="A4417" s="81">
        <v>4409</v>
      </c>
    </row>
    <row r="4418" spans="1:1" ht="15.75" customHeight="1" x14ac:dyDescent="0.2">
      <c r="A4418" s="82">
        <v>4410</v>
      </c>
    </row>
    <row r="4419" spans="1:1" ht="15.75" customHeight="1" x14ac:dyDescent="0.2">
      <c r="A4419" s="81">
        <v>4411</v>
      </c>
    </row>
    <row r="4420" spans="1:1" ht="15.75" customHeight="1" x14ac:dyDescent="0.2">
      <c r="A4420" s="82">
        <v>4412</v>
      </c>
    </row>
    <row r="4421" spans="1:1" ht="15.75" customHeight="1" x14ac:dyDescent="0.2">
      <c r="A4421" s="81">
        <v>4413</v>
      </c>
    </row>
    <row r="4422" spans="1:1" ht="15.75" customHeight="1" x14ac:dyDescent="0.2">
      <c r="A4422" s="82">
        <v>4414</v>
      </c>
    </row>
    <row r="4423" spans="1:1" ht="15.75" customHeight="1" x14ac:dyDescent="0.2">
      <c r="A4423" s="81">
        <v>4415</v>
      </c>
    </row>
    <row r="4424" spans="1:1" ht="15.75" customHeight="1" x14ac:dyDescent="0.2">
      <c r="A4424" s="82">
        <v>4416</v>
      </c>
    </row>
    <row r="4425" spans="1:1" ht="15.75" customHeight="1" x14ac:dyDescent="0.2">
      <c r="A4425" s="81">
        <v>4417</v>
      </c>
    </row>
    <row r="4426" spans="1:1" ht="15.75" customHeight="1" x14ac:dyDescent="0.2">
      <c r="A4426" s="82">
        <v>4418</v>
      </c>
    </row>
    <row r="4427" spans="1:1" ht="15.75" customHeight="1" x14ac:dyDescent="0.2">
      <c r="A4427" s="81">
        <v>4419</v>
      </c>
    </row>
    <row r="4428" spans="1:1" ht="15.75" customHeight="1" x14ac:dyDescent="0.2">
      <c r="A4428" s="82">
        <v>4420</v>
      </c>
    </row>
    <row r="4429" spans="1:1" ht="15.75" customHeight="1" x14ac:dyDescent="0.2">
      <c r="A4429" s="81">
        <v>4421</v>
      </c>
    </row>
    <row r="4430" spans="1:1" ht="15.75" customHeight="1" x14ac:dyDescent="0.2">
      <c r="A4430" s="82">
        <v>4422</v>
      </c>
    </row>
    <row r="4431" spans="1:1" ht="15.75" customHeight="1" x14ac:dyDescent="0.2">
      <c r="A4431" s="81">
        <v>4423</v>
      </c>
    </row>
    <row r="4432" spans="1:1" ht="15.75" customHeight="1" x14ac:dyDescent="0.2">
      <c r="A4432" s="82">
        <v>4424</v>
      </c>
    </row>
    <row r="4433" spans="1:1" ht="15.75" customHeight="1" x14ac:dyDescent="0.2">
      <c r="A4433" s="81">
        <v>4425</v>
      </c>
    </row>
    <row r="4434" spans="1:1" ht="15.75" customHeight="1" x14ac:dyDescent="0.2">
      <c r="A4434" s="82">
        <v>4426</v>
      </c>
    </row>
    <row r="4435" spans="1:1" ht="15.75" customHeight="1" x14ac:dyDescent="0.2">
      <c r="A4435" s="81">
        <v>4427</v>
      </c>
    </row>
    <row r="4436" spans="1:1" ht="15.75" customHeight="1" x14ac:dyDescent="0.2">
      <c r="A4436" s="82">
        <v>4428</v>
      </c>
    </row>
    <row r="4437" spans="1:1" ht="15.75" customHeight="1" x14ac:dyDescent="0.2">
      <c r="A4437" s="81">
        <v>4429</v>
      </c>
    </row>
    <row r="4438" spans="1:1" ht="15.75" customHeight="1" x14ac:dyDescent="0.2">
      <c r="A4438" s="82">
        <v>4430</v>
      </c>
    </row>
    <row r="4439" spans="1:1" ht="15.75" customHeight="1" x14ac:dyDescent="0.2">
      <c r="A4439" s="81">
        <v>4431</v>
      </c>
    </row>
    <row r="4440" spans="1:1" ht="15.75" customHeight="1" x14ac:dyDescent="0.2">
      <c r="A4440" s="82">
        <v>4432</v>
      </c>
    </row>
    <row r="4441" spans="1:1" ht="15.75" customHeight="1" x14ac:dyDescent="0.2">
      <c r="A4441" s="81">
        <v>4433</v>
      </c>
    </row>
    <row r="4442" spans="1:1" ht="15.75" customHeight="1" x14ac:dyDescent="0.2">
      <c r="A4442" s="82">
        <v>4434</v>
      </c>
    </row>
    <row r="4443" spans="1:1" ht="15.75" customHeight="1" x14ac:dyDescent="0.2">
      <c r="A4443" s="81">
        <v>4435</v>
      </c>
    </row>
    <row r="4444" spans="1:1" ht="15.75" customHeight="1" x14ac:dyDescent="0.2">
      <c r="A4444" s="82">
        <v>4436</v>
      </c>
    </row>
    <row r="4445" spans="1:1" ht="15.75" customHeight="1" x14ac:dyDescent="0.2">
      <c r="A4445" s="81">
        <v>4437</v>
      </c>
    </row>
    <row r="4446" spans="1:1" ht="15.75" customHeight="1" x14ac:dyDescent="0.2">
      <c r="A4446" s="82">
        <v>4438</v>
      </c>
    </row>
    <row r="4447" spans="1:1" ht="15.75" customHeight="1" x14ac:dyDescent="0.2">
      <c r="A4447" s="81">
        <v>4439</v>
      </c>
    </row>
    <row r="4448" spans="1:1" ht="15.75" customHeight="1" x14ac:dyDescent="0.2">
      <c r="A4448" s="82">
        <v>4440</v>
      </c>
    </row>
    <row r="4449" spans="1:1" ht="15.75" customHeight="1" x14ac:dyDescent="0.2">
      <c r="A4449" s="81">
        <v>4441</v>
      </c>
    </row>
    <row r="4450" spans="1:1" ht="15.75" customHeight="1" x14ac:dyDescent="0.2">
      <c r="A4450" s="82">
        <v>4442</v>
      </c>
    </row>
    <row r="4451" spans="1:1" ht="15.75" customHeight="1" x14ac:dyDescent="0.2">
      <c r="A4451" s="81">
        <v>4443</v>
      </c>
    </row>
    <row r="4452" spans="1:1" ht="15.75" customHeight="1" x14ac:dyDescent="0.2">
      <c r="A4452" s="82">
        <v>4444</v>
      </c>
    </row>
    <row r="4453" spans="1:1" ht="15.75" customHeight="1" x14ac:dyDescent="0.2">
      <c r="A4453" s="81">
        <v>4445</v>
      </c>
    </row>
    <row r="4454" spans="1:1" ht="15.75" customHeight="1" x14ac:dyDescent="0.2">
      <c r="A4454" s="82">
        <v>4446</v>
      </c>
    </row>
    <row r="4455" spans="1:1" ht="15.75" customHeight="1" x14ac:dyDescent="0.2">
      <c r="A4455" s="81">
        <v>4447</v>
      </c>
    </row>
    <row r="4456" spans="1:1" ht="15.75" customHeight="1" x14ac:dyDescent="0.2">
      <c r="A4456" s="82">
        <v>4448</v>
      </c>
    </row>
    <row r="4457" spans="1:1" ht="15.75" customHeight="1" x14ac:dyDescent="0.2">
      <c r="A4457" s="81">
        <v>4449</v>
      </c>
    </row>
    <row r="4458" spans="1:1" ht="15.75" customHeight="1" x14ac:dyDescent="0.2">
      <c r="A4458" s="82">
        <v>4450</v>
      </c>
    </row>
    <row r="4459" spans="1:1" ht="15.75" customHeight="1" x14ac:dyDescent="0.2">
      <c r="A4459" s="81">
        <v>4451</v>
      </c>
    </row>
    <row r="4460" spans="1:1" ht="15.75" customHeight="1" x14ac:dyDescent="0.2">
      <c r="A4460" s="82">
        <v>4452</v>
      </c>
    </row>
    <row r="4461" spans="1:1" ht="15.75" customHeight="1" x14ac:dyDescent="0.2">
      <c r="A4461" s="81">
        <v>4453</v>
      </c>
    </row>
    <row r="4462" spans="1:1" ht="15.75" customHeight="1" x14ac:dyDescent="0.2">
      <c r="A4462" s="82">
        <v>4454</v>
      </c>
    </row>
    <row r="4463" spans="1:1" ht="15.75" customHeight="1" x14ac:dyDescent="0.2">
      <c r="A4463" s="81">
        <v>4455</v>
      </c>
    </row>
    <row r="4464" spans="1:1" ht="15.75" customHeight="1" x14ac:dyDescent="0.2">
      <c r="A4464" s="82">
        <v>4456</v>
      </c>
    </row>
    <row r="4465" spans="1:1" ht="15.75" customHeight="1" x14ac:dyDescent="0.2">
      <c r="A4465" s="81">
        <v>4457</v>
      </c>
    </row>
    <row r="4466" spans="1:1" ht="15.75" customHeight="1" x14ac:dyDescent="0.2">
      <c r="A4466" s="82">
        <v>4458</v>
      </c>
    </row>
    <row r="4467" spans="1:1" ht="15.75" customHeight="1" x14ac:dyDescent="0.2">
      <c r="A4467" s="81">
        <v>4459</v>
      </c>
    </row>
    <row r="4468" spans="1:1" ht="15.75" customHeight="1" x14ac:dyDescent="0.2">
      <c r="A4468" s="82">
        <v>4460</v>
      </c>
    </row>
    <row r="4469" spans="1:1" ht="15.75" customHeight="1" x14ac:dyDescent="0.2">
      <c r="A4469" s="81">
        <v>4461</v>
      </c>
    </row>
    <row r="4470" spans="1:1" ht="15.75" customHeight="1" x14ac:dyDescent="0.2">
      <c r="A4470" s="82">
        <v>4462</v>
      </c>
    </row>
    <row r="4471" spans="1:1" ht="15.75" customHeight="1" x14ac:dyDescent="0.2">
      <c r="A4471" s="81">
        <v>4463</v>
      </c>
    </row>
    <row r="4472" spans="1:1" ht="15.75" customHeight="1" x14ac:dyDescent="0.2">
      <c r="A4472" s="82">
        <v>4464</v>
      </c>
    </row>
    <row r="4473" spans="1:1" ht="15.75" customHeight="1" x14ac:dyDescent="0.2">
      <c r="A4473" s="81">
        <v>4465</v>
      </c>
    </row>
    <row r="4474" spans="1:1" ht="15.75" customHeight="1" x14ac:dyDescent="0.2">
      <c r="A4474" s="82">
        <v>4466</v>
      </c>
    </row>
    <row r="4475" spans="1:1" ht="15.75" customHeight="1" x14ac:dyDescent="0.2">
      <c r="A4475" s="81">
        <v>4467</v>
      </c>
    </row>
    <row r="4476" spans="1:1" ht="15.75" customHeight="1" x14ac:dyDescent="0.2">
      <c r="A4476" s="82">
        <v>4468</v>
      </c>
    </row>
    <row r="4477" spans="1:1" ht="15.75" customHeight="1" x14ac:dyDescent="0.2">
      <c r="A4477" s="81">
        <v>4469</v>
      </c>
    </row>
    <row r="4478" spans="1:1" ht="15.75" customHeight="1" x14ac:dyDescent="0.2">
      <c r="A4478" s="82">
        <v>4470</v>
      </c>
    </row>
    <row r="4479" spans="1:1" ht="15.75" customHeight="1" x14ac:dyDescent="0.2">
      <c r="A4479" s="81">
        <v>4471</v>
      </c>
    </row>
    <row r="4480" spans="1:1" ht="15.75" customHeight="1" x14ac:dyDescent="0.2">
      <c r="A4480" s="82">
        <v>4472</v>
      </c>
    </row>
    <row r="4481" spans="1:1" ht="15.75" customHeight="1" x14ac:dyDescent="0.2">
      <c r="A4481" s="81">
        <v>4473</v>
      </c>
    </row>
    <row r="4482" spans="1:1" ht="15.75" customHeight="1" x14ac:dyDescent="0.2">
      <c r="A4482" s="82">
        <v>4474</v>
      </c>
    </row>
    <row r="4483" spans="1:1" ht="15.75" customHeight="1" x14ac:dyDescent="0.2">
      <c r="A4483" s="81">
        <v>4475</v>
      </c>
    </row>
    <row r="4484" spans="1:1" ht="15.75" customHeight="1" x14ac:dyDescent="0.2">
      <c r="A4484" s="82">
        <v>4476</v>
      </c>
    </row>
    <row r="4485" spans="1:1" ht="15.75" customHeight="1" x14ac:dyDescent="0.2">
      <c r="A4485" s="81">
        <v>4477</v>
      </c>
    </row>
    <row r="4486" spans="1:1" ht="15.75" customHeight="1" x14ac:dyDescent="0.2">
      <c r="A4486" s="82">
        <v>4478</v>
      </c>
    </row>
    <row r="4487" spans="1:1" ht="15.75" customHeight="1" x14ac:dyDescent="0.2">
      <c r="A4487" s="81">
        <v>4479</v>
      </c>
    </row>
    <row r="4488" spans="1:1" ht="15.75" customHeight="1" x14ac:dyDescent="0.2">
      <c r="A4488" s="82">
        <v>4480</v>
      </c>
    </row>
    <row r="4489" spans="1:1" ht="15.75" customHeight="1" x14ac:dyDescent="0.2">
      <c r="A4489" s="81">
        <v>4481</v>
      </c>
    </row>
    <row r="4490" spans="1:1" ht="15.75" customHeight="1" x14ac:dyDescent="0.2">
      <c r="A4490" s="82">
        <v>4482</v>
      </c>
    </row>
    <row r="4491" spans="1:1" ht="15.75" customHeight="1" x14ac:dyDescent="0.2">
      <c r="A4491" s="81">
        <v>4483</v>
      </c>
    </row>
    <row r="4492" spans="1:1" ht="15.75" customHeight="1" x14ac:dyDescent="0.2">
      <c r="A4492" s="82">
        <v>4484</v>
      </c>
    </row>
    <row r="4493" spans="1:1" ht="15.75" customHeight="1" x14ac:dyDescent="0.2">
      <c r="A4493" s="81">
        <v>4485</v>
      </c>
    </row>
    <row r="4494" spans="1:1" ht="15.75" customHeight="1" x14ac:dyDescent="0.2">
      <c r="A4494" s="82">
        <v>4486</v>
      </c>
    </row>
    <row r="4495" spans="1:1" ht="15.75" customHeight="1" x14ac:dyDescent="0.2">
      <c r="A4495" s="81">
        <v>4487</v>
      </c>
    </row>
    <row r="4496" spans="1:1" ht="15.75" customHeight="1" x14ac:dyDescent="0.2">
      <c r="A4496" s="82">
        <v>4488</v>
      </c>
    </row>
    <row r="4497" spans="1:1" ht="15.75" customHeight="1" x14ac:dyDescent="0.2">
      <c r="A4497" s="81">
        <v>4489</v>
      </c>
    </row>
    <row r="4498" spans="1:1" ht="15.75" customHeight="1" x14ac:dyDescent="0.2">
      <c r="A4498" s="82">
        <v>4490</v>
      </c>
    </row>
    <row r="4499" spans="1:1" ht="15.75" customHeight="1" x14ac:dyDescent="0.2">
      <c r="A4499" s="81">
        <v>4491</v>
      </c>
    </row>
    <row r="4500" spans="1:1" ht="15.75" customHeight="1" x14ac:dyDescent="0.2">
      <c r="A4500" s="82">
        <v>4492</v>
      </c>
    </row>
    <row r="4501" spans="1:1" ht="15.75" customHeight="1" x14ac:dyDescent="0.2">
      <c r="A4501" s="81">
        <v>4493</v>
      </c>
    </row>
    <row r="4502" spans="1:1" ht="15.75" customHeight="1" x14ac:dyDescent="0.2">
      <c r="A4502" s="82">
        <v>4494</v>
      </c>
    </row>
    <row r="4503" spans="1:1" ht="15.75" customHeight="1" x14ac:dyDescent="0.2">
      <c r="A4503" s="81">
        <v>4495</v>
      </c>
    </row>
    <row r="4504" spans="1:1" ht="15.75" customHeight="1" x14ac:dyDescent="0.2">
      <c r="A4504" s="82">
        <v>4496</v>
      </c>
    </row>
    <row r="4505" spans="1:1" ht="15.75" customHeight="1" x14ac:dyDescent="0.2">
      <c r="A4505" s="81">
        <v>4497</v>
      </c>
    </row>
    <row r="4506" spans="1:1" ht="15.75" customHeight="1" x14ac:dyDescent="0.2">
      <c r="A4506" s="82">
        <v>4498</v>
      </c>
    </row>
    <row r="4507" spans="1:1" ht="15.75" customHeight="1" x14ac:dyDescent="0.2">
      <c r="A4507" s="81">
        <v>4499</v>
      </c>
    </row>
    <row r="4508" spans="1:1" ht="15.75" customHeight="1" x14ac:dyDescent="0.2">
      <c r="A4508" s="82">
        <v>4500</v>
      </c>
    </row>
    <row r="4509" spans="1:1" ht="15.75" customHeight="1" x14ac:dyDescent="0.2">
      <c r="A4509" s="81">
        <v>4501</v>
      </c>
    </row>
    <row r="4510" spans="1:1" ht="15.75" customHeight="1" x14ac:dyDescent="0.2">
      <c r="A4510" s="82">
        <v>4502</v>
      </c>
    </row>
    <row r="4511" spans="1:1" ht="15.75" customHeight="1" x14ac:dyDescent="0.2">
      <c r="A4511" s="81">
        <v>4503</v>
      </c>
    </row>
    <row r="4512" spans="1:1" ht="15.75" customHeight="1" x14ac:dyDescent="0.2">
      <c r="A4512" s="82">
        <v>4504</v>
      </c>
    </row>
    <row r="4513" spans="1:1" ht="15.75" customHeight="1" x14ac:dyDescent="0.2">
      <c r="A4513" s="81">
        <v>4505</v>
      </c>
    </row>
    <row r="4514" spans="1:1" ht="15.75" customHeight="1" x14ac:dyDescent="0.2">
      <c r="A4514" s="82">
        <v>4506</v>
      </c>
    </row>
    <row r="4515" spans="1:1" ht="15.75" customHeight="1" x14ac:dyDescent="0.2">
      <c r="A4515" s="81">
        <v>4507</v>
      </c>
    </row>
    <row r="4516" spans="1:1" ht="15.75" customHeight="1" x14ac:dyDescent="0.2">
      <c r="A4516" s="82">
        <v>4508</v>
      </c>
    </row>
    <row r="4517" spans="1:1" ht="15.75" customHeight="1" x14ac:dyDescent="0.2">
      <c r="A4517" s="81">
        <v>4509</v>
      </c>
    </row>
    <row r="4518" spans="1:1" ht="15.75" customHeight="1" x14ac:dyDescent="0.2">
      <c r="A4518" s="82">
        <v>4510</v>
      </c>
    </row>
    <row r="4519" spans="1:1" ht="15.75" customHeight="1" x14ac:dyDescent="0.2">
      <c r="A4519" s="81">
        <v>4511</v>
      </c>
    </row>
    <row r="4520" spans="1:1" ht="15.75" customHeight="1" x14ac:dyDescent="0.2">
      <c r="A4520" s="82">
        <v>4512</v>
      </c>
    </row>
    <row r="4521" spans="1:1" ht="15.75" customHeight="1" x14ac:dyDescent="0.2">
      <c r="A4521" s="81">
        <v>4513</v>
      </c>
    </row>
    <row r="4522" spans="1:1" ht="15.75" customHeight="1" x14ac:dyDescent="0.2">
      <c r="A4522" s="82">
        <v>4514</v>
      </c>
    </row>
    <row r="4523" spans="1:1" ht="15.75" customHeight="1" x14ac:dyDescent="0.2">
      <c r="A4523" s="81">
        <v>4515</v>
      </c>
    </row>
    <row r="4524" spans="1:1" ht="15.75" customHeight="1" x14ac:dyDescent="0.2">
      <c r="A4524" s="82">
        <v>4516</v>
      </c>
    </row>
    <row r="4525" spans="1:1" ht="15.75" customHeight="1" x14ac:dyDescent="0.2">
      <c r="A4525" s="81">
        <v>4517</v>
      </c>
    </row>
    <row r="4526" spans="1:1" ht="15.75" customHeight="1" x14ac:dyDescent="0.2">
      <c r="A4526" s="82">
        <v>4518</v>
      </c>
    </row>
    <row r="4527" spans="1:1" ht="15.75" customHeight="1" x14ac:dyDescent="0.2">
      <c r="A4527" s="81">
        <v>4519</v>
      </c>
    </row>
    <row r="4528" spans="1:1" ht="15.75" customHeight="1" x14ac:dyDescent="0.2">
      <c r="A4528" s="82">
        <v>4520</v>
      </c>
    </row>
    <row r="4529" spans="1:1" ht="15.75" customHeight="1" x14ac:dyDescent="0.2">
      <c r="A4529" s="81">
        <v>4521</v>
      </c>
    </row>
    <row r="4530" spans="1:1" ht="15.75" customHeight="1" x14ac:dyDescent="0.2">
      <c r="A4530" s="82">
        <v>4522</v>
      </c>
    </row>
    <row r="4531" spans="1:1" ht="15.75" customHeight="1" x14ac:dyDescent="0.2">
      <c r="A4531" s="81">
        <v>4523</v>
      </c>
    </row>
    <row r="4532" spans="1:1" ht="15.75" customHeight="1" x14ac:dyDescent="0.2">
      <c r="A4532" s="82">
        <v>4524</v>
      </c>
    </row>
    <row r="4533" spans="1:1" ht="15.75" customHeight="1" x14ac:dyDescent="0.2">
      <c r="A4533" s="81">
        <v>4525</v>
      </c>
    </row>
    <row r="4534" spans="1:1" ht="15.75" customHeight="1" x14ac:dyDescent="0.2">
      <c r="A4534" s="82">
        <v>4526</v>
      </c>
    </row>
    <row r="4535" spans="1:1" ht="15.75" customHeight="1" x14ac:dyDescent="0.2">
      <c r="A4535" s="81">
        <v>4527</v>
      </c>
    </row>
    <row r="4536" spans="1:1" ht="15.75" customHeight="1" x14ac:dyDescent="0.2">
      <c r="A4536" s="82">
        <v>4528</v>
      </c>
    </row>
    <row r="4537" spans="1:1" ht="15.75" customHeight="1" x14ac:dyDescent="0.2">
      <c r="A4537" s="81">
        <v>4529</v>
      </c>
    </row>
    <row r="4538" spans="1:1" ht="15.75" customHeight="1" x14ac:dyDescent="0.2">
      <c r="A4538" s="82">
        <v>4530</v>
      </c>
    </row>
    <row r="4539" spans="1:1" ht="15.75" customHeight="1" x14ac:dyDescent="0.2">
      <c r="A4539" s="81">
        <v>4531</v>
      </c>
    </row>
    <row r="4540" spans="1:1" ht="15.75" customHeight="1" x14ac:dyDescent="0.2">
      <c r="A4540" s="82">
        <v>4532</v>
      </c>
    </row>
    <row r="4541" spans="1:1" ht="15.75" customHeight="1" x14ac:dyDescent="0.2">
      <c r="A4541" s="81">
        <v>4533</v>
      </c>
    </row>
    <row r="4542" spans="1:1" ht="15.75" customHeight="1" x14ac:dyDescent="0.2">
      <c r="A4542" s="82">
        <v>4534</v>
      </c>
    </row>
    <row r="4543" spans="1:1" ht="15.75" customHeight="1" x14ac:dyDescent="0.2">
      <c r="A4543" s="81">
        <v>4535</v>
      </c>
    </row>
    <row r="4544" spans="1:1" ht="15.75" customHeight="1" x14ac:dyDescent="0.2">
      <c r="A4544" s="82">
        <v>4536</v>
      </c>
    </row>
    <row r="4545" spans="1:1" ht="15.75" customHeight="1" x14ac:dyDescent="0.2">
      <c r="A4545" s="81">
        <v>4537</v>
      </c>
    </row>
    <row r="4546" spans="1:1" ht="15.75" customHeight="1" x14ac:dyDescent="0.2">
      <c r="A4546" s="82">
        <v>4538</v>
      </c>
    </row>
    <row r="4547" spans="1:1" ht="15.75" customHeight="1" x14ac:dyDescent="0.2">
      <c r="A4547" s="81">
        <v>4539</v>
      </c>
    </row>
    <row r="4548" spans="1:1" ht="15.75" customHeight="1" x14ac:dyDescent="0.2">
      <c r="A4548" s="82">
        <v>4540</v>
      </c>
    </row>
    <row r="4549" spans="1:1" ht="15.75" customHeight="1" x14ac:dyDescent="0.2">
      <c r="A4549" s="81">
        <v>4541</v>
      </c>
    </row>
    <row r="4550" spans="1:1" ht="15.75" customHeight="1" x14ac:dyDescent="0.2">
      <c r="A4550" s="82">
        <v>4542</v>
      </c>
    </row>
    <row r="4551" spans="1:1" ht="15.75" customHeight="1" x14ac:dyDescent="0.2">
      <c r="A4551" s="81">
        <v>4543</v>
      </c>
    </row>
    <row r="4552" spans="1:1" ht="15.75" customHeight="1" x14ac:dyDescent="0.2">
      <c r="A4552" s="82">
        <v>4544</v>
      </c>
    </row>
    <row r="4553" spans="1:1" ht="15.75" customHeight="1" x14ac:dyDescent="0.2">
      <c r="A4553" s="81">
        <v>4545</v>
      </c>
    </row>
    <row r="4554" spans="1:1" ht="15.75" customHeight="1" x14ac:dyDescent="0.2">
      <c r="A4554" s="82">
        <v>4546</v>
      </c>
    </row>
    <row r="4555" spans="1:1" ht="15.75" customHeight="1" x14ac:dyDescent="0.2">
      <c r="A4555" s="81">
        <v>4547</v>
      </c>
    </row>
    <row r="4556" spans="1:1" ht="15.75" customHeight="1" x14ac:dyDescent="0.2">
      <c r="A4556" s="82">
        <v>4548</v>
      </c>
    </row>
    <row r="4557" spans="1:1" ht="15.75" customHeight="1" x14ac:dyDescent="0.2">
      <c r="A4557" s="81">
        <v>4549</v>
      </c>
    </row>
    <row r="4558" spans="1:1" ht="15.75" customHeight="1" x14ac:dyDescent="0.2">
      <c r="A4558" s="82">
        <v>4550</v>
      </c>
    </row>
    <row r="4559" spans="1:1" ht="15.75" customHeight="1" x14ac:dyDescent="0.2">
      <c r="A4559" s="81">
        <v>4551</v>
      </c>
    </row>
    <row r="4560" spans="1:1" ht="15.75" customHeight="1" x14ac:dyDescent="0.2">
      <c r="A4560" s="82">
        <v>4552</v>
      </c>
    </row>
    <row r="4561" spans="1:1" ht="15.75" customHeight="1" x14ac:dyDescent="0.2">
      <c r="A4561" s="81">
        <v>4553</v>
      </c>
    </row>
    <row r="4562" spans="1:1" ht="15.75" customHeight="1" x14ac:dyDescent="0.2">
      <c r="A4562" s="82">
        <v>4554</v>
      </c>
    </row>
    <row r="4563" spans="1:1" ht="15.75" customHeight="1" x14ac:dyDescent="0.2">
      <c r="A4563" s="81">
        <v>4555</v>
      </c>
    </row>
    <row r="4564" spans="1:1" ht="15.75" customHeight="1" x14ac:dyDescent="0.2">
      <c r="A4564" s="82">
        <v>4556</v>
      </c>
    </row>
    <row r="4565" spans="1:1" ht="15.75" customHeight="1" x14ac:dyDescent="0.2">
      <c r="A4565" s="81">
        <v>4557</v>
      </c>
    </row>
    <row r="4566" spans="1:1" ht="15.75" customHeight="1" x14ac:dyDescent="0.2">
      <c r="A4566" s="82">
        <v>4558</v>
      </c>
    </row>
    <row r="4567" spans="1:1" ht="15.75" customHeight="1" x14ac:dyDescent="0.2">
      <c r="A4567" s="81">
        <v>4559</v>
      </c>
    </row>
    <row r="4568" spans="1:1" ht="15.75" customHeight="1" x14ac:dyDescent="0.2">
      <c r="A4568" s="82">
        <v>4560</v>
      </c>
    </row>
    <row r="4569" spans="1:1" ht="15.75" customHeight="1" x14ac:dyDescent="0.2">
      <c r="A4569" s="81">
        <v>4561</v>
      </c>
    </row>
    <row r="4570" spans="1:1" ht="15.75" customHeight="1" x14ac:dyDescent="0.2">
      <c r="A4570" s="82">
        <v>4562</v>
      </c>
    </row>
    <row r="4571" spans="1:1" ht="15.75" customHeight="1" x14ac:dyDescent="0.2">
      <c r="A4571" s="81">
        <v>4563</v>
      </c>
    </row>
    <row r="4572" spans="1:1" ht="15.75" customHeight="1" x14ac:dyDescent="0.2">
      <c r="A4572" s="82">
        <v>4564</v>
      </c>
    </row>
    <row r="4573" spans="1:1" ht="15.75" customHeight="1" x14ac:dyDescent="0.2">
      <c r="A4573" s="81">
        <v>4565</v>
      </c>
    </row>
    <row r="4574" spans="1:1" ht="15.75" customHeight="1" x14ac:dyDescent="0.2">
      <c r="A4574" s="82">
        <v>4566</v>
      </c>
    </row>
    <row r="4575" spans="1:1" ht="15.75" customHeight="1" x14ac:dyDescent="0.2">
      <c r="A4575" s="81">
        <v>4567</v>
      </c>
    </row>
    <row r="4576" spans="1:1" ht="15.75" customHeight="1" x14ac:dyDescent="0.2">
      <c r="A4576" s="82">
        <v>4568</v>
      </c>
    </row>
    <row r="4577" spans="1:1" ht="15.75" customHeight="1" x14ac:dyDescent="0.2">
      <c r="A4577" s="81">
        <v>4569</v>
      </c>
    </row>
    <row r="4578" spans="1:1" ht="15.75" customHeight="1" x14ac:dyDescent="0.2">
      <c r="A4578" s="82">
        <v>4570</v>
      </c>
    </row>
    <row r="4579" spans="1:1" ht="15.75" customHeight="1" x14ac:dyDescent="0.2">
      <c r="A4579" s="81">
        <v>4571</v>
      </c>
    </row>
    <row r="4580" spans="1:1" ht="15.75" customHeight="1" x14ac:dyDescent="0.2">
      <c r="A4580" s="82">
        <v>4572</v>
      </c>
    </row>
    <row r="4581" spans="1:1" ht="15.75" customHeight="1" x14ac:dyDescent="0.2">
      <c r="A4581" s="81">
        <v>4573</v>
      </c>
    </row>
    <row r="4582" spans="1:1" ht="15.75" customHeight="1" x14ac:dyDescent="0.2">
      <c r="A4582" s="82">
        <v>4574</v>
      </c>
    </row>
    <row r="4583" spans="1:1" ht="15.75" customHeight="1" x14ac:dyDescent="0.2">
      <c r="A4583" s="81">
        <v>4575</v>
      </c>
    </row>
    <row r="4584" spans="1:1" ht="15.75" customHeight="1" x14ac:dyDescent="0.2">
      <c r="A4584" s="82">
        <v>4576</v>
      </c>
    </row>
    <row r="4585" spans="1:1" ht="15.75" customHeight="1" x14ac:dyDescent="0.2">
      <c r="A4585" s="81">
        <v>4577</v>
      </c>
    </row>
    <row r="4586" spans="1:1" ht="15.75" customHeight="1" x14ac:dyDescent="0.2">
      <c r="A4586" s="82">
        <v>4578</v>
      </c>
    </row>
    <row r="4587" spans="1:1" ht="15.75" customHeight="1" x14ac:dyDescent="0.2">
      <c r="A4587" s="81">
        <v>4579</v>
      </c>
    </row>
    <row r="4588" spans="1:1" ht="15.75" customHeight="1" x14ac:dyDescent="0.2">
      <c r="A4588" s="82">
        <v>4580</v>
      </c>
    </row>
    <row r="4589" spans="1:1" ht="15.75" customHeight="1" x14ac:dyDescent="0.2">
      <c r="A4589" s="81">
        <v>4581</v>
      </c>
    </row>
    <row r="4590" spans="1:1" ht="15.75" customHeight="1" x14ac:dyDescent="0.2">
      <c r="A4590" s="82">
        <v>4582</v>
      </c>
    </row>
    <row r="4591" spans="1:1" ht="15.75" customHeight="1" x14ac:dyDescent="0.2">
      <c r="A4591" s="81">
        <v>4583</v>
      </c>
    </row>
    <row r="4592" spans="1:1" ht="15.75" customHeight="1" x14ac:dyDescent="0.2">
      <c r="A4592" s="82">
        <v>4584</v>
      </c>
    </row>
    <row r="4593" spans="1:1" ht="15.75" customHeight="1" x14ac:dyDescent="0.2">
      <c r="A4593" s="81">
        <v>4585</v>
      </c>
    </row>
    <row r="4594" spans="1:1" ht="15.75" customHeight="1" x14ac:dyDescent="0.2">
      <c r="A4594" s="82">
        <v>4586</v>
      </c>
    </row>
    <row r="4595" spans="1:1" ht="15.75" customHeight="1" x14ac:dyDescent="0.2">
      <c r="A4595" s="81">
        <v>4587</v>
      </c>
    </row>
    <row r="4596" spans="1:1" ht="15.75" customHeight="1" x14ac:dyDescent="0.2">
      <c r="A4596" s="82">
        <v>4588</v>
      </c>
    </row>
    <row r="4597" spans="1:1" ht="15.75" customHeight="1" x14ac:dyDescent="0.2">
      <c r="A4597" s="81">
        <v>4589</v>
      </c>
    </row>
    <row r="4598" spans="1:1" ht="15.75" customHeight="1" x14ac:dyDescent="0.2">
      <c r="A4598" s="82">
        <v>4590</v>
      </c>
    </row>
    <row r="4599" spans="1:1" ht="15.75" customHeight="1" x14ac:dyDescent="0.2">
      <c r="A4599" s="81">
        <v>4591</v>
      </c>
    </row>
    <row r="4600" spans="1:1" ht="15.75" customHeight="1" x14ac:dyDescent="0.2">
      <c r="A4600" s="82">
        <v>4592</v>
      </c>
    </row>
    <row r="4601" spans="1:1" ht="15.75" customHeight="1" x14ac:dyDescent="0.2">
      <c r="A4601" s="81">
        <v>4593</v>
      </c>
    </row>
    <row r="4602" spans="1:1" ht="15.75" customHeight="1" x14ac:dyDescent="0.2">
      <c r="A4602" s="82">
        <v>4594</v>
      </c>
    </row>
    <row r="4603" spans="1:1" ht="15.75" customHeight="1" x14ac:dyDescent="0.2">
      <c r="A4603" s="81">
        <v>4595</v>
      </c>
    </row>
    <row r="4604" spans="1:1" ht="15.75" customHeight="1" x14ac:dyDescent="0.2">
      <c r="A4604" s="82">
        <v>4596</v>
      </c>
    </row>
    <row r="4605" spans="1:1" ht="15.75" customHeight="1" x14ac:dyDescent="0.2">
      <c r="A4605" s="81">
        <v>4597</v>
      </c>
    </row>
    <row r="4606" spans="1:1" ht="15.75" customHeight="1" x14ac:dyDescent="0.2">
      <c r="A4606" s="82">
        <v>4598</v>
      </c>
    </row>
    <row r="4607" spans="1:1" ht="15.75" customHeight="1" x14ac:dyDescent="0.2">
      <c r="A4607" s="81">
        <v>4599</v>
      </c>
    </row>
    <row r="4608" spans="1:1" ht="15.75" customHeight="1" x14ac:dyDescent="0.2">
      <c r="A4608" s="82">
        <v>4600</v>
      </c>
    </row>
    <row r="4609" spans="1:1" ht="15.75" customHeight="1" x14ac:dyDescent="0.2">
      <c r="A4609" s="81">
        <v>4601</v>
      </c>
    </row>
    <row r="4610" spans="1:1" ht="15.75" customHeight="1" x14ac:dyDescent="0.2">
      <c r="A4610" s="82">
        <v>4602</v>
      </c>
    </row>
    <row r="4611" spans="1:1" ht="15.75" customHeight="1" x14ac:dyDescent="0.2">
      <c r="A4611" s="81">
        <v>4603</v>
      </c>
    </row>
    <row r="4612" spans="1:1" ht="15.75" customHeight="1" x14ac:dyDescent="0.2">
      <c r="A4612" s="82">
        <v>4604</v>
      </c>
    </row>
    <row r="4613" spans="1:1" ht="15.75" customHeight="1" x14ac:dyDescent="0.2">
      <c r="A4613" s="81">
        <v>4605</v>
      </c>
    </row>
    <row r="4614" spans="1:1" ht="15.75" customHeight="1" x14ac:dyDescent="0.2">
      <c r="A4614" s="82">
        <v>4606</v>
      </c>
    </row>
    <row r="4615" spans="1:1" ht="15.75" customHeight="1" x14ac:dyDescent="0.2">
      <c r="A4615" s="81">
        <v>4607</v>
      </c>
    </row>
    <row r="4616" spans="1:1" ht="15.75" customHeight="1" x14ac:dyDescent="0.2">
      <c r="A4616" s="82">
        <v>4608</v>
      </c>
    </row>
    <row r="4617" spans="1:1" ht="15.75" customHeight="1" x14ac:dyDescent="0.2">
      <c r="A4617" s="81">
        <v>4609</v>
      </c>
    </row>
    <row r="4618" spans="1:1" ht="15.75" customHeight="1" x14ac:dyDescent="0.2">
      <c r="A4618" s="82">
        <v>4610</v>
      </c>
    </row>
    <row r="4619" spans="1:1" ht="15.75" customHeight="1" x14ac:dyDescent="0.2">
      <c r="A4619" s="81">
        <v>4611</v>
      </c>
    </row>
    <row r="4620" spans="1:1" ht="15.75" customHeight="1" x14ac:dyDescent="0.2">
      <c r="A4620" s="82">
        <v>4612</v>
      </c>
    </row>
    <row r="4621" spans="1:1" ht="15.75" customHeight="1" x14ac:dyDescent="0.2">
      <c r="A4621" s="81">
        <v>4613</v>
      </c>
    </row>
    <row r="4622" spans="1:1" ht="15.75" customHeight="1" x14ac:dyDescent="0.2">
      <c r="A4622" s="82">
        <v>4614</v>
      </c>
    </row>
    <row r="4623" spans="1:1" ht="15.75" customHeight="1" x14ac:dyDescent="0.2">
      <c r="A4623" s="81">
        <v>4615</v>
      </c>
    </row>
    <row r="4624" spans="1:1" ht="15.75" customHeight="1" x14ac:dyDescent="0.2">
      <c r="A4624" s="82">
        <v>4616</v>
      </c>
    </row>
    <row r="4625" spans="1:1" ht="15.75" customHeight="1" x14ac:dyDescent="0.2">
      <c r="A4625" s="81">
        <v>4617</v>
      </c>
    </row>
    <row r="4626" spans="1:1" ht="15.75" customHeight="1" x14ac:dyDescent="0.2">
      <c r="A4626" s="82">
        <v>4618</v>
      </c>
    </row>
    <row r="4627" spans="1:1" ht="15.75" customHeight="1" x14ac:dyDescent="0.2">
      <c r="A4627" s="81">
        <v>4619</v>
      </c>
    </row>
    <row r="4628" spans="1:1" ht="15.75" customHeight="1" x14ac:dyDescent="0.2">
      <c r="A4628" s="82">
        <v>4620</v>
      </c>
    </row>
    <row r="4629" spans="1:1" ht="15.75" customHeight="1" x14ac:dyDescent="0.2">
      <c r="A4629" s="81">
        <v>4621</v>
      </c>
    </row>
    <row r="4630" spans="1:1" ht="15.75" customHeight="1" x14ac:dyDescent="0.2">
      <c r="A4630" s="82">
        <v>4622</v>
      </c>
    </row>
    <row r="4631" spans="1:1" ht="15.75" customHeight="1" x14ac:dyDescent="0.2">
      <c r="A4631" s="81">
        <v>4623</v>
      </c>
    </row>
    <row r="4632" spans="1:1" ht="15.75" customHeight="1" x14ac:dyDescent="0.2">
      <c r="A4632" s="82">
        <v>4624</v>
      </c>
    </row>
    <row r="4633" spans="1:1" ht="15.75" customHeight="1" x14ac:dyDescent="0.2">
      <c r="A4633" s="81">
        <v>4625</v>
      </c>
    </row>
    <row r="4634" spans="1:1" ht="15.75" customHeight="1" x14ac:dyDescent="0.2">
      <c r="A4634" s="82">
        <v>4626</v>
      </c>
    </row>
    <row r="4635" spans="1:1" ht="15.75" customHeight="1" x14ac:dyDescent="0.2">
      <c r="A4635" s="81">
        <v>4627</v>
      </c>
    </row>
    <row r="4636" spans="1:1" ht="15.75" customHeight="1" x14ac:dyDescent="0.2">
      <c r="A4636" s="82">
        <v>4628</v>
      </c>
    </row>
    <row r="4637" spans="1:1" ht="15.75" customHeight="1" x14ac:dyDescent="0.2">
      <c r="A4637" s="81">
        <v>4629</v>
      </c>
    </row>
    <row r="4638" spans="1:1" ht="15.75" customHeight="1" x14ac:dyDescent="0.2">
      <c r="A4638" s="82">
        <v>4630</v>
      </c>
    </row>
    <row r="4639" spans="1:1" ht="15.75" customHeight="1" x14ac:dyDescent="0.2">
      <c r="A4639" s="81">
        <v>4631</v>
      </c>
    </row>
    <row r="4640" spans="1:1" ht="15.75" customHeight="1" x14ac:dyDescent="0.2">
      <c r="A4640" s="82">
        <v>4632</v>
      </c>
    </row>
    <row r="4641" spans="1:1" ht="15.75" customHeight="1" x14ac:dyDescent="0.2">
      <c r="A4641" s="81">
        <v>4633</v>
      </c>
    </row>
    <row r="4642" spans="1:1" ht="15.75" customHeight="1" x14ac:dyDescent="0.2">
      <c r="A4642" s="82">
        <v>4634</v>
      </c>
    </row>
    <row r="4643" spans="1:1" ht="15.75" customHeight="1" x14ac:dyDescent="0.2">
      <c r="A4643" s="81">
        <v>4635</v>
      </c>
    </row>
    <row r="4644" spans="1:1" ht="15.75" customHeight="1" x14ac:dyDescent="0.2">
      <c r="A4644" s="82">
        <v>4636</v>
      </c>
    </row>
    <row r="4645" spans="1:1" ht="15.75" customHeight="1" x14ac:dyDescent="0.2">
      <c r="A4645" s="81">
        <v>4637</v>
      </c>
    </row>
    <row r="4646" spans="1:1" ht="15.75" customHeight="1" x14ac:dyDescent="0.2">
      <c r="A4646" s="82">
        <v>4638</v>
      </c>
    </row>
    <row r="4647" spans="1:1" ht="15.75" customHeight="1" x14ac:dyDescent="0.2">
      <c r="A4647" s="81">
        <v>4639</v>
      </c>
    </row>
    <row r="4648" spans="1:1" ht="15.75" customHeight="1" x14ac:dyDescent="0.2">
      <c r="A4648" s="82">
        <v>4640</v>
      </c>
    </row>
    <row r="4649" spans="1:1" ht="15.75" customHeight="1" x14ac:dyDescent="0.2">
      <c r="A4649" s="81">
        <v>4641</v>
      </c>
    </row>
    <row r="4650" spans="1:1" ht="15.75" customHeight="1" x14ac:dyDescent="0.2">
      <c r="A4650" s="82">
        <v>4642</v>
      </c>
    </row>
    <row r="4651" spans="1:1" ht="15.75" customHeight="1" x14ac:dyDescent="0.2">
      <c r="A4651" s="81">
        <v>4643</v>
      </c>
    </row>
    <row r="4652" spans="1:1" ht="15.75" customHeight="1" x14ac:dyDescent="0.2">
      <c r="A4652" s="82">
        <v>4644</v>
      </c>
    </row>
    <row r="4653" spans="1:1" ht="15.75" customHeight="1" x14ac:dyDescent="0.2">
      <c r="A4653" s="81">
        <v>4645</v>
      </c>
    </row>
    <row r="4654" spans="1:1" ht="15.75" customHeight="1" x14ac:dyDescent="0.2">
      <c r="A4654" s="82">
        <v>4646</v>
      </c>
    </row>
    <row r="4655" spans="1:1" ht="15.75" customHeight="1" x14ac:dyDescent="0.2">
      <c r="A4655" s="81">
        <v>4647</v>
      </c>
    </row>
    <row r="4656" spans="1:1" ht="15.75" customHeight="1" x14ac:dyDescent="0.2">
      <c r="A4656" s="82">
        <v>4648</v>
      </c>
    </row>
    <row r="4657" spans="1:1" ht="15.75" customHeight="1" x14ac:dyDescent="0.2">
      <c r="A4657" s="81">
        <v>4649</v>
      </c>
    </row>
    <row r="4658" spans="1:1" ht="15.75" customHeight="1" x14ac:dyDescent="0.2">
      <c r="A4658" s="82">
        <v>4650</v>
      </c>
    </row>
    <row r="4659" spans="1:1" ht="15.75" customHeight="1" x14ac:dyDescent="0.2">
      <c r="A4659" s="81">
        <v>4651</v>
      </c>
    </row>
    <row r="4660" spans="1:1" ht="15.75" customHeight="1" x14ac:dyDescent="0.2">
      <c r="A4660" s="82">
        <v>4652</v>
      </c>
    </row>
    <row r="4661" spans="1:1" ht="15.75" customHeight="1" x14ac:dyDescent="0.2">
      <c r="A4661" s="81">
        <v>4653</v>
      </c>
    </row>
    <row r="4662" spans="1:1" ht="15.75" customHeight="1" x14ac:dyDescent="0.2">
      <c r="A4662" s="82">
        <v>4654</v>
      </c>
    </row>
    <row r="4663" spans="1:1" ht="15.75" customHeight="1" x14ac:dyDescent="0.2">
      <c r="A4663" s="81">
        <v>4655</v>
      </c>
    </row>
    <row r="4664" spans="1:1" ht="15.75" customHeight="1" x14ac:dyDescent="0.2">
      <c r="A4664" s="82">
        <v>4656</v>
      </c>
    </row>
    <row r="4665" spans="1:1" ht="15.75" customHeight="1" x14ac:dyDescent="0.2">
      <c r="A4665" s="81">
        <v>4657</v>
      </c>
    </row>
    <row r="4666" spans="1:1" ht="15.75" customHeight="1" x14ac:dyDescent="0.2">
      <c r="A4666" s="82">
        <v>4658</v>
      </c>
    </row>
    <row r="4667" spans="1:1" ht="15.75" customHeight="1" x14ac:dyDescent="0.2">
      <c r="A4667" s="81">
        <v>4659</v>
      </c>
    </row>
    <row r="4668" spans="1:1" ht="15.75" customHeight="1" x14ac:dyDescent="0.2">
      <c r="A4668" s="82">
        <v>4660</v>
      </c>
    </row>
    <row r="4669" spans="1:1" ht="15.75" customHeight="1" x14ac:dyDescent="0.2">
      <c r="A4669" s="81">
        <v>4661</v>
      </c>
    </row>
    <row r="4670" spans="1:1" ht="15.75" customHeight="1" x14ac:dyDescent="0.2">
      <c r="A4670" s="82">
        <v>4662</v>
      </c>
    </row>
    <row r="4671" spans="1:1" ht="15.75" customHeight="1" x14ac:dyDescent="0.2">
      <c r="A4671" s="81">
        <v>4663</v>
      </c>
    </row>
    <row r="4672" spans="1:1" ht="15.75" customHeight="1" x14ac:dyDescent="0.2">
      <c r="A4672" s="82">
        <v>4664</v>
      </c>
    </row>
    <row r="4673" spans="1:1" ht="15.75" customHeight="1" x14ac:dyDescent="0.2">
      <c r="A4673" s="81">
        <v>4665</v>
      </c>
    </row>
    <row r="4674" spans="1:1" ht="15.75" customHeight="1" x14ac:dyDescent="0.2">
      <c r="A4674" s="82">
        <v>4666</v>
      </c>
    </row>
    <row r="4675" spans="1:1" ht="15.75" customHeight="1" x14ac:dyDescent="0.2">
      <c r="A4675" s="81">
        <v>4667</v>
      </c>
    </row>
    <row r="4676" spans="1:1" ht="15.75" customHeight="1" x14ac:dyDescent="0.2">
      <c r="A4676" s="82">
        <v>4668</v>
      </c>
    </row>
    <row r="4677" spans="1:1" ht="15.75" customHeight="1" x14ac:dyDescent="0.2">
      <c r="A4677" s="81">
        <v>4669</v>
      </c>
    </row>
    <row r="4678" spans="1:1" ht="15.75" customHeight="1" x14ac:dyDescent="0.2">
      <c r="A4678" s="82">
        <v>4670</v>
      </c>
    </row>
    <row r="4679" spans="1:1" ht="15.75" customHeight="1" x14ac:dyDescent="0.2">
      <c r="A4679" s="81">
        <v>4671</v>
      </c>
    </row>
    <row r="4680" spans="1:1" ht="15.75" customHeight="1" x14ac:dyDescent="0.2">
      <c r="A4680" s="82">
        <v>4672</v>
      </c>
    </row>
    <row r="4681" spans="1:1" ht="15.75" customHeight="1" x14ac:dyDescent="0.2">
      <c r="A4681" s="81">
        <v>4673</v>
      </c>
    </row>
    <row r="4682" spans="1:1" ht="15.75" customHeight="1" x14ac:dyDescent="0.2">
      <c r="A4682" s="82">
        <v>4674</v>
      </c>
    </row>
    <row r="4683" spans="1:1" ht="15.75" customHeight="1" x14ac:dyDescent="0.2">
      <c r="A4683" s="81">
        <v>4675</v>
      </c>
    </row>
    <row r="4684" spans="1:1" ht="15.75" customHeight="1" x14ac:dyDescent="0.2">
      <c r="A4684" s="82">
        <v>4676</v>
      </c>
    </row>
    <row r="4685" spans="1:1" ht="15.75" customHeight="1" x14ac:dyDescent="0.2">
      <c r="A4685" s="81">
        <v>4677</v>
      </c>
    </row>
    <row r="4686" spans="1:1" ht="15.75" customHeight="1" x14ac:dyDescent="0.2">
      <c r="A4686" s="82">
        <v>4678</v>
      </c>
    </row>
    <row r="4687" spans="1:1" ht="15.75" customHeight="1" x14ac:dyDescent="0.2">
      <c r="A4687" s="81">
        <v>4679</v>
      </c>
    </row>
    <row r="4688" spans="1:1" ht="15.75" customHeight="1" x14ac:dyDescent="0.2">
      <c r="A4688" s="82">
        <v>4680</v>
      </c>
    </row>
    <row r="4689" spans="1:1" ht="15.75" customHeight="1" x14ac:dyDescent="0.2">
      <c r="A4689" s="81">
        <v>4681</v>
      </c>
    </row>
    <row r="4690" spans="1:1" ht="15.75" customHeight="1" x14ac:dyDescent="0.2">
      <c r="A4690" s="82">
        <v>4682</v>
      </c>
    </row>
    <row r="4691" spans="1:1" ht="15.75" customHeight="1" x14ac:dyDescent="0.2">
      <c r="A4691" s="81">
        <v>4683</v>
      </c>
    </row>
    <row r="4692" spans="1:1" ht="15.75" customHeight="1" x14ac:dyDescent="0.2">
      <c r="A4692" s="82">
        <v>4684</v>
      </c>
    </row>
    <row r="4693" spans="1:1" ht="15.75" customHeight="1" x14ac:dyDescent="0.2">
      <c r="A4693" s="81">
        <v>4685</v>
      </c>
    </row>
    <row r="4694" spans="1:1" ht="15.75" customHeight="1" x14ac:dyDescent="0.2">
      <c r="A4694" s="82">
        <v>4686</v>
      </c>
    </row>
    <row r="4695" spans="1:1" ht="15.75" customHeight="1" x14ac:dyDescent="0.2">
      <c r="A4695" s="81">
        <v>4687</v>
      </c>
    </row>
    <row r="4696" spans="1:1" ht="15.75" customHeight="1" x14ac:dyDescent="0.2">
      <c r="A4696" s="82">
        <v>4688</v>
      </c>
    </row>
    <row r="4697" spans="1:1" ht="15.75" customHeight="1" x14ac:dyDescent="0.2">
      <c r="A4697" s="81">
        <v>4689</v>
      </c>
    </row>
    <row r="4698" spans="1:1" ht="15.75" customHeight="1" x14ac:dyDescent="0.2">
      <c r="A4698" s="82">
        <v>4690</v>
      </c>
    </row>
    <row r="4699" spans="1:1" ht="15.75" customHeight="1" x14ac:dyDescent="0.2">
      <c r="A4699" s="81">
        <v>4691</v>
      </c>
    </row>
    <row r="4700" spans="1:1" ht="15.75" customHeight="1" x14ac:dyDescent="0.2">
      <c r="A4700" s="82">
        <v>4692</v>
      </c>
    </row>
    <row r="4701" spans="1:1" ht="15.75" customHeight="1" x14ac:dyDescent="0.2">
      <c r="A4701" s="81">
        <v>4693</v>
      </c>
    </row>
    <row r="4702" spans="1:1" ht="15.75" customHeight="1" x14ac:dyDescent="0.2">
      <c r="A4702" s="82">
        <v>4694</v>
      </c>
    </row>
    <row r="4703" spans="1:1" ht="15.75" customHeight="1" x14ac:dyDescent="0.2">
      <c r="A4703" s="81">
        <v>4695</v>
      </c>
    </row>
    <row r="4704" spans="1:1" ht="15.75" customHeight="1" x14ac:dyDescent="0.2">
      <c r="A4704" s="82">
        <v>4696</v>
      </c>
    </row>
    <row r="4705" spans="1:1" ht="15.75" customHeight="1" x14ac:dyDescent="0.2">
      <c r="A4705" s="81">
        <v>4697</v>
      </c>
    </row>
    <row r="4706" spans="1:1" ht="15.75" customHeight="1" x14ac:dyDescent="0.2">
      <c r="A4706" s="82">
        <v>4698</v>
      </c>
    </row>
    <row r="4707" spans="1:1" ht="15.75" customHeight="1" x14ac:dyDescent="0.2">
      <c r="A4707" s="81">
        <v>4699</v>
      </c>
    </row>
    <row r="4708" spans="1:1" ht="15.75" customHeight="1" x14ac:dyDescent="0.2">
      <c r="A4708" s="82">
        <v>4700</v>
      </c>
    </row>
    <row r="4709" spans="1:1" ht="15.75" customHeight="1" x14ac:dyDescent="0.2">
      <c r="A4709" s="81">
        <v>4701</v>
      </c>
    </row>
    <row r="4710" spans="1:1" ht="15.75" customHeight="1" x14ac:dyDescent="0.2">
      <c r="A4710" s="82">
        <v>4702</v>
      </c>
    </row>
    <row r="4711" spans="1:1" ht="15.75" customHeight="1" x14ac:dyDescent="0.2">
      <c r="A4711" s="81">
        <v>4703</v>
      </c>
    </row>
    <row r="4712" spans="1:1" ht="15.75" customHeight="1" x14ac:dyDescent="0.2">
      <c r="A4712" s="82">
        <v>4704</v>
      </c>
    </row>
    <row r="4713" spans="1:1" ht="15.75" customHeight="1" x14ac:dyDescent="0.2">
      <c r="A4713" s="81">
        <v>4705</v>
      </c>
    </row>
    <row r="4714" spans="1:1" ht="15.75" customHeight="1" x14ac:dyDescent="0.2">
      <c r="A4714" s="82">
        <v>4706</v>
      </c>
    </row>
    <row r="4715" spans="1:1" ht="15.75" customHeight="1" x14ac:dyDescent="0.2">
      <c r="A4715" s="81">
        <v>4707</v>
      </c>
    </row>
    <row r="4716" spans="1:1" ht="15.75" customHeight="1" x14ac:dyDescent="0.2">
      <c r="A4716" s="82">
        <v>4708</v>
      </c>
    </row>
    <row r="4717" spans="1:1" ht="15.75" customHeight="1" x14ac:dyDescent="0.2">
      <c r="A4717" s="81">
        <v>4709</v>
      </c>
    </row>
    <row r="4718" spans="1:1" ht="15.75" customHeight="1" x14ac:dyDescent="0.2">
      <c r="A4718" s="82">
        <v>4710</v>
      </c>
    </row>
    <row r="4719" spans="1:1" ht="15.75" customHeight="1" x14ac:dyDescent="0.2">
      <c r="A4719" s="81">
        <v>4711</v>
      </c>
    </row>
    <row r="4720" spans="1:1" ht="15.75" customHeight="1" x14ac:dyDescent="0.2">
      <c r="A4720" s="82">
        <v>4712</v>
      </c>
    </row>
    <row r="4721" spans="1:1" ht="15.75" customHeight="1" x14ac:dyDescent="0.2">
      <c r="A4721" s="81">
        <v>4713</v>
      </c>
    </row>
    <row r="4722" spans="1:1" ht="15.75" customHeight="1" x14ac:dyDescent="0.2">
      <c r="A4722" s="82">
        <v>4714</v>
      </c>
    </row>
    <row r="4723" spans="1:1" ht="15.75" customHeight="1" x14ac:dyDescent="0.2">
      <c r="A4723" s="81">
        <v>4715</v>
      </c>
    </row>
    <row r="4724" spans="1:1" ht="15.75" customHeight="1" x14ac:dyDescent="0.2">
      <c r="A4724" s="82">
        <v>4716</v>
      </c>
    </row>
    <row r="4725" spans="1:1" ht="15.75" customHeight="1" x14ac:dyDescent="0.2">
      <c r="A4725" s="81">
        <v>4717</v>
      </c>
    </row>
    <row r="4726" spans="1:1" ht="15.75" customHeight="1" x14ac:dyDescent="0.2">
      <c r="A4726" s="82">
        <v>4718</v>
      </c>
    </row>
    <row r="4727" spans="1:1" ht="15.75" customHeight="1" x14ac:dyDescent="0.2">
      <c r="A4727" s="81">
        <v>4719</v>
      </c>
    </row>
    <row r="4728" spans="1:1" ht="15.75" customHeight="1" x14ac:dyDescent="0.2">
      <c r="A4728" s="82">
        <v>4720</v>
      </c>
    </row>
    <row r="4729" spans="1:1" ht="15.75" customHeight="1" x14ac:dyDescent="0.2">
      <c r="A4729" s="81">
        <v>4721</v>
      </c>
    </row>
    <row r="4730" spans="1:1" ht="15.75" customHeight="1" x14ac:dyDescent="0.2">
      <c r="A4730" s="82">
        <v>4722</v>
      </c>
    </row>
    <row r="4731" spans="1:1" ht="15.75" customHeight="1" x14ac:dyDescent="0.2">
      <c r="A4731" s="81">
        <v>4723</v>
      </c>
    </row>
    <row r="4732" spans="1:1" ht="15.75" customHeight="1" x14ac:dyDescent="0.2">
      <c r="A4732" s="82">
        <v>4724</v>
      </c>
    </row>
    <row r="4733" spans="1:1" ht="15.75" customHeight="1" x14ac:dyDescent="0.2">
      <c r="A4733" s="81">
        <v>4725</v>
      </c>
    </row>
    <row r="4734" spans="1:1" ht="15.75" customHeight="1" x14ac:dyDescent="0.2">
      <c r="A4734" s="82">
        <v>4726</v>
      </c>
    </row>
    <row r="4735" spans="1:1" ht="15.75" customHeight="1" x14ac:dyDescent="0.2">
      <c r="A4735" s="81">
        <v>4727</v>
      </c>
    </row>
    <row r="4736" spans="1:1" ht="15.75" customHeight="1" x14ac:dyDescent="0.2">
      <c r="A4736" s="82">
        <v>4728</v>
      </c>
    </row>
    <row r="4737" spans="1:1" ht="15.75" customHeight="1" x14ac:dyDescent="0.2">
      <c r="A4737" s="81">
        <v>4729</v>
      </c>
    </row>
    <row r="4738" spans="1:1" ht="15.75" customHeight="1" x14ac:dyDescent="0.2">
      <c r="A4738" s="82">
        <v>4730</v>
      </c>
    </row>
    <row r="4739" spans="1:1" ht="15.75" customHeight="1" x14ac:dyDescent="0.2">
      <c r="A4739" s="81">
        <v>4731</v>
      </c>
    </row>
    <row r="4740" spans="1:1" ht="15.75" customHeight="1" x14ac:dyDescent="0.2">
      <c r="A4740" s="82">
        <v>4732</v>
      </c>
    </row>
    <row r="4741" spans="1:1" ht="15.75" customHeight="1" x14ac:dyDescent="0.2">
      <c r="A4741" s="81">
        <v>4733</v>
      </c>
    </row>
    <row r="4742" spans="1:1" ht="15.75" customHeight="1" x14ac:dyDescent="0.2">
      <c r="A4742" s="82">
        <v>4734</v>
      </c>
    </row>
    <row r="4743" spans="1:1" ht="15.75" customHeight="1" x14ac:dyDescent="0.2">
      <c r="A4743" s="81">
        <v>4735</v>
      </c>
    </row>
    <row r="4744" spans="1:1" ht="15.75" customHeight="1" x14ac:dyDescent="0.2">
      <c r="A4744" s="82">
        <v>4736</v>
      </c>
    </row>
    <row r="4745" spans="1:1" ht="15.75" customHeight="1" x14ac:dyDescent="0.2">
      <c r="A4745" s="81">
        <v>4737</v>
      </c>
    </row>
    <row r="4746" spans="1:1" ht="15.75" customHeight="1" x14ac:dyDescent="0.2">
      <c r="A4746" s="82">
        <v>4738</v>
      </c>
    </row>
    <row r="4747" spans="1:1" ht="15.75" customHeight="1" x14ac:dyDescent="0.2">
      <c r="A4747" s="81">
        <v>4739</v>
      </c>
    </row>
    <row r="4748" spans="1:1" ht="15.75" customHeight="1" x14ac:dyDescent="0.2">
      <c r="A4748" s="82">
        <v>4740</v>
      </c>
    </row>
    <row r="4749" spans="1:1" ht="15.75" customHeight="1" x14ac:dyDescent="0.2">
      <c r="A4749" s="81">
        <v>4741</v>
      </c>
    </row>
    <row r="4750" spans="1:1" ht="15.75" customHeight="1" x14ac:dyDescent="0.2">
      <c r="A4750" s="82">
        <v>4742</v>
      </c>
    </row>
    <row r="4751" spans="1:1" ht="15.75" customHeight="1" x14ac:dyDescent="0.2">
      <c r="A4751" s="81">
        <v>4743</v>
      </c>
    </row>
    <row r="4752" spans="1:1" ht="15.75" customHeight="1" x14ac:dyDescent="0.2">
      <c r="A4752" s="82">
        <v>4744</v>
      </c>
    </row>
    <row r="4753" spans="1:1" ht="15.75" customHeight="1" x14ac:dyDescent="0.2">
      <c r="A4753" s="81">
        <v>4745</v>
      </c>
    </row>
    <row r="4754" spans="1:1" ht="15.75" customHeight="1" x14ac:dyDescent="0.2">
      <c r="A4754" s="82">
        <v>4746</v>
      </c>
    </row>
    <row r="4755" spans="1:1" ht="15.75" customHeight="1" x14ac:dyDescent="0.2">
      <c r="A4755" s="81">
        <v>4747</v>
      </c>
    </row>
    <row r="4756" spans="1:1" ht="15.75" customHeight="1" x14ac:dyDescent="0.2">
      <c r="A4756" s="82">
        <v>4748</v>
      </c>
    </row>
    <row r="4757" spans="1:1" ht="15.75" customHeight="1" x14ac:dyDescent="0.2">
      <c r="A4757" s="81">
        <v>4749</v>
      </c>
    </row>
    <row r="4758" spans="1:1" ht="15.75" customHeight="1" x14ac:dyDescent="0.2">
      <c r="A4758" s="82">
        <v>4750</v>
      </c>
    </row>
    <row r="4759" spans="1:1" ht="15.75" customHeight="1" x14ac:dyDescent="0.2">
      <c r="A4759" s="81">
        <v>4751</v>
      </c>
    </row>
    <row r="4760" spans="1:1" ht="15.75" customHeight="1" x14ac:dyDescent="0.2">
      <c r="A4760" s="82">
        <v>4752</v>
      </c>
    </row>
    <row r="4761" spans="1:1" ht="15.75" customHeight="1" x14ac:dyDescent="0.2">
      <c r="A4761" s="81">
        <v>4753</v>
      </c>
    </row>
    <row r="4762" spans="1:1" ht="15.75" customHeight="1" x14ac:dyDescent="0.2">
      <c r="A4762" s="82">
        <v>4754</v>
      </c>
    </row>
    <row r="4763" spans="1:1" ht="15.75" customHeight="1" x14ac:dyDescent="0.2">
      <c r="A4763" s="81">
        <v>4755</v>
      </c>
    </row>
    <row r="4764" spans="1:1" ht="15.75" customHeight="1" x14ac:dyDescent="0.2">
      <c r="A4764" s="82">
        <v>4756</v>
      </c>
    </row>
    <row r="4765" spans="1:1" ht="15.75" customHeight="1" x14ac:dyDescent="0.2">
      <c r="A4765" s="81">
        <v>4757</v>
      </c>
    </row>
    <row r="4766" spans="1:1" ht="15.75" customHeight="1" x14ac:dyDescent="0.2">
      <c r="A4766" s="82">
        <v>4758</v>
      </c>
    </row>
    <row r="4767" spans="1:1" ht="15.75" customHeight="1" x14ac:dyDescent="0.2">
      <c r="A4767" s="81">
        <v>4759</v>
      </c>
    </row>
    <row r="4768" spans="1:1" ht="15.75" customHeight="1" x14ac:dyDescent="0.2">
      <c r="A4768" s="82">
        <v>4760</v>
      </c>
    </row>
    <row r="4769" spans="1:1" ht="15.75" customHeight="1" x14ac:dyDescent="0.2">
      <c r="A4769" s="81">
        <v>4761</v>
      </c>
    </row>
    <row r="4770" spans="1:1" ht="15.75" customHeight="1" x14ac:dyDescent="0.2">
      <c r="A4770" s="82">
        <v>4762</v>
      </c>
    </row>
    <row r="4771" spans="1:1" ht="15.75" customHeight="1" x14ac:dyDescent="0.2">
      <c r="A4771" s="81">
        <v>4763</v>
      </c>
    </row>
    <row r="4772" spans="1:1" ht="15.75" customHeight="1" x14ac:dyDescent="0.2">
      <c r="A4772" s="82">
        <v>4764</v>
      </c>
    </row>
    <row r="4773" spans="1:1" ht="15.75" customHeight="1" x14ac:dyDescent="0.2">
      <c r="A4773" s="81">
        <v>4765</v>
      </c>
    </row>
    <row r="4774" spans="1:1" ht="15.75" customHeight="1" x14ac:dyDescent="0.2">
      <c r="A4774" s="82">
        <v>4766</v>
      </c>
    </row>
    <row r="4775" spans="1:1" ht="15.75" customHeight="1" x14ac:dyDescent="0.2">
      <c r="A4775" s="81">
        <v>4767</v>
      </c>
    </row>
    <row r="4776" spans="1:1" ht="15.75" customHeight="1" x14ac:dyDescent="0.2">
      <c r="A4776" s="82">
        <v>4768</v>
      </c>
    </row>
    <row r="4777" spans="1:1" ht="15.75" customHeight="1" x14ac:dyDescent="0.2">
      <c r="A4777" s="81">
        <v>4769</v>
      </c>
    </row>
    <row r="4778" spans="1:1" ht="15.75" customHeight="1" x14ac:dyDescent="0.2">
      <c r="A4778" s="82">
        <v>4770</v>
      </c>
    </row>
    <row r="4779" spans="1:1" ht="15.75" customHeight="1" x14ac:dyDescent="0.2">
      <c r="A4779" s="81">
        <v>4771</v>
      </c>
    </row>
    <row r="4780" spans="1:1" ht="15.75" customHeight="1" x14ac:dyDescent="0.2">
      <c r="A4780" s="82">
        <v>4772</v>
      </c>
    </row>
    <row r="4781" spans="1:1" ht="15.75" customHeight="1" x14ac:dyDescent="0.2">
      <c r="A4781" s="81">
        <v>4773</v>
      </c>
    </row>
    <row r="4782" spans="1:1" ht="15.75" customHeight="1" x14ac:dyDescent="0.2">
      <c r="A4782" s="82">
        <v>4774</v>
      </c>
    </row>
    <row r="4783" spans="1:1" ht="15.75" customHeight="1" x14ac:dyDescent="0.2">
      <c r="A4783" s="81">
        <v>4775</v>
      </c>
    </row>
    <row r="4784" spans="1:1" ht="15.75" customHeight="1" x14ac:dyDescent="0.2">
      <c r="A4784" s="82">
        <v>4776</v>
      </c>
    </row>
    <row r="4785" spans="1:1" ht="15.75" customHeight="1" x14ac:dyDescent="0.2">
      <c r="A4785" s="81">
        <v>4777</v>
      </c>
    </row>
    <row r="4786" spans="1:1" ht="15.75" customHeight="1" x14ac:dyDescent="0.2">
      <c r="A4786" s="82">
        <v>4778</v>
      </c>
    </row>
    <row r="4787" spans="1:1" ht="15.75" customHeight="1" x14ac:dyDescent="0.2">
      <c r="A4787" s="81">
        <v>4779</v>
      </c>
    </row>
    <row r="4788" spans="1:1" ht="15.75" customHeight="1" x14ac:dyDescent="0.2">
      <c r="A4788" s="82">
        <v>4780</v>
      </c>
    </row>
    <row r="4789" spans="1:1" ht="15.75" customHeight="1" x14ac:dyDescent="0.2">
      <c r="A4789" s="81">
        <v>4781</v>
      </c>
    </row>
    <row r="4790" spans="1:1" ht="15.75" customHeight="1" x14ac:dyDescent="0.2">
      <c r="A4790" s="82">
        <v>4782</v>
      </c>
    </row>
    <row r="4791" spans="1:1" ht="15.75" customHeight="1" x14ac:dyDescent="0.2">
      <c r="A4791" s="81">
        <v>4783</v>
      </c>
    </row>
    <row r="4792" spans="1:1" ht="15.75" customHeight="1" x14ac:dyDescent="0.2">
      <c r="A4792" s="82">
        <v>4784</v>
      </c>
    </row>
    <row r="4793" spans="1:1" ht="15.75" customHeight="1" x14ac:dyDescent="0.2">
      <c r="A4793" s="81">
        <v>4785</v>
      </c>
    </row>
    <row r="4794" spans="1:1" ht="15.75" customHeight="1" x14ac:dyDescent="0.2">
      <c r="A4794" s="82">
        <v>4786</v>
      </c>
    </row>
    <row r="4795" spans="1:1" ht="15.75" customHeight="1" x14ac:dyDescent="0.2">
      <c r="A4795" s="81">
        <v>4787</v>
      </c>
    </row>
    <row r="4796" spans="1:1" ht="15.75" customHeight="1" x14ac:dyDescent="0.2">
      <c r="A4796" s="82">
        <v>4788</v>
      </c>
    </row>
    <row r="4797" spans="1:1" ht="15.75" customHeight="1" x14ac:dyDescent="0.2">
      <c r="A4797" s="81">
        <v>4789</v>
      </c>
    </row>
    <row r="4798" spans="1:1" ht="15.75" customHeight="1" x14ac:dyDescent="0.2">
      <c r="A4798" s="82">
        <v>4790</v>
      </c>
    </row>
    <row r="4799" spans="1:1" ht="15.75" customHeight="1" x14ac:dyDescent="0.2">
      <c r="A4799" s="81">
        <v>4791</v>
      </c>
    </row>
    <row r="4800" spans="1:1" ht="15.75" customHeight="1" x14ac:dyDescent="0.2">
      <c r="A4800" s="82">
        <v>4792</v>
      </c>
    </row>
    <row r="4801" spans="1:1" ht="15.75" customHeight="1" x14ac:dyDescent="0.2">
      <c r="A4801" s="81">
        <v>4793</v>
      </c>
    </row>
    <row r="4802" spans="1:1" ht="15.75" customHeight="1" x14ac:dyDescent="0.2">
      <c r="A4802" s="82">
        <v>4794</v>
      </c>
    </row>
    <row r="4803" spans="1:1" ht="15.75" customHeight="1" x14ac:dyDescent="0.2">
      <c r="A4803" s="81">
        <v>4795</v>
      </c>
    </row>
    <row r="4804" spans="1:1" ht="15.75" customHeight="1" x14ac:dyDescent="0.2">
      <c r="A4804" s="82">
        <v>4796</v>
      </c>
    </row>
    <row r="4805" spans="1:1" ht="15.75" customHeight="1" x14ac:dyDescent="0.2">
      <c r="A4805" s="81">
        <v>4797</v>
      </c>
    </row>
    <row r="4806" spans="1:1" ht="15.75" customHeight="1" x14ac:dyDescent="0.2">
      <c r="A4806" s="82">
        <v>4798</v>
      </c>
    </row>
    <row r="4807" spans="1:1" ht="15.75" customHeight="1" x14ac:dyDescent="0.2">
      <c r="A4807" s="81">
        <v>4799</v>
      </c>
    </row>
    <row r="4808" spans="1:1" ht="15.75" customHeight="1" x14ac:dyDescent="0.2">
      <c r="A4808" s="82">
        <v>4800</v>
      </c>
    </row>
    <row r="4809" spans="1:1" ht="15.75" customHeight="1" x14ac:dyDescent="0.2">
      <c r="A4809" s="81">
        <v>4801</v>
      </c>
    </row>
    <row r="4810" spans="1:1" ht="15.75" customHeight="1" x14ac:dyDescent="0.2">
      <c r="A4810" s="82">
        <v>4802</v>
      </c>
    </row>
    <row r="4811" spans="1:1" ht="15.75" customHeight="1" x14ac:dyDescent="0.2">
      <c r="A4811" s="81">
        <v>4803</v>
      </c>
    </row>
    <row r="4812" spans="1:1" ht="15.75" customHeight="1" x14ac:dyDescent="0.2">
      <c r="A4812" s="82">
        <v>4804</v>
      </c>
    </row>
    <row r="4813" spans="1:1" ht="15.75" customHeight="1" x14ac:dyDescent="0.2">
      <c r="A4813" s="81">
        <v>4805</v>
      </c>
    </row>
    <row r="4814" spans="1:1" ht="15.75" customHeight="1" x14ac:dyDescent="0.2">
      <c r="A4814" s="82">
        <v>4806</v>
      </c>
    </row>
    <row r="4815" spans="1:1" ht="15.75" customHeight="1" x14ac:dyDescent="0.2">
      <c r="A4815" s="81">
        <v>4807</v>
      </c>
    </row>
    <row r="4816" spans="1:1" ht="15.75" customHeight="1" x14ac:dyDescent="0.2">
      <c r="A4816" s="82">
        <v>4808</v>
      </c>
    </row>
    <row r="4817" spans="1:1" ht="15.75" customHeight="1" x14ac:dyDescent="0.2">
      <c r="A4817" s="81">
        <v>4809</v>
      </c>
    </row>
    <row r="4818" spans="1:1" ht="15.75" customHeight="1" x14ac:dyDescent="0.2">
      <c r="A4818" s="82">
        <v>4810</v>
      </c>
    </row>
    <row r="4819" spans="1:1" ht="15.75" customHeight="1" x14ac:dyDescent="0.2">
      <c r="A4819" s="81">
        <v>4811</v>
      </c>
    </row>
    <row r="4820" spans="1:1" ht="15.75" customHeight="1" x14ac:dyDescent="0.2">
      <c r="A4820" s="82">
        <v>4812</v>
      </c>
    </row>
    <row r="4821" spans="1:1" ht="15.75" customHeight="1" x14ac:dyDescent="0.2">
      <c r="A4821" s="81">
        <v>4813</v>
      </c>
    </row>
    <row r="4822" spans="1:1" ht="15.75" customHeight="1" x14ac:dyDescent="0.2">
      <c r="A4822" s="82">
        <v>4814</v>
      </c>
    </row>
    <row r="4823" spans="1:1" ht="15.75" customHeight="1" x14ac:dyDescent="0.2">
      <c r="A4823" s="81">
        <v>4815</v>
      </c>
    </row>
    <row r="4824" spans="1:1" ht="15.75" customHeight="1" x14ac:dyDescent="0.2">
      <c r="A4824" s="82">
        <v>4816</v>
      </c>
    </row>
    <row r="4825" spans="1:1" ht="15.75" customHeight="1" x14ac:dyDescent="0.2">
      <c r="A4825" s="81">
        <v>4817</v>
      </c>
    </row>
    <row r="4826" spans="1:1" ht="15.75" customHeight="1" x14ac:dyDescent="0.2">
      <c r="A4826" s="82">
        <v>4818</v>
      </c>
    </row>
    <row r="4827" spans="1:1" ht="15.75" customHeight="1" x14ac:dyDescent="0.2">
      <c r="A4827" s="81">
        <v>4819</v>
      </c>
    </row>
    <row r="4828" spans="1:1" ht="15.75" customHeight="1" x14ac:dyDescent="0.2">
      <c r="A4828" s="82">
        <v>4820</v>
      </c>
    </row>
    <row r="4829" spans="1:1" ht="15.75" customHeight="1" x14ac:dyDescent="0.2">
      <c r="A4829" s="81">
        <v>4821</v>
      </c>
    </row>
    <row r="4830" spans="1:1" ht="15.75" customHeight="1" x14ac:dyDescent="0.2">
      <c r="A4830" s="82">
        <v>4822</v>
      </c>
    </row>
    <row r="4831" spans="1:1" ht="15.75" customHeight="1" x14ac:dyDescent="0.2">
      <c r="A4831" s="81">
        <v>4823</v>
      </c>
    </row>
    <row r="4832" spans="1:1" ht="15.75" customHeight="1" x14ac:dyDescent="0.2">
      <c r="A4832" s="82">
        <v>4824</v>
      </c>
    </row>
    <row r="4833" spans="1:1" ht="15.75" customHeight="1" x14ac:dyDescent="0.2">
      <c r="A4833" s="81">
        <v>4825</v>
      </c>
    </row>
    <row r="4834" spans="1:1" ht="15.75" customHeight="1" x14ac:dyDescent="0.2">
      <c r="A4834" s="82">
        <v>4826</v>
      </c>
    </row>
    <row r="4835" spans="1:1" ht="15.75" customHeight="1" x14ac:dyDescent="0.2">
      <c r="A4835" s="81">
        <v>4827</v>
      </c>
    </row>
    <row r="4836" spans="1:1" ht="15.75" customHeight="1" x14ac:dyDescent="0.2">
      <c r="A4836" s="82">
        <v>4828</v>
      </c>
    </row>
    <row r="4837" spans="1:1" ht="15.75" customHeight="1" x14ac:dyDescent="0.2">
      <c r="A4837" s="81">
        <v>4829</v>
      </c>
    </row>
    <row r="4838" spans="1:1" ht="15.75" customHeight="1" x14ac:dyDescent="0.2">
      <c r="A4838" s="82">
        <v>4830</v>
      </c>
    </row>
    <row r="4839" spans="1:1" ht="15.75" customHeight="1" x14ac:dyDescent="0.2">
      <c r="A4839" s="81">
        <v>4831</v>
      </c>
    </row>
    <row r="4840" spans="1:1" ht="15.75" customHeight="1" x14ac:dyDescent="0.2">
      <c r="A4840" s="82">
        <v>4832</v>
      </c>
    </row>
    <row r="4841" spans="1:1" ht="15.75" customHeight="1" x14ac:dyDescent="0.2">
      <c r="A4841" s="81">
        <v>4833</v>
      </c>
    </row>
    <row r="4842" spans="1:1" ht="15.75" customHeight="1" x14ac:dyDescent="0.2">
      <c r="A4842" s="82">
        <v>4834</v>
      </c>
    </row>
    <row r="4843" spans="1:1" ht="15.75" customHeight="1" x14ac:dyDescent="0.2">
      <c r="A4843" s="81">
        <v>4835</v>
      </c>
    </row>
    <row r="4844" spans="1:1" ht="15.75" customHeight="1" x14ac:dyDescent="0.2">
      <c r="A4844" s="82">
        <v>4836</v>
      </c>
    </row>
    <row r="4845" spans="1:1" ht="15.75" customHeight="1" x14ac:dyDescent="0.2">
      <c r="A4845" s="81">
        <v>4837</v>
      </c>
    </row>
    <row r="4846" spans="1:1" ht="15.75" customHeight="1" x14ac:dyDescent="0.2">
      <c r="A4846" s="82">
        <v>4838</v>
      </c>
    </row>
    <row r="4847" spans="1:1" ht="15.75" customHeight="1" x14ac:dyDescent="0.2">
      <c r="A4847" s="81">
        <v>4839</v>
      </c>
    </row>
    <row r="4848" spans="1:1" ht="15.75" customHeight="1" x14ac:dyDescent="0.2">
      <c r="A4848" s="82">
        <v>4840</v>
      </c>
    </row>
    <row r="4849" spans="1:1" ht="15.75" customHeight="1" x14ac:dyDescent="0.2">
      <c r="A4849" s="81">
        <v>4841</v>
      </c>
    </row>
    <row r="4850" spans="1:1" ht="15.75" customHeight="1" x14ac:dyDescent="0.2">
      <c r="A4850" s="82">
        <v>4842</v>
      </c>
    </row>
    <row r="4851" spans="1:1" ht="15.75" customHeight="1" x14ac:dyDescent="0.2">
      <c r="A4851" s="81">
        <v>4843</v>
      </c>
    </row>
    <row r="4852" spans="1:1" ht="15.75" customHeight="1" x14ac:dyDescent="0.2">
      <c r="A4852" s="82">
        <v>4844</v>
      </c>
    </row>
    <row r="4853" spans="1:1" ht="15.75" customHeight="1" x14ac:dyDescent="0.2">
      <c r="A4853" s="81">
        <v>4845</v>
      </c>
    </row>
    <row r="4854" spans="1:1" ht="15.75" customHeight="1" x14ac:dyDescent="0.2">
      <c r="A4854" s="82">
        <v>4846</v>
      </c>
    </row>
    <row r="4855" spans="1:1" ht="15.75" customHeight="1" x14ac:dyDescent="0.2">
      <c r="A4855" s="81">
        <v>4847</v>
      </c>
    </row>
    <row r="4856" spans="1:1" ht="15.75" customHeight="1" x14ac:dyDescent="0.2">
      <c r="A4856" s="82">
        <v>4848</v>
      </c>
    </row>
    <row r="4857" spans="1:1" ht="15.75" customHeight="1" x14ac:dyDescent="0.2">
      <c r="A4857" s="81">
        <v>4849</v>
      </c>
    </row>
    <row r="4858" spans="1:1" ht="15.75" customHeight="1" x14ac:dyDescent="0.2">
      <c r="A4858" s="82">
        <v>4850</v>
      </c>
    </row>
    <row r="4859" spans="1:1" ht="15.75" customHeight="1" x14ac:dyDescent="0.2">
      <c r="A4859" s="81">
        <v>4851</v>
      </c>
    </row>
    <row r="4860" spans="1:1" ht="15.75" customHeight="1" x14ac:dyDescent="0.2">
      <c r="A4860" s="82">
        <v>4852</v>
      </c>
    </row>
    <row r="4861" spans="1:1" ht="15.75" customHeight="1" x14ac:dyDescent="0.2">
      <c r="A4861" s="81">
        <v>4853</v>
      </c>
    </row>
    <row r="4862" spans="1:1" ht="15.75" customHeight="1" x14ac:dyDescent="0.2">
      <c r="A4862" s="82">
        <v>4854</v>
      </c>
    </row>
    <row r="4863" spans="1:1" ht="15.75" customHeight="1" x14ac:dyDescent="0.2">
      <c r="A4863" s="81">
        <v>4855</v>
      </c>
    </row>
    <row r="4864" spans="1:1" ht="15.75" customHeight="1" x14ac:dyDescent="0.2">
      <c r="A4864" s="82">
        <v>4856</v>
      </c>
    </row>
    <row r="4865" spans="1:1" ht="15.75" customHeight="1" x14ac:dyDescent="0.2">
      <c r="A4865" s="81">
        <v>4857</v>
      </c>
    </row>
    <row r="4866" spans="1:1" ht="15.75" customHeight="1" x14ac:dyDescent="0.2">
      <c r="A4866" s="82">
        <v>4858</v>
      </c>
    </row>
    <row r="4867" spans="1:1" ht="15.75" customHeight="1" x14ac:dyDescent="0.2">
      <c r="A4867" s="81">
        <v>4859</v>
      </c>
    </row>
    <row r="4868" spans="1:1" ht="15.75" customHeight="1" x14ac:dyDescent="0.2">
      <c r="A4868" s="82">
        <v>4860</v>
      </c>
    </row>
    <row r="4869" spans="1:1" ht="15.75" customHeight="1" x14ac:dyDescent="0.2">
      <c r="A4869" s="81">
        <v>4861</v>
      </c>
    </row>
    <row r="4870" spans="1:1" ht="15.75" customHeight="1" x14ac:dyDescent="0.2">
      <c r="A4870" s="82">
        <v>4862</v>
      </c>
    </row>
    <row r="4871" spans="1:1" ht="15.75" customHeight="1" x14ac:dyDescent="0.2">
      <c r="A4871" s="81">
        <v>4863</v>
      </c>
    </row>
    <row r="4872" spans="1:1" ht="15.75" customHeight="1" x14ac:dyDescent="0.2">
      <c r="A4872" s="82">
        <v>4864</v>
      </c>
    </row>
    <row r="4873" spans="1:1" ht="15.75" customHeight="1" x14ac:dyDescent="0.2">
      <c r="A4873" s="81">
        <v>4865</v>
      </c>
    </row>
    <row r="4874" spans="1:1" ht="15.75" customHeight="1" x14ac:dyDescent="0.2">
      <c r="A4874" s="82">
        <v>4866</v>
      </c>
    </row>
    <row r="4875" spans="1:1" ht="15.75" customHeight="1" x14ac:dyDescent="0.2">
      <c r="A4875" s="81">
        <v>4867</v>
      </c>
    </row>
    <row r="4876" spans="1:1" ht="15.75" customHeight="1" x14ac:dyDescent="0.2">
      <c r="A4876" s="82">
        <v>4868</v>
      </c>
    </row>
    <row r="4877" spans="1:1" ht="15.75" customHeight="1" x14ac:dyDescent="0.2">
      <c r="A4877" s="81">
        <v>4869</v>
      </c>
    </row>
    <row r="4878" spans="1:1" ht="15.75" customHeight="1" x14ac:dyDescent="0.2">
      <c r="A4878" s="82">
        <v>4870</v>
      </c>
    </row>
    <row r="4879" spans="1:1" ht="15.75" customHeight="1" x14ac:dyDescent="0.2">
      <c r="A4879" s="81">
        <v>4871</v>
      </c>
    </row>
    <row r="4880" spans="1:1" ht="15.75" customHeight="1" x14ac:dyDescent="0.2">
      <c r="A4880" s="82">
        <v>4872</v>
      </c>
    </row>
    <row r="4881" spans="1:1" ht="15.75" customHeight="1" x14ac:dyDescent="0.2">
      <c r="A4881" s="81">
        <v>4873</v>
      </c>
    </row>
    <row r="4882" spans="1:1" ht="15.75" customHeight="1" x14ac:dyDescent="0.2">
      <c r="A4882" s="82">
        <v>4874</v>
      </c>
    </row>
    <row r="4883" spans="1:1" ht="15.75" customHeight="1" x14ac:dyDescent="0.2">
      <c r="A4883" s="81">
        <v>4875</v>
      </c>
    </row>
    <row r="4884" spans="1:1" ht="15.75" customHeight="1" x14ac:dyDescent="0.2">
      <c r="A4884" s="82">
        <v>4876</v>
      </c>
    </row>
    <row r="4885" spans="1:1" ht="15.75" customHeight="1" x14ac:dyDescent="0.2">
      <c r="A4885" s="81">
        <v>4877</v>
      </c>
    </row>
    <row r="4886" spans="1:1" ht="15.75" customHeight="1" x14ac:dyDescent="0.2">
      <c r="A4886" s="82">
        <v>4878</v>
      </c>
    </row>
    <row r="4887" spans="1:1" ht="15.75" customHeight="1" x14ac:dyDescent="0.2">
      <c r="A4887" s="81">
        <v>4879</v>
      </c>
    </row>
    <row r="4888" spans="1:1" ht="15.75" customHeight="1" x14ac:dyDescent="0.2">
      <c r="A4888" s="82">
        <v>4880</v>
      </c>
    </row>
    <row r="4889" spans="1:1" ht="15.75" customHeight="1" x14ac:dyDescent="0.2">
      <c r="A4889" s="81">
        <v>4881</v>
      </c>
    </row>
    <row r="4890" spans="1:1" ht="15.75" customHeight="1" x14ac:dyDescent="0.2">
      <c r="A4890" s="82">
        <v>4882</v>
      </c>
    </row>
    <row r="4891" spans="1:1" ht="15.75" customHeight="1" x14ac:dyDescent="0.2">
      <c r="A4891" s="81">
        <v>4883</v>
      </c>
    </row>
    <row r="4892" spans="1:1" ht="15.75" customHeight="1" x14ac:dyDescent="0.2">
      <c r="A4892" s="82">
        <v>4884</v>
      </c>
    </row>
    <row r="4893" spans="1:1" ht="15.75" customHeight="1" x14ac:dyDescent="0.2">
      <c r="A4893" s="81">
        <v>4885</v>
      </c>
    </row>
    <row r="4894" spans="1:1" ht="15.75" customHeight="1" x14ac:dyDescent="0.2">
      <c r="A4894" s="82">
        <v>4886</v>
      </c>
    </row>
    <row r="4895" spans="1:1" ht="15.75" customHeight="1" x14ac:dyDescent="0.2">
      <c r="A4895" s="81">
        <v>4887</v>
      </c>
    </row>
    <row r="4896" spans="1:1" ht="15.75" customHeight="1" x14ac:dyDescent="0.2">
      <c r="A4896" s="82">
        <v>4888</v>
      </c>
    </row>
    <row r="4897" spans="1:1" ht="15.75" customHeight="1" x14ac:dyDescent="0.2">
      <c r="A4897" s="81">
        <v>4889</v>
      </c>
    </row>
    <row r="4898" spans="1:1" ht="15.75" customHeight="1" x14ac:dyDescent="0.2">
      <c r="A4898" s="82">
        <v>4890</v>
      </c>
    </row>
    <row r="4899" spans="1:1" ht="15.75" customHeight="1" x14ac:dyDescent="0.2">
      <c r="A4899" s="81">
        <v>4891</v>
      </c>
    </row>
    <row r="4900" spans="1:1" ht="15.75" customHeight="1" x14ac:dyDescent="0.2">
      <c r="A4900" s="82">
        <v>4892</v>
      </c>
    </row>
    <row r="4901" spans="1:1" ht="15.75" customHeight="1" x14ac:dyDescent="0.2">
      <c r="A4901" s="81">
        <v>4893</v>
      </c>
    </row>
    <row r="4902" spans="1:1" ht="15.75" customHeight="1" x14ac:dyDescent="0.2">
      <c r="A4902" s="82">
        <v>4894</v>
      </c>
    </row>
    <row r="4903" spans="1:1" ht="15.75" customHeight="1" x14ac:dyDescent="0.2">
      <c r="A4903" s="81">
        <v>4895</v>
      </c>
    </row>
    <row r="4904" spans="1:1" ht="15.75" customHeight="1" x14ac:dyDescent="0.2">
      <c r="A4904" s="82">
        <v>4896</v>
      </c>
    </row>
    <row r="4905" spans="1:1" ht="15.75" customHeight="1" x14ac:dyDescent="0.2">
      <c r="A4905" s="81">
        <v>4897</v>
      </c>
    </row>
    <row r="4906" spans="1:1" ht="15.75" customHeight="1" x14ac:dyDescent="0.2">
      <c r="A4906" s="82">
        <v>4898</v>
      </c>
    </row>
    <row r="4907" spans="1:1" ht="15.75" customHeight="1" x14ac:dyDescent="0.2">
      <c r="A4907" s="81">
        <v>4899</v>
      </c>
    </row>
    <row r="4908" spans="1:1" ht="15.75" customHeight="1" x14ac:dyDescent="0.2">
      <c r="A4908" s="82">
        <v>4900</v>
      </c>
    </row>
    <row r="4909" spans="1:1" ht="15.75" customHeight="1" x14ac:dyDescent="0.2">
      <c r="A4909" s="81">
        <v>4901</v>
      </c>
    </row>
    <row r="4910" spans="1:1" ht="15.75" customHeight="1" x14ac:dyDescent="0.2">
      <c r="A4910" s="82">
        <v>4902</v>
      </c>
    </row>
    <row r="4911" spans="1:1" ht="15.75" customHeight="1" x14ac:dyDescent="0.2">
      <c r="A4911" s="81">
        <v>4903</v>
      </c>
    </row>
    <row r="4912" spans="1:1" ht="15.75" customHeight="1" x14ac:dyDescent="0.2">
      <c r="A4912" s="82">
        <v>4904</v>
      </c>
    </row>
    <row r="4913" spans="1:1" ht="15.75" customHeight="1" x14ac:dyDescent="0.2">
      <c r="A4913" s="81">
        <v>4905</v>
      </c>
    </row>
    <row r="4914" spans="1:1" ht="15.75" customHeight="1" x14ac:dyDescent="0.2">
      <c r="A4914" s="82">
        <v>4906</v>
      </c>
    </row>
    <row r="4915" spans="1:1" ht="15.75" customHeight="1" x14ac:dyDescent="0.2">
      <c r="A4915" s="81">
        <v>4907</v>
      </c>
    </row>
    <row r="4916" spans="1:1" ht="15.75" customHeight="1" x14ac:dyDescent="0.2">
      <c r="A4916" s="82">
        <v>4908</v>
      </c>
    </row>
    <row r="4917" spans="1:1" ht="15.75" customHeight="1" x14ac:dyDescent="0.2">
      <c r="A4917" s="81">
        <v>4909</v>
      </c>
    </row>
    <row r="4918" spans="1:1" ht="15.75" customHeight="1" x14ac:dyDescent="0.2">
      <c r="A4918" s="82">
        <v>4910</v>
      </c>
    </row>
    <row r="4919" spans="1:1" ht="15.75" customHeight="1" x14ac:dyDescent="0.2">
      <c r="A4919" s="81">
        <v>4911</v>
      </c>
    </row>
    <row r="4920" spans="1:1" ht="15.75" customHeight="1" x14ac:dyDescent="0.2">
      <c r="A4920" s="82">
        <v>4912</v>
      </c>
    </row>
    <row r="4921" spans="1:1" ht="15.75" customHeight="1" x14ac:dyDescent="0.2">
      <c r="A4921" s="81">
        <v>4913</v>
      </c>
    </row>
    <row r="4922" spans="1:1" ht="15.75" customHeight="1" x14ac:dyDescent="0.2">
      <c r="A4922" s="82">
        <v>4914</v>
      </c>
    </row>
    <row r="4923" spans="1:1" ht="15.75" customHeight="1" x14ac:dyDescent="0.2">
      <c r="A4923" s="81">
        <v>4915</v>
      </c>
    </row>
    <row r="4924" spans="1:1" ht="15.75" customHeight="1" x14ac:dyDescent="0.2">
      <c r="A4924" s="82">
        <v>4916</v>
      </c>
    </row>
    <row r="4925" spans="1:1" ht="15.75" customHeight="1" x14ac:dyDescent="0.2">
      <c r="A4925" s="81">
        <v>4917</v>
      </c>
    </row>
    <row r="4926" spans="1:1" ht="15.75" customHeight="1" x14ac:dyDescent="0.2">
      <c r="A4926" s="82">
        <v>4918</v>
      </c>
    </row>
    <row r="4927" spans="1:1" ht="15.75" customHeight="1" x14ac:dyDescent="0.2">
      <c r="A4927" s="81">
        <v>4919</v>
      </c>
    </row>
    <row r="4928" spans="1:1" ht="15.75" customHeight="1" x14ac:dyDescent="0.2">
      <c r="A4928" s="82">
        <v>4920</v>
      </c>
    </row>
    <row r="4929" spans="1:1" ht="15.75" customHeight="1" x14ac:dyDescent="0.2">
      <c r="A4929" s="81">
        <v>4921</v>
      </c>
    </row>
    <row r="4930" spans="1:1" ht="15.75" customHeight="1" x14ac:dyDescent="0.2">
      <c r="A4930" s="82">
        <v>4922</v>
      </c>
    </row>
    <row r="4931" spans="1:1" ht="15.75" customHeight="1" x14ac:dyDescent="0.2">
      <c r="A4931" s="81">
        <v>4923</v>
      </c>
    </row>
    <row r="4932" spans="1:1" ht="15.75" customHeight="1" x14ac:dyDescent="0.2">
      <c r="A4932" s="82">
        <v>4924</v>
      </c>
    </row>
    <row r="4933" spans="1:1" ht="15.75" customHeight="1" x14ac:dyDescent="0.2">
      <c r="A4933" s="81">
        <v>4925</v>
      </c>
    </row>
    <row r="4934" spans="1:1" ht="15.75" customHeight="1" x14ac:dyDescent="0.2">
      <c r="A4934" s="82">
        <v>4926</v>
      </c>
    </row>
    <row r="4935" spans="1:1" ht="15.75" customHeight="1" x14ac:dyDescent="0.2">
      <c r="A4935" s="81">
        <v>4927</v>
      </c>
    </row>
    <row r="4936" spans="1:1" ht="15.75" customHeight="1" x14ac:dyDescent="0.2">
      <c r="A4936" s="82">
        <v>4928</v>
      </c>
    </row>
    <row r="4937" spans="1:1" ht="15.75" customHeight="1" x14ac:dyDescent="0.2">
      <c r="A4937" s="81">
        <v>4929</v>
      </c>
    </row>
    <row r="4938" spans="1:1" ht="15.75" customHeight="1" x14ac:dyDescent="0.2">
      <c r="A4938" s="82">
        <v>4930</v>
      </c>
    </row>
    <row r="4939" spans="1:1" ht="15.75" customHeight="1" x14ac:dyDescent="0.2">
      <c r="A4939" s="81">
        <v>4931</v>
      </c>
    </row>
    <row r="4940" spans="1:1" ht="15.75" customHeight="1" x14ac:dyDescent="0.2">
      <c r="A4940" s="82">
        <v>4932</v>
      </c>
    </row>
    <row r="4941" spans="1:1" ht="15.75" customHeight="1" x14ac:dyDescent="0.2">
      <c r="A4941" s="81">
        <v>4933</v>
      </c>
    </row>
    <row r="4942" spans="1:1" ht="15.75" customHeight="1" x14ac:dyDescent="0.2">
      <c r="A4942" s="82">
        <v>4934</v>
      </c>
    </row>
    <row r="4943" spans="1:1" ht="15.75" customHeight="1" x14ac:dyDescent="0.2">
      <c r="A4943" s="81">
        <v>4935</v>
      </c>
    </row>
    <row r="4944" spans="1:1" ht="15.75" customHeight="1" x14ac:dyDescent="0.2">
      <c r="A4944" s="82">
        <v>4936</v>
      </c>
    </row>
    <row r="4945" spans="1:1" ht="15.75" customHeight="1" x14ac:dyDescent="0.2">
      <c r="A4945" s="81">
        <v>4937</v>
      </c>
    </row>
    <row r="4946" spans="1:1" ht="15.75" customHeight="1" x14ac:dyDescent="0.2">
      <c r="A4946" s="82">
        <v>4938</v>
      </c>
    </row>
    <row r="4947" spans="1:1" ht="15.75" customHeight="1" x14ac:dyDescent="0.2">
      <c r="A4947" s="81">
        <v>4939</v>
      </c>
    </row>
    <row r="4948" spans="1:1" ht="15.75" customHeight="1" x14ac:dyDescent="0.2">
      <c r="A4948" s="82">
        <v>4940</v>
      </c>
    </row>
    <row r="4949" spans="1:1" ht="15.75" customHeight="1" x14ac:dyDescent="0.2">
      <c r="A4949" s="81">
        <v>4941</v>
      </c>
    </row>
    <row r="4950" spans="1:1" ht="15.75" customHeight="1" x14ac:dyDescent="0.2">
      <c r="A4950" s="82">
        <v>4942</v>
      </c>
    </row>
    <row r="4951" spans="1:1" ht="15.75" customHeight="1" x14ac:dyDescent="0.2">
      <c r="A4951" s="81">
        <v>4943</v>
      </c>
    </row>
    <row r="4952" spans="1:1" ht="15.75" customHeight="1" x14ac:dyDescent="0.2">
      <c r="A4952" s="82">
        <v>4944</v>
      </c>
    </row>
    <row r="4953" spans="1:1" ht="15.75" customHeight="1" x14ac:dyDescent="0.2">
      <c r="A4953" s="81">
        <v>4945</v>
      </c>
    </row>
    <row r="4954" spans="1:1" ht="15.75" customHeight="1" x14ac:dyDescent="0.2">
      <c r="A4954" s="82">
        <v>4946</v>
      </c>
    </row>
    <row r="4955" spans="1:1" ht="15.75" customHeight="1" x14ac:dyDescent="0.2">
      <c r="A4955" s="81">
        <v>4947</v>
      </c>
    </row>
    <row r="4956" spans="1:1" ht="15.75" customHeight="1" x14ac:dyDescent="0.2">
      <c r="A4956" s="82">
        <v>4948</v>
      </c>
    </row>
    <row r="4957" spans="1:1" ht="15.75" customHeight="1" x14ac:dyDescent="0.2">
      <c r="A4957" s="81">
        <v>4949</v>
      </c>
    </row>
    <row r="4958" spans="1:1" ht="15.75" customHeight="1" x14ac:dyDescent="0.2">
      <c r="A4958" s="82">
        <v>4950</v>
      </c>
    </row>
    <row r="4959" spans="1:1" ht="15.75" customHeight="1" x14ac:dyDescent="0.2">
      <c r="A4959" s="81">
        <v>4951</v>
      </c>
    </row>
    <row r="4960" spans="1:1" ht="15.75" customHeight="1" x14ac:dyDescent="0.2">
      <c r="A4960" s="82">
        <v>4952</v>
      </c>
    </row>
    <row r="4961" spans="1:1" ht="15.75" customHeight="1" x14ac:dyDescent="0.2">
      <c r="A4961" s="81">
        <v>4953</v>
      </c>
    </row>
    <row r="4962" spans="1:1" ht="15.75" customHeight="1" x14ac:dyDescent="0.2">
      <c r="A4962" s="82">
        <v>4954</v>
      </c>
    </row>
    <row r="4963" spans="1:1" ht="15.75" customHeight="1" x14ac:dyDescent="0.2">
      <c r="A4963" s="81">
        <v>4955</v>
      </c>
    </row>
    <row r="4964" spans="1:1" ht="15.75" customHeight="1" x14ac:dyDescent="0.2">
      <c r="A4964" s="82">
        <v>4956</v>
      </c>
    </row>
    <row r="4965" spans="1:1" ht="15.75" customHeight="1" x14ac:dyDescent="0.2">
      <c r="A4965" s="81">
        <v>4957</v>
      </c>
    </row>
    <row r="4966" spans="1:1" ht="15.75" customHeight="1" x14ac:dyDescent="0.2">
      <c r="A4966" s="82">
        <v>4958</v>
      </c>
    </row>
    <row r="4967" spans="1:1" ht="15.75" customHeight="1" x14ac:dyDescent="0.2">
      <c r="A4967" s="81">
        <v>4959</v>
      </c>
    </row>
    <row r="4968" spans="1:1" ht="15.75" customHeight="1" x14ac:dyDescent="0.2">
      <c r="A4968" s="82">
        <v>4960</v>
      </c>
    </row>
    <row r="4969" spans="1:1" ht="15.75" customHeight="1" x14ac:dyDescent="0.2">
      <c r="A4969" s="81">
        <v>4961</v>
      </c>
    </row>
    <row r="4970" spans="1:1" ht="15.75" customHeight="1" x14ac:dyDescent="0.2">
      <c r="A4970" s="82">
        <v>4962</v>
      </c>
    </row>
    <row r="4971" spans="1:1" ht="15.75" customHeight="1" x14ac:dyDescent="0.2">
      <c r="A4971" s="81">
        <v>4963</v>
      </c>
    </row>
    <row r="4972" spans="1:1" ht="15.75" customHeight="1" x14ac:dyDescent="0.2">
      <c r="A4972" s="82">
        <v>4964</v>
      </c>
    </row>
    <row r="4973" spans="1:1" ht="15.75" customHeight="1" x14ac:dyDescent="0.2">
      <c r="A4973" s="81">
        <v>4965</v>
      </c>
    </row>
    <row r="4974" spans="1:1" ht="15.75" customHeight="1" x14ac:dyDescent="0.2">
      <c r="A4974" s="82">
        <v>4966</v>
      </c>
    </row>
    <row r="4975" spans="1:1" ht="15.75" customHeight="1" x14ac:dyDescent="0.2">
      <c r="A4975" s="81">
        <v>4967</v>
      </c>
    </row>
    <row r="4976" spans="1:1" ht="15.75" customHeight="1" x14ac:dyDescent="0.2">
      <c r="A4976" s="82">
        <v>4968</v>
      </c>
    </row>
    <row r="4977" spans="1:1" ht="15.75" customHeight="1" x14ac:dyDescent="0.2">
      <c r="A4977" s="81">
        <v>4969</v>
      </c>
    </row>
    <row r="4978" spans="1:1" ht="15.75" customHeight="1" x14ac:dyDescent="0.2">
      <c r="A4978" s="82">
        <v>4970</v>
      </c>
    </row>
    <row r="4979" spans="1:1" ht="15.75" customHeight="1" x14ac:dyDescent="0.2">
      <c r="A4979" s="81">
        <v>4971</v>
      </c>
    </row>
    <row r="4980" spans="1:1" ht="15.75" customHeight="1" x14ac:dyDescent="0.2">
      <c r="A4980" s="82">
        <v>4972</v>
      </c>
    </row>
    <row r="4981" spans="1:1" ht="15.75" customHeight="1" x14ac:dyDescent="0.2">
      <c r="A4981" s="81">
        <v>4973</v>
      </c>
    </row>
    <row r="4982" spans="1:1" ht="15.75" customHeight="1" x14ac:dyDescent="0.2">
      <c r="A4982" s="82">
        <v>4974</v>
      </c>
    </row>
    <row r="4983" spans="1:1" ht="15.75" customHeight="1" x14ac:dyDescent="0.2">
      <c r="A4983" s="81">
        <v>4975</v>
      </c>
    </row>
    <row r="4984" spans="1:1" ht="15.75" customHeight="1" x14ac:dyDescent="0.2">
      <c r="A4984" s="82">
        <v>4976</v>
      </c>
    </row>
    <row r="4985" spans="1:1" ht="15.75" customHeight="1" x14ac:dyDescent="0.2">
      <c r="A4985" s="81">
        <v>4977</v>
      </c>
    </row>
    <row r="4986" spans="1:1" ht="15.75" customHeight="1" x14ac:dyDescent="0.2">
      <c r="A4986" s="82">
        <v>4978</v>
      </c>
    </row>
    <row r="4987" spans="1:1" ht="15.75" customHeight="1" x14ac:dyDescent="0.2">
      <c r="A4987" s="81">
        <v>4979</v>
      </c>
    </row>
    <row r="4988" spans="1:1" ht="15.75" customHeight="1" x14ac:dyDescent="0.2">
      <c r="A4988" s="82">
        <v>4980</v>
      </c>
    </row>
    <row r="4989" spans="1:1" ht="15.75" customHeight="1" x14ac:dyDescent="0.2">
      <c r="A4989" s="81">
        <v>4981</v>
      </c>
    </row>
    <row r="4990" spans="1:1" ht="15.75" customHeight="1" x14ac:dyDescent="0.2">
      <c r="A4990" s="82">
        <v>4982</v>
      </c>
    </row>
    <row r="4991" spans="1:1" ht="15.75" customHeight="1" x14ac:dyDescent="0.2">
      <c r="A4991" s="81">
        <v>4983</v>
      </c>
    </row>
    <row r="4992" spans="1:1" ht="15.75" customHeight="1" x14ac:dyDescent="0.2">
      <c r="A4992" s="82">
        <v>4984</v>
      </c>
    </row>
    <row r="4993" spans="1:1" ht="15.75" customHeight="1" x14ac:dyDescent="0.2">
      <c r="A4993" s="81">
        <v>4985</v>
      </c>
    </row>
    <row r="4994" spans="1:1" ht="15.75" customHeight="1" x14ac:dyDescent="0.2">
      <c r="A4994" s="82">
        <v>4986</v>
      </c>
    </row>
    <row r="4995" spans="1:1" ht="15.75" customHeight="1" x14ac:dyDescent="0.2">
      <c r="A4995" s="81">
        <v>4987</v>
      </c>
    </row>
    <row r="4996" spans="1:1" ht="15.75" customHeight="1" x14ac:dyDescent="0.2">
      <c r="A4996" s="82">
        <v>4988</v>
      </c>
    </row>
    <row r="4997" spans="1:1" ht="15.75" customHeight="1" x14ac:dyDescent="0.2">
      <c r="A4997" s="81">
        <v>4989</v>
      </c>
    </row>
    <row r="4998" spans="1:1" ht="15.75" customHeight="1" x14ac:dyDescent="0.2">
      <c r="A4998" s="82">
        <v>4990</v>
      </c>
    </row>
    <row r="4999" spans="1:1" ht="15.75" customHeight="1" x14ac:dyDescent="0.2">
      <c r="A4999" s="81">
        <v>4991</v>
      </c>
    </row>
    <row r="5000" spans="1:1" ht="15.75" customHeight="1" x14ac:dyDescent="0.2">
      <c r="A5000" s="82">
        <v>4992</v>
      </c>
    </row>
    <row r="5001" spans="1:1" ht="15.75" customHeight="1" x14ac:dyDescent="0.2">
      <c r="A5001" s="81">
        <v>4993</v>
      </c>
    </row>
    <row r="5002" spans="1:1" ht="15.75" customHeight="1" x14ac:dyDescent="0.2">
      <c r="A5002" s="82">
        <v>4994</v>
      </c>
    </row>
    <row r="5003" spans="1:1" ht="15.75" customHeight="1" x14ac:dyDescent="0.2">
      <c r="A5003" s="81">
        <v>4995</v>
      </c>
    </row>
    <row r="5004" spans="1:1" ht="15.75" customHeight="1" x14ac:dyDescent="0.2">
      <c r="A5004" s="82">
        <v>4996</v>
      </c>
    </row>
    <row r="5005" spans="1:1" ht="15.75" customHeight="1" x14ac:dyDescent="0.2">
      <c r="A5005" s="81">
        <v>4997</v>
      </c>
    </row>
    <row r="5006" spans="1:1" ht="15.75" customHeight="1" x14ac:dyDescent="0.2">
      <c r="A5006" s="82">
        <v>4998</v>
      </c>
    </row>
    <row r="5007" spans="1:1" ht="15.75" customHeight="1" x14ac:dyDescent="0.2">
      <c r="A5007" s="81">
        <v>4999</v>
      </c>
    </row>
    <row r="5008" spans="1:1" ht="15.75" customHeight="1" x14ac:dyDescent="0.2">
      <c r="A5008" s="82">
        <v>5000</v>
      </c>
    </row>
    <row r="5009" spans="1:1" ht="15.75" customHeight="1" x14ac:dyDescent="0.2">
      <c r="A5009" s="81">
        <v>5001</v>
      </c>
    </row>
    <row r="5010" spans="1:1" ht="15.75" customHeight="1" x14ac:dyDescent="0.2">
      <c r="A5010" s="82">
        <v>5002</v>
      </c>
    </row>
    <row r="5011" spans="1:1" ht="15.75" customHeight="1" x14ac:dyDescent="0.2">
      <c r="A5011" s="81">
        <v>5003</v>
      </c>
    </row>
    <row r="5012" spans="1:1" ht="15.75" customHeight="1" x14ac:dyDescent="0.2">
      <c r="A5012" s="82">
        <v>5004</v>
      </c>
    </row>
    <row r="5013" spans="1:1" ht="15.75" customHeight="1" x14ac:dyDescent="0.2">
      <c r="A5013" s="81">
        <v>5005</v>
      </c>
    </row>
    <row r="5014" spans="1:1" ht="15.75" customHeight="1" x14ac:dyDescent="0.2">
      <c r="A5014" s="82">
        <v>5006</v>
      </c>
    </row>
    <row r="5015" spans="1:1" ht="15.75" customHeight="1" x14ac:dyDescent="0.2">
      <c r="A5015" s="81">
        <v>5007</v>
      </c>
    </row>
    <row r="5016" spans="1:1" ht="15.75" customHeight="1" x14ac:dyDescent="0.2">
      <c r="A5016" s="82">
        <v>5008</v>
      </c>
    </row>
    <row r="5017" spans="1:1" ht="15.75" customHeight="1" x14ac:dyDescent="0.2">
      <c r="A5017" s="81">
        <v>5009</v>
      </c>
    </row>
    <row r="5018" spans="1:1" ht="15.75" customHeight="1" x14ac:dyDescent="0.2">
      <c r="A5018" s="82">
        <v>5010</v>
      </c>
    </row>
    <row r="5019" spans="1:1" ht="15.75" customHeight="1" x14ac:dyDescent="0.2">
      <c r="A5019" s="81">
        <v>5011</v>
      </c>
    </row>
    <row r="5020" spans="1:1" ht="15.75" customHeight="1" x14ac:dyDescent="0.2">
      <c r="A5020" s="82">
        <v>5012</v>
      </c>
    </row>
    <row r="5021" spans="1:1" ht="15.75" customHeight="1" x14ac:dyDescent="0.2">
      <c r="A5021" s="81">
        <v>5013</v>
      </c>
    </row>
    <row r="5022" spans="1:1" ht="15.75" customHeight="1" x14ac:dyDescent="0.2">
      <c r="A5022" s="82">
        <v>5014</v>
      </c>
    </row>
    <row r="5023" spans="1:1" ht="15.75" customHeight="1" x14ac:dyDescent="0.2">
      <c r="A5023" s="81">
        <v>5015</v>
      </c>
    </row>
    <row r="5024" spans="1:1" ht="15.75" customHeight="1" x14ac:dyDescent="0.2">
      <c r="A5024" s="82">
        <v>5016</v>
      </c>
    </row>
    <row r="5025" spans="1:1" ht="15.75" customHeight="1" x14ac:dyDescent="0.2">
      <c r="A5025" s="81">
        <v>5017</v>
      </c>
    </row>
    <row r="5026" spans="1:1" ht="15.75" customHeight="1" x14ac:dyDescent="0.2">
      <c r="A5026" s="82">
        <v>5018</v>
      </c>
    </row>
    <row r="5027" spans="1:1" ht="15.75" customHeight="1" x14ac:dyDescent="0.2">
      <c r="A5027" s="81">
        <v>5019</v>
      </c>
    </row>
    <row r="5028" spans="1:1" ht="15.75" customHeight="1" x14ac:dyDescent="0.2">
      <c r="A5028" s="82">
        <v>5020</v>
      </c>
    </row>
    <row r="5029" spans="1:1" ht="15.75" customHeight="1" x14ac:dyDescent="0.2">
      <c r="A5029" s="81">
        <v>5021</v>
      </c>
    </row>
    <row r="5030" spans="1:1" ht="15.75" customHeight="1" x14ac:dyDescent="0.2">
      <c r="A5030" s="82">
        <v>5022</v>
      </c>
    </row>
    <row r="5031" spans="1:1" ht="15.75" customHeight="1" x14ac:dyDescent="0.2">
      <c r="A5031" s="81">
        <v>5023</v>
      </c>
    </row>
    <row r="5032" spans="1:1" ht="15.75" customHeight="1" x14ac:dyDescent="0.2">
      <c r="A5032" s="82">
        <v>5024</v>
      </c>
    </row>
    <row r="5033" spans="1:1" ht="15.75" customHeight="1" x14ac:dyDescent="0.2">
      <c r="A5033" s="81">
        <v>5025</v>
      </c>
    </row>
    <row r="5034" spans="1:1" ht="15.75" customHeight="1" x14ac:dyDescent="0.2">
      <c r="A5034" s="82">
        <v>5026</v>
      </c>
    </row>
    <row r="5035" spans="1:1" ht="15.75" customHeight="1" x14ac:dyDescent="0.2">
      <c r="A5035" s="81">
        <v>5027</v>
      </c>
    </row>
    <row r="5036" spans="1:1" ht="15.75" customHeight="1" x14ac:dyDescent="0.2">
      <c r="A5036" s="82">
        <v>5028</v>
      </c>
    </row>
    <row r="5037" spans="1:1" ht="15.75" customHeight="1" x14ac:dyDescent="0.2">
      <c r="A5037" s="81">
        <v>5029</v>
      </c>
    </row>
    <row r="5038" spans="1:1" ht="15.75" customHeight="1" x14ac:dyDescent="0.2">
      <c r="A5038" s="82">
        <v>5030</v>
      </c>
    </row>
    <row r="5039" spans="1:1" ht="15.75" customHeight="1" x14ac:dyDescent="0.2">
      <c r="A5039" s="81">
        <v>5031</v>
      </c>
    </row>
    <row r="5040" spans="1:1" ht="15.75" customHeight="1" x14ac:dyDescent="0.2">
      <c r="A5040" s="82">
        <v>5032</v>
      </c>
    </row>
    <row r="5041" spans="1:1" ht="15.75" customHeight="1" x14ac:dyDescent="0.2">
      <c r="A5041" s="81">
        <v>5033</v>
      </c>
    </row>
    <row r="5042" spans="1:1" ht="15.75" customHeight="1" x14ac:dyDescent="0.2">
      <c r="A5042" s="82">
        <v>5034</v>
      </c>
    </row>
    <row r="5043" spans="1:1" ht="15.75" customHeight="1" x14ac:dyDescent="0.2">
      <c r="A5043" s="81">
        <v>5035</v>
      </c>
    </row>
    <row r="5044" spans="1:1" ht="15.75" customHeight="1" x14ac:dyDescent="0.2">
      <c r="A5044" s="82">
        <v>5036</v>
      </c>
    </row>
    <row r="5045" spans="1:1" ht="15.75" customHeight="1" x14ac:dyDescent="0.2">
      <c r="A5045" s="81">
        <v>5037</v>
      </c>
    </row>
    <row r="5046" spans="1:1" ht="15.75" customHeight="1" x14ac:dyDescent="0.2">
      <c r="A5046" s="82">
        <v>5038</v>
      </c>
    </row>
    <row r="5047" spans="1:1" ht="15.75" customHeight="1" x14ac:dyDescent="0.2">
      <c r="A5047" s="81">
        <v>5039</v>
      </c>
    </row>
    <row r="5048" spans="1:1" ht="15.75" customHeight="1" x14ac:dyDescent="0.2">
      <c r="A5048" s="82">
        <v>5040</v>
      </c>
    </row>
    <row r="5049" spans="1:1" ht="15.75" customHeight="1" x14ac:dyDescent="0.2">
      <c r="A5049" s="81">
        <v>5041</v>
      </c>
    </row>
    <row r="5050" spans="1:1" ht="15.75" customHeight="1" x14ac:dyDescent="0.2">
      <c r="A5050" s="82">
        <v>5042</v>
      </c>
    </row>
    <row r="5051" spans="1:1" ht="15.75" customHeight="1" x14ac:dyDescent="0.2">
      <c r="A5051" s="81">
        <v>5043</v>
      </c>
    </row>
    <row r="5052" spans="1:1" ht="15.75" customHeight="1" x14ac:dyDescent="0.2">
      <c r="A5052" s="82">
        <v>5044</v>
      </c>
    </row>
    <row r="5053" spans="1:1" ht="15.75" customHeight="1" x14ac:dyDescent="0.2">
      <c r="A5053" s="81">
        <v>5045</v>
      </c>
    </row>
    <row r="5054" spans="1:1" ht="15.75" customHeight="1" x14ac:dyDescent="0.2">
      <c r="A5054" s="82">
        <v>5046</v>
      </c>
    </row>
    <row r="5055" spans="1:1" ht="15.75" customHeight="1" x14ac:dyDescent="0.2">
      <c r="A5055" s="81">
        <v>5047</v>
      </c>
    </row>
    <row r="5056" spans="1:1" ht="15.75" customHeight="1" x14ac:dyDescent="0.2">
      <c r="A5056" s="82">
        <v>5048</v>
      </c>
    </row>
    <row r="5057" spans="1:1" ht="15.75" customHeight="1" x14ac:dyDescent="0.2">
      <c r="A5057" s="81">
        <v>5049</v>
      </c>
    </row>
    <row r="5058" spans="1:1" ht="15.75" customHeight="1" x14ac:dyDescent="0.2">
      <c r="A5058" s="82">
        <v>5050</v>
      </c>
    </row>
    <row r="5059" spans="1:1" ht="15.75" customHeight="1" x14ac:dyDescent="0.2">
      <c r="A5059" s="81">
        <v>5051</v>
      </c>
    </row>
    <row r="5060" spans="1:1" ht="15.75" customHeight="1" x14ac:dyDescent="0.2">
      <c r="A5060" s="82">
        <v>5052</v>
      </c>
    </row>
    <row r="5061" spans="1:1" ht="15.75" customHeight="1" x14ac:dyDescent="0.2">
      <c r="A5061" s="81">
        <v>5053</v>
      </c>
    </row>
    <row r="5062" spans="1:1" ht="15.75" customHeight="1" x14ac:dyDescent="0.2">
      <c r="A5062" s="82">
        <v>5054</v>
      </c>
    </row>
    <row r="5063" spans="1:1" ht="15.75" customHeight="1" x14ac:dyDescent="0.2">
      <c r="A5063" s="81">
        <v>5055</v>
      </c>
    </row>
    <row r="5064" spans="1:1" ht="15.75" customHeight="1" x14ac:dyDescent="0.2">
      <c r="A5064" s="82">
        <v>5056</v>
      </c>
    </row>
    <row r="5065" spans="1:1" ht="15.75" customHeight="1" x14ac:dyDescent="0.2">
      <c r="A5065" s="81">
        <v>5057</v>
      </c>
    </row>
    <row r="5066" spans="1:1" ht="15.75" customHeight="1" x14ac:dyDescent="0.2">
      <c r="A5066" s="82">
        <v>5058</v>
      </c>
    </row>
    <row r="5067" spans="1:1" ht="15.75" customHeight="1" x14ac:dyDescent="0.2">
      <c r="A5067" s="81">
        <v>5059</v>
      </c>
    </row>
    <row r="5068" spans="1:1" ht="15.75" customHeight="1" x14ac:dyDescent="0.2">
      <c r="A5068" s="82">
        <v>5060</v>
      </c>
    </row>
    <row r="5069" spans="1:1" ht="15.75" customHeight="1" x14ac:dyDescent="0.2">
      <c r="A5069" s="81">
        <v>5061</v>
      </c>
    </row>
    <row r="5070" spans="1:1" ht="15.75" customHeight="1" x14ac:dyDescent="0.2">
      <c r="A5070" s="82">
        <v>5062</v>
      </c>
    </row>
    <row r="5071" spans="1:1" ht="15.75" customHeight="1" x14ac:dyDescent="0.2">
      <c r="A5071" s="81">
        <v>5063</v>
      </c>
    </row>
    <row r="5072" spans="1:1" ht="15.75" customHeight="1" x14ac:dyDescent="0.2">
      <c r="A5072" s="82">
        <v>5064</v>
      </c>
    </row>
    <row r="5073" spans="1:1" ht="15.75" customHeight="1" x14ac:dyDescent="0.2">
      <c r="A5073" s="81">
        <v>5065</v>
      </c>
    </row>
    <row r="5074" spans="1:1" ht="15.75" customHeight="1" x14ac:dyDescent="0.2">
      <c r="A5074" s="82">
        <v>5066</v>
      </c>
    </row>
    <row r="5075" spans="1:1" ht="15.75" customHeight="1" x14ac:dyDescent="0.2">
      <c r="A5075" s="81">
        <v>5067</v>
      </c>
    </row>
    <row r="5076" spans="1:1" ht="15.75" customHeight="1" x14ac:dyDescent="0.2">
      <c r="A5076" s="82">
        <v>5068</v>
      </c>
    </row>
    <row r="5077" spans="1:1" ht="15.75" customHeight="1" x14ac:dyDescent="0.2">
      <c r="A5077" s="81">
        <v>5069</v>
      </c>
    </row>
    <row r="5078" spans="1:1" ht="15.75" customHeight="1" x14ac:dyDescent="0.2">
      <c r="A5078" s="82">
        <v>5070</v>
      </c>
    </row>
    <row r="5079" spans="1:1" ht="15.75" customHeight="1" x14ac:dyDescent="0.2">
      <c r="A5079" s="81">
        <v>5071</v>
      </c>
    </row>
    <row r="5080" spans="1:1" ht="15.75" customHeight="1" x14ac:dyDescent="0.2">
      <c r="A5080" s="82">
        <v>5072</v>
      </c>
    </row>
    <row r="5081" spans="1:1" ht="15.75" customHeight="1" x14ac:dyDescent="0.2">
      <c r="A5081" s="81">
        <v>5073</v>
      </c>
    </row>
    <row r="5082" spans="1:1" ht="15.75" customHeight="1" x14ac:dyDescent="0.2">
      <c r="A5082" s="82">
        <v>5074</v>
      </c>
    </row>
    <row r="5083" spans="1:1" ht="15.75" customHeight="1" x14ac:dyDescent="0.2">
      <c r="A5083" s="81">
        <v>5075</v>
      </c>
    </row>
    <row r="5084" spans="1:1" ht="15.75" customHeight="1" x14ac:dyDescent="0.2">
      <c r="A5084" s="82">
        <v>5076</v>
      </c>
    </row>
    <row r="5085" spans="1:1" ht="15.75" customHeight="1" x14ac:dyDescent="0.2">
      <c r="A5085" s="81">
        <v>5077</v>
      </c>
    </row>
    <row r="5086" spans="1:1" ht="15.75" customHeight="1" x14ac:dyDescent="0.2">
      <c r="A5086" s="82">
        <v>5078</v>
      </c>
    </row>
    <row r="5087" spans="1:1" ht="15.75" customHeight="1" x14ac:dyDescent="0.2">
      <c r="A5087" s="81">
        <v>5079</v>
      </c>
    </row>
    <row r="5088" spans="1:1" ht="15.75" customHeight="1" x14ac:dyDescent="0.2">
      <c r="A5088" s="82">
        <v>5080</v>
      </c>
    </row>
    <row r="5089" spans="1:1" ht="15.75" customHeight="1" x14ac:dyDescent="0.2">
      <c r="A5089" s="81">
        <v>5081</v>
      </c>
    </row>
    <row r="5090" spans="1:1" ht="15.75" customHeight="1" x14ac:dyDescent="0.2">
      <c r="A5090" s="82">
        <v>5082</v>
      </c>
    </row>
    <row r="5091" spans="1:1" ht="15.75" customHeight="1" x14ac:dyDescent="0.2">
      <c r="A5091" s="81">
        <v>5083</v>
      </c>
    </row>
    <row r="5092" spans="1:1" ht="15.75" customHeight="1" x14ac:dyDescent="0.2">
      <c r="A5092" s="82">
        <v>5084</v>
      </c>
    </row>
    <row r="5093" spans="1:1" ht="15.75" customHeight="1" x14ac:dyDescent="0.2">
      <c r="A5093" s="81">
        <v>5085</v>
      </c>
    </row>
    <row r="5094" spans="1:1" ht="15.75" customHeight="1" x14ac:dyDescent="0.2">
      <c r="A5094" s="82">
        <v>5086</v>
      </c>
    </row>
    <row r="5095" spans="1:1" ht="15.75" customHeight="1" x14ac:dyDescent="0.2">
      <c r="A5095" s="81">
        <v>5087</v>
      </c>
    </row>
    <row r="5096" spans="1:1" ht="15.75" customHeight="1" x14ac:dyDescent="0.2">
      <c r="A5096" s="82">
        <v>5088</v>
      </c>
    </row>
    <row r="5097" spans="1:1" ht="15.75" customHeight="1" x14ac:dyDescent="0.2">
      <c r="A5097" s="81">
        <v>5089</v>
      </c>
    </row>
    <row r="5098" spans="1:1" ht="15.75" customHeight="1" x14ac:dyDescent="0.2">
      <c r="A5098" s="82">
        <v>5090</v>
      </c>
    </row>
    <row r="5099" spans="1:1" ht="15.75" customHeight="1" x14ac:dyDescent="0.2">
      <c r="A5099" s="81">
        <v>5091</v>
      </c>
    </row>
    <row r="5100" spans="1:1" ht="15.75" customHeight="1" x14ac:dyDescent="0.2">
      <c r="A5100" s="82">
        <v>5092</v>
      </c>
    </row>
    <row r="5101" spans="1:1" ht="15.75" customHeight="1" x14ac:dyDescent="0.2">
      <c r="A5101" s="81">
        <v>5093</v>
      </c>
    </row>
    <row r="5102" spans="1:1" ht="15.75" customHeight="1" x14ac:dyDescent="0.2">
      <c r="A5102" s="82">
        <v>5094</v>
      </c>
    </row>
    <row r="5103" spans="1:1" ht="15.75" customHeight="1" x14ac:dyDescent="0.2">
      <c r="A5103" s="81">
        <v>5095</v>
      </c>
    </row>
    <row r="5104" spans="1:1" ht="15.75" customHeight="1" x14ac:dyDescent="0.2">
      <c r="A5104" s="82">
        <v>5096</v>
      </c>
    </row>
    <row r="5105" spans="1:1" ht="15.75" customHeight="1" x14ac:dyDescent="0.2">
      <c r="A5105" s="81">
        <v>5097</v>
      </c>
    </row>
    <row r="5106" spans="1:1" ht="15.75" customHeight="1" x14ac:dyDescent="0.2">
      <c r="A5106" s="82">
        <v>5098</v>
      </c>
    </row>
    <row r="5107" spans="1:1" ht="15.75" customHeight="1" x14ac:dyDescent="0.2">
      <c r="A5107" s="81">
        <v>5099</v>
      </c>
    </row>
    <row r="5108" spans="1:1" ht="15.75" customHeight="1" x14ac:dyDescent="0.2">
      <c r="A5108" s="82">
        <v>5100</v>
      </c>
    </row>
    <row r="5109" spans="1:1" ht="15.75" customHeight="1" x14ac:dyDescent="0.2">
      <c r="A5109" s="81">
        <v>5101</v>
      </c>
    </row>
    <row r="5110" spans="1:1" ht="15.75" customHeight="1" x14ac:dyDescent="0.2">
      <c r="A5110" s="82">
        <v>5102</v>
      </c>
    </row>
    <row r="5111" spans="1:1" ht="15.75" customHeight="1" x14ac:dyDescent="0.2">
      <c r="A5111" s="81">
        <v>5103</v>
      </c>
    </row>
    <row r="5112" spans="1:1" ht="15.75" customHeight="1" x14ac:dyDescent="0.2">
      <c r="A5112" s="82">
        <v>5104</v>
      </c>
    </row>
    <row r="5113" spans="1:1" ht="15.75" customHeight="1" x14ac:dyDescent="0.2">
      <c r="A5113" s="81">
        <v>5105</v>
      </c>
    </row>
    <row r="5114" spans="1:1" ht="15.75" customHeight="1" x14ac:dyDescent="0.2">
      <c r="A5114" s="82">
        <v>5106</v>
      </c>
    </row>
    <row r="5115" spans="1:1" ht="15.75" customHeight="1" x14ac:dyDescent="0.2">
      <c r="A5115" s="81">
        <v>5107</v>
      </c>
    </row>
    <row r="5116" spans="1:1" ht="15.75" customHeight="1" x14ac:dyDescent="0.2">
      <c r="A5116" s="82">
        <v>5108</v>
      </c>
    </row>
    <row r="5117" spans="1:1" ht="15.75" customHeight="1" x14ac:dyDescent="0.2">
      <c r="A5117" s="81">
        <v>5109</v>
      </c>
    </row>
    <row r="5118" spans="1:1" ht="15.75" customHeight="1" x14ac:dyDescent="0.2">
      <c r="A5118" s="82">
        <v>5110</v>
      </c>
    </row>
    <row r="5119" spans="1:1" ht="15.75" customHeight="1" x14ac:dyDescent="0.2">
      <c r="A5119" s="81">
        <v>5111</v>
      </c>
    </row>
    <row r="5120" spans="1:1" ht="15.75" customHeight="1" x14ac:dyDescent="0.2">
      <c r="A5120" s="82">
        <v>5112</v>
      </c>
    </row>
    <row r="5121" spans="1:1" ht="15.75" customHeight="1" x14ac:dyDescent="0.2">
      <c r="A5121" s="81">
        <v>5113</v>
      </c>
    </row>
    <row r="5122" spans="1:1" ht="15.75" customHeight="1" x14ac:dyDescent="0.2">
      <c r="A5122" s="82">
        <v>5114</v>
      </c>
    </row>
    <row r="5123" spans="1:1" ht="15.75" customHeight="1" x14ac:dyDescent="0.2">
      <c r="A5123" s="81">
        <v>5115</v>
      </c>
    </row>
    <row r="5124" spans="1:1" ht="15.75" customHeight="1" x14ac:dyDescent="0.2">
      <c r="A5124" s="82">
        <v>5116</v>
      </c>
    </row>
    <row r="5125" spans="1:1" ht="15.75" customHeight="1" x14ac:dyDescent="0.2">
      <c r="A5125" s="81">
        <v>5117</v>
      </c>
    </row>
    <row r="5126" spans="1:1" ht="15.75" customHeight="1" x14ac:dyDescent="0.2">
      <c r="A5126" s="82">
        <v>5118</v>
      </c>
    </row>
    <row r="5127" spans="1:1" ht="15.75" customHeight="1" x14ac:dyDescent="0.2">
      <c r="A5127" s="81">
        <v>5119</v>
      </c>
    </row>
    <row r="5128" spans="1:1" ht="15.75" customHeight="1" x14ac:dyDescent="0.2">
      <c r="A5128" s="82">
        <v>5120</v>
      </c>
    </row>
    <row r="5129" spans="1:1" ht="15.75" customHeight="1" x14ac:dyDescent="0.2">
      <c r="A5129" s="81">
        <v>5121</v>
      </c>
    </row>
    <row r="5130" spans="1:1" ht="15.75" customHeight="1" x14ac:dyDescent="0.2">
      <c r="A5130" s="82">
        <v>5122</v>
      </c>
    </row>
    <row r="5131" spans="1:1" ht="15.75" customHeight="1" x14ac:dyDescent="0.2">
      <c r="A5131" s="81">
        <v>5123</v>
      </c>
    </row>
    <row r="5132" spans="1:1" ht="15.75" customHeight="1" x14ac:dyDescent="0.2">
      <c r="A5132" s="82">
        <v>5124</v>
      </c>
    </row>
  </sheetData>
  <autoFilter ref="A8:H698"/>
  <mergeCells count="2">
    <mergeCell ref="A1:B1"/>
    <mergeCell ref="D7:E7"/>
  </mergeCells>
  <phoneticPr fontId="23" type="noConversion"/>
  <conditionalFormatting sqref="D1:E1">
    <cfRule type="expression" dxfId="0" priority="1">
      <formula>IF($D1-$E1&gt;=0,AND($D1-$E1))</formula>
    </cfRule>
  </conditionalFormatting>
  <dataValidations count="4">
    <dataValidation type="custom" allowBlank="1" showDropDown="1" sqref="B9">
      <formula1>OR(NOT(ISERROR(DATEVALUE(B9))), AND(ISNUMBER(B9), LEFT(CELL("format", B9))="D"))</formula1>
    </dataValidation>
    <dataValidation type="list" allowBlank="1" sqref="C9">
      <formula1>$K$9:$K9</formula1>
    </dataValidation>
    <dataValidation type="list" allowBlank="1" sqref="C12:C14">
      <formula1>$K$9:$K1117</formula1>
    </dataValidation>
    <dataValidation type="list" allowBlank="1" sqref="C18:C21 C221:C222 C217 C212:C214 C206:C209 C200:C201 C196:C197 C191 C189 C179:C186 C171 C165:C167 C159:C160 C154 C151:C152 C147 C131:C136 C126:C127 C123:C124 C118:C119 C115 C113 C107 C96:C97 C89:C93 C85:C86 C75:C79 C62:C66 C60 C54:C58 C51 C35:C44 C24:C26 C28:C31">
      <formula1>$K$9:$K1122</formula1>
    </dataValidation>
  </dataValidations>
  <pageMargins left="0.7" right="0.7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939"/>
  <sheetViews>
    <sheetView workbookViewId="0"/>
  </sheetViews>
  <sheetFormatPr defaultColWidth="12.5703125" defaultRowHeight="15.75" customHeight="1" x14ac:dyDescent="0.2"/>
  <cols>
    <col min="1" max="1" width="13" customWidth="1"/>
    <col min="2" max="2" width="27.42578125" customWidth="1"/>
    <col min="3" max="3" width="73.42578125" customWidth="1"/>
    <col min="4" max="4" width="145.140625" customWidth="1"/>
    <col min="5" max="5" width="7.85546875" customWidth="1"/>
    <col min="6" max="17" width="11.5703125" customWidth="1"/>
  </cols>
  <sheetData>
    <row r="1" spans="1:17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1" t="str">
        <f ca="1">IFERROR(__xludf.DUMMYFUNCTION("IMPORTRANGE(""1qptHSRGmBGpZ2a-3Sl03VuQVlQVTlolfenhhSjzQQ7U/edit#gid=490982906"",""Справ.Номенк!A2:H"")"),"ABENA")</f>
        <v>ABENA</v>
      </c>
      <c r="B2" s="1"/>
      <c r="C2" s="1"/>
      <c r="D2" s="1"/>
      <c r="E2" s="1"/>
      <c r="F2" s="1"/>
      <c r="G2" s="1"/>
      <c r="H2" s="1"/>
    </row>
    <row r="3" spans="1:17" x14ac:dyDescent="0.2">
      <c r="A3" s="1">
        <f ca="1">IFERROR(__xludf.DUMMYFUNCTION("""COMPUTED_VALUE"""),5703538923937)</f>
        <v>5703538923937</v>
      </c>
      <c r="B3" s="1">
        <f ca="1">IFERROR(__xludf.DUMMYFUNCTION("""COMPUTED_VALUE"""),254119)</f>
        <v>254119</v>
      </c>
      <c r="C3" s="1" t="str">
        <f ca="1">IFERROR(__xludf.DUMMYFUNCTION("""COMPUTED_VALUE"""),"Abri-soft Underpads Superdry 60*60 (60 шт)")</f>
        <v>Abri-soft Underpads Superdry 60*60 (60 шт)</v>
      </c>
      <c r="D3" s="1" t="str">
        <f ca="1">IFERROR(__xludf.DUMMYFUNCTION("""COMPUTED_VALUE"""),"Пеленки для взрослых одноразовые впитывающие Abri-soft Underpads Superdry 60*60 60 штук в упаковке ш/к 5703538923937")</f>
        <v>Пеленки для взрослых одноразовые впитывающие Abri-soft Underpads Superdry 60*60 60 штук в упаковке ш/к 5703538923937</v>
      </c>
      <c r="E3" s="1" t="str">
        <f ca="1">IFERROR(__xludf.DUMMYFUNCTION("""COMPUTED_VALUE"""),"шт")</f>
        <v>шт</v>
      </c>
      <c r="F3" s="1">
        <f ca="1">IFERROR(__xludf.DUMMYFUNCTION("""COMPUTED_VALUE"""),77000000591)</f>
        <v>77000000591</v>
      </c>
      <c r="G3" s="1">
        <f ca="1">IFERROR(__xludf.DUMMYFUNCTION("""COMPUTED_VALUE"""),5703538923937)</f>
        <v>5703538923937</v>
      </c>
      <c r="H3" s="1"/>
    </row>
    <row r="4" spans="1:17" x14ac:dyDescent="0.2">
      <c r="A4" s="1">
        <f ca="1">IFERROR(__xludf.DUMMYFUNCTION("""COMPUTED_VALUE"""),77336)</f>
        <v>77336</v>
      </c>
      <c r="B4" s="1" t="str">
        <f ca="1">IFERROR(__xludf.DUMMYFUNCTION("""COMPUTED_VALUE"""),"254119_ШТ")</f>
        <v>254119_ШТ</v>
      </c>
      <c r="C4" s="1" t="str">
        <f ca="1">IFERROR(__xludf.DUMMYFUNCTION("""COMPUTED_VALUE"""),"Abri-soft Underpads Superdry 60*60 поштучно")</f>
        <v>Abri-soft Underpads Superdry 60*60 поштучно</v>
      </c>
      <c r="D4" s="1" t="str">
        <f ca="1">IFERROR(__xludf.DUMMYFUNCTION("""COMPUTED_VALUE"""),"Пеленки для взрослых одноразовые впитывающие Abri-soft Underpads Superdry 60*60 поштучно")</f>
        <v>Пеленки для взрослых одноразовые впитывающие Abri-soft Underpads Superdry 60*60 поштучно</v>
      </c>
      <c r="E4" s="1" t="str">
        <f ca="1">IFERROR(__xludf.DUMMYFUNCTION("""COMPUTED_VALUE"""),"шт")</f>
        <v>шт</v>
      </c>
      <c r="F4" s="1" t="str">
        <f ca="1">IFERROR(__xludf.DUMMYFUNCTION("""COMPUTED_VALUE"""),"AST00000339")</f>
        <v>AST00000339</v>
      </c>
      <c r="G4" s="1">
        <f ca="1">IFERROR(__xludf.DUMMYFUNCTION("""COMPUTED_VALUE"""),77336)</f>
        <v>77336</v>
      </c>
      <c r="H4" s="1"/>
    </row>
    <row r="5" spans="1:17" x14ac:dyDescent="0.2">
      <c r="A5" s="1">
        <f ca="1">IFERROR(__xludf.DUMMYFUNCTION("""COMPUTED_VALUE"""),5703538924019)</f>
        <v>5703538924019</v>
      </c>
      <c r="B5" s="1">
        <f ca="1">IFERROR(__xludf.DUMMYFUNCTION("""COMPUTED_VALUE"""),254123)</f>
        <v>254123</v>
      </c>
      <c r="C5" s="1" t="str">
        <f ca="1">IFERROR(__xludf.DUMMYFUNCTION("""COMPUTED_VALUE"""),"Abri-soft Underpads Superdry 60*90 (30 шт)")</f>
        <v>Abri-soft Underpads Superdry 60*90 (30 шт)</v>
      </c>
      <c r="D5" s="1" t="str">
        <f ca="1">IFERROR(__xludf.DUMMYFUNCTION("""COMPUTED_VALUE"""),"Пеленки для взрослых одноразовые впитывающие Abri-soft Underpads Superdry 60*90 30 штук в упаковке ш/к 5703538924019")</f>
        <v>Пеленки для взрослых одноразовые впитывающие Abri-soft Underpads Superdry 60*90 30 штук в упаковке ш/к 5703538924019</v>
      </c>
      <c r="E5" s="1" t="str">
        <f ca="1">IFERROR(__xludf.DUMMYFUNCTION("""COMPUTED_VALUE"""),"шт")</f>
        <v>шт</v>
      </c>
      <c r="F5" s="1">
        <f ca="1">IFERROR(__xludf.DUMMYFUNCTION("""COMPUTED_VALUE"""),77000000592)</f>
        <v>77000000592</v>
      </c>
      <c r="G5" s="1">
        <f ca="1">IFERROR(__xludf.DUMMYFUNCTION("""COMPUTED_VALUE"""),5703538924019)</f>
        <v>5703538924019</v>
      </c>
      <c r="H5" s="1"/>
    </row>
    <row r="6" spans="1:17" x14ac:dyDescent="0.2">
      <c r="A6" s="1">
        <f ca="1">IFERROR(__xludf.DUMMYFUNCTION("""COMPUTED_VALUE"""),5710811037175)</f>
        <v>5710811037175</v>
      </c>
      <c r="B6" s="1">
        <f ca="1">IFERROR(__xludf.DUMMYFUNCTION("""COMPUTED_VALUE"""),4107410)</f>
        <v>4107410</v>
      </c>
      <c r="C6" s="1" t="str">
        <f ca="1">IFERROR(__xludf.DUMMYFUNCTION("""COMPUTED_VALUE"""),"Abri-flex М1 Premium (14 шт)")</f>
        <v>Abri-flex М1 Premium (14 шт)</v>
      </c>
      <c r="D6" s="1" t="str">
        <f ca="1">IFERROR(__xludf.DUMMYFUNCTION("""COMPUTED_VALUE"""),"Подгузники одноразовые для взрослых Abri-flex М1 Premium 14 штук в упаковке ш/к 5710811037175")</f>
        <v>Подгузники одноразовые для взрослых Abri-flex М1 Premium 14 штук в упаковке ш/к 5710811037175</v>
      </c>
      <c r="E6" s="1" t="str">
        <f ca="1">IFERROR(__xludf.DUMMYFUNCTION("""COMPUTED_VALUE"""),"шт")</f>
        <v>шт</v>
      </c>
      <c r="F6" s="1">
        <f ca="1">IFERROR(__xludf.DUMMYFUNCTION("""COMPUTED_VALUE"""),77000000589)</f>
        <v>77000000589</v>
      </c>
      <c r="G6" s="1">
        <f ca="1">IFERROR(__xludf.DUMMYFUNCTION("""COMPUTED_VALUE"""),5710811037175)</f>
        <v>5710811037175</v>
      </c>
      <c r="H6" s="1"/>
    </row>
    <row r="7" spans="1:17" x14ac:dyDescent="0.2">
      <c r="A7" s="1">
        <f ca="1">IFERROR(__xludf.DUMMYFUNCTION("""COMPUTED_VALUE"""),5710811037328)</f>
        <v>5710811037328</v>
      </c>
      <c r="B7" s="1">
        <f ca="1">IFERROR(__xludf.DUMMYFUNCTION("""COMPUTED_VALUE"""),4107710)</f>
        <v>4107710</v>
      </c>
      <c r="C7" s="1" t="str">
        <f ca="1">IFERROR(__xludf.DUMMYFUNCTION("""COMPUTED_VALUE"""),"Abri-flex L1 Premium (14 шт)")</f>
        <v>Abri-flex L1 Premium (14 шт)</v>
      </c>
      <c r="D7" s="1" t="str">
        <f ca="1">IFERROR(__xludf.DUMMYFUNCTION("""COMPUTED_VALUE"""),"Подгузники одноразовые для взрослых Abri-flex L1 Premium 14 штук в упаковке ш/к 5710811037328")</f>
        <v>Подгузники одноразовые для взрослых Abri-flex L1 Premium 14 штук в упаковке ш/к 5710811037328</v>
      </c>
      <c r="E7" s="1" t="str">
        <f ca="1">IFERROR(__xludf.DUMMYFUNCTION("""COMPUTED_VALUE"""),"шт")</f>
        <v>шт</v>
      </c>
      <c r="F7" s="1">
        <f ca="1">IFERROR(__xludf.DUMMYFUNCTION("""COMPUTED_VALUE"""),77000000590)</f>
        <v>77000000590</v>
      </c>
      <c r="G7" s="1">
        <f ca="1">IFERROR(__xludf.DUMMYFUNCTION("""COMPUTED_VALUE"""),5710811037328)</f>
        <v>5710811037328</v>
      </c>
      <c r="H7" s="1"/>
    </row>
    <row r="8" spans="1:17" x14ac:dyDescent="0.2">
      <c r="A8" s="1">
        <f ca="1">IFERROR(__xludf.DUMMYFUNCTION("""COMPUTED_VALUE"""),5703538759734)</f>
        <v>5703538759734</v>
      </c>
      <c r="B8" s="1">
        <f ca="1">IFERROR(__xludf.DUMMYFUNCTION("""COMPUTED_VALUE"""),4305501)</f>
        <v>4305501</v>
      </c>
      <c r="C8" s="1" t="str">
        <f ca="1">IFERROR(__xludf.DUMMYFUNCTION("""COMPUTED_VALUE"""),"Abri-form S2 Premium (28 шт)")</f>
        <v>Abri-form S2 Premium (28 шт)</v>
      </c>
      <c r="D8" s="1" t="str">
        <f ca="1">IFERROR(__xludf.DUMMYFUNCTION("""COMPUTED_VALUE"""),"Подгузники одноразовые для взрослых Abri-form S2 Premium 28 штук в упаковке ш/к 5703538759734")</f>
        <v>Подгузники одноразовые для взрослых Abri-form S2 Premium 28 штук в упаковке ш/к 5703538759734</v>
      </c>
      <c r="E8" s="1" t="str">
        <f ca="1">IFERROR(__xludf.DUMMYFUNCTION("""COMPUTED_VALUE"""),"шт")</f>
        <v>шт</v>
      </c>
      <c r="F8" s="1">
        <f ca="1">IFERROR(__xludf.DUMMYFUNCTION("""COMPUTED_VALUE"""),77000000581)</f>
        <v>77000000581</v>
      </c>
      <c r="G8" s="1">
        <f ca="1">IFERROR(__xludf.DUMMYFUNCTION("""COMPUTED_VALUE"""),5703538759734)</f>
        <v>5703538759734</v>
      </c>
      <c r="H8" s="1"/>
    </row>
    <row r="9" spans="1:17" x14ac:dyDescent="0.2">
      <c r="A9" s="1">
        <f ca="1">IFERROR(__xludf.DUMMYFUNCTION("""COMPUTED_VALUE"""),77384)</f>
        <v>77384</v>
      </c>
      <c r="B9" s="1" t="str">
        <f ca="1">IFERROR(__xludf.DUMMYFUNCTION("""COMPUTED_VALUE"""),"4305501_ШТ")</f>
        <v>4305501_ШТ</v>
      </c>
      <c r="C9" s="1" t="str">
        <f ca="1">IFERROR(__xludf.DUMMYFUNCTION("""COMPUTED_VALUE"""),"Abri-form S2 Premium (1 шт) поштучно")</f>
        <v>Abri-form S2 Premium (1 шт) поштучно</v>
      </c>
      <c r="D9" s="1" t="str">
        <f ca="1">IFERROR(__xludf.DUMMYFUNCTION("""COMPUTED_VALUE"""),"Подгузники одноразовые для взрослых Abri-form S2 Premium (поштучно)")</f>
        <v>Подгузники одноразовые для взрослых Abri-form S2 Premium (поштучно)</v>
      </c>
      <c r="E9" s="1" t="str">
        <f ca="1">IFERROR(__xludf.DUMMYFUNCTION("""COMPUTED_VALUE"""),"шт")</f>
        <v>шт</v>
      </c>
      <c r="F9" s="1" t="str">
        <f ca="1">IFERROR(__xludf.DUMMYFUNCTION("""COMPUTED_VALUE"""),"AST00000369")</f>
        <v>AST00000369</v>
      </c>
      <c r="G9" s="1">
        <f ca="1">IFERROR(__xludf.DUMMYFUNCTION("""COMPUTED_VALUE"""),77384)</f>
        <v>77384</v>
      </c>
      <c r="H9" s="1"/>
    </row>
    <row r="10" spans="1:17" x14ac:dyDescent="0.2">
      <c r="A10" s="1">
        <f ca="1">IFERROR(__xludf.DUMMYFUNCTION("""COMPUTED_VALUE"""),5703538759536)</f>
        <v>5703538759536</v>
      </c>
      <c r="B10" s="1">
        <f ca="1">IFERROR(__xludf.DUMMYFUNCTION("""COMPUTED_VALUE"""),4306101)</f>
        <v>4306101</v>
      </c>
      <c r="C10" s="1" t="str">
        <f ca="1">IFERROR(__xludf.DUMMYFUNCTION("""COMPUTED_VALUE"""),"Abri-form М1 Premium (26 шт)")</f>
        <v>Abri-form М1 Premium (26 шт)</v>
      </c>
      <c r="D10" s="1" t="str">
        <f ca="1">IFERROR(__xludf.DUMMYFUNCTION("""COMPUTED_VALUE"""),"Подгузники одноразовые для взрослых Abri-form М1 Premium 26 штук в упаковке ш/к 5703538759536")</f>
        <v>Подгузники одноразовые для взрослых Abri-form М1 Premium 26 штук в упаковке ш/к 5703538759536</v>
      </c>
      <c r="E10" s="1" t="str">
        <f ca="1">IFERROR(__xludf.DUMMYFUNCTION("""COMPUTED_VALUE"""),"шт")</f>
        <v>шт</v>
      </c>
      <c r="F10" s="1">
        <f ca="1">IFERROR(__xludf.DUMMYFUNCTION("""COMPUTED_VALUE"""),77000000582)</f>
        <v>77000000582</v>
      </c>
      <c r="G10" s="1">
        <f ca="1">IFERROR(__xludf.DUMMYFUNCTION("""COMPUTED_VALUE"""),5703538759536)</f>
        <v>5703538759536</v>
      </c>
      <c r="H10" s="1"/>
    </row>
    <row r="11" spans="1:17" x14ac:dyDescent="0.2">
      <c r="A11" s="1">
        <f ca="1">IFERROR(__xludf.DUMMYFUNCTION("""COMPUTED_VALUE"""),5703538759574)</f>
        <v>5703538759574</v>
      </c>
      <c r="B11" s="1">
        <f ca="1">IFERROR(__xludf.DUMMYFUNCTION("""COMPUTED_VALUE"""),4306201)</f>
        <v>4306201</v>
      </c>
      <c r="C11" s="1" t="str">
        <f ca="1">IFERROR(__xludf.DUMMYFUNCTION("""COMPUTED_VALUE"""),"Abri-form М3 Premium (22 шт)")</f>
        <v>Abri-form М3 Premium (22 шт)</v>
      </c>
      <c r="D11" s="1" t="str">
        <f ca="1">IFERROR(__xludf.DUMMYFUNCTION("""COMPUTED_VALUE"""),"Подгузники одноразовые для взрослых Abri-form М3 Premium 22 штук в упаковке ш/к 5703538759574")</f>
        <v>Подгузники одноразовые для взрослых Abri-form М3 Premium 22 штук в упаковке ш/к 5703538759574</v>
      </c>
      <c r="E11" s="1" t="str">
        <f ca="1">IFERROR(__xludf.DUMMYFUNCTION("""COMPUTED_VALUE"""),"шт")</f>
        <v>шт</v>
      </c>
      <c r="F11" s="1">
        <f ca="1">IFERROR(__xludf.DUMMYFUNCTION("""COMPUTED_VALUE"""),77000000583)</f>
        <v>77000000583</v>
      </c>
      <c r="G11" s="1">
        <f ca="1">IFERROR(__xludf.DUMMYFUNCTION("""COMPUTED_VALUE"""),5703538759574)</f>
        <v>5703538759574</v>
      </c>
      <c r="H11" s="1"/>
    </row>
    <row r="12" spans="1:17" x14ac:dyDescent="0.2">
      <c r="A12" s="1">
        <f ca="1">IFERROR(__xludf.DUMMYFUNCTION("""COMPUTED_VALUE"""),5703538759659)</f>
        <v>5703538759659</v>
      </c>
      <c r="B12" s="1">
        <f ca="1">IFERROR(__xludf.DUMMYFUNCTION("""COMPUTED_VALUE"""),4306601)</f>
        <v>4306601</v>
      </c>
      <c r="C12" s="1" t="str">
        <f ca="1">IFERROR(__xludf.DUMMYFUNCTION("""COMPUTED_VALUE"""),"Abri-form L1 Premium (26 шт)")</f>
        <v>Abri-form L1 Premium (26 шт)</v>
      </c>
      <c r="D12" s="1" t="str">
        <f ca="1">IFERROR(__xludf.DUMMYFUNCTION("""COMPUTED_VALUE"""),"Подгузники одноразовые для взрослых Abri-form L1 Premium 26 штук в упаковке ш/к 5703538759659")</f>
        <v>Подгузники одноразовые для взрослых Abri-form L1 Premium 26 штук в упаковке ш/к 5703538759659</v>
      </c>
      <c r="E12" s="1" t="str">
        <f ca="1">IFERROR(__xludf.DUMMYFUNCTION("""COMPUTED_VALUE"""),"шт")</f>
        <v>шт</v>
      </c>
      <c r="F12" s="1">
        <f ca="1">IFERROR(__xludf.DUMMYFUNCTION("""COMPUTED_VALUE"""),77000000584)</f>
        <v>77000000584</v>
      </c>
      <c r="G12" s="1">
        <f ca="1">IFERROR(__xludf.DUMMYFUNCTION("""COMPUTED_VALUE"""),5703538759659)</f>
        <v>5703538759659</v>
      </c>
      <c r="H12" s="1"/>
    </row>
    <row r="13" spans="1:17" x14ac:dyDescent="0.2">
      <c r="A13" s="1">
        <f ca="1">IFERROR(__xludf.DUMMYFUNCTION("""COMPUTED_VALUE"""),5703538759819)</f>
        <v>5703538759819</v>
      </c>
      <c r="B13" s="1">
        <f ca="1">IFERROR(__xludf.DUMMYFUNCTION("""COMPUTED_VALUE"""),4306701)</f>
        <v>4306701</v>
      </c>
      <c r="C13" s="1" t="str">
        <f ca="1">IFERROR(__xludf.DUMMYFUNCTION("""COMPUTED_VALUE"""),"Abri-form L3 Premium (20 шт)")</f>
        <v>Abri-form L3 Premium (20 шт)</v>
      </c>
      <c r="D13" s="1" t="str">
        <f ca="1">IFERROR(__xludf.DUMMYFUNCTION("""COMPUTED_VALUE"""),"Подгузники одноразовые для взрослых Abri-form L3 Premium 20 штук в упаковке ш/к 5703538759819")</f>
        <v>Подгузники одноразовые для взрослых Abri-form L3 Premium 20 штук в упаковке ш/к 5703538759819</v>
      </c>
      <c r="E13" s="1" t="str">
        <f ca="1">IFERROR(__xludf.DUMMYFUNCTION("""COMPUTED_VALUE"""),"шт")</f>
        <v>шт</v>
      </c>
      <c r="F13" s="1">
        <f ca="1">IFERROR(__xludf.DUMMYFUNCTION("""COMPUTED_VALUE"""),77000000585)</f>
        <v>77000000585</v>
      </c>
      <c r="G13" s="1">
        <f ca="1">IFERROR(__xludf.DUMMYFUNCTION("""COMPUTED_VALUE"""),5703538759819)</f>
        <v>5703538759819</v>
      </c>
      <c r="H13" s="1"/>
    </row>
    <row r="14" spans="1:17" x14ac:dyDescent="0.2">
      <c r="A14" s="1">
        <f ca="1">IFERROR(__xludf.DUMMYFUNCTION("""COMPUTED_VALUE"""),5703538700491)</f>
        <v>5703538700491</v>
      </c>
      <c r="B14" s="1">
        <f ca="1">IFERROR(__xludf.DUMMYFUNCTION("""COMPUTED_VALUE"""),473505)</f>
        <v>473505</v>
      </c>
      <c r="C14" s="1" t="str">
        <f ca="1">IFERROR(__xludf.DUMMYFUNCTION("""COMPUTED_VALUE"""),"Abri-form L1 Premium (10 шт)")</f>
        <v>Abri-form L1 Premium (10 шт)</v>
      </c>
      <c r="D14" s="1" t="str">
        <f ca="1">IFERROR(__xludf.DUMMYFUNCTION("""COMPUTED_VALUE"""),"Подгузники одноразовые для взрослых Abri-form L1 Premium (10 штук в упаковке) ш/к 5703538700491")</f>
        <v>Подгузники одноразовые для взрослых Abri-form L1 Premium (10 штук в упаковке) ш/к 5703538700491</v>
      </c>
      <c r="E14" s="1" t="str">
        <f ca="1">IFERROR(__xludf.DUMMYFUNCTION("""COMPUTED_VALUE"""),"шт")</f>
        <v>шт</v>
      </c>
      <c r="F14" s="1">
        <f ca="1">IFERROR(__xludf.DUMMYFUNCTION("""COMPUTED_VALUE"""),77000000586)</f>
        <v>77000000586</v>
      </c>
      <c r="G14" s="1">
        <f ca="1">IFERROR(__xludf.DUMMYFUNCTION("""COMPUTED_VALUE"""),5703538700491)</f>
        <v>5703538700491</v>
      </c>
      <c r="H14" s="1" t="str">
        <f ca="1">IFERROR(__xludf.DUMMYFUNCTION("""COMPUTED_VALUE"""),"M/L")</f>
        <v>M/L</v>
      </c>
    </row>
    <row r="15" spans="1:17" x14ac:dyDescent="0.2">
      <c r="A15" s="1">
        <f ca="1">IFERROR(__xludf.DUMMYFUNCTION("""COMPUTED_VALUE"""),5703538700453)</f>
        <v>5703538700453</v>
      </c>
      <c r="B15" s="1">
        <f ca="1">IFERROR(__xludf.DUMMYFUNCTION("""COMPUTED_VALUE"""),474005)</f>
        <v>474005</v>
      </c>
      <c r="C15" s="1" t="str">
        <f ca="1">IFERROR(__xludf.DUMMYFUNCTION("""COMPUTED_VALUE"""),"Abri-form М2 Premium (10 шт)")</f>
        <v>Abri-form М2 Premium (10 шт)</v>
      </c>
      <c r="D15" s="1" t="str">
        <f ca="1">IFERROR(__xludf.DUMMYFUNCTION("""COMPUTED_VALUE"""),"Подгузники одноразовые для взрослых Abri-form М2 Premium (10 штук в упаковке) ш/к 5703538700453")</f>
        <v>Подгузники одноразовые для взрослых Abri-form М2 Premium (10 штук в упаковке) ш/к 5703538700453</v>
      </c>
      <c r="E15" s="1" t="str">
        <f ca="1">IFERROR(__xludf.DUMMYFUNCTION("""COMPUTED_VALUE"""),"шт")</f>
        <v>шт</v>
      </c>
      <c r="F15" s="1">
        <f ca="1">IFERROR(__xludf.DUMMYFUNCTION("""COMPUTED_VALUE"""),77000000587)</f>
        <v>77000000587</v>
      </c>
      <c r="G15" s="1">
        <f ca="1">IFERROR(__xludf.DUMMYFUNCTION("""COMPUTED_VALUE"""),5703538700453)</f>
        <v>5703538700453</v>
      </c>
      <c r="H15" s="1" t="str">
        <f ca="1">IFERROR(__xludf.DUMMYFUNCTION("""COMPUTED_VALUE"""),"XL/XXL")</f>
        <v>XL/XXL</v>
      </c>
    </row>
    <row r="16" spans="1:17" x14ac:dyDescent="0.2">
      <c r="A16" s="1">
        <f ca="1">IFERROR(__xludf.DUMMYFUNCTION("""COMPUTED_VALUE"""),5703538700538)</f>
        <v>5703538700538</v>
      </c>
      <c r="B16" s="1">
        <f ca="1">IFERROR(__xludf.DUMMYFUNCTION("""COMPUTED_VALUE"""),474505)</f>
        <v>474505</v>
      </c>
      <c r="C16" s="1" t="str">
        <f ca="1">IFERROR(__xludf.DUMMYFUNCTION("""COMPUTED_VALUE"""),"Abri-form L2 Premium (10 шт)")</f>
        <v>Abri-form L2 Premium (10 шт)</v>
      </c>
      <c r="D16" s="1" t="str">
        <f ca="1">IFERROR(__xludf.DUMMYFUNCTION("""COMPUTED_VALUE"""),"Подгузники одноразовые для взрослых Abri-form L2 Premium (10 штук в упаковке) ш/к 5703538700538")</f>
        <v>Подгузники одноразовые для взрослых Abri-form L2 Premium (10 штук в упаковке) ш/к 5703538700538</v>
      </c>
      <c r="E16" s="1" t="str">
        <f ca="1">IFERROR(__xludf.DUMMYFUNCTION("""COMPUTED_VALUE"""),"шт")</f>
        <v>шт</v>
      </c>
      <c r="F16" s="1">
        <f ca="1">IFERROR(__xludf.DUMMYFUNCTION("""COMPUTED_VALUE"""),77000000588)</f>
        <v>77000000588</v>
      </c>
      <c r="G16" s="1">
        <f ca="1">IFERROR(__xludf.DUMMYFUNCTION("""COMPUTED_VALUE"""),5703538700538)</f>
        <v>5703538700538</v>
      </c>
      <c r="H16" s="1" t="str">
        <f ca="1">IFERROR(__xludf.DUMMYFUNCTION("""COMPUTED_VALUE"""),"XS/S")</f>
        <v>XS/S</v>
      </c>
    </row>
    <row r="17" spans="1:8" x14ac:dyDescent="0.2">
      <c r="A17" s="1">
        <f ca="1">IFERROR(__xludf.DUMMYFUNCTION("""COMPUTED_VALUE"""),77375)</f>
        <v>77375</v>
      </c>
      <c r="B17" s="1" t="str">
        <f ca="1">IFERROR(__xludf.DUMMYFUNCTION("""COMPUTED_VALUE"""),"474505_ШТ")</f>
        <v>474505_ШТ</v>
      </c>
      <c r="C17" s="1" t="str">
        <f ca="1">IFERROR(__xludf.DUMMYFUNCTION("""COMPUTED_VALUE"""),"Abri-form L2 Premium (1 шт) поштучно")</f>
        <v>Abri-form L2 Premium (1 шт) поштучно</v>
      </c>
      <c r="D17" s="1" t="str">
        <f ca="1">IFERROR(__xludf.DUMMYFUNCTION("""COMPUTED_VALUE"""),"Подгузники одноразовые для взрослых Abri-form L2 Premium (поштучно)")</f>
        <v>Подгузники одноразовые для взрослых Abri-form L2 Premium (поштучно)</v>
      </c>
      <c r="E17" s="1" t="str">
        <f ca="1">IFERROR(__xludf.DUMMYFUNCTION("""COMPUTED_VALUE"""),"шт")</f>
        <v>шт</v>
      </c>
      <c r="F17" s="1" t="str">
        <f ca="1">IFERROR(__xludf.DUMMYFUNCTION("""COMPUTED_VALUE"""),"AST00000345")</f>
        <v>AST00000345</v>
      </c>
      <c r="G17" s="1">
        <f ca="1">IFERROR(__xludf.DUMMYFUNCTION("""COMPUTED_VALUE"""),77375)</f>
        <v>77375</v>
      </c>
      <c r="H17" s="1" t="str">
        <f ca="1">IFERROR(__xludf.DUMMYFUNCTION("""COMPUTED_VALUE"""),"L")</f>
        <v>L</v>
      </c>
    </row>
    <row r="18" spans="1:8" x14ac:dyDescent="0.2">
      <c r="A18" s="1" t="str">
        <f ca="1">IFERROR(__xludf.DUMMYFUNCTION("""COMPUTED_VALUE"""),"Dr.Frei Гигеническая маска")</f>
        <v>Dr.Frei Гигеническая маска</v>
      </c>
      <c r="B18" s="1"/>
      <c r="C18" s="1"/>
      <c r="D18" s="1"/>
      <c r="E18" s="1"/>
      <c r="F18" s="1"/>
      <c r="G18" s="1"/>
      <c r="H18" s="1" t="str">
        <f ca="1">IFERROR(__xludf.DUMMYFUNCTION("""COMPUTED_VALUE"""),"S")</f>
        <v>S</v>
      </c>
    </row>
    <row r="19" spans="1:8" x14ac:dyDescent="0.2">
      <c r="A19" s="1">
        <f ca="1">IFERROR(__xludf.DUMMYFUNCTION("""COMPUTED_VALUE"""),3800232484541)</f>
        <v>3800232484541</v>
      </c>
      <c r="B19" s="1" t="str">
        <f ca="1">IFERROR(__xludf.DUMMYFUNCTION("""COMPUTED_VALUE"""),"0300338 L/X бежевый")</f>
        <v>0300338 L/X бежевый</v>
      </c>
      <c r="C19" s="1" t="str">
        <f ca="1">IFERROR(__xludf.DUMMYFUNCTION("""COMPUTED_VALUE"""),"М 0201 L/XL/M Гигиеническая маска, бежевая")</f>
        <v>М 0201 L/XL/M Гигиеническая маска, бежевая</v>
      </c>
      <c r="D19" s="1" t="str">
        <f ca="1">IFERROR(__xludf.DUMMYFUNCTION("""COMPUTED_VALUE"""),"М 0201 L/XL/M Гигиеническая маска, бежевая ш/к 3800232484541")</f>
        <v>М 0201 L/XL/M Гигиеническая маска, бежевая ш/к 3800232484541</v>
      </c>
      <c r="E19" s="1" t="str">
        <f ca="1">IFERROR(__xludf.DUMMYFUNCTION("""COMPUTED_VALUE"""),"шт")</f>
        <v>шт</v>
      </c>
      <c r="F19" s="1" t="str">
        <f ca="1">IFERROR(__xludf.DUMMYFUNCTION("""COMPUTED_VALUE"""),"AST00000613")</f>
        <v>AST00000613</v>
      </c>
      <c r="G19" s="1">
        <f ca="1">IFERROR(__xludf.DUMMYFUNCTION("""COMPUTED_VALUE"""),3800232484541)</f>
        <v>3800232484541</v>
      </c>
      <c r="H19" s="1" t="str">
        <f ca="1">IFERROR(__xludf.DUMMYFUNCTION("""COMPUTED_VALUE"""),"XL")</f>
        <v>XL</v>
      </c>
    </row>
    <row r="20" spans="1:8" x14ac:dyDescent="0.2">
      <c r="A20" s="1">
        <f ca="1">IFERROR(__xludf.DUMMYFUNCTION("""COMPUTED_VALUE"""),3800232484534)</f>
        <v>3800232484534</v>
      </c>
      <c r="B20" s="1" t="str">
        <f ca="1">IFERROR(__xludf.DUMMYFUNCTION("""COMPUTED_VALUE"""),"0300338 XS/M бежевый")</f>
        <v>0300338 XS/M бежевый</v>
      </c>
      <c r="C20" s="1" t="str">
        <f ca="1">IFERROR(__xludf.DUMMYFUNCTION("""COMPUTED_VALUE"""),"М 0201 XS/M Гигиеническая маска, бежевая")</f>
        <v>М 0201 XS/M Гигиеническая маска, бежевая</v>
      </c>
      <c r="D20" s="1" t="str">
        <f ca="1">IFERROR(__xludf.DUMMYFUNCTION("""COMPUTED_VALUE"""),"М 0201 XS/M Гигиеническая маска, бежевая ш/к 3800232484534")</f>
        <v>М 0201 XS/M Гигиеническая маска, бежевая ш/к 3800232484534</v>
      </c>
      <c r="E20" s="1" t="str">
        <f ca="1">IFERROR(__xludf.DUMMYFUNCTION("""COMPUTED_VALUE"""),"шт")</f>
        <v>шт</v>
      </c>
      <c r="F20" s="1" t="str">
        <f ca="1">IFERROR(__xludf.DUMMYFUNCTION("""COMPUTED_VALUE"""),"AST00000612")</f>
        <v>AST00000612</v>
      </c>
      <c r="G20" s="1">
        <f ca="1">IFERROR(__xludf.DUMMYFUNCTION("""COMPUTED_VALUE"""),3800232484534)</f>
        <v>3800232484534</v>
      </c>
      <c r="H20" s="1" t="str">
        <f ca="1">IFERROR(__xludf.DUMMYFUNCTION("""COMPUTED_VALUE"""),"XXL")</f>
        <v>XXL</v>
      </c>
    </row>
    <row r="21" spans="1:8" x14ac:dyDescent="0.2">
      <c r="A21" s="1">
        <f ca="1">IFERROR(__xludf.DUMMYFUNCTION("""COMPUTED_VALUE"""),3800232484657)</f>
        <v>3800232484657</v>
      </c>
      <c r="B21" s="1" t="str">
        <f ca="1">IFERROR(__xludf.DUMMYFUNCTION("""COMPUTED_VALUE"""),"0300339 L/XL черный")</f>
        <v>0300339 L/XL черный</v>
      </c>
      <c r="C21" s="1" t="str">
        <f ca="1">IFERROR(__xludf.DUMMYFUNCTION("""COMPUTED_VALUE"""),"М 0201 L/XL Гигеническая маска, черная")</f>
        <v>М 0201 L/XL Гигеническая маска, черная</v>
      </c>
      <c r="D21" s="1" t="str">
        <f ca="1">IFERROR(__xludf.DUMMYFUNCTION("""COMPUTED_VALUE"""),"М 0201 L/XL Гигеническая маска, черная ш/к 3800232484657")</f>
        <v>М 0201 L/XL Гигеническая маска, черная ш/к 3800232484657</v>
      </c>
      <c r="E21" s="1" t="str">
        <f ca="1">IFERROR(__xludf.DUMMYFUNCTION("""COMPUTED_VALUE"""),"шт")</f>
        <v>шт</v>
      </c>
      <c r="F21" s="1" t="str">
        <f ca="1">IFERROR(__xludf.DUMMYFUNCTION("""COMPUTED_VALUE"""),"AST00000611")</f>
        <v>AST00000611</v>
      </c>
      <c r="G21" s="1">
        <f ca="1">IFERROR(__xludf.DUMMYFUNCTION("""COMPUTED_VALUE"""),3800232484657)</f>
        <v>3800232484657</v>
      </c>
      <c r="H21" s="1" t="str">
        <f ca="1">IFERROR(__xludf.DUMMYFUNCTION("""COMPUTED_VALUE"""),"XXXL")</f>
        <v>XXXL</v>
      </c>
    </row>
    <row r="22" spans="1:8" x14ac:dyDescent="0.2">
      <c r="A22" s="1">
        <f ca="1">IFERROR(__xludf.DUMMYFUNCTION("""COMPUTED_VALUE"""),3800232484640)</f>
        <v>3800232484640</v>
      </c>
      <c r="B22" s="1" t="str">
        <f ca="1">IFERROR(__xludf.DUMMYFUNCTION("""COMPUTED_VALUE"""),"0300339 XS/M черный")</f>
        <v>0300339 XS/M черный</v>
      </c>
      <c r="C22" s="1" t="str">
        <f ca="1">IFERROR(__xludf.DUMMYFUNCTION("""COMPUTED_VALUE"""),"М 0201 XS/M Гигеническая маска, черная")</f>
        <v>М 0201 XS/M Гигеническая маска, черная</v>
      </c>
      <c r="D22" s="1" t="str">
        <f ca="1">IFERROR(__xludf.DUMMYFUNCTION("""COMPUTED_VALUE"""),"М 0201 XS/M Гигеническая маска, черная ш/к 3800232484640")</f>
        <v>М 0201 XS/M Гигеническая маска, черная ш/к 3800232484640</v>
      </c>
      <c r="E22" s="1" t="str">
        <f ca="1">IFERROR(__xludf.DUMMYFUNCTION("""COMPUTED_VALUE"""),"шт")</f>
        <v>шт</v>
      </c>
      <c r="F22" s="1" t="str">
        <f ca="1">IFERROR(__xludf.DUMMYFUNCTION("""COMPUTED_VALUE"""),"AST00000610")</f>
        <v>AST00000610</v>
      </c>
      <c r="G22" s="1">
        <f ca="1">IFERROR(__xludf.DUMMYFUNCTION("""COMPUTED_VALUE"""),3800232484640)</f>
        <v>3800232484640</v>
      </c>
      <c r="H22" s="1" t="str">
        <f ca="1">IFERROR(__xludf.DUMMYFUNCTION("""COMPUTED_VALUE"""),"M")</f>
        <v>M</v>
      </c>
    </row>
    <row r="23" spans="1:8" x14ac:dyDescent="0.2">
      <c r="A23" s="1" t="str">
        <f ca="1">IFERROR(__xludf.DUMMYFUNCTION("""COMPUTED_VALUE"""),"Dr.Frei Медицинские пластыри")</f>
        <v>Dr.Frei Медицинские пластыри</v>
      </c>
      <c r="B23" s="1"/>
      <c r="C23" s="1"/>
      <c r="D23" s="1"/>
      <c r="E23" s="1"/>
      <c r="F23" s="1"/>
      <c r="G23" s="1"/>
      <c r="H23" s="1" t="str">
        <f ca="1">IFERROR(__xludf.DUMMYFUNCTION("""COMPUTED_VALUE"""),"L")</f>
        <v>L</v>
      </c>
    </row>
    <row r="24" spans="1:8" x14ac:dyDescent="0.2">
      <c r="A24" s="1">
        <f ca="1">IFERROR(__xludf.DUMMYFUNCTION("""COMPUTED_VALUE"""),7640162323123)</f>
        <v>7640162323123</v>
      </c>
      <c r="B24" s="1" t="str">
        <f ca="1">IFERROR(__xludf.DUMMYFUNCTION("""COMPUTED_VALUE"""),"КПНТО №20")</f>
        <v>КПНТО №20</v>
      </c>
      <c r="C24" s="1" t="str">
        <f ca="1">IFERROR(__xludf.DUMMYFUNCTION("""COMPUTED_VALUE"""),"КОМПЛЕКТ ПЛАСТЫРЕЙ НА ТКАНЕВОЙ ОСНОВЕ №20")</f>
        <v>КОМПЛЕКТ ПЛАСТЫРЕЙ НА ТКАНЕВОЙ ОСНОВЕ №20</v>
      </c>
      <c r="D24" s="1" t="str">
        <f ca="1">IFERROR(__xludf.DUMMYFUNCTION("""COMPUTED_VALUE"""),"КОМПЛЕКТ ПЛАСТЫРЕЙ НА ТКАНЕВОЙ ОСНОВЕ ТМ Dr.Frei №20 / ш/к 7640162323123")</f>
        <v>КОМПЛЕКТ ПЛАСТЫРЕЙ НА ТКАНЕВОЙ ОСНОВЕ ТМ Dr.Frei №20 / ш/к 7640162323123</v>
      </c>
      <c r="E24" s="1" t="str">
        <f ca="1">IFERROR(__xludf.DUMMYFUNCTION("""COMPUTED_VALUE"""),"шт")</f>
        <v>шт</v>
      </c>
      <c r="F24" s="1" t="str">
        <f ca="1">IFERROR(__xludf.DUMMYFUNCTION("""COMPUTED_VALUE"""),"AST00000619")</f>
        <v>AST00000619</v>
      </c>
      <c r="G24" s="1">
        <f ca="1">IFERROR(__xludf.DUMMYFUNCTION("""COMPUTED_VALUE"""),7640162323123)</f>
        <v>7640162323123</v>
      </c>
      <c r="H24" s="1" t="str">
        <f ca="1">IFERROR(__xludf.DUMMYFUNCTION("""COMPUTED_VALUE"""),"L")</f>
        <v>L</v>
      </c>
    </row>
    <row r="25" spans="1:8" x14ac:dyDescent="0.2">
      <c r="A25" s="1">
        <f ca="1">IFERROR(__xludf.DUMMYFUNCTION("""COMPUTED_VALUE"""),7640162323178)</f>
        <v>7640162323178</v>
      </c>
      <c r="B25" s="1" t="str">
        <f ca="1">IFERROR(__xludf.DUMMYFUNCTION("""COMPUTED_VALUE"""),"МНП №10 19х72mm НЕТКАНЫЙ")</f>
        <v>МНП №10 19х72mm НЕТКАНЫЙ</v>
      </c>
      <c r="C25" s="1" t="str">
        <f ca="1">IFERROR(__xludf.DUMMYFUNCTION("""COMPUTED_VALUE"""),"МЕДИЦИНСКИЙ НЕТКАНЫЙ ПЛАСТЫРЬ (19mm х 72mm) №10")</f>
        <v>МЕДИЦИНСКИЙ НЕТКАНЫЙ ПЛАСТЫРЬ (19mm х 72mm) №10</v>
      </c>
      <c r="D25" s="1" t="str">
        <f ca="1">IFERROR(__xludf.DUMMYFUNCTION("""COMPUTED_VALUE"""),"МЕДИЦИНСКИЙ НЕТКАНЫЙ ПЛАСТЫРЬ «TM Dr.Frei» №10, (19mm х 72mm) /ш/к 7640162323178")</f>
        <v>МЕДИЦИНСКИЙ НЕТКАНЫЙ ПЛАСТЫРЬ «TM Dr.Frei» №10, (19mm х 72mm) /ш/к 7640162323178</v>
      </c>
      <c r="E25" s="1" t="str">
        <f ca="1">IFERROR(__xludf.DUMMYFUNCTION("""COMPUTED_VALUE"""),"шт")</f>
        <v>шт</v>
      </c>
      <c r="F25" s="1" t="str">
        <f ca="1">IFERROR(__xludf.DUMMYFUNCTION("""COMPUTED_VALUE"""),"AST00000616")</f>
        <v>AST00000616</v>
      </c>
      <c r="G25" s="1">
        <f ca="1">IFERROR(__xludf.DUMMYFUNCTION("""COMPUTED_VALUE"""),7640162323178)</f>
        <v>7640162323178</v>
      </c>
      <c r="H25" s="1" t="str">
        <f ca="1">IFERROR(__xludf.DUMMYFUNCTION("""COMPUTED_VALUE"""),"M")</f>
        <v>M</v>
      </c>
    </row>
    <row r="26" spans="1:8" x14ac:dyDescent="0.2">
      <c r="A26" s="1">
        <f ca="1">IFERROR(__xludf.DUMMYFUNCTION("""COMPUTED_VALUE"""),7640162323185)</f>
        <v>7640162323185</v>
      </c>
      <c r="B26" s="1" t="str">
        <f ca="1">IFERROR(__xludf.DUMMYFUNCTION("""COMPUTED_VALUE"""),"МНП №100 19х72mm НЕТКАНЫЙ")</f>
        <v>МНП №100 19х72mm НЕТКАНЫЙ</v>
      </c>
      <c r="C26" s="1" t="str">
        <f ca="1">IFERROR(__xludf.DUMMYFUNCTION("""COMPUTED_VALUE"""),"МЕДИЦИНСКИЙ НЕТКАНЫЙ ПЛАСТЫРЬ (19mm х 72mm) №100")</f>
        <v>МЕДИЦИНСКИЙ НЕТКАНЫЙ ПЛАСТЫРЬ (19mm х 72mm) №100</v>
      </c>
      <c r="D26" s="1" t="str">
        <f ca="1">IFERROR(__xludf.DUMMYFUNCTION("""COMPUTED_VALUE"""),"МЕДИЦИНСКИЙ НЕТКАНЫЙ ПЛАСТЫРЬ «TM Dr.Frei» №100, (19mm х 72mm) /ш/к 7640162323185")</f>
        <v>МЕДИЦИНСКИЙ НЕТКАНЫЙ ПЛАСТЫРЬ «TM Dr.Frei» №100, (19mm х 72mm) /ш/к 7640162323185</v>
      </c>
      <c r="E26" s="1" t="str">
        <f ca="1">IFERROR(__xludf.DUMMYFUNCTION("""COMPUTED_VALUE"""),"шт")</f>
        <v>шт</v>
      </c>
      <c r="F26" s="1" t="str">
        <f ca="1">IFERROR(__xludf.DUMMYFUNCTION("""COMPUTED_VALUE"""),"AST00000617")</f>
        <v>AST00000617</v>
      </c>
      <c r="G26" s="1">
        <f ca="1">IFERROR(__xludf.DUMMYFUNCTION("""COMPUTED_VALUE"""),7640162323185)</f>
        <v>7640162323185</v>
      </c>
      <c r="H26" s="1" t="str">
        <f ca="1">IFERROR(__xludf.DUMMYFUNCTION("""COMPUTED_VALUE"""),"M")</f>
        <v>M</v>
      </c>
    </row>
    <row r="27" spans="1:8" x14ac:dyDescent="0.2">
      <c r="A27" s="1">
        <f ca="1">IFERROR(__xludf.DUMMYFUNCTION("""COMPUTED_VALUE"""),7640162323215)</f>
        <v>7640162323215</v>
      </c>
      <c r="B27" s="1" t="str">
        <f ca="1">IFERROR(__xludf.DUMMYFUNCTION("""COMPUTED_VALUE"""),"МНПВР 5m x 1,25cm НЕТКАНЫ")</f>
        <v>МНПВР 5m x 1,25cm НЕТКАНЫ</v>
      </c>
      <c r="C27" s="1" t="str">
        <f ca="1">IFERROR(__xludf.DUMMYFUNCTION("""COMPUTED_VALUE"""),"МЕДИЦИНСКИЙ НЕТКАНЫЙ ПЛАСТЫРЬ В РУЛОНЕ (5 м x 1,25cm)")</f>
        <v>МЕДИЦИНСКИЙ НЕТКАНЫЙ ПЛАСТЫРЬ В РУЛОНЕ (5 м x 1,25cm)</v>
      </c>
      <c r="D27" s="1" t="str">
        <f ca="1">IFERROR(__xludf.DUMMYFUNCTION("""COMPUTED_VALUE"""),"МЕДИЦИНСКИЙ НЕТКАНЫЙ ПЛАСТЫРЬ В РУЛОНЕ «ТМ Dr.Frei» (5 м x 1,25см) / ш/к 7640162323215")</f>
        <v>МЕДИЦИНСКИЙ НЕТКАНЫЙ ПЛАСТЫРЬ В РУЛОНЕ «ТМ Dr.Frei» (5 м x 1,25см) / ш/к 7640162323215</v>
      </c>
      <c r="E27" s="1" t="str">
        <f ca="1">IFERROR(__xludf.DUMMYFUNCTION("""COMPUTED_VALUE"""),"шт")</f>
        <v>шт</v>
      </c>
      <c r="F27" s="1" t="str">
        <f ca="1">IFERROR(__xludf.DUMMYFUNCTION("""COMPUTED_VALUE"""),"AST00000624")</f>
        <v>AST00000624</v>
      </c>
      <c r="G27" s="1">
        <f ca="1">IFERROR(__xludf.DUMMYFUNCTION("""COMPUTED_VALUE"""),7640162323215)</f>
        <v>7640162323215</v>
      </c>
      <c r="H27" s="1" t="str">
        <f ca="1">IFERROR(__xludf.DUMMYFUNCTION("""COMPUTED_VALUE"""),"S")</f>
        <v>S</v>
      </c>
    </row>
    <row r="28" spans="1:8" x14ac:dyDescent="0.2">
      <c r="A28" s="1">
        <f ca="1">IFERROR(__xludf.DUMMYFUNCTION("""COMPUTED_VALUE"""),7640162323222)</f>
        <v>7640162323222</v>
      </c>
      <c r="B28" s="1" t="str">
        <f ca="1">IFERROR(__xludf.DUMMYFUNCTION("""COMPUTED_VALUE"""),"МНПВР 5m x 2,5cm НЕТКАНЫЙ")</f>
        <v>МНПВР 5m x 2,5cm НЕТКАНЫЙ</v>
      </c>
      <c r="C28" s="1" t="str">
        <f ca="1">IFERROR(__xludf.DUMMYFUNCTION("""COMPUTED_VALUE"""),"МЕДИЦИНСКИЙ НЕТКАНЫЙ ПЛАСТЫРЬ В РУЛОНЕ (5 м x 2,5cm)")</f>
        <v>МЕДИЦИНСКИЙ НЕТКАНЫЙ ПЛАСТЫРЬ В РУЛОНЕ (5 м x 2,5cm)</v>
      </c>
      <c r="D28" s="1" t="str">
        <f ca="1">IFERROR(__xludf.DUMMYFUNCTION("""COMPUTED_VALUE"""),"МЕДИЦИНСКИЙ НЕТКАНЫЙ ПЛАСТЫРЬ В РУЛОНЕ «ТМ Dr.Frei» (5 м x 2,5см) / ш/к 7640162323222")</f>
        <v>МЕДИЦИНСКИЙ НЕТКАНЫЙ ПЛАСТЫРЬ В РУЛОНЕ «ТМ Dr.Frei» (5 м x 2,5см) / ш/к 7640162323222</v>
      </c>
      <c r="E28" s="1" t="str">
        <f ca="1">IFERROR(__xludf.DUMMYFUNCTION("""COMPUTED_VALUE"""),"шт")</f>
        <v>шт</v>
      </c>
      <c r="F28" s="1" t="str">
        <f ca="1">IFERROR(__xludf.DUMMYFUNCTION("""COMPUTED_VALUE"""),"AST00000625")</f>
        <v>AST00000625</v>
      </c>
      <c r="G28" s="1">
        <f ca="1">IFERROR(__xludf.DUMMYFUNCTION("""COMPUTED_VALUE"""),7640162323222)</f>
        <v>7640162323222</v>
      </c>
      <c r="H28" s="1" t="str">
        <f ca="1">IFERROR(__xludf.DUMMYFUNCTION("""COMPUTED_VALUE"""),"S")</f>
        <v>S</v>
      </c>
    </row>
    <row r="29" spans="1:8" x14ac:dyDescent="0.2">
      <c r="A29" s="1">
        <f ca="1">IFERROR(__xludf.DUMMYFUNCTION("""COMPUTED_VALUE"""),7640162323116)</f>
        <v>7640162323116</v>
      </c>
      <c r="B29" s="1" t="str">
        <f ca="1">IFERROR(__xludf.DUMMYFUNCTION("""COMPUTED_VALUE"""),"МП №4")</f>
        <v>МП №4</v>
      </c>
      <c r="C29" s="1" t="str">
        <f ca="1">IFERROR(__xludf.DUMMYFUNCTION("""COMPUTED_VALUE"""),"МОЗОЛЬНЫЙ ПЛАСТЫРЬ (19mm х 72mm) №4")</f>
        <v>МОЗОЛЬНЫЙ ПЛАСТЫРЬ (19mm х 72mm) №4</v>
      </c>
      <c r="D29" s="1" t="str">
        <f ca="1">IFERROR(__xludf.DUMMYFUNCTION("""COMPUTED_VALUE"""),"МОЗОЛЬНЫЙ ПЛАСТЫРЬ ТМ Dr.Frei /ш/к 7640162323116")</f>
        <v>МОЗОЛЬНЫЙ ПЛАСТЫРЬ ТМ Dr.Frei /ш/к 7640162323116</v>
      </c>
      <c r="E29" s="1" t="str">
        <f ca="1">IFERROR(__xludf.DUMMYFUNCTION("""COMPUTED_VALUE"""),"шт")</f>
        <v>шт</v>
      </c>
      <c r="F29" s="1" t="str">
        <f ca="1">IFERROR(__xludf.DUMMYFUNCTION("""COMPUTED_VALUE"""),"AST00000621")</f>
        <v>AST00000621</v>
      </c>
      <c r="G29" s="1">
        <f ca="1">IFERROR(__xludf.DUMMYFUNCTION("""COMPUTED_VALUE"""),7640162323116)</f>
        <v>7640162323116</v>
      </c>
      <c r="H29" s="1" t="str">
        <f ca="1">IFERROR(__xludf.DUMMYFUNCTION("""COMPUTED_VALUE"""),"XL")</f>
        <v>XL</v>
      </c>
    </row>
    <row r="30" spans="1:8" x14ac:dyDescent="0.2">
      <c r="A30" s="1">
        <f ca="1">IFERROR(__xludf.DUMMYFUNCTION("""COMPUTED_VALUE"""),7640162323147)</f>
        <v>7640162323147</v>
      </c>
      <c r="B30" s="1" t="str">
        <f ca="1">IFERROR(__xludf.DUMMYFUNCTION("""COMPUTED_VALUE"""),"МПННО №10 10х6сm НЕТКАНЫЙ")</f>
        <v>МПННО №10 10х6сm НЕТКАНЫЙ</v>
      </c>
      <c r="C30" s="1" t="str">
        <f ca="1">IFERROR(__xludf.DUMMYFUNCTION("""COMPUTED_VALUE"""),"МЕДИЦИНСКИЙ ПЛАСТЫРЬ НА НЕТКАНОЙ ОСНОВЕ (10сm х 6сm) №10")</f>
        <v>МЕДИЦИНСКИЙ ПЛАСТЫРЬ НА НЕТКАНОЙ ОСНОВЕ (10сm х 6сm) №10</v>
      </c>
      <c r="D30" s="1" t="str">
        <f ca="1">IFERROR(__xludf.DUMMYFUNCTION("""COMPUTED_VALUE"""),"МЕДИЦИНСКИЙ ПЛАСТЫРЬ НА НЕТКАНОЙ ОСНОВЕ ТМ Dr.Frei №10 /ш/к 7640162323147")</f>
        <v>МЕДИЦИНСКИЙ ПЛАСТЫРЬ НА НЕТКАНОЙ ОСНОВЕ ТМ Dr.Frei №10 /ш/к 7640162323147</v>
      </c>
      <c r="E30" s="1" t="str">
        <f ca="1">IFERROR(__xludf.DUMMYFUNCTION("""COMPUTED_VALUE"""),"шт")</f>
        <v>шт</v>
      </c>
      <c r="F30" s="1" t="str">
        <f ca="1">IFERROR(__xludf.DUMMYFUNCTION("""COMPUTED_VALUE"""),"AST00000618")</f>
        <v>AST00000618</v>
      </c>
      <c r="G30" s="1">
        <f ca="1">IFERROR(__xludf.DUMMYFUNCTION("""COMPUTED_VALUE"""),7640162323147)</f>
        <v>7640162323147</v>
      </c>
      <c r="H30" s="1" t="str">
        <f ca="1">IFERROR(__xludf.DUMMYFUNCTION("""COMPUTED_VALUE"""),"XL")</f>
        <v>XL</v>
      </c>
    </row>
    <row r="31" spans="1:8" x14ac:dyDescent="0.2">
      <c r="A31" s="1">
        <f ca="1">IFERROR(__xludf.DUMMYFUNCTION("""COMPUTED_VALUE"""),7640162323154)</f>
        <v>7640162323154</v>
      </c>
      <c r="B31" s="1" t="str">
        <f ca="1">IFERROR(__xludf.DUMMYFUNCTION("""COMPUTED_VALUE"""),"МПНТО №10 19х72mm ТКАНЕВЫ")</f>
        <v>МПНТО №10 19х72mm ТКАНЕВЫ</v>
      </c>
      <c r="C31" s="1" t="str">
        <f ca="1">IFERROR(__xludf.DUMMYFUNCTION("""COMPUTED_VALUE"""),"МЕДИЦИНСКИЙ ПЛАСТЫРЬ НА ТКАНЕВОЙ ОСНОВЕ (19mm х 72mm) №10")</f>
        <v>МЕДИЦИНСКИЙ ПЛАСТЫРЬ НА ТКАНЕВОЙ ОСНОВЕ (19mm х 72mm) №10</v>
      </c>
      <c r="D31" s="1" t="str">
        <f ca="1">IFERROR(__xludf.DUMMYFUNCTION("""COMPUTED_VALUE"""),"МЕДИЦИНСКИЙ ПЛАСТЫРЬ НА ТКАНЕВОЙ ОСНОВЕ «ТМ Dr.Frei» №10 (19mm х 72mm) / ш/к 7640162323154")</f>
        <v>МЕДИЦИНСКИЙ ПЛАСТЫРЬ НА ТКАНЕВОЙ ОСНОВЕ «ТМ Dr.Frei» №10 (19mm х 72mm) / ш/к 7640162323154</v>
      </c>
      <c r="E31" s="1" t="str">
        <f ca="1">IFERROR(__xludf.DUMMYFUNCTION("""COMPUTED_VALUE"""),"шт")</f>
        <v>шт</v>
      </c>
      <c r="F31" s="1" t="str">
        <f ca="1">IFERROR(__xludf.DUMMYFUNCTION("""COMPUTED_VALUE"""),"AST00000614")</f>
        <v>AST00000614</v>
      </c>
      <c r="G31" s="1">
        <f ca="1">IFERROR(__xludf.DUMMYFUNCTION("""COMPUTED_VALUE"""),7640162323154)</f>
        <v>7640162323154</v>
      </c>
      <c r="H31" s="1" t="str">
        <f ca="1">IFERROR(__xludf.DUMMYFUNCTION("""COMPUTED_VALUE"""),"L")</f>
        <v>L</v>
      </c>
    </row>
    <row r="32" spans="1:8" x14ac:dyDescent="0.2">
      <c r="A32" s="1">
        <f ca="1">IFERROR(__xludf.DUMMYFUNCTION("""COMPUTED_VALUE"""),7640162323161)</f>
        <v>7640162323161</v>
      </c>
      <c r="B32" s="1" t="str">
        <f ca="1">IFERROR(__xludf.DUMMYFUNCTION("""COMPUTED_VALUE"""),"МПНТО №100 19х72mm ТКАНЕВ")</f>
        <v>МПНТО №100 19х72mm ТКАНЕВ</v>
      </c>
      <c r="C32" s="1" t="str">
        <f ca="1">IFERROR(__xludf.DUMMYFUNCTION("""COMPUTED_VALUE"""),"МЕДИЦИНСКИЙ ПЛАСТЫРЬ НА ТКАНЕВОЙ ОСНОВЕ (19mm х 72mm) №100")</f>
        <v>МЕДИЦИНСКИЙ ПЛАСТЫРЬ НА ТКАНЕВОЙ ОСНОВЕ (19mm х 72mm) №100</v>
      </c>
      <c r="D32" s="1" t="str">
        <f ca="1">IFERROR(__xludf.DUMMYFUNCTION("""COMPUTED_VALUE"""),"МЕДИЦИНСКИЙ ПЛАСТЫРЬ НА ТКАНЕВОЙ ОСНОВЕ «ТМ Dr.Frei» №100 (19mm х 72mm) /ш/к 7640162323161")</f>
        <v>МЕДИЦИНСКИЙ ПЛАСТЫРЬ НА ТКАНЕВОЙ ОСНОВЕ «ТМ Dr.Frei» №100 (19mm х 72mm) /ш/к 7640162323161</v>
      </c>
      <c r="E32" s="1" t="str">
        <f ca="1">IFERROR(__xludf.DUMMYFUNCTION("""COMPUTED_VALUE"""),"шт")</f>
        <v>шт</v>
      </c>
      <c r="F32" s="1" t="str">
        <f ca="1">IFERROR(__xludf.DUMMYFUNCTION("""COMPUTED_VALUE"""),"AST00000615")</f>
        <v>AST00000615</v>
      </c>
      <c r="G32" s="1">
        <f ca="1">IFERROR(__xludf.DUMMYFUNCTION("""COMPUTED_VALUE"""),7640162323161)</f>
        <v>7640162323161</v>
      </c>
      <c r="H32" s="1" t="str">
        <f ca="1">IFERROR(__xludf.DUMMYFUNCTION("""COMPUTED_VALUE"""),"M")</f>
        <v>M</v>
      </c>
    </row>
    <row r="33" spans="1:8" x14ac:dyDescent="0.2">
      <c r="A33" s="1">
        <f ca="1">IFERROR(__xludf.DUMMYFUNCTION("""COMPUTED_VALUE"""),7640162323192)</f>
        <v>7640162323192</v>
      </c>
      <c r="B33" s="1" t="str">
        <f ca="1">IFERROR(__xludf.DUMMYFUNCTION("""COMPUTED_VALUE"""),"МХБПВР 5m x 1,25cm ТКАНЕВ")</f>
        <v>МХБПВР 5m x 1,25cm ТКАНЕВ</v>
      </c>
      <c r="C33" s="1" t="str">
        <f ca="1">IFERROR(__xludf.DUMMYFUNCTION("""COMPUTED_VALUE"""),"МЕДИЦИНСКИЙ ХЛОПЧАТОБУМАЖНЫЙ ПЛАСТЫРЬ В РУЛОНЕ (5m x 1,25cm)")</f>
        <v>МЕДИЦИНСКИЙ ХЛОПЧАТОБУМАЖНЫЙ ПЛАСТЫРЬ В РУЛОНЕ (5m x 1,25cm)</v>
      </c>
      <c r="D33" s="1" t="str">
        <f ca="1">IFERROR(__xludf.DUMMYFUNCTION("""COMPUTED_VALUE"""),"МЕДИЦИНСКИЙ ХЛОПЧАТОБУМАЖНЫЙ ПЛАСТЫРЬ В РУЛОНЕ ТМ Dr.Frei (5m x 1,25cm) / ш/к 7640162323192")</f>
        <v>МЕДИЦИНСКИЙ ХЛОПЧАТОБУМАЖНЫЙ ПЛАСТЫРЬ В РУЛОНЕ ТМ Dr.Frei (5m x 1,25cm) / ш/к 7640162323192</v>
      </c>
      <c r="E33" s="1" t="str">
        <f ca="1">IFERROR(__xludf.DUMMYFUNCTION("""COMPUTED_VALUE"""),"шт")</f>
        <v>шт</v>
      </c>
      <c r="F33" s="1" t="str">
        <f ca="1">IFERROR(__xludf.DUMMYFUNCTION("""COMPUTED_VALUE"""),"AST00000622")</f>
        <v>AST00000622</v>
      </c>
      <c r="G33" s="1">
        <f ca="1">IFERROR(__xludf.DUMMYFUNCTION("""COMPUTED_VALUE"""),7640162323192)</f>
        <v>7640162323192</v>
      </c>
      <c r="H33" s="1" t="str">
        <f ca="1">IFERROR(__xludf.DUMMYFUNCTION("""COMPUTED_VALUE"""),"S")</f>
        <v>S</v>
      </c>
    </row>
    <row r="34" spans="1:8" x14ac:dyDescent="0.2">
      <c r="A34" s="1">
        <f ca="1">IFERROR(__xludf.DUMMYFUNCTION("""COMPUTED_VALUE"""),7640162323208)</f>
        <v>7640162323208</v>
      </c>
      <c r="B34" s="1" t="str">
        <f ca="1">IFERROR(__xludf.DUMMYFUNCTION("""COMPUTED_VALUE"""),"МХБПВР 5m x 2,5cm ТКАНЕВЫ")</f>
        <v>МХБПВР 5m x 2,5cm ТКАНЕВЫ</v>
      </c>
      <c r="C34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D34" s="1" t="str">
        <f ca="1">IFERROR(__xludf.DUMMYFUNCTION("""COMPUTED_VALUE"""),"МЕДИЦИНСКИЙ ХЛОПЧАТОБУМАЖНЫЙ ПЛАСТЫРЬ В РУЛОНЕ ТМ Dr.Frei (5m x 2,5cm) / ш/к 7640162323208")</f>
        <v>МЕДИЦИНСКИЙ ХЛОПЧАТОБУМАЖНЫЙ ПЛАСТЫРЬ В РУЛОНЕ ТМ Dr.Frei (5m x 2,5cm) / ш/к 7640162323208</v>
      </c>
      <c r="E34" s="1" t="str">
        <f ca="1">IFERROR(__xludf.DUMMYFUNCTION("""COMPUTED_VALUE"""),"шт")</f>
        <v>шт</v>
      </c>
      <c r="F34" s="1" t="str">
        <f ca="1">IFERROR(__xludf.DUMMYFUNCTION("""COMPUTED_VALUE"""),"AST00000623")</f>
        <v>AST00000623</v>
      </c>
      <c r="G34" s="1">
        <f ca="1">IFERROR(__xludf.DUMMYFUNCTION("""COMPUTED_VALUE"""),7640162323208)</f>
        <v>7640162323208</v>
      </c>
      <c r="H34" s="1" t="str">
        <f ca="1">IFERROR(__xludf.DUMMYFUNCTION("""COMPUTED_VALUE"""),"XL")</f>
        <v>XL</v>
      </c>
    </row>
    <row r="35" spans="1:8" x14ac:dyDescent="0.2">
      <c r="A35" s="1">
        <f ca="1">IFERROR(__xludf.DUMMYFUNCTION("""COMPUTED_VALUE"""),7640162323130)</f>
        <v>7640162323130</v>
      </c>
      <c r="B35" s="1" t="str">
        <f ca="1">IFERROR(__xludf.DUMMYFUNCTION("""COMPUTED_VALUE"""),"ПДД №20")</f>
        <v>ПДД №20</v>
      </c>
      <c r="C35" s="1" t="str">
        <f ca="1">IFERROR(__xludf.DUMMYFUNCTION("""COMPUTED_VALUE"""),"ПЛАСТЫРИ ДЛЯ ДЕТЕЙ (19mm х 72mm) №20")</f>
        <v>ПЛАСТЫРИ ДЛЯ ДЕТЕЙ (19mm х 72mm) №20</v>
      </c>
      <c r="D35" s="1" t="str">
        <f ca="1">IFERROR(__xludf.DUMMYFUNCTION("""COMPUTED_VALUE"""),"ПЛАСТЫРИ ДЛЯ ДЕТЕЙ «ТМ Dr.Frei» №20 /ш/к 7640162323130")</f>
        <v>ПЛАСТЫРИ ДЛЯ ДЕТЕЙ «ТМ Dr.Frei» №20 /ш/к 7640162323130</v>
      </c>
      <c r="E35" s="1" t="str">
        <f ca="1">IFERROR(__xludf.DUMMYFUNCTION("""COMPUTED_VALUE"""),"шт")</f>
        <v>шт</v>
      </c>
      <c r="F35" s="1" t="str">
        <f ca="1">IFERROR(__xludf.DUMMYFUNCTION("""COMPUTED_VALUE"""),"AST00000620")</f>
        <v>AST00000620</v>
      </c>
      <c r="G35" s="1">
        <f ca="1">IFERROR(__xludf.DUMMYFUNCTION("""COMPUTED_VALUE"""),7640162323130)</f>
        <v>7640162323130</v>
      </c>
      <c r="H35" s="1" t="str">
        <f ca="1">IFERROR(__xludf.DUMMYFUNCTION("""COMPUTED_VALUE"""),"XXL")</f>
        <v>XXL</v>
      </c>
    </row>
    <row r="36" spans="1:8" x14ac:dyDescent="0.2">
      <c r="A36" s="1" t="str">
        <f ca="1">IFERROR(__xludf.DUMMYFUNCTION("""COMPUTED_VALUE"""),"Hometest")</f>
        <v>Hometest</v>
      </c>
      <c r="B36" s="1"/>
      <c r="C36" s="1"/>
      <c r="D36" s="1"/>
      <c r="E36" s="1"/>
      <c r="F36" s="1"/>
      <c r="G36" s="1"/>
      <c r="H36" s="1" t="str">
        <f ca="1">IFERROR(__xludf.DUMMYFUNCTION("""COMPUTED_VALUE"""),"XXXL")</f>
        <v>XXXL</v>
      </c>
    </row>
    <row r="37" spans="1:8" x14ac:dyDescent="0.2">
      <c r="A37" s="1">
        <f ca="1">IFERROR(__xludf.DUMMYFUNCTION("""COMPUTED_VALUE"""),6941298300042)</f>
        <v>6941298300042</v>
      </c>
      <c r="B37" s="1" t="str">
        <f ca="1">IFERROR(__xludf.DUMMYFUNCTION("""COMPUTED_VALUE"""),"HCG110/3№1")</f>
        <v>HCG110/3№1</v>
      </c>
      <c r="C37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D37" s="1" t="str">
        <f ca="1">IFERROR(__xludf.DUMMYFUNCTION("""COMPUTED_VALUE"""),"Экспресс-тест (полоска) на беременность 3мм. №1 ш/к 6941298300042")</f>
        <v>Экспресс-тест (полоска) на беременность 3мм. №1 ш/к 6941298300042</v>
      </c>
      <c r="E37" s="1" t="str">
        <f ca="1">IFERROR(__xludf.DUMMYFUNCTION("""COMPUTED_VALUE"""),"упак.")</f>
        <v>упак.</v>
      </c>
      <c r="F37" s="1" t="str">
        <f ca="1">IFERROR(__xludf.DUMMYFUNCTION("""COMPUTED_VALUE"""),"ТСН00003")</f>
        <v>ТСН00003</v>
      </c>
      <c r="G37" s="1">
        <f ca="1">IFERROR(__xludf.DUMMYFUNCTION("""COMPUTED_VALUE"""),6941298300042)</f>
        <v>6941298300042</v>
      </c>
      <c r="H37" s="1" t="str">
        <f ca="1">IFERROR(__xludf.DUMMYFUNCTION("""COMPUTED_VALUE"""),"XXXXL")</f>
        <v>XXXXL</v>
      </c>
    </row>
    <row r="38" spans="1:8" x14ac:dyDescent="0.2">
      <c r="A38" s="1">
        <f ca="1">IFERROR(__xludf.DUMMYFUNCTION("""COMPUTED_VALUE"""),6941298300059)</f>
        <v>6941298300059</v>
      </c>
      <c r="B38" s="1" t="str">
        <f ca="1">IFERROR(__xludf.DUMMYFUNCTION("""COMPUTED_VALUE"""),"HCG110/3№2")</f>
        <v>HCG110/3№2</v>
      </c>
      <c r="C38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D38" s="1" t="str">
        <f ca="1">IFERROR(__xludf.DUMMYFUNCTION("""COMPUTED_VALUE"""),"Экспресс-тест (полоска) на беременность 3мм. №2 ш/к 6941298300059")</f>
        <v>Экспресс-тест (полоска) на беременность 3мм. №2 ш/к 6941298300059</v>
      </c>
      <c r="E38" s="1" t="str">
        <f ca="1">IFERROR(__xludf.DUMMYFUNCTION("""COMPUTED_VALUE"""),"упак.")</f>
        <v>упак.</v>
      </c>
      <c r="F38" s="1" t="str">
        <f ca="1">IFERROR(__xludf.DUMMYFUNCTION("""COMPUTED_VALUE"""),"ТСН00004")</f>
        <v>ТСН00004</v>
      </c>
      <c r="G38" s="1">
        <f ca="1">IFERROR(__xludf.DUMMYFUNCTION("""COMPUTED_VALUE"""),6941298300059)</f>
        <v>6941298300059</v>
      </c>
      <c r="H38" s="1" t="str">
        <f ca="1">IFERROR(__xludf.DUMMYFUNCTION("""COMPUTED_VALUE"""),"L")</f>
        <v>L</v>
      </c>
    </row>
    <row r="39" spans="1:8" x14ac:dyDescent="0.2">
      <c r="A39" s="1">
        <f ca="1">IFERROR(__xludf.DUMMYFUNCTION("""COMPUTED_VALUE"""),6941298300035)</f>
        <v>6941298300035</v>
      </c>
      <c r="B39" s="1" t="str">
        <f ca="1">IFERROR(__xludf.DUMMYFUNCTION("""COMPUTED_VALUE"""),"HCG112")</f>
        <v>HCG112</v>
      </c>
      <c r="C39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D39" s="1" t="str">
        <f ca="1">IFERROR(__xludf.DUMMYFUNCTION("""COMPUTED_VALUE"""),"Экспресс-тест (струйный) на беременность ш/к 6941298300035")</f>
        <v>Экспресс-тест (струйный) на беременность ш/к 6941298300035</v>
      </c>
      <c r="E39" s="1" t="str">
        <f ca="1">IFERROR(__xludf.DUMMYFUNCTION("""COMPUTED_VALUE"""),"упак.")</f>
        <v>упак.</v>
      </c>
      <c r="F39" s="1" t="str">
        <f ca="1">IFERROR(__xludf.DUMMYFUNCTION("""COMPUTED_VALUE"""),"ТСН00007")</f>
        <v>ТСН00007</v>
      </c>
      <c r="G39" s="1">
        <f ca="1">IFERROR(__xludf.DUMMYFUNCTION("""COMPUTED_VALUE"""),6941298300035)</f>
        <v>6941298300035</v>
      </c>
      <c r="H39" s="1" t="str">
        <f ca="1">IFERROR(__xludf.DUMMYFUNCTION("""COMPUTED_VALUE"""),"M")</f>
        <v>M</v>
      </c>
    </row>
    <row r="40" spans="1:8" x14ac:dyDescent="0.2">
      <c r="A40" s="1">
        <f ca="1">IFERROR(__xludf.DUMMYFUNCTION("""COMPUTED_VALUE"""),77173)</f>
        <v>77173</v>
      </c>
      <c r="B40" s="1" t="str">
        <f ca="1">IFERROR(__xludf.DUMMYFUNCTION("""COMPUTED_VALUE"""),"HomeTest№1 Акция")</f>
        <v>HomeTest№1 Акция</v>
      </c>
      <c r="C40" s="1" t="str">
        <f ca="1">IFERROR(__xludf.DUMMYFUNCTION("""COMPUTED_VALUE"""),"HomeTest №1 Акция по 1тг")</f>
        <v>HomeTest №1 Акция по 1тг</v>
      </c>
      <c r="D40" s="1" t="str">
        <f ca="1">IFERROR(__xludf.DUMMYFUNCTION("""COMPUTED_VALUE"""),"Экспресс-тест HomeTest (полоска) для ранней диагностики беременности 3мм №1 ш/к 6941298300042 Акция по 1тг")</f>
        <v>Экспресс-тест HomeTest (полоска) для ранней диагностики беременности 3мм №1 ш/к 6941298300042 Акция по 1тг</v>
      </c>
      <c r="E40" s="1" t="str">
        <f ca="1">IFERROR(__xludf.DUMMYFUNCTION("""COMPUTED_VALUE"""),"упак.")</f>
        <v>упак.</v>
      </c>
      <c r="F40" s="1" t="str">
        <f ca="1">IFERROR(__xludf.DUMMYFUNCTION("""COMPUTED_VALUE"""),"AST00000388")</f>
        <v>AST00000388</v>
      </c>
      <c r="G40" s="1">
        <f ca="1">IFERROR(__xludf.DUMMYFUNCTION("""COMPUTED_VALUE"""),77173)</f>
        <v>77173</v>
      </c>
      <c r="H40" s="1" t="str">
        <f ca="1">IFERROR(__xludf.DUMMYFUNCTION("""COMPUTED_VALUE"""),"S")</f>
        <v>S</v>
      </c>
    </row>
    <row r="41" spans="1:8" x14ac:dyDescent="0.2">
      <c r="A41" s="1">
        <f ca="1">IFERROR(__xludf.DUMMYFUNCTION("""COMPUTED_VALUE"""),6941298300028)</f>
        <v>6941298300028</v>
      </c>
      <c r="B41" s="1" t="str">
        <f ca="1">IFERROR(__xludf.DUMMYFUNCTION("""COMPUTED_VALUE"""),"LH130/№5+1")</f>
        <v>LH130/№5+1</v>
      </c>
      <c r="C41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D41" s="1" t="str">
        <f ca="1">IFERROR(__xludf.DUMMYFUNCTION("""COMPUTED_VALUE"""),"Экспресс-тест (полоска) на овуляцию №5+1 ш/к 6941298300028")</f>
        <v>Экспресс-тест (полоска) на овуляцию №5+1 ш/к 6941298300028</v>
      </c>
      <c r="E41" s="1" t="str">
        <f ca="1">IFERROR(__xludf.DUMMYFUNCTION("""COMPUTED_VALUE"""),"упак.")</f>
        <v>упак.</v>
      </c>
      <c r="F41" s="1" t="str">
        <f ca="1">IFERROR(__xludf.DUMMYFUNCTION("""COMPUTED_VALUE"""),"ТСН00005")</f>
        <v>ТСН00005</v>
      </c>
      <c r="G41" s="1">
        <f ca="1">IFERROR(__xludf.DUMMYFUNCTION("""COMPUTED_VALUE"""),6941298300028)</f>
        <v>6941298300028</v>
      </c>
      <c r="H41" s="1" t="str">
        <f ca="1">IFERROR(__xludf.DUMMYFUNCTION("""COMPUTED_VALUE"""),"XL")</f>
        <v>XL</v>
      </c>
    </row>
    <row r="42" spans="1:8" x14ac:dyDescent="0.2">
      <c r="A42" s="1" t="str">
        <f ca="1">IFERROR(__xludf.DUMMYFUNCTION("""COMPUTED_VALUE"""),"MedPlast")</f>
        <v>MedPlast</v>
      </c>
      <c r="B42" s="1"/>
      <c r="C42" s="1"/>
      <c r="D42" s="1"/>
      <c r="E42" s="1"/>
      <c r="F42" s="1"/>
      <c r="G42" s="1"/>
      <c r="H42" s="1" t="str">
        <f ca="1">IFERROR(__xludf.DUMMYFUNCTION("""COMPUTED_VALUE"""),"XXL")</f>
        <v>XXL</v>
      </c>
    </row>
    <row r="43" spans="1:8" x14ac:dyDescent="0.2">
      <c r="A43" s="1">
        <f ca="1">IFERROR(__xludf.DUMMYFUNCTION("""COMPUTED_VALUE"""),8699207910216)</f>
        <v>8699207910216</v>
      </c>
      <c r="B43" s="1" t="str">
        <f ca="1">IFERROR(__xludf.DUMMYFUNCTION("""COMPUTED_VALUE"""),"MedPlast_10мл")</f>
        <v>MedPlast_10мл</v>
      </c>
      <c r="C43" s="1" t="str">
        <f ca="1">IFERROR(__xludf.DUMMYFUNCTION("""COMPUTED_VALUE"""),"Шприц 10мл 3-компонентный MP MedPlast")</f>
        <v>Шприц 10мл 3-компонентный MP MedPlast</v>
      </c>
      <c r="D43" s="1" t="str">
        <f ca="1">IFERROR(__xludf.DUMMYFUNCTION("""COMPUTED_VALUE"""),"Шприц инъекционный "" МР MedPlast"", трехкомпонентные, стерильные, однократного применения, вместимостью 10 мл с иглами 0,8*38 мм ш/к 8699207910216")</f>
        <v>Шприц инъекционный " МР MedPlast", трехкомпонентные, стерильные, однократного применения, вместимостью 10 мл с иглами 0,8*38 мм ш/к 8699207910216</v>
      </c>
      <c r="E43" s="1" t="str">
        <f ca="1">IFERROR(__xludf.DUMMYFUNCTION("""COMPUTED_VALUE"""),"100 штук")</f>
        <v>100 штук</v>
      </c>
      <c r="F43" s="1" t="str">
        <f ca="1">IFERROR(__xludf.DUMMYFUNCTION("""COMPUTED_VALUE"""),"MPL00003")</f>
        <v>MPL00003</v>
      </c>
      <c r="G43" s="1">
        <f ca="1">IFERROR(__xludf.DUMMYFUNCTION("""COMPUTED_VALUE"""),8699207910216)</f>
        <v>8699207910216</v>
      </c>
      <c r="H43" s="1" t="str">
        <f ca="1">IFERROR(__xludf.DUMMYFUNCTION("""COMPUTED_VALUE"""),"XXXL")</f>
        <v>XXXL</v>
      </c>
    </row>
    <row r="44" spans="1:8" x14ac:dyDescent="0.2">
      <c r="A44" s="1">
        <f ca="1">IFERROR(__xludf.DUMMYFUNCTION("""COMPUTED_VALUE"""),8699207920215)</f>
        <v>8699207920215</v>
      </c>
      <c r="B44" s="1" t="str">
        <f ca="1">IFERROR(__xludf.DUMMYFUNCTION("""COMPUTED_VALUE"""),"MedPlast_20мл")</f>
        <v>MedPlast_20мл</v>
      </c>
      <c r="C44" s="1" t="str">
        <f ca="1">IFERROR(__xludf.DUMMYFUNCTION("""COMPUTED_VALUE"""),"Шприц 20мл 3-компонентный MP MedPlast")</f>
        <v>Шприц 20мл 3-компонентный MP MedPlast</v>
      </c>
      <c r="D44" s="1" t="str">
        <f ca="1">IFERROR(__xludf.DUMMYFUNCTION("""COMPUTED_VALUE"""),"Шприц инъекционный "" МР MedPlast"", трехкомпонентные, стерильные, однократного применения, вместимостью 20 мл с иглами 0,8*38 мм ш/к 8699207920215")</f>
        <v>Шприц инъекционный " МР MedPlast", трехкомпонентные, стерильные, однократного применения, вместимостью 20 мл с иглами 0,8*38 мм ш/к 8699207920215</v>
      </c>
      <c r="E44" s="1" t="str">
        <f ca="1">IFERROR(__xludf.DUMMYFUNCTION("""COMPUTED_VALUE"""),"100 штук")</f>
        <v>100 штук</v>
      </c>
      <c r="F44" s="1" t="str">
        <f ca="1">IFERROR(__xludf.DUMMYFUNCTION("""COMPUTED_VALUE"""),"MPL00004")</f>
        <v>MPL00004</v>
      </c>
      <c r="G44" s="1">
        <f ca="1">IFERROR(__xludf.DUMMYFUNCTION("""COMPUTED_VALUE"""),8699207920215)</f>
        <v>8699207920215</v>
      </c>
      <c r="H44" s="1" t="str">
        <f ca="1">IFERROR(__xludf.DUMMYFUNCTION("""COMPUTED_VALUE"""),"XXXXL")</f>
        <v>XXXXL</v>
      </c>
    </row>
    <row r="45" spans="1:8" x14ac:dyDescent="0.2">
      <c r="A45" s="1">
        <f ca="1">IFERROR(__xludf.DUMMYFUNCTION("""COMPUTED_VALUE"""),8699207902228)</f>
        <v>8699207902228</v>
      </c>
      <c r="B45" s="1" t="str">
        <f ca="1">IFERROR(__xludf.DUMMYFUNCTION("""COMPUTED_VALUE"""),"MedPlast_2мл")</f>
        <v>MedPlast_2мл</v>
      </c>
      <c r="C45" s="1" t="str">
        <f ca="1">IFERROR(__xludf.DUMMYFUNCTION("""COMPUTED_VALUE"""),"Шприц 2мл 3-компонентный MP MedPlast")</f>
        <v>Шприц 2мл 3-компонентный MP MedPlast</v>
      </c>
      <c r="D45" s="1" t="str">
        <f ca="1">IFERROR(__xludf.DUMMYFUNCTION("""COMPUTED_VALUE"""),"Шприц инъекционный "" МР MedPlast"", трехкомпонентные, стерильные, однократного применения, вместимостью 2 мл с иглами 0,8*38 мм ш/к 8699207902228")</f>
        <v>Шприц инъекционный " МР MedPlast", трехкомпонентные, стерильные, однократного применения, вместимостью 2 мл с иглами 0,8*38 мм ш/к 8699207902228</v>
      </c>
      <c r="E45" s="1" t="str">
        <f ca="1">IFERROR(__xludf.DUMMYFUNCTION("""COMPUTED_VALUE"""),"100 штук")</f>
        <v>100 штук</v>
      </c>
      <c r="F45" s="1" t="str">
        <f ca="1">IFERROR(__xludf.DUMMYFUNCTION("""COMPUTED_VALUE"""),"MPL00002")</f>
        <v>MPL00002</v>
      </c>
      <c r="G45" s="1">
        <f ca="1">IFERROR(__xludf.DUMMYFUNCTION("""COMPUTED_VALUE"""),8699207902228)</f>
        <v>8699207902228</v>
      </c>
      <c r="H45" s="1" t="str">
        <f ca="1">IFERROR(__xludf.DUMMYFUNCTION("""COMPUTED_VALUE"""),"L")</f>
        <v>L</v>
      </c>
    </row>
    <row r="46" spans="1:8" x14ac:dyDescent="0.2">
      <c r="A46" s="1">
        <f ca="1">IFERROR(__xludf.DUMMYFUNCTION("""COMPUTED_VALUE"""),8699207905441)</f>
        <v>8699207905441</v>
      </c>
      <c r="B46" s="1" t="str">
        <f ca="1">IFERROR(__xludf.DUMMYFUNCTION("""COMPUTED_VALUE"""),"MedPlast_5мл")</f>
        <v>MedPlast_5мл</v>
      </c>
      <c r="C46" s="1" t="str">
        <f ca="1">IFERROR(__xludf.DUMMYFUNCTION("""COMPUTED_VALUE"""),"Шприц 5мл 3-компонентный MP MedPlast")</f>
        <v>Шприц 5мл 3-компонентный MP MedPlast</v>
      </c>
      <c r="D46" s="1" t="str">
        <f ca="1">IFERROR(__xludf.DUMMYFUNCTION("""COMPUTED_VALUE"""),"Шприц инъекционный "" МР MedPlast"", трехкомпонентные, стерильные, однократного применения, вместимостью 5 мл с иглами 0,8*38 мм ш/к 8699207905441")</f>
        <v>Шприц инъекционный " МР MedPlast", трехкомпонентные, стерильные, однократного применения, вместимостью 5 мл с иглами 0,8*38 мм ш/к 8699207905441</v>
      </c>
      <c r="E46" s="1" t="str">
        <f ca="1">IFERROR(__xludf.DUMMYFUNCTION("""COMPUTED_VALUE"""),"100 штук")</f>
        <v>100 штук</v>
      </c>
      <c r="F46" s="1" t="str">
        <f ca="1">IFERROR(__xludf.DUMMYFUNCTION("""COMPUTED_VALUE"""),"BD000002")</f>
        <v>BD000002</v>
      </c>
      <c r="G46" s="1">
        <f ca="1">IFERROR(__xludf.DUMMYFUNCTION("""COMPUTED_VALUE"""),8699207905441)</f>
        <v>8699207905441</v>
      </c>
      <c r="H46" s="1" t="str">
        <f ca="1">IFERROR(__xludf.DUMMYFUNCTION("""COMPUTED_VALUE"""),"M")</f>
        <v>M</v>
      </c>
    </row>
    <row r="47" spans="1:8" x14ac:dyDescent="0.2">
      <c r="A47" s="1" t="str">
        <f ca="1">IFERROR(__xludf.DUMMYFUNCTION("""COMPUTED_VALUE"""),"Microlife KZ")</f>
        <v>Microlife KZ</v>
      </c>
      <c r="B47" s="1"/>
      <c r="C47" s="1"/>
      <c r="D47" s="1"/>
      <c r="E47" s="1"/>
      <c r="F47" s="1"/>
      <c r="G47" s="1"/>
      <c r="H47" s="1" t="str">
        <f ca="1">IFERROR(__xludf.DUMMYFUNCTION("""COMPUTED_VALUE"""),"XL")</f>
        <v>XL</v>
      </c>
    </row>
    <row r="48" spans="1:8" x14ac:dyDescent="0.2">
      <c r="A48" s="1">
        <f ca="1">IFERROR(__xludf.DUMMYFUNCTION("""COMPUTED_VALUE"""),77390)</f>
        <v>77390</v>
      </c>
      <c r="B48" s="1">
        <f ca="1">IFERROR(__xludf.DUMMYFUNCTION("""COMPUTED_VALUE"""),1238)</f>
        <v>1238</v>
      </c>
      <c r="C48" s="1" t="str">
        <f ca="1">IFERROR(__xludf.DUMMYFUNCTION("""COMPUTED_VALUE"""),"Переходник большой 1238")</f>
        <v>Переходник большой 1238</v>
      </c>
      <c r="D48" s="1" t="str">
        <f ca="1">IFERROR(__xludf.DUMMYFUNCTION("""COMPUTED_VALUE"""),"Переходник большой 1238")</f>
        <v>Переходник большой 1238</v>
      </c>
      <c r="E48" s="1" t="str">
        <f ca="1">IFERROR(__xludf.DUMMYFUNCTION("""COMPUTED_VALUE"""),"шт")</f>
        <v>шт</v>
      </c>
      <c r="F48" s="1">
        <f ca="1">IFERROR(__xludf.DUMMYFUNCTION("""COMPUTED_VALUE"""),77000001027)</f>
        <v>77000001027</v>
      </c>
      <c r="G48" s="1">
        <f ca="1">IFERROR(__xludf.DUMMYFUNCTION("""COMPUTED_VALUE"""),77390)</f>
        <v>77390</v>
      </c>
      <c r="H48" s="1" t="str">
        <f ca="1">IFERROR(__xludf.DUMMYFUNCTION("""COMPUTED_VALUE"""),"L")</f>
        <v>L</v>
      </c>
    </row>
    <row r="49" spans="1:8" x14ac:dyDescent="0.2">
      <c r="A49" s="1">
        <f ca="1">IFERROR(__xludf.DUMMYFUNCTION("""COMPUTED_VALUE"""),4719003310196)</f>
        <v>4719003310196</v>
      </c>
      <c r="B49" s="1" t="str">
        <f ca="1">IFERROR(__xludf.DUMMYFUNCTION("""COMPUTED_VALUE"""),"A100")</f>
        <v>A100</v>
      </c>
      <c r="C49" s="1" t="str">
        <f ca="1">IFERROR(__xludf.DUMMYFUNCTION("""COMPUTED_VALUE"""),"Тонометр Microlife BP A 100")</f>
        <v>Тонометр Microlife BP A 100</v>
      </c>
      <c r="D49" s="1" t="str">
        <f ca="1">IFERROR(__xludf.DUMMYFUNCTION("""COMPUTED_VALUE"""),"Прибор Microlife ВР A 100 для измерения артериального давления и частоты пульса, автоматический ш/к  4 719 003 310 196")</f>
        <v>Прибор Microlife ВР A 100 для измерения артериального давления и частоты пульса, автоматический ш/к  4 719 003 310 196</v>
      </c>
      <c r="E49" s="1" t="str">
        <f ca="1">IFERROR(__xludf.DUMMYFUNCTION("""COMPUTED_VALUE"""),"шт")</f>
        <v>шт</v>
      </c>
      <c r="F49" s="1" t="str">
        <f ca="1">IFERROR(__xludf.DUMMYFUNCTION("""COMPUTED_VALUE"""),"ТА000024")</f>
        <v>ТА000024</v>
      </c>
      <c r="G49" s="1">
        <f ca="1">IFERROR(__xludf.DUMMYFUNCTION("""COMPUTED_VALUE"""),4719003310196)</f>
        <v>4719003310196</v>
      </c>
      <c r="H49" s="1" t="str">
        <f ca="1">IFERROR(__xludf.DUMMYFUNCTION("""COMPUTED_VALUE"""),"M")</f>
        <v>M</v>
      </c>
    </row>
    <row r="50" spans="1:8" x14ac:dyDescent="0.2">
      <c r="A50" s="1">
        <f ca="1">IFERROR(__xludf.DUMMYFUNCTION("""COMPUTED_VALUE"""),4719003312701)</f>
        <v>4719003312701</v>
      </c>
      <c r="B50" s="1" t="str">
        <f ca="1">IFERROR(__xludf.DUMMYFUNCTION("""COMPUTED_VALUE"""),"A100plus")</f>
        <v>A100plus</v>
      </c>
      <c r="C50" s="1" t="str">
        <f ca="1">IFERROR(__xludf.DUMMYFUNCTION("""COMPUTED_VALUE"""),"Тонометр Microlife BP A 100 plus")</f>
        <v>Тонометр Microlife BP A 100 plus</v>
      </c>
      <c r="D50" s="1" t="str">
        <f ca="1">IFERROR(__xludf.DUMMYFUNCTION("""COMPUTED_VALUE"""),"Прибор Microlife ВР A 100 plus для измерения артериального давления и частоты пульса, автоматический ш/к  4 719 003 312 701")</f>
        <v>Прибор Microlife ВР A 100 plus для измерения артериального давления и частоты пульса, автоматический ш/к  4 719 003 312 701</v>
      </c>
      <c r="E50" s="1" t="str">
        <f ca="1">IFERROR(__xludf.DUMMYFUNCTION("""COMPUTED_VALUE"""),"шт")</f>
        <v>шт</v>
      </c>
      <c r="F50" s="1" t="str">
        <f ca="1">IFERROR(__xludf.DUMMYFUNCTION("""COMPUTED_VALUE"""),"ТА000025")</f>
        <v>ТА000025</v>
      </c>
      <c r="G50" s="1">
        <f ca="1">IFERROR(__xludf.DUMMYFUNCTION("""COMPUTED_VALUE"""),4719003312701)</f>
        <v>4719003312701</v>
      </c>
      <c r="H50" s="1" t="str">
        <f ca="1">IFERROR(__xludf.DUMMYFUNCTION("""COMPUTED_VALUE"""),"S")</f>
        <v>S</v>
      </c>
    </row>
    <row r="51" spans="1:8" x14ac:dyDescent="0.2">
      <c r="A51" s="1">
        <f ca="1">IFERROR(__xludf.DUMMYFUNCTION("""COMPUTED_VALUE"""),4719003310189)</f>
        <v>4719003310189</v>
      </c>
      <c r="B51" s="1" t="str">
        <f ca="1">IFERROR(__xludf.DUMMYFUNCTION("""COMPUTED_VALUE"""),"A50")</f>
        <v>A50</v>
      </c>
      <c r="C51" s="1" t="str">
        <f ca="1">IFERROR(__xludf.DUMMYFUNCTION("""COMPUTED_VALUE"""),"Тонометр Microlife BP A 50")</f>
        <v>Тонометр Microlife BP A 50</v>
      </c>
      <c r="D51" s="1" t="str">
        <f ca="1">IFERROR(__xludf.DUMMYFUNCTION("""COMPUTED_VALUE"""),"Прибор Microlife ВР A 50 для измерения артериального давления и частоты пульса, полуавтоматический ш/к  4 719 003 310 189")</f>
        <v>Прибор Microlife ВР A 50 для измерения артериального давления и частоты пульса, полуавтоматический ш/к  4 719 003 310 189</v>
      </c>
      <c r="E51" s="1" t="str">
        <f ca="1">IFERROR(__xludf.DUMMYFUNCTION("""COMPUTED_VALUE"""),"шт")</f>
        <v>шт</v>
      </c>
      <c r="F51" s="1" t="str">
        <f ca="1">IFERROR(__xludf.DUMMYFUNCTION("""COMPUTED_VALUE"""),"ТП000015")</f>
        <v>ТП000015</v>
      </c>
      <c r="G51" s="1">
        <f ca="1">IFERROR(__xludf.DUMMYFUNCTION("""COMPUTED_VALUE"""),4719003310189)</f>
        <v>4719003310189</v>
      </c>
      <c r="H51" s="1" t="str">
        <f ca="1">IFERROR(__xludf.DUMMYFUNCTION("""COMPUTED_VALUE"""),"XL")</f>
        <v>XL</v>
      </c>
    </row>
    <row r="52" spans="1:8" x14ac:dyDescent="0.2">
      <c r="A52" s="1">
        <f ca="1">IFERROR(__xludf.DUMMYFUNCTION("""COMPUTED_VALUE"""),4719003310080)</f>
        <v>4719003310080</v>
      </c>
      <c r="B52" s="1" t="str">
        <f ca="1">IFERROR(__xludf.DUMMYFUNCTION("""COMPUTED_VALUE"""),"A80")</f>
        <v>A80</v>
      </c>
      <c r="C52" s="1" t="str">
        <f ca="1">IFERROR(__xludf.DUMMYFUNCTION("""COMPUTED_VALUE"""),"Тонометр Microlife BP A 80")</f>
        <v>Тонометр Microlife BP A 80</v>
      </c>
      <c r="D52" s="1" t="str">
        <f ca="1">IFERROR(__xludf.DUMMYFUNCTION("""COMPUTED_VALUE"""),"Измеритель артериального давления Microlife ВР A 80 полуавтоматический ш/к  4 719 003 310 080")</f>
        <v>Измеритель артериального давления Microlife ВР A 80 полуавтоматический ш/к  4 719 003 310 080</v>
      </c>
      <c r="E52" s="1" t="str">
        <f ca="1">IFERROR(__xludf.DUMMYFUNCTION("""COMPUTED_VALUE"""),"шт")</f>
        <v>шт</v>
      </c>
      <c r="F52" s="1" t="str">
        <f ca="1">IFERROR(__xludf.DUMMYFUNCTION("""COMPUTED_VALUE"""),"ТП000014")</f>
        <v>ТП000014</v>
      </c>
      <c r="G52" s="1">
        <f ca="1">IFERROR(__xludf.DUMMYFUNCTION("""COMPUTED_VALUE"""),4719003310080)</f>
        <v>4719003310080</v>
      </c>
      <c r="H52" s="1" t="str">
        <f ca="1">IFERROR(__xludf.DUMMYFUNCTION("""COMPUTED_VALUE"""),"L\XL")</f>
        <v>L\XL</v>
      </c>
    </row>
    <row r="53" spans="1:8" x14ac:dyDescent="0.2">
      <c r="A53" s="1">
        <f ca="1">IFERROR(__xludf.DUMMYFUNCTION("""COMPUTED_VALUE"""),4719003934040)</f>
        <v>4719003934040</v>
      </c>
      <c r="B53" s="1" t="str">
        <f ca="1">IFERROR(__xludf.DUMMYFUNCTION("""COMPUTED_VALUE"""),"AD-1024c")</f>
        <v>AD-1024c</v>
      </c>
      <c r="C53" s="1" t="str">
        <f ca="1">IFERROR(__xludf.DUMMYFUNCTION("""COMPUTED_VALUE"""),"Адаптер AD-1024c")</f>
        <v>Адаптер AD-1024c</v>
      </c>
      <c r="D53" s="1" t="str">
        <f ca="1">IFERROR(__xludf.DUMMYFUNCTION("""COMPUTED_VALUE"""),"Адаптер AD-1024c/Блок питания (адаптер) AD-1024c ш/к  4 719 003 934040")</f>
        <v>Адаптер AD-1024c/Блок питания (адаптер) AD-1024c ш/к  4 719 003 934040</v>
      </c>
      <c r="E53" s="1" t="str">
        <f ca="1">IFERROR(__xludf.DUMMYFUNCTION("""COMPUTED_VALUE"""),"шт")</f>
        <v>шт</v>
      </c>
      <c r="F53" s="1" t="str">
        <f ca="1">IFERROR(__xludf.DUMMYFUNCTION("""COMPUTED_VALUE"""),"КО000035")</f>
        <v>КО000035</v>
      </c>
      <c r="G53" s="1">
        <f ca="1">IFERROR(__xludf.DUMMYFUNCTION("""COMPUTED_VALUE"""),4719003934040)</f>
        <v>4719003934040</v>
      </c>
      <c r="H53" s="1" t="str">
        <f ca="1">IFERROR(__xludf.DUMMYFUNCTION("""COMPUTED_VALUE"""),"S\M")</f>
        <v>S\M</v>
      </c>
    </row>
    <row r="54" spans="1:8" x14ac:dyDescent="0.2">
      <c r="A54" s="1">
        <f ca="1">IFERROR(__xludf.DUMMYFUNCTION("""COMPUTED_VALUE"""),4719003310219)</f>
        <v>4719003310219</v>
      </c>
      <c r="B54" s="1" t="str">
        <f ca="1">IFERROR(__xludf.DUMMYFUNCTION("""COMPUTED_VALUE"""),"AG1")</f>
        <v>AG1</v>
      </c>
      <c r="C54" s="1" t="str">
        <f ca="1">IFERROR(__xludf.DUMMYFUNCTION("""COMPUTED_VALUE"""),"Тонометр Microlife BP 3 AG1")</f>
        <v>Тонометр Microlife BP 3 AG1</v>
      </c>
      <c r="D54" s="1" t="str">
        <f ca="1">IFERROR(__xludf.DUMMYFUNCTION("""COMPUTED_VALUE"""),"Прибор Microlife, модель BP 3AG1  для измерения артериального давления и частоты пульса, автоматический ш/к  4 719 003 310 219")</f>
        <v>Прибор Microlife, модель BP 3AG1  для измерения артериального давления и частоты пульса, автоматический ш/к  4 719 003 310 219</v>
      </c>
      <c r="E54" s="1" t="str">
        <f ca="1">IFERROR(__xludf.DUMMYFUNCTION("""COMPUTED_VALUE"""),"шт")</f>
        <v>шт</v>
      </c>
      <c r="F54" s="1" t="str">
        <f ca="1">IFERROR(__xludf.DUMMYFUNCTION("""COMPUTED_VALUE"""),"ТА000021")</f>
        <v>ТА000021</v>
      </c>
      <c r="G54" s="1">
        <f ca="1">IFERROR(__xludf.DUMMYFUNCTION("""COMPUTED_VALUE"""),4719003310219)</f>
        <v>4719003310219</v>
      </c>
      <c r="H54" s="1" t="str">
        <f ca="1">IFERROR(__xludf.DUMMYFUNCTION("""COMPUTED_VALUE"""),"XXL")</f>
        <v>XXL</v>
      </c>
    </row>
    <row r="55" spans="1:8" x14ac:dyDescent="0.2">
      <c r="A55" s="1">
        <f ca="1">IFERROR(__xludf.DUMMYFUNCTION("""COMPUTED_VALUE"""),4719003340018)</f>
        <v>4719003340018</v>
      </c>
      <c r="B55" s="1" t="str">
        <f ca="1">IFERROR(__xludf.DUMMYFUNCTION("""COMPUTED_VALUE"""),"AG1-20")</f>
        <v>AG1-20</v>
      </c>
      <c r="C55" s="1" t="str">
        <f ca="1">IFERROR(__xludf.DUMMYFUNCTION("""COMPUTED_VALUE"""),"Тонометр Microlife BP AG 1-20")</f>
        <v>Тонометр Microlife BP AG 1-20</v>
      </c>
      <c r="D55" s="1" t="str">
        <f ca="1">IFERROR(__xludf.DUMMYFUNCTION("""COMPUTED_VALUE"""),"Прибор Microlife ВР AG 1-20 для измерения артериального давления  механический ш/к  4 719 003 340 018 (Сертификат № 11425 об утверждении типа СИ)")</f>
        <v>Прибор Microlife ВР AG 1-20 для измерения артериального давления  механический ш/к  4 719 003 340 018 (Сертификат № 11425 об утверждении типа СИ)</v>
      </c>
      <c r="E55" s="1" t="str">
        <f ca="1">IFERROR(__xludf.DUMMYFUNCTION("""COMPUTED_VALUE"""),"шт")</f>
        <v>шт</v>
      </c>
      <c r="F55" s="1" t="str">
        <f ca="1">IFERROR(__xludf.DUMMYFUNCTION("""COMPUTED_VALUE"""),"ТМ000022")</f>
        <v>ТМ000022</v>
      </c>
      <c r="G55" s="1">
        <f ca="1">IFERROR(__xludf.DUMMYFUNCTION("""COMPUTED_VALUE"""),4719003340018)</f>
        <v>4719003340018</v>
      </c>
      <c r="H55" s="1" t="str">
        <f ca="1">IFERROR(__xludf.DUMMYFUNCTION("""COMPUTED_VALUE"""),"L")</f>
        <v>L</v>
      </c>
    </row>
    <row r="56" spans="1:8" x14ac:dyDescent="0.2">
      <c r="A56" s="1">
        <f ca="1">IFERROR(__xludf.DUMMYFUNCTION("""COMPUTED_VALUE"""),4719003340216)</f>
        <v>4719003340216</v>
      </c>
      <c r="B56" s="1" t="str">
        <f ca="1">IFERROR(__xludf.DUMMYFUNCTION("""COMPUTED_VALUE"""),"AG1-30")</f>
        <v>AG1-30</v>
      </c>
      <c r="C56" s="1" t="str">
        <f ca="1">IFERROR(__xludf.DUMMYFUNCTION("""COMPUTED_VALUE"""),"Тонометр Microlife BP AG 1-30")</f>
        <v>Тонометр Microlife BP AG 1-30</v>
      </c>
      <c r="D56" s="1" t="str">
        <f ca="1">IFERROR(__xludf.DUMMYFUNCTION("""COMPUTED_VALUE"""),"Прибор Microlife ВР AG 1-30 для измерения артериального давления механический ш/к  4 719 003 340 216 (Сертификат № 11425 об утверждении типа СИ)")</f>
        <v>Прибор Microlife ВР AG 1-30 для измерения артериального давления механический ш/к  4 719 003 340 216 (Сертификат № 11425 об утверждении типа СИ)</v>
      </c>
      <c r="E56" s="1" t="str">
        <f ca="1">IFERROR(__xludf.DUMMYFUNCTION("""COMPUTED_VALUE"""),"шт")</f>
        <v>шт</v>
      </c>
      <c r="F56" s="1" t="str">
        <f ca="1">IFERROR(__xludf.DUMMYFUNCTION("""COMPUTED_VALUE"""),"ТМ000023")</f>
        <v>ТМ000023</v>
      </c>
      <c r="G56" s="1">
        <f ca="1">IFERROR(__xludf.DUMMYFUNCTION("""COMPUTED_VALUE"""),4719003340216)</f>
        <v>4719003340216</v>
      </c>
      <c r="H56" s="1" t="str">
        <f ca="1">IFERROR(__xludf.DUMMYFUNCTION("""COMPUTED_VALUE"""),"M")</f>
        <v>M</v>
      </c>
    </row>
    <row r="57" spans="1:8" x14ac:dyDescent="0.2">
      <c r="A57" s="1">
        <f ca="1">IFERROR(__xludf.DUMMYFUNCTION("""COMPUTED_VALUE"""),4719003311940)</f>
        <v>4719003311940</v>
      </c>
      <c r="B57" s="1" t="str">
        <f ca="1">IFERROR(__xludf.DUMMYFUNCTION("""COMPUTED_VALUE"""),"AS1-2")</f>
        <v>AS1-2</v>
      </c>
      <c r="C57" s="1" t="str">
        <f ca="1">IFERROR(__xludf.DUMMYFUNCTION("""COMPUTED_VALUE"""),"Тонометр Microlife BP 3 AS 1-2")</f>
        <v>Тонометр Microlife BP 3 AS 1-2</v>
      </c>
      <c r="D57" s="1" t="str">
        <f ca="1">IFERROR(__xludf.DUMMYFUNCTION("""COMPUTED_VALUE"""),"Прибор Microlife ВР 3 АS 1-2 для измерения артериального давления и частоты пульса полуавтоматический ш/к  4 719 003 311 940")</f>
        <v>Прибор Microlife ВР 3 АS 1-2 для измерения артериального давления и частоты пульса полуавтоматический ш/к  4 719 003 311 940</v>
      </c>
      <c r="E57" s="1" t="str">
        <f ca="1">IFERROR(__xludf.DUMMYFUNCTION("""COMPUTED_VALUE"""),"шт")</f>
        <v>шт</v>
      </c>
      <c r="F57" s="1" t="str">
        <f ca="1">IFERROR(__xludf.DUMMYFUNCTION("""COMPUTED_VALUE"""),"ТП000012")</f>
        <v>ТП000012</v>
      </c>
      <c r="G57" s="1">
        <f ca="1">IFERROR(__xludf.DUMMYFUNCTION("""COMPUTED_VALUE"""),4719003311940)</f>
        <v>4719003311940</v>
      </c>
      <c r="H57" s="1" t="str">
        <f ca="1">IFERROR(__xludf.DUMMYFUNCTION("""COMPUTED_VALUE"""),"S")</f>
        <v>S</v>
      </c>
    </row>
    <row r="58" spans="1:8" x14ac:dyDescent="0.2">
      <c r="A58" s="1">
        <f ca="1">IFERROR(__xludf.DUMMYFUNCTION("""COMPUTED_VALUE"""),4719003330132)</f>
        <v>4719003330132</v>
      </c>
      <c r="B58" s="1" t="str">
        <f ca="1">IFERROR(__xludf.DUMMYFUNCTION("""COMPUTED_VALUE"""),"BEO-4")</f>
        <v>BEO-4</v>
      </c>
      <c r="C58" s="1" t="str">
        <f ca="1">IFERROR(__xludf.DUMMYFUNCTION("""COMPUTED_VALUE"""),"Тонометр Microlife BP 3 BEO-4")</f>
        <v>Тонометр Microlife BP 3 BEO-4</v>
      </c>
      <c r="D58" s="1" t="str">
        <f ca="1">IFERROR(__xludf.DUMMYFUNCTION("""COMPUTED_VALUE"""),"Прибор Microlife ВР 3 ВEО-4 для измерения аретириального давления и частоты пульса на запястье ш/к  4 719 003 330 132")</f>
        <v>Прибор Microlife ВР 3 ВEО-4 для измерения аретириального давления и частоты пульса на запястье ш/к  4 719 003 330 132</v>
      </c>
      <c r="E58" s="1" t="str">
        <f ca="1">IFERROR(__xludf.DUMMYFUNCTION("""COMPUTED_VALUE"""),"шт")</f>
        <v>шт</v>
      </c>
      <c r="F58" s="1" t="str">
        <f ca="1">IFERROR(__xludf.DUMMYFUNCTION("""COMPUTED_VALUE"""),"ТЗ000013")</f>
        <v>ТЗ000013</v>
      </c>
      <c r="G58" s="1">
        <f ca="1">IFERROR(__xludf.DUMMYFUNCTION("""COMPUTED_VALUE"""),4719003330132)</f>
        <v>4719003330132</v>
      </c>
      <c r="H58" s="1" t="str">
        <f ca="1">IFERROR(__xludf.DUMMYFUNCTION("""COMPUTED_VALUE"""),"XL")</f>
        <v>XL</v>
      </c>
    </row>
    <row r="59" spans="1:8" x14ac:dyDescent="0.2">
      <c r="A59" s="1">
        <f ca="1">IFERROR(__xludf.DUMMYFUNCTION("""COMPUTED_VALUE"""),4719003310615)</f>
        <v>4719003310615</v>
      </c>
      <c r="B59" s="1" t="str">
        <f ca="1">IFERROR(__xludf.DUMMYFUNCTION("""COMPUTED_VALUE"""),"BP A 6 PC")</f>
        <v>BP A 6 PC</v>
      </c>
      <c r="C59" s="1" t="str">
        <f ca="1">IFERROR(__xludf.DUMMYFUNCTION("""COMPUTED_VALUE"""),"BP A 6 PC Blood Pressure Monitor with blood-stroke/Прибор для измерения артдавле")</f>
        <v>BP A 6 PC Blood Pressure Monitor with blood-stroke/Прибор для измерения артдавле</v>
      </c>
      <c r="D59" s="1" t="str">
        <f ca="1">IFERROR(__xludf.DUMMYFUNCTION("""COMPUTED_VALUE"""),"BP A 6 PC Blood Pressure Monitor with blood-stroke/Прибор для измерения артдавления ш/к 4719003310615 (Сертификат № 9973 об утверждении типа СИ)")</f>
        <v>BP A 6 PC Blood Pressure Monitor with blood-stroke/Прибор для измерения артдавления ш/к 4719003310615 (Сертификат № 9973 об утверждении типа СИ)</v>
      </c>
      <c r="E59" s="1" t="str">
        <f ca="1">IFERROR(__xludf.DUMMYFUNCTION("""COMPUTED_VALUE"""),"шт")</f>
        <v>шт</v>
      </c>
      <c r="F59" s="1">
        <f ca="1">IFERROR(__xludf.DUMMYFUNCTION("""COMPUTED_VALUE"""),77000000353)</f>
        <v>77000000353</v>
      </c>
      <c r="G59" s="1">
        <f ca="1">IFERROR(__xludf.DUMMYFUNCTION("""COMPUTED_VALUE"""),4719003310615)</f>
        <v>4719003310615</v>
      </c>
      <c r="H59" s="1" t="str">
        <f ca="1">IFERROR(__xludf.DUMMYFUNCTION("""COMPUTED_VALUE"""),"L")</f>
        <v>L</v>
      </c>
    </row>
    <row r="60" spans="1:8" x14ac:dyDescent="0.2">
      <c r="A60" s="1">
        <f ca="1">IFERROR(__xludf.DUMMYFUNCTION("""COMPUTED_VALUE"""),77176)</f>
        <v>77176</v>
      </c>
      <c r="B60" s="1" t="str">
        <f ca="1">IFERROR(__xludf.DUMMYFUNCTION("""COMPUTED_VALUE"""),"BP A 6 PC+МТ1951")</f>
        <v>BP A 6 PC+МТ1951</v>
      </c>
      <c r="C60" s="1" t="str">
        <f ca="1">IFERROR(__xludf.DUMMYFUNCTION("""COMPUTED_VALUE"""),"BP A 6 PC + Microlife МТ1951")</f>
        <v>BP A 6 PC + Microlife МТ1951</v>
      </c>
      <c r="D60" s="1" t="str">
        <f ca="1">IFERROR(__xludf.DUMMYFUNCTION("""COMPUTED_VALUE"""),"BP A 6 PC Blood Pressure Monitor with blood-stroke/Прибор для измерения артдавления ш/к 4719003310615+Thermometer MT1951/Термометр МТ1951 ш/к 4719003130046")</f>
        <v>BP A 6 PC Blood Pressure Monitor with blood-stroke/Прибор для измерения артдавления ш/к 4719003310615+Thermometer MT1951/Термометр МТ1951 ш/к 4719003130046</v>
      </c>
      <c r="E60" s="1" t="str">
        <f ca="1">IFERROR(__xludf.DUMMYFUNCTION("""COMPUTED_VALUE"""),"шт")</f>
        <v>шт</v>
      </c>
      <c r="F60" s="1">
        <f ca="1">IFERROR(__xludf.DUMMYFUNCTION("""COMPUTED_VALUE"""),77000000812)</f>
        <v>77000000812</v>
      </c>
      <c r="G60" s="1">
        <f ca="1">IFERROR(__xludf.DUMMYFUNCTION("""COMPUTED_VALUE"""),77176)</f>
        <v>77176</v>
      </c>
      <c r="H60" s="1" t="str">
        <f ca="1">IFERROR(__xludf.DUMMYFUNCTION("""COMPUTED_VALUE"""),"M")</f>
        <v>M</v>
      </c>
    </row>
    <row r="61" spans="1:8" x14ac:dyDescent="0.2">
      <c r="A61" s="1">
        <f ca="1">IFERROR(__xludf.DUMMYFUNCTION("""COMPUTED_VALUE"""),4719003310653)</f>
        <v>4719003310653</v>
      </c>
      <c r="B61" s="1" t="str">
        <f ca="1">IFERROR(__xludf.DUMMYFUNCTION("""COMPUTED_VALUE"""),"BP A1 Basic")</f>
        <v>BP A1 Basic</v>
      </c>
      <c r="C61" s="1" t="str">
        <f ca="1">IFERROR(__xludf.DUMMYFUNCTION("""COMPUTED_VALUE"""),"Тонометр BP A1 Basic")</f>
        <v>Тонометр BP A1 Basic</v>
      </c>
      <c r="D61" s="1" t="str">
        <f ca="1">IFERROR(__xludf.DUMMYFUNCTION("""COMPUTED_VALUE"""),"BP A1 Basic Blood Pressure Monitor/Прибор для измерения артериального давления: BP A1 Basic ш/к 4719003310653 (Сертификат № 9973 об утверждении типа СИ)")</f>
        <v>BP A1 Basic Blood Pressure Monitor/Прибор для измерения артериального давления: BP A1 Basic ш/к 4719003310653 (Сертификат № 9973 об утверждении типа СИ)</v>
      </c>
      <c r="E61" s="1" t="str">
        <f ca="1">IFERROR(__xludf.DUMMYFUNCTION("""COMPUTED_VALUE"""),"шт")</f>
        <v>шт</v>
      </c>
      <c r="F61" s="1">
        <f ca="1">IFERROR(__xludf.DUMMYFUNCTION("""COMPUTED_VALUE"""),77000000567)</f>
        <v>77000000567</v>
      </c>
      <c r="G61" s="1">
        <f ca="1">IFERROR(__xludf.DUMMYFUNCTION("""COMPUTED_VALUE"""),4719003310653)</f>
        <v>4719003310653</v>
      </c>
      <c r="H61" s="1" t="str">
        <f ca="1">IFERROR(__xludf.DUMMYFUNCTION("""COMPUTED_VALUE"""),"S")</f>
        <v>S</v>
      </c>
    </row>
    <row r="62" spans="1:8" x14ac:dyDescent="0.2">
      <c r="A62" s="1">
        <f ca="1">IFERROR(__xludf.DUMMYFUNCTION("""COMPUTED_VALUE"""),4719003310639)</f>
        <v>4719003310639</v>
      </c>
      <c r="B62" s="1" t="str">
        <f ca="1">IFERROR(__xludf.DUMMYFUNCTION("""COMPUTED_VALUE"""),"BP A2 Basic")</f>
        <v>BP A2 Basic</v>
      </c>
      <c r="C62" s="1" t="str">
        <f ca="1">IFERROR(__xludf.DUMMYFUNCTION("""COMPUTED_VALUE"""),"Тонометр BP A2 Basic")</f>
        <v>Тонометр BP A2 Basic</v>
      </c>
      <c r="D62" s="1" t="str">
        <f ca="1">IFERROR(__xludf.DUMMYFUNCTION("""COMPUTED_VALUE"""),"BP A2 Basic Blood Pressure Monitor/Прибор для измерения артериального давления: BP A2 Basic (Сертификат № 9973 об утверждении типа СИ) ш/к 4719003310639")</f>
        <v>BP A2 Basic Blood Pressure Monitor/Прибор для измерения артериального давления: BP A2 Basic (Сертификат № 9973 об утверждении типа СИ) ш/к 4719003310639</v>
      </c>
      <c r="E62" s="1" t="str">
        <f ca="1">IFERROR(__xludf.DUMMYFUNCTION("""COMPUTED_VALUE"""),"шт")</f>
        <v>шт</v>
      </c>
      <c r="F62" s="1">
        <f ca="1">IFERROR(__xludf.DUMMYFUNCTION("""COMPUTED_VALUE"""),77000000568)</f>
        <v>77000000568</v>
      </c>
      <c r="G62" s="1">
        <f ca="1">IFERROR(__xludf.DUMMYFUNCTION("""COMPUTED_VALUE"""),4719003310639)</f>
        <v>4719003310639</v>
      </c>
      <c r="H62" s="1" t="str">
        <f ca="1">IFERROR(__xludf.DUMMYFUNCTION("""COMPUTED_VALUE"""),"XL")</f>
        <v>XL</v>
      </c>
    </row>
    <row r="63" spans="1:8" x14ac:dyDescent="0.2">
      <c r="A63" s="1">
        <f ca="1">IFERROR(__xludf.DUMMYFUNCTION("""COMPUTED_VALUE"""),77109)</f>
        <v>77109</v>
      </c>
      <c r="B63" s="1" t="str">
        <f ca="1">IFERROR(__xludf.DUMMYFUNCTION("""COMPUTED_VALUE"""),"BP A3L 50%")</f>
        <v>BP A3L 50%</v>
      </c>
      <c r="C63" s="1" t="str">
        <f ca="1">IFERROR(__xludf.DUMMYFUNCTION("""COMPUTED_VALUE"""),"НА КАЖДУЮ ВТОРУЮ МОДЕЛЬ ТОНОМЕТРА BP A3L Basic -50%")</f>
        <v>НА КАЖДУЮ ВТОРУЮ МОДЕЛЬ ТОНОМЕТРА BP A3L Basic -50%</v>
      </c>
      <c r="D63" s="1" t="str">
        <f ca="1">IFERROR(__xludf.DUMMYFUNCTION("""COMPUTED_VALUE"""),"BP A3L Basic Blood Pressure Monitor/Прибор для измерения артериального давления: BP A3L Basic -50%")</f>
        <v>BP A3L Basic Blood Pressure Monitor/Прибор для измерения артериального давления: BP A3L Basic -50%</v>
      </c>
      <c r="E63" s="1" t="str">
        <f ca="1">IFERROR(__xludf.DUMMYFUNCTION("""COMPUTED_VALUE"""),"шт")</f>
        <v>шт</v>
      </c>
      <c r="F63" s="1" t="str">
        <f ca="1">IFERROR(__xludf.DUMMYFUNCTION("""COMPUTED_VALUE"""),"AST00000331")</f>
        <v>AST00000331</v>
      </c>
      <c r="G63" s="1">
        <f ca="1">IFERROR(__xludf.DUMMYFUNCTION("""COMPUTED_VALUE"""),77109)</f>
        <v>77109</v>
      </c>
      <c r="H63" s="1" t="str">
        <f ca="1">IFERROR(__xludf.DUMMYFUNCTION("""COMPUTED_VALUE"""),"L/XL")</f>
        <v>L/XL</v>
      </c>
    </row>
    <row r="64" spans="1:8" x14ac:dyDescent="0.2">
      <c r="A64" s="1">
        <f ca="1">IFERROR(__xludf.DUMMYFUNCTION("""COMPUTED_VALUE"""),4719003313050)</f>
        <v>4719003313050</v>
      </c>
      <c r="B64" s="1" t="str">
        <f ca="1">IFERROR(__xludf.DUMMYFUNCTION("""COMPUTED_VALUE"""),"BP A3L Basic")</f>
        <v>BP A3L Basic</v>
      </c>
      <c r="C64" s="1" t="str">
        <f ca="1">IFERROR(__xludf.DUMMYFUNCTION("""COMPUTED_VALUE"""),"Тонометр BP A3L Basic")</f>
        <v>Тонометр BP A3L Basic</v>
      </c>
      <c r="D64" s="1" t="str">
        <f ca="1">IFERROR(__xludf.DUMMYFUNCTION("""COMPUTED_VALUE"""),"BP A3L Basic Blood Pressure Monitor/Прибор для измерения артериального давления: BP A3L Basic ш/к 4719003313050 (Сертификат № 9973 об утверждении типа СИ)")</f>
        <v>BP A3L Basic Blood Pressure Monitor/Прибор для измерения артериального давления: BP A3L Basic ш/к 4719003313050 (Сертификат № 9973 об утверждении типа СИ)</v>
      </c>
      <c r="E64" s="1" t="str">
        <f ca="1">IFERROR(__xludf.DUMMYFUNCTION("""COMPUTED_VALUE"""),"шт")</f>
        <v>шт</v>
      </c>
      <c r="F64" s="1">
        <f ca="1">IFERROR(__xludf.DUMMYFUNCTION("""COMPUTED_VALUE"""),77000000569)</f>
        <v>77000000569</v>
      </c>
      <c r="G64" s="1">
        <f ca="1">IFERROR(__xludf.DUMMYFUNCTION("""COMPUTED_VALUE"""),4719003313050)</f>
        <v>4719003313050</v>
      </c>
      <c r="H64" s="1" t="str">
        <f ca="1">IFERROR(__xludf.DUMMYFUNCTION("""COMPUTED_VALUE"""),"S/M")</f>
        <v>S/M</v>
      </c>
    </row>
    <row r="65" spans="1:8" x14ac:dyDescent="0.2">
      <c r="A65" s="1">
        <f ca="1">IFERROR(__xludf.DUMMYFUNCTION("""COMPUTED_VALUE"""),4719003310851)</f>
        <v>4719003310851</v>
      </c>
      <c r="B65" s="1" t="str">
        <f ca="1">IFERROR(__xludf.DUMMYFUNCTION("""COMPUTED_VALUE"""),"BP N1 BASIC")</f>
        <v>BP N1 BASIC</v>
      </c>
      <c r="C65" s="1" t="str">
        <f ca="1">IFERROR(__xludf.DUMMYFUNCTION("""COMPUTED_VALUE"""),"Тонометр BP N1 BASIC")</f>
        <v>Тонометр BP N1 BASIC</v>
      </c>
      <c r="D65" s="1" t="str">
        <f ca="1">IFERROR(__xludf.DUMMYFUNCTION("""COMPUTED_VALUE"""),"BP N1 BASIC Blood Pressure Monitor/Прибор для измерения артериального давления и частоты пульса: BP N1 BASIC ш/к 4719003310851 (Сертификат № 9973 об утверждении типа СИ)")</f>
        <v>BP N1 BASIC Blood Pressure Monitor/Прибор для измерения артериального давления и частоты пульса: BP N1 BASIC ш/к 4719003310851 (Сертификат № 9973 об утверждении типа СИ)</v>
      </c>
      <c r="E65" s="1" t="str">
        <f ca="1">IFERROR(__xludf.DUMMYFUNCTION("""COMPUTED_VALUE"""),"шт")</f>
        <v>шт</v>
      </c>
      <c r="F65" s="1">
        <f ca="1">IFERROR(__xludf.DUMMYFUNCTION("""COMPUTED_VALUE"""),77000000565)</f>
        <v>77000000565</v>
      </c>
      <c r="G65" s="1">
        <f ca="1">IFERROR(__xludf.DUMMYFUNCTION("""COMPUTED_VALUE"""),4719003310851)</f>
        <v>4719003310851</v>
      </c>
      <c r="H65" s="1" t="str">
        <f ca="1">IFERROR(__xludf.DUMMYFUNCTION("""COMPUTED_VALUE"""),"L\XL")</f>
        <v>L\XL</v>
      </c>
    </row>
    <row r="66" spans="1:8" x14ac:dyDescent="0.2">
      <c r="A66" s="1">
        <f ca="1">IFERROR(__xludf.DUMMYFUNCTION("""COMPUTED_VALUE"""),4719003310844)</f>
        <v>4719003310844</v>
      </c>
      <c r="B66" s="1" t="str">
        <f ca="1">IFERROR(__xludf.DUMMYFUNCTION("""COMPUTED_VALUE"""),"BP N2 Plus")</f>
        <v>BP N2 Plus</v>
      </c>
      <c r="C66" s="1" t="str">
        <f ca="1">IFERROR(__xludf.DUMMYFUNCTION("""COMPUTED_VALUE"""),"Тонометр BP N2 Plus")</f>
        <v>Тонометр BP N2 Plus</v>
      </c>
      <c r="D66" s="1" t="str">
        <f ca="1">IFERROR(__xludf.DUMMYFUNCTION("""COMPUTED_VALUE"""),"BP N2 Plus Blood Pressure Monitor/Прибор для измерения аретриального давления и частоты пульса: BP N2 Plus ш/к 4719003310844 (Сертификат № 9973 об утверждении типа СИ)")</f>
        <v>BP N2 Plus Blood Pressure Monitor/Прибор для измерения аретриального давления и частоты пульса: BP N2 Plus ш/к 4719003310844 (Сертификат № 9973 об утверждении типа СИ)</v>
      </c>
      <c r="E66" s="1" t="str">
        <f ca="1">IFERROR(__xludf.DUMMYFUNCTION("""COMPUTED_VALUE"""),"шт")</f>
        <v>шт</v>
      </c>
      <c r="F66" s="1">
        <f ca="1">IFERROR(__xludf.DUMMYFUNCTION("""COMPUTED_VALUE"""),77000000566)</f>
        <v>77000000566</v>
      </c>
      <c r="G66" s="1">
        <f ca="1">IFERROR(__xludf.DUMMYFUNCTION("""COMPUTED_VALUE"""),4719003310844)</f>
        <v>4719003310844</v>
      </c>
      <c r="H66" s="1" t="str">
        <f ca="1">IFERROR(__xludf.DUMMYFUNCTION("""COMPUTED_VALUE"""),"S\M")</f>
        <v>S\M</v>
      </c>
    </row>
    <row r="67" spans="1:8" x14ac:dyDescent="0.2">
      <c r="A67" s="1">
        <f ca="1">IFERROR(__xludf.DUMMYFUNCTION("""COMPUTED_VALUE"""),4719003330040)</f>
        <v>4719003330040</v>
      </c>
      <c r="B67" s="1" t="str">
        <f ca="1">IFERROR(__xludf.DUMMYFUNCTION("""COMPUTED_VALUE"""),"BPW100")</f>
        <v>BPW100</v>
      </c>
      <c r="C67" s="1" t="str">
        <f ca="1">IFERROR(__xludf.DUMMYFUNCTION("""COMPUTED_VALUE"""),"Тонометр Microlife BP W 100")</f>
        <v>Тонометр Microlife BP W 100</v>
      </c>
      <c r="D67" s="1" t="str">
        <f ca="1">IFERROR(__xludf.DUMMYFUNCTION("""COMPUTED_VALUE"""),"Измеритель артриального давления Microlife ВР W 100 на запястье автоматический ш/к  4 719 003 330 040")</f>
        <v>Измеритель артриального давления Microlife ВР W 100 на запястье автоматический ш/к  4 719 003 330 040</v>
      </c>
      <c r="E67" s="1" t="str">
        <f ca="1">IFERROR(__xludf.DUMMYFUNCTION("""COMPUTED_VALUE"""),"шт")</f>
        <v>шт</v>
      </c>
      <c r="F67" s="1" t="str">
        <f ca="1">IFERROR(__xludf.DUMMYFUNCTION("""COMPUTED_VALUE"""),"ТЗ000016")</f>
        <v>ТЗ000016</v>
      </c>
      <c r="G67" s="1">
        <f ca="1">IFERROR(__xludf.DUMMYFUNCTION("""COMPUTED_VALUE"""),4719003330040)</f>
        <v>4719003330040</v>
      </c>
      <c r="H67" s="1" t="str">
        <f ca="1">IFERROR(__xludf.DUMMYFUNCTION("""COMPUTED_VALUE"""),"L")</f>
        <v>L</v>
      </c>
    </row>
    <row r="68" spans="1:8" x14ac:dyDescent="0.2">
      <c r="A68" s="1">
        <f ca="1">IFERROR(__xludf.DUMMYFUNCTION("""COMPUTED_VALUE"""),4719003580049)</f>
        <v>4719003580049</v>
      </c>
      <c r="B68" s="1" t="str">
        <f ca="1">IFERROR(__xludf.DUMMYFUNCTION("""COMPUTED_VALUE"""),"FH80")</f>
        <v>FH80</v>
      </c>
      <c r="C68" s="1" t="str">
        <f ca="1">IFERROR(__xludf.DUMMYFUNCTION("""COMPUTED_VALUE"""),"FH 80")</f>
        <v>FH 80</v>
      </c>
      <c r="D68" s="1" t="str">
        <f ca="1">IFERROR(__xludf.DUMMYFUNCTION("""COMPUTED_VALUE"""),"FH 80  Heating Pad/ Электрогрелка FH 80 ш/к 4719003580049")</f>
        <v>FH 80  Heating Pad/ Электрогрелка FH 80 ш/к 4719003580049</v>
      </c>
      <c r="E68" s="1" t="str">
        <f ca="1">IFERROR(__xludf.DUMMYFUNCTION("""COMPUTED_VALUE"""),"шт")</f>
        <v>шт</v>
      </c>
      <c r="F68" s="1" t="str">
        <f ca="1">IFERROR(__xludf.DUMMYFUNCTION("""COMPUTED_VALUE"""),"ЭГ000010")</f>
        <v>ЭГ000010</v>
      </c>
      <c r="G68" s="1">
        <f ca="1">IFERROR(__xludf.DUMMYFUNCTION("""COMPUTED_VALUE"""),4719003580049)</f>
        <v>4719003580049</v>
      </c>
      <c r="H68" s="1" t="str">
        <f ca="1">IFERROR(__xludf.DUMMYFUNCTION("""COMPUTED_VALUE"""),"M")</f>
        <v>M</v>
      </c>
    </row>
    <row r="69" spans="1:8" x14ac:dyDescent="0.2">
      <c r="A69" s="1">
        <f ca="1">IFERROR(__xludf.DUMMYFUNCTION("""COMPUTED_VALUE"""),77256)</f>
        <v>77256</v>
      </c>
      <c r="B69" s="1" t="str">
        <f ca="1">IFERROR(__xludf.DUMMYFUNCTION("""COMPUTED_VALUE"""),"FH80 new")</f>
        <v>FH80 new</v>
      </c>
      <c r="C69" s="1" t="str">
        <f ca="1">IFERROR(__xludf.DUMMYFUNCTION("""COMPUTED_VALUE"""),"FH 80 new")</f>
        <v>FH 80 new</v>
      </c>
      <c r="D69" s="1" t="str">
        <f ca="1">IFERROR(__xludf.DUMMYFUNCTION("""COMPUTED_VALUE"""),"FH 80  Heating Pad/ Электрогрелка FH 80")</f>
        <v>FH 80  Heating Pad/ Электрогрелка FH 80</v>
      </c>
      <c r="E69" s="1" t="str">
        <f ca="1">IFERROR(__xludf.DUMMYFUNCTION("""COMPUTED_VALUE"""),"шт")</f>
        <v>шт</v>
      </c>
      <c r="F69" s="1" t="str">
        <f ca="1">IFERROR(__xludf.DUMMYFUNCTION("""COMPUTED_VALUE"""),"AST00000535")</f>
        <v>AST00000535</v>
      </c>
      <c r="G69" s="1">
        <f ca="1">IFERROR(__xludf.DUMMYFUNCTION("""COMPUTED_VALUE"""),77256)</f>
        <v>77256</v>
      </c>
      <c r="H69" s="1" t="str">
        <f ca="1">IFERROR(__xludf.DUMMYFUNCTION("""COMPUTED_VALUE"""),"S")</f>
        <v>S</v>
      </c>
    </row>
    <row r="70" spans="1:8" x14ac:dyDescent="0.2">
      <c r="A70" s="1">
        <f ca="1">IFERROR(__xludf.DUMMYFUNCTION("""COMPUTED_VALUE"""),4719003621087)</f>
        <v>4719003621087</v>
      </c>
      <c r="B70" s="1" t="str">
        <f ca="1">IFERROR(__xludf.DUMMYFUNCTION("""COMPUTED_VALUE"""),"NEB10")</f>
        <v>NEB10</v>
      </c>
      <c r="C70" s="1" t="str">
        <f ca="1">IFERROR(__xludf.DUMMYFUNCTION("""COMPUTED_VALUE"""),"Небулайзер Microlife NEB - 10А")</f>
        <v>Небулайзер Microlife NEB - 10А</v>
      </c>
      <c r="D70" s="1" t="str">
        <f ca="1">IFERROR(__xludf.DUMMYFUNCTION("""COMPUTED_VALUE"""),"Compressor Nebulizer NEB 10A/Компрессорный небулайзер Microlife NEB 10А УКТЗЕД9019200000 ш/к 4719003621087")</f>
        <v>Compressor Nebulizer NEB 10A/Компрессорный небулайзер Microlife NEB 10А УКТЗЕД9019200000 ш/к 4719003621087</v>
      </c>
      <c r="E70" s="1" t="str">
        <f ca="1">IFERROR(__xludf.DUMMYFUNCTION("""COMPUTED_VALUE"""),"шт")</f>
        <v>шт</v>
      </c>
      <c r="F70" s="1" t="str">
        <f ca="1">IFERROR(__xludf.DUMMYFUNCTION("""COMPUTED_VALUE"""),"ИН000006")</f>
        <v>ИН000006</v>
      </c>
      <c r="G70" s="1">
        <f ca="1">IFERROR(__xludf.DUMMYFUNCTION("""COMPUTED_VALUE"""),4719003621087)</f>
        <v>4719003621087</v>
      </c>
      <c r="H70" s="1" t="str">
        <f ca="1">IFERROR(__xludf.DUMMYFUNCTION("""COMPUTED_VALUE"""),"XL")</f>
        <v>XL</v>
      </c>
    </row>
    <row r="71" spans="1:8" x14ac:dyDescent="0.2">
      <c r="A71" s="1">
        <f ca="1">IFERROR(__xludf.DUMMYFUNCTION("""COMPUTED_VALUE"""),4719003621056)</f>
        <v>4719003621056</v>
      </c>
      <c r="B71" s="1" t="str">
        <f ca="1">IFERROR(__xludf.DUMMYFUNCTION("""COMPUTED_VALUE"""),"NEB100")</f>
        <v>NEB100</v>
      </c>
      <c r="C71" s="1" t="str">
        <f ca="1">IFERROR(__xludf.DUMMYFUNCTION("""COMPUTED_VALUE"""),"Небулайзер Microlife NEB - 100В")</f>
        <v>Небулайзер Microlife NEB - 100В</v>
      </c>
      <c r="D71" s="1" t="str">
        <f ca="1">IFERROR(__xludf.DUMMYFUNCTION("""COMPUTED_VALUE"""),"Compressor Nebulizer NEB 100B/Компрессорный небулайзер Microlife NEB100В УКТЗЕД9019200000 ш/к 4719003621056")</f>
        <v>Compressor Nebulizer NEB 100B/Компрессорный небулайзер Microlife NEB100В УКТЗЕД9019200000 ш/к 4719003621056</v>
      </c>
      <c r="E71" s="1" t="str">
        <f ca="1">IFERROR(__xludf.DUMMYFUNCTION("""COMPUTED_VALUE"""),"шт")</f>
        <v>шт</v>
      </c>
      <c r="F71" s="1" t="str">
        <f ca="1">IFERROR(__xludf.DUMMYFUNCTION("""COMPUTED_VALUE"""),"ИН000007")</f>
        <v>ИН000007</v>
      </c>
      <c r="G71" s="1">
        <f ca="1">IFERROR(__xludf.DUMMYFUNCTION("""COMPUTED_VALUE"""),4719003621056)</f>
        <v>4719003621056</v>
      </c>
      <c r="H71" s="1" t="str">
        <f ca="1">IFERROR(__xludf.DUMMYFUNCTION("""COMPUTED_VALUE"""),"I")</f>
        <v>I</v>
      </c>
    </row>
    <row r="72" spans="1:8" x14ac:dyDescent="0.2">
      <c r="A72" s="1">
        <f ca="1">IFERROR(__xludf.DUMMYFUNCTION("""COMPUTED_VALUE"""),4719003937041)</f>
        <v>4719003937041</v>
      </c>
      <c r="B72" s="1" t="str">
        <f ca="1">IFERROR(__xludf.DUMMYFUNCTION("""COMPUTED_VALUE"""),"ST77")</f>
        <v>ST77</v>
      </c>
      <c r="C72" s="1" t="str">
        <f ca="1">IFERROR(__xludf.DUMMYFUNCTION("""COMPUTED_VALUE"""),"Стетоскоп Microlife ST-77")</f>
        <v>Стетоскоп Microlife ST-77</v>
      </c>
      <c r="D72" s="1" t="str">
        <f ca="1">IFERROR(__xludf.DUMMYFUNCTION("""COMPUTED_VALUE"""),"Стетоскоп Microlife ST-77 Раппорта УКТЗЕД9018901000 ш/к 4719003937041")</f>
        <v>Стетоскоп Microlife ST-77 Раппорта УКТЗЕД9018901000 ш/к 4719003937041</v>
      </c>
      <c r="E72" s="1" t="str">
        <f ca="1">IFERROR(__xludf.DUMMYFUNCTION("""COMPUTED_VALUE"""),"шт")</f>
        <v>шт</v>
      </c>
      <c r="F72" s="1" t="str">
        <f ca="1">IFERROR(__xludf.DUMMYFUNCTION("""COMPUTED_VALUE"""),"ТМ000028")</f>
        <v>ТМ000028</v>
      </c>
      <c r="G72" s="1">
        <f ca="1">IFERROR(__xludf.DUMMYFUNCTION("""COMPUTED_VALUE"""),4719003937041)</f>
        <v>4719003937041</v>
      </c>
      <c r="H72" s="1" t="str">
        <f ca="1">IFERROR(__xludf.DUMMYFUNCTION("""COMPUTED_VALUE"""),"II")</f>
        <v>II</v>
      </c>
    </row>
    <row r="73" spans="1:8" x14ac:dyDescent="0.2">
      <c r="A73" s="1">
        <f ca="1">IFERROR(__xludf.DUMMYFUNCTION("""COMPUTED_VALUE"""),4719003060015)</f>
        <v>4719003060015</v>
      </c>
      <c r="B73" s="1" t="str">
        <f ca="1">IFERROR(__xludf.DUMMYFUNCTION("""COMPUTED_VALUE"""),"МТ1931")</f>
        <v>МТ1931</v>
      </c>
      <c r="C73" s="1" t="str">
        <f ca="1">IFERROR(__xludf.DUMMYFUNCTION("""COMPUTED_VALUE"""),"Термометр Microlife МТ1931")</f>
        <v>Термометр Microlife МТ1931</v>
      </c>
      <c r="D73" s="1" t="str">
        <f ca="1">IFERROR(__xludf.DUMMYFUNCTION("""COMPUTED_VALUE"""),"Thermometer MT1931/Термометр МТ1931 ш/к 4719003060015 (Сертификат № 9974 об утверждении типа СИ)")</f>
        <v>Thermometer MT1931/Термометр МТ1931 ш/к 4719003060015 (Сертификат № 9974 об утверждении типа СИ)</v>
      </c>
      <c r="E73" s="1" t="str">
        <f ca="1">IFERROR(__xludf.DUMMYFUNCTION("""COMPUTED_VALUE"""),"шт")</f>
        <v>шт</v>
      </c>
      <c r="F73" s="1" t="str">
        <f ca="1">IFERROR(__xludf.DUMMYFUNCTION("""COMPUTED_VALUE"""),"ТЕ000030")</f>
        <v>ТЕ000030</v>
      </c>
      <c r="G73" s="1">
        <f ca="1">IFERROR(__xludf.DUMMYFUNCTION("""COMPUTED_VALUE"""),4719003060015)</f>
        <v>4719003060015</v>
      </c>
      <c r="H73" s="1" t="str">
        <f ca="1">IFERROR(__xludf.DUMMYFUNCTION("""COMPUTED_VALUE"""),"III")</f>
        <v>III</v>
      </c>
    </row>
    <row r="74" spans="1:8" x14ac:dyDescent="0.2">
      <c r="A74" s="1">
        <f ca="1">IFERROR(__xludf.DUMMYFUNCTION("""COMPUTED_VALUE"""),4719003130046)</f>
        <v>4719003130046</v>
      </c>
      <c r="B74" s="1" t="str">
        <f ca="1">IFERROR(__xludf.DUMMYFUNCTION("""COMPUTED_VALUE"""),"МТ1951")</f>
        <v>МТ1951</v>
      </c>
      <c r="C74" s="1" t="str">
        <f ca="1">IFERROR(__xludf.DUMMYFUNCTION("""COMPUTED_VALUE"""),"Термометр Microlife МТ1951")</f>
        <v>Термометр Microlife МТ1951</v>
      </c>
      <c r="D74" s="1" t="str">
        <f ca="1">IFERROR(__xludf.DUMMYFUNCTION("""COMPUTED_VALUE"""),"Thermometer MT1951/Термометр МТ1951 ш/к 4719003130046 (Сертификат № 9974 об утверждении типа СИ)")</f>
        <v>Thermometer MT1951/Термометр МТ1951 ш/к 4719003130046 (Сертификат № 9974 об утверждении типа СИ)</v>
      </c>
      <c r="E74" s="1" t="str">
        <f ca="1">IFERROR(__xludf.DUMMYFUNCTION("""COMPUTED_VALUE"""),"шт")</f>
        <v>шт</v>
      </c>
      <c r="F74" s="1" t="str">
        <f ca="1">IFERROR(__xludf.DUMMYFUNCTION("""COMPUTED_VALUE"""),"ТЕ000031")</f>
        <v>ТЕ000031</v>
      </c>
      <c r="G74" s="1">
        <f ca="1">IFERROR(__xludf.DUMMYFUNCTION("""COMPUTED_VALUE"""),4719003130046)</f>
        <v>4719003130046</v>
      </c>
      <c r="H74" s="1" t="str">
        <f ca="1">IFERROR(__xludf.DUMMYFUNCTION("""COMPUTED_VALUE"""),"I")</f>
        <v>I</v>
      </c>
    </row>
    <row r="75" spans="1:8" x14ac:dyDescent="0.2">
      <c r="A75" s="1" t="str">
        <f ca="1">IFERROR(__xludf.DUMMYFUNCTION("""COMPUTED_VALUE"""),"OVO")</f>
        <v>OVO</v>
      </c>
      <c r="B75" s="1"/>
      <c r="C75" s="1"/>
      <c r="D75" s="1"/>
      <c r="E75" s="1"/>
      <c r="F75" s="1"/>
      <c r="G75" s="1"/>
      <c r="H75" s="1" t="str">
        <f ca="1">IFERROR(__xludf.DUMMYFUNCTION("""COMPUTED_VALUE"""),"II")</f>
        <v>II</v>
      </c>
    </row>
    <row r="76" spans="1:8" x14ac:dyDescent="0.2">
      <c r="A76" s="1">
        <f ca="1">IFERROR(__xludf.DUMMYFUNCTION("""COMPUTED_VALUE"""),7640162321426)</f>
        <v>7640162321426</v>
      </c>
      <c r="B76" s="1" t="str">
        <f ca="1">IFERROR(__xludf.DUMMYFUNCTION("""COMPUTED_VALUE"""),"RDW130-5A")</f>
        <v>RDW130-5A</v>
      </c>
      <c r="C76" s="1" t="str">
        <f ca="1">IFERROR(__xludf.DUMMYFUNCTION("""COMPUTED_VALUE"""),"Одноразовые лактационные вкладыши ТМ OVO")</f>
        <v>Одноразовые лактационные вкладыши ТМ OVO</v>
      </c>
      <c r="D76" s="1" t="str">
        <f ca="1">IFERROR(__xludf.DUMMYFUNCTION("""COMPUTED_VALUE"""),"Disposable Breast Pad 30pcs box package/одноразовые лактационные вкладыши ТМ OVO ш/к 7640162321426")</f>
        <v>Disposable Breast Pad 30pcs box package/одноразовые лактационные вкладыши ТМ OVO ш/к 7640162321426</v>
      </c>
      <c r="E76" s="1" t="str">
        <f ca="1">IFERROR(__xludf.DUMMYFUNCTION("""COMPUTED_VALUE"""),"шт")</f>
        <v>шт</v>
      </c>
      <c r="F76" s="1" t="str">
        <f ca="1">IFERROR(__xludf.DUMMYFUNCTION("""COMPUTED_VALUE"""),"AST00000326")</f>
        <v>AST00000326</v>
      </c>
      <c r="G76" s="1">
        <f ca="1">IFERROR(__xludf.DUMMYFUNCTION("""COMPUTED_VALUE"""),7640162321426)</f>
        <v>7640162321426</v>
      </c>
      <c r="H76" s="1" t="str">
        <f ca="1">IFERROR(__xludf.DUMMYFUNCTION("""COMPUTED_VALUE"""),"III")</f>
        <v>III</v>
      </c>
    </row>
    <row r="77" spans="1:8" x14ac:dyDescent="0.2">
      <c r="A77" s="1" t="str">
        <f ca="1">IFERROR(__xludf.DUMMYFUNCTION("""COMPUTED_VALUE"""),"Playboy")</f>
        <v>Playboy</v>
      </c>
      <c r="B77" s="1"/>
      <c r="C77" s="1"/>
      <c r="D77" s="1"/>
      <c r="E77" s="1"/>
      <c r="F77" s="1"/>
      <c r="G77" s="1"/>
      <c r="H77" s="1" t="str">
        <f ca="1">IFERROR(__xludf.DUMMYFUNCTION("""COMPUTED_VALUE"""),"M/L")</f>
        <v>M/L</v>
      </c>
    </row>
    <row r="78" spans="1:8" x14ac:dyDescent="0.2">
      <c r="A78" s="1">
        <f ca="1">IFERROR(__xludf.DUMMYFUNCTION("""COMPUTED_VALUE"""),7640162322119)</f>
        <v>7640162322119</v>
      </c>
      <c r="B78" s="1" t="str">
        <f ca="1">IFERROR(__xludf.DUMMYFUNCTION("""COMPUTED_VALUE"""),"Playboy/Класичні/3")</f>
        <v>Playboy/Класичні/3</v>
      </c>
      <c r="C78" s="1" t="str">
        <f ca="1">IFERROR(__xludf.DUMMYFUNCTION("""COMPUTED_VALUE"""),"Презервативы Playboy классические №3")</f>
        <v>Презервативы Playboy классические №3</v>
      </c>
      <c r="D78" s="1" t="str">
        <f ca="1">IFERROR(__xludf.DUMMYFUNCTION("""COMPUTED_VALUE"""),"Презервативы Playboy классические №3 ш/к 7640162322119")</f>
        <v>Презервативы Playboy классические №3 ш/к 7640162322119</v>
      </c>
      <c r="E78" s="1" t="str">
        <f ca="1">IFERROR(__xludf.DUMMYFUNCTION("""COMPUTED_VALUE"""),"шт")</f>
        <v>шт</v>
      </c>
      <c r="F78" s="1" t="str">
        <f ca="1">IFERROR(__xludf.DUMMYFUNCTION("""COMPUTED_VALUE"""),"AST00000153")</f>
        <v>AST00000153</v>
      </c>
      <c r="G78" s="1">
        <f ca="1">IFERROR(__xludf.DUMMYFUNCTION("""COMPUTED_VALUE"""),7640162322119)</f>
        <v>7640162322119</v>
      </c>
      <c r="H78" s="1" t="str">
        <f ca="1">IFERROR(__xludf.DUMMYFUNCTION("""COMPUTED_VALUE"""),"XL/XXL")</f>
        <v>XL/XXL</v>
      </c>
    </row>
    <row r="79" spans="1:8" x14ac:dyDescent="0.2">
      <c r="A79" s="1">
        <f ca="1">IFERROR(__xludf.DUMMYFUNCTION("""COMPUTED_VALUE"""),7640162322140)</f>
        <v>7640162322140</v>
      </c>
      <c r="B79" s="1" t="str">
        <f ca="1">IFERROR(__xludf.DUMMYFUNCTION("""COMPUTED_VALUE"""),"Playboy/Класичні/6")</f>
        <v>Playboy/Класичні/6</v>
      </c>
      <c r="C79" s="1" t="str">
        <f ca="1">IFERROR(__xludf.DUMMYFUNCTION("""COMPUTED_VALUE"""),"Презервативы Playboy классические №6")</f>
        <v>Презервативы Playboy классические №6</v>
      </c>
      <c r="D79" s="1" t="str">
        <f ca="1">IFERROR(__xludf.DUMMYFUNCTION("""COMPUTED_VALUE"""),"Презервативы Playboy классические №6 ш/к 7640162322140")</f>
        <v>Презервативы Playboy классические №6 ш/к 7640162322140</v>
      </c>
      <c r="E79" s="1" t="str">
        <f ca="1">IFERROR(__xludf.DUMMYFUNCTION("""COMPUTED_VALUE"""),"шт")</f>
        <v>шт</v>
      </c>
      <c r="F79" s="1" t="str">
        <f ca="1">IFERROR(__xludf.DUMMYFUNCTION("""COMPUTED_VALUE"""),"AST00000154")</f>
        <v>AST00000154</v>
      </c>
      <c r="G79" s="1">
        <f ca="1">IFERROR(__xludf.DUMMYFUNCTION("""COMPUTED_VALUE"""),7640162322140)</f>
        <v>7640162322140</v>
      </c>
      <c r="H79" s="1" t="str">
        <f ca="1">IFERROR(__xludf.DUMMYFUNCTION("""COMPUTED_VALUE"""),"XXXL/XXXXL")</f>
        <v>XXXL/XXXXL</v>
      </c>
    </row>
    <row r="80" spans="1:8" x14ac:dyDescent="0.2">
      <c r="A80" s="1">
        <f ca="1">IFERROR(__xludf.DUMMYFUNCTION("""COMPUTED_VALUE"""),7640162322171)</f>
        <v>7640162322171</v>
      </c>
      <c r="B80" s="1" t="str">
        <f ca="1">IFERROR(__xludf.DUMMYFUNCTION("""COMPUTED_VALUE"""),"Playboy/Надтон/3")</f>
        <v>Playboy/Надтон/3</v>
      </c>
      <c r="C80" s="1" t="str">
        <f ca="1">IFERROR(__xludf.DUMMYFUNCTION("""COMPUTED_VALUE"""),"Презервативы Playboy  ультратонкие №3")</f>
        <v>Презервативы Playboy  ультратонкие №3</v>
      </c>
      <c r="D80" s="1" t="str">
        <f ca="1">IFERROR(__xludf.DUMMYFUNCTION("""COMPUTED_VALUE"""),"Презервативы Playboy  ультратонкие №3 ш/к 7640162322171")</f>
        <v>Презервативы Playboy  ультратонкие №3 ш/к 7640162322171</v>
      </c>
      <c r="E80" s="1" t="str">
        <f ca="1">IFERROR(__xludf.DUMMYFUNCTION("""COMPUTED_VALUE"""),"шт")</f>
        <v>шт</v>
      </c>
      <c r="F80" s="1" t="str">
        <f ca="1">IFERROR(__xludf.DUMMYFUNCTION("""COMPUTED_VALUE"""),"AST00000157")</f>
        <v>AST00000157</v>
      </c>
      <c r="G80" s="1">
        <f ca="1">IFERROR(__xludf.DUMMYFUNCTION("""COMPUTED_VALUE"""),7640162322171)</f>
        <v>7640162322171</v>
      </c>
      <c r="H80" s="1" t="str">
        <f ca="1">IFERROR(__xludf.DUMMYFUNCTION("""COMPUTED_VALUE"""),"M/L")</f>
        <v>M/L</v>
      </c>
    </row>
    <row r="81" spans="1:8" x14ac:dyDescent="0.2">
      <c r="A81" s="1">
        <f ca="1">IFERROR(__xludf.DUMMYFUNCTION("""COMPUTED_VALUE"""),7640162322201)</f>
        <v>7640162322201</v>
      </c>
      <c r="B81" s="1" t="str">
        <f ca="1">IFERROR(__xludf.DUMMYFUNCTION("""COMPUTED_VALUE"""),"Playboy/Надтон/6")</f>
        <v>Playboy/Надтон/6</v>
      </c>
      <c r="C81" s="1" t="str">
        <f ca="1">IFERROR(__xludf.DUMMYFUNCTION("""COMPUTED_VALUE"""),"Презервативы Playboy  ультратонкие №6")</f>
        <v>Презервативы Playboy  ультратонкие №6</v>
      </c>
      <c r="D81" s="1" t="str">
        <f ca="1">IFERROR(__xludf.DUMMYFUNCTION("""COMPUTED_VALUE"""),"Презервативы Playboy  ультратонкие №6 ш/к 7640162322201")</f>
        <v>Презервативы Playboy  ультратонкие №6 ш/к 7640162322201</v>
      </c>
      <c r="E81" s="1" t="str">
        <f ca="1">IFERROR(__xludf.DUMMYFUNCTION("""COMPUTED_VALUE"""),"шт")</f>
        <v>шт</v>
      </c>
      <c r="F81" s="1" t="str">
        <f ca="1">IFERROR(__xludf.DUMMYFUNCTION("""COMPUTED_VALUE"""),"AST00000159")</f>
        <v>AST00000159</v>
      </c>
      <c r="G81" s="1">
        <f ca="1">IFERROR(__xludf.DUMMYFUNCTION("""COMPUTED_VALUE"""),7640162322201)</f>
        <v>7640162322201</v>
      </c>
      <c r="H81" s="1" t="str">
        <f ca="1">IFERROR(__xludf.DUMMYFUNCTION("""COMPUTED_VALUE"""),"XL/XXL")</f>
        <v>XL/XXL</v>
      </c>
    </row>
    <row r="82" spans="1:8" x14ac:dyDescent="0.2">
      <c r="A82" s="1">
        <f ca="1">IFERROR(__xludf.DUMMYFUNCTION("""COMPUTED_VALUE"""),7640162322232)</f>
        <v>7640162322232</v>
      </c>
      <c r="B82" s="1" t="str">
        <f ca="1">IFERROR(__xludf.DUMMYFUNCTION("""COMPUTED_VALUE"""),"Playboy/Три в одному/3")</f>
        <v>Playboy/Три в одному/3</v>
      </c>
      <c r="C82" s="1" t="str">
        <f ca="1">IFERROR(__xludf.DUMMYFUNCTION("""COMPUTED_VALUE"""),"Презервативы Playboy  3 в 1 №3")</f>
        <v>Презервативы Playboy  3 в 1 №3</v>
      </c>
      <c r="D82" s="1" t="str">
        <f ca="1">IFERROR(__xludf.DUMMYFUNCTION("""COMPUTED_VALUE"""),"Презервативы Playboy  3 в 1 №3 ш/к 7640162322232")</f>
        <v>Презервативы Playboy  3 в 1 №3 ш/к 7640162322232</v>
      </c>
      <c r="E82" s="1" t="str">
        <f ca="1">IFERROR(__xludf.DUMMYFUNCTION("""COMPUTED_VALUE"""),"шт")</f>
        <v>шт</v>
      </c>
      <c r="F82" s="1" t="str">
        <f ca="1">IFERROR(__xludf.DUMMYFUNCTION("""COMPUTED_VALUE"""),"AST00000155")</f>
        <v>AST00000155</v>
      </c>
      <c r="G82" s="1">
        <f ca="1">IFERROR(__xludf.DUMMYFUNCTION("""COMPUTED_VALUE"""),7640162322232)</f>
        <v>7640162322232</v>
      </c>
      <c r="H82" s="1" t="str">
        <f ca="1">IFERROR(__xludf.DUMMYFUNCTION("""COMPUTED_VALUE"""),"XS/S")</f>
        <v>XS/S</v>
      </c>
    </row>
    <row r="83" spans="1:8" x14ac:dyDescent="0.2">
      <c r="A83" s="1">
        <f ca="1">IFERROR(__xludf.DUMMYFUNCTION("""COMPUTED_VALUE"""),7640162322263)</f>
        <v>7640162322263</v>
      </c>
      <c r="B83" s="1" t="str">
        <f ca="1">IFERROR(__xludf.DUMMYFUNCTION("""COMPUTED_VALUE"""),"Playboy/Три в одному/6")</f>
        <v>Playboy/Три в одному/6</v>
      </c>
      <c r="C83" s="1" t="str">
        <f ca="1">IFERROR(__xludf.DUMMYFUNCTION("""COMPUTED_VALUE"""),"Презервативы Playboy 3 в 1 №6")</f>
        <v>Презервативы Playboy 3 в 1 №6</v>
      </c>
      <c r="D83" s="1" t="str">
        <f ca="1">IFERROR(__xludf.DUMMYFUNCTION("""COMPUTED_VALUE"""),"Презервативы Playboy 3 в 1 №6 ш/к 7640162322263")</f>
        <v>Презервативы Playboy 3 в 1 №6 ш/к 7640162322263</v>
      </c>
      <c r="E83" s="1" t="str">
        <f ca="1">IFERROR(__xludf.DUMMYFUNCTION("""COMPUTED_VALUE"""),"шт")</f>
        <v>шт</v>
      </c>
      <c r="F83" s="1" t="str">
        <f ca="1">IFERROR(__xludf.DUMMYFUNCTION("""COMPUTED_VALUE"""),"AST00000156")</f>
        <v>AST00000156</v>
      </c>
      <c r="G83" s="1">
        <f ca="1">IFERROR(__xludf.DUMMYFUNCTION("""COMPUTED_VALUE"""),7640162322263)</f>
        <v>7640162322263</v>
      </c>
      <c r="H83" s="1" t="str">
        <f ca="1">IFERROR(__xludf.DUMMYFUNCTION("""COMPUTED_VALUE"""),"XXXL/XXXXL")</f>
        <v>XXXL/XXXXL</v>
      </c>
    </row>
    <row r="84" spans="1:8" x14ac:dyDescent="0.2">
      <c r="A84" s="1" t="str">
        <f ca="1">IFERROR(__xludf.DUMMYFUNCTION("""COMPUTED_VALUE"""),"Акция Bionime")</f>
        <v>Акция Bionime</v>
      </c>
      <c r="B84" s="1"/>
      <c r="C84" s="1"/>
      <c r="D84" s="1"/>
      <c r="E84" s="1"/>
      <c r="F84" s="1"/>
      <c r="G84" s="1"/>
      <c r="H84" s="1" t="str">
        <f ca="1">IFERROR(__xludf.DUMMYFUNCTION("""COMPUTED_VALUE"""),"L")</f>
        <v>L</v>
      </c>
    </row>
    <row r="85" spans="1:8" x14ac:dyDescent="0.2">
      <c r="A85" s="1">
        <f ca="1">IFERROR(__xludf.DUMMYFUNCTION("""COMPUTED_VALUE"""),77196)</f>
        <v>77196</v>
      </c>
      <c r="B85" s="1" t="str">
        <f ca="1">IFERROR(__xludf.DUMMYFUNCTION("""COMPUTED_VALUE"""),"1 GM+1 GS")</f>
        <v>1 GM+1 GS</v>
      </c>
      <c r="C85" s="1" t="str">
        <f ca="1">IFERROR(__xludf.DUMMYFUNCTION("""COMPUTED_VALUE"""),"Глюкометр BIONIME GM 300 +  1Тест-полоски BIONIME GS 300")</f>
        <v>Глюкометр BIONIME GM 300 +  1Тест-полоски BIONIME GS 300</v>
      </c>
      <c r="D85" s="1" t="str">
        <f ca="1">IFERROR(__xludf.DUMMYFUNCTION("""COMPUTED_VALUE"""),"Глюкометр BIONIME GM 300 +  1Тест-полоски BIONIME GS 300")</f>
        <v>Глюкометр BIONIME GM 300 +  1Тест-полоски BIONIME GS 300</v>
      </c>
      <c r="E85" s="1" t="str">
        <f ca="1">IFERROR(__xludf.DUMMYFUNCTION("""COMPUTED_VALUE"""),"шт")</f>
        <v>шт</v>
      </c>
      <c r="F85" s="1">
        <f ca="1">IFERROR(__xludf.DUMMYFUNCTION("""COMPUTED_VALUE"""),77000000547)</f>
        <v>77000000547</v>
      </c>
      <c r="G85" s="1">
        <f ca="1">IFERROR(__xludf.DUMMYFUNCTION("""COMPUTED_VALUE"""),77196)</f>
        <v>77196</v>
      </c>
      <c r="H85" s="1" t="str">
        <f ca="1">IFERROR(__xludf.DUMMYFUNCTION("""COMPUTED_VALUE"""),"M")</f>
        <v>M</v>
      </c>
    </row>
    <row r="86" spans="1:8" x14ac:dyDescent="0.2">
      <c r="A86" s="1">
        <f ca="1">IFERROR(__xludf.DUMMYFUNCTION("""COMPUTED_VALUE"""),77222)</f>
        <v>77222</v>
      </c>
      <c r="B86" s="1" t="str">
        <f ca="1">IFERROR(__xludf.DUMMYFUNCTION("""COMPUTED_VALUE"""),"1+1")</f>
        <v>1+1</v>
      </c>
      <c r="C86" s="1" t="str">
        <f ca="1">IFERROR(__xludf.DUMMYFUNCTION("""COMPUTED_VALUE"""),"Тест полоски Bionime + глюкометр Bionime")</f>
        <v>Тест полоски Bionime + глюкометр Bionime</v>
      </c>
      <c r="D86" s="1" t="str">
        <f ca="1">IFERROR(__xludf.DUMMYFUNCTION("""COMPUTED_VALUE"""),"Тест полоски Bionime + глюкометр Bionime без тест-полосок")</f>
        <v>Тест полоски Bionime + глюкометр Bionime без тест-полосок</v>
      </c>
      <c r="E86" s="1" t="str">
        <f ca="1">IFERROR(__xludf.DUMMYFUNCTION("""COMPUTED_VALUE"""),"шт")</f>
        <v>шт</v>
      </c>
      <c r="F86" s="1" t="str">
        <f ca="1">IFERROR(__xludf.DUMMYFUNCTION("""COMPUTED_VALUE"""),"AST00000121")</f>
        <v>AST00000121</v>
      </c>
      <c r="G86" s="1">
        <f ca="1">IFERROR(__xludf.DUMMYFUNCTION("""COMPUTED_VALUE"""),77222)</f>
        <v>77222</v>
      </c>
      <c r="H86" s="1" t="str">
        <f ca="1">IFERROR(__xludf.DUMMYFUNCTION("""COMPUTED_VALUE"""),"XL")</f>
        <v>XL</v>
      </c>
    </row>
    <row r="87" spans="1:8" x14ac:dyDescent="0.2">
      <c r="A87" s="1">
        <f ca="1">IFERROR(__xludf.DUMMYFUNCTION("""COMPUTED_VALUE"""),77221)</f>
        <v>77221</v>
      </c>
      <c r="B87" s="1" t="str">
        <f ca="1">IFERROR(__xludf.DUMMYFUNCTION("""COMPUTED_VALUE"""),"2+1")</f>
        <v>2+1</v>
      </c>
      <c r="C87" s="1" t="str">
        <f ca="1">IFERROR(__xludf.DUMMYFUNCTION("""COMPUTED_VALUE"""),"2 Тест полоски Bionime + глюкометр Bionime")</f>
        <v>2 Тест полоски Bionime + глюкометр Bionime</v>
      </c>
      <c r="D87" s="1" t="str">
        <f ca="1">IFERROR(__xludf.DUMMYFUNCTION("""COMPUTED_VALUE"""),"2 Тест полоски Bionime + глюкометр Bionime")</f>
        <v>2 Тест полоски Bionime + глюкометр Bionime</v>
      </c>
      <c r="E87" s="1" t="str">
        <f ca="1">IFERROR(__xludf.DUMMYFUNCTION("""COMPUTED_VALUE"""),"шт")</f>
        <v>шт</v>
      </c>
      <c r="F87" s="1" t="str">
        <f ca="1">IFERROR(__xludf.DUMMYFUNCTION("""COMPUTED_VALUE"""),"AST00000120")</f>
        <v>AST00000120</v>
      </c>
      <c r="G87" s="1">
        <f ca="1">IFERROR(__xludf.DUMMYFUNCTION("""COMPUTED_VALUE"""),77221)</f>
        <v>77221</v>
      </c>
      <c r="H87" s="1" t="str">
        <f ca="1">IFERROR(__xludf.DUMMYFUNCTION("""COMPUTED_VALUE"""),"XXL")</f>
        <v>XXL</v>
      </c>
    </row>
    <row r="88" spans="1:8" x14ac:dyDescent="0.2">
      <c r="A88" s="1">
        <f ca="1">IFERROR(__xludf.DUMMYFUNCTION("""COMPUTED_VALUE"""),77376)</f>
        <v>77376</v>
      </c>
      <c r="B88" s="1" t="str">
        <f ca="1">IFERROR(__xludf.DUMMYFUNCTION("""COMPUTED_VALUE"""),"3+1")</f>
        <v>3+1</v>
      </c>
      <c r="C88" s="1" t="str">
        <f ca="1">IFERROR(__xludf.DUMMYFUNCTION("""COMPUTED_VALUE"""),"3 Тест полоски Bionime + глюкометр Bionime")</f>
        <v>3 Тест полоски Bionime + глюкометр Bionime</v>
      </c>
      <c r="D88" s="1" t="str">
        <f ca="1">IFERROR(__xludf.DUMMYFUNCTION("""COMPUTED_VALUE"""),"3 Тест полоски Bionime + глюкометр Bionime")</f>
        <v>3 Тест полоски Bionime + глюкометр Bionime</v>
      </c>
      <c r="E88" s="1" t="str">
        <f ca="1">IFERROR(__xludf.DUMMYFUNCTION("""COMPUTED_VALUE"""),"шт")</f>
        <v>шт</v>
      </c>
      <c r="F88" s="1" t="str">
        <f ca="1">IFERROR(__xludf.DUMMYFUNCTION("""COMPUTED_VALUE"""),"AST00000318")</f>
        <v>AST00000318</v>
      </c>
      <c r="G88" s="1">
        <f ca="1">IFERROR(__xludf.DUMMYFUNCTION("""COMPUTED_VALUE"""),77376)</f>
        <v>77376</v>
      </c>
      <c r="H88" s="1" t="str">
        <f ca="1">IFERROR(__xludf.DUMMYFUNCTION("""COMPUTED_VALUE"""),"XXXL")</f>
        <v>XXXL</v>
      </c>
    </row>
    <row r="89" spans="1:8" x14ac:dyDescent="0.2">
      <c r="A89" s="1">
        <f ca="1">IFERROR(__xludf.DUMMYFUNCTION("""COMPUTED_VALUE"""),77024)</f>
        <v>77024</v>
      </c>
      <c r="B89" s="1" t="str">
        <f ca="1">IFERROR(__xludf.DUMMYFUNCTION("""COMPUTED_VALUE"""),"Bionime 2+1 GM550")</f>
        <v>Bionime 2+1 GM550</v>
      </c>
      <c r="C89" s="1" t="str">
        <f ca="1">IFERROR(__xludf.DUMMYFUNCTION("""COMPUTED_VALUE"""),"2 Тест-полоски Bionime GS 550 № 50 + Глюкометр Bionime Rightest: GM550 в подарок")</f>
        <v>2 Тест-полоски Bionime GS 550 № 50 + Глюкометр Bionime Rightest: GM550 в подарок</v>
      </c>
      <c r="D89" s="1" t="str">
        <f ca="1">IFERROR(__xludf.DUMMYFUNCTION("""COMPUTED_VALUE"""),"При покупке двух тест-полосок Bionime GS 550, глюкометр Bionime GM 550 в подарок")</f>
        <v>При покупке двух тест-полосок Bionime GS 550, глюкометр Bionime GM 550 в подарок</v>
      </c>
      <c r="E89" s="1" t="str">
        <f ca="1">IFERROR(__xludf.DUMMYFUNCTION("""COMPUTED_VALUE"""),"шт")</f>
        <v>шт</v>
      </c>
      <c r="F89" s="1" t="str">
        <f ca="1">IFERROR(__xludf.DUMMYFUNCTION("""COMPUTED_VALUE"""),"AST00000491")</f>
        <v>AST00000491</v>
      </c>
      <c r="G89" s="1">
        <f ca="1">IFERROR(__xludf.DUMMYFUNCTION("""COMPUTED_VALUE"""),77024)</f>
        <v>77024</v>
      </c>
      <c r="H89" s="1" t="str">
        <f ca="1">IFERROR(__xludf.DUMMYFUNCTION("""COMPUTED_VALUE"""),"L")</f>
        <v>L</v>
      </c>
    </row>
    <row r="90" spans="1:8" x14ac:dyDescent="0.2">
      <c r="A90" s="1">
        <f ca="1">IFERROR(__xludf.DUMMYFUNCTION("""COMPUTED_VALUE"""),77111)</f>
        <v>77111</v>
      </c>
      <c r="B90" s="1" t="str">
        <f ca="1">IFERROR(__xludf.DUMMYFUNCTION("""COMPUTED_VALUE"""),"Bionime 2+1-50%")</f>
        <v>Bionime 2+1-50%</v>
      </c>
      <c r="C90" s="1" t="str">
        <f ca="1">IFERROR(__xludf.DUMMYFUNCTION("""COMPUTED_VALUE"""),"2 Тест-полоски Bionime GS 550 № 50 + Глюкометр Bionime Rightest: GM550 50%")</f>
        <v>2 Тест-полоски Bionime GS 550 № 50 + Глюкометр Bionime Rightest: GM550 50%</v>
      </c>
      <c r="D90" s="1" t="str">
        <f ca="1">IFERROR(__xludf.DUMMYFUNCTION("""COMPUTED_VALUE"""),"При покупке двух тест-полосок Bionime GS 550, глюкометр Bionime GM 550 со скидкой 50%")</f>
        <v>При покупке двух тест-полосок Bionime GS 550, глюкометр Bionime GM 550 со скидкой 50%</v>
      </c>
      <c r="E90" s="1" t="str">
        <f ca="1">IFERROR(__xludf.DUMMYFUNCTION("""COMPUTED_VALUE"""),"шт")</f>
        <v>шт</v>
      </c>
      <c r="F90" s="1" t="str">
        <f ca="1">IFERROR(__xludf.DUMMYFUNCTION("""COMPUTED_VALUE"""),"AST00000349")</f>
        <v>AST00000349</v>
      </c>
      <c r="G90" s="1">
        <f ca="1">IFERROR(__xludf.DUMMYFUNCTION("""COMPUTED_VALUE"""),77111)</f>
        <v>77111</v>
      </c>
      <c r="H90" s="1" t="str">
        <f ca="1">IFERROR(__xludf.DUMMYFUNCTION("""COMPUTED_VALUE"""),"M")</f>
        <v>M</v>
      </c>
    </row>
    <row r="91" spans="1:8" x14ac:dyDescent="0.2">
      <c r="A91" s="1">
        <f ca="1">IFERROR(__xludf.DUMMYFUNCTION("""COMPUTED_VALUE"""),77110)</f>
        <v>77110</v>
      </c>
      <c r="B91" s="1" t="str">
        <f ca="1">IFERROR(__xludf.DUMMYFUNCTION("""COMPUTED_VALUE"""),"GM+2 GS")</f>
        <v>GM+2 GS</v>
      </c>
      <c r="C91" s="1" t="str">
        <f ca="1">IFERROR(__xludf.DUMMYFUNCTION("""COMPUTED_VALUE"""),"Глюкометр BIONEMI GM 300 +  2 Тест-полоски BIONIME GS 300")</f>
        <v>Глюкометр BIONEMI GM 300 +  2 Тест-полоски BIONIME GS 300</v>
      </c>
      <c r="D91" s="1" t="str">
        <f ca="1">IFERROR(__xludf.DUMMYFUNCTION("""COMPUTED_VALUE"""),"Глюкометр BIONEMI GM 300 +  2 Тест-полоски BIONIME GS 300")</f>
        <v>Глюкометр BIONEMI GM 300 +  2 Тест-полоски BIONIME GS 300</v>
      </c>
      <c r="E91" s="1" t="str">
        <f ca="1">IFERROR(__xludf.DUMMYFUNCTION("""COMPUTED_VALUE"""),"шт")</f>
        <v>шт</v>
      </c>
      <c r="F91" s="1">
        <f ca="1">IFERROR(__xludf.DUMMYFUNCTION("""COMPUTED_VALUE"""),77000000540)</f>
        <v>77000000540</v>
      </c>
      <c r="G91" s="1">
        <f ca="1">IFERROR(__xludf.DUMMYFUNCTION("""COMPUTED_VALUE"""),77110)</f>
        <v>77110</v>
      </c>
      <c r="H91" s="1" t="str">
        <f ca="1">IFERROR(__xludf.DUMMYFUNCTION("""COMPUTED_VALUE"""),"S")</f>
        <v>S</v>
      </c>
    </row>
    <row r="92" spans="1:8" x14ac:dyDescent="0.2">
      <c r="A92" s="1">
        <f ca="1">IFERROR(__xludf.DUMMYFUNCTION("""COMPUTED_VALUE"""),77058)</f>
        <v>77058</v>
      </c>
      <c r="B92" s="1" t="str">
        <f ca="1">IFERROR(__xludf.DUMMYFUNCTION("""COMPUTED_VALUE"""),"GM550-Old + GS550")</f>
        <v>GM550-Old + GS550</v>
      </c>
      <c r="C92" s="1" t="str">
        <f ca="1">IFERROR(__xludf.DUMMYFUNCTION("""COMPUTED_VALUE"""),"Глюкометр без тест полосок BIONIME GM 550 + Тест-полоски BIONIME GS 550")</f>
        <v>Глюкометр без тест полосок BIONIME GM 550 + Тест-полоски BIONIME GS 550</v>
      </c>
      <c r="D92" s="1" t="str">
        <f ca="1">IFERROR(__xludf.DUMMYFUNCTION("""COMPUTED_VALUE"""),"Система контроля уровня глюкозы в крови Bionime Rightest: GM550 (без тест полосок) + GS550 (50)Тест-полоски для контроля уровня глюкозы в крови Bionime Rightest GS 550 № 50")</f>
        <v>Система контроля уровня глюкозы в крови Bionime Rightest: GM550 (без тест полосок) + GS550 (50)Тест-полоски для контроля уровня глюкозы в крови Bionime Rightest GS 550 № 50</v>
      </c>
      <c r="E92" s="1" t="str">
        <f ca="1">IFERROR(__xludf.DUMMYFUNCTION("""COMPUTED_VALUE"""),"шт")</f>
        <v>шт</v>
      </c>
      <c r="F92" s="1" t="str">
        <f ca="1">IFERROR(__xludf.DUMMYFUNCTION("""COMPUTED_VALUE"""),"AST00000551")</f>
        <v>AST00000551</v>
      </c>
      <c r="G92" s="1">
        <f ca="1">IFERROR(__xludf.DUMMYFUNCTION("""COMPUTED_VALUE"""),77058)</f>
        <v>77058</v>
      </c>
      <c r="H92" s="1" t="str">
        <f ca="1">IFERROR(__xludf.DUMMYFUNCTION("""COMPUTED_VALUE"""),"XL")</f>
        <v>XL</v>
      </c>
    </row>
    <row r="93" spans="1:8" x14ac:dyDescent="0.2">
      <c r="A93" s="1" t="str">
        <f ca="1">IFERROR(__xludf.DUMMYFUNCTION("""COMPUTED_VALUE"""),"Бандажи Болгария")</f>
        <v>Бандажи Болгария</v>
      </c>
      <c r="B93" s="1"/>
      <c r="C93" s="1"/>
      <c r="D93" s="1"/>
      <c r="E93" s="1"/>
      <c r="F93" s="1"/>
      <c r="G93" s="1"/>
      <c r="H93" s="1" t="str">
        <f ca="1">IFERROR(__xludf.DUMMYFUNCTION("""COMPUTED_VALUE"""),"XXL")</f>
        <v>XXL</v>
      </c>
    </row>
    <row r="94" spans="1:8" x14ac:dyDescent="0.2">
      <c r="A94" s="1">
        <f ca="1">IFERROR(__xludf.DUMMYFUNCTION("""COMPUTED_VALUE"""),3800232480000)</f>
        <v>3800232480000</v>
      </c>
      <c r="B94" s="1" t="str">
        <f ca="1">IFERROR(__xludf.DUMMYFUNCTION("""COMPUTED_VALUE"""),"1001 I(S)_BG")</f>
        <v>1001 I(S)_BG</v>
      </c>
      <c r="C94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D94" s="1" t="str">
        <f ca="1">IFERROR(__xludf.DUMMYFUNCTION("""COMPUTED_VALUE"""),"Бандаж на шейный отдел позвоночника мягкой фиксацией 1001 I(S) (Болгария) ш/к 3800232480000")</f>
        <v>Бандаж на шейный отдел позвоночника мягкой фиксацией 1001 I(S) (Болгария) ш/к 3800232480000</v>
      </c>
      <c r="E94" s="1" t="str">
        <f ca="1">IFERROR(__xludf.DUMMYFUNCTION("""COMPUTED_VALUE"""),"шт")</f>
        <v>шт</v>
      </c>
      <c r="F94" s="1" t="str">
        <f ca="1">IFERROR(__xludf.DUMMYFUNCTION("""COMPUTED_VALUE"""),"AST00000166")</f>
        <v>AST00000166</v>
      </c>
      <c r="G94" s="1">
        <f ca="1">IFERROR(__xludf.DUMMYFUNCTION("""COMPUTED_VALUE"""),3800232480000)</f>
        <v>3800232480000</v>
      </c>
      <c r="H94" s="1" t="str">
        <f ca="1">IFERROR(__xludf.DUMMYFUNCTION("""COMPUTED_VALUE"""),"M/L")</f>
        <v>M/L</v>
      </c>
    </row>
    <row r="95" spans="1:8" x14ac:dyDescent="0.2">
      <c r="A95" s="1">
        <f ca="1">IFERROR(__xludf.DUMMYFUNCTION("""COMPUTED_VALUE"""),3800232480017)</f>
        <v>3800232480017</v>
      </c>
      <c r="B95" s="1" t="str">
        <f ca="1">IFERROR(__xludf.DUMMYFUNCTION("""COMPUTED_VALUE"""),"1001 II(M)_BG")</f>
        <v>1001 II(M)_BG</v>
      </c>
      <c r="C95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D95" s="1" t="str">
        <f ca="1">IFERROR(__xludf.DUMMYFUNCTION("""COMPUTED_VALUE"""),"Бандаж на шейный отдел позвоночника мягкой фиксацией 1001 II(M) (Болгария) ш/к 3800232480017")</f>
        <v>Бандаж на шейный отдел позвоночника мягкой фиксацией 1001 II(M) (Болгария) ш/к 3800232480017</v>
      </c>
      <c r="E95" s="1" t="str">
        <f ca="1">IFERROR(__xludf.DUMMYFUNCTION("""COMPUTED_VALUE"""),"шт")</f>
        <v>шт</v>
      </c>
      <c r="F95" s="1" t="str">
        <f ca="1">IFERROR(__xludf.DUMMYFUNCTION("""COMPUTED_VALUE"""),"AST00000167")</f>
        <v>AST00000167</v>
      </c>
      <c r="G95" s="1">
        <f ca="1">IFERROR(__xludf.DUMMYFUNCTION("""COMPUTED_VALUE"""),3800232480017)</f>
        <v>3800232480017</v>
      </c>
      <c r="H95" s="1" t="str">
        <f ca="1">IFERROR(__xludf.DUMMYFUNCTION("""COMPUTED_VALUE"""),"XL/XXL")</f>
        <v>XL/XXL</v>
      </c>
    </row>
    <row r="96" spans="1:8" x14ac:dyDescent="0.2">
      <c r="A96" s="1">
        <f ca="1">IFERROR(__xludf.DUMMYFUNCTION("""COMPUTED_VALUE"""),3800232480024)</f>
        <v>3800232480024</v>
      </c>
      <c r="B96" s="1" t="str">
        <f ca="1">IFERROR(__xludf.DUMMYFUNCTION("""COMPUTED_VALUE"""),"1001 III(L)_BG")</f>
        <v>1001 III(L)_BG</v>
      </c>
      <c r="C96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D96" s="1" t="str">
        <f ca="1">IFERROR(__xludf.DUMMYFUNCTION("""COMPUTED_VALUE"""),"Бандаж на шейный отдел позвоночника мягкой фиксацией 1001 III(L) (Болгария) ш/к 3800232480024")</f>
        <v>Бандаж на шейный отдел позвоночника мягкой фиксацией 1001 III(L) (Болгария) ш/к 3800232480024</v>
      </c>
      <c r="E96" s="1" t="str">
        <f ca="1">IFERROR(__xludf.DUMMYFUNCTION("""COMPUTED_VALUE"""),"шт")</f>
        <v>шт</v>
      </c>
      <c r="F96" s="1" t="str">
        <f ca="1">IFERROR(__xludf.DUMMYFUNCTION("""COMPUTED_VALUE"""),"AST00000258")</f>
        <v>AST00000258</v>
      </c>
      <c r="G96" s="1">
        <f ca="1">IFERROR(__xludf.DUMMYFUNCTION("""COMPUTED_VALUE"""),3800232480024)</f>
        <v>3800232480024</v>
      </c>
      <c r="H96" s="1" t="str">
        <f ca="1">IFERROR(__xludf.DUMMYFUNCTION("""COMPUTED_VALUE"""),"XS/S")</f>
        <v>XS/S</v>
      </c>
    </row>
    <row r="97" spans="1:8" x14ac:dyDescent="0.2">
      <c r="A97" s="1">
        <f ca="1">IFERROR(__xludf.DUMMYFUNCTION("""COMPUTED_VALUE"""),3800232480086)</f>
        <v>3800232480086</v>
      </c>
      <c r="B97" s="1" t="str">
        <f ca="1">IFERROR(__xludf.DUMMYFUNCTION("""COMPUTED_VALUE"""),"1005 I(S)_BG")</f>
        <v>1005 I(S)_BG</v>
      </c>
      <c r="C97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D97" s="1" t="str">
        <f ca="1">IFERROR(__xludf.DUMMYFUNCTION("""COMPUTED_VALUE"""),"Бандаж на шейный отдел позвоночника мягкой фиксацией с жесткой вставкой 1005 I(S) (Болгария) ш/к 3800232480086")</f>
        <v>Бандаж на шейный отдел позвоночника мягкой фиксацией с жесткой вставкой 1005 I(S) (Болгария) ш/к 3800232480086</v>
      </c>
      <c r="E97" s="1" t="str">
        <f ca="1">IFERROR(__xludf.DUMMYFUNCTION("""COMPUTED_VALUE"""),"шт")</f>
        <v>шт</v>
      </c>
      <c r="F97" s="1" t="str">
        <f ca="1">IFERROR(__xludf.DUMMYFUNCTION("""COMPUTED_VALUE"""),"AST00000169")</f>
        <v>AST00000169</v>
      </c>
      <c r="G97" s="1">
        <f ca="1">IFERROR(__xludf.DUMMYFUNCTION("""COMPUTED_VALUE"""),3800232480086)</f>
        <v>3800232480086</v>
      </c>
      <c r="H97" s="1" t="str">
        <f ca="1">IFERROR(__xludf.DUMMYFUNCTION("""COMPUTED_VALUE"""),"XXXL/XXXXL")</f>
        <v>XXXL/XXXXL</v>
      </c>
    </row>
    <row r="98" spans="1:8" x14ac:dyDescent="0.2">
      <c r="A98" s="1">
        <f ca="1">IFERROR(__xludf.DUMMYFUNCTION("""COMPUTED_VALUE"""),3800232480093)</f>
        <v>3800232480093</v>
      </c>
      <c r="B98" s="1" t="str">
        <f ca="1">IFERROR(__xludf.DUMMYFUNCTION("""COMPUTED_VALUE"""),"1005 II(M)_BG")</f>
        <v>1005 II(M)_BG</v>
      </c>
      <c r="C98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D98" s="1" t="str">
        <f ca="1">IFERROR(__xludf.DUMMYFUNCTION("""COMPUTED_VALUE"""),"Бандаж на шейный отдел позвоночника мягкой фиксацией с жесткой вставкой 1005 II(M) (Болгария) ш/к 3800232480093")</f>
        <v>Бандаж на шейный отдел позвоночника мягкой фиксацией с жесткой вставкой 1005 II(M) (Болгария) ш/к 3800232480093</v>
      </c>
      <c r="E98" s="1" t="str">
        <f ca="1">IFERROR(__xludf.DUMMYFUNCTION("""COMPUTED_VALUE"""),"шт")</f>
        <v>шт</v>
      </c>
      <c r="F98" s="1" t="str">
        <f ca="1">IFERROR(__xludf.DUMMYFUNCTION("""COMPUTED_VALUE"""),"AST00000170")</f>
        <v>AST00000170</v>
      </c>
      <c r="G98" s="1">
        <f ca="1">IFERROR(__xludf.DUMMYFUNCTION("""COMPUTED_VALUE"""),3800232480093)</f>
        <v>3800232480093</v>
      </c>
      <c r="H98" s="1" t="str">
        <f ca="1">IFERROR(__xludf.DUMMYFUNCTION("""COMPUTED_VALUE"""),"L")</f>
        <v>L</v>
      </c>
    </row>
    <row r="99" spans="1:8" x14ac:dyDescent="0.2">
      <c r="A99" s="1">
        <f ca="1">IFERROR(__xludf.DUMMYFUNCTION("""COMPUTED_VALUE"""),3800232480109)</f>
        <v>3800232480109</v>
      </c>
      <c r="B99" s="1" t="str">
        <f ca="1">IFERROR(__xludf.DUMMYFUNCTION("""COMPUTED_VALUE"""),"1005 III(L)_BG")</f>
        <v>1005 III(L)_BG</v>
      </c>
      <c r="C99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D99" s="1" t="str">
        <f ca="1">IFERROR(__xludf.DUMMYFUNCTION("""COMPUTED_VALUE"""),"Бандаж на шейный отдел позвоночника мягкой фиксацией с жесткой вставкой 1005 III(L) (Болгария) ш/к 3800232480109")</f>
        <v>Бандаж на шейный отдел позвоночника мягкой фиксацией с жесткой вставкой 1005 III(L) (Болгария) ш/к 3800232480109</v>
      </c>
      <c r="E99" s="1" t="str">
        <f ca="1">IFERROR(__xludf.DUMMYFUNCTION("""COMPUTED_VALUE"""),"шт")</f>
        <v>шт</v>
      </c>
      <c r="F99" s="1" t="str">
        <f ca="1">IFERROR(__xludf.DUMMYFUNCTION("""COMPUTED_VALUE"""),"AST00000259")</f>
        <v>AST00000259</v>
      </c>
      <c r="G99" s="1">
        <f ca="1">IFERROR(__xludf.DUMMYFUNCTION("""COMPUTED_VALUE"""),3800232480109)</f>
        <v>3800232480109</v>
      </c>
      <c r="H99" s="1" t="str">
        <f ca="1">IFERROR(__xludf.DUMMYFUNCTION("""COMPUTED_VALUE"""),"M")</f>
        <v>M</v>
      </c>
    </row>
    <row r="100" spans="1:8" x14ac:dyDescent="0.2">
      <c r="A100" s="1">
        <f ca="1">IFERROR(__xludf.DUMMYFUNCTION("""COMPUTED_VALUE"""),3800232480161)</f>
        <v>3800232480161</v>
      </c>
      <c r="B100" s="1" t="str">
        <f ca="1">IFERROR(__xludf.DUMMYFUNCTION("""COMPUTED_VALUE"""),"2005 L_BG")</f>
        <v>2005 L_BG</v>
      </c>
      <c r="C100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D100" s="1" t="str">
        <f ca="1">IFERROR(__xludf.DUMMYFUNCTION("""COMPUTED_VALUE"""),"Реклинатор (корректор осанки) детский 2005 L (Болгария) ш/к 3800232480161")</f>
        <v>Реклинатор (корректор осанки) детский 2005 L (Болгария) ш/к 3800232480161</v>
      </c>
      <c r="E100" s="1" t="str">
        <f ca="1">IFERROR(__xludf.DUMMYFUNCTION("""COMPUTED_VALUE"""),"шт")</f>
        <v>шт</v>
      </c>
      <c r="F100" s="1" t="str">
        <f ca="1">IFERROR(__xludf.DUMMYFUNCTION("""COMPUTED_VALUE"""),"AST00000172")</f>
        <v>AST00000172</v>
      </c>
      <c r="G100" s="1">
        <f ca="1">IFERROR(__xludf.DUMMYFUNCTION("""COMPUTED_VALUE"""),3800232480161)</f>
        <v>3800232480161</v>
      </c>
      <c r="H100" s="1" t="str">
        <f ca="1">IFERROR(__xludf.DUMMYFUNCTION("""COMPUTED_VALUE"""),"S")</f>
        <v>S</v>
      </c>
    </row>
    <row r="101" spans="1:8" x14ac:dyDescent="0.2">
      <c r="A101" s="1">
        <f ca="1">IFERROR(__xludf.DUMMYFUNCTION("""COMPUTED_VALUE"""),3800232480178)</f>
        <v>3800232480178</v>
      </c>
      <c r="B101" s="1" t="str">
        <f ca="1">IFERROR(__xludf.DUMMYFUNCTION("""COMPUTED_VALUE"""),"2005 M_BG")</f>
        <v>2005 M_BG</v>
      </c>
      <c r="C101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D101" s="1" t="str">
        <f ca="1">IFERROR(__xludf.DUMMYFUNCTION("""COMPUTED_VALUE"""),"Реклинатор (корректор осанки) детский 2005 M (Болгария) ш/к 3800232480178")</f>
        <v>Реклинатор (корректор осанки) детский 2005 M (Болгария) ш/к 3800232480178</v>
      </c>
      <c r="E101" s="1" t="str">
        <f ca="1">IFERROR(__xludf.DUMMYFUNCTION("""COMPUTED_VALUE"""),"шт")</f>
        <v>шт</v>
      </c>
      <c r="F101" s="1" t="str">
        <f ca="1">IFERROR(__xludf.DUMMYFUNCTION("""COMPUTED_VALUE"""),"AST00000171")</f>
        <v>AST00000171</v>
      </c>
      <c r="G101" s="1">
        <f ca="1">IFERROR(__xludf.DUMMYFUNCTION("""COMPUTED_VALUE"""),3800232480178)</f>
        <v>3800232480178</v>
      </c>
      <c r="H101" s="1" t="str">
        <f ca="1">IFERROR(__xludf.DUMMYFUNCTION("""COMPUTED_VALUE"""),"M")</f>
        <v>M</v>
      </c>
    </row>
    <row r="102" spans="1:8" x14ac:dyDescent="0.2">
      <c r="A102" s="1">
        <f ca="1">IFERROR(__xludf.DUMMYFUNCTION("""COMPUTED_VALUE"""),3800232480185)</f>
        <v>3800232480185</v>
      </c>
      <c r="B102" s="1" t="str">
        <f ca="1">IFERROR(__xludf.DUMMYFUNCTION("""COMPUTED_VALUE"""),"2005 S_BG")</f>
        <v>2005 S_BG</v>
      </c>
      <c r="C102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D102" s="1" t="str">
        <f ca="1">IFERROR(__xludf.DUMMYFUNCTION("""COMPUTED_VALUE"""),"Реклинатор (корректор осанки) детский 2005 S (Болгария) ш/к 3800232480185")</f>
        <v>Реклинатор (корректор осанки) детский 2005 S (Болгария) ш/к 3800232480185</v>
      </c>
      <c r="E102" s="1" t="str">
        <f ca="1">IFERROR(__xludf.DUMMYFUNCTION("""COMPUTED_VALUE"""),"шт")</f>
        <v>шт</v>
      </c>
      <c r="F102" s="1" t="str">
        <f ca="1">IFERROR(__xludf.DUMMYFUNCTION("""COMPUTED_VALUE"""),"AST00000313")</f>
        <v>AST00000313</v>
      </c>
      <c r="G102" s="1">
        <f ca="1">IFERROR(__xludf.DUMMYFUNCTION("""COMPUTED_VALUE"""),3800232480185)</f>
        <v>3800232480185</v>
      </c>
      <c r="H102" s="1"/>
    </row>
    <row r="103" spans="1:8" x14ac:dyDescent="0.2">
      <c r="A103" s="1">
        <f ca="1">IFERROR(__xludf.DUMMYFUNCTION("""COMPUTED_VALUE"""),3800232480246)</f>
        <v>3800232480246</v>
      </c>
      <c r="B103" s="1" t="str">
        <f ca="1">IFERROR(__xludf.DUMMYFUNCTION("""COMPUTED_VALUE"""),"2011 L_BG")</f>
        <v>2011 L_BG</v>
      </c>
      <c r="C103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D103" s="1" t="str">
        <f ca="1">IFERROR(__xludf.DUMMYFUNCTION("""COMPUTED_VALUE"""),"Корректор осанки с ребрами жесткости эластичный 2011 L (Болгария) ш/к 3800232480246")</f>
        <v>Корректор осанки с ребрами жесткости эластичный 2011 L (Болгария) ш/к 3800232480246</v>
      </c>
      <c r="E103" s="1" t="str">
        <f ca="1">IFERROR(__xludf.DUMMYFUNCTION("""COMPUTED_VALUE"""),"шт")</f>
        <v>шт</v>
      </c>
      <c r="F103" s="1" t="str">
        <f ca="1">IFERROR(__xludf.DUMMYFUNCTION("""COMPUTED_VALUE"""),"AST00000175")</f>
        <v>AST00000175</v>
      </c>
      <c r="G103" s="1">
        <f ca="1">IFERROR(__xludf.DUMMYFUNCTION("""COMPUTED_VALUE"""),3800232480246)</f>
        <v>3800232480246</v>
      </c>
      <c r="H103" s="1"/>
    </row>
    <row r="104" spans="1:8" x14ac:dyDescent="0.2">
      <c r="A104" s="1">
        <f ca="1">IFERROR(__xludf.DUMMYFUNCTION("""COMPUTED_VALUE"""),3800232480253)</f>
        <v>3800232480253</v>
      </c>
      <c r="B104" s="1" t="str">
        <f ca="1">IFERROR(__xludf.DUMMYFUNCTION("""COMPUTED_VALUE"""),"2011 M_BG")</f>
        <v>2011 M_BG</v>
      </c>
      <c r="C104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D104" s="1" t="str">
        <f ca="1">IFERROR(__xludf.DUMMYFUNCTION("""COMPUTED_VALUE"""),"Корректор осанки с ребрами жесткости эластичный 2011 M (Болгария) ш/к 3800232480253")</f>
        <v>Корректор осанки с ребрами жесткости эластичный 2011 M (Болгария) ш/к 3800232480253</v>
      </c>
      <c r="E104" s="1" t="str">
        <f ca="1">IFERROR(__xludf.DUMMYFUNCTION("""COMPUTED_VALUE"""),"шт")</f>
        <v>шт</v>
      </c>
      <c r="F104" s="1" t="str">
        <f ca="1">IFERROR(__xludf.DUMMYFUNCTION("""COMPUTED_VALUE"""),"AST00000174")</f>
        <v>AST00000174</v>
      </c>
      <c r="G104" s="1">
        <f ca="1">IFERROR(__xludf.DUMMYFUNCTION("""COMPUTED_VALUE"""),3800232480253)</f>
        <v>3800232480253</v>
      </c>
      <c r="H104" s="1"/>
    </row>
    <row r="105" spans="1:8" x14ac:dyDescent="0.2">
      <c r="A105" s="1">
        <f ca="1">IFERROR(__xludf.DUMMYFUNCTION("""COMPUTED_VALUE"""),3800232480260)</f>
        <v>3800232480260</v>
      </c>
      <c r="B105" s="1" t="str">
        <f ca="1">IFERROR(__xludf.DUMMYFUNCTION("""COMPUTED_VALUE"""),"2011 S_BG")</f>
        <v>2011 S_BG</v>
      </c>
      <c r="C105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D105" s="1" t="str">
        <f ca="1">IFERROR(__xludf.DUMMYFUNCTION("""COMPUTED_VALUE"""),"Корректор осанки с ребрами жесткости эластичный 2011 S (Болгария) ш/к 3800232480260")</f>
        <v>Корректор осанки с ребрами жесткости эластичный 2011 S (Болгария) ш/к 3800232480260</v>
      </c>
      <c r="E105" s="1" t="str">
        <f ca="1">IFERROR(__xludf.DUMMYFUNCTION("""COMPUTED_VALUE"""),"шт")</f>
        <v>шт</v>
      </c>
      <c r="F105" s="1" t="str">
        <f ca="1">IFERROR(__xludf.DUMMYFUNCTION("""COMPUTED_VALUE"""),"AST00000173")</f>
        <v>AST00000173</v>
      </c>
      <c r="G105" s="1">
        <f ca="1">IFERROR(__xludf.DUMMYFUNCTION("""COMPUTED_VALUE"""),3800232480260)</f>
        <v>3800232480260</v>
      </c>
      <c r="H105" s="1"/>
    </row>
    <row r="106" spans="1:8" x14ac:dyDescent="0.2">
      <c r="A106" s="1">
        <f ca="1">IFERROR(__xludf.DUMMYFUNCTION("""COMPUTED_VALUE"""),3800232480277)</f>
        <v>3800232480277</v>
      </c>
      <c r="B106" s="1" t="str">
        <f ca="1">IFERROR(__xludf.DUMMYFUNCTION("""COMPUTED_VALUE"""),"2011 XL_BG")</f>
        <v>2011 XL_BG</v>
      </c>
      <c r="C106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D106" s="1" t="str">
        <f ca="1">IFERROR(__xludf.DUMMYFUNCTION("""COMPUTED_VALUE"""),"Корректор осанки с ребрами жесткости эластичный 2011 XL (Болгария) ш/к 3800232480277")</f>
        <v>Корректор осанки с ребрами жесткости эластичный 2011 XL (Болгария) ш/к 3800232480277</v>
      </c>
      <c r="E106" s="1" t="str">
        <f ca="1">IFERROR(__xludf.DUMMYFUNCTION("""COMPUTED_VALUE"""),"шт")</f>
        <v>шт</v>
      </c>
      <c r="F106" s="1" t="str">
        <f ca="1">IFERROR(__xludf.DUMMYFUNCTION("""COMPUTED_VALUE"""),"AST00000176")</f>
        <v>AST00000176</v>
      </c>
      <c r="G106" s="1">
        <f ca="1">IFERROR(__xludf.DUMMYFUNCTION("""COMPUTED_VALUE"""),3800232480277)</f>
        <v>3800232480277</v>
      </c>
      <c r="H106" s="1"/>
    </row>
    <row r="107" spans="1:8" x14ac:dyDescent="0.2">
      <c r="A107" s="1">
        <f ca="1">IFERROR(__xludf.DUMMYFUNCTION("""COMPUTED_VALUE"""),3800232480284)</f>
        <v>3800232480284</v>
      </c>
      <c r="B107" s="1" t="str">
        <f ca="1">IFERROR(__xludf.DUMMYFUNCTION("""COMPUTED_VALUE"""),"2011 XXL_BG")</f>
        <v>2011 XXL_BG</v>
      </c>
      <c r="C107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D107" s="1" t="str">
        <f ca="1">IFERROR(__xludf.DUMMYFUNCTION("""COMPUTED_VALUE"""),"Корректор осанки с ребрами жесткости эластичный 2011 XXL (Болгария) ш/к 3800232480284")</f>
        <v>Корректор осанки с ребрами жесткости эластичный 2011 XXL (Болгария) ш/к 3800232480284</v>
      </c>
      <c r="E107" s="1" t="str">
        <f ca="1">IFERROR(__xludf.DUMMYFUNCTION("""COMPUTED_VALUE"""),"шт")</f>
        <v>шт</v>
      </c>
      <c r="F107" s="1" t="str">
        <f ca="1">IFERROR(__xludf.DUMMYFUNCTION("""COMPUTED_VALUE"""),"AST00000260")</f>
        <v>AST00000260</v>
      </c>
      <c r="G107" s="1">
        <f ca="1">IFERROR(__xludf.DUMMYFUNCTION("""COMPUTED_VALUE"""),3800232480284)</f>
        <v>3800232480284</v>
      </c>
      <c r="H107" s="1"/>
    </row>
    <row r="108" spans="1:8" x14ac:dyDescent="0.2">
      <c r="A108" s="1">
        <f ca="1">IFERROR(__xludf.DUMMYFUNCTION("""COMPUTED_VALUE"""),3800232480369)</f>
        <v>3800232480369</v>
      </c>
      <c r="B108" s="1" t="str">
        <f ca="1">IFERROR(__xludf.DUMMYFUNCTION("""COMPUTED_VALUE"""),"2024 L_BG")</f>
        <v>2024 L_BG</v>
      </c>
      <c r="C108" s="1" t="str">
        <f ca="1">IFERROR(__xludf.DUMMYFUNCTION("""COMPUTED_VALUE"""),"Реклинатор ключичный усиленной фиксации 2024 - L (Болгария)")</f>
        <v>Реклинатор ключичный усиленной фиксации 2024 - L (Болгария)</v>
      </c>
      <c r="D108" s="1" t="str">
        <f ca="1">IFERROR(__xludf.DUMMYFUNCTION("""COMPUTED_VALUE"""),"Реклинатор ключичный усиленной фиксации 2024 - L (Болгария) ш/к 3800232480369")</f>
        <v>Реклинатор ключичный усиленной фиксации 2024 - L (Болгария) ш/к 3800232480369</v>
      </c>
      <c r="E108" s="1" t="str">
        <f ca="1">IFERROR(__xludf.DUMMYFUNCTION("""COMPUTED_VALUE"""),"шт")</f>
        <v>шт</v>
      </c>
      <c r="F108" s="1" t="str">
        <f ca="1">IFERROR(__xludf.DUMMYFUNCTION("""COMPUTED_VALUE"""),"AST00000407")</f>
        <v>AST00000407</v>
      </c>
      <c r="G108" s="1">
        <f ca="1">IFERROR(__xludf.DUMMYFUNCTION("""COMPUTED_VALUE"""),3800232480369)</f>
        <v>3800232480369</v>
      </c>
      <c r="H108" s="1"/>
    </row>
    <row r="109" spans="1:8" x14ac:dyDescent="0.2">
      <c r="A109" s="1">
        <f ca="1">IFERROR(__xludf.DUMMYFUNCTION("""COMPUTED_VALUE"""),3800232480376)</f>
        <v>3800232480376</v>
      </c>
      <c r="B109" s="1" t="str">
        <f ca="1">IFERROR(__xludf.DUMMYFUNCTION("""COMPUTED_VALUE"""),"2024 M_BG")</f>
        <v>2024 M_BG</v>
      </c>
      <c r="C109" s="1" t="str">
        <f ca="1">IFERROR(__xludf.DUMMYFUNCTION("""COMPUTED_VALUE"""),"Реклинатор ключичный усиленной фиксации 2024 - M (Болгария)")</f>
        <v>Реклинатор ключичный усиленной фиксации 2024 - M (Болгария)</v>
      </c>
      <c r="D109" s="1" t="str">
        <f ca="1">IFERROR(__xludf.DUMMYFUNCTION("""COMPUTED_VALUE"""),"Реклинатор ключичный усиленной фиксации 2024 - M (Болгария) ш/к 3800232480376")</f>
        <v>Реклинатор ключичный усиленной фиксации 2024 - M (Болгария) ш/к 3800232480376</v>
      </c>
      <c r="E109" s="1" t="str">
        <f ca="1">IFERROR(__xludf.DUMMYFUNCTION("""COMPUTED_VALUE"""),"шт")</f>
        <v>шт</v>
      </c>
      <c r="F109" s="1" t="str">
        <f ca="1">IFERROR(__xludf.DUMMYFUNCTION("""COMPUTED_VALUE"""),"AST00000360")</f>
        <v>AST00000360</v>
      </c>
      <c r="G109" s="1">
        <f ca="1">IFERROR(__xludf.DUMMYFUNCTION("""COMPUTED_VALUE"""),3800232480376)</f>
        <v>3800232480376</v>
      </c>
      <c r="H109" s="1"/>
    </row>
    <row r="110" spans="1:8" x14ac:dyDescent="0.2">
      <c r="A110" s="1">
        <f ca="1">IFERROR(__xludf.DUMMYFUNCTION("""COMPUTED_VALUE"""),3800232480383)</f>
        <v>3800232480383</v>
      </c>
      <c r="B110" s="1" t="str">
        <f ca="1">IFERROR(__xludf.DUMMYFUNCTION("""COMPUTED_VALUE"""),"2024 S_BG")</f>
        <v>2024 S_BG</v>
      </c>
      <c r="C110" s="1" t="str">
        <f ca="1">IFERROR(__xludf.DUMMYFUNCTION("""COMPUTED_VALUE"""),"Реклинатор ключичный усиленной фиксации 2024 - S (Болгария)")</f>
        <v>Реклинатор ключичный усиленной фиксации 2024 - S (Болгария)</v>
      </c>
      <c r="D110" s="1" t="str">
        <f ca="1">IFERROR(__xludf.DUMMYFUNCTION("""COMPUTED_VALUE"""),"Реклинатор ключичный усиленной фиксации 2024 - S (Болгария) ш/к 3800232480383")</f>
        <v>Реклинатор ключичный усиленной фиксации 2024 - S (Болгария) ш/к 3800232480383</v>
      </c>
      <c r="E110" s="1" t="str">
        <f ca="1">IFERROR(__xludf.DUMMYFUNCTION("""COMPUTED_VALUE"""),"шт")</f>
        <v>шт</v>
      </c>
      <c r="F110" s="1" t="str">
        <f ca="1">IFERROR(__xludf.DUMMYFUNCTION("""COMPUTED_VALUE"""),"AST00000406")</f>
        <v>AST00000406</v>
      </c>
      <c r="G110" s="1">
        <f ca="1">IFERROR(__xludf.DUMMYFUNCTION("""COMPUTED_VALUE"""),3800232480383)</f>
        <v>3800232480383</v>
      </c>
      <c r="H110" s="1"/>
    </row>
    <row r="111" spans="1:8" x14ac:dyDescent="0.2">
      <c r="A111" s="1">
        <f ca="1">IFERROR(__xludf.DUMMYFUNCTION("""COMPUTED_VALUE"""),3800232480390)</f>
        <v>3800232480390</v>
      </c>
      <c r="B111" s="1" t="str">
        <f ca="1">IFERROR(__xludf.DUMMYFUNCTION("""COMPUTED_VALUE"""),"2024 XL_BG")</f>
        <v>2024 XL_BG</v>
      </c>
      <c r="C111" s="1" t="str">
        <f ca="1">IFERROR(__xludf.DUMMYFUNCTION("""COMPUTED_VALUE"""),"Реклинатор ключичный усиленной фиксации 2024 - XL (Болгария)")</f>
        <v>Реклинатор ключичный усиленной фиксации 2024 - XL (Болгария)</v>
      </c>
      <c r="D111" s="1" t="str">
        <f ca="1">IFERROR(__xludf.DUMMYFUNCTION("""COMPUTED_VALUE"""),"Реклинатор ключичный усиленной фиксации 2024 - XL (Болгария) ш/к 3800232480390")</f>
        <v>Реклинатор ключичный усиленной фиксации 2024 - XL (Болгария) ш/к 3800232480390</v>
      </c>
      <c r="E111" s="1" t="str">
        <f ca="1">IFERROR(__xludf.DUMMYFUNCTION("""COMPUTED_VALUE"""),"шт")</f>
        <v>шт</v>
      </c>
      <c r="F111" s="1" t="str">
        <f ca="1">IFERROR(__xludf.DUMMYFUNCTION("""COMPUTED_VALUE"""),"AST00000408")</f>
        <v>AST00000408</v>
      </c>
      <c r="G111" s="1">
        <f ca="1">IFERROR(__xludf.DUMMYFUNCTION("""COMPUTED_VALUE"""),3800232480390)</f>
        <v>3800232480390</v>
      </c>
      <c r="H111" s="1"/>
    </row>
    <row r="112" spans="1:8" x14ac:dyDescent="0.2">
      <c r="A112" s="1">
        <f ca="1">IFERROR(__xludf.DUMMYFUNCTION("""COMPUTED_VALUE"""),3800232480406)</f>
        <v>3800232480406</v>
      </c>
      <c r="B112" s="1" t="str">
        <f ca="1">IFERROR(__xludf.DUMMYFUNCTION("""COMPUTED_VALUE"""),"2024 XXL_BG")</f>
        <v>2024 XXL_BG</v>
      </c>
      <c r="C112" s="1" t="str">
        <f ca="1">IFERROR(__xludf.DUMMYFUNCTION("""COMPUTED_VALUE"""),"Реклинатор ключичный усиленной фиксации 2024 - XXL (Болгария)")</f>
        <v>Реклинатор ключичный усиленной фиксации 2024 - XXL (Болгария)</v>
      </c>
      <c r="D112" s="1" t="str">
        <f ca="1">IFERROR(__xludf.DUMMYFUNCTION("""COMPUTED_VALUE"""),"Реклинатор ключичный усиленной фиксации 2024 - XXL (Болгария) ш/к 3800232480406")</f>
        <v>Реклинатор ключичный усиленной фиксации 2024 - XXL (Болгария) ш/к 3800232480406</v>
      </c>
      <c r="E112" s="1" t="str">
        <f ca="1">IFERROR(__xludf.DUMMYFUNCTION("""COMPUTED_VALUE"""),"шт")</f>
        <v>шт</v>
      </c>
      <c r="F112" s="1" t="str">
        <f ca="1">IFERROR(__xludf.DUMMYFUNCTION("""COMPUTED_VALUE"""),"AST00000409")</f>
        <v>AST00000409</v>
      </c>
      <c r="G112" s="1">
        <f ca="1">IFERROR(__xludf.DUMMYFUNCTION("""COMPUTED_VALUE"""),3800232480406)</f>
        <v>3800232480406</v>
      </c>
      <c r="H112" s="1"/>
    </row>
    <row r="113" spans="1:8" x14ac:dyDescent="0.2">
      <c r="A113" s="1">
        <f ca="1">IFERROR(__xludf.DUMMYFUNCTION("""COMPUTED_VALUE"""),3800232480499)</f>
        <v>3800232480499</v>
      </c>
      <c r="B113" s="1" t="str">
        <f ca="1">IFERROR(__xludf.DUMMYFUNCTION("""COMPUTED_VALUE"""),"3011 L_BG")</f>
        <v>3011 L_BG</v>
      </c>
      <c r="C113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D113" s="1" t="str">
        <f ca="1">IFERROR(__xludf.DUMMYFUNCTION("""COMPUTED_VALUE"""),"Корректор лечебно-профилактический (с 4 ребрами жесткости) эластичный 3011 - L (Болгария) ш/к 3800232480499")</f>
        <v>Корректор лечебно-профилактический (с 4 ребрами жесткости) эластичный 3011 - L (Болгария) ш/к 3800232480499</v>
      </c>
      <c r="E113" s="1" t="str">
        <f ca="1">IFERROR(__xludf.DUMMYFUNCTION("""COMPUTED_VALUE"""),"шт")</f>
        <v>шт</v>
      </c>
      <c r="F113" s="1" t="str">
        <f ca="1">IFERROR(__xludf.DUMMYFUNCTION("""COMPUTED_VALUE"""),"AST00000178")</f>
        <v>AST00000178</v>
      </c>
      <c r="G113" s="1">
        <f ca="1">IFERROR(__xludf.DUMMYFUNCTION("""COMPUTED_VALUE"""),3800232480499)</f>
        <v>3800232480499</v>
      </c>
      <c r="H113" s="1"/>
    </row>
    <row r="114" spans="1:8" x14ac:dyDescent="0.2">
      <c r="A114" s="1">
        <f ca="1">IFERROR(__xludf.DUMMYFUNCTION("""COMPUTED_VALUE"""),3800232480505)</f>
        <v>3800232480505</v>
      </c>
      <c r="B114" s="1" t="str">
        <f ca="1">IFERROR(__xludf.DUMMYFUNCTION("""COMPUTED_VALUE"""),"3011 M_BG")</f>
        <v>3011 M_BG</v>
      </c>
      <c r="C114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D114" s="1" t="str">
        <f ca="1">IFERROR(__xludf.DUMMYFUNCTION("""COMPUTED_VALUE"""),"Корректор лечебно-профилактический (с 4 ребрами жесткости) эластичный 3011 - М (Болгария) ш/к 3800232480505")</f>
        <v>Корректор лечебно-профилактический (с 4 ребрами жесткости) эластичный 3011 - М (Болгария) ш/к 3800232480505</v>
      </c>
      <c r="E114" s="1" t="str">
        <f ca="1">IFERROR(__xludf.DUMMYFUNCTION("""COMPUTED_VALUE"""),"шт")</f>
        <v>шт</v>
      </c>
      <c r="F114" s="1" t="str">
        <f ca="1">IFERROR(__xludf.DUMMYFUNCTION("""COMPUTED_VALUE"""),"AST00000177")</f>
        <v>AST00000177</v>
      </c>
      <c r="G114" s="1">
        <f ca="1">IFERROR(__xludf.DUMMYFUNCTION("""COMPUTED_VALUE"""),3800232480505)</f>
        <v>3800232480505</v>
      </c>
      <c r="H114" s="1"/>
    </row>
    <row r="115" spans="1:8" x14ac:dyDescent="0.2">
      <c r="A115" s="1">
        <f ca="1">IFERROR(__xludf.DUMMYFUNCTION("""COMPUTED_VALUE"""),3800232480529)</f>
        <v>3800232480529</v>
      </c>
      <c r="B115" s="1" t="str">
        <f ca="1">IFERROR(__xludf.DUMMYFUNCTION("""COMPUTED_VALUE"""),"3011 XL_BG")</f>
        <v>3011 XL_BG</v>
      </c>
      <c r="C115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D115" s="1" t="str">
        <f ca="1">IFERROR(__xludf.DUMMYFUNCTION("""COMPUTED_VALUE"""),"Корректор лечебно-профилактический (с 4 ребрами жесткости) эластичный 3011- XL (Болгария) ш/к 3800232480529")</f>
        <v>Корректор лечебно-профилактический (с 4 ребрами жесткости) эластичный 3011- XL (Болгария) ш/к 3800232480529</v>
      </c>
      <c r="E115" s="1" t="str">
        <f ca="1">IFERROR(__xludf.DUMMYFUNCTION("""COMPUTED_VALUE"""),"шт")</f>
        <v>шт</v>
      </c>
      <c r="F115" s="1" t="str">
        <f ca="1">IFERROR(__xludf.DUMMYFUNCTION("""COMPUTED_VALUE"""),"AST00000267")</f>
        <v>AST00000267</v>
      </c>
      <c r="G115" s="1">
        <f ca="1">IFERROR(__xludf.DUMMYFUNCTION("""COMPUTED_VALUE"""),3800232480529)</f>
        <v>3800232480529</v>
      </c>
      <c r="H115" s="1"/>
    </row>
    <row r="116" spans="1:8" x14ac:dyDescent="0.2">
      <c r="A116" s="1">
        <f ca="1">IFERROR(__xludf.DUMMYFUNCTION("""COMPUTED_VALUE"""),3800232480543)</f>
        <v>3800232480543</v>
      </c>
      <c r="B116" s="1" t="str">
        <f ca="1">IFERROR(__xludf.DUMMYFUNCTION("""COMPUTED_VALUE"""),"3011 XXL_BG")</f>
        <v>3011 XXL_BG</v>
      </c>
      <c r="C116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D116" s="1" t="str">
        <f ca="1">IFERROR(__xludf.DUMMYFUNCTION("""COMPUTED_VALUE"""),"Корректор лечебно-профилактический (с 4 ребрами жесткости) эластичный 3011- XXL (Болгария) ш/к 3800232480543")</f>
        <v>Корректор лечебно-профилактический (с 4 ребрами жесткости) эластичный 3011- XXL (Болгария) ш/к 3800232480543</v>
      </c>
      <c r="E116" s="1" t="str">
        <f ca="1">IFERROR(__xludf.DUMMYFUNCTION("""COMPUTED_VALUE"""),"шт")</f>
        <v>шт</v>
      </c>
      <c r="F116" s="1" t="str">
        <f ca="1">IFERROR(__xludf.DUMMYFUNCTION("""COMPUTED_VALUE"""),"AST00000179")</f>
        <v>AST00000179</v>
      </c>
      <c r="G116" s="1">
        <f ca="1">IFERROR(__xludf.DUMMYFUNCTION("""COMPUTED_VALUE"""),3800232480543)</f>
        <v>3800232480543</v>
      </c>
      <c r="H116" s="1"/>
    </row>
    <row r="117" spans="1:8" x14ac:dyDescent="0.2">
      <c r="A117" s="1">
        <f ca="1">IFERROR(__xludf.DUMMYFUNCTION("""COMPUTED_VALUE"""),3800232480550)</f>
        <v>3800232480550</v>
      </c>
      <c r="B117" s="1" t="str">
        <f ca="1">IFERROR(__xludf.DUMMYFUNCTION("""COMPUTED_VALUE"""),"3011 XXXL_BG")</f>
        <v>3011 XXXL_BG</v>
      </c>
      <c r="C117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D117" s="1" t="str">
        <f ca="1">IFERROR(__xludf.DUMMYFUNCTION("""COMPUTED_VALUE"""),"Корректор лечебно-профилактический (с 4 ребрами жесткости) эластичный 3011- XXXL (Болгария) ш/к 3800232480550")</f>
        <v>Корректор лечебно-профилактический (с 4 ребрами жесткости) эластичный 3011- XXXL (Болгария) ш/к 3800232480550</v>
      </c>
      <c r="E117" s="1" t="str">
        <f ca="1">IFERROR(__xludf.DUMMYFUNCTION("""COMPUTED_VALUE"""),"шт")</f>
        <v>шт</v>
      </c>
      <c r="F117" s="1" t="str">
        <f ca="1">IFERROR(__xludf.DUMMYFUNCTION("""COMPUTED_VALUE"""),"AST00000180")</f>
        <v>AST00000180</v>
      </c>
      <c r="G117" s="1">
        <f ca="1">IFERROR(__xludf.DUMMYFUNCTION("""COMPUTED_VALUE"""),3800232480550)</f>
        <v>3800232480550</v>
      </c>
      <c r="H117" s="1"/>
    </row>
    <row r="118" spans="1:8" x14ac:dyDescent="0.2">
      <c r="A118" s="1">
        <f ca="1">IFERROR(__xludf.DUMMYFUNCTION("""COMPUTED_VALUE"""),3800232480567)</f>
        <v>3800232480567</v>
      </c>
      <c r="B118" s="1" t="str">
        <f ca="1">IFERROR(__xludf.DUMMYFUNCTION("""COMPUTED_VALUE"""),"3011 XXXXL_BG")</f>
        <v>3011 XXXXL_BG</v>
      </c>
      <c r="C118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D118" s="1" t="str">
        <f ca="1">IFERROR(__xludf.DUMMYFUNCTION("""COMPUTED_VALUE"""),"Корректор лечебно-профилактический (с 4 ребрами жесткости) эластичный 3011 - XXXXL (Болгария) ш/к 3800232480567")</f>
        <v>Корректор лечебно-профилактический (с 4 ребрами жесткости) эластичный 3011 - XXXXL (Болгария) ш/к 3800232480567</v>
      </c>
      <c r="E118" s="1" t="str">
        <f ca="1">IFERROR(__xludf.DUMMYFUNCTION("""COMPUTED_VALUE"""),"шт")</f>
        <v>шт</v>
      </c>
      <c r="F118" s="1" t="str">
        <f ca="1">IFERROR(__xludf.DUMMYFUNCTION("""COMPUTED_VALUE"""),"AST00000418")</f>
        <v>AST00000418</v>
      </c>
      <c r="G118" s="1">
        <f ca="1">IFERROR(__xludf.DUMMYFUNCTION("""COMPUTED_VALUE"""),3800232480567)</f>
        <v>3800232480567</v>
      </c>
      <c r="H118" s="1"/>
    </row>
    <row r="119" spans="1:8" x14ac:dyDescent="0.2">
      <c r="A119" s="1">
        <f ca="1">IFERROR(__xludf.DUMMYFUNCTION("""COMPUTED_VALUE"""),3800232480673)</f>
        <v>3800232480673</v>
      </c>
      <c r="B119" s="1" t="str">
        <f ca="1">IFERROR(__xludf.DUMMYFUNCTION("""COMPUTED_VALUE"""),"3041 M/L_BG")</f>
        <v>3041 M/L_BG</v>
      </c>
      <c r="C119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D119" s="1" t="str">
        <f ca="1">IFERROR(__xludf.DUMMYFUNCTION("""COMPUTED_VALUE"""),"Корсет ортопедический с ребрами жесткости согревающий 3041 M/L (Болгария) ш/к 3800232480673")</f>
        <v>Корсет ортопедический с ребрами жесткости согревающий 3041 M/L (Болгария) ш/к 3800232480673</v>
      </c>
      <c r="E119" s="1" t="str">
        <f ca="1">IFERROR(__xludf.DUMMYFUNCTION("""COMPUTED_VALUE"""),"шт")</f>
        <v>шт</v>
      </c>
      <c r="F119" s="1" t="str">
        <f ca="1">IFERROR(__xludf.DUMMYFUNCTION("""COMPUTED_VALUE"""),"AST00000307")</f>
        <v>AST00000307</v>
      </c>
      <c r="G119" s="1">
        <f ca="1">IFERROR(__xludf.DUMMYFUNCTION("""COMPUTED_VALUE"""),3800232480673)</f>
        <v>3800232480673</v>
      </c>
      <c r="H119" s="1"/>
    </row>
    <row r="120" spans="1:8" x14ac:dyDescent="0.2">
      <c r="A120" s="1">
        <f ca="1">IFERROR(__xludf.DUMMYFUNCTION("""COMPUTED_VALUE"""),3800232480680)</f>
        <v>3800232480680</v>
      </c>
      <c r="B120" s="1" t="str">
        <f ca="1">IFERROR(__xludf.DUMMYFUNCTION("""COMPUTED_VALUE"""),"3041 XL/XXL_BG")</f>
        <v>3041 XL/XXL_BG</v>
      </c>
      <c r="C120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D120" s="1" t="str">
        <f ca="1">IFERROR(__xludf.DUMMYFUNCTION("""COMPUTED_VALUE"""),"Корсет ортопедический с ребрами жесткости согревающий 3041 XL/XXL (Болгария) ш/к 3800232480680")</f>
        <v>Корсет ортопедический с ребрами жесткости согревающий 3041 XL/XXL (Болгария) ш/к 3800232480680</v>
      </c>
      <c r="E120" s="1" t="str">
        <f ca="1">IFERROR(__xludf.DUMMYFUNCTION("""COMPUTED_VALUE"""),"шт")</f>
        <v>шт</v>
      </c>
      <c r="F120" s="1" t="str">
        <f ca="1">IFERROR(__xludf.DUMMYFUNCTION("""COMPUTED_VALUE"""),"AST00000317")</f>
        <v>AST00000317</v>
      </c>
      <c r="G120" s="1">
        <f ca="1">IFERROR(__xludf.DUMMYFUNCTION("""COMPUTED_VALUE"""),3800232480680)</f>
        <v>3800232480680</v>
      </c>
      <c r="H120" s="1"/>
    </row>
    <row r="121" spans="1:8" x14ac:dyDescent="0.2">
      <c r="A121" s="1">
        <f ca="1">IFERROR(__xludf.DUMMYFUNCTION("""COMPUTED_VALUE"""),3800232484213)</f>
        <v>3800232484213</v>
      </c>
      <c r="B121" s="1" t="str">
        <f ca="1">IFERROR(__xludf.DUMMYFUNCTION("""COMPUTED_VALUE"""),"3041 XS/S_BG")</f>
        <v>3041 XS/S_BG</v>
      </c>
      <c r="C121" s="1" t="str">
        <f ca="1">IFERROR(__xludf.DUMMYFUNCTION("""COMPUTED_VALUE"""),"Корсет ортопедический с ребрами жесткости согревающий 3041 XS/S (Болгария)")</f>
        <v>Корсет ортопедический с ребрами жесткости согревающий 3041 XS/S (Болгария)</v>
      </c>
      <c r="D121" s="1" t="str">
        <f ca="1">IFERROR(__xludf.DUMMYFUNCTION("""COMPUTED_VALUE"""),"Корсет ортопедический с ребрами жесткости согревающий 3041 XS/S (Болгария) ш/к 3800232484213")</f>
        <v>Корсет ортопедический с ребрами жесткости согревающий 3041 XS/S (Болгария) ш/к 3800232484213</v>
      </c>
      <c r="E121" s="1" t="str">
        <f ca="1">IFERROR(__xludf.DUMMYFUNCTION("""COMPUTED_VALUE"""),"шт")</f>
        <v>шт</v>
      </c>
      <c r="F121" s="1" t="str">
        <f ca="1">IFERROR(__xludf.DUMMYFUNCTION("""COMPUTED_VALUE"""),"AST00000306")</f>
        <v>AST00000306</v>
      </c>
      <c r="G121" s="1">
        <f ca="1">IFERROR(__xludf.DUMMYFUNCTION("""COMPUTED_VALUE"""),3800232484213)</f>
        <v>3800232484213</v>
      </c>
      <c r="H121" s="1"/>
    </row>
    <row r="122" spans="1:8" x14ac:dyDescent="0.2">
      <c r="A122" s="1">
        <f ca="1">IFERROR(__xludf.DUMMYFUNCTION("""COMPUTED_VALUE"""),3800232480697)</f>
        <v>3800232480697</v>
      </c>
      <c r="B122" s="1" t="str">
        <f ca="1">IFERROR(__xludf.DUMMYFUNCTION("""COMPUTED_VALUE"""),"3041 XXXL/XXXXL_BG")</f>
        <v>3041 XXXL/XXXXL_BG</v>
      </c>
      <c r="C122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D122" s="1" t="str">
        <f ca="1">IFERROR(__xludf.DUMMYFUNCTION("""COMPUTED_VALUE"""),"Корсет ортопедический с ребрами жесткости согревающий 3041 XXXL/XXXXL (Болгария) ш/к 3800232480697")</f>
        <v>Корсет ортопедический с ребрами жесткости согревающий 3041 XXXL/XXXXL (Болгария) ш/к 3800232480697</v>
      </c>
      <c r="E122" s="1" t="str">
        <f ca="1">IFERROR(__xludf.DUMMYFUNCTION("""COMPUTED_VALUE"""),"шт")</f>
        <v>шт</v>
      </c>
      <c r="F122" s="1" t="str">
        <f ca="1">IFERROR(__xludf.DUMMYFUNCTION("""COMPUTED_VALUE"""),"AST00000308")</f>
        <v>AST00000308</v>
      </c>
      <c r="G122" s="1">
        <f ca="1">IFERROR(__xludf.DUMMYFUNCTION("""COMPUTED_VALUE"""),3800232480697)</f>
        <v>3800232480697</v>
      </c>
      <c r="H122" s="1"/>
    </row>
    <row r="123" spans="1:8" x14ac:dyDescent="0.2">
      <c r="A123" s="1">
        <f ca="1">IFERROR(__xludf.DUMMYFUNCTION("""COMPUTED_VALUE"""),3800232480871)</f>
        <v>3800232480871</v>
      </c>
      <c r="B123" s="1" t="str">
        <f ca="1">IFERROR(__xludf.DUMMYFUNCTION("""COMPUTED_VALUE"""),"4001 L_BG")</f>
        <v>4001 L_BG</v>
      </c>
      <c r="C123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D123" s="1" t="str">
        <f ca="1">IFERROR(__xludf.DUMMYFUNCTION("""COMPUTED_VALUE"""),"Бандаж лечебно–профилактический (с тремя ребрами жесткости) 4001 L  (Болгария) ш/к 3800232480871")</f>
        <v>Бандаж лечебно–профилактический (с тремя ребрами жесткости) 4001 L  (Болгария) ш/к 3800232480871</v>
      </c>
      <c r="E123" s="1" t="str">
        <f ca="1">IFERROR(__xludf.DUMMYFUNCTION("""COMPUTED_VALUE"""),"шт")</f>
        <v>шт</v>
      </c>
      <c r="F123" s="1" t="str">
        <f ca="1">IFERROR(__xludf.DUMMYFUNCTION("""COMPUTED_VALUE"""),"AST00000182")</f>
        <v>AST00000182</v>
      </c>
      <c r="G123" s="1">
        <f ca="1">IFERROR(__xludf.DUMMYFUNCTION("""COMPUTED_VALUE"""),3800232480871)</f>
        <v>3800232480871</v>
      </c>
      <c r="H123" s="1"/>
    </row>
    <row r="124" spans="1:8" x14ac:dyDescent="0.2">
      <c r="A124" s="1">
        <f ca="1">IFERROR(__xludf.DUMMYFUNCTION("""COMPUTED_VALUE"""),3800232480888)</f>
        <v>3800232480888</v>
      </c>
      <c r="B124" s="1" t="str">
        <f ca="1">IFERROR(__xludf.DUMMYFUNCTION("""COMPUTED_VALUE"""),"4001 M_BG")</f>
        <v>4001 M_BG</v>
      </c>
      <c r="C124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D124" s="1" t="str">
        <f ca="1">IFERROR(__xludf.DUMMYFUNCTION("""COMPUTED_VALUE"""),"Бандаж лечебно–профилактический (с тремя ребрами жесткости) 4001 M (Болгария) ш/к 3800232480888")</f>
        <v>Бандаж лечебно–профилактический (с тремя ребрами жесткости) 4001 M (Болгария) ш/к 3800232480888</v>
      </c>
      <c r="E124" s="1" t="str">
        <f ca="1">IFERROR(__xludf.DUMMYFUNCTION("""COMPUTED_VALUE"""),"шт")</f>
        <v>шт</v>
      </c>
      <c r="F124" s="1" t="str">
        <f ca="1">IFERROR(__xludf.DUMMYFUNCTION("""COMPUTED_VALUE"""),"AST00000181")</f>
        <v>AST00000181</v>
      </c>
      <c r="G124" s="1">
        <f ca="1">IFERROR(__xludf.DUMMYFUNCTION("""COMPUTED_VALUE"""),3800232480888)</f>
        <v>3800232480888</v>
      </c>
      <c r="H124" s="1"/>
    </row>
    <row r="125" spans="1:8" x14ac:dyDescent="0.2">
      <c r="A125" s="1">
        <f ca="1">IFERROR(__xludf.DUMMYFUNCTION("""COMPUTED_VALUE"""),3800232480895)</f>
        <v>3800232480895</v>
      </c>
      <c r="B125" s="1" t="str">
        <f ca="1">IFERROR(__xludf.DUMMYFUNCTION("""COMPUTED_VALUE"""),"4001 S_BG")</f>
        <v>4001 S_BG</v>
      </c>
      <c r="C125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D125" s="1" t="str">
        <f ca="1">IFERROR(__xludf.DUMMYFUNCTION("""COMPUTED_VALUE"""),"Бандаж лечебно–профилактический (с тремя ребрами жесткости) 4001 S (Болгария) ш/к 3800232480895")</f>
        <v>Бандаж лечебно–профилактический (с тремя ребрами жесткости) 4001 S (Болгария) ш/к 3800232480895</v>
      </c>
      <c r="E125" s="1" t="str">
        <f ca="1">IFERROR(__xludf.DUMMYFUNCTION("""COMPUTED_VALUE"""),"шт")</f>
        <v>шт</v>
      </c>
      <c r="F125" s="1" t="str">
        <f ca="1">IFERROR(__xludf.DUMMYFUNCTION("""COMPUTED_VALUE"""),"AST00000314")</f>
        <v>AST00000314</v>
      </c>
      <c r="G125" s="1">
        <f ca="1">IFERROR(__xludf.DUMMYFUNCTION("""COMPUTED_VALUE"""),3800232480895)</f>
        <v>3800232480895</v>
      </c>
      <c r="H125" s="1"/>
    </row>
    <row r="126" spans="1:8" x14ac:dyDescent="0.2">
      <c r="A126" s="1">
        <f ca="1">IFERROR(__xludf.DUMMYFUNCTION("""COMPUTED_VALUE"""),3800232480901)</f>
        <v>3800232480901</v>
      </c>
      <c r="B126" s="1" t="str">
        <f ca="1">IFERROR(__xludf.DUMMYFUNCTION("""COMPUTED_VALUE"""),"4001 XL_BG")</f>
        <v>4001 XL_BG</v>
      </c>
      <c r="C126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D126" s="1" t="str">
        <f ca="1">IFERROR(__xludf.DUMMYFUNCTION("""COMPUTED_VALUE"""),"Бандаж лечебно–профилактический (с тремя ребрами жесткости) 4001 XL (Болгария) ш/к 3800232480901")</f>
        <v>Бандаж лечебно–профилактический (с тремя ребрами жесткости) 4001 XL (Болгария) ш/к 3800232480901</v>
      </c>
      <c r="E126" s="1" t="str">
        <f ca="1">IFERROR(__xludf.DUMMYFUNCTION("""COMPUTED_VALUE"""),"шт")</f>
        <v>шт</v>
      </c>
      <c r="F126" s="1" t="str">
        <f ca="1">IFERROR(__xludf.DUMMYFUNCTION("""COMPUTED_VALUE"""),"AST00000183")</f>
        <v>AST00000183</v>
      </c>
      <c r="G126" s="1">
        <f ca="1">IFERROR(__xludf.DUMMYFUNCTION("""COMPUTED_VALUE"""),3800232480901)</f>
        <v>3800232480901</v>
      </c>
      <c r="H126" s="1"/>
    </row>
    <row r="127" spans="1:8" x14ac:dyDescent="0.2">
      <c r="A127" s="1">
        <f ca="1">IFERROR(__xludf.DUMMYFUNCTION("""COMPUTED_VALUE"""),3800232480918)</f>
        <v>3800232480918</v>
      </c>
      <c r="B127" s="1" t="str">
        <f ca="1">IFERROR(__xludf.DUMMYFUNCTION("""COMPUTED_VALUE"""),"4001 XXL_BG")</f>
        <v>4001 XXL_BG</v>
      </c>
      <c r="C127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D127" s="1" t="str">
        <f ca="1">IFERROR(__xludf.DUMMYFUNCTION("""COMPUTED_VALUE"""),"Бандаж лечебно–профилактический (с тремя ребрами жесткости) 4001 XXL (Болгария) ш/к 3800232480918")</f>
        <v>Бандаж лечебно–профилактический (с тремя ребрами жесткости) 4001 XXL (Болгария) ш/к 3800232480918</v>
      </c>
      <c r="E127" s="1" t="str">
        <f ca="1">IFERROR(__xludf.DUMMYFUNCTION("""COMPUTED_VALUE"""),"шт")</f>
        <v>шт</v>
      </c>
      <c r="F127" s="1" t="str">
        <f ca="1">IFERROR(__xludf.DUMMYFUNCTION("""COMPUTED_VALUE"""),"AST00000184")</f>
        <v>AST00000184</v>
      </c>
      <c r="G127" s="1">
        <f ca="1">IFERROR(__xludf.DUMMYFUNCTION("""COMPUTED_VALUE"""),3800232480918)</f>
        <v>3800232480918</v>
      </c>
      <c r="H127" s="1"/>
    </row>
    <row r="128" spans="1:8" x14ac:dyDescent="0.2">
      <c r="A128" s="1">
        <f ca="1">IFERROR(__xludf.DUMMYFUNCTION("""COMPUTED_VALUE"""),3800232480925)</f>
        <v>3800232480925</v>
      </c>
      <c r="B128" s="1" t="str">
        <f ca="1">IFERROR(__xludf.DUMMYFUNCTION("""COMPUTED_VALUE"""),"4001 XXXL_BG")</f>
        <v>4001 XXXL_BG</v>
      </c>
      <c r="C128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D128" s="1" t="str">
        <f ca="1">IFERROR(__xludf.DUMMYFUNCTION("""COMPUTED_VALUE"""),"Бандаж лечебно–профилактический (с тремя ребрами жесткости) 4001 XXXL(Болгария) ш/к 3800232480925")</f>
        <v>Бандаж лечебно–профилактический (с тремя ребрами жесткости) 4001 XXXL(Болгария) ш/к 3800232480925</v>
      </c>
      <c r="E128" s="1" t="str">
        <f ca="1">IFERROR(__xludf.DUMMYFUNCTION("""COMPUTED_VALUE"""),"шт")</f>
        <v>шт</v>
      </c>
      <c r="F128" s="1" t="str">
        <f ca="1">IFERROR(__xludf.DUMMYFUNCTION("""COMPUTED_VALUE"""),"AST00000185")</f>
        <v>AST00000185</v>
      </c>
      <c r="G128" s="1">
        <f ca="1">IFERROR(__xludf.DUMMYFUNCTION("""COMPUTED_VALUE"""),3800232480925)</f>
        <v>3800232480925</v>
      </c>
      <c r="H128" s="1"/>
    </row>
    <row r="129" spans="1:8" x14ac:dyDescent="0.2">
      <c r="A129" s="1">
        <f ca="1">IFERROR(__xludf.DUMMYFUNCTION("""COMPUTED_VALUE"""),3800232480932)</f>
        <v>3800232480932</v>
      </c>
      <c r="B129" s="1" t="str">
        <f ca="1">IFERROR(__xludf.DUMMYFUNCTION("""COMPUTED_VALUE"""),"4001 XXXXL_BG")</f>
        <v>4001 XXXXL_BG</v>
      </c>
      <c r="C129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D129" s="1" t="str">
        <f ca="1">IFERROR(__xludf.DUMMYFUNCTION("""COMPUTED_VALUE"""),"Бандаж лечебно–профилактический (с тремя ребрами жесткости) 4001 XXXXL(Болгария) ш/к 3800232480932")</f>
        <v>Бандаж лечебно–профилактический (с тремя ребрами жесткости) 4001 XXXXL(Болгария) ш/к 3800232480932</v>
      </c>
      <c r="E129" s="1" t="str">
        <f ca="1">IFERROR(__xludf.DUMMYFUNCTION("""COMPUTED_VALUE"""),"шт")</f>
        <v>шт</v>
      </c>
      <c r="F129" s="1" t="str">
        <f ca="1">IFERROR(__xludf.DUMMYFUNCTION("""COMPUTED_VALUE"""),"AST00000261")</f>
        <v>AST00000261</v>
      </c>
      <c r="G129" s="1">
        <f ca="1">IFERROR(__xludf.DUMMYFUNCTION("""COMPUTED_VALUE"""),3800232480932)</f>
        <v>3800232480932</v>
      </c>
      <c r="H129" s="1"/>
    </row>
    <row r="130" spans="1:8" x14ac:dyDescent="0.2">
      <c r="A130" s="1">
        <f ca="1">IFERROR(__xludf.DUMMYFUNCTION("""COMPUTED_VALUE"""),3800232480949)</f>
        <v>3800232480949</v>
      </c>
      <c r="B130" s="1" t="str">
        <f ca="1">IFERROR(__xludf.DUMMYFUNCTION("""COMPUTED_VALUE"""),"4002 L_BG")</f>
        <v>4002 L_BG</v>
      </c>
      <c r="C130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D130" s="1" t="str">
        <f ca="1">IFERROR(__xludf.DUMMYFUNCTION("""COMPUTED_VALUE"""),"Бандаж лечебно–профилактический эластичный 4002 L (Болгария) ш/к 3800232480949")</f>
        <v>Бандаж лечебно–профилактический эластичный 4002 L (Болгария) ш/к 3800232480949</v>
      </c>
      <c r="E130" s="1" t="str">
        <f ca="1">IFERROR(__xludf.DUMMYFUNCTION("""COMPUTED_VALUE"""),"шт")</f>
        <v>шт</v>
      </c>
      <c r="F130" s="1" t="str">
        <f ca="1">IFERROR(__xludf.DUMMYFUNCTION("""COMPUTED_VALUE"""),"AST00000188")</f>
        <v>AST00000188</v>
      </c>
      <c r="G130" s="1">
        <f ca="1">IFERROR(__xludf.DUMMYFUNCTION("""COMPUTED_VALUE"""),3800232480949)</f>
        <v>3800232480949</v>
      </c>
      <c r="H130" s="1"/>
    </row>
    <row r="131" spans="1:8" x14ac:dyDescent="0.2">
      <c r="A131" s="1">
        <f ca="1">IFERROR(__xludf.DUMMYFUNCTION("""COMPUTED_VALUE"""),3800232480956)</f>
        <v>3800232480956</v>
      </c>
      <c r="B131" s="1" t="str">
        <f ca="1">IFERROR(__xludf.DUMMYFUNCTION("""COMPUTED_VALUE"""),"4002 M_BG")</f>
        <v>4002 M_BG</v>
      </c>
      <c r="C131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D131" s="1" t="str">
        <f ca="1">IFERROR(__xludf.DUMMYFUNCTION("""COMPUTED_VALUE"""),"Бандаж лечебно–профилактический эластичный 4002 M (Болгария) ш/к 3800232480956")</f>
        <v>Бандаж лечебно–профилактический эластичный 4002 M (Болгария) ш/к 3800232480956</v>
      </c>
      <c r="E131" s="1" t="str">
        <f ca="1">IFERROR(__xludf.DUMMYFUNCTION("""COMPUTED_VALUE"""),"шт")</f>
        <v>шт</v>
      </c>
      <c r="F131" s="1" t="str">
        <f ca="1">IFERROR(__xludf.DUMMYFUNCTION("""COMPUTED_VALUE"""),"AST00000187")</f>
        <v>AST00000187</v>
      </c>
      <c r="G131" s="1">
        <f ca="1">IFERROR(__xludf.DUMMYFUNCTION("""COMPUTED_VALUE"""),3800232480956)</f>
        <v>3800232480956</v>
      </c>
      <c r="H131" s="1"/>
    </row>
    <row r="132" spans="1:8" x14ac:dyDescent="0.2">
      <c r="A132" s="1">
        <f ca="1">IFERROR(__xludf.DUMMYFUNCTION("""COMPUTED_VALUE"""),3800232480963)</f>
        <v>3800232480963</v>
      </c>
      <c r="B132" s="1" t="str">
        <f ca="1">IFERROR(__xludf.DUMMYFUNCTION("""COMPUTED_VALUE"""),"4002 S_BG")</f>
        <v>4002 S_BG</v>
      </c>
      <c r="C132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D132" s="1" t="str">
        <f ca="1">IFERROR(__xludf.DUMMYFUNCTION("""COMPUTED_VALUE"""),"Бандаж лечебно–профилактический эластичный 4002 S (Болгария) ш/к 3800232480963")</f>
        <v>Бандаж лечебно–профилактический эластичный 4002 S (Болгария) ш/к 3800232480963</v>
      </c>
      <c r="E132" s="1" t="str">
        <f ca="1">IFERROR(__xludf.DUMMYFUNCTION("""COMPUTED_VALUE"""),"шт")</f>
        <v>шт</v>
      </c>
      <c r="F132" s="1" t="str">
        <f ca="1">IFERROR(__xludf.DUMMYFUNCTION("""COMPUTED_VALUE"""),"AST00000186")</f>
        <v>AST00000186</v>
      </c>
      <c r="G132" s="1">
        <f ca="1">IFERROR(__xludf.DUMMYFUNCTION("""COMPUTED_VALUE"""),3800232480963)</f>
        <v>3800232480963</v>
      </c>
      <c r="H132" s="1"/>
    </row>
    <row r="133" spans="1:8" x14ac:dyDescent="0.2">
      <c r="A133" s="1">
        <f ca="1">IFERROR(__xludf.DUMMYFUNCTION("""COMPUTED_VALUE"""),3800232480970)</f>
        <v>3800232480970</v>
      </c>
      <c r="B133" s="1" t="str">
        <f ca="1">IFERROR(__xludf.DUMMYFUNCTION("""COMPUTED_VALUE"""),"4002 XL_BG")</f>
        <v>4002 XL_BG</v>
      </c>
      <c r="C133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D133" s="1" t="str">
        <f ca="1">IFERROR(__xludf.DUMMYFUNCTION("""COMPUTED_VALUE"""),"Бандаж лечебно–профилактический эластичный 4002 XL (Болгария) ш/к 3800232480970")</f>
        <v>Бандаж лечебно–профилактический эластичный 4002 XL (Болгария) ш/к 3800232480970</v>
      </c>
      <c r="E133" s="1" t="str">
        <f ca="1">IFERROR(__xludf.DUMMYFUNCTION("""COMPUTED_VALUE"""),"шт")</f>
        <v>шт</v>
      </c>
      <c r="F133" s="1" t="str">
        <f ca="1">IFERROR(__xludf.DUMMYFUNCTION("""COMPUTED_VALUE"""),"AST00000189")</f>
        <v>AST00000189</v>
      </c>
      <c r="G133" s="1">
        <f ca="1">IFERROR(__xludf.DUMMYFUNCTION("""COMPUTED_VALUE"""),3800232480970)</f>
        <v>3800232480970</v>
      </c>
      <c r="H133" s="1"/>
    </row>
    <row r="134" spans="1:8" x14ac:dyDescent="0.2">
      <c r="A134" s="1">
        <f ca="1">IFERROR(__xludf.DUMMYFUNCTION("""COMPUTED_VALUE"""),3800232480987)</f>
        <v>3800232480987</v>
      </c>
      <c r="B134" s="1" t="str">
        <f ca="1">IFERROR(__xludf.DUMMYFUNCTION("""COMPUTED_VALUE"""),"4002 XXL_BG")</f>
        <v>4002 XXL_BG</v>
      </c>
      <c r="C134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D134" s="1" t="str">
        <f ca="1">IFERROR(__xludf.DUMMYFUNCTION("""COMPUTED_VALUE"""),"Бандаж лечебно–профилактический эластичный 4002 XXL (Болгария) ш/к 3800232480987")</f>
        <v>Бандаж лечебно–профилактический эластичный 4002 XXL (Болгария) ш/к 3800232480987</v>
      </c>
      <c r="E134" s="1" t="str">
        <f ca="1">IFERROR(__xludf.DUMMYFUNCTION("""COMPUTED_VALUE"""),"шт")</f>
        <v>шт</v>
      </c>
      <c r="F134" s="1" t="str">
        <f ca="1">IFERROR(__xludf.DUMMYFUNCTION("""COMPUTED_VALUE"""),"AST00000190")</f>
        <v>AST00000190</v>
      </c>
      <c r="G134" s="1">
        <f ca="1">IFERROR(__xludf.DUMMYFUNCTION("""COMPUTED_VALUE"""),3800232480987)</f>
        <v>3800232480987</v>
      </c>
      <c r="H134" s="1"/>
    </row>
    <row r="135" spans="1:8" x14ac:dyDescent="0.2">
      <c r="A135" s="1">
        <f ca="1">IFERROR(__xludf.DUMMYFUNCTION("""COMPUTED_VALUE"""),3800232480994)</f>
        <v>3800232480994</v>
      </c>
      <c r="B135" s="1" t="str">
        <f ca="1">IFERROR(__xludf.DUMMYFUNCTION("""COMPUTED_VALUE"""),"4002 XXXL_BG")</f>
        <v>4002 XXXL_BG</v>
      </c>
      <c r="C135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D135" s="1" t="str">
        <f ca="1">IFERROR(__xludf.DUMMYFUNCTION("""COMPUTED_VALUE"""),"Бандаж лечебно–профилактический эластичный 4002 XXXL (Болгария) ш/к 3800232480994")</f>
        <v>Бандаж лечебно–профилактический эластичный 4002 XXXL (Болгария) ш/к 3800232480994</v>
      </c>
      <c r="E135" s="1" t="str">
        <f ca="1">IFERROR(__xludf.DUMMYFUNCTION("""COMPUTED_VALUE"""),"шт")</f>
        <v>шт</v>
      </c>
      <c r="F135" s="1" t="str">
        <f ca="1">IFERROR(__xludf.DUMMYFUNCTION("""COMPUTED_VALUE"""),"AST00000191")</f>
        <v>AST00000191</v>
      </c>
      <c r="G135" s="1">
        <f ca="1">IFERROR(__xludf.DUMMYFUNCTION("""COMPUTED_VALUE"""),3800232480994)</f>
        <v>3800232480994</v>
      </c>
      <c r="H135" s="1"/>
    </row>
    <row r="136" spans="1:8" x14ac:dyDescent="0.2">
      <c r="A136" s="1">
        <f ca="1">IFERROR(__xludf.DUMMYFUNCTION("""COMPUTED_VALUE"""),3800232481007)</f>
        <v>3800232481007</v>
      </c>
      <c r="B136" s="1" t="str">
        <f ca="1">IFERROR(__xludf.DUMMYFUNCTION("""COMPUTED_VALUE"""),"4002 XXXXL_BG")</f>
        <v>4002 XXXXL_BG</v>
      </c>
      <c r="C136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D136" s="1" t="str">
        <f ca="1">IFERROR(__xludf.DUMMYFUNCTION("""COMPUTED_VALUE"""),"Бандаж лечебно–профилактический эластичный 4002 XXXXL (Болгария) ш/к 3800232481007")</f>
        <v>Бандаж лечебно–профилактический эластичный 4002 XXXXL (Болгария) ш/к 3800232481007</v>
      </c>
      <c r="E136" s="1" t="str">
        <f ca="1">IFERROR(__xludf.DUMMYFUNCTION("""COMPUTED_VALUE"""),"шт")</f>
        <v>шт</v>
      </c>
      <c r="F136" s="1" t="str">
        <f ca="1">IFERROR(__xludf.DUMMYFUNCTION("""COMPUTED_VALUE"""),"AST00000192")</f>
        <v>AST00000192</v>
      </c>
      <c r="G136" s="1">
        <f ca="1">IFERROR(__xludf.DUMMYFUNCTION("""COMPUTED_VALUE"""),3800232481007)</f>
        <v>3800232481007</v>
      </c>
      <c r="H136" s="1"/>
    </row>
    <row r="137" spans="1:8" x14ac:dyDescent="0.2">
      <c r="A137" s="1">
        <f ca="1">IFERROR(__xludf.DUMMYFUNCTION("""COMPUTED_VALUE"""),3800232481045)</f>
        <v>3800232481045</v>
      </c>
      <c r="B137" s="1" t="str">
        <f ca="1">IFERROR(__xludf.DUMMYFUNCTION("""COMPUTED_VALUE"""),"4011 M/L_BG")</f>
        <v>4011 M/L_BG</v>
      </c>
      <c r="C137" s="1" t="str">
        <f ca="1">IFERROR(__xludf.DUMMYFUNCTION("""COMPUTED_VALUE"""),"Бандаж универсальный 4011 M/L (Болгария)")</f>
        <v>Бандаж универсальный 4011 M/L (Болгария)</v>
      </c>
      <c r="D137" s="1" t="str">
        <f ca="1">IFERROR(__xludf.DUMMYFUNCTION("""COMPUTED_VALUE"""),"Бандаж универсальный 4011 M/L (Болгария) ш/к 3800232481045")</f>
        <v>Бандаж универсальный 4011 M/L (Болгария) ш/к 3800232481045</v>
      </c>
      <c r="E137" s="1" t="str">
        <f ca="1">IFERROR(__xludf.DUMMYFUNCTION("""COMPUTED_VALUE"""),"шт")</f>
        <v>шт</v>
      </c>
      <c r="F137" s="1" t="str">
        <f ca="1">IFERROR(__xludf.DUMMYFUNCTION("""COMPUTED_VALUE"""),"AST00000310")</f>
        <v>AST00000310</v>
      </c>
      <c r="G137" s="1">
        <f ca="1">IFERROR(__xludf.DUMMYFUNCTION("""COMPUTED_VALUE"""),3800232481045)</f>
        <v>3800232481045</v>
      </c>
      <c r="H137" s="1"/>
    </row>
    <row r="138" spans="1:8" x14ac:dyDescent="0.2">
      <c r="A138" s="1">
        <f ca="1">IFERROR(__xludf.DUMMYFUNCTION("""COMPUTED_VALUE"""),3800232481052)</f>
        <v>3800232481052</v>
      </c>
      <c r="B138" s="1" t="str">
        <f ca="1">IFERROR(__xludf.DUMMYFUNCTION("""COMPUTED_VALUE"""),"4011 XL/XXL_BG")</f>
        <v>4011 XL/XXL_BG</v>
      </c>
      <c r="C138" s="1" t="str">
        <f ca="1">IFERROR(__xludf.DUMMYFUNCTION("""COMPUTED_VALUE"""),"Бандаж универсальный 4011 XL/XXL (Болгария)")</f>
        <v>Бандаж универсальный 4011 XL/XXL (Болгария)</v>
      </c>
      <c r="D138" s="1" t="str">
        <f ca="1">IFERROR(__xludf.DUMMYFUNCTION("""COMPUTED_VALUE"""),"Бандаж универсальный 4011 XL/XXL (Болгария) ш/к 3800232481052")</f>
        <v>Бандаж универсальный 4011 XL/XXL (Болгария) ш/к 3800232481052</v>
      </c>
      <c r="E138" s="1" t="str">
        <f ca="1">IFERROR(__xludf.DUMMYFUNCTION("""COMPUTED_VALUE"""),"шт")</f>
        <v>шт</v>
      </c>
      <c r="F138" s="1" t="str">
        <f ca="1">IFERROR(__xludf.DUMMYFUNCTION("""COMPUTED_VALUE"""),"AST00000311")</f>
        <v>AST00000311</v>
      </c>
      <c r="G138" s="1">
        <f ca="1">IFERROR(__xludf.DUMMYFUNCTION("""COMPUTED_VALUE"""),3800232481052)</f>
        <v>3800232481052</v>
      </c>
      <c r="H138" s="1"/>
    </row>
    <row r="139" spans="1:8" x14ac:dyDescent="0.2">
      <c r="A139" s="1">
        <f ca="1">IFERROR(__xludf.DUMMYFUNCTION("""COMPUTED_VALUE"""),3800232481069)</f>
        <v>3800232481069</v>
      </c>
      <c r="B139" s="1" t="str">
        <f ca="1">IFERROR(__xludf.DUMMYFUNCTION("""COMPUTED_VALUE"""),"4011 XS/S_BG")</f>
        <v>4011 XS/S_BG</v>
      </c>
      <c r="C139" s="1" t="str">
        <f ca="1">IFERROR(__xludf.DUMMYFUNCTION("""COMPUTED_VALUE"""),"Бандаж универсальный 4011 XS/S (Болгария)")</f>
        <v>Бандаж универсальный 4011 XS/S (Болгария)</v>
      </c>
      <c r="D139" s="1" t="str">
        <f ca="1">IFERROR(__xludf.DUMMYFUNCTION("""COMPUTED_VALUE"""),"Бандаж универсальный 4011 XS/S (Болгария) ш/к 3800232481069")</f>
        <v>Бандаж универсальный 4011 XS/S (Болгария) ш/к 3800232481069</v>
      </c>
      <c r="E139" s="1" t="str">
        <f ca="1">IFERROR(__xludf.DUMMYFUNCTION("""COMPUTED_VALUE"""),"шт")</f>
        <v>шт</v>
      </c>
      <c r="F139" s="1" t="str">
        <f ca="1">IFERROR(__xludf.DUMMYFUNCTION("""COMPUTED_VALUE"""),"AST00000309")</f>
        <v>AST00000309</v>
      </c>
      <c r="G139" s="1">
        <f ca="1">IFERROR(__xludf.DUMMYFUNCTION("""COMPUTED_VALUE"""),3800232481069)</f>
        <v>3800232481069</v>
      </c>
      <c r="H139" s="1"/>
    </row>
    <row r="140" spans="1:8" x14ac:dyDescent="0.2">
      <c r="A140" s="1">
        <f ca="1">IFERROR(__xludf.DUMMYFUNCTION("""COMPUTED_VALUE"""),3800232481076)</f>
        <v>3800232481076</v>
      </c>
      <c r="B140" s="1" t="str">
        <f ca="1">IFERROR(__xludf.DUMMYFUNCTION("""COMPUTED_VALUE"""),"4011 XXXL/XXXXL_BG")</f>
        <v>4011 XXXL/XXXXL_BG</v>
      </c>
      <c r="C140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D140" s="1" t="str">
        <f ca="1">IFERROR(__xludf.DUMMYFUNCTION("""COMPUTED_VALUE"""),"Бандаж универсальный 4011 XXXL/XXXXL (Болгария) ш/к 3800232481076")</f>
        <v>Бандаж универсальный 4011 XXXL/XXXXL (Болгария) ш/к 3800232481076</v>
      </c>
      <c r="E140" s="1" t="str">
        <f ca="1">IFERROR(__xludf.DUMMYFUNCTION("""COMPUTED_VALUE"""),"шт")</f>
        <v>шт</v>
      </c>
      <c r="F140" s="1" t="str">
        <f ca="1">IFERROR(__xludf.DUMMYFUNCTION("""COMPUTED_VALUE"""),"AST00000312")</f>
        <v>AST00000312</v>
      </c>
      <c r="G140" s="1">
        <f ca="1">IFERROR(__xludf.DUMMYFUNCTION("""COMPUTED_VALUE"""),3800232481076)</f>
        <v>3800232481076</v>
      </c>
      <c r="H140" s="1"/>
    </row>
    <row r="141" spans="1:8" x14ac:dyDescent="0.2">
      <c r="A141" s="1">
        <f ca="1">IFERROR(__xludf.DUMMYFUNCTION("""COMPUTED_VALUE"""),3800232481465)</f>
        <v>3800232481465</v>
      </c>
      <c r="B141" s="1" t="str">
        <f ca="1">IFERROR(__xludf.DUMMYFUNCTION("""COMPUTED_VALUE"""),"4505 L_BG")</f>
        <v>4505 L_BG</v>
      </c>
      <c r="C141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D141" s="1" t="str">
        <f ca="1">IFERROR(__xludf.DUMMYFUNCTION("""COMPUTED_VALUE"""),"Бандаж для беременных эластичный 4505 - L (Болгария) ш/к 3800232481465")</f>
        <v>Бандаж для беременных эластичный 4505 - L (Болгария) ш/к 3800232481465</v>
      </c>
      <c r="E141" s="1" t="str">
        <f ca="1">IFERROR(__xludf.DUMMYFUNCTION("""COMPUTED_VALUE"""),"шт")</f>
        <v>шт</v>
      </c>
      <c r="F141" s="1" t="str">
        <f ca="1">IFERROR(__xludf.DUMMYFUNCTION("""COMPUTED_VALUE"""),"AST00000195")</f>
        <v>AST00000195</v>
      </c>
      <c r="G141" s="1">
        <f ca="1">IFERROR(__xludf.DUMMYFUNCTION("""COMPUTED_VALUE"""),3800232481465)</f>
        <v>3800232481465</v>
      </c>
      <c r="H141" s="1"/>
    </row>
    <row r="142" spans="1:8" x14ac:dyDescent="0.2">
      <c r="A142" s="1">
        <f ca="1">IFERROR(__xludf.DUMMYFUNCTION("""COMPUTED_VALUE"""),3800232481472)</f>
        <v>3800232481472</v>
      </c>
      <c r="B142" s="1" t="str">
        <f ca="1">IFERROR(__xludf.DUMMYFUNCTION("""COMPUTED_VALUE"""),"4505 M_BG")</f>
        <v>4505 M_BG</v>
      </c>
      <c r="C142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D142" s="1" t="str">
        <f ca="1">IFERROR(__xludf.DUMMYFUNCTION("""COMPUTED_VALUE"""),"Бандаж для беременных эластичный 4505 - М (Болгария) ш/к 3800232481472")</f>
        <v>Бандаж для беременных эластичный 4505 - М (Болгария) ш/к 3800232481472</v>
      </c>
      <c r="E142" s="1" t="str">
        <f ca="1">IFERROR(__xludf.DUMMYFUNCTION("""COMPUTED_VALUE"""),"шт")</f>
        <v>шт</v>
      </c>
      <c r="F142" s="1" t="str">
        <f ca="1">IFERROR(__xludf.DUMMYFUNCTION("""COMPUTED_VALUE"""),"AST00000194")</f>
        <v>AST00000194</v>
      </c>
      <c r="G142" s="1">
        <f ca="1">IFERROR(__xludf.DUMMYFUNCTION("""COMPUTED_VALUE"""),3800232481472)</f>
        <v>3800232481472</v>
      </c>
      <c r="H142" s="1"/>
    </row>
    <row r="143" spans="1:8" x14ac:dyDescent="0.2">
      <c r="A143" s="1">
        <f ca="1">IFERROR(__xludf.DUMMYFUNCTION("""COMPUTED_VALUE"""),3800232481489)</f>
        <v>3800232481489</v>
      </c>
      <c r="B143" s="1" t="str">
        <f ca="1">IFERROR(__xludf.DUMMYFUNCTION("""COMPUTED_VALUE"""),"4505 S_BG")</f>
        <v>4505 S_BG</v>
      </c>
      <c r="C143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D143" s="1" t="str">
        <f ca="1">IFERROR(__xludf.DUMMYFUNCTION("""COMPUTED_VALUE"""),"Бандаж для беременных эластичный 4505 - S (Болгария) ш/к 3800232481489")</f>
        <v>Бандаж для беременных эластичный 4505 - S (Болгария) ш/к 3800232481489</v>
      </c>
      <c r="E143" s="1" t="str">
        <f ca="1">IFERROR(__xludf.DUMMYFUNCTION("""COMPUTED_VALUE"""),"шт")</f>
        <v>шт</v>
      </c>
      <c r="F143" s="1" t="str">
        <f ca="1">IFERROR(__xludf.DUMMYFUNCTION("""COMPUTED_VALUE"""),"AST00000193")</f>
        <v>AST00000193</v>
      </c>
      <c r="G143" s="1">
        <f ca="1">IFERROR(__xludf.DUMMYFUNCTION("""COMPUTED_VALUE"""),3800232481489)</f>
        <v>3800232481489</v>
      </c>
      <c r="H143" s="1"/>
    </row>
    <row r="144" spans="1:8" x14ac:dyDescent="0.2">
      <c r="A144" s="1">
        <f ca="1">IFERROR(__xludf.DUMMYFUNCTION("""COMPUTED_VALUE"""),3800232481496)</f>
        <v>3800232481496</v>
      </c>
      <c r="B144" s="1" t="str">
        <f ca="1">IFERROR(__xludf.DUMMYFUNCTION("""COMPUTED_VALUE"""),"4505 XL_BG")</f>
        <v>4505 XL_BG</v>
      </c>
      <c r="C144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D144" s="1" t="str">
        <f ca="1">IFERROR(__xludf.DUMMYFUNCTION("""COMPUTED_VALUE"""),"Бандаж для беременных эластичный 4505 - XL (Болгария) ш/к 3800232481496")</f>
        <v>Бандаж для беременных эластичный 4505 - XL (Болгария) ш/к 3800232481496</v>
      </c>
      <c r="E144" s="1" t="str">
        <f ca="1">IFERROR(__xludf.DUMMYFUNCTION("""COMPUTED_VALUE"""),"шт")</f>
        <v>шт</v>
      </c>
      <c r="F144" s="1" t="str">
        <f ca="1">IFERROR(__xludf.DUMMYFUNCTION("""COMPUTED_VALUE"""),"AST00000196")</f>
        <v>AST00000196</v>
      </c>
      <c r="G144" s="1">
        <f ca="1">IFERROR(__xludf.DUMMYFUNCTION("""COMPUTED_VALUE"""),3800232481496)</f>
        <v>3800232481496</v>
      </c>
      <c r="H144" s="1"/>
    </row>
    <row r="145" spans="1:8" x14ac:dyDescent="0.2">
      <c r="A145" s="1">
        <f ca="1">IFERROR(__xludf.DUMMYFUNCTION("""COMPUTED_VALUE"""),3800232481502)</f>
        <v>3800232481502</v>
      </c>
      <c r="B145" s="1" t="str">
        <f ca="1">IFERROR(__xludf.DUMMYFUNCTION("""COMPUTED_VALUE"""),"4505 XXL_BG")</f>
        <v>4505 XXL_BG</v>
      </c>
      <c r="C145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D145" s="1" t="str">
        <f ca="1">IFERROR(__xludf.DUMMYFUNCTION("""COMPUTED_VALUE"""),"Бандаж для беременных эластичный 4505 - XXL (Болгария) ш/к 3800232481502")</f>
        <v>Бандаж для беременных эластичный 4505 - XXL (Болгария) ш/к 3800232481502</v>
      </c>
      <c r="E145" s="1" t="str">
        <f ca="1">IFERROR(__xludf.DUMMYFUNCTION("""COMPUTED_VALUE"""),"шт")</f>
        <v>шт</v>
      </c>
      <c r="F145" s="1" t="str">
        <f ca="1">IFERROR(__xludf.DUMMYFUNCTION("""COMPUTED_VALUE"""),"AST00000315")</f>
        <v>AST00000315</v>
      </c>
      <c r="G145" s="1">
        <f ca="1">IFERROR(__xludf.DUMMYFUNCTION("""COMPUTED_VALUE"""),3800232481502)</f>
        <v>3800232481502</v>
      </c>
      <c r="H145" s="1"/>
    </row>
    <row r="146" spans="1:8" x14ac:dyDescent="0.2">
      <c r="A146" s="1">
        <f ca="1">IFERROR(__xludf.DUMMYFUNCTION("""COMPUTED_VALUE"""),3800232481519)</f>
        <v>3800232481519</v>
      </c>
      <c r="B146" s="1" t="str">
        <f ca="1">IFERROR(__xludf.DUMMYFUNCTION("""COMPUTED_VALUE"""),"4505 XXXL_BG")</f>
        <v>4505 XXXL_BG</v>
      </c>
      <c r="C146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D146" s="1" t="str">
        <f ca="1">IFERROR(__xludf.DUMMYFUNCTION("""COMPUTED_VALUE"""),"Бандаж для беременных эластичный 4505 - XXXL (Болгария) ш/к 3800232481519")</f>
        <v>Бандаж для беременных эластичный 4505 - XXXL (Болгария) ш/к 3800232481519</v>
      </c>
      <c r="E146" s="1" t="str">
        <f ca="1">IFERROR(__xludf.DUMMYFUNCTION("""COMPUTED_VALUE"""),"шт")</f>
        <v>шт</v>
      </c>
      <c r="F146" s="1" t="str">
        <f ca="1">IFERROR(__xludf.DUMMYFUNCTION("""COMPUTED_VALUE"""),"AST00000197")</f>
        <v>AST00000197</v>
      </c>
      <c r="G146" s="1">
        <f ca="1">IFERROR(__xludf.DUMMYFUNCTION("""COMPUTED_VALUE"""),3800232481519)</f>
        <v>3800232481519</v>
      </c>
      <c r="H146" s="1"/>
    </row>
    <row r="147" spans="1:8" x14ac:dyDescent="0.2">
      <c r="A147" s="1">
        <f ca="1">IFERROR(__xludf.DUMMYFUNCTION("""COMPUTED_VALUE"""),3800232481571)</f>
        <v>3800232481571</v>
      </c>
      <c r="B147" s="1" t="str">
        <f ca="1">IFERROR(__xludf.DUMMYFUNCTION("""COMPUTED_VALUE"""),"5001 M/L_BG")</f>
        <v>5001 M/L_BG</v>
      </c>
      <c r="C147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D147" s="1" t="str">
        <f ca="1">IFERROR(__xludf.DUMMYFUNCTION("""COMPUTED_VALUE"""),"Бандаж грыжевой лево-и правосторонний 5001 M/L (Болгария) ш/к 3800232481571")</f>
        <v>Бандаж грыжевой лево-и правосторонний 5001 M/L (Болгария) ш/к 3800232481571</v>
      </c>
      <c r="E147" s="1" t="str">
        <f ca="1">IFERROR(__xludf.DUMMYFUNCTION("""COMPUTED_VALUE"""),"шт")</f>
        <v>шт</v>
      </c>
      <c r="F147" s="1" t="str">
        <f ca="1">IFERROR(__xludf.DUMMYFUNCTION("""COMPUTED_VALUE"""),"AST00000199")</f>
        <v>AST00000199</v>
      </c>
      <c r="G147" s="1">
        <f ca="1">IFERROR(__xludf.DUMMYFUNCTION("""COMPUTED_VALUE"""),3800232481571)</f>
        <v>3800232481571</v>
      </c>
      <c r="H147" s="1"/>
    </row>
    <row r="148" spans="1:8" x14ac:dyDescent="0.2">
      <c r="A148" s="1">
        <f ca="1">IFERROR(__xludf.DUMMYFUNCTION("""COMPUTED_VALUE"""),3800232481601)</f>
        <v>3800232481601</v>
      </c>
      <c r="B148" s="1" t="str">
        <f ca="1">IFERROR(__xludf.DUMMYFUNCTION("""COMPUTED_VALUE"""),"5001 XL/XXL_BG")</f>
        <v>5001 XL/XXL_BG</v>
      </c>
      <c r="C148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D148" s="1" t="str">
        <f ca="1">IFERROR(__xludf.DUMMYFUNCTION("""COMPUTED_VALUE"""),"Бандаж грыжевой лево-и правосторонний 5001 XL/XXL (Болгария) ш/к 3800232481601")</f>
        <v>Бандаж грыжевой лево-и правосторонний 5001 XL/XXL (Болгария) ш/к 3800232481601</v>
      </c>
      <c r="E148" s="1" t="str">
        <f ca="1">IFERROR(__xludf.DUMMYFUNCTION("""COMPUTED_VALUE"""),"шт")</f>
        <v>шт</v>
      </c>
      <c r="F148" s="1" t="str">
        <f ca="1">IFERROR(__xludf.DUMMYFUNCTION("""COMPUTED_VALUE"""),"AST00000262")</f>
        <v>AST00000262</v>
      </c>
      <c r="G148" s="1">
        <f ca="1">IFERROR(__xludf.DUMMYFUNCTION("""COMPUTED_VALUE"""),3800232481601)</f>
        <v>3800232481601</v>
      </c>
      <c r="H148" s="1"/>
    </row>
    <row r="149" spans="1:8" x14ac:dyDescent="0.2">
      <c r="A149" s="1">
        <f ca="1">IFERROR(__xludf.DUMMYFUNCTION("""COMPUTED_VALUE"""),3800232481625)</f>
        <v>3800232481625</v>
      </c>
      <c r="B149" s="1" t="str">
        <f ca="1">IFERROR(__xludf.DUMMYFUNCTION("""COMPUTED_VALUE"""),"5001 XS/S_BG")</f>
        <v>5001 XS/S_BG</v>
      </c>
      <c r="C149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D149" s="1" t="str">
        <f ca="1">IFERROR(__xludf.DUMMYFUNCTION("""COMPUTED_VALUE"""),"Бандаж грыжевой лево-и правосторонний 5001 XS/S (Болгария) ш/к 3800232481625")</f>
        <v>Бандаж грыжевой лево-и правосторонний 5001 XS/S (Болгария) ш/к 3800232481625</v>
      </c>
      <c r="E149" s="1" t="str">
        <f ca="1">IFERROR(__xludf.DUMMYFUNCTION("""COMPUTED_VALUE"""),"шт")</f>
        <v>шт</v>
      </c>
      <c r="F149" s="1" t="str">
        <f ca="1">IFERROR(__xludf.DUMMYFUNCTION("""COMPUTED_VALUE"""),"AST00000198")</f>
        <v>AST00000198</v>
      </c>
      <c r="G149" s="1">
        <f ca="1">IFERROR(__xludf.DUMMYFUNCTION("""COMPUTED_VALUE"""),3800232481625)</f>
        <v>3800232481625</v>
      </c>
      <c r="H149" s="1"/>
    </row>
    <row r="150" spans="1:8" x14ac:dyDescent="0.2">
      <c r="A150" s="1">
        <f ca="1">IFERROR(__xludf.DUMMYFUNCTION("""COMPUTED_VALUE"""),3800232481670)</f>
        <v>3800232481670</v>
      </c>
      <c r="B150" s="1" t="str">
        <f ca="1">IFERROR(__xludf.DUMMYFUNCTION("""COMPUTED_VALUE"""),"5051 M/L_BG")</f>
        <v>5051 M/L_BG</v>
      </c>
      <c r="C150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D150" s="1" t="str">
        <f ca="1">IFERROR(__xludf.DUMMYFUNCTION("""COMPUTED_VALUE"""),"Бандаж при пупочной грыже 5051 M/L (Болгария) ш/к 3800232481670")</f>
        <v>Бандаж при пупочной грыже 5051 M/L (Болгария) ш/к 3800232481670</v>
      </c>
      <c r="E150" s="1" t="str">
        <f ca="1">IFERROR(__xludf.DUMMYFUNCTION("""COMPUTED_VALUE"""),"шт")</f>
        <v>шт</v>
      </c>
      <c r="F150" s="1" t="str">
        <f ca="1">IFERROR(__xludf.DUMMYFUNCTION("""COMPUTED_VALUE"""),"AST00000200")</f>
        <v>AST00000200</v>
      </c>
      <c r="G150" s="1">
        <f ca="1">IFERROR(__xludf.DUMMYFUNCTION("""COMPUTED_VALUE"""),3800232481670)</f>
        <v>3800232481670</v>
      </c>
      <c r="H150" s="1"/>
    </row>
    <row r="151" spans="1:8" x14ac:dyDescent="0.2">
      <c r="A151" s="1">
        <f ca="1">IFERROR(__xludf.DUMMYFUNCTION("""COMPUTED_VALUE"""),3800232481687)</f>
        <v>3800232481687</v>
      </c>
      <c r="B151" s="1" t="str">
        <f ca="1">IFERROR(__xludf.DUMMYFUNCTION("""COMPUTED_VALUE"""),"5051 XL/XXL_BG")</f>
        <v>5051 XL/XXL_BG</v>
      </c>
      <c r="C151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D151" s="1" t="str">
        <f ca="1">IFERROR(__xludf.DUMMYFUNCTION("""COMPUTED_VALUE"""),"Бандаж при пупочной грыже 5051 XL/XXL (Болгария) ш/к 3800232481687")</f>
        <v>Бандаж при пупочной грыже 5051 XL/XXL (Болгария) ш/к 3800232481687</v>
      </c>
      <c r="E151" s="1" t="str">
        <f ca="1">IFERROR(__xludf.DUMMYFUNCTION("""COMPUTED_VALUE"""),"шт")</f>
        <v>шт</v>
      </c>
      <c r="F151" s="1" t="str">
        <f ca="1">IFERROR(__xludf.DUMMYFUNCTION("""COMPUTED_VALUE"""),"AST00000201")</f>
        <v>AST00000201</v>
      </c>
      <c r="G151" s="1">
        <f ca="1">IFERROR(__xludf.DUMMYFUNCTION("""COMPUTED_VALUE"""),3800232481687)</f>
        <v>3800232481687</v>
      </c>
      <c r="H151" s="1"/>
    </row>
    <row r="152" spans="1:8" x14ac:dyDescent="0.2">
      <c r="A152" s="1">
        <f ca="1">IFERROR(__xludf.DUMMYFUNCTION("""COMPUTED_VALUE"""),3800232481700)</f>
        <v>3800232481700</v>
      </c>
      <c r="B152" s="1" t="str">
        <f ca="1">IFERROR(__xludf.DUMMYFUNCTION("""COMPUTED_VALUE"""),"5051 XXXL/XXXXL_BG")</f>
        <v>5051 XXXL/XXXXL_BG</v>
      </c>
      <c r="C152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D152" s="1" t="str">
        <f ca="1">IFERROR(__xludf.DUMMYFUNCTION("""COMPUTED_VALUE"""),"Бандаж при пупочной грыже 5051 XXXL/XXXXL (Болгария) ш/к 3800232481700")</f>
        <v>Бандаж при пупочной грыже 5051 XXXL/XXXXL (Болгария) ш/к 3800232481700</v>
      </c>
      <c r="E152" s="1" t="str">
        <f ca="1">IFERROR(__xludf.DUMMYFUNCTION("""COMPUTED_VALUE"""),"шт")</f>
        <v>шт</v>
      </c>
      <c r="F152" s="1" t="str">
        <f ca="1">IFERROR(__xludf.DUMMYFUNCTION("""COMPUTED_VALUE"""),"AST00000202")</f>
        <v>AST00000202</v>
      </c>
      <c r="G152" s="1">
        <f ca="1">IFERROR(__xludf.DUMMYFUNCTION("""COMPUTED_VALUE"""),3800232481700)</f>
        <v>3800232481700</v>
      </c>
      <c r="H152" s="1"/>
    </row>
    <row r="153" spans="1:8" x14ac:dyDescent="0.2">
      <c r="A153" s="1">
        <f ca="1">IFERROR(__xludf.DUMMYFUNCTION("""COMPUTED_VALUE"""),3800232483766)</f>
        <v>3800232483766</v>
      </c>
      <c r="B153" s="1" t="str">
        <f ca="1">IFERROR(__xludf.DUMMYFUNCTION("""COMPUTED_VALUE"""),"6040 L_BG")</f>
        <v>6040 L_BG</v>
      </c>
      <c r="C153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D153" s="1" t="str">
        <f ca="1">IFERROR(__xludf.DUMMYFUNCTION("""COMPUTED_VALUE"""),"Бандаж на коленный сустав эластичный 6040 L (Болгария) ш/к 3800232483766")</f>
        <v>Бандаж на коленный сустав эластичный 6040 L (Болгария) ш/к 3800232483766</v>
      </c>
      <c r="E153" s="1" t="str">
        <f ca="1">IFERROR(__xludf.DUMMYFUNCTION("""COMPUTED_VALUE"""),"шт")</f>
        <v>шт</v>
      </c>
      <c r="F153" s="1" t="str">
        <f ca="1">IFERROR(__xludf.DUMMYFUNCTION("""COMPUTED_VALUE"""),"AST00000291")</f>
        <v>AST00000291</v>
      </c>
      <c r="G153" s="1">
        <f ca="1">IFERROR(__xludf.DUMMYFUNCTION("""COMPUTED_VALUE"""),3800232483766)</f>
        <v>3800232483766</v>
      </c>
      <c r="H153" s="1"/>
    </row>
    <row r="154" spans="1:8" x14ac:dyDescent="0.2">
      <c r="A154" s="1">
        <f ca="1">IFERROR(__xludf.DUMMYFUNCTION("""COMPUTED_VALUE"""),3800232483759)</f>
        <v>3800232483759</v>
      </c>
      <c r="B154" s="1" t="str">
        <f ca="1">IFERROR(__xludf.DUMMYFUNCTION("""COMPUTED_VALUE"""),"6040 M_BG")</f>
        <v>6040 M_BG</v>
      </c>
      <c r="C154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D154" s="1" t="str">
        <f ca="1">IFERROR(__xludf.DUMMYFUNCTION("""COMPUTED_VALUE"""),"Бандаж на коленный сустав эластичный 6040 M (Болгария) ш/к 3800232483759")</f>
        <v>Бандаж на коленный сустав эластичный 6040 M (Болгария) ш/к 3800232483759</v>
      </c>
      <c r="E154" s="1" t="str">
        <f ca="1">IFERROR(__xludf.DUMMYFUNCTION("""COMPUTED_VALUE"""),"шт")</f>
        <v>шт</v>
      </c>
      <c r="F154" s="1" t="str">
        <f ca="1">IFERROR(__xludf.DUMMYFUNCTION("""COMPUTED_VALUE"""),"AST00000290")</f>
        <v>AST00000290</v>
      </c>
      <c r="G154" s="1">
        <f ca="1">IFERROR(__xludf.DUMMYFUNCTION("""COMPUTED_VALUE"""),3800232483759)</f>
        <v>3800232483759</v>
      </c>
      <c r="H154" s="1"/>
    </row>
    <row r="155" spans="1:8" x14ac:dyDescent="0.2">
      <c r="A155" s="1">
        <f ca="1">IFERROR(__xludf.DUMMYFUNCTION("""COMPUTED_VALUE"""),3800232483742)</f>
        <v>3800232483742</v>
      </c>
      <c r="B155" s="1" t="str">
        <f ca="1">IFERROR(__xludf.DUMMYFUNCTION("""COMPUTED_VALUE"""),"6040 S_BG")</f>
        <v>6040 S_BG</v>
      </c>
      <c r="C155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D155" s="1" t="str">
        <f ca="1">IFERROR(__xludf.DUMMYFUNCTION("""COMPUTED_VALUE"""),"Бандаж на коленный сустав эластичный 6040 S (Болгария) ш/к 3800232483742")</f>
        <v>Бандаж на коленный сустав эластичный 6040 S (Болгария) ш/к 3800232483742</v>
      </c>
      <c r="E155" s="1" t="str">
        <f ca="1">IFERROR(__xludf.DUMMYFUNCTION("""COMPUTED_VALUE"""),"шт")</f>
        <v>шт</v>
      </c>
      <c r="F155" s="1" t="str">
        <f ca="1">IFERROR(__xludf.DUMMYFUNCTION("""COMPUTED_VALUE"""),"AST00000289")</f>
        <v>AST00000289</v>
      </c>
      <c r="G155" s="1">
        <f ca="1">IFERROR(__xludf.DUMMYFUNCTION("""COMPUTED_VALUE"""),3800232483742)</f>
        <v>3800232483742</v>
      </c>
      <c r="H155" s="1"/>
    </row>
    <row r="156" spans="1:8" x14ac:dyDescent="0.2">
      <c r="A156" s="1">
        <f ca="1">IFERROR(__xludf.DUMMYFUNCTION("""COMPUTED_VALUE"""),3800232483773)</f>
        <v>3800232483773</v>
      </c>
      <c r="B156" s="1" t="str">
        <f ca="1">IFERROR(__xludf.DUMMYFUNCTION("""COMPUTED_VALUE"""),"6040 XL_BG")</f>
        <v>6040 XL_BG</v>
      </c>
      <c r="C156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D156" s="1" t="str">
        <f ca="1">IFERROR(__xludf.DUMMYFUNCTION("""COMPUTED_VALUE"""),"Бандаж на коленный сустав эластичный 6040 XL (Болгария) ш/к 3800232483773")</f>
        <v>Бандаж на коленный сустав эластичный 6040 XL (Болгария) ш/к 3800232483773</v>
      </c>
      <c r="E156" s="1" t="str">
        <f ca="1">IFERROR(__xludf.DUMMYFUNCTION("""COMPUTED_VALUE"""),"шт")</f>
        <v>шт</v>
      </c>
      <c r="F156" s="1" t="str">
        <f ca="1">IFERROR(__xludf.DUMMYFUNCTION("""COMPUTED_VALUE"""),"AST00000292")</f>
        <v>AST00000292</v>
      </c>
      <c r="G156" s="1">
        <f ca="1">IFERROR(__xludf.DUMMYFUNCTION("""COMPUTED_VALUE"""),3800232483773)</f>
        <v>3800232483773</v>
      </c>
      <c r="H156" s="1"/>
    </row>
    <row r="157" spans="1:8" x14ac:dyDescent="0.2">
      <c r="A157" s="1">
        <f ca="1">IFERROR(__xludf.DUMMYFUNCTION("""COMPUTED_VALUE"""),3800232481823)</f>
        <v>3800232481823</v>
      </c>
      <c r="B157" s="1" t="str">
        <f ca="1">IFERROR(__xludf.DUMMYFUNCTION("""COMPUTED_VALUE"""),"6058 L\XL_BG")</f>
        <v>6058 L\XL_BG</v>
      </c>
      <c r="C157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D157" s="1" t="str">
        <f ca="1">IFERROR(__xludf.DUMMYFUNCTION("""COMPUTED_VALUE"""),"Бандаж на коленный сустав разъемный 6058 L\XL (Болгария) ш/к 3800232481823")</f>
        <v>Бандаж на коленный сустав разъемный 6058 L\XL (Болгария) ш/к 3800232481823</v>
      </c>
      <c r="E157" s="1" t="str">
        <f ca="1">IFERROR(__xludf.DUMMYFUNCTION("""COMPUTED_VALUE"""),"шт")</f>
        <v>шт</v>
      </c>
      <c r="F157" s="1" t="str">
        <f ca="1">IFERROR(__xludf.DUMMYFUNCTION("""COMPUTED_VALUE"""),"AST00000204")</f>
        <v>AST00000204</v>
      </c>
      <c r="G157" s="1">
        <f ca="1">IFERROR(__xludf.DUMMYFUNCTION("""COMPUTED_VALUE"""),3800232481823)</f>
        <v>3800232481823</v>
      </c>
      <c r="H157" s="1"/>
    </row>
    <row r="158" spans="1:8" x14ac:dyDescent="0.2">
      <c r="A158" s="1">
        <f ca="1">IFERROR(__xludf.DUMMYFUNCTION("""COMPUTED_VALUE"""),3800232481830)</f>
        <v>3800232481830</v>
      </c>
      <c r="B158" s="1" t="str">
        <f ca="1">IFERROR(__xludf.DUMMYFUNCTION("""COMPUTED_VALUE"""),"6058 S\M_BG")</f>
        <v>6058 S\M_BG</v>
      </c>
      <c r="C158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D158" s="1" t="str">
        <f ca="1">IFERROR(__xludf.DUMMYFUNCTION("""COMPUTED_VALUE"""),"Бандаж на коленный сустав разъемный 6058 S\M (Болгария) ш/к 3800232481830")</f>
        <v>Бандаж на коленный сустав разъемный 6058 S\M (Болгария) ш/к 3800232481830</v>
      </c>
      <c r="E158" s="1" t="str">
        <f ca="1">IFERROR(__xludf.DUMMYFUNCTION("""COMPUTED_VALUE"""),"шт")</f>
        <v>шт</v>
      </c>
      <c r="F158" s="1" t="str">
        <f ca="1">IFERROR(__xludf.DUMMYFUNCTION("""COMPUTED_VALUE"""),"AST00000203")</f>
        <v>AST00000203</v>
      </c>
      <c r="G158" s="1">
        <f ca="1">IFERROR(__xludf.DUMMYFUNCTION("""COMPUTED_VALUE"""),3800232481830)</f>
        <v>3800232481830</v>
      </c>
      <c r="H158" s="1"/>
    </row>
    <row r="159" spans="1:8" x14ac:dyDescent="0.2">
      <c r="A159" s="1">
        <f ca="1">IFERROR(__xludf.DUMMYFUNCTION("""COMPUTED_VALUE"""),3800232481847)</f>
        <v>3800232481847</v>
      </c>
      <c r="B159" s="1" t="str">
        <f ca="1">IFERROR(__xludf.DUMMYFUNCTION("""COMPUTED_VALUE"""),"6058 XXL_BG")</f>
        <v>6058 XXL_BG</v>
      </c>
      <c r="C159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D159" s="1" t="str">
        <f ca="1">IFERROR(__xludf.DUMMYFUNCTION("""COMPUTED_VALUE"""),"Бандаж на коленный сустав разъемный 6058 XXL (Болгария) ш/к 3800232481847")</f>
        <v>Бандаж на коленный сустав разъемный 6058 XXL (Болгария) ш/к 3800232481847</v>
      </c>
      <c r="E159" s="1" t="str">
        <f ca="1">IFERROR(__xludf.DUMMYFUNCTION("""COMPUTED_VALUE"""),"шт")</f>
        <v>шт</v>
      </c>
      <c r="F159" s="1" t="str">
        <f ca="1">IFERROR(__xludf.DUMMYFUNCTION("""COMPUTED_VALUE"""),"AST00000229")</f>
        <v>AST00000229</v>
      </c>
      <c r="G159" s="1">
        <f ca="1">IFERROR(__xludf.DUMMYFUNCTION("""COMPUTED_VALUE"""),3800232481847)</f>
        <v>3800232481847</v>
      </c>
      <c r="H159" s="1"/>
    </row>
    <row r="160" spans="1:8" x14ac:dyDescent="0.2">
      <c r="A160" s="1">
        <f ca="1">IFERROR(__xludf.DUMMYFUNCTION("""COMPUTED_VALUE"""),3800232482240)</f>
        <v>3800232482240</v>
      </c>
      <c r="B160" s="1" t="str">
        <f ca="1">IFERROR(__xludf.DUMMYFUNCTION("""COMPUTED_VALUE"""),"7034 L_BG")</f>
        <v>7034 L_BG</v>
      </c>
      <c r="C160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D160" s="1" t="str">
        <f ca="1">IFERROR(__xludf.DUMMYFUNCTION("""COMPUTED_VALUE"""),"Бандаж на голеностопный сустав легкой фиксации 7034 L (бежевый) (Болгария) ш/к 3800232482240")</f>
        <v>Бандаж на голеностопный сустав легкой фиксации 7034 L (бежевый) (Болгария) ш/к 3800232482240</v>
      </c>
      <c r="E160" s="1" t="str">
        <f ca="1">IFERROR(__xludf.DUMMYFUNCTION("""COMPUTED_VALUE"""),"шт")</f>
        <v>шт</v>
      </c>
      <c r="F160" s="1" t="str">
        <f ca="1">IFERROR(__xludf.DUMMYFUNCTION("""COMPUTED_VALUE"""),"AST00000207")</f>
        <v>AST00000207</v>
      </c>
      <c r="G160" s="1">
        <f ca="1">IFERROR(__xludf.DUMMYFUNCTION("""COMPUTED_VALUE"""),3800232482240)</f>
        <v>3800232482240</v>
      </c>
      <c r="H160" s="1"/>
    </row>
    <row r="161" spans="1:8" x14ac:dyDescent="0.2">
      <c r="A161" s="1">
        <f ca="1">IFERROR(__xludf.DUMMYFUNCTION("""COMPUTED_VALUE"""),3800232482257)</f>
        <v>3800232482257</v>
      </c>
      <c r="B161" s="1" t="str">
        <f ca="1">IFERROR(__xludf.DUMMYFUNCTION("""COMPUTED_VALUE"""),"7034 M_BG")</f>
        <v>7034 M_BG</v>
      </c>
      <c r="C161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D161" s="1" t="str">
        <f ca="1">IFERROR(__xludf.DUMMYFUNCTION("""COMPUTED_VALUE"""),"Бандаж на голеностопный сустав легкой фиксации 7034 M (бежевый) (Болгария) ш/к 3800232482257")</f>
        <v>Бандаж на голеностопный сустав легкой фиксации 7034 M (бежевый) (Болгария) ш/к 3800232482257</v>
      </c>
      <c r="E161" s="1" t="str">
        <f ca="1">IFERROR(__xludf.DUMMYFUNCTION("""COMPUTED_VALUE"""),"шт")</f>
        <v>шт</v>
      </c>
      <c r="F161" s="1" t="str">
        <f ca="1">IFERROR(__xludf.DUMMYFUNCTION("""COMPUTED_VALUE"""),"AST00000206")</f>
        <v>AST00000206</v>
      </c>
      <c r="G161" s="1">
        <f ca="1">IFERROR(__xludf.DUMMYFUNCTION("""COMPUTED_VALUE"""),3800232482257)</f>
        <v>3800232482257</v>
      </c>
      <c r="H161" s="1"/>
    </row>
    <row r="162" spans="1:8" x14ac:dyDescent="0.2">
      <c r="A162" s="1">
        <f ca="1">IFERROR(__xludf.DUMMYFUNCTION("""COMPUTED_VALUE"""),3800232482264)</f>
        <v>3800232482264</v>
      </c>
      <c r="B162" s="1" t="str">
        <f ca="1">IFERROR(__xludf.DUMMYFUNCTION("""COMPUTED_VALUE"""),"7034 XL_BG")</f>
        <v>7034 XL_BG</v>
      </c>
      <c r="C162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D162" s="1" t="str">
        <f ca="1">IFERROR(__xludf.DUMMYFUNCTION("""COMPUTED_VALUE"""),"Бандаж на голеностопный сустав легкой фиксации 7034 XL (бежевый) (Болгария) ш/к 3800232482264")</f>
        <v>Бандаж на голеностопный сустав легкой фиксации 7034 XL (бежевый) (Болгария) ш/к 3800232482264</v>
      </c>
      <c r="E162" s="1" t="str">
        <f ca="1">IFERROR(__xludf.DUMMYFUNCTION("""COMPUTED_VALUE"""),"шт")</f>
        <v>шт</v>
      </c>
      <c r="F162" s="1" t="str">
        <f ca="1">IFERROR(__xludf.DUMMYFUNCTION("""COMPUTED_VALUE"""),"AST00000208")</f>
        <v>AST00000208</v>
      </c>
      <c r="G162" s="1">
        <f ca="1">IFERROR(__xludf.DUMMYFUNCTION("""COMPUTED_VALUE"""),3800232482264)</f>
        <v>3800232482264</v>
      </c>
      <c r="H162" s="1"/>
    </row>
    <row r="163" spans="1:8" x14ac:dyDescent="0.2">
      <c r="A163" s="1">
        <f ca="1">IFERROR(__xludf.DUMMYFUNCTION("""COMPUTED_VALUE"""),3800232483810)</f>
        <v>3800232483810</v>
      </c>
      <c r="B163" s="1" t="str">
        <f ca="1">IFERROR(__xludf.DUMMYFUNCTION("""COMPUTED_VALUE"""),"7035 L_BG")</f>
        <v>7035 L_BG</v>
      </c>
      <c r="C163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D163" s="1" t="str">
        <f ca="1">IFERROR(__xludf.DUMMYFUNCTION("""COMPUTED_VALUE"""),"Бандаж на голеностопный сустав эластичный 7035 L (Болгария) ш/к 3800232483810")</f>
        <v>Бандаж на голеностопный сустав эластичный 7035 L (Болгария) ш/к 3800232483810</v>
      </c>
      <c r="E163" s="1" t="str">
        <f ca="1">IFERROR(__xludf.DUMMYFUNCTION("""COMPUTED_VALUE"""),"шт")</f>
        <v>шт</v>
      </c>
      <c r="F163" s="1" t="str">
        <f ca="1">IFERROR(__xludf.DUMMYFUNCTION("""COMPUTED_VALUE"""),"AST00000296")</f>
        <v>AST00000296</v>
      </c>
      <c r="G163" s="1">
        <f ca="1">IFERROR(__xludf.DUMMYFUNCTION("""COMPUTED_VALUE"""),3800232483810)</f>
        <v>3800232483810</v>
      </c>
      <c r="H163" s="1"/>
    </row>
    <row r="164" spans="1:8" x14ac:dyDescent="0.2">
      <c r="A164" s="1">
        <f ca="1">IFERROR(__xludf.DUMMYFUNCTION("""COMPUTED_VALUE"""),3800232483803)</f>
        <v>3800232483803</v>
      </c>
      <c r="B164" s="1" t="str">
        <f ca="1">IFERROR(__xludf.DUMMYFUNCTION("""COMPUTED_VALUE"""),"7035 M_BG")</f>
        <v>7035 M_BG</v>
      </c>
      <c r="C164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D164" s="1" t="str">
        <f ca="1">IFERROR(__xludf.DUMMYFUNCTION("""COMPUTED_VALUE"""),"Бандаж на голеностопный сустав эластичный 7035 M (Болгария) ш/к 3800232483803")</f>
        <v>Бандаж на голеностопный сустав эластичный 7035 M (Болгария) ш/к 3800232483803</v>
      </c>
      <c r="E164" s="1" t="str">
        <f ca="1">IFERROR(__xludf.DUMMYFUNCTION("""COMPUTED_VALUE"""),"шт")</f>
        <v>шт</v>
      </c>
      <c r="F164" s="1" t="str">
        <f ca="1">IFERROR(__xludf.DUMMYFUNCTION("""COMPUTED_VALUE"""),"AST00000295")</f>
        <v>AST00000295</v>
      </c>
      <c r="G164" s="1">
        <f ca="1">IFERROR(__xludf.DUMMYFUNCTION("""COMPUTED_VALUE"""),3800232483803)</f>
        <v>3800232483803</v>
      </c>
      <c r="H164" s="1"/>
    </row>
    <row r="165" spans="1:8" x14ac:dyDescent="0.2">
      <c r="A165" s="1">
        <f ca="1">IFERROR(__xludf.DUMMYFUNCTION("""COMPUTED_VALUE"""),3800232483797)</f>
        <v>3800232483797</v>
      </c>
      <c r="B165" s="1" t="str">
        <f ca="1">IFERROR(__xludf.DUMMYFUNCTION("""COMPUTED_VALUE"""),"7035 S_BG")</f>
        <v>7035 S_BG</v>
      </c>
      <c r="C165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D165" s="1" t="str">
        <f ca="1">IFERROR(__xludf.DUMMYFUNCTION("""COMPUTED_VALUE"""),"Бандаж на голеностопный сустав эластичный 7035 S (Болгария) ш/к 3800232483797")</f>
        <v>Бандаж на голеностопный сустав эластичный 7035 S (Болгария) ш/к 3800232483797</v>
      </c>
      <c r="E165" s="1" t="str">
        <f ca="1">IFERROR(__xludf.DUMMYFUNCTION("""COMPUTED_VALUE"""),"шт")</f>
        <v>шт</v>
      </c>
      <c r="F165" s="1" t="str">
        <f ca="1">IFERROR(__xludf.DUMMYFUNCTION("""COMPUTED_VALUE"""),"AST00000294")</f>
        <v>AST00000294</v>
      </c>
      <c r="G165" s="1">
        <f ca="1">IFERROR(__xludf.DUMMYFUNCTION("""COMPUTED_VALUE"""),3800232483797)</f>
        <v>3800232483797</v>
      </c>
      <c r="H165" s="1"/>
    </row>
    <row r="166" spans="1:8" x14ac:dyDescent="0.2">
      <c r="A166" s="1">
        <f ca="1">IFERROR(__xludf.DUMMYFUNCTION("""COMPUTED_VALUE"""),3800232483827)</f>
        <v>3800232483827</v>
      </c>
      <c r="B166" s="1" t="str">
        <f ca="1">IFERROR(__xludf.DUMMYFUNCTION("""COMPUTED_VALUE"""),"7035 XL_BG")</f>
        <v>7035 XL_BG</v>
      </c>
      <c r="C166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D166" s="1" t="str">
        <f ca="1">IFERROR(__xludf.DUMMYFUNCTION("""COMPUTED_VALUE"""),"Бандаж на голеностопный сустав эластичный 7035 XL (Болгария) ш/к 3800232483827")</f>
        <v>Бандаж на голеностопный сустав эластичный 7035 XL (Болгария) ш/к 3800232483827</v>
      </c>
      <c r="E166" s="1" t="str">
        <f ca="1">IFERROR(__xludf.DUMMYFUNCTION("""COMPUTED_VALUE"""),"шт")</f>
        <v>шт</v>
      </c>
      <c r="F166" s="1" t="str">
        <f ca="1">IFERROR(__xludf.DUMMYFUNCTION("""COMPUTED_VALUE"""),"AST00000297")</f>
        <v>AST00000297</v>
      </c>
      <c r="G166" s="1">
        <f ca="1">IFERROR(__xludf.DUMMYFUNCTION("""COMPUTED_VALUE"""),3800232483827)</f>
        <v>3800232483827</v>
      </c>
      <c r="H166" s="1"/>
    </row>
    <row r="167" spans="1:8" x14ac:dyDescent="0.2">
      <c r="A167" s="1">
        <f ca="1">IFERROR(__xludf.DUMMYFUNCTION("""COMPUTED_VALUE"""),3800232483858)</f>
        <v>3800232483858</v>
      </c>
      <c r="B167" s="1" t="str">
        <f ca="1">IFERROR(__xludf.DUMMYFUNCTION("""COMPUTED_VALUE"""),"8317 L_BG")</f>
        <v>8317 L_BG</v>
      </c>
      <c r="C167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D167" s="1" t="str">
        <f ca="1">IFERROR(__xludf.DUMMYFUNCTION("""COMPUTED_VALUE"""),"Бандаж на локтевой сустав эластичный 8317 L (Болгария) ш/к 3800232483858")</f>
        <v>Бандаж на локтевой сустав эластичный 8317 L (Болгария) ш/к 3800232483858</v>
      </c>
      <c r="E167" s="1" t="str">
        <f ca="1">IFERROR(__xludf.DUMMYFUNCTION("""COMPUTED_VALUE"""),"шт")</f>
        <v>шт</v>
      </c>
      <c r="F167" s="1" t="str">
        <f ca="1">IFERROR(__xludf.DUMMYFUNCTION("""COMPUTED_VALUE"""),"AST00000300")</f>
        <v>AST00000300</v>
      </c>
      <c r="G167" s="1">
        <f ca="1">IFERROR(__xludf.DUMMYFUNCTION("""COMPUTED_VALUE"""),3800232483858)</f>
        <v>3800232483858</v>
      </c>
      <c r="H167" s="1"/>
    </row>
    <row r="168" spans="1:8" x14ac:dyDescent="0.2">
      <c r="A168" s="1">
        <f ca="1">IFERROR(__xludf.DUMMYFUNCTION("""COMPUTED_VALUE"""),3800232483841)</f>
        <v>3800232483841</v>
      </c>
      <c r="B168" s="1" t="str">
        <f ca="1">IFERROR(__xludf.DUMMYFUNCTION("""COMPUTED_VALUE"""),"8317 M_BG")</f>
        <v>8317 M_BG</v>
      </c>
      <c r="C168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D168" s="1" t="str">
        <f ca="1">IFERROR(__xludf.DUMMYFUNCTION("""COMPUTED_VALUE"""),"Бандаж на локтевой сустав эластичный 8317 M (Болгария) ш/к 3800232483841")</f>
        <v>Бандаж на локтевой сустав эластичный 8317 M (Болгария) ш/к 3800232483841</v>
      </c>
      <c r="E168" s="1" t="str">
        <f ca="1">IFERROR(__xludf.DUMMYFUNCTION("""COMPUTED_VALUE"""),"шт")</f>
        <v>шт</v>
      </c>
      <c r="F168" s="1" t="str">
        <f ca="1">IFERROR(__xludf.DUMMYFUNCTION("""COMPUTED_VALUE"""),"AST00000299")</f>
        <v>AST00000299</v>
      </c>
      <c r="G168" s="1">
        <f ca="1">IFERROR(__xludf.DUMMYFUNCTION("""COMPUTED_VALUE"""),3800232483841)</f>
        <v>3800232483841</v>
      </c>
      <c r="H168" s="1"/>
    </row>
    <row r="169" spans="1:8" x14ac:dyDescent="0.2">
      <c r="A169" s="1">
        <f ca="1">IFERROR(__xludf.DUMMYFUNCTION("""COMPUTED_VALUE"""),3800232483834)</f>
        <v>3800232483834</v>
      </c>
      <c r="B169" s="1" t="str">
        <f ca="1">IFERROR(__xludf.DUMMYFUNCTION("""COMPUTED_VALUE"""),"8317 S_BG")</f>
        <v>8317 S_BG</v>
      </c>
      <c r="C169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D169" s="1" t="str">
        <f ca="1">IFERROR(__xludf.DUMMYFUNCTION("""COMPUTED_VALUE"""),"Бандаж на локтевой сустав эластичный 8317 S (Болгария) ш/к 3800232483834")</f>
        <v>Бандаж на локтевой сустав эластичный 8317 S (Болгария) ш/к 3800232483834</v>
      </c>
      <c r="E169" s="1" t="str">
        <f ca="1">IFERROR(__xludf.DUMMYFUNCTION("""COMPUTED_VALUE"""),"шт")</f>
        <v>шт</v>
      </c>
      <c r="F169" s="1" t="str">
        <f ca="1">IFERROR(__xludf.DUMMYFUNCTION("""COMPUTED_VALUE"""),"AST00000298")</f>
        <v>AST00000298</v>
      </c>
      <c r="G169" s="1">
        <f ca="1">IFERROR(__xludf.DUMMYFUNCTION("""COMPUTED_VALUE"""),3800232483834)</f>
        <v>3800232483834</v>
      </c>
      <c r="H169" s="1"/>
    </row>
    <row r="170" spans="1:8" x14ac:dyDescent="0.2">
      <c r="A170" s="1">
        <f ca="1">IFERROR(__xludf.DUMMYFUNCTION("""COMPUTED_VALUE"""),3800232483865)</f>
        <v>3800232483865</v>
      </c>
      <c r="B170" s="1" t="str">
        <f ca="1">IFERROR(__xludf.DUMMYFUNCTION("""COMPUTED_VALUE"""),"8317 XL_BG")</f>
        <v>8317 XL_BG</v>
      </c>
      <c r="C170" s="1" t="str">
        <f ca="1">IFERROR(__xludf.DUMMYFUNCTION("""COMPUTED_VALUE"""),"Бандаж на локтевой сустав эластичный 8317 XL (Болгария)")</f>
        <v>Бандаж на локтевой сустав эластичный 8317 XL (Болгария)</v>
      </c>
      <c r="D170" s="1" t="str">
        <f ca="1">IFERROR(__xludf.DUMMYFUNCTION("""COMPUTED_VALUE"""),"Бандаж на локтевой сустав эластичный 8317 XL (Болгария) ш/к 3800232483865")</f>
        <v>Бандаж на локтевой сустав эластичный 8317 XL (Болгария) ш/к 3800232483865</v>
      </c>
      <c r="E170" s="1" t="str">
        <f ca="1">IFERROR(__xludf.DUMMYFUNCTION("""COMPUTED_VALUE"""),"шт")</f>
        <v>шт</v>
      </c>
      <c r="F170" s="1" t="str">
        <f ca="1">IFERROR(__xludf.DUMMYFUNCTION("""COMPUTED_VALUE"""),"AST00000301")</f>
        <v>AST00000301</v>
      </c>
      <c r="G170" s="1">
        <f ca="1">IFERROR(__xludf.DUMMYFUNCTION("""COMPUTED_VALUE"""),3800232483865)</f>
        <v>3800232483865</v>
      </c>
      <c r="H170" s="1"/>
    </row>
    <row r="171" spans="1:8" x14ac:dyDescent="0.2">
      <c r="A171" s="1">
        <f ca="1">IFERROR(__xludf.DUMMYFUNCTION("""COMPUTED_VALUE"""),3800232483896)</f>
        <v>3800232483896</v>
      </c>
      <c r="B171" s="1" t="str">
        <f ca="1">IFERROR(__xludf.DUMMYFUNCTION("""COMPUTED_VALUE"""),"8503 L_BG")</f>
        <v>8503 L_BG</v>
      </c>
      <c r="C171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D171" s="1" t="str">
        <f ca="1">IFERROR(__xludf.DUMMYFUNCTION("""COMPUTED_VALUE"""),"Бандаж на лучезапястный сустав эластичный 8503 L (Болгария) ш/к 3800232483896")</f>
        <v>Бандаж на лучезапястный сустав эластичный 8503 L (Болгария) ш/к 3800232483896</v>
      </c>
      <c r="E171" s="1" t="str">
        <f ca="1">IFERROR(__xludf.DUMMYFUNCTION("""COMPUTED_VALUE"""),"шт")</f>
        <v>шт</v>
      </c>
      <c r="F171" s="1" t="str">
        <f ca="1">IFERROR(__xludf.DUMMYFUNCTION("""COMPUTED_VALUE"""),"AST00000304")</f>
        <v>AST00000304</v>
      </c>
      <c r="G171" s="1">
        <f ca="1">IFERROR(__xludf.DUMMYFUNCTION("""COMPUTED_VALUE"""),3800232483896)</f>
        <v>3800232483896</v>
      </c>
      <c r="H171" s="1"/>
    </row>
    <row r="172" spans="1:8" x14ac:dyDescent="0.2">
      <c r="A172" s="1">
        <f ca="1">IFERROR(__xludf.DUMMYFUNCTION("""COMPUTED_VALUE"""),3800232483889)</f>
        <v>3800232483889</v>
      </c>
      <c r="B172" s="1" t="str">
        <f ca="1">IFERROR(__xludf.DUMMYFUNCTION("""COMPUTED_VALUE"""),"8503 M_BG")</f>
        <v>8503 M_BG</v>
      </c>
      <c r="C172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D172" s="1" t="str">
        <f ca="1">IFERROR(__xludf.DUMMYFUNCTION("""COMPUTED_VALUE"""),"Бандаж на лучезапястный сустав эластичный 8503 M (Болгария) ш/к 3800232483889")</f>
        <v>Бандаж на лучезапястный сустав эластичный 8503 M (Болгария) ш/к 3800232483889</v>
      </c>
      <c r="E172" s="1" t="str">
        <f ca="1">IFERROR(__xludf.DUMMYFUNCTION("""COMPUTED_VALUE"""),"шт")</f>
        <v>шт</v>
      </c>
      <c r="F172" s="1" t="str">
        <f ca="1">IFERROR(__xludf.DUMMYFUNCTION("""COMPUTED_VALUE"""),"AST00000303")</f>
        <v>AST00000303</v>
      </c>
      <c r="G172" s="1">
        <f ca="1">IFERROR(__xludf.DUMMYFUNCTION("""COMPUTED_VALUE"""),3800232483889)</f>
        <v>3800232483889</v>
      </c>
      <c r="H172" s="1"/>
    </row>
    <row r="173" spans="1:8" x14ac:dyDescent="0.2">
      <c r="A173" s="1">
        <f ca="1">IFERROR(__xludf.DUMMYFUNCTION("""COMPUTED_VALUE"""),3800232483872)</f>
        <v>3800232483872</v>
      </c>
      <c r="B173" s="1" t="str">
        <f ca="1">IFERROR(__xludf.DUMMYFUNCTION("""COMPUTED_VALUE"""),"8503 S_BG")</f>
        <v>8503 S_BG</v>
      </c>
      <c r="C173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D173" s="1" t="str">
        <f ca="1">IFERROR(__xludf.DUMMYFUNCTION("""COMPUTED_VALUE"""),"Бандаж на лучезапястный сустав эластичный 8503 S (Болгария) ш/к 3800232483872")</f>
        <v>Бандаж на лучезапястный сустав эластичный 8503 S (Болгария) ш/к 3800232483872</v>
      </c>
      <c r="E173" s="1" t="str">
        <f ca="1">IFERROR(__xludf.DUMMYFUNCTION("""COMPUTED_VALUE"""),"шт")</f>
        <v>шт</v>
      </c>
      <c r="F173" s="1" t="str">
        <f ca="1">IFERROR(__xludf.DUMMYFUNCTION("""COMPUTED_VALUE"""),"AST00000302")</f>
        <v>AST00000302</v>
      </c>
      <c r="G173" s="1">
        <f ca="1">IFERROR(__xludf.DUMMYFUNCTION("""COMPUTED_VALUE"""),3800232483872)</f>
        <v>3800232483872</v>
      </c>
      <c r="H173" s="1"/>
    </row>
    <row r="174" spans="1:8" x14ac:dyDescent="0.2">
      <c r="A174" s="1">
        <f ca="1">IFERROR(__xludf.DUMMYFUNCTION("""COMPUTED_VALUE"""),3800232483902)</f>
        <v>3800232483902</v>
      </c>
      <c r="B174" s="1" t="str">
        <f ca="1">IFERROR(__xludf.DUMMYFUNCTION("""COMPUTED_VALUE"""),"8503 XL_BG")</f>
        <v>8503 XL_BG</v>
      </c>
      <c r="C174" s="1" t="str">
        <f ca="1">IFERROR(__xludf.DUMMYFUNCTION("""COMPUTED_VALUE"""),"Бандаж на лучезапястный сустав эластичный 8503 XL (Болгария)")</f>
        <v>Бандаж на лучезапястный сустав эластичный 8503 XL (Болгария)</v>
      </c>
      <c r="D174" s="1" t="str">
        <f ca="1">IFERROR(__xludf.DUMMYFUNCTION("""COMPUTED_VALUE"""),"Бандаж на лучезапястный сустав эластичный 8503 XL (Болгария) ш/к 3800232483902")</f>
        <v>Бандаж на лучезапястный сустав эластичный 8503 XL (Болгария) ш/к 3800232483902</v>
      </c>
      <c r="E174" s="1" t="str">
        <f ca="1">IFERROR(__xludf.DUMMYFUNCTION("""COMPUTED_VALUE"""),"шт")</f>
        <v>шт</v>
      </c>
      <c r="F174" s="1" t="str">
        <f ca="1">IFERROR(__xludf.DUMMYFUNCTION("""COMPUTED_VALUE"""),"AST00000305")</f>
        <v>AST00000305</v>
      </c>
      <c r="G174" s="1">
        <f ca="1">IFERROR(__xludf.DUMMYFUNCTION("""COMPUTED_VALUE"""),3800232483902)</f>
        <v>3800232483902</v>
      </c>
      <c r="H174" s="1"/>
    </row>
    <row r="175" spans="1:8" x14ac:dyDescent="0.2">
      <c r="A175" s="1">
        <f ca="1">IFERROR(__xludf.DUMMYFUNCTION("""COMPUTED_VALUE"""),3800232482974)</f>
        <v>3800232482974</v>
      </c>
      <c r="B175" s="1" t="str">
        <f ca="1">IFERROR(__xludf.DUMMYFUNCTION("""COMPUTED_VALUE"""),"8505 L/XL_BG")</f>
        <v>8505 L/XL_BG</v>
      </c>
      <c r="C175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D175" s="1" t="str">
        <f ca="1">IFERROR(__xludf.DUMMYFUNCTION("""COMPUTED_VALUE"""),"Бандаж на лучезапястный сустав легкой фиксации 8505 L/XL (Бежевый) (Болгария) ш/к 3800232482974")</f>
        <v>Бандаж на лучезапястный сустав легкой фиксации 8505 L/XL (Бежевый) (Болгария) ш/к 3800232482974</v>
      </c>
      <c r="E175" s="1" t="str">
        <f ca="1">IFERROR(__xludf.DUMMYFUNCTION("""COMPUTED_VALUE"""),"шт")</f>
        <v>шт</v>
      </c>
      <c r="F175" s="1" t="str">
        <f ca="1">IFERROR(__xludf.DUMMYFUNCTION("""COMPUTED_VALUE"""),"AST00000210")</f>
        <v>AST00000210</v>
      </c>
      <c r="G175" s="1">
        <f ca="1">IFERROR(__xludf.DUMMYFUNCTION("""COMPUTED_VALUE"""),3800232482974)</f>
        <v>3800232482974</v>
      </c>
      <c r="H175" s="1"/>
    </row>
    <row r="176" spans="1:8" x14ac:dyDescent="0.2">
      <c r="A176" s="1">
        <f ca="1">IFERROR(__xludf.DUMMYFUNCTION("""COMPUTED_VALUE"""),3800232482981)</f>
        <v>3800232482981</v>
      </c>
      <c r="B176" s="1" t="str">
        <f ca="1">IFERROR(__xludf.DUMMYFUNCTION("""COMPUTED_VALUE"""),"8505 S/M_BG")</f>
        <v>8505 S/M_BG</v>
      </c>
      <c r="C176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D176" s="1" t="str">
        <f ca="1">IFERROR(__xludf.DUMMYFUNCTION("""COMPUTED_VALUE"""),"Бандаж на лучезапястный сустав легкой фиксации 8505 S/M (Бежевый) (Болгария) ш/к 3800232482981")</f>
        <v>Бандаж на лучезапястный сустав легкой фиксации 8505 S/M (Бежевый) (Болгария) ш/к 3800232482981</v>
      </c>
      <c r="E176" s="1" t="str">
        <f ca="1">IFERROR(__xludf.DUMMYFUNCTION("""COMPUTED_VALUE"""),"шт")</f>
        <v>шт</v>
      </c>
      <c r="F176" s="1" t="str">
        <f ca="1">IFERROR(__xludf.DUMMYFUNCTION("""COMPUTED_VALUE"""),"AST00000209")</f>
        <v>AST00000209</v>
      </c>
      <c r="G176" s="1">
        <f ca="1">IFERROR(__xludf.DUMMYFUNCTION("""COMPUTED_VALUE"""),3800232482981)</f>
        <v>3800232482981</v>
      </c>
      <c r="H176" s="1"/>
    </row>
    <row r="177" spans="1:8" x14ac:dyDescent="0.2">
      <c r="A177" s="1">
        <f ca="1">IFERROR(__xludf.DUMMYFUNCTION("""COMPUTED_VALUE"""),3800232483094)</f>
        <v>3800232483094</v>
      </c>
      <c r="B177" s="1" t="str">
        <f ca="1">IFERROR(__xludf.DUMMYFUNCTION("""COMPUTED_VALUE"""),"8552 L\XL_BG")</f>
        <v>8552 L\XL_BG</v>
      </c>
      <c r="C177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D177" s="1" t="str">
        <f ca="1">IFERROR(__xludf.DUMMYFUNCTION("""COMPUTED_VALUE"""),"Бандаж на лучезапястный сустав с фиксацией пальца 8552 L\XL (Болгария) ш/к 3800232483094")</f>
        <v>Бандаж на лучезапястный сустав с фиксацией пальца 8552 L\XL (Болгария) ш/к 3800232483094</v>
      </c>
      <c r="E177" s="1" t="str">
        <f ca="1">IFERROR(__xludf.DUMMYFUNCTION("""COMPUTED_VALUE"""),"шт")</f>
        <v>шт</v>
      </c>
      <c r="F177" s="1" t="str">
        <f ca="1">IFERROR(__xludf.DUMMYFUNCTION("""COMPUTED_VALUE"""),"AST00000212")</f>
        <v>AST00000212</v>
      </c>
      <c r="G177" s="1">
        <f ca="1">IFERROR(__xludf.DUMMYFUNCTION("""COMPUTED_VALUE"""),3800232483094)</f>
        <v>3800232483094</v>
      </c>
      <c r="H177" s="1"/>
    </row>
    <row r="178" spans="1:8" x14ac:dyDescent="0.2">
      <c r="A178" s="1">
        <f ca="1">IFERROR(__xludf.DUMMYFUNCTION("""COMPUTED_VALUE"""),3800232483100)</f>
        <v>3800232483100</v>
      </c>
      <c r="B178" s="1" t="str">
        <f ca="1">IFERROR(__xludf.DUMMYFUNCTION("""COMPUTED_VALUE"""),"8552 S\M_BG")</f>
        <v>8552 S\M_BG</v>
      </c>
      <c r="C178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D178" s="1" t="str">
        <f ca="1">IFERROR(__xludf.DUMMYFUNCTION("""COMPUTED_VALUE"""),"Бандаж на лучезапястный сустав с фиксацией пальца 8552 S\M (Болгария) ш/к 3800232483100")</f>
        <v>Бандаж на лучезапястный сустав с фиксацией пальца 8552 S\M (Болгария) ш/к 3800232483100</v>
      </c>
      <c r="E178" s="1" t="str">
        <f ca="1">IFERROR(__xludf.DUMMYFUNCTION("""COMPUTED_VALUE"""),"шт")</f>
        <v>шт</v>
      </c>
      <c r="F178" s="1" t="str">
        <f ca="1">IFERROR(__xludf.DUMMYFUNCTION("""COMPUTED_VALUE"""),"AST00000211")</f>
        <v>AST00000211</v>
      </c>
      <c r="G178" s="1">
        <f ca="1">IFERROR(__xludf.DUMMYFUNCTION("""COMPUTED_VALUE"""),3800232483100)</f>
        <v>3800232483100</v>
      </c>
      <c r="H178" s="1"/>
    </row>
    <row r="179" spans="1:8" x14ac:dyDescent="0.2">
      <c r="A179" s="1">
        <f ca="1">IFERROR(__xludf.DUMMYFUNCTION("""COMPUTED_VALUE"""),3800232483377)</f>
        <v>3800232483377</v>
      </c>
      <c r="B179" s="1" t="str">
        <f ca="1">IFERROR(__xludf.DUMMYFUNCTION("""COMPUTED_VALUE"""),"9912 L_бел_BG")</f>
        <v>9912 L_бел_BG</v>
      </c>
      <c r="C179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D179" s="1" t="str">
        <f ca="1">IFERROR(__xludf.DUMMYFUNCTION("""COMPUTED_VALUE"""),"Бандаж для руки поддерживающий облегченный (косынка) 9912 L (белый) (Болгария) ш/к 3800232483377")</f>
        <v>Бандаж для руки поддерживающий облегченный (косынка) 9912 L (белый) (Болгария) ш/к 3800232483377</v>
      </c>
      <c r="E179" s="1" t="str">
        <f ca="1">IFERROR(__xludf.DUMMYFUNCTION("""COMPUTED_VALUE"""),"шт")</f>
        <v>шт</v>
      </c>
      <c r="F179" s="1" t="str">
        <f ca="1">IFERROR(__xludf.DUMMYFUNCTION("""COMPUTED_VALUE"""),"AST00000218")</f>
        <v>AST00000218</v>
      </c>
      <c r="G179" s="1">
        <f ca="1">IFERROR(__xludf.DUMMYFUNCTION("""COMPUTED_VALUE"""),3800232483377)</f>
        <v>3800232483377</v>
      </c>
      <c r="H179" s="1"/>
    </row>
    <row r="180" spans="1:8" x14ac:dyDescent="0.2">
      <c r="A180" s="1">
        <f ca="1">IFERROR(__xludf.DUMMYFUNCTION("""COMPUTED_VALUE"""),3800232483414)</f>
        <v>3800232483414</v>
      </c>
      <c r="B180" s="1" t="str">
        <f ca="1">IFERROR(__xludf.DUMMYFUNCTION("""COMPUTED_VALUE"""),"9912 L_чер_BG")</f>
        <v>9912 L_чер_BG</v>
      </c>
      <c r="C180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D180" s="1" t="str">
        <f ca="1">IFERROR(__xludf.DUMMYFUNCTION("""COMPUTED_VALUE"""),"Бандаж для руки поддерживающий облегченный (косынка) 9912 L (черный) (Болгария) ш/к 3800232483414")</f>
        <v>Бандаж для руки поддерживающий облегченный (косынка) 9912 L (черный) (Болгария) ш/к 3800232483414</v>
      </c>
      <c r="E180" s="1" t="str">
        <f ca="1">IFERROR(__xludf.DUMMYFUNCTION("""COMPUTED_VALUE"""),"шт")</f>
        <v>шт</v>
      </c>
      <c r="F180" s="1" t="str">
        <f ca="1">IFERROR(__xludf.DUMMYFUNCTION("""COMPUTED_VALUE"""),"AST00000215")</f>
        <v>AST00000215</v>
      </c>
      <c r="G180" s="1">
        <f ca="1">IFERROR(__xludf.DUMMYFUNCTION("""COMPUTED_VALUE"""),3800232483414)</f>
        <v>3800232483414</v>
      </c>
      <c r="H180" s="1"/>
    </row>
    <row r="181" spans="1:8" x14ac:dyDescent="0.2">
      <c r="A181" s="1">
        <f ca="1">IFERROR(__xludf.DUMMYFUNCTION("""COMPUTED_VALUE"""),3800232483384)</f>
        <v>3800232483384</v>
      </c>
      <c r="B181" s="1" t="str">
        <f ca="1">IFERROR(__xludf.DUMMYFUNCTION("""COMPUTED_VALUE"""),"9912 M_бел_BG")</f>
        <v>9912 M_бел_BG</v>
      </c>
      <c r="C181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D181" s="1" t="str">
        <f ca="1">IFERROR(__xludf.DUMMYFUNCTION("""COMPUTED_VALUE"""),"Бандаж для руки поддерживающий облегченный (косынка) 9912 M (белый) (Болгария) ш/к 3800232483384")</f>
        <v>Бандаж для руки поддерживающий облегченный (косынка) 9912 M (белый) (Болгария) ш/к 3800232483384</v>
      </c>
      <c r="E181" s="1" t="str">
        <f ca="1">IFERROR(__xludf.DUMMYFUNCTION("""COMPUTED_VALUE"""),"шт")</f>
        <v>шт</v>
      </c>
      <c r="F181" s="1" t="str">
        <f ca="1">IFERROR(__xludf.DUMMYFUNCTION("""COMPUTED_VALUE"""),"AST00000217")</f>
        <v>AST00000217</v>
      </c>
      <c r="G181" s="1">
        <f ca="1">IFERROR(__xludf.DUMMYFUNCTION("""COMPUTED_VALUE"""),3800232483384)</f>
        <v>3800232483384</v>
      </c>
      <c r="H181" s="1"/>
    </row>
    <row r="182" spans="1:8" x14ac:dyDescent="0.2">
      <c r="A182" s="1">
        <f ca="1">IFERROR(__xludf.DUMMYFUNCTION("""COMPUTED_VALUE"""),3800232483421)</f>
        <v>3800232483421</v>
      </c>
      <c r="B182" s="1" t="str">
        <f ca="1">IFERROR(__xludf.DUMMYFUNCTION("""COMPUTED_VALUE"""),"9912 M_чер_BG")</f>
        <v>9912 M_чер_BG</v>
      </c>
      <c r="C182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D182" s="1" t="str">
        <f ca="1">IFERROR(__xludf.DUMMYFUNCTION("""COMPUTED_VALUE"""),"Бандаж для руки поддерживающий облегченный (косынка) 9912 M (черный) (Болгария) ш/к 3800232483421")</f>
        <v>Бандаж для руки поддерживающий облегченный (косынка) 9912 M (черный) (Болгария) ш/к 3800232483421</v>
      </c>
      <c r="E182" s="1" t="str">
        <f ca="1">IFERROR(__xludf.DUMMYFUNCTION("""COMPUTED_VALUE"""),"шт")</f>
        <v>шт</v>
      </c>
      <c r="F182" s="1" t="str">
        <f ca="1">IFERROR(__xludf.DUMMYFUNCTION("""COMPUTED_VALUE"""),"AST00000214")</f>
        <v>AST00000214</v>
      </c>
      <c r="G182" s="1">
        <f ca="1">IFERROR(__xludf.DUMMYFUNCTION("""COMPUTED_VALUE"""),3800232483421)</f>
        <v>3800232483421</v>
      </c>
      <c r="H182" s="1"/>
    </row>
    <row r="183" spans="1:8" x14ac:dyDescent="0.2">
      <c r="A183" s="1">
        <f ca="1">IFERROR(__xludf.DUMMYFUNCTION("""COMPUTED_VALUE"""),3800232483391)</f>
        <v>3800232483391</v>
      </c>
      <c r="B183" s="1" t="str">
        <f ca="1">IFERROR(__xludf.DUMMYFUNCTION("""COMPUTED_VALUE"""),"9912 S_бел_BG")</f>
        <v>9912 S_бел_BG</v>
      </c>
      <c r="C183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D183" s="1" t="str">
        <f ca="1">IFERROR(__xludf.DUMMYFUNCTION("""COMPUTED_VALUE"""),"Бандаж для руки поддерживающий облегченный (косынка) 9912 S (белый) (Болгария) ш/к 3800232483391")</f>
        <v>Бандаж для руки поддерживающий облегченный (косынка) 9912 S (белый) (Болгария) ш/к 3800232483391</v>
      </c>
      <c r="E183" s="1" t="str">
        <f ca="1">IFERROR(__xludf.DUMMYFUNCTION("""COMPUTED_VALUE"""),"шт")</f>
        <v>шт</v>
      </c>
      <c r="F183" s="1" t="str">
        <f ca="1">IFERROR(__xludf.DUMMYFUNCTION("""COMPUTED_VALUE"""),"AST00000216")</f>
        <v>AST00000216</v>
      </c>
      <c r="G183" s="1">
        <f ca="1">IFERROR(__xludf.DUMMYFUNCTION("""COMPUTED_VALUE"""),3800232483391)</f>
        <v>3800232483391</v>
      </c>
      <c r="H183" s="1"/>
    </row>
    <row r="184" spans="1:8" x14ac:dyDescent="0.2">
      <c r="A184" s="1">
        <f ca="1">IFERROR(__xludf.DUMMYFUNCTION("""COMPUTED_VALUE"""),3800232483438)</f>
        <v>3800232483438</v>
      </c>
      <c r="B184" s="1" t="str">
        <f ca="1">IFERROR(__xludf.DUMMYFUNCTION("""COMPUTED_VALUE"""),"9912 S_чер_BG")</f>
        <v>9912 S_чер_BG</v>
      </c>
      <c r="C184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D184" s="1" t="str">
        <f ca="1">IFERROR(__xludf.DUMMYFUNCTION("""COMPUTED_VALUE"""),"Бандаж для руки поддерживающий облегченный (косынка) 9912 S (черный) (Болгария) ш/к 3800232483438")</f>
        <v>Бандаж для руки поддерживающий облегченный (косынка) 9912 S (черный) (Болгария) ш/к 3800232483438</v>
      </c>
      <c r="E184" s="1" t="str">
        <f ca="1">IFERROR(__xludf.DUMMYFUNCTION("""COMPUTED_VALUE"""),"шт")</f>
        <v>шт</v>
      </c>
      <c r="F184" s="1" t="str">
        <f ca="1">IFERROR(__xludf.DUMMYFUNCTION("""COMPUTED_VALUE"""),"AST00000213")</f>
        <v>AST00000213</v>
      </c>
      <c r="G184" s="1">
        <f ca="1">IFERROR(__xludf.DUMMYFUNCTION("""COMPUTED_VALUE"""),3800232483438)</f>
        <v>3800232483438</v>
      </c>
      <c r="H184" s="1"/>
    </row>
    <row r="185" spans="1:8" x14ac:dyDescent="0.2">
      <c r="A185" s="1">
        <f ca="1">IFERROR(__xludf.DUMMYFUNCTION("""COMPUTED_VALUE"""),3800232483407)</f>
        <v>3800232483407</v>
      </c>
      <c r="B185" s="1" t="str">
        <f ca="1">IFERROR(__xludf.DUMMYFUNCTION("""COMPUTED_VALUE"""),"9912 XL_бел_BG")</f>
        <v>9912 XL_бел_BG</v>
      </c>
      <c r="C185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D185" s="1" t="str">
        <f ca="1">IFERROR(__xludf.DUMMYFUNCTION("""COMPUTED_VALUE"""),"Бандаж для руки поддерживающий облегченный (косынка) 9912 XL (белый) (Болгария) ш/к 3800232483407")</f>
        <v>Бандаж для руки поддерживающий облегченный (косынка) 9912 XL (белый) (Болгария) ш/к 3800232483407</v>
      </c>
      <c r="E185" s="1" t="str">
        <f ca="1">IFERROR(__xludf.DUMMYFUNCTION("""COMPUTED_VALUE"""),"шт")</f>
        <v>шт</v>
      </c>
      <c r="F185" s="1" t="str">
        <f ca="1">IFERROR(__xludf.DUMMYFUNCTION("""COMPUTED_VALUE"""),"AST00000264")</f>
        <v>AST00000264</v>
      </c>
      <c r="G185" s="1">
        <f ca="1">IFERROR(__xludf.DUMMYFUNCTION("""COMPUTED_VALUE"""),3800232483407)</f>
        <v>3800232483407</v>
      </c>
      <c r="H185" s="1"/>
    </row>
    <row r="186" spans="1:8" x14ac:dyDescent="0.2">
      <c r="A186" s="1">
        <f ca="1">IFERROR(__xludf.DUMMYFUNCTION("""COMPUTED_VALUE"""),3800232483445)</f>
        <v>3800232483445</v>
      </c>
      <c r="B186" s="1" t="str">
        <f ca="1">IFERROR(__xludf.DUMMYFUNCTION("""COMPUTED_VALUE"""),"9912 XL_чер_BG")</f>
        <v>9912 XL_чер_BG</v>
      </c>
      <c r="C186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D186" s="1" t="str">
        <f ca="1">IFERROR(__xludf.DUMMYFUNCTION("""COMPUTED_VALUE"""),"Бандаж для руки поддерживающий облегченный (косынка) 9912 XL (черный) (Болгария) ш/к 3800232483445")</f>
        <v>Бандаж для руки поддерживающий облегченный (косынка) 9912 XL (черный) (Болгария) ш/к 3800232483445</v>
      </c>
      <c r="E186" s="1" t="str">
        <f ca="1">IFERROR(__xludf.DUMMYFUNCTION("""COMPUTED_VALUE"""),"шт")</f>
        <v>шт</v>
      </c>
      <c r="F186" s="1" t="str">
        <f ca="1">IFERROR(__xludf.DUMMYFUNCTION("""COMPUTED_VALUE"""),"AST00000263")</f>
        <v>AST00000263</v>
      </c>
      <c r="G186" s="1">
        <f ca="1">IFERROR(__xludf.DUMMYFUNCTION("""COMPUTED_VALUE"""),3800232483445)</f>
        <v>3800232483445</v>
      </c>
      <c r="H186" s="1"/>
    </row>
    <row r="187" spans="1:8" x14ac:dyDescent="0.2">
      <c r="A187" s="1" t="str">
        <f ca="1">IFERROR(__xludf.DUMMYFUNCTION("""COMPUTED_VALUE"""),"Бандажи Украина")</f>
        <v>Бандажи Украина</v>
      </c>
      <c r="B187" s="1"/>
      <c r="C187" s="1"/>
      <c r="D187" s="1"/>
      <c r="E187" s="1"/>
      <c r="F187" s="1"/>
      <c r="G187" s="1"/>
      <c r="H187" s="1"/>
    </row>
    <row r="188" spans="1:8" x14ac:dyDescent="0.2">
      <c r="A188" s="1">
        <f ca="1">IFERROR(__xludf.DUMMYFUNCTION("""COMPUTED_VALUE"""),4820137290046)</f>
        <v>4820137290046</v>
      </c>
      <c r="B188" s="1" t="str">
        <f ca="1">IFERROR(__xludf.DUMMYFUNCTION("""COMPUTED_VALUE"""),"1001 L")</f>
        <v>1001 L</v>
      </c>
      <c r="C188" s="1" t="str">
        <f ca="1">IFERROR(__xludf.DUMMYFUNCTION("""COMPUTED_VALUE"""),"Бандаж на шейный отдел позвоночника мягкой фиксации, размер L")</f>
        <v>Бандаж на шейный отдел позвоночника мягкой фиксации, размер L</v>
      </c>
      <c r="D188" s="1" t="str">
        <f ca="1">IFERROR(__xludf.DUMMYFUNCTION("""COMPUTED_VALUE"""),"Бандаж на шейный отдел позвоночника мягкой фиксации, размер L ш/к  4 820 137 290 046")</f>
        <v>Бандаж на шейный отдел позвоночника мягкой фиксации, размер L ш/к  4 820 137 290 046</v>
      </c>
      <c r="E188" s="1" t="str">
        <f ca="1">IFERROR(__xludf.DUMMYFUNCTION("""COMPUTED_VALUE"""),"шт")</f>
        <v>шт</v>
      </c>
      <c r="F188" s="1" t="str">
        <f ca="1">IFERROR(__xludf.DUMMYFUNCTION("""COMPUTED_VALUE"""),"БАМ00004")</f>
        <v>БАМ00004</v>
      </c>
      <c r="G188" s="1">
        <f ca="1">IFERROR(__xludf.DUMMYFUNCTION("""COMPUTED_VALUE"""),4820137290046)</f>
        <v>4820137290046</v>
      </c>
      <c r="H188" s="1"/>
    </row>
    <row r="189" spans="1:8" x14ac:dyDescent="0.2">
      <c r="A189" s="1">
        <f ca="1">IFERROR(__xludf.DUMMYFUNCTION("""COMPUTED_VALUE"""),4820137290039)</f>
        <v>4820137290039</v>
      </c>
      <c r="B189" s="1" t="str">
        <f ca="1">IFERROR(__xludf.DUMMYFUNCTION("""COMPUTED_VALUE"""),"1001 M")</f>
        <v>1001 M</v>
      </c>
      <c r="C189" s="1" t="str">
        <f ca="1">IFERROR(__xludf.DUMMYFUNCTION("""COMPUTED_VALUE"""),"Бандаж на шейный отдел позвоночника мягкой фиксации, размер M")</f>
        <v>Бандаж на шейный отдел позвоночника мягкой фиксации, размер M</v>
      </c>
      <c r="D189" s="1" t="str">
        <f ca="1">IFERROR(__xludf.DUMMYFUNCTION("""COMPUTED_VALUE"""),"Бандаж на шейный отдел позвоночника мягкой фиксации, размер M ш/к  4 820 137 290 039")</f>
        <v>Бандаж на шейный отдел позвоночника мягкой фиксации, размер M ш/к  4 820 137 290 039</v>
      </c>
      <c r="E189" s="1" t="str">
        <f ca="1">IFERROR(__xludf.DUMMYFUNCTION("""COMPUTED_VALUE"""),"шт")</f>
        <v>шт</v>
      </c>
      <c r="F189" s="1" t="str">
        <f ca="1">IFERROR(__xludf.DUMMYFUNCTION("""COMPUTED_VALUE"""),"БАМ00003")</f>
        <v>БАМ00003</v>
      </c>
      <c r="G189" s="1">
        <f ca="1">IFERROR(__xludf.DUMMYFUNCTION("""COMPUTED_VALUE"""),4820137290039)</f>
        <v>4820137290039</v>
      </c>
      <c r="H189" s="1"/>
    </row>
    <row r="190" spans="1:8" x14ac:dyDescent="0.2">
      <c r="A190" s="1">
        <f ca="1">IFERROR(__xludf.DUMMYFUNCTION("""COMPUTED_VALUE"""),4820137290022)</f>
        <v>4820137290022</v>
      </c>
      <c r="B190" s="1" t="str">
        <f ca="1">IFERROR(__xludf.DUMMYFUNCTION("""COMPUTED_VALUE"""),"1001 S")</f>
        <v>1001 S</v>
      </c>
      <c r="C190" s="1" t="str">
        <f ca="1">IFERROR(__xludf.DUMMYFUNCTION("""COMPUTED_VALUE"""),"Бандаж на шейный отдел позвоночника мягкой фиксации, размер S")</f>
        <v>Бандаж на шейный отдел позвоночника мягкой фиксации, размер S</v>
      </c>
      <c r="D190" s="1" t="str">
        <f ca="1">IFERROR(__xludf.DUMMYFUNCTION("""COMPUTED_VALUE"""),"Бандаж на шейный отдел позвоночника мягкой фиксации, размер S ш/к  4 820 137 290 022")</f>
        <v>Бандаж на шейный отдел позвоночника мягкой фиксации, размер S ш/к  4 820 137 290 022</v>
      </c>
      <c r="E190" s="1" t="str">
        <f ca="1">IFERROR(__xludf.DUMMYFUNCTION("""COMPUTED_VALUE"""),"шт")</f>
        <v>шт</v>
      </c>
      <c r="F190" s="1" t="str">
        <f ca="1">IFERROR(__xludf.DUMMYFUNCTION("""COMPUTED_VALUE"""),"БАМ00002")</f>
        <v>БАМ00002</v>
      </c>
      <c r="G190" s="1">
        <f ca="1">IFERROR(__xludf.DUMMYFUNCTION("""COMPUTED_VALUE"""),4820137290022)</f>
        <v>4820137290022</v>
      </c>
      <c r="H190" s="1"/>
    </row>
    <row r="191" spans="1:8" x14ac:dyDescent="0.2">
      <c r="A191" s="1">
        <f ca="1">IFERROR(__xludf.DUMMYFUNCTION("""COMPUTED_VALUE"""),4820137290084)</f>
        <v>4820137290084</v>
      </c>
      <c r="B191" s="1" t="str">
        <f ca="1">IFERROR(__xludf.DUMMYFUNCTION("""COMPUTED_VALUE"""),"1005 L")</f>
        <v>1005 L</v>
      </c>
      <c r="C191" s="1" t="str">
        <f ca="1">IFERROR(__xludf.DUMMYFUNCTION("""COMPUTED_VALUE"""),"Бандаж на шейный отдел позвоночника мягкой фиксации с жесткой вставкой, размер L")</f>
        <v>Бандаж на шейный отдел позвоночника мягкой фиксации с жесткой вставкой, размер L</v>
      </c>
      <c r="D191" s="1" t="str">
        <f ca="1">IFERROR(__xludf.DUMMYFUNCTION("""COMPUTED_VALUE"""),"Бандаж на шейный отдел позвоночника мягкой фиксации с жесткой вставкой, размер L ш/к  4 820 137 290 084")</f>
        <v>Бандаж на шейный отдел позвоночника мягкой фиксации с жесткой вставкой, размер L ш/к  4 820 137 290 084</v>
      </c>
      <c r="E191" s="1" t="str">
        <f ca="1">IFERROR(__xludf.DUMMYFUNCTION("""COMPUTED_VALUE"""),"шт")</f>
        <v>шт</v>
      </c>
      <c r="F191" s="1" t="str">
        <f ca="1">IFERROR(__xludf.DUMMYFUNCTION("""COMPUTED_VALUE"""),"БАМ00008")</f>
        <v>БАМ00008</v>
      </c>
      <c r="G191" s="1">
        <f ca="1">IFERROR(__xludf.DUMMYFUNCTION("""COMPUTED_VALUE"""),4820137290084)</f>
        <v>4820137290084</v>
      </c>
      <c r="H191" s="1"/>
    </row>
    <row r="192" spans="1:8" x14ac:dyDescent="0.2">
      <c r="A192" s="1">
        <f ca="1">IFERROR(__xludf.DUMMYFUNCTION("""COMPUTED_VALUE"""),4820137290077)</f>
        <v>4820137290077</v>
      </c>
      <c r="B192" s="1" t="str">
        <f ca="1">IFERROR(__xludf.DUMMYFUNCTION("""COMPUTED_VALUE"""),"1005 M")</f>
        <v>1005 M</v>
      </c>
      <c r="C192" s="1" t="str">
        <f ca="1">IFERROR(__xludf.DUMMYFUNCTION("""COMPUTED_VALUE"""),"Бандаж на шейный отдел позвоночника мягкой фиксации с жесткой вставкой, размер M")</f>
        <v>Бандаж на шейный отдел позвоночника мягкой фиксации с жесткой вставкой, размер M</v>
      </c>
      <c r="D192" s="1" t="str">
        <f ca="1">IFERROR(__xludf.DUMMYFUNCTION("""COMPUTED_VALUE"""),"Бандаж на шейный отдел позвоночника мягкой фиксации с жесткой вставкой, размер M ш/к  4 820 137 290 077")</f>
        <v>Бандаж на шейный отдел позвоночника мягкой фиксации с жесткой вставкой, размер M ш/к  4 820 137 290 077</v>
      </c>
      <c r="E192" s="1" t="str">
        <f ca="1">IFERROR(__xludf.DUMMYFUNCTION("""COMPUTED_VALUE"""),"шт")</f>
        <v>шт</v>
      </c>
      <c r="F192" s="1" t="str">
        <f ca="1">IFERROR(__xludf.DUMMYFUNCTION("""COMPUTED_VALUE"""),"БАМ00007")</f>
        <v>БАМ00007</v>
      </c>
      <c r="G192" s="1">
        <f ca="1">IFERROR(__xludf.DUMMYFUNCTION("""COMPUTED_VALUE"""),4820137290077)</f>
        <v>4820137290077</v>
      </c>
      <c r="H192" s="1"/>
    </row>
    <row r="193" spans="1:8" x14ac:dyDescent="0.2">
      <c r="A193" s="1">
        <f ca="1">IFERROR(__xludf.DUMMYFUNCTION("""COMPUTED_VALUE"""),4820137290060)</f>
        <v>4820137290060</v>
      </c>
      <c r="B193" s="1" t="str">
        <f ca="1">IFERROR(__xludf.DUMMYFUNCTION("""COMPUTED_VALUE"""),"1005 S")</f>
        <v>1005 S</v>
      </c>
      <c r="C193" s="1" t="str">
        <f ca="1">IFERROR(__xludf.DUMMYFUNCTION("""COMPUTED_VALUE"""),"Бандаж на шейный отдел позвоночника мягкой фиксации с жесткой вставкой, размер S")</f>
        <v>Бандаж на шейный отдел позвоночника мягкой фиксации с жесткой вставкой, размер S</v>
      </c>
      <c r="D193" s="1" t="str">
        <f ca="1">IFERROR(__xludf.DUMMYFUNCTION("""COMPUTED_VALUE"""),"Бандаж на шейный отдел позвоночника мягкой фиксации с жесткой вставкой, размер S ш/к  4 820 137 290 060")</f>
        <v>Бандаж на шейный отдел позвоночника мягкой фиксации с жесткой вставкой, размер S ш/к  4 820 137 290 060</v>
      </c>
      <c r="E193" s="1" t="str">
        <f ca="1">IFERROR(__xludf.DUMMYFUNCTION("""COMPUTED_VALUE"""),"шт")</f>
        <v>шт</v>
      </c>
      <c r="F193" s="1" t="str">
        <f ca="1">IFERROR(__xludf.DUMMYFUNCTION("""COMPUTED_VALUE"""),"БАМ00006")</f>
        <v>БАМ00006</v>
      </c>
      <c r="G193" s="1">
        <f ca="1">IFERROR(__xludf.DUMMYFUNCTION("""COMPUTED_VALUE"""),4820137290060)</f>
        <v>4820137290060</v>
      </c>
      <c r="H193" s="1"/>
    </row>
    <row r="194" spans="1:8" x14ac:dyDescent="0.2">
      <c r="A194" s="1">
        <f ca="1">IFERROR(__xludf.DUMMYFUNCTION("""COMPUTED_VALUE"""),4820137293153)</f>
        <v>4820137293153</v>
      </c>
      <c r="B194" s="1" t="str">
        <f ca="1">IFERROR(__xludf.DUMMYFUNCTION("""COMPUTED_VALUE"""),"2005 L_люкс")</f>
        <v>2005 L_люкс</v>
      </c>
      <c r="C194" s="1" t="str">
        <f ca="1">IFERROR(__xludf.DUMMYFUNCTION("""COMPUTED_VALUE"""),"Реклинатор (корректор осанки) детский, размер L")</f>
        <v>Реклинатор (корректор осанки) детский, размер L</v>
      </c>
      <c r="D194" s="1" t="str">
        <f ca="1">IFERROR(__xludf.DUMMYFUNCTION("""COMPUTED_VALUE"""),"Реклинатор (корректор осанки) детский, размер L ш/к  4 820 137 293 153")</f>
        <v>Реклинатор (корректор осанки) детский, размер L ш/к  4 820 137 293 153</v>
      </c>
      <c r="E194" s="1" t="str">
        <f ca="1">IFERROR(__xludf.DUMMYFUNCTION("""COMPUTED_VALUE"""),"шт")</f>
        <v>шт</v>
      </c>
      <c r="F194" s="1" t="str">
        <f ca="1">IFERROR(__xludf.DUMMYFUNCTION("""COMPUTED_VALUE"""),"БАМ00080")</f>
        <v>БАМ00080</v>
      </c>
      <c r="G194" s="1">
        <f ca="1">IFERROR(__xludf.DUMMYFUNCTION("""COMPUTED_VALUE"""),4820137293153)</f>
        <v>4820137293153</v>
      </c>
      <c r="H194" s="1"/>
    </row>
    <row r="195" spans="1:8" x14ac:dyDescent="0.2">
      <c r="A195" s="1">
        <f ca="1">IFERROR(__xludf.DUMMYFUNCTION("""COMPUTED_VALUE"""),4820137293146)</f>
        <v>4820137293146</v>
      </c>
      <c r="B195" s="1" t="str">
        <f ca="1">IFERROR(__xludf.DUMMYFUNCTION("""COMPUTED_VALUE"""),"2005 M_люкс")</f>
        <v>2005 M_люкс</v>
      </c>
      <c r="C195" s="1" t="str">
        <f ca="1">IFERROR(__xludf.DUMMYFUNCTION("""COMPUTED_VALUE"""),"Реклинатор (корректор осанки) детский, размер M")</f>
        <v>Реклинатор (корректор осанки) детский, размер M</v>
      </c>
      <c r="D195" s="1" t="str">
        <f ca="1">IFERROR(__xludf.DUMMYFUNCTION("""COMPUTED_VALUE"""),"Реклинатор (корректор осанки) детский, размер M ш/к  4 820 137 293 146")</f>
        <v>Реклинатор (корректор осанки) детский, размер M ш/к  4 820 137 293 146</v>
      </c>
      <c r="E195" s="1" t="str">
        <f ca="1">IFERROR(__xludf.DUMMYFUNCTION("""COMPUTED_VALUE"""),"шт")</f>
        <v>шт</v>
      </c>
      <c r="F195" s="1" t="str">
        <f ca="1">IFERROR(__xludf.DUMMYFUNCTION("""COMPUTED_VALUE"""),"БАМ00081")</f>
        <v>БАМ00081</v>
      </c>
      <c r="G195" s="1">
        <f ca="1">IFERROR(__xludf.DUMMYFUNCTION("""COMPUTED_VALUE"""),4820137293146)</f>
        <v>4820137293146</v>
      </c>
      <c r="H195" s="1"/>
    </row>
    <row r="196" spans="1:8" x14ac:dyDescent="0.2">
      <c r="A196" s="1">
        <f ca="1">IFERROR(__xludf.DUMMYFUNCTION("""COMPUTED_VALUE"""),4820137293139)</f>
        <v>4820137293139</v>
      </c>
      <c r="B196" s="1" t="str">
        <f ca="1">IFERROR(__xludf.DUMMYFUNCTION("""COMPUTED_VALUE"""),"2005 S_люкс")</f>
        <v>2005 S_люкс</v>
      </c>
      <c r="C196" s="1" t="str">
        <f ca="1">IFERROR(__xludf.DUMMYFUNCTION("""COMPUTED_VALUE"""),"Реклинатор (корректор осанки) детский, размер S")</f>
        <v>Реклинатор (корректор осанки) детский, размер S</v>
      </c>
      <c r="D196" s="1" t="str">
        <f ca="1">IFERROR(__xludf.DUMMYFUNCTION("""COMPUTED_VALUE"""),"Реклинатор (корректор осанки) детский, размер S ш/к  4 820 137 293 139")</f>
        <v>Реклинатор (корректор осанки) детский, размер S ш/к  4 820 137 293 139</v>
      </c>
      <c r="E196" s="1" t="str">
        <f ca="1">IFERROR(__xludf.DUMMYFUNCTION("""COMPUTED_VALUE"""),"шт")</f>
        <v>шт</v>
      </c>
      <c r="F196" s="1" t="str">
        <f ca="1">IFERROR(__xludf.DUMMYFUNCTION("""COMPUTED_VALUE"""),"БАМ00082")</f>
        <v>БАМ00082</v>
      </c>
      <c r="G196" s="1">
        <f ca="1">IFERROR(__xludf.DUMMYFUNCTION("""COMPUTED_VALUE"""),4820137293139)</f>
        <v>4820137293139</v>
      </c>
      <c r="H196" s="1"/>
    </row>
    <row r="197" spans="1:8" x14ac:dyDescent="0.2">
      <c r="A197" s="1">
        <f ca="1">IFERROR(__xludf.DUMMYFUNCTION("""COMPUTED_VALUE"""),4820137293177)</f>
        <v>4820137293177</v>
      </c>
      <c r="B197" s="1" t="str">
        <f ca="1">IFERROR(__xludf.DUMMYFUNCTION("""COMPUTED_VALUE"""),"2009 L_люкс")</f>
        <v>2009 L_люкс</v>
      </c>
      <c r="C197" s="1" t="str">
        <f ca="1">IFERROR(__xludf.DUMMYFUNCTION("""COMPUTED_VALUE"""),"Реклинатор (корректор осанки ключичный), размер L")</f>
        <v>Реклинатор (корректор осанки ключичный), размер L</v>
      </c>
      <c r="D197" s="1" t="str">
        <f ca="1">IFERROR(__xludf.DUMMYFUNCTION("""COMPUTED_VALUE"""),"Реклинатор (корректор осанки ключичный), размер L ш/к  4 820 137 293 177")</f>
        <v>Реклинатор (корректор осанки ключичный), размер L ш/к  4 820 137 293 177</v>
      </c>
      <c r="E197" s="1" t="str">
        <f ca="1">IFERROR(__xludf.DUMMYFUNCTION("""COMPUTED_VALUE"""),"шт")</f>
        <v>шт</v>
      </c>
      <c r="F197" s="1" t="str">
        <f ca="1">IFERROR(__xludf.DUMMYFUNCTION("""COMPUTED_VALUE"""),"БАМ00126")</f>
        <v>БАМ00126</v>
      </c>
      <c r="G197" s="1">
        <f ca="1">IFERROR(__xludf.DUMMYFUNCTION("""COMPUTED_VALUE"""),4820137293177)</f>
        <v>4820137293177</v>
      </c>
      <c r="H197" s="1"/>
    </row>
    <row r="198" spans="1:8" x14ac:dyDescent="0.2">
      <c r="A198" s="1">
        <f ca="1">IFERROR(__xludf.DUMMYFUNCTION("""COMPUTED_VALUE"""),4820137293160)</f>
        <v>4820137293160</v>
      </c>
      <c r="B198" s="1" t="str">
        <f ca="1">IFERROR(__xludf.DUMMYFUNCTION("""COMPUTED_VALUE"""),"2009 M_люкс")</f>
        <v>2009 M_люкс</v>
      </c>
      <c r="C198" s="1" t="str">
        <f ca="1">IFERROR(__xludf.DUMMYFUNCTION("""COMPUTED_VALUE"""),"Реклинатор (корректор осанки ключичный), размер M")</f>
        <v>Реклинатор (корректор осанки ключичный), размер M</v>
      </c>
      <c r="D198" s="1" t="str">
        <f ca="1">IFERROR(__xludf.DUMMYFUNCTION("""COMPUTED_VALUE"""),"Реклинатор (корректор осанки ключичный), размер M ш/к  4 820 137 293 160")</f>
        <v>Реклинатор (корректор осанки ключичный), размер M ш/к  4 820 137 293 160</v>
      </c>
      <c r="E198" s="1" t="str">
        <f ca="1">IFERROR(__xludf.DUMMYFUNCTION("""COMPUTED_VALUE"""),"шт")</f>
        <v>шт</v>
      </c>
      <c r="F198" s="1" t="str">
        <f ca="1">IFERROR(__xludf.DUMMYFUNCTION("""COMPUTED_VALUE"""),"БАМ00125")</f>
        <v>БАМ00125</v>
      </c>
      <c r="G198" s="1">
        <f ca="1">IFERROR(__xludf.DUMMYFUNCTION("""COMPUTED_VALUE"""),4820137293160)</f>
        <v>4820137293160</v>
      </c>
      <c r="H198" s="1"/>
    </row>
    <row r="199" spans="1:8" x14ac:dyDescent="0.2">
      <c r="A199" s="1">
        <f ca="1">IFERROR(__xludf.DUMMYFUNCTION("""COMPUTED_VALUE"""),4820137293603)</f>
        <v>4820137293603</v>
      </c>
      <c r="B199" s="1" t="str">
        <f ca="1">IFERROR(__xludf.DUMMYFUNCTION("""COMPUTED_VALUE"""),"2009 S_люкс")</f>
        <v>2009 S_люкс</v>
      </c>
      <c r="C199" s="1" t="str">
        <f ca="1">IFERROR(__xludf.DUMMYFUNCTION("""COMPUTED_VALUE"""),"Реклинатор (корректор осанки ключичный), размер S")</f>
        <v>Реклинатор (корректор осанки ключичный), размер S</v>
      </c>
      <c r="D199" s="1" t="str">
        <f ca="1">IFERROR(__xludf.DUMMYFUNCTION("""COMPUTED_VALUE"""),"Реклинатор (корректор осанки ключичный), размер S ш/к  4 820 137 293 603")</f>
        <v>Реклинатор (корректор осанки ключичный), размер S ш/к  4 820 137 293 603</v>
      </c>
      <c r="E199" s="1" t="str">
        <f ca="1">IFERROR(__xludf.DUMMYFUNCTION("""COMPUTED_VALUE"""),"шт")</f>
        <v>шт</v>
      </c>
      <c r="F199" s="1" t="str">
        <f ca="1">IFERROR(__xludf.DUMMYFUNCTION("""COMPUTED_VALUE"""),"БАМ00124")</f>
        <v>БАМ00124</v>
      </c>
      <c r="G199" s="1">
        <f ca="1">IFERROR(__xludf.DUMMYFUNCTION("""COMPUTED_VALUE"""),4820137293603)</f>
        <v>4820137293603</v>
      </c>
      <c r="H199" s="1"/>
    </row>
    <row r="200" spans="1:8" x14ac:dyDescent="0.2">
      <c r="A200" s="1">
        <f ca="1">IFERROR(__xludf.DUMMYFUNCTION("""COMPUTED_VALUE"""),4820137293184)</f>
        <v>4820137293184</v>
      </c>
      <c r="B200" s="1" t="str">
        <f ca="1">IFERROR(__xludf.DUMMYFUNCTION("""COMPUTED_VALUE"""),"2009 XL_люкс")</f>
        <v>2009 XL_люкс</v>
      </c>
      <c r="C200" s="1" t="str">
        <f ca="1">IFERROR(__xludf.DUMMYFUNCTION("""COMPUTED_VALUE"""),"Реклинатор (корректор осанки ключичный), размер XL")</f>
        <v>Реклинатор (корректор осанки ключичный), размер XL</v>
      </c>
      <c r="D200" s="1" t="str">
        <f ca="1">IFERROR(__xludf.DUMMYFUNCTION("""COMPUTED_VALUE"""),"Реклинатор (корректор осанки ключичный), размер XL ш/к  4 820 137 293 184")</f>
        <v>Реклинатор (корректор осанки ключичный), размер XL ш/к  4 820 137 293 184</v>
      </c>
      <c r="E200" s="1" t="str">
        <f ca="1">IFERROR(__xludf.DUMMYFUNCTION("""COMPUTED_VALUE"""),"шт")</f>
        <v>шт</v>
      </c>
      <c r="F200" s="1" t="str">
        <f ca="1">IFERROR(__xludf.DUMMYFUNCTION("""COMPUTED_VALUE"""),"БАМ00127")</f>
        <v>БАМ00127</v>
      </c>
      <c r="G200" s="1">
        <f ca="1">IFERROR(__xludf.DUMMYFUNCTION("""COMPUTED_VALUE"""),4820137293184)</f>
        <v>4820137293184</v>
      </c>
      <c r="H200" s="1"/>
    </row>
    <row r="201" spans="1:8" x14ac:dyDescent="0.2">
      <c r="A201" s="1">
        <f ca="1">IFERROR(__xludf.DUMMYFUNCTION("""COMPUTED_VALUE"""),4820137293191)</f>
        <v>4820137293191</v>
      </c>
      <c r="B201" s="1" t="str">
        <f ca="1">IFERROR(__xludf.DUMMYFUNCTION("""COMPUTED_VALUE"""),"2009 XXL_люкс")</f>
        <v>2009 XXL_люкс</v>
      </c>
      <c r="C201" s="1" t="str">
        <f ca="1">IFERROR(__xludf.DUMMYFUNCTION("""COMPUTED_VALUE"""),"Реклинатор (корректор осанки ключичный), размер XXL")</f>
        <v>Реклинатор (корректор осанки ключичный), размер XXL</v>
      </c>
      <c r="D201" s="1" t="str">
        <f ca="1">IFERROR(__xludf.DUMMYFUNCTION("""COMPUTED_VALUE"""),"Реклинатор (корректор осанки ключичный), размер XXL ш/к  4 820 137 293 191")</f>
        <v>Реклинатор (корректор осанки ключичный), размер XXL ш/к  4 820 137 293 191</v>
      </c>
      <c r="E201" s="1" t="str">
        <f ca="1">IFERROR(__xludf.DUMMYFUNCTION("""COMPUTED_VALUE"""),"шт")</f>
        <v>шт</v>
      </c>
      <c r="F201" s="1" t="str">
        <f ca="1">IFERROR(__xludf.DUMMYFUNCTION("""COMPUTED_VALUE"""),"БАМ00128")</f>
        <v>БАМ00128</v>
      </c>
      <c r="G201" s="1">
        <f ca="1">IFERROR(__xludf.DUMMYFUNCTION("""COMPUTED_VALUE"""),4820137293191)</f>
        <v>4820137293191</v>
      </c>
      <c r="H201" s="1"/>
    </row>
    <row r="202" spans="1:8" x14ac:dyDescent="0.2">
      <c r="A202" s="1">
        <f ca="1">IFERROR(__xludf.DUMMYFUNCTION("""COMPUTED_VALUE"""),4820137293238)</f>
        <v>4820137293238</v>
      </c>
      <c r="B202" s="1" t="str">
        <f ca="1">IFERROR(__xludf.DUMMYFUNCTION("""COMPUTED_VALUE"""),"2011 L_люкс")</f>
        <v>2011 L_люкс</v>
      </c>
      <c r="C202" s="1" t="str">
        <f ca="1">IFERROR(__xludf.DUMMYFUNCTION("""COMPUTED_VALUE"""),"Корректор осанки с ребрами жесткости, размер L")</f>
        <v>Корректор осанки с ребрами жесткости, размер L</v>
      </c>
      <c r="D202" s="1" t="str">
        <f ca="1">IFERROR(__xludf.DUMMYFUNCTION("""COMPUTED_VALUE"""),"Корректор осанки с ребрами жесткости, размер L ш/к 4 820 137 293 238")</f>
        <v>Корректор осанки с ребрами жесткости, размер L ш/к 4 820 137 293 238</v>
      </c>
      <c r="E202" s="1" t="str">
        <f ca="1">IFERROR(__xludf.DUMMYFUNCTION("""COMPUTED_VALUE"""),"шт")</f>
        <v>шт</v>
      </c>
      <c r="F202" s="1" t="str">
        <f ca="1">IFERROR(__xludf.DUMMYFUNCTION("""COMPUTED_VALUE"""),"БАМ00083")</f>
        <v>БАМ00083</v>
      </c>
      <c r="G202" s="1">
        <f ca="1">IFERROR(__xludf.DUMMYFUNCTION("""COMPUTED_VALUE"""),4820137293238)</f>
        <v>4820137293238</v>
      </c>
      <c r="H202" s="1"/>
    </row>
    <row r="203" spans="1:8" x14ac:dyDescent="0.2">
      <c r="A203" s="1">
        <f ca="1">IFERROR(__xludf.DUMMYFUNCTION("""COMPUTED_VALUE"""),4820137293221)</f>
        <v>4820137293221</v>
      </c>
      <c r="B203" s="1" t="str">
        <f ca="1">IFERROR(__xludf.DUMMYFUNCTION("""COMPUTED_VALUE"""),"2011 M_люкс")</f>
        <v>2011 M_люкс</v>
      </c>
      <c r="C203" s="1" t="str">
        <f ca="1">IFERROR(__xludf.DUMMYFUNCTION("""COMPUTED_VALUE"""),"Корректор осанки с ребрами жесткости, размер M")</f>
        <v>Корректор осанки с ребрами жесткости, размер M</v>
      </c>
      <c r="D203" s="1" t="str">
        <f ca="1">IFERROR(__xludf.DUMMYFUNCTION("""COMPUTED_VALUE"""),"Корректор осанки с ребрами жесткости, размер M ш/к 4 820 137 293 221")</f>
        <v>Корректор осанки с ребрами жесткости, размер M ш/к 4 820 137 293 221</v>
      </c>
      <c r="E203" s="1" t="str">
        <f ca="1">IFERROR(__xludf.DUMMYFUNCTION("""COMPUTED_VALUE"""),"шт")</f>
        <v>шт</v>
      </c>
      <c r="F203" s="1" t="str">
        <f ca="1">IFERROR(__xludf.DUMMYFUNCTION("""COMPUTED_VALUE"""),"БАМ00084")</f>
        <v>БАМ00084</v>
      </c>
      <c r="G203" s="1">
        <f ca="1">IFERROR(__xludf.DUMMYFUNCTION("""COMPUTED_VALUE"""),4820137293221)</f>
        <v>4820137293221</v>
      </c>
      <c r="H203" s="1"/>
    </row>
    <row r="204" spans="1:8" x14ac:dyDescent="0.2">
      <c r="A204" s="1">
        <f ca="1">IFERROR(__xludf.DUMMYFUNCTION("""COMPUTED_VALUE"""),4820137293214)</f>
        <v>4820137293214</v>
      </c>
      <c r="B204" s="1" t="str">
        <f ca="1">IFERROR(__xludf.DUMMYFUNCTION("""COMPUTED_VALUE"""),"2011 S_люкс")</f>
        <v>2011 S_люкс</v>
      </c>
      <c r="C204" s="1" t="str">
        <f ca="1">IFERROR(__xludf.DUMMYFUNCTION("""COMPUTED_VALUE"""),"Корректор осанки с ребрами жесткости, размер S")</f>
        <v>Корректор осанки с ребрами жесткости, размер S</v>
      </c>
      <c r="D204" s="1" t="str">
        <f ca="1">IFERROR(__xludf.DUMMYFUNCTION("""COMPUTED_VALUE"""),"Корректор осанки с ребрами жесткости, размер S ш/к  4 820 137 293 214")</f>
        <v>Корректор осанки с ребрами жесткости, размер S ш/к  4 820 137 293 214</v>
      </c>
      <c r="E204" s="1" t="str">
        <f ca="1">IFERROR(__xludf.DUMMYFUNCTION("""COMPUTED_VALUE"""),"шт")</f>
        <v>шт</v>
      </c>
      <c r="F204" s="1" t="str">
        <f ca="1">IFERROR(__xludf.DUMMYFUNCTION("""COMPUTED_VALUE"""),"БАМ00085")</f>
        <v>БАМ00085</v>
      </c>
      <c r="G204" s="1">
        <f ca="1">IFERROR(__xludf.DUMMYFUNCTION("""COMPUTED_VALUE"""),4820137293214)</f>
        <v>4820137293214</v>
      </c>
      <c r="H204" s="1"/>
    </row>
    <row r="205" spans="1:8" x14ac:dyDescent="0.2">
      <c r="A205" s="1">
        <f ca="1">IFERROR(__xludf.DUMMYFUNCTION("""COMPUTED_VALUE"""),4820137293245)</f>
        <v>4820137293245</v>
      </c>
      <c r="B205" s="1" t="str">
        <f ca="1">IFERROR(__xludf.DUMMYFUNCTION("""COMPUTED_VALUE"""),"2011 XL_люкс")</f>
        <v>2011 XL_люкс</v>
      </c>
      <c r="C205" s="1" t="str">
        <f ca="1">IFERROR(__xludf.DUMMYFUNCTION("""COMPUTED_VALUE"""),"Корректор осанки с ребрами жесткости, размер XL")</f>
        <v>Корректор осанки с ребрами жесткости, размер XL</v>
      </c>
      <c r="D205" s="1" t="str">
        <f ca="1">IFERROR(__xludf.DUMMYFUNCTION("""COMPUTED_VALUE"""),"Корректор осанки с ребрами жесткости, размер XL ш/к 4 820 137 293 245")</f>
        <v>Корректор осанки с ребрами жесткости, размер XL ш/к 4 820 137 293 245</v>
      </c>
      <c r="E205" s="1" t="str">
        <f ca="1">IFERROR(__xludf.DUMMYFUNCTION("""COMPUTED_VALUE"""),"шт")</f>
        <v>шт</v>
      </c>
      <c r="F205" s="1" t="str">
        <f ca="1">IFERROR(__xludf.DUMMYFUNCTION("""COMPUTED_VALUE"""),"БАМ00086")</f>
        <v>БАМ00086</v>
      </c>
      <c r="G205" s="1">
        <f ca="1">IFERROR(__xludf.DUMMYFUNCTION("""COMPUTED_VALUE"""),4820137293245)</f>
        <v>4820137293245</v>
      </c>
      <c r="H205" s="1"/>
    </row>
    <row r="206" spans="1:8" x14ac:dyDescent="0.2">
      <c r="A206" s="1">
        <f ca="1">IFERROR(__xludf.DUMMYFUNCTION("""COMPUTED_VALUE"""),4820137293252)</f>
        <v>4820137293252</v>
      </c>
      <c r="B206" s="1" t="str">
        <f ca="1">IFERROR(__xludf.DUMMYFUNCTION("""COMPUTED_VALUE"""),"2011 XXL_люкс")</f>
        <v>2011 XXL_люкс</v>
      </c>
      <c r="C206" s="1" t="str">
        <f ca="1">IFERROR(__xludf.DUMMYFUNCTION("""COMPUTED_VALUE"""),"Корректор осанки с ребрами жесткости, размер XXL")</f>
        <v>Корректор осанки с ребрами жесткости, размер XXL</v>
      </c>
      <c r="D206" s="1" t="str">
        <f ca="1">IFERROR(__xludf.DUMMYFUNCTION("""COMPUTED_VALUE"""),"Корректор осанки с ребрами жесткости, размер XXL ш/к  4 820 137 293 252")</f>
        <v>Корректор осанки с ребрами жесткости, размер XXL ш/к  4 820 137 293 252</v>
      </c>
      <c r="E206" s="1" t="str">
        <f ca="1">IFERROR(__xludf.DUMMYFUNCTION("""COMPUTED_VALUE"""),"шт")</f>
        <v>шт</v>
      </c>
      <c r="F206" s="1" t="str">
        <f ca="1">IFERROR(__xludf.DUMMYFUNCTION("""COMPUTED_VALUE"""),"БАМ00087")</f>
        <v>БАМ00087</v>
      </c>
      <c r="G206" s="1">
        <f ca="1">IFERROR(__xludf.DUMMYFUNCTION("""COMPUTED_VALUE"""),4820137293252)</f>
        <v>4820137293252</v>
      </c>
      <c r="H206" s="1"/>
    </row>
    <row r="207" spans="1:8" x14ac:dyDescent="0.2">
      <c r="A207" s="1">
        <f ca="1">IFERROR(__xludf.DUMMYFUNCTION("""COMPUTED_VALUE"""),4820137293283)</f>
        <v>4820137293283</v>
      </c>
      <c r="B207" s="1" t="str">
        <f ca="1">IFERROR(__xludf.DUMMYFUNCTION("""COMPUTED_VALUE"""),"3011 L_люкс")</f>
        <v>3011 L_люкс</v>
      </c>
      <c r="C207" s="1" t="str">
        <f ca="1">IFERROR(__xludf.DUMMYFUNCTION("""COMPUTED_VALUE"""),"Корсет лечебно-профилактический (с 4 ребрами жесткости), размер L")</f>
        <v>Корсет лечебно-профилактический (с 4 ребрами жесткости), размер L</v>
      </c>
      <c r="D207" s="1" t="str">
        <f ca="1">IFERROR(__xludf.DUMMYFUNCTION("""COMPUTED_VALUE"""),"Корсет лечебно-профилактический (с 4 ребрами жесткости), размер L ш/к  4 820 137 293 283")</f>
        <v>Корсет лечебно-профилактический (с 4 ребрами жесткости), размер L ш/к  4 820 137 293 283</v>
      </c>
      <c r="E207" s="1" t="str">
        <f ca="1">IFERROR(__xludf.DUMMYFUNCTION("""COMPUTED_VALUE"""),"шт")</f>
        <v>шт</v>
      </c>
      <c r="F207" s="1" t="str">
        <f ca="1">IFERROR(__xludf.DUMMYFUNCTION("""COMPUTED_VALUE"""),"БАМ00088")</f>
        <v>БАМ00088</v>
      </c>
      <c r="G207" s="1">
        <f ca="1">IFERROR(__xludf.DUMMYFUNCTION("""COMPUTED_VALUE"""),4820137293283)</f>
        <v>4820137293283</v>
      </c>
      <c r="H207" s="1"/>
    </row>
    <row r="208" spans="1:8" x14ac:dyDescent="0.2">
      <c r="A208" s="1">
        <f ca="1">IFERROR(__xludf.DUMMYFUNCTION("""COMPUTED_VALUE"""),4820137293276)</f>
        <v>4820137293276</v>
      </c>
      <c r="B208" s="1" t="str">
        <f ca="1">IFERROR(__xludf.DUMMYFUNCTION("""COMPUTED_VALUE"""),"3011 M_люкс")</f>
        <v>3011 M_люкс</v>
      </c>
      <c r="C208" s="1" t="str">
        <f ca="1">IFERROR(__xludf.DUMMYFUNCTION("""COMPUTED_VALUE"""),"Корсет лечебно-профилактический (с 4 ребрами жесткости), размер M")</f>
        <v>Корсет лечебно-профилактический (с 4 ребрами жесткости), размер M</v>
      </c>
      <c r="D208" s="1" t="str">
        <f ca="1">IFERROR(__xludf.DUMMYFUNCTION("""COMPUTED_VALUE"""),"Корсет лечебно-профилактический (с 4 ребрами жесткости), размер M ш/к  4 820 137 293 276")</f>
        <v>Корсет лечебно-профилактический (с 4 ребрами жесткости), размер M ш/к  4 820 137 293 276</v>
      </c>
      <c r="E208" s="1" t="str">
        <f ca="1">IFERROR(__xludf.DUMMYFUNCTION("""COMPUTED_VALUE"""),"шт")</f>
        <v>шт</v>
      </c>
      <c r="F208" s="1" t="str">
        <f ca="1">IFERROR(__xludf.DUMMYFUNCTION("""COMPUTED_VALUE"""),"БАМ00089")</f>
        <v>БАМ00089</v>
      </c>
      <c r="G208" s="1">
        <f ca="1">IFERROR(__xludf.DUMMYFUNCTION("""COMPUTED_VALUE"""),4820137293276)</f>
        <v>4820137293276</v>
      </c>
      <c r="H208" s="1"/>
    </row>
    <row r="209" spans="1:8" x14ac:dyDescent="0.2">
      <c r="A209" s="1">
        <f ca="1">IFERROR(__xludf.DUMMYFUNCTION("""COMPUTED_VALUE"""),4820137293269)</f>
        <v>4820137293269</v>
      </c>
      <c r="B209" s="1" t="str">
        <f ca="1">IFERROR(__xludf.DUMMYFUNCTION("""COMPUTED_VALUE"""),"3011 S_люкс")</f>
        <v>3011 S_люкс</v>
      </c>
      <c r="C209" s="1" t="str">
        <f ca="1">IFERROR(__xludf.DUMMYFUNCTION("""COMPUTED_VALUE"""),"Корсет лечебно-профилактический (с 4 ребрами жесткости), размер S")</f>
        <v>Корсет лечебно-профилактический (с 4 ребрами жесткости), размер S</v>
      </c>
      <c r="D209" s="1" t="str">
        <f ca="1">IFERROR(__xludf.DUMMYFUNCTION("""COMPUTED_VALUE"""),"Корсет лечебно-профилактический (с 4 ребрами жесткости), размер S ш/к  4 820 137 293 269")</f>
        <v>Корсет лечебно-профилактический (с 4 ребрами жесткости), размер S ш/к  4 820 137 293 269</v>
      </c>
      <c r="E209" s="1" t="str">
        <f ca="1">IFERROR(__xludf.DUMMYFUNCTION("""COMPUTED_VALUE"""),"шт")</f>
        <v>шт</v>
      </c>
      <c r="F209" s="1" t="str">
        <f ca="1">IFERROR(__xludf.DUMMYFUNCTION("""COMPUTED_VALUE"""),"БАМ00090")</f>
        <v>БАМ00090</v>
      </c>
      <c r="G209" s="1">
        <f ca="1">IFERROR(__xludf.DUMMYFUNCTION("""COMPUTED_VALUE"""),4820137293269)</f>
        <v>4820137293269</v>
      </c>
      <c r="H209" s="1"/>
    </row>
    <row r="210" spans="1:8" x14ac:dyDescent="0.2">
      <c r="A210" s="1">
        <f ca="1">IFERROR(__xludf.DUMMYFUNCTION("""COMPUTED_VALUE"""),4820137293290)</f>
        <v>4820137293290</v>
      </c>
      <c r="B210" s="1" t="str">
        <f ca="1">IFERROR(__xludf.DUMMYFUNCTION("""COMPUTED_VALUE"""),"3011 XL_люкс")</f>
        <v>3011 XL_люкс</v>
      </c>
      <c r="C210" s="1" t="str">
        <f ca="1">IFERROR(__xludf.DUMMYFUNCTION("""COMPUTED_VALUE"""),"Корсет лечебно-профилактический (с 4 ребрами жесткости), размер XL")</f>
        <v>Корсет лечебно-профилактический (с 4 ребрами жесткости), размер XL</v>
      </c>
      <c r="D210" s="1" t="str">
        <f ca="1">IFERROR(__xludf.DUMMYFUNCTION("""COMPUTED_VALUE"""),"Корсет лечебно-профилактический (с 4 ребрами жесткости), размер XL ш/к  4 820 137 293 290")</f>
        <v>Корсет лечебно-профилактический (с 4 ребрами жесткости), размер XL ш/к  4 820 137 293 290</v>
      </c>
      <c r="E210" s="1" t="str">
        <f ca="1">IFERROR(__xludf.DUMMYFUNCTION("""COMPUTED_VALUE"""),"шт")</f>
        <v>шт</v>
      </c>
      <c r="F210" s="1" t="str">
        <f ca="1">IFERROR(__xludf.DUMMYFUNCTION("""COMPUTED_VALUE"""),"БАМ00091")</f>
        <v>БАМ00091</v>
      </c>
      <c r="G210" s="1">
        <f ca="1">IFERROR(__xludf.DUMMYFUNCTION("""COMPUTED_VALUE"""),4820137293290)</f>
        <v>4820137293290</v>
      </c>
      <c r="H210" s="1"/>
    </row>
    <row r="211" spans="1:8" x14ac:dyDescent="0.2">
      <c r="A211" s="1">
        <f ca="1">IFERROR(__xludf.DUMMYFUNCTION("""COMPUTED_VALUE"""),4820137293306)</f>
        <v>4820137293306</v>
      </c>
      <c r="B211" s="1" t="str">
        <f ca="1">IFERROR(__xludf.DUMMYFUNCTION("""COMPUTED_VALUE"""),"3011 XXL_люкс")</f>
        <v>3011 XXL_люкс</v>
      </c>
      <c r="C211" s="1" t="str">
        <f ca="1">IFERROR(__xludf.DUMMYFUNCTION("""COMPUTED_VALUE"""),"Корсет лечебно-профилактический (с 4 ребрами жесткости), размер XXL")</f>
        <v>Корсет лечебно-профилактический (с 4 ребрами жесткости), размер XXL</v>
      </c>
      <c r="D211" s="1" t="str">
        <f ca="1">IFERROR(__xludf.DUMMYFUNCTION("""COMPUTED_VALUE"""),"Корсет лечебно-профилактический (с 4 ребрами жесткости), размер XXL ш/к  4 820 137 293 306")</f>
        <v>Корсет лечебно-профилактический (с 4 ребрами жесткости), размер XXL ш/к  4 820 137 293 306</v>
      </c>
      <c r="E211" s="1" t="str">
        <f ca="1">IFERROR(__xludf.DUMMYFUNCTION("""COMPUTED_VALUE"""),"шт")</f>
        <v>шт</v>
      </c>
      <c r="F211" s="1" t="str">
        <f ca="1">IFERROR(__xludf.DUMMYFUNCTION("""COMPUTED_VALUE"""),"БАМ00092")</f>
        <v>БАМ00092</v>
      </c>
      <c r="G211" s="1">
        <f ca="1">IFERROR(__xludf.DUMMYFUNCTION("""COMPUTED_VALUE"""),4820137293306)</f>
        <v>4820137293306</v>
      </c>
      <c r="H211" s="1"/>
    </row>
    <row r="212" spans="1:8" x14ac:dyDescent="0.2">
      <c r="A212" s="1">
        <f ca="1">IFERROR(__xludf.DUMMYFUNCTION("""COMPUTED_VALUE"""),4820137293627)</f>
        <v>4820137293627</v>
      </c>
      <c r="B212" s="1" t="str">
        <f ca="1">IFERROR(__xludf.DUMMYFUNCTION("""COMPUTED_VALUE"""),"3011 XXXL_люкс")</f>
        <v>3011 XXXL_люкс</v>
      </c>
      <c r="C212" s="1" t="str">
        <f ca="1">IFERROR(__xludf.DUMMYFUNCTION("""COMPUTED_VALUE"""),"Корсет лечебно-профилактический (с 4 ребрами жесткости), размер XXXL")</f>
        <v>Корсет лечебно-профилактический (с 4 ребрами жесткости), размер XXXL</v>
      </c>
      <c r="D212" s="1" t="str">
        <f ca="1">IFERROR(__xludf.DUMMYFUNCTION("""COMPUTED_VALUE"""),"Корсет лечебно-профилактический (с 4 ребрами жесткости), размер XXXL ш/к  4 820 137 293 627")</f>
        <v>Корсет лечебно-профилактический (с 4 ребрами жесткости), размер XXXL ш/к  4 820 137 293 627</v>
      </c>
      <c r="E212" s="1" t="str">
        <f ca="1">IFERROR(__xludf.DUMMYFUNCTION("""COMPUTED_VALUE"""),"шт")</f>
        <v>шт</v>
      </c>
      <c r="F212" s="1" t="str">
        <f ca="1">IFERROR(__xludf.DUMMYFUNCTION("""COMPUTED_VALUE"""),"БАМ00094")</f>
        <v>БАМ00094</v>
      </c>
      <c r="G212" s="1">
        <f ca="1">IFERROR(__xludf.DUMMYFUNCTION("""COMPUTED_VALUE"""),4820137293627)</f>
        <v>4820137293627</v>
      </c>
      <c r="H212" s="1"/>
    </row>
    <row r="213" spans="1:8" x14ac:dyDescent="0.2">
      <c r="A213" s="1">
        <f ca="1">IFERROR(__xludf.DUMMYFUNCTION("""COMPUTED_VALUE"""),4820137293634)</f>
        <v>4820137293634</v>
      </c>
      <c r="B213" s="1" t="str">
        <f ca="1">IFERROR(__xludf.DUMMYFUNCTION("""COMPUTED_VALUE"""),"3011 XXXXL_люкс")</f>
        <v>3011 XXXXL_люкс</v>
      </c>
      <c r="C213" s="1" t="str">
        <f ca="1">IFERROR(__xludf.DUMMYFUNCTION("""COMPUTED_VALUE"""),"Корсет лечебно-профилактический (с 4 ребрами жесткости), размер XXXXL")</f>
        <v>Корсет лечебно-профилактический (с 4 ребрами жесткости), размер XXXXL</v>
      </c>
      <c r="D213" s="1" t="str">
        <f ca="1">IFERROR(__xludf.DUMMYFUNCTION("""COMPUTED_VALUE"""),"Корсет лечебно-профилактический (с 4 ребрами жесткости), размер XXXXL ш/к  4 820 137 293 634")</f>
        <v>Корсет лечебно-профилактический (с 4 ребрами жесткости), размер XXXXL ш/к  4 820 137 293 634</v>
      </c>
      <c r="E213" s="1" t="str">
        <f ca="1">IFERROR(__xludf.DUMMYFUNCTION("""COMPUTED_VALUE"""),"шт")</f>
        <v>шт</v>
      </c>
      <c r="F213" s="1" t="str">
        <f ca="1">IFERROR(__xludf.DUMMYFUNCTION("""COMPUTED_VALUE"""),"БАМ00095")</f>
        <v>БАМ00095</v>
      </c>
      <c r="G213" s="1">
        <f ca="1">IFERROR(__xludf.DUMMYFUNCTION("""COMPUTED_VALUE"""),4820137293634)</f>
        <v>4820137293634</v>
      </c>
      <c r="H213" s="1"/>
    </row>
    <row r="214" spans="1:8" x14ac:dyDescent="0.2">
      <c r="A214" s="1">
        <f ca="1">IFERROR(__xludf.DUMMYFUNCTION("""COMPUTED_VALUE"""),4820137293337)</f>
        <v>4820137293337</v>
      </c>
      <c r="B214" s="1" t="str">
        <f ca="1">IFERROR(__xludf.DUMMYFUNCTION("""COMPUTED_VALUE"""),"4001 L_люкс")</f>
        <v>4001 L_люкс</v>
      </c>
      <c r="C214" s="1" t="str">
        <f ca="1">IFERROR(__xludf.DUMMYFUNCTION("""COMPUTED_VALUE"""),"Бандаж лечебно-профилактический, размер  L")</f>
        <v>Бандаж лечебно-профилактический, размер  L</v>
      </c>
      <c r="D214" s="1" t="str">
        <f ca="1">IFERROR(__xludf.DUMMYFUNCTION("""COMPUTED_VALUE"""),"Бандаж лечебно-профилактический, размер  L ш/к  4 820 137 293 337")</f>
        <v>Бандаж лечебно-профилактический, размер  L ш/к  4 820 137 293 337</v>
      </c>
      <c r="E214" s="1" t="str">
        <f ca="1">IFERROR(__xludf.DUMMYFUNCTION("""COMPUTED_VALUE"""),"шт")</f>
        <v>шт</v>
      </c>
      <c r="F214" s="1" t="str">
        <f ca="1">IFERROR(__xludf.DUMMYFUNCTION("""COMPUTED_VALUE"""),"БАМ00168")</f>
        <v>БАМ00168</v>
      </c>
      <c r="G214" s="1">
        <f ca="1">IFERROR(__xludf.DUMMYFUNCTION("""COMPUTED_VALUE"""),4820137293337)</f>
        <v>4820137293337</v>
      </c>
      <c r="H214" s="1"/>
    </row>
    <row r="215" spans="1:8" x14ac:dyDescent="0.2">
      <c r="A215" s="1">
        <f ca="1">IFERROR(__xludf.DUMMYFUNCTION("""COMPUTED_VALUE"""),4820137293320)</f>
        <v>4820137293320</v>
      </c>
      <c r="B215" s="1" t="str">
        <f ca="1">IFERROR(__xludf.DUMMYFUNCTION("""COMPUTED_VALUE"""),"4001 M_люкс")</f>
        <v>4001 M_люкс</v>
      </c>
      <c r="C215" s="1" t="str">
        <f ca="1">IFERROR(__xludf.DUMMYFUNCTION("""COMPUTED_VALUE"""),"Бандаж лечебно-профилактический, размер  M")</f>
        <v>Бандаж лечебно-профилактический, размер  M</v>
      </c>
      <c r="D215" s="1" t="str">
        <f ca="1">IFERROR(__xludf.DUMMYFUNCTION("""COMPUTED_VALUE"""),"Бандаж лечебно-профилактический, размер  M ш/к  4 820 137 293 320")</f>
        <v>Бандаж лечебно-профилактический, размер  M ш/к  4 820 137 293 320</v>
      </c>
      <c r="E215" s="1" t="str">
        <f ca="1">IFERROR(__xludf.DUMMYFUNCTION("""COMPUTED_VALUE"""),"шт")</f>
        <v>шт</v>
      </c>
      <c r="F215" s="1" t="str">
        <f ca="1">IFERROR(__xludf.DUMMYFUNCTION("""COMPUTED_VALUE"""),"БАМ00167")</f>
        <v>БАМ00167</v>
      </c>
      <c r="G215" s="1">
        <f ca="1">IFERROR(__xludf.DUMMYFUNCTION("""COMPUTED_VALUE"""),4820137293320)</f>
        <v>4820137293320</v>
      </c>
      <c r="H215" s="1"/>
    </row>
    <row r="216" spans="1:8" x14ac:dyDescent="0.2">
      <c r="A216" s="1">
        <f ca="1">IFERROR(__xludf.DUMMYFUNCTION("""COMPUTED_VALUE"""),4820137293313)</f>
        <v>4820137293313</v>
      </c>
      <c r="B216" s="1" t="str">
        <f ca="1">IFERROR(__xludf.DUMMYFUNCTION("""COMPUTED_VALUE"""),"4001 S_люкс")</f>
        <v>4001 S_люкс</v>
      </c>
      <c r="C216" s="1" t="str">
        <f ca="1">IFERROR(__xludf.DUMMYFUNCTION("""COMPUTED_VALUE"""),"Бандаж лечебно-профилактический, размер  S")</f>
        <v>Бандаж лечебно-профилактический, размер  S</v>
      </c>
      <c r="D216" s="1" t="str">
        <f ca="1">IFERROR(__xludf.DUMMYFUNCTION("""COMPUTED_VALUE"""),"Бандаж лечебно-профилактический, размер  S ш/к  4 820 137 293 313")</f>
        <v>Бандаж лечебно-профилактический, размер  S ш/к  4 820 137 293 313</v>
      </c>
      <c r="E216" s="1" t="str">
        <f ca="1">IFERROR(__xludf.DUMMYFUNCTION("""COMPUTED_VALUE"""),"шт")</f>
        <v>шт</v>
      </c>
      <c r="F216" s="1" t="str">
        <f ca="1">IFERROR(__xludf.DUMMYFUNCTION("""COMPUTED_VALUE"""),"БАМ00166")</f>
        <v>БАМ00166</v>
      </c>
      <c r="G216" s="1">
        <f ca="1">IFERROR(__xludf.DUMMYFUNCTION("""COMPUTED_VALUE"""),4820137293313)</f>
        <v>4820137293313</v>
      </c>
      <c r="H216" s="1"/>
    </row>
    <row r="217" spans="1:8" x14ac:dyDescent="0.2">
      <c r="A217" s="1">
        <f ca="1">IFERROR(__xludf.DUMMYFUNCTION("""COMPUTED_VALUE"""),4820137293344)</f>
        <v>4820137293344</v>
      </c>
      <c r="B217" s="1" t="str">
        <f ca="1">IFERROR(__xludf.DUMMYFUNCTION("""COMPUTED_VALUE"""),"4001 XL_люкс")</f>
        <v>4001 XL_люкс</v>
      </c>
      <c r="C217" s="1" t="str">
        <f ca="1">IFERROR(__xludf.DUMMYFUNCTION("""COMPUTED_VALUE"""),"Бандаж лечебно-профилактический, размер  XL")</f>
        <v>Бандаж лечебно-профилактический, размер  XL</v>
      </c>
      <c r="D217" s="1" t="str">
        <f ca="1">IFERROR(__xludf.DUMMYFUNCTION("""COMPUTED_VALUE"""),"Бандаж лечебно-профилактический, размер  XL ш/к  4 820 137 293 344")</f>
        <v>Бандаж лечебно-профилактический, размер  XL ш/к  4 820 137 293 344</v>
      </c>
      <c r="E217" s="1" t="str">
        <f ca="1">IFERROR(__xludf.DUMMYFUNCTION("""COMPUTED_VALUE"""),"шт")</f>
        <v>шт</v>
      </c>
      <c r="F217" s="1" t="str">
        <f ca="1">IFERROR(__xludf.DUMMYFUNCTION("""COMPUTED_VALUE"""),"БАМ00169")</f>
        <v>БАМ00169</v>
      </c>
      <c r="G217" s="1">
        <f ca="1">IFERROR(__xludf.DUMMYFUNCTION("""COMPUTED_VALUE"""),4820137293344)</f>
        <v>4820137293344</v>
      </c>
      <c r="H217" s="1"/>
    </row>
    <row r="218" spans="1:8" x14ac:dyDescent="0.2">
      <c r="A218" s="1">
        <f ca="1">IFERROR(__xludf.DUMMYFUNCTION("""COMPUTED_VALUE"""),4820137293351)</f>
        <v>4820137293351</v>
      </c>
      <c r="B218" s="1" t="str">
        <f ca="1">IFERROR(__xludf.DUMMYFUNCTION("""COMPUTED_VALUE"""),"4001 XXL_люкс")</f>
        <v>4001 XXL_люкс</v>
      </c>
      <c r="C218" s="1" t="str">
        <f ca="1">IFERROR(__xludf.DUMMYFUNCTION("""COMPUTED_VALUE"""),"Бандаж лечебно-профилактический, размер  XXL")</f>
        <v>Бандаж лечебно-профилактический, размер  XXL</v>
      </c>
      <c r="D218" s="1" t="str">
        <f ca="1">IFERROR(__xludf.DUMMYFUNCTION("""COMPUTED_VALUE"""),"Бандаж лечебно-профилактический, размер  XXL ш/к  4 820 137 293 351")</f>
        <v>Бандаж лечебно-профилактический, размер  XXL ш/к  4 820 137 293 351</v>
      </c>
      <c r="E218" s="1" t="str">
        <f ca="1">IFERROR(__xludf.DUMMYFUNCTION("""COMPUTED_VALUE"""),"шт")</f>
        <v>шт</v>
      </c>
      <c r="F218" s="1" t="str">
        <f ca="1">IFERROR(__xludf.DUMMYFUNCTION("""COMPUTED_VALUE"""),"БАМ00170")</f>
        <v>БАМ00170</v>
      </c>
      <c r="G218" s="1">
        <f ca="1">IFERROR(__xludf.DUMMYFUNCTION("""COMPUTED_VALUE"""),4820137293351)</f>
        <v>4820137293351</v>
      </c>
      <c r="H218" s="1"/>
    </row>
    <row r="219" spans="1:8" x14ac:dyDescent="0.2">
      <c r="A219" s="1">
        <f ca="1">IFERROR(__xludf.DUMMYFUNCTION("""COMPUTED_VALUE"""),4820137293368)</f>
        <v>4820137293368</v>
      </c>
      <c r="B219" s="1" t="str">
        <f ca="1">IFERROR(__xludf.DUMMYFUNCTION("""COMPUTED_VALUE"""),"4001 ХXXL_люкс")</f>
        <v>4001 ХXXL_люкс</v>
      </c>
      <c r="C219" s="1" t="str">
        <f ca="1">IFERROR(__xludf.DUMMYFUNCTION("""COMPUTED_VALUE"""),"Бандаж лечебно-профилактический, размер  XXXL")</f>
        <v>Бандаж лечебно-профилактический, размер  XXXL</v>
      </c>
      <c r="D219" s="1" t="str">
        <f ca="1">IFERROR(__xludf.DUMMYFUNCTION("""COMPUTED_VALUE"""),"Бандаж лечебно-профилактический, размер  XXXL ш/к  4 820 137 293 368")</f>
        <v>Бандаж лечебно-профилактический, размер  XXXL ш/к  4 820 137 293 368</v>
      </c>
      <c r="E219" s="1" t="str">
        <f ca="1">IFERROR(__xludf.DUMMYFUNCTION("""COMPUTED_VALUE"""),"шт")</f>
        <v>шт</v>
      </c>
      <c r="F219" s="1" t="str">
        <f ca="1">IFERROR(__xludf.DUMMYFUNCTION("""COMPUTED_VALUE"""),"БАМ00171")</f>
        <v>БАМ00171</v>
      </c>
      <c r="G219" s="1">
        <f ca="1">IFERROR(__xludf.DUMMYFUNCTION("""COMPUTED_VALUE"""),4820137293368)</f>
        <v>4820137293368</v>
      </c>
      <c r="H219" s="1"/>
    </row>
    <row r="220" spans="1:8" x14ac:dyDescent="0.2">
      <c r="A220" s="1">
        <f ca="1">IFERROR(__xludf.DUMMYFUNCTION("""COMPUTED_VALUE"""),4820137293375)</f>
        <v>4820137293375</v>
      </c>
      <c r="B220" s="1" t="str">
        <f ca="1">IFERROR(__xludf.DUMMYFUNCTION("""COMPUTED_VALUE"""),"4001 ХХXXL_люкс")</f>
        <v>4001 ХХXXL_люкс</v>
      </c>
      <c r="C220" s="1" t="str">
        <f ca="1">IFERROR(__xludf.DUMMYFUNCTION("""COMPUTED_VALUE"""),"Бандаж лечебно-профилактический, размер  XXXXL")</f>
        <v>Бандаж лечебно-профилактический, размер  XXXXL</v>
      </c>
      <c r="D220" s="1" t="str">
        <f ca="1">IFERROR(__xludf.DUMMYFUNCTION("""COMPUTED_VALUE"""),"Бандаж лечебно-профилактический, размер  XXXXL ш/к  4 820 137 293 375")</f>
        <v>Бандаж лечебно-профилактический, размер  XXXXL ш/к  4 820 137 293 375</v>
      </c>
      <c r="E220" s="1" t="str">
        <f ca="1">IFERROR(__xludf.DUMMYFUNCTION("""COMPUTED_VALUE"""),"шт")</f>
        <v>шт</v>
      </c>
      <c r="F220" s="1" t="str">
        <f ca="1">IFERROR(__xludf.DUMMYFUNCTION("""COMPUTED_VALUE"""),"БАМ00172")</f>
        <v>БАМ00172</v>
      </c>
      <c r="G220" s="1">
        <f ca="1">IFERROR(__xludf.DUMMYFUNCTION("""COMPUTED_VALUE"""),4820137293375)</f>
        <v>4820137293375</v>
      </c>
      <c r="H220" s="1"/>
    </row>
    <row r="221" spans="1:8" x14ac:dyDescent="0.2">
      <c r="A221" s="1">
        <f ca="1">IFERROR(__xludf.DUMMYFUNCTION("""COMPUTED_VALUE"""),4820137293405)</f>
        <v>4820137293405</v>
      </c>
      <c r="B221" s="1" t="str">
        <f ca="1">IFERROR(__xludf.DUMMYFUNCTION("""COMPUTED_VALUE"""),"4002 L_люкс")</f>
        <v>4002 L_люкс</v>
      </c>
      <c r="C221" s="1" t="str">
        <f ca="1">IFERROR(__xludf.DUMMYFUNCTION("""COMPUTED_VALUE"""),"Бандаж лечебно-профилактический эластичный, размер  L")</f>
        <v>Бандаж лечебно-профилактический эластичный, размер  L</v>
      </c>
      <c r="D221" s="1" t="str">
        <f ca="1">IFERROR(__xludf.DUMMYFUNCTION("""COMPUTED_VALUE"""),"Бандаж лечебно-профилактический эластичный, размер  L ш/к 4 820 137 293 405")</f>
        <v>Бандаж лечебно-профилактический эластичный, размер  L ш/к 4 820 137 293 405</v>
      </c>
      <c r="E221" s="1" t="str">
        <f ca="1">IFERROR(__xludf.DUMMYFUNCTION("""COMPUTED_VALUE"""),"шт")</f>
        <v>шт</v>
      </c>
      <c r="F221" s="1" t="str">
        <f ca="1">IFERROR(__xludf.DUMMYFUNCTION("""COMPUTED_VALUE"""),"БАМ00175")</f>
        <v>БАМ00175</v>
      </c>
      <c r="G221" s="1">
        <f ca="1">IFERROR(__xludf.DUMMYFUNCTION("""COMPUTED_VALUE"""),4820137293405)</f>
        <v>4820137293405</v>
      </c>
      <c r="H221" s="1"/>
    </row>
    <row r="222" spans="1:8" x14ac:dyDescent="0.2">
      <c r="A222" s="1">
        <f ca="1">IFERROR(__xludf.DUMMYFUNCTION("""COMPUTED_VALUE"""),4820137293399)</f>
        <v>4820137293399</v>
      </c>
      <c r="B222" s="1" t="str">
        <f ca="1">IFERROR(__xludf.DUMMYFUNCTION("""COMPUTED_VALUE"""),"4002 M_люкс")</f>
        <v>4002 M_люкс</v>
      </c>
      <c r="C222" s="1" t="str">
        <f ca="1">IFERROR(__xludf.DUMMYFUNCTION("""COMPUTED_VALUE"""),"Бандаж лечебно-профилактический эластичный, размер  M")</f>
        <v>Бандаж лечебно-профилактический эластичный, размер  M</v>
      </c>
      <c r="D222" s="1" t="str">
        <f ca="1">IFERROR(__xludf.DUMMYFUNCTION("""COMPUTED_VALUE"""),"Бандаж лечебно-профилактический эластичный, размер  M ш/к  4 820 137 293 399")</f>
        <v>Бандаж лечебно-профилактический эластичный, размер  M ш/к  4 820 137 293 399</v>
      </c>
      <c r="E222" s="1" t="str">
        <f ca="1">IFERROR(__xludf.DUMMYFUNCTION("""COMPUTED_VALUE"""),"шт")</f>
        <v>шт</v>
      </c>
      <c r="F222" s="1" t="str">
        <f ca="1">IFERROR(__xludf.DUMMYFUNCTION("""COMPUTED_VALUE"""),"БАМ00174")</f>
        <v>БАМ00174</v>
      </c>
      <c r="G222" s="1">
        <f ca="1">IFERROR(__xludf.DUMMYFUNCTION("""COMPUTED_VALUE"""),4820137293399)</f>
        <v>4820137293399</v>
      </c>
      <c r="H222" s="1"/>
    </row>
    <row r="223" spans="1:8" x14ac:dyDescent="0.2">
      <c r="A223" s="1">
        <f ca="1">IFERROR(__xludf.DUMMYFUNCTION("""COMPUTED_VALUE"""),4820137293382)</f>
        <v>4820137293382</v>
      </c>
      <c r="B223" s="1" t="str">
        <f ca="1">IFERROR(__xludf.DUMMYFUNCTION("""COMPUTED_VALUE"""),"4002 S_люкс")</f>
        <v>4002 S_люкс</v>
      </c>
      <c r="C223" s="1" t="str">
        <f ca="1">IFERROR(__xludf.DUMMYFUNCTION("""COMPUTED_VALUE"""),"Бандаж лечебно-профилактический эластичный, размер  S")</f>
        <v>Бандаж лечебно-профилактический эластичный, размер  S</v>
      </c>
      <c r="D223" s="1" t="str">
        <f ca="1">IFERROR(__xludf.DUMMYFUNCTION("""COMPUTED_VALUE"""),"Бандаж лечебно-профилактический эластичный, размер  S ш/к  4 820 137 293 382")</f>
        <v>Бандаж лечебно-профилактический эластичный, размер  S ш/к  4 820 137 293 382</v>
      </c>
      <c r="E223" s="1" t="str">
        <f ca="1">IFERROR(__xludf.DUMMYFUNCTION("""COMPUTED_VALUE"""),"шт")</f>
        <v>шт</v>
      </c>
      <c r="F223" s="1" t="str">
        <f ca="1">IFERROR(__xludf.DUMMYFUNCTION("""COMPUTED_VALUE"""),"БАМ00173")</f>
        <v>БАМ00173</v>
      </c>
      <c r="G223" s="1">
        <f ca="1">IFERROR(__xludf.DUMMYFUNCTION("""COMPUTED_VALUE"""),4820137293382)</f>
        <v>4820137293382</v>
      </c>
      <c r="H223" s="1"/>
    </row>
    <row r="224" spans="1:8" x14ac:dyDescent="0.2">
      <c r="A224" s="1">
        <f ca="1">IFERROR(__xludf.DUMMYFUNCTION("""COMPUTED_VALUE"""),4820137293412)</f>
        <v>4820137293412</v>
      </c>
      <c r="B224" s="1" t="str">
        <f ca="1">IFERROR(__xludf.DUMMYFUNCTION("""COMPUTED_VALUE"""),"4002 XL_люкс")</f>
        <v>4002 XL_люкс</v>
      </c>
      <c r="C224" s="1" t="str">
        <f ca="1">IFERROR(__xludf.DUMMYFUNCTION("""COMPUTED_VALUE"""),"Бандаж лечебно-профилактический эластичный, размер  XL")</f>
        <v>Бандаж лечебно-профилактический эластичный, размер  XL</v>
      </c>
      <c r="D224" s="1" t="str">
        <f ca="1">IFERROR(__xludf.DUMMYFUNCTION("""COMPUTED_VALUE"""),"Бандаж лечебно-профилактический эластичный, размер  XL ш/к  4 820 137 293 412")</f>
        <v>Бандаж лечебно-профилактический эластичный, размер  XL ш/к  4 820 137 293 412</v>
      </c>
      <c r="E224" s="1" t="str">
        <f ca="1">IFERROR(__xludf.DUMMYFUNCTION("""COMPUTED_VALUE"""),"шт")</f>
        <v>шт</v>
      </c>
      <c r="F224" s="1" t="str">
        <f ca="1">IFERROR(__xludf.DUMMYFUNCTION("""COMPUTED_VALUE"""),"БАМ00176")</f>
        <v>БАМ00176</v>
      </c>
      <c r="G224" s="1">
        <f ca="1">IFERROR(__xludf.DUMMYFUNCTION("""COMPUTED_VALUE"""),4820137293412)</f>
        <v>4820137293412</v>
      </c>
      <c r="H224" s="1"/>
    </row>
    <row r="225" spans="1:8" x14ac:dyDescent="0.2">
      <c r="A225" s="1">
        <f ca="1">IFERROR(__xludf.DUMMYFUNCTION("""COMPUTED_VALUE"""),4820137293429)</f>
        <v>4820137293429</v>
      </c>
      <c r="B225" s="1" t="str">
        <f ca="1">IFERROR(__xludf.DUMMYFUNCTION("""COMPUTED_VALUE"""),"4002 XXL_люкс")</f>
        <v>4002 XXL_люкс</v>
      </c>
      <c r="C225" s="1" t="str">
        <f ca="1">IFERROR(__xludf.DUMMYFUNCTION("""COMPUTED_VALUE"""),"Бандаж лечебно-профилактический эластичный, размер  XXL")</f>
        <v>Бандаж лечебно-профилактический эластичный, размер  XXL</v>
      </c>
      <c r="D225" s="1" t="str">
        <f ca="1">IFERROR(__xludf.DUMMYFUNCTION("""COMPUTED_VALUE"""),"Бандаж лечебно-профилактический эластичный, размер  XXL ш/к  4 820 137 293 429")</f>
        <v>Бандаж лечебно-профилактический эластичный, размер  XXL ш/к  4 820 137 293 429</v>
      </c>
      <c r="E225" s="1" t="str">
        <f ca="1">IFERROR(__xludf.DUMMYFUNCTION("""COMPUTED_VALUE"""),"шт")</f>
        <v>шт</v>
      </c>
      <c r="F225" s="1" t="str">
        <f ca="1">IFERROR(__xludf.DUMMYFUNCTION("""COMPUTED_VALUE"""),"БАМ00177")</f>
        <v>БАМ00177</v>
      </c>
      <c r="G225" s="1">
        <f ca="1">IFERROR(__xludf.DUMMYFUNCTION("""COMPUTED_VALUE"""),4820137293429)</f>
        <v>4820137293429</v>
      </c>
      <c r="H225" s="1"/>
    </row>
    <row r="226" spans="1:8" x14ac:dyDescent="0.2">
      <c r="A226" s="1">
        <f ca="1">IFERROR(__xludf.DUMMYFUNCTION("""COMPUTED_VALUE"""),4820137293436)</f>
        <v>4820137293436</v>
      </c>
      <c r="B226" s="1" t="str">
        <f ca="1">IFERROR(__xludf.DUMMYFUNCTION("""COMPUTED_VALUE"""),"4002 ХXXL_люкс")</f>
        <v>4002 ХXXL_люкс</v>
      </c>
      <c r="C226" s="1" t="str">
        <f ca="1">IFERROR(__xludf.DUMMYFUNCTION("""COMPUTED_VALUE"""),"Бандаж лечебно-профилактический эластичный, размер  XXXL")</f>
        <v>Бандаж лечебно-профилактический эластичный, размер  XXXL</v>
      </c>
      <c r="D226" s="1" t="str">
        <f ca="1">IFERROR(__xludf.DUMMYFUNCTION("""COMPUTED_VALUE"""),"Бандаж лечебно-профилактический эластичный, размер  XXXL  ш/к 4 820 137 293 436")</f>
        <v>Бандаж лечебно-профилактический эластичный, размер  XXXL  ш/к 4 820 137 293 436</v>
      </c>
      <c r="E226" s="1" t="str">
        <f ca="1">IFERROR(__xludf.DUMMYFUNCTION("""COMPUTED_VALUE"""),"шт")</f>
        <v>шт</v>
      </c>
      <c r="F226" s="1" t="str">
        <f ca="1">IFERROR(__xludf.DUMMYFUNCTION("""COMPUTED_VALUE"""),"БАМ00178")</f>
        <v>БАМ00178</v>
      </c>
      <c r="G226" s="1">
        <f ca="1">IFERROR(__xludf.DUMMYFUNCTION("""COMPUTED_VALUE"""),4820137293436)</f>
        <v>4820137293436</v>
      </c>
      <c r="H226" s="1"/>
    </row>
    <row r="227" spans="1:8" x14ac:dyDescent="0.2">
      <c r="A227" s="1">
        <f ca="1">IFERROR(__xludf.DUMMYFUNCTION("""COMPUTED_VALUE"""),4820137293443)</f>
        <v>4820137293443</v>
      </c>
      <c r="B227" s="1" t="str">
        <f ca="1">IFERROR(__xludf.DUMMYFUNCTION("""COMPUTED_VALUE"""),"4002 ХХXXL_люкс")</f>
        <v>4002 ХХXXL_люкс</v>
      </c>
      <c r="C227" s="1" t="str">
        <f ca="1">IFERROR(__xludf.DUMMYFUNCTION("""COMPUTED_VALUE"""),"Бандаж лечебно-профилактический эластичный, размер  XXXXL")</f>
        <v>Бандаж лечебно-профилактический эластичный, размер  XXXXL</v>
      </c>
      <c r="D227" s="1" t="str">
        <f ca="1">IFERROR(__xludf.DUMMYFUNCTION("""COMPUTED_VALUE"""),"Бандаж лечебно-профилактический эластичный, размер  XXXXL ш/к  4 820 137 293 443")</f>
        <v>Бандаж лечебно-профилактический эластичный, размер  XXXXL ш/к  4 820 137 293 443</v>
      </c>
      <c r="E227" s="1" t="str">
        <f ca="1">IFERROR(__xludf.DUMMYFUNCTION("""COMPUTED_VALUE"""),"шт")</f>
        <v>шт</v>
      </c>
      <c r="F227" s="1" t="str">
        <f ca="1">IFERROR(__xludf.DUMMYFUNCTION("""COMPUTED_VALUE"""),"БАМ00179")</f>
        <v>БАМ00179</v>
      </c>
      <c r="G227" s="1">
        <f ca="1">IFERROR(__xludf.DUMMYFUNCTION("""COMPUTED_VALUE"""),4820137293443)</f>
        <v>4820137293443</v>
      </c>
      <c r="H227" s="1"/>
    </row>
    <row r="228" spans="1:8" x14ac:dyDescent="0.2">
      <c r="A228" s="1">
        <f ca="1">IFERROR(__xludf.DUMMYFUNCTION("""COMPUTED_VALUE"""),4820137293474)</f>
        <v>4820137293474</v>
      </c>
      <c r="B228" s="1" t="str">
        <f ca="1">IFERROR(__xludf.DUMMYFUNCTION("""COMPUTED_VALUE"""),"4501 L_люкс")</f>
        <v>4501 L_люкс</v>
      </c>
      <c r="C228" s="1" t="str">
        <f ca="1">IFERROR(__xludf.DUMMYFUNCTION("""COMPUTED_VALUE"""),"Бандаж до- и после родовой, размер  L")</f>
        <v>Бандаж до- и после родовой, размер  L</v>
      </c>
      <c r="D228" s="1" t="str">
        <f ca="1">IFERROR(__xludf.DUMMYFUNCTION("""COMPUTED_VALUE"""),"Бандаж до- и после родовой, размер  L   ш/к 4 820 137 293 474")</f>
        <v>Бандаж до- и после родовой, размер  L   ш/к 4 820 137 293 474</v>
      </c>
      <c r="E228" s="1" t="str">
        <f ca="1">IFERROR(__xludf.DUMMYFUNCTION("""COMPUTED_VALUE"""),"шт")</f>
        <v>шт</v>
      </c>
      <c r="F228" s="1" t="str">
        <f ca="1">IFERROR(__xludf.DUMMYFUNCTION("""COMPUTED_VALUE"""),"БАМ00096")</f>
        <v>БАМ00096</v>
      </c>
      <c r="G228" s="1">
        <f ca="1">IFERROR(__xludf.DUMMYFUNCTION("""COMPUTED_VALUE"""),4820137293474)</f>
        <v>4820137293474</v>
      </c>
      <c r="H228" s="1"/>
    </row>
    <row r="229" spans="1:8" x14ac:dyDescent="0.2">
      <c r="A229" s="1">
        <f ca="1">IFERROR(__xludf.DUMMYFUNCTION("""COMPUTED_VALUE"""),4820137293467)</f>
        <v>4820137293467</v>
      </c>
      <c r="B229" s="1" t="str">
        <f ca="1">IFERROR(__xludf.DUMMYFUNCTION("""COMPUTED_VALUE"""),"4501 M_люкс")</f>
        <v>4501 M_люкс</v>
      </c>
      <c r="C229" s="1" t="str">
        <f ca="1">IFERROR(__xludf.DUMMYFUNCTION("""COMPUTED_VALUE"""),"Бандаж до- и после родовой, размер  M")</f>
        <v>Бандаж до- и после родовой, размер  M</v>
      </c>
      <c r="D229" s="1" t="str">
        <f ca="1">IFERROR(__xludf.DUMMYFUNCTION("""COMPUTED_VALUE"""),"Бандаж до- и после родовой, размер  M  ш/к 4 820 137 293 467")</f>
        <v>Бандаж до- и после родовой, размер  M  ш/к 4 820 137 293 467</v>
      </c>
      <c r="E229" s="1" t="str">
        <f ca="1">IFERROR(__xludf.DUMMYFUNCTION("""COMPUTED_VALUE"""),"шт")</f>
        <v>шт</v>
      </c>
      <c r="F229" s="1" t="str">
        <f ca="1">IFERROR(__xludf.DUMMYFUNCTION("""COMPUTED_VALUE"""),"БАМ00097")</f>
        <v>БАМ00097</v>
      </c>
      <c r="G229" s="1">
        <f ca="1">IFERROR(__xludf.DUMMYFUNCTION("""COMPUTED_VALUE"""),4820137293467)</f>
        <v>4820137293467</v>
      </c>
      <c r="H229" s="1"/>
    </row>
    <row r="230" spans="1:8" x14ac:dyDescent="0.2">
      <c r="A230" s="1">
        <f ca="1">IFERROR(__xludf.DUMMYFUNCTION("""COMPUTED_VALUE"""),4820137293450)</f>
        <v>4820137293450</v>
      </c>
      <c r="B230" s="1" t="str">
        <f ca="1">IFERROR(__xludf.DUMMYFUNCTION("""COMPUTED_VALUE"""),"4501 S_люкс")</f>
        <v>4501 S_люкс</v>
      </c>
      <c r="C230" s="1" t="str">
        <f ca="1">IFERROR(__xludf.DUMMYFUNCTION("""COMPUTED_VALUE"""),"Бандаж до- и после родовой, размер  S")</f>
        <v>Бандаж до- и после родовой, размер  S</v>
      </c>
      <c r="D230" s="1" t="str">
        <f ca="1">IFERROR(__xludf.DUMMYFUNCTION("""COMPUTED_VALUE"""),"Бандаж до- и после родовой, размер  S ш/к 4 820 137 293 450")</f>
        <v>Бандаж до- и после родовой, размер  S ш/к 4 820 137 293 450</v>
      </c>
      <c r="E230" s="1" t="str">
        <f ca="1">IFERROR(__xludf.DUMMYFUNCTION("""COMPUTED_VALUE"""),"шт")</f>
        <v>шт</v>
      </c>
      <c r="F230" s="1" t="str">
        <f ca="1">IFERROR(__xludf.DUMMYFUNCTION("""COMPUTED_VALUE"""),"БАМ00098")</f>
        <v>БАМ00098</v>
      </c>
      <c r="G230" s="1">
        <f ca="1">IFERROR(__xludf.DUMMYFUNCTION("""COMPUTED_VALUE"""),4820137293450)</f>
        <v>4820137293450</v>
      </c>
      <c r="H230" s="1"/>
    </row>
    <row r="231" spans="1:8" x14ac:dyDescent="0.2">
      <c r="A231" s="1">
        <f ca="1">IFERROR(__xludf.DUMMYFUNCTION("""COMPUTED_VALUE"""),4820137293481)</f>
        <v>4820137293481</v>
      </c>
      <c r="B231" s="1" t="str">
        <f ca="1">IFERROR(__xludf.DUMMYFUNCTION("""COMPUTED_VALUE"""),"4501 XL_люкс")</f>
        <v>4501 XL_люкс</v>
      </c>
      <c r="C231" s="1" t="str">
        <f ca="1">IFERROR(__xludf.DUMMYFUNCTION("""COMPUTED_VALUE"""),"Бандаж до- и после родовой, размер  XL")</f>
        <v>Бандаж до- и после родовой, размер  XL</v>
      </c>
      <c r="D231" s="1" t="str">
        <f ca="1">IFERROR(__xludf.DUMMYFUNCTION("""COMPUTED_VALUE"""),"Бандаж до- и после родовой, размер  XL ш/к  4 820 137 293 481")</f>
        <v>Бандаж до- и после родовой, размер  XL ш/к  4 820 137 293 481</v>
      </c>
      <c r="E231" s="1" t="str">
        <f ca="1">IFERROR(__xludf.DUMMYFUNCTION("""COMPUTED_VALUE"""),"шт")</f>
        <v>шт</v>
      </c>
      <c r="F231" s="1" t="str">
        <f ca="1">IFERROR(__xludf.DUMMYFUNCTION("""COMPUTED_VALUE"""),"БАМ00099")</f>
        <v>БАМ00099</v>
      </c>
      <c r="G231" s="1">
        <f ca="1">IFERROR(__xludf.DUMMYFUNCTION("""COMPUTED_VALUE"""),4820137293481)</f>
        <v>4820137293481</v>
      </c>
      <c r="H231" s="1"/>
    </row>
    <row r="232" spans="1:8" x14ac:dyDescent="0.2">
      <c r="A232" s="1">
        <f ca="1">IFERROR(__xludf.DUMMYFUNCTION("""COMPUTED_VALUE"""),4820137293665)</f>
        <v>4820137293665</v>
      </c>
      <c r="B232" s="1" t="str">
        <f ca="1">IFERROR(__xludf.DUMMYFUNCTION("""COMPUTED_VALUE"""),"4501 XXL_люкс")</f>
        <v>4501 XXL_люкс</v>
      </c>
      <c r="C232" s="1" t="str">
        <f ca="1">IFERROR(__xludf.DUMMYFUNCTION("""COMPUTED_VALUE"""),"Бандаж до- и после родовой, размер  XXL")</f>
        <v>Бандаж до- и после родовой, размер  XXL</v>
      </c>
      <c r="D232" s="1" t="str">
        <f ca="1">IFERROR(__xludf.DUMMYFUNCTION("""COMPUTED_VALUE"""),"Бандаж до- и после родовой, размер  XXL ш/к  4 820 137 293 665")</f>
        <v>Бандаж до- и после родовой, размер  XXL ш/к  4 820 137 293 665</v>
      </c>
      <c r="E232" s="1" t="str">
        <f ca="1">IFERROR(__xludf.DUMMYFUNCTION("""COMPUTED_VALUE"""),"шт")</f>
        <v>шт</v>
      </c>
      <c r="F232" s="1" t="str">
        <f ca="1">IFERROR(__xludf.DUMMYFUNCTION("""COMPUTED_VALUE"""),"БАМ00100")</f>
        <v>БАМ00100</v>
      </c>
      <c r="G232" s="1">
        <f ca="1">IFERROR(__xludf.DUMMYFUNCTION("""COMPUTED_VALUE"""),4820137293665)</f>
        <v>4820137293665</v>
      </c>
      <c r="H232" s="1"/>
    </row>
    <row r="233" spans="1:8" x14ac:dyDescent="0.2">
      <c r="A233" s="1">
        <f ca="1">IFERROR(__xludf.DUMMYFUNCTION("""COMPUTED_VALUE"""),4820137293672)</f>
        <v>4820137293672</v>
      </c>
      <c r="B233" s="1" t="str">
        <f ca="1">IFERROR(__xludf.DUMMYFUNCTION("""COMPUTED_VALUE"""),"4501 XXXL_люкс")</f>
        <v>4501 XXXL_люкс</v>
      </c>
      <c r="C233" s="1" t="str">
        <f ca="1">IFERROR(__xludf.DUMMYFUNCTION("""COMPUTED_VALUE"""),"Бандаж до- и после родовой, размер  XXXL")</f>
        <v>Бандаж до- и после родовой, размер  XXXL</v>
      </c>
      <c r="D233" s="1" t="str">
        <f ca="1">IFERROR(__xludf.DUMMYFUNCTION("""COMPUTED_VALUE"""),"Бандаж до- и после родовой, размер  XXXL ш/к  4 820 137 293 672")</f>
        <v>Бандаж до- и после родовой, размер  XXXL ш/к  4 820 137 293 672</v>
      </c>
      <c r="E233" s="1" t="str">
        <f ca="1">IFERROR(__xludf.DUMMYFUNCTION("""COMPUTED_VALUE"""),"шт")</f>
        <v>шт</v>
      </c>
      <c r="F233" s="1" t="str">
        <f ca="1">IFERROR(__xludf.DUMMYFUNCTION("""COMPUTED_VALUE"""),"БАМ00101")</f>
        <v>БАМ00101</v>
      </c>
      <c r="G233" s="1">
        <f ca="1">IFERROR(__xludf.DUMMYFUNCTION("""COMPUTED_VALUE"""),4820137293672)</f>
        <v>4820137293672</v>
      </c>
      <c r="H233" s="1"/>
    </row>
    <row r="234" spans="1:8" x14ac:dyDescent="0.2">
      <c r="A234" s="1">
        <f ca="1">IFERROR(__xludf.DUMMYFUNCTION("""COMPUTED_VALUE"""),4820137293528)</f>
        <v>4820137293528</v>
      </c>
      <c r="B234" s="1" t="str">
        <f ca="1">IFERROR(__xludf.DUMMYFUNCTION("""COMPUTED_VALUE"""),"5001 L_люкс")</f>
        <v>5001 L_люкс</v>
      </c>
      <c r="C234" s="1" t="str">
        <f ca="1">IFERROR(__xludf.DUMMYFUNCTION("""COMPUTED_VALUE"""),"Бандаж грыжевой лево- и правосторонний размер  L")</f>
        <v>Бандаж грыжевой лево- и правосторонний размер  L</v>
      </c>
      <c r="D234" s="1" t="str">
        <f ca="1">IFERROR(__xludf.DUMMYFUNCTION("""COMPUTED_VALUE"""),"Бандаж грыжевой лево- и правосторонний размер  L  ш/к 4 820 137 293 528")</f>
        <v>Бандаж грыжевой лево- и правосторонний размер  L  ш/к 4 820 137 293 528</v>
      </c>
      <c r="E234" s="1" t="str">
        <f ca="1">IFERROR(__xludf.DUMMYFUNCTION("""COMPUTED_VALUE"""),"шт")</f>
        <v>шт</v>
      </c>
      <c r="F234" s="1" t="str">
        <f ca="1">IFERROR(__xludf.DUMMYFUNCTION("""COMPUTED_VALUE"""),"БАМ00102")</f>
        <v>БАМ00102</v>
      </c>
      <c r="G234" s="1">
        <f ca="1">IFERROR(__xludf.DUMMYFUNCTION("""COMPUTED_VALUE"""),4820137293528)</f>
        <v>4820137293528</v>
      </c>
      <c r="H234" s="1"/>
    </row>
    <row r="235" spans="1:8" x14ac:dyDescent="0.2">
      <c r="A235" s="1">
        <f ca="1">IFERROR(__xludf.DUMMYFUNCTION("""COMPUTED_VALUE"""),4820137293511)</f>
        <v>4820137293511</v>
      </c>
      <c r="B235" s="1" t="str">
        <f ca="1">IFERROR(__xludf.DUMMYFUNCTION("""COMPUTED_VALUE"""),"5001 M_люкс")</f>
        <v>5001 M_люкс</v>
      </c>
      <c r="C235" s="1" t="str">
        <f ca="1">IFERROR(__xludf.DUMMYFUNCTION("""COMPUTED_VALUE"""),"Бандаж грыжевой лево- и правосторонний размер  M")</f>
        <v>Бандаж грыжевой лево- и правосторонний размер  M</v>
      </c>
      <c r="D235" s="1" t="str">
        <f ca="1">IFERROR(__xludf.DUMMYFUNCTION("""COMPUTED_VALUE"""),"Бандаж грыжевой лево- и правосторонний размер  M ш/к  4 820 137 293 511")</f>
        <v>Бандаж грыжевой лево- и правосторонний размер  M ш/к  4 820 137 293 511</v>
      </c>
      <c r="E235" s="1" t="str">
        <f ca="1">IFERROR(__xludf.DUMMYFUNCTION("""COMPUTED_VALUE"""),"шт")</f>
        <v>шт</v>
      </c>
      <c r="F235" s="1" t="str">
        <f ca="1">IFERROR(__xludf.DUMMYFUNCTION("""COMPUTED_VALUE"""),"БАМ00103")</f>
        <v>БАМ00103</v>
      </c>
      <c r="G235" s="1">
        <f ca="1">IFERROR(__xludf.DUMMYFUNCTION("""COMPUTED_VALUE"""),4820137293511)</f>
        <v>4820137293511</v>
      </c>
      <c r="H235" s="1"/>
    </row>
    <row r="236" spans="1:8" x14ac:dyDescent="0.2">
      <c r="A236" s="1">
        <f ca="1">IFERROR(__xludf.DUMMYFUNCTION("""COMPUTED_VALUE"""),4820137293504)</f>
        <v>4820137293504</v>
      </c>
      <c r="B236" s="1" t="str">
        <f ca="1">IFERROR(__xludf.DUMMYFUNCTION("""COMPUTED_VALUE"""),"5001 S_люкс")</f>
        <v>5001 S_люкс</v>
      </c>
      <c r="C236" s="1" t="str">
        <f ca="1">IFERROR(__xludf.DUMMYFUNCTION("""COMPUTED_VALUE"""),"Бандаж грыжевой лево- и правосторонний размер  S")</f>
        <v>Бандаж грыжевой лево- и правосторонний размер  S</v>
      </c>
      <c r="D236" s="1" t="str">
        <f ca="1">IFERROR(__xludf.DUMMYFUNCTION("""COMPUTED_VALUE"""),"Бандаж грыжевой лево- и правосторонний размер  S ш/к  4 820 137 293 504")</f>
        <v>Бандаж грыжевой лево- и правосторонний размер  S ш/к  4 820 137 293 504</v>
      </c>
      <c r="E236" s="1" t="str">
        <f ca="1">IFERROR(__xludf.DUMMYFUNCTION("""COMPUTED_VALUE"""),"шт")</f>
        <v>шт</v>
      </c>
      <c r="F236" s="1" t="str">
        <f ca="1">IFERROR(__xludf.DUMMYFUNCTION("""COMPUTED_VALUE"""),"БАМ00104")</f>
        <v>БАМ00104</v>
      </c>
      <c r="G236" s="1">
        <f ca="1">IFERROR(__xludf.DUMMYFUNCTION("""COMPUTED_VALUE"""),4820137293504)</f>
        <v>4820137293504</v>
      </c>
      <c r="H236" s="1"/>
    </row>
    <row r="237" spans="1:8" x14ac:dyDescent="0.2">
      <c r="A237" s="1">
        <f ca="1">IFERROR(__xludf.DUMMYFUNCTION("""COMPUTED_VALUE"""),4820137293689)</f>
        <v>4820137293689</v>
      </c>
      <c r="B237" s="1" t="str">
        <f ca="1">IFERROR(__xludf.DUMMYFUNCTION("""COMPUTED_VALUE"""),"5001 XL_люкс")</f>
        <v>5001 XL_люкс</v>
      </c>
      <c r="C237" s="1" t="str">
        <f ca="1">IFERROR(__xludf.DUMMYFUNCTION("""COMPUTED_VALUE"""),"Бандаж грыжевой лево- и правосторонний размер  XL")</f>
        <v>Бандаж грыжевой лево- и правосторонний размер  XL</v>
      </c>
      <c r="D237" s="1" t="str">
        <f ca="1">IFERROR(__xludf.DUMMYFUNCTION("""COMPUTED_VALUE"""),"Бандаж грыжевой лево- и правосторонний размер  XL ш/к  4 820 137 293 689")</f>
        <v>Бандаж грыжевой лево- и правосторонний размер  XL ш/к  4 820 137 293 689</v>
      </c>
      <c r="E237" s="1" t="str">
        <f ca="1">IFERROR(__xludf.DUMMYFUNCTION("""COMPUTED_VALUE"""),"шт")</f>
        <v>шт</v>
      </c>
      <c r="F237" s="1" t="str">
        <f ca="1">IFERROR(__xludf.DUMMYFUNCTION("""COMPUTED_VALUE"""),"БАМ00106")</f>
        <v>БАМ00106</v>
      </c>
      <c r="G237" s="1">
        <f ca="1">IFERROR(__xludf.DUMMYFUNCTION("""COMPUTED_VALUE"""),4820137293689)</f>
        <v>4820137293689</v>
      </c>
      <c r="H237" s="1"/>
    </row>
    <row r="238" spans="1:8" x14ac:dyDescent="0.2">
      <c r="A238" s="1">
        <f ca="1">IFERROR(__xludf.DUMMYFUNCTION("""COMPUTED_VALUE"""),4820137292798)</f>
        <v>4820137292798</v>
      </c>
      <c r="B238" s="1" t="str">
        <f ca="1">IFERROR(__xludf.DUMMYFUNCTION("""COMPUTED_VALUE"""),"5051 M-L_люкс")</f>
        <v>5051 M-L_люкс</v>
      </c>
      <c r="C238" s="1" t="str">
        <f ca="1">IFERROR(__xludf.DUMMYFUNCTION("""COMPUTED_VALUE"""),"Бандаж при пупочной грыже. размер M/L")</f>
        <v>Бандаж при пупочной грыже. размер M/L</v>
      </c>
      <c r="D238" s="1" t="str">
        <f ca="1">IFERROR(__xludf.DUMMYFUNCTION("""COMPUTED_VALUE"""),"Бандаж при пупочной грыже. размер M/L ш/к  4 820 137 292 798")</f>
        <v>Бандаж при пупочной грыже. размер M/L ш/к  4 820 137 292 798</v>
      </c>
      <c r="E238" s="1" t="str">
        <f ca="1">IFERROR(__xludf.DUMMYFUNCTION("""COMPUTED_VALUE"""),"шт")</f>
        <v>шт</v>
      </c>
      <c r="F238" s="1" t="str">
        <f ca="1">IFERROR(__xludf.DUMMYFUNCTION("""COMPUTED_VALUE"""),"БАМ00109")</f>
        <v>БАМ00109</v>
      </c>
      <c r="G238" s="1">
        <f ca="1">IFERROR(__xludf.DUMMYFUNCTION("""COMPUTED_VALUE"""),4820137292798)</f>
        <v>4820137292798</v>
      </c>
      <c r="H238" s="1"/>
    </row>
    <row r="239" spans="1:8" x14ac:dyDescent="0.2">
      <c r="A239" s="1">
        <f ca="1">IFERROR(__xludf.DUMMYFUNCTION("""COMPUTED_VALUE"""),4820137290817)</f>
        <v>4820137290817</v>
      </c>
      <c r="B239" s="1" t="str">
        <f ca="1">IFERROR(__xludf.DUMMYFUNCTION("""COMPUTED_VALUE"""),"5051 XL-XXL_люкс")</f>
        <v>5051 XL-XXL_люкс</v>
      </c>
      <c r="C239" s="1" t="str">
        <f ca="1">IFERROR(__xludf.DUMMYFUNCTION("""COMPUTED_VALUE"""),"Бандаж при пупочной грыже размер XL/XXL")</f>
        <v>Бандаж при пупочной грыже размер XL/XXL</v>
      </c>
      <c r="D239" s="1" t="str">
        <f ca="1">IFERROR(__xludf.DUMMYFUNCTION("""COMPUTED_VALUE"""),"Бандаж при пупочной грыже размер XL/XXL ш/к  4 820 137 290 817")</f>
        <v>Бандаж при пупочной грыже размер XL/XXL ш/к  4 820 137 290 817</v>
      </c>
      <c r="E239" s="1" t="str">
        <f ca="1">IFERROR(__xludf.DUMMYFUNCTION("""COMPUTED_VALUE"""),"шт")</f>
        <v>шт</v>
      </c>
      <c r="F239" s="1" t="str">
        <f ca="1">IFERROR(__xludf.DUMMYFUNCTION("""COMPUTED_VALUE"""),"БАМ00110")</f>
        <v>БАМ00110</v>
      </c>
      <c r="G239" s="1">
        <f ca="1">IFERROR(__xludf.DUMMYFUNCTION("""COMPUTED_VALUE"""),4820137290817)</f>
        <v>4820137290817</v>
      </c>
      <c r="H239" s="1"/>
    </row>
    <row r="240" spans="1:8" x14ac:dyDescent="0.2">
      <c r="A240" s="1">
        <f ca="1">IFERROR(__xludf.DUMMYFUNCTION("""COMPUTED_VALUE"""),4820137292781)</f>
        <v>4820137292781</v>
      </c>
      <c r="B240" s="1" t="str">
        <f ca="1">IFERROR(__xludf.DUMMYFUNCTION("""COMPUTED_VALUE"""),"5051 XS-S_люкс")</f>
        <v>5051 XS-S_люкс</v>
      </c>
      <c r="C240" s="1" t="str">
        <f ca="1">IFERROR(__xludf.DUMMYFUNCTION("""COMPUTED_VALUE"""),"Бандаж при пупочной грыже, размер XS/S")</f>
        <v>Бандаж при пупочной грыже, размер XS/S</v>
      </c>
      <c r="D240" s="1" t="str">
        <f ca="1">IFERROR(__xludf.DUMMYFUNCTION("""COMPUTED_VALUE"""),"Бандаж при пупочной грыже, размер XS/S ш/к  4 820 137 292 781")</f>
        <v>Бандаж при пупочной грыже, размер XS/S ш/к  4 820 137 292 781</v>
      </c>
      <c r="E240" s="1" t="str">
        <f ca="1">IFERROR(__xludf.DUMMYFUNCTION("""COMPUTED_VALUE"""),"шт")</f>
        <v>шт</v>
      </c>
      <c r="F240" s="1" t="str">
        <f ca="1">IFERROR(__xludf.DUMMYFUNCTION("""COMPUTED_VALUE"""),"БАМ00108")</f>
        <v>БАМ00108</v>
      </c>
      <c r="G240" s="1">
        <f ca="1">IFERROR(__xludf.DUMMYFUNCTION("""COMPUTED_VALUE"""),4820137292781)</f>
        <v>4820137292781</v>
      </c>
      <c r="H240" s="1"/>
    </row>
    <row r="241" spans="1:8" x14ac:dyDescent="0.2">
      <c r="A241" s="1">
        <f ca="1">IFERROR(__xludf.DUMMYFUNCTION("""COMPUTED_VALUE"""),4820137290824)</f>
        <v>4820137290824</v>
      </c>
      <c r="B241" s="1" t="str">
        <f ca="1">IFERROR(__xludf.DUMMYFUNCTION("""COMPUTED_VALUE"""),"5051 XXXL-XXXXL_люкс")</f>
        <v>5051 XXXL-XXXXL_люкс</v>
      </c>
      <c r="C241" s="1" t="str">
        <f ca="1">IFERROR(__xludf.DUMMYFUNCTION("""COMPUTED_VALUE"""),"Бандаж при пупочной грыже. размер XXXL/XXXXL")</f>
        <v>Бандаж при пупочной грыже. размер XXXL/XXXXL</v>
      </c>
      <c r="D241" s="1" t="str">
        <f ca="1">IFERROR(__xludf.DUMMYFUNCTION("""COMPUTED_VALUE"""),"Бандаж при пупочной грыже. размер XXXL/XXXXL ш/к  4 820 137 290 824")</f>
        <v>Бандаж при пупочной грыже. размер XXXL/XXXXL ш/к  4 820 137 290 824</v>
      </c>
      <c r="E241" s="1" t="str">
        <f ca="1">IFERROR(__xludf.DUMMYFUNCTION("""COMPUTED_VALUE"""),"шт")</f>
        <v>шт</v>
      </c>
      <c r="F241" s="1" t="str">
        <f ca="1">IFERROR(__xludf.DUMMYFUNCTION("""COMPUTED_VALUE"""),"БАМ00111")</f>
        <v>БАМ00111</v>
      </c>
      <c r="G241" s="1">
        <f ca="1">IFERROR(__xludf.DUMMYFUNCTION("""COMPUTED_VALUE"""),4820137290824)</f>
        <v>4820137290824</v>
      </c>
      <c r="H241" s="1"/>
    </row>
    <row r="242" spans="1:8" x14ac:dyDescent="0.2">
      <c r="A242" s="1">
        <f ca="1">IFERROR(__xludf.DUMMYFUNCTION("""COMPUTED_VALUE"""),4820137292828)</f>
        <v>4820137292828</v>
      </c>
      <c r="B242" s="1" t="str">
        <f ca="1">IFERROR(__xludf.DUMMYFUNCTION("""COMPUTED_VALUE"""),"6058 L-XL_люкс")</f>
        <v>6058 L-XL_люкс</v>
      </c>
      <c r="C242" s="1" t="str">
        <f ca="1">IFERROR(__xludf.DUMMYFUNCTION("""COMPUTED_VALUE"""),"Бандаж на коленный сустав разъемный, размер  L/XL")</f>
        <v>Бандаж на коленный сустав разъемный, размер  L/XL</v>
      </c>
      <c r="D242" s="1" t="str">
        <f ca="1">IFERROR(__xludf.DUMMYFUNCTION("""COMPUTED_VALUE"""),"Бандаж на коленный сустав разъемный, размер  L/XL ш/к  4 820 137 292 828")</f>
        <v>Бандаж на коленный сустав разъемный, размер  L/XL ш/к  4 820 137 292 828</v>
      </c>
      <c r="E242" s="1" t="str">
        <f ca="1">IFERROR(__xludf.DUMMYFUNCTION("""COMPUTED_VALUE"""),"шт")</f>
        <v>шт</v>
      </c>
      <c r="F242" s="1" t="str">
        <f ca="1">IFERROR(__xludf.DUMMYFUNCTION("""COMPUTED_VALUE"""),"БАМ00150")</f>
        <v>БАМ00150</v>
      </c>
      <c r="G242" s="1">
        <f ca="1">IFERROR(__xludf.DUMMYFUNCTION("""COMPUTED_VALUE"""),4820137292828)</f>
        <v>4820137292828</v>
      </c>
      <c r="H242" s="1"/>
    </row>
    <row r="243" spans="1:8" x14ac:dyDescent="0.2">
      <c r="A243" s="1">
        <f ca="1">IFERROR(__xludf.DUMMYFUNCTION("""COMPUTED_VALUE"""),4820137292811)</f>
        <v>4820137292811</v>
      </c>
      <c r="B243" s="1" t="str">
        <f ca="1">IFERROR(__xludf.DUMMYFUNCTION("""COMPUTED_VALUE"""),"6058 S-M_люкс")</f>
        <v>6058 S-M_люкс</v>
      </c>
      <c r="C243" s="1" t="str">
        <f ca="1">IFERROR(__xludf.DUMMYFUNCTION("""COMPUTED_VALUE"""),"Бандаж на коленный сустав разъемный, размер S/M")</f>
        <v>Бандаж на коленный сустав разъемный, размер S/M</v>
      </c>
      <c r="D243" s="1" t="str">
        <f ca="1">IFERROR(__xludf.DUMMYFUNCTION("""COMPUTED_VALUE"""),"Бандаж на коленный сустав разъемный, размер S/M ш/к  4 820 137 292 811")</f>
        <v>Бандаж на коленный сустав разъемный, размер S/M ш/к  4 820 137 292 811</v>
      </c>
      <c r="E243" s="1" t="str">
        <f ca="1">IFERROR(__xludf.DUMMYFUNCTION("""COMPUTED_VALUE"""),"шт")</f>
        <v>шт</v>
      </c>
      <c r="F243" s="1" t="str">
        <f ca="1">IFERROR(__xludf.DUMMYFUNCTION("""COMPUTED_VALUE"""),"БАМ00149")</f>
        <v>БАМ00149</v>
      </c>
      <c r="G243" s="1">
        <f ca="1">IFERROR(__xludf.DUMMYFUNCTION("""COMPUTED_VALUE"""),4820137292811)</f>
        <v>4820137292811</v>
      </c>
      <c r="H243" s="1"/>
    </row>
    <row r="244" spans="1:8" x14ac:dyDescent="0.2">
      <c r="A244" s="1">
        <f ca="1">IFERROR(__xludf.DUMMYFUNCTION("""COMPUTED_VALUE"""),4820137292835)</f>
        <v>4820137292835</v>
      </c>
      <c r="B244" s="1" t="str">
        <f ca="1">IFERROR(__xludf.DUMMYFUNCTION("""COMPUTED_VALUE"""),"6058 XXL_люкс")</f>
        <v>6058 XXL_люкс</v>
      </c>
      <c r="C244" s="1" t="str">
        <f ca="1">IFERROR(__xludf.DUMMYFUNCTION("""COMPUTED_VALUE"""),"Бандаж на коленный сустав разъемный, размер XXL")</f>
        <v>Бандаж на коленный сустав разъемный, размер XXL</v>
      </c>
      <c r="D244" s="1" t="str">
        <f ca="1">IFERROR(__xludf.DUMMYFUNCTION("""COMPUTED_VALUE"""),"Бандаж на коленный сустав разъемный, размер XXL ш/к  4 820 137 292 835")</f>
        <v>Бандаж на коленный сустав разъемный, размер XXL ш/к  4 820 137 292 835</v>
      </c>
      <c r="E244" s="1" t="str">
        <f ca="1">IFERROR(__xludf.DUMMYFUNCTION("""COMPUTED_VALUE"""),"шт")</f>
        <v>шт</v>
      </c>
      <c r="F244" s="1" t="str">
        <f ca="1">IFERROR(__xludf.DUMMYFUNCTION("""COMPUTED_VALUE"""),"БАМ00148")</f>
        <v>БАМ00148</v>
      </c>
      <c r="G244" s="1">
        <f ca="1">IFERROR(__xludf.DUMMYFUNCTION("""COMPUTED_VALUE"""),4820137292835)</f>
        <v>4820137292835</v>
      </c>
      <c r="H244" s="1"/>
    </row>
    <row r="245" spans="1:8" x14ac:dyDescent="0.2">
      <c r="A245" s="1">
        <f ca="1">IFERROR(__xludf.DUMMYFUNCTION("""COMPUTED_VALUE"""),4820137293542)</f>
        <v>4820137293542</v>
      </c>
      <c r="B245" s="1" t="str">
        <f ca="1">IFERROR(__xludf.DUMMYFUNCTION("""COMPUTED_VALUE"""),"7011 L_люкс")</f>
        <v>7011 L_люкс</v>
      </c>
      <c r="C245" s="1" t="str">
        <f ca="1">IFERROR(__xludf.DUMMYFUNCTION("""COMPUTED_VALUE"""),"Бандаж на голеностопный сустав эластичный 7011,L")</f>
        <v>Бандаж на голеностопный сустав эластичный 7011,L</v>
      </c>
      <c r="D245" s="1" t="str">
        <f ca="1">IFERROR(__xludf.DUMMYFUNCTION("""COMPUTED_VALUE"""),"Бандаж на голеностопный сустав эластичный 7011,L ш/к  4 820 137 293 542")</f>
        <v>Бандаж на голеностопный сустав эластичный 7011,L ш/к  4 820 137 293 542</v>
      </c>
      <c r="E245" s="1" t="str">
        <f ca="1">IFERROR(__xludf.DUMMYFUNCTION("""COMPUTED_VALUE"""),"шт")</f>
        <v>шт</v>
      </c>
      <c r="F245" s="1" t="str">
        <f ca="1">IFERROR(__xludf.DUMMYFUNCTION("""COMPUTED_VALUE"""),"БАМ00113")</f>
        <v>БАМ00113</v>
      </c>
      <c r="G245" s="1">
        <f ca="1">IFERROR(__xludf.DUMMYFUNCTION("""COMPUTED_VALUE"""),4820137293542)</f>
        <v>4820137293542</v>
      </c>
      <c r="H245" s="1"/>
    </row>
    <row r="246" spans="1:8" x14ac:dyDescent="0.2">
      <c r="A246" s="1">
        <f ca="1">IFERROR(__xludf.DUMMYFUNCTION("""COMPUTED_VALUE"""),4820137293535)</f>
        <v>4820137293535</v>
      </c>
      <c r="B246" s="1" t="str">
        <f ca="1">IFERROR(__xludf.DUMMYFUNCTION("""COMPUTED_VALUE"""),"7011 M_люкс")</f>
        <v>7011 M_люкс</v>
      </c>
      <c r="C246" s="1" t="str">
        <f ca="1">IFERROR(__xludf.DUMMYFUNCTION("""COMPUTED_VALUE"""),"Бандаж на голенностопный сустав эластичный 7011,М ш/к  4 820 137 293 535")</f>
        <v>Бандаж на голенностопный сустав эластичный 7011,М ш/к  4 820 137 293 535</v>
      </c>
      <c r="D246" s="1" t="str">
        <f ca="1">IFERROR(__xludf.DUMMYFUNCTION("""COMPUTED_VALUE"""),"Бандаж на голенностопный сустав эластичный 7011,М ш/к  4 820 137 293 535")</f>
        <v>Бандаж на голенностопный сустав эластичный 7011,М ш/к  4 820 137 293 535</v>
      </c>
      <c r="E246" s="1" t="str">
        <f ca="1">IFERROR(__xludf.DUMMYFUNCTION("""COMPUTED_VALUE"""),"шт")</f>
        <v>шт</v>
      </c>
      <c r="F246" s="1" t="str">
        <f ca="1">IFERROR(__xludf.DUMMYFUNCTION("""COMPUTED_VALUE"""),"БАМ00112")</f>
        <v>БАМ00112</v>
      </c>
      <c r="G246" s="1">
        <f ca="1">IFERROR(__xludf.DUMMYFUNCTION("""COMPUTED_VALUE"""),4820137293535)</f>
        <v>4820137293535</v>
      </c>
      <c r="H246" s="1"/>
    </row>
    <row r="247" spans="1:8" x14ac:dyDescent="0.2">
      <c r="A247" s="1">
        <f ca="1">IFERROR(__xludf.DUMMYFUNCTION("""COMPUTED_VALUE"""),4820137293559)</f>
        <v>4820137293559</v>
      </c>
      <c r="B247" s="1" t="str">
        <f ca="1">IFERROR(__xludf.DUMMYFUNCTION("""COMPUTED_VALUE"""),"7011 XL_люкс")</f>
        <v>7011 XL_люкс</v>
      </c>
      <c r="C247" s="1" t="str">
        <f ca="1">IFERROR(__xludf.DUMMYFUNCTION("""COMPUTED_VALUE"""),"Бандаж на голенностопный сустав эластичный 7011 XL")</f>
        <v>Бандаж на голенностопный сустав эластичный 7011 XL</v>
      </c>
      <c r="D247" s="1" t="str">
        <f ca="1">IFERROR(__xludf.DUMMYFUNCTION("""COMPUTED_VALUE"""),"Бандаж на голенностопный сустав эластичный 7011 XL ш/к  4 820 137 293 559")</f>
        <v>Бандаж на голенностопный сустав эластичный 7011 XL ш/к  4 820 137 293 559</v>
      </c>
      <c r="E247" s="1" t="str">
        <f ca="1">IFERROR(__xludf.DUMMYFUNCTION("""COMPUTED_VALUE"""),"шт")</f>
        <v>шт</v>
      </c>
      <c r="F247" s="1" t="str">
        <f ca="1">IFERROR(__xludf.DUMMYFUNCTION("""COMPUTED_VALUE"""),"БАМ00114")</f>
        <v>БАМ00114</v>
      </c>
      <c r="G247" s="1">
        <f ca="1">IFERROR(__xludf.DUMMYFUNCTION("""COMPUTED_VALUE"""),4820137293559)</f>
        <v>4820137293559</v>
      </c>
      <c r="H247" s="1"/>
    </row>
    <row r="248" spans="1:8" x14ac:dyDescent="0.2">
      <c r="A248" s="1">
        <f ca="1">IFERROR(__xludf.DUMMYFUNCTION("""COMPUTED_VALUE"""),4820137293719)</f>
        <v>4820137293719</v>
      </c>
      <c r="B248" s="1" t="str">
        <f ca="1">IFERROR(__xludf.DUMMYFUNCTION("""COMPUTED_VALUE"""),"8502 L-XL_люкс")</f>
        <v>8502 L-XL_люкс</v>
      </c>
      <c r="C248" s="1" t="str">
        <f ca="1">IFERROR(__xludf.DUMMYFUNCTION("""COMPUTED_VALUE"""),"Бандаж на лучезапястный сустав эластичный 8502, L/XL")</f>
        <v>Бандаж на лучезапястный сустав эластичный 8502, L/XL</v>
      </c>
      <c r="D248" s="1" t="str">
        <f ca="1">IFERROR(__xludf.DUMMYFUNCTION("""COMPUTED_VALUE"""),"Бандаж на лучезапястный сустав эластичный 8502, L/XL ш/к  4 820 137 293 719")</f>
        <v>Бандаж на лучезапястный сустав эластичный 8502, L/XL ш/к  4 820 137 293 719</v>
      </c>
      <c r="E248" s="1" t="str">
        <f ca="1">IFERROR(__xludf.DUMMYFUNCTION("""COMPUTED_VALUE"""),"шт")</f>
        <v>шт</v>
      </c>
      <c r="F248" s="1" t="str">
        <f ca="1">IFERROR(__xludf.DUMMYFUNCTION("""COMPUTED_VALUE"""),"БАМ00116")</f>
        <v>БАМ00116</v>
      </c>
      <c r="G248" s="1">
        <f ca="1">IFERROR(__xludf.DUMMYFUNCTION("""COMPUTED_VALUE"""),4820137293719)</f>
        <v>4820137293719</v>
      </c>
      <c r="H248" s="1"/>
    </row>
    <row r="249" spans="1:8" x14ac:dyDescent="0.2">
      <c r="A249" s="1">
        <f ca="1">IFERROR(__xludf.DUMMYFUNCTION("""COMPUTED_VALUE"""),4820137293702)</f>
        <v>4820137293702</v>
      </c>
      <c r="B249" s="1" t="str">
        <f ca="1">IFERROR(__xludf.DUMMYFUNCTION("""COMPUTED_VALUE"""),"8502 S-M_люкс")</f>
        <v>8502 S-M_люкс</v>
      </c>
      <c r="C249" s="1" t="str">
        <f ca="1">IFERROR(__xludf.DUMMYFUNCTION("""COMPUTED_VALUE"""),"Бандаж на лучезапястный сустав эластичный 8502, S/M")</f>
        <v>Бандаж на лучезапястный сустав эластичный 8502, S/M</v>
      </c>
      <c r="D249" s="1" t="str">
        <f ca="1">IFERROR(__xludf.DUMMYFUNCTION("""COMPUTED_VALUE"""),"Бандаж на лучезапястный сустав эластичный 8502, S/M ш/к  4 820 137 293 702")</f>
        <v>Бандаж на лучезапястный сустав эластичный 8502, S/M ш/к  4 820 137 293 702</v>
      </c>
      <c r="E249" s="1" t="str">
        <f ca="1">IFERROR(__xludf.DUMMYFUNCTION("""COMPUTED_VALUE"""),"шт")</f>
        <v>шт</v>
      </c>
      <c r="F249" s="1" t="str">
        <f ca="1">IFERROR(__xludf.DUMMYFUNCTION("""COMPUTED_VALUE"""),"БАМ00115")</f>
        <v>БАМ00115</v>
      </c>
      <c r="G249" s="1">
        <f ca="1">IFERROR(__xludf.DUMMYFUNCTION("""COMPUTED_VALUE"""),4820137293702)</f>
        <v>4820137293702</v>
      </c>
      <c r="H249" s="1"/>
    </row>
    <row r="250" spans="1:8" x14ac:dyDescent="0.2">
      <c r="A250" s="1">
        <f ca="1">IFERROR(__xludf.DUMMYFUNCTION("""COMPUTED_VALUE"""),4820137292958)</f>
        <v>4820137292958</v>
      </c>
      <c r="B250" s="1" t="str">
        <f ca="1">IFERROR(__xludf.DUMMYFUNCTION("""COMPUTED_VALUE"""),"8552 L-XL_люкс")</f>
        <v>8552 L-XL_люкс</v>
      </c>
      <c r="C250" s="1" t="str">
        <f ca="1">IFERROR(__xludf.DUMMYFUNCTION("""COMPUTED_VALUE"""),"Бандаж на лучезапястный сустав с фиксацией пальца,L/XL")</f>
        <v>Бандаж на лучезапястный сустав с фиксацией пальца,L/XL</v>
      </c>
      <c r="D250" s="1" t="str">
        <f ca="1">IFERROR(__xludf.DUMMYFUNCTION("""COMPUTED_VALUE"""),"Бандаж на лучезапястный сустав с фиксацией пальца,L/XL ш/к  4 820 137 292 958")</f>
        <v>Бандаж на лучезапястный сустав с фиксацией пальца,L/XL ш/к  4 820 137 292 958</v>
      </c>
      <c r="E250" s="1" t="str">
        <f ca="1">IFERROR(__xludf.DUMMYFUNCTION("""COMPUTED_VALUE"""),"шт")</f>
        <v>шт</v>
      </c>
      <c r="F250" s="1" t="str">
        <f ca="1">IFERROR(__xludf.DUMMYFUNCTION("""COMPUTED_VALUE"""),"БАМ00165")</f>
        <v>БАМ00165</v>
      </c>
      <c r="G250" s="1">
        <f ca="1">IFERROR(__xludf.DUMMYFUNCTION("""COMPUTED_VALUE"""),4820137292958)</f>
        <v>4820137292958</v>
      </c>
      <c r="H250" s="1"/>
    </row>
    <row r="251" spans="1:8" x14ac:dyDescent="0.2">
      <c r="A251" s="1">
        <f ca="1">IFERROR(__xludf.DUMMYFUNCTION("""COMPUTED_VALUE"""),4820137292941)</f>
        <v>4820137292941</v>
      </c>
      <c r="B251" s="1" t="str">
        <f ca="1">IFERROR(__xludf.DUMMYFUNCTION("""COMPUTED_VALUE"""),"8552 S-M_люкс")</f>
        <v>8552 S-M_люкс</v>
      </c>
      <c r="C251" s="1" t="str">
        <f ca="1">IFERROR(__xludf.DUMMYFUNCTION("""COMPUTED_VALUE"""),"Бандаж на лучезапястный сустав с фиксацией пальца размер S/M")</f>
        <v>Бандаж на лучезапястный сустав с фиксацией пальца размер S/M</v>
      </c>
      <c r="D251" s="1" t="str">
        <f ca="1">IFERROR(__xludf.DUMMYFUNCTION("""COMPUTED_VALUE"""),"Бандаж на лучезапястный сустав с фиксацией пальца размер S/M ш/к  4 820 137 292 941")</f>
        <v>Бандаж на лучезапястный сустав с фиксацией пальца размер S/M ш/к  4 820 137 292 941</v>
      </c>
      <c r="E251" s="1" t="str">
        <f ca="1">IFERROR(__xludf.DUMMYFUNCTION("""COMPUTED_VALUE"""),"шт")</f>
        <v>шт</v>
      </c>
      <c r="F251" s="1" t="str">
        <f ca="1">IFERROR(__xludf.DUMMYFUNCTION("""COMPUTED_VALUE"""),"БАМ00164")</f>
        <v>БАМ00164</v>
      </c>
      <c r="G251" s="1">
        <f ca="1">IFERROR(__xludf.DUMMYFUNCTION("""COMPUTED_VALUE"""),4820137292941)</f>
        <v>4820137292941</v>
      </c>
      <c r="H251" s="1"/>
    </row>
    <row r="252" spans="1:8" x14ac:dyDescent="0.2">
      <c r="A252" s="1">
        <f ca="1">IFERROR(__xludf.DUMMYFUNCTION("""COMPUTED_VALUE"""),77119)</f>
        <v>77119</v>
      </c>
      <c r="B252" s="1" t="str">
        <f ca="1">IFERROR(__xludf.DUMMYFUNCTION("""COMPUTED_VALUE"""),"9905 L бел")</f>
        <v>9905 L бел</v>
      </c>
      <c r="C252" s="1" t="str">
        <f ca="1">IFERROR(__xludf.DUMMYFUNCTION("""COMPUTED_VALUE"""),"Бандаж для руки поддерживающий с дополнительной фиксацией белый, размер  L")</f>
        <v>Бандаж для руки поддерживающий с дополнительной фиксацией белый, размер  L</v>
      </c>
      <c r="D252" s="1" t="str">
        <f ca="1">IFERROR(__xludf.DUMMYFUNCTION("""COMPUTED_VALUE"""),"Бандаж для руки поддерживающий с дополнительной фиксацией белый, размер  L ш/к  4 820 137 292 316")</f>
        <v>Бандаж для руки поддерживающий с дополнительной фиксацией белый, размер  L ш/к  4 820 137 292 316</v>
      </c>
      <c r="E252" s="1" t="str">
        <f ca="1">IFERROR(__xludf.DUMMYFUNCTION("""COMPUTED_VALUE"""),"шт")</f>
        <v>шт</v>
      </c>
      <c r="F252" s="1" t="str">
        <f ca="1">IFERROR(__xludf.DUMMYFUNCTION("""COMPUTED_VALUE"""),"БАМ00069")</f>
        <v>БАМ00069</v>
      </c>
      <c r="G252" s="1">
        <f ca="1">IFERROR(__xludf.DUMMYFUNCTION("""COMPUTED_VALUE"""),77119)</f>
        <v>77119</v>
      </c>
      <c r="H252" s="1"/>
    </row>
    <row r="253" spans="1:8" x14ac:dyDescent="0.2">
      <c r="A253" s="1">
        <f ca="1">IFERROR(__xludf.DUMMYFUNCTION("""COMPUTED_VALUE"""),4820137292316)</f>
        <v>4820137292316</v>
      </c>
      <c r="B253" s="1" t="str">
        <f ca="1">IFERROR(__xludf.DUMMYFUNCTION("""COMPUTED_VALUE"""),"9905 L чер")</f>
        <v>9905 L чер</v>
      </c>
      <c r="C253" s="1" t="str">
        <f ca="1">IFERROR(__xludf.DUMMYFUNCTION("""COMPUTED_VALUE"""),"Бандаж для руки поддерживающий с дополнительной фиксацией черный, размер  L")</f>
        <v>Бандаж для руки поддерживающий с дополнительной фиксацией черный, размер  L</v>
      </c>
      <c r="D253" s="1" t="str">
        <f ca="1">IFERROR(__xludf.DUMMYFUNCTION("""COMPUTED_VALUE"""),"Бандаж для руки поддерживающий с дополнительной фиксацией черный, размер  L ш/к  4 820 137 292 316")</f>
        <v>Бандаж для руки поддерживающий с дополнительной фиксацией черный, размер  L ш/к  4 820 137 292 316</v>
      </c>
      <c r="E253" s="1" t="str">
        <f ca="1">IFERROR(__xludf.DUMMYFUNCTION("""COMPUTED_VALUE"""),"шт")</f>
        <v>шт</v>
      </c>
      <c r="F253" s="1" t="str">
        <f ca="1">IFERROR(__xludf.DUMMYFUNCTION("""COMPUTED_VALUE"""),"БАМ00072")</f>
        <v>БАМ00072</v>
      </c>
      <c r="G253" s="1">
        <f ca="1">IFERROR(__xludf.DUMMYFUNCTION("""COMPUTED_VALUE"""),4820137292316)</f>
        <v>4820137292316</v>
      </c>
      <c r="H253" s="1"/>
    </row>
    <row r="254" spans="1:8" x14ac:dyDescent="0.2">
      <c r="A254" s="1">
        <f ca="1">IFERROR(__xludf.DUMMYFUNCTION("""COMPUTED_VALUE"""),77118)</f>
        <v>77118</v>
      </c>
      <c r="B254" s="1" t="str">
        <f ca="1">IFERROR(__xludf.DUMMYFUNCTION("""COMPUTED_VALUE"""),"9905 M бел")</f>
        <v>9905 M бел</v>
      </c>
      <c r="C254" s="1" t="str">
        <f ca="1">IFERROR(__xludf.DUMMYFUNCTION("""COMPUTED_VALUE"""),"Бандаж для руки поддерживающий с дополнительной фиксацией белый, размер  M")</f>
        <v>Бандаж для руки поддерживающий с дополнительной фиксацией белый, размер  M</v>
      </c>
      <c r="D254" s="1" t="str">
        <f ca="1">IFERROR(__xludf.DUMMYFUNCTION("""COMPUTED_VALUE"""),"Бандаж для руки поддерживающий с дополнительной фиксацией белый, размер  M ш/к  4 820 137 292 309")</f>
        <v>Бандаж для руки поддерживающий с дополнительной фиксацией белый, размер  M ш/к  4 820 137 292 309</v>
      </c>
      <c r="E254" s="1" t="str">
        <f ca="1">IFERROR(__xludf.DUMMYFUNCTION("""COMPUTED_VALUE"""),"шт")</f>
        <v>шт</v>
      </c>
      <c r="F254" s="1" t="str">
        <f ca="1">IFERROR(__xludf.DUMMYFUNCTION("""COMPUTED_VALUE"""),"БАМ00068")</f>
        <v>БАМ00068</v>
      </c>
      <c r="G254" s="1">
        <f ca="1">IFERROR(__xludf.DUMMYFUNCTION("""COMPUTED_VALUE"""),77118)</f>
        <v>77118</v>
      </c>
      <c r="H254" s="1"/>
    </row>
    <row r="255" spans="1:8" x14ac:dyDescent="0.2">
      <c r="A255" s="1">
        <f ca="1">IFERROR(__xludf.DUMMYFUNCTION("""COMPUTED_VALUE"""),4820137292309)</f>
        <v>4820137292309</v>
      </c>
      <c r="B255" s="1" t="str">
        <f ca="1">IFERROR(__xludf.DUMMYFUNCTION("""COMPUTED_VALUE"""),"9905 M чер")</f>
        <v>9905 M чер</v>
      </c>
      <c r="C255" s="1" t="str">
        <f ca="1">IFERROR(__xludf.DUMMYFUNCTION("""COMPUTED_VALUE"""),"Бандаж для руки поддерживающий с дополнительной фиксацией черный, размер  M")</f>
        <v>Бандаж для руки поддерживающий с дополнительной фиксацией черный, размер  M</v>
      </c>
      <c r="D255" s="1" t="str">
        <f ca="1">IFERROR(__xludf.DUMMYFUNCTION("""COMPUTED_VALUE"""),"Бандаж для руки поддерживающий с дополнительной фиксацией черный, размер  M ш/к   4 820 137 292 309")</f>
        <v>Бандаж для руки поддерживающий с дополнительной фиксацией черный, размер  M ш/к   4 820 137 292 309</v>
      </c>
      <c r="E255" s="1" t="str">
        <f ca="1">IFERROR(__xludf.DUMMYFUNCTION("""COMPUTED_VALUE"""),"шт")</f>
        <v>шт</v>
      </c>
      <c r="F255" s="1" t="str">
        <f ca="1">IFERROR(__xludf.DUMMYFUNCTION("""COMPUTED_VALUE"""),"БАМ00071")</f>
        <v>БАМ00071</v>
      </c>
      <c r="G255" s="1">
        <f ca="1">IFERROR(__xludf.DUMMYFUNCTION("""COMPUTED_VALUE"""),4820137292309)</f>
        <v>4820137292309</v>
      </c>
      <c r="H255" s="1"/>
    </row>
    <row r="256" spans="1:8" x14ac:dyDescent="0.2">
      <c r="A256" s="1">
        <f ca="1">IFERROR(__xludf.DUMMYFUNCTION("""COMPUTED_VALUE"""),77117)</f>
        <v>77117</v>
      </c>
      <c r="B256" s="1" t="str">
        <f ca="1">IFERROR(__xludf.DUMMYFUNCTION("""COMPUTED_VALUE"""),"9905 S бел")</f>
        <v>9905 S бел</v>
      </c>
      <c r="C256" s="1" t="str">
        <f ca="1">IFERROR(__xludf.DUMMYFUNCTION("""COMPUTED_VALUE"""),"Бандаж для руки поддерживающий с дополнительной фиксацией белый, размер  S")</f>
        <v>Бандаж для руки поддерживающий с дополнительной фиксацией белый, размер  S</v>
      </c>
      <c r="D256" s="1" t="str">
        <f ca="1">IFERROR(__xludf.DUMMYFUNCTION("""COMPUTED_VALUE"""),"Бандаж для руки поддерживающий с дополнительной фиксацией белый, размер  S ш/к  4 820 137 292 293")</f>
        <v>Бандаж для руки поддерживающий с дополнительной фиксацией белый, размер  S ш/к  4 820 137 292 293</v>
      </c>
      <c r="E256" s="1" t="str">
        <f ca="1">IFERROR(__xludf.DUMMYFUNCTION("""COMPUTED_VALUE"""),"шт")</f>
        <v>шт</v>
      </c>
      <c r="F256" s="1" t="str">
        <f ca="1">IFERROR(__xludf.DUMMYFUNCTION("""COMPUTED_VALUE"""),"БАМ00067")</f>
        <v>БАМ00067</v>
      </c>
      <c r="G256" s="1">
        <f ca="1">IFERROR(__xludf.DUMMYFUNCTION("""COMPUTED_VALUE"""),77117)</f>
        <v>77117</v>
      </c>
      <c r="H256" s="1"/>
    </row>
    <row r="257" spans="1:8" x14ac:dyDescent="0.2">
      <c r="A257" s="1">
        <f ca="1">IFERROR(__xludf.DUMMYFUNCTION("""COMPUTED_VALUE"""),4820137292293)</f>
        <v>4820137292293</v>
      </c>
      <c r="B257" s="1" t="str">
        <f ca="1">IFERROR(__xludf.DUMMYFUNCTION("""COMPUTED_VALUE"""),"9905 S чер")</f>
        <v>9905 S чер</v>
      </c>
      <c r="C257" s="1" t="str">
        <f ca="1">IFERROR(__xludf.DUMMYFUNCTION("""COMPUTED_VALUE"""),"Бандаж для руки поддерживающий с дополнительной фиксацией черный, размер S")</f>
        <v>Бандаж для руки поддерживающий с дополнительной фиксацией черный, размер S</v>
      </c>
      <c r="D257" s="1" t="str">
        <f ca="1">IFERROR(__xludf.DUMMYFUNCTION("""COMPUTED_VALUE"""),"Бандаж для руки поддерживающий с дополнительной фиксацией черный, размер S ш/к  4 820 137 292 293")</f>
        <v>Бандаж для руки поддерживающий с дополнительной фиксацией черный, размер S ш/к  4 820 137 292 293</v>
      </c>
      <c r="E257" s="1" t="str">
        <f ca="1">IFERROR(__xludf.DUMMYFUNCTION("""COMPUTED_VALUE"""),"шт")</f>
        <v>шт</v>
      </c>
      <c r="F257" s="1" t="str">
        <f ca="1">IFERROR(__xludf.DUMMYFUNCTION("""COMPUTED_VALUE"""),"БАМ00070")</f>
        <v>БАМ00070</v>
      </c>
      <c r="G257" s="1">
        <f ca="1">IFERROR(__xludf.DUMMYFUNCTION("""COMPUTED_VALUE"""),4820137292293)</f>
        <v>4820137292293</v>
      </c>
      <c r="H257" s="1"/>
    </row>
    <row r="258" spans="1:8" x14ac:dyDescent="0.2">
      <c r="A258" s="1">
        <f ca="1">IFERROR(__xludf.DUMMYFUNCTION("""COMPUTED_VALUE"""),77164)</f>
        <v>77164</v>
      </c>
      <c r="B258" s="1" t="str">
        <f ca="1">IFERROR(__xludf.DUMMYFUNCTION("""COMPUTED_VALUE"""),"9905 XL бел")</f>
        <v>9905 XL бел</v>
      </c>
      <c r="C258" s="1" t="str">
        <f ca="1">IFERROR(__xludf.DUMMYFUNCTION("""COMPUTED_VALUE"""),"Бандаж для руки поддерживающий с дополнительной фиксацией белый, размер  XL")</f>
        <v>Бандаж для руки поддерживающий с дополнительной фиксацией белый, размер  XL</v>
      </c>
      <c r="D258" s="1" t="str">
        <f ca="1">IFERROR(__xludf.DUMMYFUNCTION("""COMPUTED_VALUE"""),"Бандаж для руки поддерживающий с дополнительной фиксацией белый, размер  XL ш/к  4 820 137 292 965")</f>
        <v>Бандаж для руки поддерживающий с дополнительной фиксацией белый, размер  XL ш/к  4 820 137 292 965</v>
      </c>
      <c r="E258" s="1" t="str">
        <f ca="1">IFERROR(__xludf.DUMMYFUNCTION("""COMPUTED_VALUE"""),"шт")</f>
        <v>шт</v>
      </c>
      <c r="F258" s="1" t="str">
        <f ca="1">IFERROR(__xludf.DUMMYFUNCTION("""COMPUTED_VALUE"""),"БАМ00194")</f>
        <v>БАМ00194</v>
      </c>
      <c r="G258" s="1">
        <f ca="1">IFERROR(__xludf.DUMMYFUNCTION("""COMPUTED_VALUE"""),77164)</f>
        <v>77164</v>
      </c>
      <c r="H258" s="1"/>
    </row>
    <row r="259" spans="1:8" x14ac:dyDescent="0.2">
      <c r="A259" s="1">
        <f ca="1">IFERROR(__xludf.DUMMYFUNCTION("""COMPUTED_VALUE"""),4820137292965)</f>
        <v>4820137292965</v>
      </c>
      <c r="B259" s="1" t="str">
        <f ca="1">IFERROR(__xludf.DUMMYFUNCTION("""COMPUTED_VALUE"""),"9905 XL чер")</f>
        <v>9905 XL чер</v>
      </c>
      <c r="C259" s="1" t="str">
        <f ca="1">IFERROR(__xludf.DUMMYFUNCTION("""COMPUTED_VALUE"""),"Бандаж для руки поддерживающий с дополнительной фиксацией черный, размер XL")</f>
        <v>Бандаж для руки поддерживающий с дополнительной фиксацией черный, размер XL</v>
      </c>
      <c r="D259" s="1" t="str">
        <f ca="1">IFERROR(__xludf.DUMMYFUNCTION("""COMPUTED_VALUE"""),"Бандаж для руки поддерживающий с дополнительной фиксацией черный, размер XL ш/к  4 820 137 292 965")</f>
        <v>Бандаж для руки поддерживающий с дополнительной фиксацией черный, размер XL ш/к  4 820 137 292 965</v>
      </c>
      <c r="E259" s="1" t="str">
        <f ca="1">IFERROR(__xludf.DUMMYFUNCTION("""COMPUTED_VALUE"""),"шт")</f>
        <v>шт</v>
      </c>
      <c r="F259" s="1" t="str">
        <f ca="1">IFERROR(__xludf.DUMMYFUNCTION("""COMPUTED_VALUE"""),"БАМ00195")</f>
        <v>БАМ00195</v>
      </c>
      <c r="G259" s="1">
        <f ca="1">IFERROR(__xludf.DUMMYFUNCTION("""COMPUTED_VALUE"""),4820137292965)</f>
        <v>4820137292965</v>
      </c>
      <c r="H259" s="1"/>
    </row>
    <row r="260" spans="1:8" x14ac:dyDescent="0.2">
      <c r="A260" s="1" t="str">
        <f ca="1">IFERROR(__xludf.DUMMYFUNCTION("""COMPUTED_VALUE"""),"Бинты Болгария")</f>
        <v>Бинты Болгария</v>
      </c>
      <c r="B260" s="1"/>
      <c r="C260" s="1"/>
      <c r="D260" s="1"/>
      <c r="E260" s="1"/>
      <c r="F260" s="1"/>
      <c r="G260" s="1"/>
      <c r="H260" s="1"/>
    </row>
    <row r="261" spans="1:8" x14ac:dyDescent="0.2">
      <c r="A261" s="1">
        <f ca="1">IFERROR(__xludf.DUMMYFUNCTION("""COMPUTED_VALUE"""),3800232483469)</f>
        <v>3800232483469</v>
      </c>
      <c r="B261" s="1" t="str">
        <f ca="1">IFERROR(__xludf.DUMMYFUNCTION("""COMPUTED_VALUE"""),"02x80x1_BG")</f>
        <v>02x80x1_BG</v>
      </c>
      <c r="C261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D261" s="1" t="str">
        <f ca="1">IFERROR(__xludf.DUMMYFUNCTION("""COMPUTED_VALUE"""),"Бинт эластичный медицинский средней растяжимости (ширина 80 мм) 02х80х1 (Болгария) ш/к 3800232483469")</f>
        <v>Бинт эластичный медицинский средней растяжимости (ширина 80 мм) 02х80х1 (Болгария) ш/к 3800232483469</v>
      </c>
      <c r="E261" s="1" t="str">
        <f ca="1">IFERROR(__xludf.DUMMYFUNCTION("""COMPUTED_VALUE"""),"шт")</f>
        <v>шт</v>
      </c>
      <c r="F261" s="1" t="str">
        <f ca="1">IFERROR(__xludf.DUMMYFUNCTION("""COMPUTED_VALUE"""),"AST00000221")</f>
        <v>AST00000221</v>
      </c>
      <c r="G261" s="1">
        <f ca="1">IFERROR(__xludf.DUMMYFUNCTION("""COMPUTED_VALUE"""),3800232483469)</f>
        <v>3800232483469</v>
      </c>
      <c r="H261" s="1"/>
    </row>
    <row r="262" spans="1:8" x14ac:dyDescent="0.2">
      <c r="A262" s="1">
        <f ca="1">IFERROR(__xludf.DUMMYFUNCTION("""COMPUTED_VALUE"""),3800232483476)</f>
        <v>3800232483476</v>
      </c>
      <c r="B262" s="1" t="str">
        <f ca="1">IFERROR(__xludf.DUMMYFUNCTION("""COMPUTED_VALUE"""),"02х80х1.5_BG")</f>
        <v>02х80х1.5_BG</v>
      </c>
      <c r="C262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D262" s="1" t="str">
        <f ca="1">IFERROR(__xludf.DUMMYFUNCTION("""COMPUTED_VALUE"""),"Бинт эластичный медицинский средней растяжимости (ширина 80 мм) 02х80х1.5 (Болгария) ш/к 3800232483476")</f>
        <v>Бинт эластичный медицинский средней растяжимости (ширина 80 мм) 02х80х1.5 (Болгария) ш/к 3800232483476</v>
      </c>
      <c r="E262" s="1" t="str">
        <f ca="1">IFERROR(__xludf.DUMMYFUNCTION("""COMPUTED_VALUE"""),"шт")</f>
        <v>шт</v>
      </c>
      <c r="F262" s="1" t="str">
        <f ca="1">IFERROR(__xludf.DUMMYFUNCTION("""COMPUTED_VALUE"""),"AST00000222")</f>
        <v>AST00000222</v>
      </c>
      <c r="G262" s="1">
        <f ca="1">IFERROR(__xludf.DUMMYFUNCTION("""COMPUTED_VALUE"""),3800232483476)</f>
        <v>3800232483476</v>
      </c>
      <c r="H262" s="1"/>
    </row>
    <row r="263" spans="1:8" x14ac:dyDescent="0.2">
      <c r="A263" s="1">
        <f ca="1">IFERROR(__xludf.DUMMYFUNCTION("""COMPUTED_VALUE"""),3800232483490)</f>
        <v>3800232483490</v>
      </c>
      <c r="B263" s="1" t="str">
        <f ca="1">IFERROR(__xludf.DUMMYFUNCTION("""COMPUTED_VALUE"""),"02х80х2.5_BG")</f>
        <v>02х80х2.5_BG</v>
      </c>
      <c r="C263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D263" s="1" t="str">
        <f ca="1">IFERROR(__xludf.DUMMYFUNCTION("""COMPUTED_VALUE"""),"Бинт эластичный медицинский средней растяжимости (ширина 80 мм) 02х80х2.5 (Болгария) ш/к 3800232483490")</f>
        <v>Бинт эластичный медицинский средней растяжимости (ширина 80 мм) 02х80х2.5 (Болгария) ш/к 3800232483490</v>
      </c>
      <c r="E263" s="1" t="str">
        <f ca="1">IFERROR(__xludf.DUMMYFUNCTION("""COMPUTED_VALUE"""),"шт")</f>
        <v>шт</v>
      </c>
      <c r="F263" s="1" t="str">
        <f ca="1">IFERROR(__xludf.DUMMYFUNCTION("""COMPUTED_VALUE"""),"AST00000224")</f>
        <v>AST00000224</v>
      </c>
      <c r="G263" s="1">
        <f ca="1">IFERROR(__xludf.DUMMYFUNCTION("""COMPUTED_VALUE"""),3800232483490)</f>
        <v>3800232483490</v>
      </c>
      <c r="H263" s="1"/>
    </row>
    <row r="264" spans="1:8" x14ac:dyDescent="0.2">
      <c r="A264" s="1">
        <f ca="1">IFERROR(__xludf.DUMMYFUNCTION("""COMPUTED_VALUE"""),3800232483483)</f>
        <v>3800232483483</v>
      </c>
      <c r="B264" s="1" t="str">
        <f ca="1">IFERROR(__xludf.DUMMYFUNCTION("""COMPUTED_VALUE"""),"02х80х2_BG")</f>
        <v>02х80х2_BG</v>
      </c>
      <c r="C264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D264" s="1" t="str">
        <f ca="1">IFERROR(__xludf.DUMMYFUNCTION("""COMPUTED_VALUE"""),"Бинт эластичный медицинский средней растяжимости (ширина 80 мм) 02х80х2 (Болгария) ш/к 3800232483483")</f>
        <v>Бинт эластичный медицинский средней растяжимости (ширина 80 мм) 02х80х2 (Болгария) ш/к 3800232483483</v>
      </c>
      <c r="E264" s="1" t="str">
        <f ca="1">IFERROR(__xludf.DUMMYFUNCTION("""COMPUTED_VALUE"""),"шт")</f>
        <v>шт</v>
      </c>
      <c r="F264" s="1" t="str">
        <f ca="1">IFERROR(__xludf.DUMMYFUNCTION("""COMPUTED_VALUE"""),"AST00000223")</f>
        <v>AST00000223</v>
      </c>
      <c r="G264" s="1">
        <f ca="1">IFERROR(__xludf.DUMMYFUNCTION("""COMPUTED_VALUE"""),3800232483483)</f>
        <v>3800232483483</v>
      </c>
      <c r="H264" s="1"/>
    </row>
    <row r="265" spans="1:8" x14ac:dyDescent="0.2">
      <c r="A265" s="1">
        <f ca="1">IFERROR(__xludf.DUMMYFUNCTION("""COMPUTED_VALUE"""),3800232483513)</f>
        <v>3800232483513</v>
      </c>
      <c r="B265" s="1" t="str">
        <f ca="1">IFERROR(__xludf.DUMMYFUNCTION("""COMPUTED_VALUE"""),"02х80х3.5_BG")</f>
        <v>02х80х3.5_BG</v>
      </c>
      <c r="C265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D265" s="1" t="str">
        <f ca="1">IFERROR(__xludf.DUMMYFUNCTION("""COMPUTED_VALUE"""),"Бинт эластичный медицинский средней растяжимости (ширина 80 мм) 02х80х3.5 (Болгария) ш/к 3800232483513")</f>
        <v>Бинт эластичный медицинский средней растяжимости (ширина 80 мм) 02х80х3.5 (Болгария) ш/к 3800232483513</v>
      </c>
      <c r="E265" s="1" t="str">
        <f ca="1">IFERROR(__xludf.DUMMYFUNCTION("""COMPUTED_VALUE"""),"шт")</f>
        <v>шт</v>
      </c>
      <c r="F265" s="1" t="str">
        <f ca="1">IFERROR(__xludf.DUMMYFUNCTION("""COMPUTED_VALUE"""),"AST00000226")</f>
        <v>AST00000226</v>
      </c>
      <c r="G265" s="1">
        <f ca="1">IFERROR(__xludf.DUMMYFUNCTION("""COMPUTED_VALUE"""),3800232483513)</f>
        <v>3800232483513</v>
      </c>
      <c r="H265" s="1"/>
    </row>
    <row r="266" spans="1:8" x14ac:dyDescent="0.2">
      <c r="A266" s="1">
        <f ca="1">IFERROR(__xludf.DUMMYFUNCTION("""COMPUTED_VALUE"""),3800232483506)</f>
        <v>3800232483506</v>
      </c>
      <c r="B266" s="1" t="str">
        <f ca="1">IFERROR(__xludf.DUMMYFUNCTION("""COMPUTED_VALUE"""),"02х80х3_BG")</f>
        <v>02х80х3_BG</v>
      </c>
      <c r="C266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D266" s="1" t="str">
        <f ca="1">IFERROR(__xludf.DUMMYFUNCTION("""COMPUTED_VALUE"""),"Бинт эластичный медицинский средней растяжимости (ширина 80 мм) 02х80х3 (Болгария) ш/к 3800232483506")</f>
        <v>Бинт эластичный медицинский средней растяжимости (ширина 80 мм) 02х80х3 (Болгария) ш/к 3800232483506</v>
      </c>
      <c r="E266" s="1" t="str">
        <f ca="1">IFERROR(__xludf.DUMMYFUNCTION("""COMPUTED_VALUE"""),"шт")</f>
        <v>шт</v>
      </c>
      <c r="F266" s="1" t="str">
        <f ca="1">IFERROR(__xludf.DUMMYFUNCTION("""COMPUTED_VALUE"""),"AST00000225")</f>
        <v>AST00000225</v>
      </c>
      <c r="G266" s="1">
        <f ca="1">IFERROR(__xludf.DUMMYFUNCTION("""COMPUTED_VALUE"""),3800232483506)</f>
        <v>3800232483506</v>
      </c>
      <c r="H266" s="1"/>
    </row>
    <row r="267" spans="1:8" x14ac:dyDescent="0.2">
      <c r="A267" s="1">
        <f ca="1">IFERROR(__xludf.DUMMYFUNCTION("""COMPUTED_VALUE"""),3800232483520)</f>
        <v>3800232483520</v>
      </c>
      <c r="B267" s="1" t="str">
        <f ca="1">IFERROR(__xludf.DUMMYFUNCTION("""COMPUTED_VALUE"""),"02х80х4_BG")</f>
        <v>02х80х4_BG</v>
      </c>
      <c r="C267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D267" s="1" t="str">
        <f ca="1">IFERROR(__xludf.DUMMYFUNCTION("""COMPUTED_VALUE"""),"Бинт эластичный медицинский средней растяжимости (ширина 80 мм) 02х80х4 (Болгария) ш/к 3800232483520")</f>
        <v>Бинт эластичный медицинский средней растяжимости (ширина 80 мм) 02х80х4 (Болгария) ш/к 3800232483520</v>
      </c>
      <c r="E267" s="1" t="str">
        <f ca="1">IFERROR(__xludf.DUMMYFUNCTION("""COMPUTED_VALUE"""),"шт")</f>
        <v>шт</v>
      </c>
      <c r="F267" s="1" t="str">
        <f ca="1">IFERROR(__xludf.DUMMYFUNCTION("""COMPUTED_VALUE"""),"AST00000227")</f>
        <v>AST00000227</v>
      </c>
      <c r="G267" s="1">
        <f ca="1">IFERROR(__xludf.DUMMYFUNCTION("""COMPUTED_VALUE"""),3800232483520)</f>
        <v>3800232483520</v>
      </c>
      <c r="H267" s="1"/>
    </row>
    <row r="268" spans="1:8" x14ac:dyDescent="0.2">
      <c r="A268" s="1">
        <f ca="1">IFERROR(__xludf.DUMMYFUNCTION("""COMPUTED_VALUE"""),3800232483537)</f>
        <v>3800232483537</v>
      </c>
      <c r="B268" s="1" t="str">
        <f ca="1">IFERROR(__xludf.DUMMYFUNCTION("""COMPUTED_VALUE"""),"02х80х5_BG")</f>
        <v>02х80х5_BG</v>
      </c>
      <c r="C268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D268" s="1" t="str">
        <f ca="1">IFERROR(__xludf.DUMMYFUNCTION("""COMPUTED_VALUE"""),"Бинт эластичный медицинский средней растяжимости (ширина 80 мм) 02х80х5 (Болгария) ш/к 3800232483537")</f>
        <v>Бинт эластичный медицинский средней растяжимости (ширина 80 мм) 02х80х5 (Болгария) ш/к 3800232483537</v>
      </c>
      <c r="E268" s="1" t="str">
        <f ca="1">IFERROR(__xludf.DUMMYFUNCTION("""COMPUTED_VALUE"""),"шт")</f>
        <v>шт</v>
      </c>
      <c r="F268" s="1" t="str">
        <f ca="1">IFERROR(__xludf.DUMMYFUNCTION("""COMPUTED_VALUE"""),"AST00000228")</f>
        <v>AST00000228</v>
      </c>
      <c r="G268" s="1">
        <f ca="1">IFERROR(__xludf.DUMMYFUNCTION("""COMPUTED_VALUE"""),3800232483537)</f>
        <v>3800232483537</v>
      </c>
      <c r="H268" s="1"/>
    </row>
    <row r="269" spans="1:8" x14ac:dyDescent="0.2">
      <c r="A269" s="1" t="str">
        <f ca="1">IFERROR(__xludf.DUMMYFUNCTION("""COMPUTED_VALUE"""),"Бинты Украина")</f>
        <v>Бинты Украина</v>
      </c>
      <c r="B269" s="1"/>
      <c r="C269" s="1"/>
      <c r="D269" s="1"/>
      <c r="E269" s="1"/>
      <c r="F269" s="1"/>
      <c r="G269" s="1"/>
      <c r="H269" s="1"/>
    </row>
    <row r="270" spans="1:8" x14ac:dyDescent="0.2">
      <c r="A270" s="1">
        <f ca="1">IFERROR(__xludf.DUMMYFUNCTION("""COMPUTED_VALUE"""),4820137292453)</f>
        <v>4820137292453</v>
      </c>
      <c r="B270" s="1" t="str">
        <f ca="1">IFERROR(__xludf.DUMMYFUNCTION("""COMPUTED_VALUE"""),"02x80x1")</f>
        <v>02x80x1</v>
      </c>
      <c r="C270" s="1" t="str">
        <f ca="1">IFERROR(__xludf.DUMMYFUNCTION("""COMPUTED_VALUE"""),"Бинт эластичный медицинский средней растяжимости MEDTEXTILE, 1 м x 8 см")</f>
        <v>Бинт эластичный медицинский средней растяжимости MEDTEXTILE, 1 м x 8 см</v>
      </c>
      <c r="D270" s="1" t="str">
        <f ca="1">IFERROR(__xludf.DUMMYFUNCTION("""COMPUTED_VALUE"""),"Бинт эластичный медицинский средней растяжимости MEDTEXTILE, 1 м x 8 см ш/к 4820137292453")</f>
        <v>Бинт эластичный медицинский средней растяжимости MEDTEXTILE, 1 м x 8 см ш/к 4820137292453</v>
      </c>
      <c r="E270" s="1" t="str">
        <f ca="1">IFERROR(__xludf.DUMMYFUNCTION("""COMPUTED_VALUE"""),"шт")</f>
        <v>шт</v>
      </c>
      <c r="F270" s="1" t="str">
        <f ca="1">IFERROR(__xludf.DUMMYFUNCTION("""COMPUTED_VALUE"""),"БМ000002")</f>
        <v>БМ000002</v>
      </c>
      <c r="G270" s="1">
        <f ca="1">IFERROR(__xludf.DUMMYFUNCTION("""COMPUTED_VALUE"""),4820137292453)</f>
        <v>4820137292453</v>
      </c>
      <c r="H270" s="1" t="str">
        <f ca="1">IFERROR(__xludf.DUMMYFUNCTION("""COMPUTED_VALUE"""),"XXXXL")</f>
        <v>XXXXL</v>
      </c>
    </row>
    <row r="271" spans="1:8" x14ac:dyDescent="0.2">
      <c r="A271" s="1">
        <f ca="1">IFERROR(__xludf.DUMMYFUNCTION("""COMPUTED_VALUE"""),4820137292460)</f>
        <v>4820137292460</v>
      </c>
      <c r="B271" s="1" t="str">
        <f ca="1">IFERROR(__xludf.DUMMYFUNCTION("""COMPUTED_VALUE"""),"02x80x1,5")</f>
        <v>02x80x1,5</v>
      </c>
      <c r="C271" s="1" t="str">
        <f ca="1">IFERROR(__xludf.DUMMYFUNCTION("""COMPUTED_VALUE"""),"Бинт эластичный медицинский MEDTEXTILE средней растяжимости, 1,5 м x 8 см")</f>
        <v>Бинт эластичный медицинский MEDTEXTILE средней растяжимости, 1,5 м x 8 см</v>
      </c>
      <c r="D271" s="1" t="str">
        <f ca="1">IFERROR(__xludf.DUMMYFUNCTION("""COMPUTED_VALUE"""),"Бинт эластичный медицинский MEDTEXTILE средней растяжимости, 1,5 м x 8 см ш/к 4820137292460")</f>
        <v>Бинт эластичный медицинский MEDTEXTILE средней растяжимости, 1,5 м x 8 см ш/к 4820137292460</v>
      </c>
      <c r="E271" s="1" t="str">
        <f ca="1">IFERROR(__xludf.DUMMYFUNCTION("""COMPUTED_VALUE"""),"шт")</f>
        <v>шт</v>
      </c>
      <c r="F271" s="1" t="str">
        <f ca="1">IFERROR(__xludf.DUMMYFUNCTION("""COMPUTED_VALUE"""),"БМ000003")</f>
        <v>БМ000003</v>
      </c>
      <c r="G271" s="1">
        <f ca="1">IFERROR(__xludf.DUMMYFUNCTION("""COMPUTED_VALUE"""),4820137292460)</f>
        <v>4820137292460</v>
      </c>
      <c r="H271" s="1" t="str">
        <f ca="1">IFERROR(__xludf.DUMMYFUNCTION("""COMPUTED_VALUE"""),"L")</f>
        <v>L</v>
      </c>
    </row>
    <row r="272" spans="1:8" x14ac:dyDescent="0.2">
      <c r="A272" s="1">
        <f ca="1">IFERROR(__xludf.DUMMYFUNCTION("""COMPUTED_VALUE"""),4820137292477)</f>
        <v>4820137292477</v>
      </c>
      <c r="B272" s="1" t="str">
        <f ca="1">IFERROR(__xludf.DUMMYFUNCTION("""COMPUTED_VALUE"""),"02x80x2")</f>
        <v>02x80x2</v>
      </c>
      <c r="C272" s="1" t="str">
        <f ca="1">IFERROR(__xludf.DUMMYFUNCTION("""COMPUTED_VALUE"""),"Бинт эластичный медицинский MEDTEXTILE средней растяжимости, 2 м x 8 см")</f>
        <v>Бинт эластичный медицинский MEDTEXTILE средней растяжимости, 2 м x 8 см</v>
      </c>
      <c r="D272" s="1" t="str">
        <f ca="1">IFERROR(__xludf.DUMMYFUNCTION("""COMPUTED_VALUE"""),"Бинт эластичный медицинский MEDTEXTILE средней растяжимости, 2 м x 8 см ш/к 4820137292477")</f>
        <v>Бинт эластичный медицинский MEDTEXTILE средней растяжимости, 2 м x 8 см ш/к 4820137292477</v>
      </c>
      <c r="E272" s="1" t="str">
        <f ca="1">IFERROR(__xludf.DUMMYFUNCTION("""COMPUTED_VALUE"""),"шт")</f>
        <v>шт</v>
      </c>
      <c r="F272" s="1" t="str">
        <f ca="1">IFERROR(__xludf.DUMMYFUNCTION("""COMPUTED_VALUE"""),"БМ000004")</f>
        <v>БМ000004</v>
      </c>
      <c r="G272" s="1">
        <f ca="1">IFERROR(__xludf.DUMMYFUNCTION("""COMPUTED_VALUE"""),4820137292477)</f>
        <v>4820137292477</v>
      </c>
      <c r="H272" s="1" t="str">
        <f ca="1">IFERROR(__xludf.DUMMYFUNCTION("""COMPUTED_VALUE"""),"S")</f>
        <v>S</v>
      </c>
    </row>
    <row r="273" spans="1:8" x14ac:dyDescent="0.2">
      <c r="A273" s="1">
        <f ca="1">IFERROR(__xludf.DUMMYFUNCTION("""COMPUTED_VALUE"""),4820137292484)</f>
        <v>4820137292484</v>
      </c>
      <c r="B273" s="1" t="str">
        <f ca="1">IFERROR(__xludf.DUMMYFUNCTION("""COMPUTED_VALUE"""),"02x80x2,5")</f>
        <v>02x80x2,5</v>
      </c>
      <c r="C273" s="1" t="str">
        <f ca="1">IFERROR(__xludf.DUMMYFUNCTION("""COMPUTED_VALUE"""),"Бинт эластичный медицинский MEDTEXTILE средней растяжимости 2,5 м x 8 см")</f>
        <v>Бинт эластичный медицинский MEDTEXTILE средней растяжимости 2,5 м x 8 см</v>
      </c>
      <c r="D273" s="1" t="str">
        <f ca="1">IFERROR(__xludf.DUMMYFUNCTION("""COMPUTED_VALUE"""),"Бинт эластичный медицинский MEDTEXTILE средней растяжимости 2,5 м x 8 см ш/к 4820137292484")</f>
        <v>Бинт эластичный медицинский MEDTEXTILE средней растяжимости 2,5 м x 8 см ш/к 4820137292484</v>
      </c>
      <c r="E273" s="1" t="str">
        <f ca="1">IFERROR(__xludf.DUMMYFUNCTION("""COMPUTED_VALUE"""),"шт")</f>
        <v>шт</v>
      </c>
      <c r="F273" s="1" t="str">
        <f ca="1">IFERROR(__xludf.DUMMYFUNCTION("""COMPUTED_VALUE"""),"БМ000005")</f>
        <v>БМ000005</v>
      </c>
      <c r="G273" s="1">
        <f ca="1">IFERROR(__xludf.DUMMYFUNCTION("""COMPUTED_VALUE"""),4820137292484)</f>
        <v>4820137292484</v>
      </c>
      <c r="H273" s="1" t="str">
        <f ca="1">IFERROR(__xludf.DUMMYFUNCTION("""COMPUTED_VALUE"""),"XL")</f>
        <v>XL</v>
      </c>
    </row>
    <row r="274" spans="1:8" x14ac:dyDescent="0.2">
      <c r="A274" s="1">
        <f ca="1">IFERROR(__xludf.DUMMYFUNCTION("""COMPUTED_VALUE"""),4820137292491)</f>
        <v>4820137292491</v>
      </c>
      <c r="B274" s="1" t="str">
        <f ca="1">IFERROR(__xludf.DUMMYFUNCTION("""COMPUTED_VALUE"""),"02x80x3")</f>
        <v>02x80x3</v>
      </c>
      <c r="C274" s="1" t="str">
        <f ca="1">IFERROR(__xludf.DUMMYFUNCTION("""COMPUTED_VALUE"""),"Бинт эластичный медицинский MEDTEXTILE средней растяжимости, 3 м x 8 см")</f>
        <v>Бинт эластичный медицинский MEDTEXTILE средней растяжимости, 3 м x 8 см</v>
      </c>
      <c r="D274" s="1" t="str">
        <f ca="1">IFERROR(__xludf.DUMMYFUNCTION("""COMPUTED_VALUE"""),"Бинт эластичный медицинский MEDTEXTILE средней растяжимости, 3 м x 8 см ш/к 4820137292491")</f>
        <v>Бинт эластичный медицинский MEDTEXTILE средней растяжимости, 3 м x 8 см ш/к 4820137292491</v>
      </c>
      <c r="E274" s="1" t="str">
        <f ca="1">IFERROR(__xludf.DUMMYFUNCTION("""COMPUTED_VALUE"""),"шт")</f>
        <v>шт</v>
      </c>
      <c r="F274" s="1" t="str">
        <f ca="1">IFERROR(__xludf.DUMMYFUNCTION("""COMPUTED_VALUE"""),"БМ000006")</f>
        <v>БМ000006</v>
      </c>
      <c r="G274" s="1">
        <f ca="1">IFERROR(__xludf.DUMMYFUNCTION("""COMPUTED_VALUE"""),4820137292491)</f>
        <v>4820137292491</v>
      </c>
      <c r="H274" s="1" t="str">
        <f ca="1">IFERROR(__xludf.DUMMYFUNCTION("""COMPUTED_VALUE"""),"XXL")</f>
        <v>XXL</v>
      </c>
    </row>
    <row r="275" spans="1:8" x14ac:dyDescent="0.2">
      <c r="A275" s="1">
        <f ca="1">IFERROR(__xludf.DUMMYFUNCTION("""COMPUTED_VALUE"""),4820137292507)</f>
        <v>4820137292507</v>
      </c>
      <c r="B275" s="1" t="str">
        <f ca="1">IFERROR(__xludf.DUMMYFUNCTION("""COMPUTED_VALUE"""),"02x80x3,5")</f>
        <v>02x80x3,5</v>
      </c>
      <c r="C275" s="1" t="str">
        <f ca="1">IFERROR(__xludf.DUMMYFUNCTION("""COMPUTED_VALUE"""),"Бинт эластичный медицинский MEDTEXTILE средней растяжимости, 3,5 м x 8 см")</f>
        <v>Бинт эластичный медицинский MEDTEXTILE средней растяжимости, 3,5 м x 8 см</v>
      </c>
      <c r="D275" s="1" t="str">
        <f ca="1">IFERROR(__xludf.DUMMYFUNCTION("""COMPUTED_VALUE"""),"Бинт эластичный медицинский MEDTEXTILE средней растяжимости, 3,5 м x 8 см ш/к 4820137292507")</f>
        <v>Бинт эластичный медицинский MEDTEXTILE средней растяжимости, 3,5 м x 8 см ш/к 4820137292507</v>
      </c>
      <c r="E275" s="1" t="str">
        <f ca="1">IFERROR(__xludf.DUMMYFUNCTION("""COMPUTED_VALUE"""),"шт")</f>
        <v>шт</v>
      </c>
      <c r="F275" s="1" t="str">
        <f ca="1">IFERROR(__xludf.DUMMYFUNCTION("""COMPUTED_VALUE"""),"БМ000007")</f>
        <v>БМ000007</v>
      </c>
      <c r="G275" s="1">
        <f ca="1">IFERROR(__xludf.DUMMYFUNCTION("""COMPUTED_VALUE"""),4820137292507)</f>
        <v>4820137292507</v>
      </c>
      <c r="H275" s="1"/>
    </row>
    <row r="276" spans="1:8" x14ac:dyDescent="0.2">
      <c r="A276" s="1">
        <f ca="1">IFERROR(__xludf.DUMMYFUNCTION("""COMPUTED_VALUE"""),4820137292514)</f>
        <v>4820137292514</v>
      </c>
      <c r="B276" s="1" t="str">
        <f ca="1">IFERROR(__xludf.DUMMYFUNCTION("""COMPUTED_VALUE"""),"02x80x4")</f>
        <v>02x80x4</v>
      </c>
      <c r="C276" s="1" t="str">
        <f ca="1">IFERROR(__xludf.DUMMYFUNCTION("""COMPUTED_VALUE"""),"Бинт эластичный медицинский MEDTEXTILE средней растяжимости, 4 м x 8 см")</f>
        <v>Бинт эластичный медицинский MEDTEXTILE средней растяжимости, 4 м x 8 см</v>
      </c>
      <c r="D276" s="1" t="str">
        <f ca="1">IFERROR(__xludf.DUMMYFUNCTION("""COMPUTED_VALUE"""),"Бинт эластичный медицинский MEDTEXTILE средней растяжимости, 4 м x 8 см ш/к 4820137292514")</f>
        <v>Бинт эластичный медицинский MEDTEXTILE средней растяжимости, 4 м x 8 см ш/к 4820137292514</v>
      </c>
      <c r="E276" s="1" t="str">
        <f ca="1">IFERROR(__xludf.DUMMYFUNCTION("""COMPUTED_VALUE"""),"шт")</f>
        <v>шт</v>
      </c>
      <c r="F276" s="1" t="str">
        <f ca="1">IFERROR(__xludf.DUMMYFUNCTION("""COMPUTED_VALUE"""),"БМ000008")</f>
        <v>БМ000008</v>
      </c>
      <c r="G276" s="1">
        <f ca="1">IFERROR(__xludf.DUMMYFUNCTION("""COMPUTED_VALUE"""),4820137292514)</f>
        <v>4820137292514</v>
      </c>
      <c r="H276" s="1" t="str">
        <f ca="1">IFERROR(__xludf.DUMMYFUNCTION("""COMPUTED_VALUE"""),"XS")</f>
        <v>XS</v>
      </c>
    </row>
    <row r="277" spans="1:8" x14ac:dyDescent="0.2">
      <c r="A277" s="1">
        <f ca="1">IFERROR(__xludf.DUMMYFUNCTION("""COMPUTED_VALUE"""),4820137292521)</f>
        <v>4820137292521</v>
      </c>
      <c r="B277" s="1" t="str">
        <f ca="1">IFERROR(__xludf.DUMMYFUNCTION("""COMPUTED_VALUE"""),"02x80x5")</f>
        <v>02x80x5</v>
      </c>
      <c r="C277" s="1" t="str">
        <f ca="1">IFERROR(__xludf.DUMMYFUNCTION("""COMPUTED_VALUE"""),"Бинт эластичный медицинский MEDTEXTILE средней растяжимости, 5 м x 8 см")</f>
        <v>Бинт эластичный медицинский MEDTEXTILE средней растяжимости, 5 м x 8 см</v>
      </c>
      <c r="D277" s="1" t="str">
        <f ca="1">IFERROR(__xludf.DUMMYFUNCTION("""COMPUTED_VALUE"""),"Бинт эластичный медицинский MEDTEXTILE средней растяжимости, 5 м x 8 см ш/к 4820137292521")</f>
        <v>Бинт эластичный медицинский MEDTEXTILE средней растяжимости, 5 м x 8 см ш/к 4820137292521</v>
      </c>
      <c r="E277" s="1" t="str">
        <f ca="1">IFERROR(__xludf.DUMMYFUNCTION("""COMPUTED_VALUE"""),"шт")</f>
        <v>шт</v>
      </c>
      <c r="F277" s="1" t="str">
        <f ca="1">IFERROR(__xludf.DUMMYFUNCTION("""COMPUTED_VALUE"""),"БМ000009")</f>
        <v>БМ000009</v>
      </c>
      <c r="G277" s="1">
        <f ca="1">IFERROR(__xludf.DUMMYFUNCTION("""COMPUTED_VALUE"""),4820137292521)</f>
        <v>4820137292521</v>
      </c>
      <c r="H277" s="1"/>
    </row>
    <row r="278" spans="1:8" x14ac:dyDescent="0.2">
      <c r="A278" s="1" t="str">
        <f ca="1">IFERROR(__xludf.DUMMYFUNCTION("""COMPUTED_VALUE"""),"Витамины")</f>
        <v>Витамины</v>
      </c>
      <c r="B278" s="1"/>
      <c r="C278" s="1"/>
      <c r="D278" s="1"/>
      <c r="E278" s="1"/>
      <c r="F278" s="1"/>
      <c r="G278" s="1"/>
      <c r="H278" s="1"/>
    </row>
    <row r="279" spans="1:8" x14ac:dyDescent="0.2">
      <c r="A279" s="1">
        <f ca="1">IFERROR(__xludf.DUMMYFUNCTION("""COMPUTED_VALUE"""),7640162322966)</f>
        <v>7640162322966</v>
      </c>
      <c r="B279" s="1" t="str">
        <f ca="1">IFERROR(__xludf.DUMMYFUNCTION("""COMPUTED_VALUE"""),"Active + Lycopene")</f>
        <v>Active + Lycopene</v>
      </c>
      <c r="C279" s="1" t="str">
        <f ca="1">IFERROR(__xludf.DUMMYFUNCTION("""COMPUTED_VALUE"""),"БАД к пище Swiss Energy Актив")</f>
        <v>БАД к пище Swiss Energy Актив</v>
      </c>
      <c r="D279" s="1" t="str">
        <f ca="1">IFERROR(__xludf.DUMMYFUNCTION("""COMPUTED_VALUE"""),"Биологически активные добавки к пище Swiss Energy Актив ш/к 7640162322966")</f>
        <v>Биологически активные добавки к пище Swiss Energy Актив ш/к 7640162322966</v>
      </c>
      <c r="E279" s="1" t="str">
        <f ca="1">IFERROR(__xludf.DUMMYFUNCTION("""COMPUTED_VALUE"""),"шт")</f>
        <v>шт</v>
      </c>
      <c r="F279" s="1" t="str">
        <f ca="1">IFERROR(__xludf.DUMMYFUNCTION("""COMPUTED_VALUE"""),"AST00000355")</f>
        <v>AST00000355</v>
      </c>
      <c r="G279" s="1">
        <f ca="1">IFERROR(__xludf.DUMMYFUNCTION("""COMPUTED_VALUE"""),7640162322966)</f>
        <v>7640162322966</v>
      </c>
      <c r="H279" s="1"/>
    </row>
    <row r="280" spans="1:8" x14ac:dyDescent="0.2">
      <c r="A280" s="1">
        <f ca="1">IFERROR(__xludf.DUMMYFUNCTION("""COMPUTED_VALUE"""),77066)</f>
        <v>77066</v>
      </c>
      <c r="B280" s="1" t="str">
        <f ca="1">IFERROR(__xludf.DUMMYFUNCTION("""COMPUTED_VALUE"""),"Active + Lycopene Акция")</f>
        <v>Active + Lycopene Акция</v>
      </c>
      <c r="C280" s="1" t="str">
        <f ca="1">IFERROR(__xludf.DUMMYFUNCTION("""COMPUTED_VALUE"""),"БАД к пище Swiss Energy Актив СО СКИДКОЙ 50%")</f>
        <v>БАД к пище Swiss Energy Актив СО СКИДКОЙ 50%</v>
      </c>
      <c r="D280" s="1" t="str">
        <f ca="1">IFERROR(__xludf.DUMMYFUNCTION("""COMPUTED_VALUE"""),"Биологически активная добавка к пище Swiss Energy Актив СО СКИДКОЙ 50%")</f>
        <v>Биологически активная добавка к пище Swiss Energy Актив СО СКИДКОЙ 50%</v>
      </c>
      <c r="E280" s="1" t="str">
        <f ca="1">IFERROR(__xludf.DUMMYFUNCTION("""COMPUTED_VALUE"""),"шт")</f>
        <v>шт</v>
      </c>
      <c r="F280" s="1" t="str">
        <f ca="1">IFERROR(__xludf.DUMMYFUNCTION("""COMPUTED_VALUE"""),"AST00000561")</f>
        <v>AST00000561</v>
      </c>
      <c r="G280" s="1">
        <f ca="1">IFERROR(__xludf.DUMMYFUNCTION("""COMPUTED_VALUE"""),77066)</f>
        <v>77066</v>
      </c>
      <c r="H280" s="1"/>
    </row>
    <row r="281" spans="1:8" x14ac:dyDescent="0.2">
      <c r="A281" s="1">
        <f ca="1">IFERROR(__xludf.DUMMYFUNCTION("""COMPUTED_VALUE"""),7640162322959)</f>
        <v>7640162322959</v>
      </c>
      <c r="B281" s="1" t="str">
        <f ca="1">IFERROR(__xludf.DUMMYFUNCTION("""COMPUTED_VALUE"""),"Anti AGE")</f>
        <v>Anti AGE</v>
      </c>
      <c r="C281" s="1" t="str">
        <f ca="1">IFERROR(__xludf.DUMMYFUNCTION("""COMPUTED_VALUE"""),"БАД к пище Swiss Energy Анти Эйдж")</f>
        <v>БАД к пище Swiss Energy Анти Эйдж</v>
      </c>
      <c r="D281" s="1" t="str">
        <f ca="1">IFERROR(__xludf.DUMMYFUNCTION("""COMPUTED_VALUE"""),"Биологически активная добавка к пище Swiss Energy Анти Эйдж (Swiss Energy Anti AGE) ш/к 7640162322959")</f>
        <v>Биологически активная добавка к пище Swiss Energy Анти Эйдж (Swiss Energy Anti AGE) ш/к 7640162322959</v>
      </c>
      <c r="E281" s="1" t="str">
        <f ca="1">IFERROR(__xludf.DUMMYFUNCTION("""COMPUTED_VALUE"""),"шт")</f>
        <v>шт</v>
      </c>
      <c r="F281" s="1" t="str">
        <f ca="1">IFERROR(__xludf.DUMMYFUNCTION("""COMPUTED_VALUE"""),"AST00000547")</f>
        <v>AST00000547</v>
      </c>
      <c r="G281" s="1">
        <f ca="1">IFERROR(__xludf.DUMMYFUNCTION("""COMPUTED_VALUE"""),7640162322959)</f>
        <v>7640162322959</v>
      </c>
      <c r="H281" s="1"/>
    </row>
    <row r="282" spans="1:8" x14ac:dyDescent="0.2">
      <c r="A282" s="1">
        <f ca="1">IFERROR(__xludf.DUMMYFUNCTION("""COMPUTED_VALUE"""),7640162322973)</f>
        <v>7640162322973</v>
      </c>
      <c r="B282" s="1" t="str">
        <f ca="1">IFERROR(__xludf.DUMMYFUNCTION("""COMPUTED_VALUE"""),"Calcium Ca")</f>
        <v>Calcium Ca</v>
      </c>
      <c r="C282" s="1" t="str">
        <f ca="1">IFERROR(__xludf.DUMMYFUNCTION("""COMPUTED_VALUE"""),"БАД к пище Swiss Energy Кальциум + D3")</f>
        <v>БАД к пище Swiss Energy Кальциум + D3</v>
      </c>
      <c r="D282" s="1" t="str">
        <f ca="1">IFERROR(__xludf.DUMMYFUNCTION("""COMPUTED_VALUE"""),"Биологически активные добавки к пище Swiss Energy Кальциум + D3 ш/к 7640162322973")</f>
        <v>Биологически активные добавки к пище Swiss Energy Кальциум + D3 ш/к 7640162322973</v>
      </c>
      <c r="E282" s="1" t="str">
        <f ca="1">IFERROR(__xludf.DUMMYFUNCTION("""COMPUTED_VALUE"""),"шт")</f>
        <v>шт</v>
      </c>
      <c r="F282" s="1" t="str">
        <f ca="1">IFERROR(__xludf.DUMMYFUNCTION("""COMPUTED_VALUE"""),"AST00000351")</f>
        <v>AST00000351</v>
      </c>
      <c r="G282" s="1">
        <f ca="1">IFERROR(__xludf.DUMMYFUNCTION("""COMPUTED_VALUE"""),7640162322973)</f>
        <v>7640162322973</v>
      </c>
      <c r="H282" s="1"/>
    </row>
    <row r="283" spans="1:8" x14ac:dyDescent="0.2">
      <c r="A283" s="1">
        <f ca="1">IFERROR(__xludf.DUMMYFUNCTION("""COMPUTED_VALUE"""),77064)</f>
        <v>77064</v>
      </c>
      <c r="B283" s="1" t="str">
        <f ca="1">IFERROR(__xludf.DUMMYFUNCTION("""COMPUTED_VALUE"""),"Calcium Ca Акция")</f>
        <v>Calcium Ca Акция</v>
      </c>
      <c r="C283" s="1" t="str">
        <f ca="1">IFERROR(__xludf.DUMMYFUNCTION("""COMPUTED_VALUE"""),"БАД к пище Swiss Energy Кальциум + D3 СО СКИДКОЙ 50%")</f>
        <v>БАД к пище Swiss Energy Кальциум + D3 СО СКИДКОЙ 50%</v>
      </c>
      <c r="D283" s="1" t="str">
        <f ca="1">IFERROR(__xludf.DUMMYFUNCTION("""COMPUTED_VALUE"""),"Биологически активная добавка к пище Swiss Energy Кальциум + D3 СО СКИДКОЙ 50%")</f>
        <v>Биологически активная добавка к пище Swiss Energy Кальциум + D3 СО СКИДКОЙ 50%</v>
      </c>
      <c r="E283" s="1" t="str">
        <f ca="1">IFERROR(__xludf.DUMMYFUNCTION("""COMPUTED_VALUE"""),"шт")</f>
        <v>шт</v>
      </c>
      <c r="F283" s="1" t="str">
        <f ca="1">IFERROR(__xludf.DUMMYFUNCTION("""COMPUTED_VALUE"""),"AST00000559")</f>
        <v>AST00000559</v>
      </c>
      <c r="G283" s="1">
        <f ca="1">IFERROR(__xludf.DUMMYFUNCTION("""COMPUTED_VALUE"""),77064)</f>
        <v>77064</v>
      </c>
      <c r="H283" s="1"/>
    </row>
    <row r="284" spans="1:8" x14ac:dyDescent="0.2">
      <c r="A284" s="1">
        <f ca="1">IFERROR(__xludf.DUMMYFUNCTION("""COMPUTED_VALUE"""),8606100018383)</f>
        <v>8606100018383</v>
      </c>
      <c r="B284" s="1" t="str">
        <f ca="1">IFERROR(__xludf.DUMMYFUNCTION("""COMPUTED_VALUE"""),"Hello Kitty")</f>
        <v>Hello Kitty</v>
      </c>
      <c r="C284" s="1" t="str">
        <f ca="1">IFERROR(__xludf.DUMMYFUNCTION("""COMPUTED_VALUE"""),"БАД к пище Swiss Energy: детские витамины ""Hello Kitty"" (Хеллоу Китти)")</f>
        <v>БАД к пище Swiss Energy: детские витамины "Hello Kitty" (Хеллоу Китти)</v>
      </c>
      <c r="D284" s="1" t="str">
        <f ca="1">IFERROR(__xludf.DUMMYFUNCTION("""COMPUTED_VALUE"""),"Биологически активная добавка к пище TM SWISS ENERGY: детские витамины ""Hello Kitty"" (Хеллоу Китти) ш/к 8606100018383")</f>
        <v>Биологически активная добавка к пище TM SWISS ENERGY: детские витамины "Hello Kitty" (Хеллоу Китти) ш/к 8606100018383</v>
      </c>
      <c r="E284" s="1" t="str">
        <f ca="1">IFERROR(__xludf.DUMMYFUNCTION("""COMPUTED_VALUE"""),"шт")</f>
        <v>шт</v>
      </c>
      <c r="F284" s="1" t="str">
        <f ca="1">IFERROR(__xludf.DUMMYFUNCTION("""COMPUTED_VALUE"""),"AST00000439")</f>
        <v>AST00000439</v>
      </c>
      <c r="G284" s="1">
        <f ca="1">IFERROR(__xludf.DUMMYFUNCTION("""COMPUTED_VALUE"""),8606100018383)</f>
        <v>8606100018383</v>
      </c>
      <c r="H284" s="1"/>
    </row>
    <row r="285" spans="1:8" x14ac:dyDescent="0.2">
      <c r="A285" s="1">
        <f ca="1">IFERROR(__xludf.DUMMYFUNCTION("""COMPUTED_VALUE"""),7640162323437)</f>
        <v>7640162323437</v>
      </c>
      <c r="B285" s="1" t="str">
        <f ca="1">IFERROR(__xludf.DUMMYFUNCTION("""COMPUTED_VALUE"""),"Iso-Sport")</f>
        <v>Iso-Sport</v>
      </c>
      <c r="C285" s="1" t="str">
        <f ca="1">IFERROR(__xludf.DUMMYFUNCTION("""COMPUTED_VALUE"""),"БАД к пище Swiss Energy Исо-спорт (Слим Лайн)")</f>
        <v>БАД к пище Swiss Energy Исо-спорт (Слим Лайн)</v>
      </c>
      <c r="D285" s="1" t="str">
        <f ca="1">IFERROR(__xludf.DUMMYFUNCTION("""COMPUTED_VALUE"""),"Биологически активная добавка к пище Swiss Energy Исо-спорт (Слим Лайн)  ш/к 7640162323437")</f>
        <v>Биологически активная добавка к пище Swiss Energy Исо-спорт (Слим Лайн)  ш/к 7640162323437</v>
      </c>
      <c r="E285" s="1" t="str">
        <f ca="1">IFERROR(__xludf.DUMMYFUNCTION("""COMPUTED_VALUE"""),"шт")</f>
        <v>шт</v>
      </c>
      <c r="F285" s="1" t="str">
        <f ca="1">IFERROR(__xludf.DUMMYFUNCTION("""COMPUTED_VALUE"""),"AST00000545")</f>
        <v>AST00000545</v>
      </c>
      <c r="G285" s="1">
        <f ca="1">IFERROR(__xludf.DUMMYFUNCTION("""COMPUTED_VALUE"""),7640162323437)</f>
        <v>7640162323437</v>
      </c>
      <c r="H285" s="1"/>
    </row>
    <row r="286" spans="1:8" x14ac:dyDescent="0.2">
      <c r="A286" s="1">
        <f ca="1">IFERROR(__xludf.DUMMYFUNCTION("""COMPUTED_VALUE"""),7640162323000)</f>
        <v>7640162323000</v>
      </c>
      <c r="B286" s="1" t="str">
        <f ca="1">IFERROR(__xludf.DUMMYFUNCTION("""COMPUTED_VALUE"""),"Magnesium Mg")</f>
        <v>Magnesium Mg</v>
      </c>
      <c r="C286" s="1" t="str">
        <f ca="1">IFERROR(__xludf.DUMMYFUNCTION("""COMPUTED_VALUE"""),"БАД к пище Swiss Energy Магнезиум + B комплекс")</f>
        <v>БАД к пище Swiss Energy Магнезиум + B комплекс</v>
      </c>
      <c r="D286" s="1" t="str">
        <f ca="1">IFERROR(__xludf.DUMMYFUNCTION("""COMPUTED_VALUE"""),"Биологически активные добавки к пище Swiss Energy Магнезиум + B комплекс ш/к 7640162323000")</f>
        <v>Биологически активные добавки к пище Swiss Energy Магнезиум + B комплекс ш/к 7640162323000</v>
      </c>
      <c r="E286" s="1" t="str">
        <f ca="1">IFERROR(__xludf.DUMMYFUNCTION("""COMPUTED_VALUE"""),"шт")</f>
        <v>шт</v>
      </c>
      <c r="F286" s="1" t="str">
        <f ca="1">IFERROR(__xludf.DUMMYFUNCTION("""COMPUTED_VALUE"""),"AST00000352")</f>
        <v>AST00000352</v>
      </c>
      <c r="G286" s="1">
        <f ca="1">IFERROR(__xludf.DUMMYFUNCTION("""COMPUTED_VALUE"""),7640162323000)</f>
        <v>7640162323000</v>
      </c>
      <c r="H286" s="1"/>
    </row>
    <row r="287" spans="1:8" x14ac:dyDescent="0.2">
      <c r="A287" s="1">
        <f ca="1">IFERROR(__xludf.DUMMYFUNCTION("""COMPUTED_VALUE"""),77067)</f>
        <v>77067</v>
      </c>
      <c r="B287" s="1" t="str">
        <f ca="1">IFERROR(__xludf.DUMMYFUNCTION("""COMPUTED_VALUE"""),"Magnesium Mg Акция")</f>
        <v>Magnesium Mg Акция</v>
      </c>
      <c r="C287" s="1" t="str">
        <f ca="1">IFERROR(__xludf.DUMMYFUNCTION("""COMPUTED_VALUE"""),"БАД к пище Swiss Energy Магнезиум + B комплекс СО СКИД")</f>
        <v>БАД к пище Swiss Energy Магнезиум + B комплекс СО СКИД</v>
      </c>
      <c r="D287" s="1" t="str">
        <f ca="1">IFERROR(__xludf.DUMMYFUNCTION("""COMPUTED_VALUE"""),"Биологически активная добавка к пище Swiss Energy Магнезиум + B комплекс СО СКИД")</f>
        <v>Биологически активная добавка к пище Swiss Energy Магнезиум + B комплекс СО СКИД</v>
      </c>
      <c r="E287" s="1" t="str">
        <f ca="1">IFERROR(__xludf.DUMMYFUNCTION("""COMPUTED_VALUE"""),"шт")</f>
        <v>шт</v>
      </c>
      <c r="F287" s="1" t="str">
        <f ca="1">IFERROR(__xludf.DUMMYFUNCTION("""COMPUTED_VALUE"""),"AST00000562")</f>
        <v>AST00000562</v>
      </c>
      <c r="G287" s="1">
        <f ca="1">IFERROR(__xludf.DUMMYFUNCTION("""COMPUTED_VALUE"""),77067)</f>
        <v>77067</v>
      </c>
      <c r="H287" s="1"/>
    </row>
    <row r="288" spans="1:8" x14ac:dyDescent="0.2">
      <c r="A288" s="1">
        <f ca="1">IFERROR(__xludf.DUMMYFUNCTION("""COMPUTED_VALUE"""),7640162323017)</f>
        <v>7640162323017</v>
      </c>
      <c r="B288" s="1" t="str">
        <f ca="1">IFERROR(__xludf.DUMMYFUNCTION("""COMPUTED_VALUE"""),"Multi + Biotin")</f>
        <v>Multi + Biotin</v>
      </c>
      <c r="C288" s="1" t="str">
        <f ca="1">IFERROR(__xludf.DUMMYFUNCTION("""COMPUTED_VALUE"""),"БАД к пище Swiss Energy Мультивитаминс + Биотин")</f>
        <v>БАД к пище Swiss Energy Мультивитаминс + Биотин</v>
      </c>
      <c r="D288" s="1" t="str">
        <f ca="1">IFERROR(__xludf.DUMMYFUNCTION("""COMPUTED_VALUE"""),"Биологически активные добавки к пище Swiss Energy Мультивитаминс + Биотин ш/к 7640162323017")</f>
        <v>Биологически активные добавки к пище Swiss Energy Мультивитаминс + Биотин ш/к 7640162323017</v>
      </c>
      <c r="E288" s="1" t="str">
        <f ca="1">IFERROR(__xludf.DUMMYFUNCTION("""COMPUTED_VALUE"""),"шт")</f>
        <v>шт</v>
      </c>
      <c r="F288" s="1" t="str">
        <f ca="1">IFERROR(__xludf.DUMMYFUNCTION("""COMPUTED_VALUE"""),"AST00000354")</f>
        <v>AST00000354</v>
      </c>
      <c r="G288" s="1">
        <f ca="1">IFERROR(__xludf.DUMMYFUNCTION("""COMPUTED_VALUE"""),7640162323017)</f>
        <v>7640162323017</v>
      </c>
      <c r="H288" s="1"/>
    </row>
    <row r="289" spans="1:8" x14ac:dyDescent="0.2">
      <c r="A289" s="1">
        <f ca="1">IFERROR(__xludf.DUMMYFUNCTION("""COMPUTED_VALUE"""),77068)</f>
        <v>77068</v>
      </c>
      <c r="B289" s="1" t="str">
        <f ca="1">IFERROR(__xludf.DUMMYFUNCTION("""COMPUTED_VALUE"""),"Multi + Biotin Акция")</f>
        <v>Multi + Biotin Акция</v>
      </c>
      <c r="C289" s="1" t="str">
        <f ca="1">IFERROR(__xludf.DUMMYFUNCTION("""COMPUTED_VALUE"""),"БАД к пище Swiss Energy Мультивитаминс + Биотин СО СКИ")</f>
        <v>БАД к пище Swiss Energy Мультивитаминс + Биотин СО СКИ</v>
      </c>
      <c r="D289" s="1" t="str">
        <f ca="1">IFERROR(__xludf.DUMMYFUNCTION("""COMPUTED_VALUE"""),"Биологически активная добавка к пище Swiss Energy Мультивитаминс + Биотин  СО СКИДКОЙ 50%")</f>
        <v>Биологически активная добавка к пище Swiss Energy Мультивитаминс + Биотин  СО СКИДКОЙ 50%</v>
      </c>
      <c r="E289" s="1" t="str">
        <f ca="1">IFERROR(__xludf.DUMMYFUNCTION("""COMPUTED_VALUE"""),"шт")</f>
        <v>шт</v>
      </c>
      <c r="F289" s="1" t="str">
        <f ca="1">IFERROR(__xludf.DUMMYFUNCTION("""COMPUTED_VALUE"""),"AST00000563")</f>
        <v>AST00000563</v>
      </c>
      <c r="G289" s="1">
        <f ca="1">IFERROR(__xludf.DUMMYFUNCTION("""COMPUTED_VALUE"""),77068)</f>
        <v>77068</v>
      </c>
      <c r="H289" s="1"/>
    </row>
    <row r="290" spans="1:8" x14ac:dyDescent="0.2">
      <c r="A290" s="1">
        <f ca="1">IFERROR(__xludf.DUMMYFUNCTION("""COMPUTED_VALUE"""),8606100018949)</f>
        <v>8606100018949</v>
      </c>
      <c r="B290" s="1" t="str">
        <f ca="1">IFERROR(__xludf.DUMMYFUNCTION("""COMPUTED_VALUE"""),"Ninja Turtles")</f>
        <v>Ninja Turtles</v>
      </c>
      <c r="C290" s="1" t="str">
        <f ca="1">IFERROR(__xludf.DUMMYFUNCTION("""COMPUTED_VALUE"""),"БАД к пище Swiss Energy: детские витамины ""Ninja Turtle"" (Черепашка Ниндзя)")</f>
        <v>БАД к пище Swiss Energy: детские витамины "Ninja Turtle" (Черепашка Ниндзя)</v>
      </c>
      <c r="D290" s="1" t="str">
        <f ca="1">IFERROR(__xludf.DUMMYFUNCTION("""COMPUTED_VALUE"""),"Биологически активная добавка к пище ТМ SWISS ENERGY: детские витамины ""Teenage Mutant Ninja Turtle"" (Черепашка Ниндзя) ш/к 8606100018949")</f>
        <v>Биологически активная добавка к пище ТМ SWISS ENERGY: детские витамины "Teenage Mutant Ninja Turtle" (Черепашка Ниндзя) ш/к 8606100018949</v>
      </c>
      <c r="E290" s="1" t="str">
        <f ca="1">IFERROR(__xludf.DUMMYFUNCTION("""COMPUTED_VALUE"""),"шт")</f>
        <v>шт</v>
      </c>
      <c r="F290" s="1" t="str">
        <f ca="1">IFERROR(__xludf.DUMMYFUNCTION("""COMPUTED_VALUE"""),"AST00000441")</f>
        <v>AST00000441</v>
      </c>
      <c r="G290" s="1">
        <f ca="1">IFERROR(__xludf.DUMMYFUNCTION("""COMPUTED_VALUE"""),8606100018949)</f>
        <v>8606100018949</v>
      </c>
      <c r="H290" s="1"/>
    </row>
    <row r="291" spans="1:8" x14ac:dyDescent="0.2">
      <c r="A291" s="1">
        <f ca="1">IFERROR(__xludf.DUMMYFUNCTION("""COMPUTED_VALUE"""),7640162323390)</f>
        <v>7640162323390</v>
      </c>
      <c r="B291" s="1" t="str">
        <f ca="1">IFERROR(__xludf.DUMMYFUNCTION("""COMPUTED_VALUE"""),"Slim Line")</f>
        <v>Slim Line</v>
      </c>
      <c r="C291" s="1" t="str">
        <f ca="1">IFERROR(__xludf.DUMMYFUNCTION("""COMPUTED_VALUE"""),"БАД к пище Swiss Energy Слим Лайн")</f>
        <v>БАД к пище Swiss Energy Слим Лайн</v>
      </c>
      <c r="D291" s="1" t="str">
        <f ca="1">IFERROR(__xludf.DUMMYFUNCTION("""COMPUTED_VALUE"""),"Биологически активная добавка к пище Swiss Energy Слим Лайн (Swiss Energy Slim Line) ш/к 7640162323390")</f>
        <v>Биологически активная добавка к пище Swiss Energy Слим Лайн (Swiss Energy Slim Line) ш/к 7640162323390</v>
      </c>
      <c r="E291" s="1" t="str">
        <f ca="1">IFERROR(__xludf.DUMMYFUNCTION("""COMPUTED_VALUE"""),"шт")</f>
        <v>шт</v>
      </c>
      <c r="F291" s="1" t="str">
        <f ca="1">IFERROR(__xludf.DUMMYFUNCTION("""COMPUTED_VALUE"""),"AST00000548")</f>
        <v>AST00000548</v>
      </c>
      <c r="G291" s="1">
        <f ca="1">IFERROR(__xludf.DUMMYFUNCTION("""COMPUTED_VALUE"""),7640162323390)</f>
        <v>7640162323390</v>
      </c>
      <c r="H291" s="1"/>
    </row>
    <row r="292" spans="1:8" x14ac:dyDescent="0.2">
      <c r="A292" s="1">
        <f ca="1">IFERROR(__xludf.DUMMYFUNCTION("""COMPUTED_VALUE"""),8606100018369)</f>
        <v>8606100018369</v>
      </c>
      <c r="B292" s="1" t="str">
        <f ca="1">IFERROR(__xludf.DUMMYFUNCTION("""COMPUTED_VALUE"""),"Spider-Man")</f>
        <v>Spider-Man</v>
      </c>
      <c r="C292" s="1" t="str">
        <f ca="1">IFERROR(__xludf.DUMMYFUNCTION("""COMPUTED_VALUE"""),"БАД к пище Swiss Energy: детские витамины ""Spider-Man"" (Человек-паук)")</f>
        <v>БАД к пище Swiss Energy: детские витамины "Spider-Man" (Человек-паук)</v>
      </c>
      <c r="D292" s="1" t="str">
        <f ca="1">IFERROR(__xludf.DUMMYFUNCTION("""COMPUTED_VALUE"""),"Биологически активная добавка к пище TM SWISS ENERGY: детские витамины ""Spider-Men"" (Человек-паук) ш/к 8606100018369")</f>
        <v>Биологически активная добавка к пище TM SWISS ENERGY: детские витамины "Spider-Men" (Человек-паук) ш/к 8606100018369</v>
      </c>
      <c r="E292" s="1" t="str">
        <f ca="1">IFERROR(__xludf.DUMMYFUNCTION("""COMPUTED_VALUE"""),"шт")</f>
        <v>шт</v>
      </c>
      <c r="F292" s="1" t="str">
        <f ca="1">IFERROR(__xludf.DUMMYFUNCTION("""COMPUTED_VALUE"""),"AST00000440")</f>
        <v>AST00000440</v>
      </c>
      <c r="G292" s="1">
        <f ca="1">IFERROR(__xludf.DUMMYFUNCTION("""COMPUTED_VALUE"""),8606100018369)</f>
        <v>8606100018369</v>
      </c>
      <c r="H292" s="1"/>
    </row>
    <row r="293" spans="1:8" x14ac:dyDescent="0.2">
      <c r="A293" s="1">
        <f ca="1">IFERROR(__xludf.DUMMYFUNCTION("""COMPUTED_VALUE"""),8606100018376)</f>
        <v>8606100018376</v>
      </c>
      <c r="B293" s="1" t="str">
        <f ca="1">IFERROR(__xludf.DUMMYFUNCTION("""COMPUTED_VALUE"""),"SpongeBob")</f>
        <v>SpongeBob</v>
      </c>
      <c r="C293" s="1" t="str">
        <f ca="1">IFERROR(__xludf.DUMMYFUNCTION("""COMPUTED_VALUE"""),"БАД к пище Swiss Energy: детские витамины ""SpongeBob SquarePants"" (Губка Боб)")</f>
        <v>БАД к пище Swiss Energy: детские витамины "SpongeBob SquarePants" (Губка Боб)</v>
      </c>
      <c r="D293" s="1" t="str">
        <f ca="1">IFERROR(__xludf.DUMMYFUNCTION("""COMPUTED_VALUE"""),"Биологически активная добавка к пище TM SWISS ENERGY: детские витамины ""SpongeBob SquarePants"" (Губка Боб) ш/к 8606100018376")</f>
        <v>Биологически активная добавка к пище TM SWISS ENERGY: детские витамины "SpongeBob SquarePants" (Губка Боб) ш/к 8606100018376</v>
      </c>
      <c r="E293" s="1" t="str">
        <f ca="1">IFERROR(__xludf.DUMMYFUNCTION("""COMPUTED_VALUE"""),"шт")</f>
        <v>шт</v>
      </c>
      <c r="F293" s="1" t="str">
        <f ca="1">IFERROR(__xludf.DUMMYFUNCTION("""COMPUTED_VALUE"""),"AST00000438")</f>
        <v>AST00000438</v>
      </c>
      <c r="G293" s="1">
        <f ca="1">IFERROR(__xludf.DUMMYFUNCTION("""COMPUTED_VALUE"""),8606100018376)</f>
        <v>8606100018376</v>
      </c>
      <c r="H293" s="1"/>
    </row>
    <row r="294" spans="1:8" x14ac:dyDescent="0.2">
      <c r="A294" s="1">
        <f ca="1">IFERROR(__xludf.DUMMYFUNCTION("""COMPUTED_VALUE"""),7640162323406)</f>
        <v>7640162323406</v>
      </c>
      <c r="B294" s="1" t="str">
        <f ca="1">IFERROR(__xludf.DUMMYFUNCTION("""COMPUTED_VALUE"""),"Super Energy")</f>
        <v>Super Energy</v>
      </c>
      <c r="C294" s="1" t="str">
        <f ca="1">IFERROR(__xludf.DUMMYFUNCTION("""COMPUTED_VALUE"""),"БАД к пище Swiss Energy Супер Энерджи")</f>
        <v>БАД к пище Swiss Energy Супер Энерджи</v>
      </c>
      <c r="D294" s="1" t="str">
        <f ca="1">IFERROR(__xludf.DUMMYFUNCTION("""COMPUTED_VALUE"""),"Биологически активная добавка к пище Swiss Energy Супер Энерджи (Swiss Energy Super Energy) ш/к 7640162323406")</f>
        <v>Биологически активная добавка к пище Swiss Energy Супер Энерджи (Swiss Energy Super Energy) ш/к 7640162323406</v>
      </c>
      <c r="E294" s="1" t="str">
        <f ca="1">IFERROR(__xludf.DUMMYFUNCTION("""COMPUTED_VALUE"""),"шт")</f>
        <v>шт</v>
      </c>
      <c r="F294" s="1" t="str">
        <f ca="1">IFERROR(__xludf.DUMMYFUNCTION("""COMPUTED_VALUE"""),"AST00000546")</f>
        <v>AST00000546</v>
      </c>
      <c r="G294" s="1">
        <f ca="1">IFERROR(__xludf.DUMMYFUNCTION("""COMPUTED_VALUE"""),7640162323406)</f>
        <v>7640162323406</v>
      </c>
      <c r="H294" s="1"/>
    </row>
    <row r="295" spans="1:8" x14ac:dyDescent="0.2">
      <c r="A295" s="1">
        <f ca="1">IFERROR(__xludf.DUMMYFUNCTION("""COMPUTED_VALUE"""),7640162322980)</f>
        <v>7640162322980</v>
      </c>
      <c r="B295" s="1" t="str">
        <f ca="1">IFERROR(__xludf.DUMMYFUNCTION("""COMPUTED_VALUE"""),"Vitamin C")</f>
        <v>Vitamin C</v>
      </c>
      <c r="C295" s="1" t="str">
        <f ca="1">IFERROR(__xludf.DUMMYFUNCTION("""COMPUTED_VALUE"""),"БАД к пище Swiss Energy Витамин C 550 мг")</f>
        <v>БАД к пище Swiss Energy Витамин C 550 мг</v>
      </c>
      <c r="D295" s="1" t="str">
        <f ca="1">IFERROR(__xludf.DUMMYFUNCTION("""COMPUTED_VALUE"""),"Биологически активные добавки к пище Swiss Energy Витамин C 550 мг ш/к 7640162322980")</f>
        <v>Биологически активные добавки к пище Swiss Energy Витамин C 550 мг ш/к 7640162322980</v>
      </c>
      <c r="E295" s="1" t="str">
        <f ca="1">IFERROR(__xludf.DUMMYFUNCTION("""COMPUTED_VALUE"""),"шт")</f>
        <v>шт</v>
      </c>
      <c r="F295" s="1" t="str">
        <f ca="1">IFERROR(__xludf.DUMMYFUNCTION("""COMPUTED_VALUE"""),"AST00000353")</f>
        <v>AST00000353</v>
      </c>
      <c r="G295" s="1">
        <f ca="1">IFERROR(__xludf.DUMMYFUNCTION("""COMPUTED_VALUE"""),7640162322980)</f>
        <v>7640162322980</v>
      </c>
      <c r="H295" s="1"/>
    </row>
    <row r="296" spans="1:8" x14ac:dyDescent="0.2">
      <c r="A296" s="1">
        <f ca="1">IFERROR(__xludf.DUMMYFUNCTION("""COMPUTED_VALUE"""),77065)</f>
        <v>77065</v>
      </c>
      <c r="B296" s="1" t="str">
        <f ca="1">IFERROR(__xludf.DUMMYFUNCTION("""COMPUTED_VALUE"""),"Vitamin C Акция")</f>
        <v>Vitamin C Акция</v>
      </c>
      <c r="C296" s="1" t="str">
        <f ca="1">IFERROR(__xludf.DUMMYFUNCTION("""COMPUTED_VALUE"""),"БАД к пище Swiss Energy Витамин C 550 мг СО СКИДКОЙ 50")</f>
        <v>БАД к пище Swiss Energy Витамин C 550 мг СО СКИДКОЙ 50</v>
      </c>
      <c r="D296" s="1" t="str">
        <f ca="1">IFERROR(__xludf.DUMMYFUNCTION("""COMPUTED_VALUE"""),"Биологически активная добавка к пище Swiss Energy Витамин C 550 мг СО СКИДКОЙ 50")</f>
        <v>Биологически активная добавка к пище Swiss Energy Витамин C 550 мг СО СКИДКОЙ 50</v>
      </c>
      <c r="E296" s="1" t="str">
        <f ca="1">IFERROR(__xludf.DUMMYFUNCTION("""COMPUTED_VALUE"""),"шт")</f>
        <v>шт</v>
      </c>
      <c r="F296" s="1" t="str">
        <f ca="1">IFERROR(__xludf.DUMMYFUNCTION("""COMPUTED_VALUE"""),"AST00000560")</f>
        <v>AST00000560</v>
      </c>
      <c r="G296" s="1">
        <f ca="1">IFERROR(__xludf.DUMMYFUNCTION("""COMPUTED_VALUE"""),77065)</f>
        <v>77065</v>
      </c>
      <c r="H296" s="1"/>
    </row>
    <row r="297" spans="1:8" x14ac:dyDescent="0.2">
      <c r="A297" s="1" t="str">
        <f ca="1">IFERROR(__xludf.DUMMYFUNCTION("""COMPUTED_VALUE"""),"Глюкометр Bionime")</f>
        <v>Глюкометр Bionime</v>
      </c>
      <c r="B297" s="1"/>
      <c r="C297" s="1"/>
      <c r="D297" s="1"/>
      <c r="E297" s="1"/>
      <c r="F297" s="1"/>
      <c r="G297" s="1"/>
      <c r="H297" s="1"/>
    </row>
    <row r="298" spans="1:8" x14ac:dyDescent="0.2">
      <c r="A298" s="1">
        <f ca="1">IFERROR(__xludf.DUMMYFUNCTION("""COMPUTED_VALUE"""),4710627334209)</f>
        <v>4710627334209</v>
      </c>
      <c r="B298" s="1" t="str">
        <f ca="1">IFERROR(__xludf.DUMMYFUNCTION("""COMPUTED_VALUE"""),"GM300-10")</f>
        <v>GM300-10</v>
      </c>
      <c r="C298" s="1" t="str">
        <f ca="1">IFERROR(__xludf.DUMMYFUNCTION("""COMPUTED_VALUE"""),"Прибор для контроля уровня глюкозы в крови Bionime Rightest GM 300")</f>
        <v>Прибор для контроля уровня глюкозы в крови Bionime Rightest GM 300</v>
      </c>
      <c r="D298" s="1" t="str">
        <f ca="1">IFERROR(__xludf.DUMMYFUNCTION("""COMPUTED_VALUE"""),"Прибор для контроля уровня глюкозы в крови Bionime Rightest GM 300 ш/к 4710627334209")</f>
        <v>Прибор для контроля уровня глюкозы в крови Bionime Rightest GM 300 ш/к 4710627334209</v>
      </c>
      <c r="E298" s="1" t="str">
        <f ca="1">IFERROR(__xludf.DUMMYFUNCTION("""COMPUTED_VALUE"""),"шт")</f>
        <v>шт</v>
      </c>
      <c r="F298" s="1" t="str">
        <f ca="1">IFERROR(__xludf.DUMMYFUNCTION("""COMPUTED_VALUE"""),"ГЛ000015")</f>
        <v>ГЛ000015</v>
      </c>
      <c r="G298" s="1">
        <f ca="1">IFERROR(__xludf.DUMMYFUNCTION("""COMPUTED_VALUE"""),4710627334209)</f>
        <v>4710627334209</v>
      </c>
      <c r="H298" s="1"/>
    </row>
    <row r="299" spans="1:8" x14ac:dyDescent="0.2">
      <c r="A299" s="1">
        <f ca="1">IFERROR(__xludf.DUMMYFUNCTION("""COMPUTED_VALUE"""),77107)</f>
        <v>77107</v>
      </c>
      <c r="B299" s="1" t="str">
        <f ca="1">IFERROR(__xludf.DUMMYFUNCTION("""COMPUTED_VALUE"""),"GM300-Old")</f>
        <v>GM300-Old</v>
      </c>
      <c r="C299" s="1" t="str">
        <f ca="1">IFERROR(__xludf.DUMMYFUNCTION("""COMPUTED_VALUE"""),"Глюкометр без тест-полосок Bionime Rightest GM300")</f>
        <v>Глюкометр без тест-полосок Bionime Rightest GM300</v>
      </c>
      <c r="D299" s="1" t="str">
        <f ca="1">IFERROR(__xludf.DUMMYFUNCTION("""COMPUTED_VALUE"""),"Прибор для контроля уровня глюкозы в крови Bionime Rightest GM 300 (Глюкометр без тест полосок) ш/к 4710627334209")</f>
        <v>Прибор для контроля уровня глюкозы в крови Bionime Rightest GM 300 (Глюкометр без тест полосок) ш/к 4710627334209</v>
      </c>
      <c r="E299" s="1" t="str">
        <f ca="1">IFERROR(__xludf.DUMMYFUNCTION("""COMPUTED_VALUE"""),"шт")</f>
        <v>шт</v>
      </c>
      <c r="F299" s="1" t="str">
        <f ca="1">IFERROR(__xludf.DUMMYFUNCTION("""COMPUTED_VALUE"""),"AST00000328")</f>
        <v>AST00000328</v>
      </c>
      <c r="G299" s="1">
        <f ca="1">IFERROR(__xludf.DUMMYFUNCTION("""COMPUTED_VALUE"""),77107)</f>
        <v>77107</v>
      </c>
      <c r="H299" s="1"/>
    </row>
    <row r="300" spans="1:8" x14ac:dyDescent="0.2">
      <c r="A300" s="1">
        <f ca="1">IFERROR(__xludf.DUMMYFUNCTION("""COMPUTED_VALUE"""),4710627337620)</f>
        <v>4710627337620</v>
      </c>
      <c r="B300" s="1" t="str">
        <f ca="1">IFERROR(__xludf.DUMMYFUNCTION("""COMPUTED_VALUE"""),"GM550")</f>
        <v>GM550</v>
      </c>
      <c r="C300" s="1" t="str">
        <f ca="1">IFERROR(__xludf.DUMMYFUNCTION("""COMPUTED_VALUE"""),"Система контроля уровня глюкозы в крови Bionime Rightest: GM550")</f>
        <v>Система контроля уровня глюкозы в крови Bionime Rightest: GM550</v>
      </c>
      <c r="D300" s="1" t="str">
        <f ca="1">IFERROR(__xludf.DUMMYFUNCTION("""COMPUTED_VALUE"""),"Система контроля уровня глюкозы в крови Bionime Rightest: GM550 ш/к 4710627337620")</f>
        <v>Система контроля уровня глюкозы в крови Bionime Rightest: GM550 ш/к 4710627337620</v>
      </c>
      <c r="E300" s="1" t="str">
        <f ca="1">IFERROR(__xludf.DUMMYFUNCTION("""COMPUTED_VALUE"""),"шт")</f>
        <v>шт</v>
      </c>
      <c r="F300" s="1" t="str">
        <f ca="1">IFERROR(__xludf.DUMMYFUNCTION("""COMPUTED_VALUE"""),"AST00000322")</f>
        <v>AST00000322</v>
      </c>
      <c r="G300" s="1">
        <f ca="1">IFERROR(__xludf.DUMMYFUNCTION("""COMPUTED_VALUE"""),4710627337620)</f>
        <v>4710627337620</v>
      </c>
      <c r="H300" s="1"/>
    </row>
    <row r="301" spans="1:8" x14ac:dyDescent="0.2">
      <c r="A301" s="1">
        <f ca="1">IFERROR(__xludf.DUMMYFUNCTION("""COMPUTED_VALUE"""),47106273376201)</f>
        <v>47106273376201</v>
      </c>
      <c r="B301" s="1" t="str">
        <f ca="1">IFERROR(__xludf.DUMMYFUNCTION("""COMPUTED_VALUE"""),"GM550-Old")</f>
        <v>GM550-Old</v>
      </c>
      <c r="C301" s="1" t="str">
        <f ca="1">IFERROR(__xludf.DUMMYFUNCTION("""COMPUTED_VALUE"""),"Глюкометр без тест-полосок Bionime Rightest GM550")</f>
        <v>Глюкометр без тест-полосок Bionime Rightest GM550</v>
      </c>
      <c r="D301" s="1" t="str">
        <f ca="1">IFERROR(__xludf.DUMMYFUNCTION("""COMPUTED_VALUE"""),"Система контроля уровня глюкозы в крови Bionime Rightest: GM550 (Глюкометр без тест полосок) ш/к 4710627337620")</f>
        <v>Система контроля уровня глюкозы в крови Bionime Rightest: GM550 (Глюкометр без тест полосок) ш/к 4710627337620</v>
      </c>
      <c r="E301" s="1" t="str">
        <f ca="1">IFERROR(__xludf.DUMMYFUNCTION("""COMPUTED_VALUE"""),"шт")</f>
        <v>шт</v>
      </c>
      <c r="F301" s="1" t="str">
        <f ca="1">IFERROR(__xludf.DUMMYFUNCTION("""COMPUTED_VALUE"""),"AST00000549")</f>
        <v>AST00000549</v>
      </c>
      <c r="G301" s="1">
        <f ca="1">IFERROR(__xludf.DUMMYFUNCTION("""COMPUTED_VALUE"""),47106273376201)</f>
        <v>47106273376201</v>
      </c>
      <c r="H301" s="1"/>
    </row>
    <row r="302" spans="1:8" x14ac:dyDescent="0.2">
      <c r="A302" s="1" t="str">
        <f ca="1">IFERROR(__xludf.DUMMYFUNCTION("""COMPUTED_VALUE"""),"Глюкометры Gamma")</f>
        <v>Глюкометры Gamma</v>
      </c>
      <c r="B302" s="1"/>
      <c r="C302" s="1"/>
      <c r="D302" s="1"/>
      <c r="E302" s="1"/>
      <c r="F302" s="1"/>
      <c r="G302" s="1"/>
      <c r="H302" s="1"/>
    </row>
    <row r="303" spans="1:8" x14ac:dyDescent="0.2">
      <c r="A303" s="1">
        <f ca="1">IFERROR(__xludf.DUMMYFUNCTION("""COMPUTED_VALUE"""),77108)</f>
        <v>77108</v>
      </c>
      <c r="B303" s="1" t="str">
        <f ca="1">IFERROR(__xludf.DUMMYFUNCTION("""COMPUTED_VALUE"""),"1+1-30%")</f>
        <v>1+1-30%</v>
      </c>
      <c r="C303" s="1" t="str">
        <f ca="1">IFERROR(__xludf.DUMMYFUNCTION("""COMPUTED_VALUE"""),"Тест-полоски GAMMA MS + Глюкометр GAMMA MINI -30% (без тест-полосок)")</f>
        <v>Тест-полоски GAMMA MS + Глюкометр GAMMA MINI -30% (без тест-полосок)</v>
      </c>
      <c r="D303" s="1" t="str">
        <f ca="1">IFERROR(__xludf.DUMMYFUNCTION("""COMPUTED_VALUE"""),"Тест-полоски для  контроля уровня глюкозыв крови GAMMA MS + Глюкометр GAMMA MINI -30% (без тест-полосок)")</f>
        <v>Тест-полоски для  контроля уровня глюкозыв крови GAMMA MS + Глюкометр GAMMA MINI -30% (без тест-полосок)</v>
      </c>
      <c r="E303" s="1" t="str">
        <f ca="1">IFERROR(__xludf.DUMMYFUNCTION("""COMPUTED_VALUE"""),"шт")</f>
        <v>шт</v>
      </c>
      <c r="F303" s="1" t="str">
        <f ca="1">IFERROR(__xludf.DUMMYFUNCTION("""COMPUTED_VALUE"""),"AST00000330")</f>
        <v>AST00000330</v>
      </c>
      <c r="G303" s="1">
        <f ca="1">IFERROR(__xludf.DUMMYFUNCTION("""COMPUTED_VALUE"""),77108)</f>
        <v>77108</v>
      </c>
      <c r="H303" s="1"/>
    </row>
    <row r="304" spans="1:8" x14ac:dyDescent="0.2">
      <c r="A304" s="1">
        <f ca="1">IFERROR(__xludf.DUMMYFUNCTION("""COMPUTED_VALUE"""),7640143651801)</f>
        <v>7640143651801</v>
      </c>
      <c r="B304" s="1" t="str">
        <f ca="1">IFERROR(__xludf.DUMMYFUNCTION("""COMPUTED_VALUE"""),"GAMMA MINI")</f>
        <v>GAMMA MINI</v>
      </c>
      <c r="C304" s="1" t="str">
        <f ca="1">IFERROR(__xludf.DUMMYFUNCTION("""COMPUTED_VALUE"""),"Глюкометр GAMMA MINI")</f>
        <v>Глюкометр GAMMA MINI</v>
      </c>
      <c r="D304" s="1" t="str">
        <f ca="1">IFERROR(__xludf.DUMMYFUNCTION("""COMPUTED_VALUE"""),"Система контроля уровня глюкозы в крови GAMMA: Mini ш/к  7 640 143 651 801")</f>
        <v>Система контроля уровня глюкозы в крови GAMMA: Mini ш/к  7 640 143 651 801</v>
      </c>
      <c r="E304" s="1" t="str">
        <f ca="1">IFERROR(__xludf.DUMMYFUNCTION("""COMPUTED_VALUE"""),"шт")</f>
        <v>шт</v>
      </c>
      <c r="F304" s="1" t="str">
        <f ca="1">IFERROR(__xludf.DUMMYFUNCTION("""COMPUTED_VALUE"""),"ГЛ000040")</f>
        <v>ГЛ000040</v>
      </c>
      <c r="G304" s="1">
        <f ca="1">IFERROR(__xludf.DUMMYFUNCTION("""COMPUTED_VALUE"""),7640143651801)</f>
        <v>7640143651801</v>
      </c>
      <c r="H304" s="1"/>
    </row>
    <row r="305" spans="1:8" x14ac:dyDescent="0.2">
      <c r="A305" s="1">
        <f ca="1">IFERROR(__xludf.DUMMYFUNCTION("""COMPUTED_VALUE"""),77339)</f>
        <v>77339</v>
      </c>
      <c r="B305" s="1" t="str">
        <f ca="1">IFERROR(__xludf.DUMMYFUNCTION("""COMPUTED_VALUE"""),"GAMMA MINI BOX")</f>
        <v>GAMMA MINI BOX</v>
      </c>
      <c r="C305" s="1" t="str">
        <f ca="1">IFERROR(__xludf.DUMMYFUNCTION("""COMPUTED_VALUE"""),"Глюкометр GAMMA MINI без коробки и тест-полосок")</f>
        <v>Глюкометр GAMMA MINI без коробки и тест-полосок</v>
      </c>
      <c r="D305" s="1" t="str">
        <f ca="1">IFERROR(__xludf.DUMMYFUNCTION("""COMPUTED_VALUE"""),"Система контроля уровня глюкозы в крови GAMMA: MINI (без коробки и тест-полосок)")</f>
        <v>Система контроля уровня глюкозы в крови GAMMA: MINI (без коробки и тест-полосок)</v>
      </c>
      <c r="E305" s="1" t="str">
        <f ca="1">IFERROR(__xludf.DUMMYFUNCTION("""COMPUTED_VALUE"""),"шт")</f>
        <v>шт</v>
      </c>
      <c r="F305" s="1" t="str">
        <f ca="1">IFERROR(__xludf.DUMMYFUNCTION("""COMPUTED_VALUE"""),"AST00000340")</f>
        <v>AST00000340</v>
      </c>
      <c r="G305" s="1">
        <f ca="1">IFERROR(__xludf.DUMMYFUNCTION("""COMPUTED_VALUE"""),77339)</f>
        <v>77339</v>
      </c>
      <c r="H305" s="1"/>
    </row>
    <row r="306" spans="1:8" x14ac:dyDescent="0.2">
      <c r="A306" s="1">
        <f ca="1">IFERROR(__xludf.DUMMYFUNCTION("""COMPUTED_VALUE"""),77116)</f>
        <v>77116</v>
      </c>
      <c r="B306" s="1" t="str">
        <f ca="1">IFERROR(__xludf.DUMMYFUNCTION("""COMPUTED_VALUE"""),"GAMMA MINI TEST")</f>
        <v>GAMMA MINI TEST</v>
      </c>
      <c r="C306" s="1" t="str">
        <f ca="1">IFERROR(__xludf.DUMMYFUNCTION("""COMPUTED_VALUE"""),"Глюкометр GAMMA MINI без тест-полосок")</f>
        <v>Глюкометр GAMMA MINI без тест-полосок</v>
      </c>
      <c r="D306" s="1" t="str">
        <f ca="1">IFERROR(__xludf.DUMMYFUNCTION("""COMPUTED_VALUE"""),"Система контроля уровня глюкозы в крови GAMMA: MINI (без тест-полосок)")</f>
        <v>Система контроля уровня глюкозы в крови GAMMA: MINI (без тест-полосок)</v>
      </c>
      <c r="E306" s="1" t="str">
        <f ca="1">IFERROR(__xludf.DUMMYFUNCTION("""COMPUTED_VALUE"""),"шт")</f>
        <v>шт</v>
      </c>
      <c r="F306" s="1" t="str">
        <f ca="1">IFERROR(__xludf.DUMMYFUNCTION("""COMPUTED_VALUE"""),"AST00000341")</f>
        <v>AST00000341</v>
      </c>
      <c r="G306" s="1">
        <f ca="1">IFERROR(__xludf.DUMMYFUNCTION("""COMPUTED_VALUE"""),77116)</f>
        <v>77116</v>
      </c>
      <c r="H306" s="1"/>
    </row>
    <row r="307" spans="1:8" x14ac:dyDescent="0.2">
      <c r="A307" s="1">
        <f ca="1">IFERROR(__xludf.DUMMYFUNCTION("""COMPUTED_VALUE"""),7640143651818)</f>
        <v>7640143651818</v>
      </c>
      <c r="B307" s="1" t="str">
        <f ca="1">IFERROR(__xludf.DUMMYFUNCTION("""COMPUTED_VALUE"""),"GAMMAMS")</f>
        <v>GAMMAMS</v>
      </c>
      <c r="C307" s="1" t="str">
        <f ca="1">IFERROR(__xludf.DUMMYFUNCTION("""COMPUTED_VALUE"""),"Тест-полоски GAMMA MS")</f>
        <v>Тест-полоски GAMMA MS</v>
      </c>
      <c r="D307" s="1" t="str">
        <f ca="1">IFERROR(__xludf.DUMMYFUNCTION("""COMPUTED_VALUE"""),"Тест-полоски для  контроля уровня глюкозыв крови GAMMA MS для моделей Mini и Speaker в упаковке №50 УКТЗЕД3822000000 ш/к  7 640 143 651 818")</f>
        <v>Тест-полоски для  контроля уровня глюкозыв крови GAMMA MS для моделей Mini и Speaker в упаковке №50 УКТЗЕД3822000000 ш/к  7 640 143 651 818</v>
      </c>
      <c r="E307" s="1" t="str">
        <f ca="1">IFERROR(__xludf.DUMMYFUNCTION("""COMPUTED_VALUE"""),"шт")</f>
        <v>шт</v>
      </c>
      <c r="F307" s="1" t="str">
        <f ca="1">IFERROR(__xludf.DUMMYFUNCTION("""COMPUTED_VALUE"""),"ГЛ000043")</f>
        <v>ГЛ000043</v>
      </c>
      <c r="G307" s="1">
        <f ca="1">IFERROR(__xludf.DUMMYFUNCTION("""COMPUTED_VALUE"""),7640143651818)</f>
        <v>7640143651818</v>
      </c>
      <c r="H307" s="1"/>
    </row>
    <row r="308" spans="1:8" x14ac:dyDescent="0.2">
      <c r="A308" s="1" t="str">
        <f ca="1">IFERROR(__xludf.DUMMYFUNCTION("""COMPUTED_VALUE"""),"Зубная паста")</f>
        <v>Зубная паста</v>
      </c>
      <c r="B308" s="1"/>
      <c r="C308" s="1"/>
      <c r="D308" s="1"/>
      <c r="E308" s="1"/>
      <c r="F308" s="1"/>
      <c r="G308" s="1"/>
      <c r="H308" s="1"/>
    </row>
    <row r="309" spans="1:8" x14ac:dyDescent="0.2">
      <c r="A309" s="1">
        <f ca="1">IFERROR(__xludf.DUMMYFUNCTION("""COMPUTED_VALUE"""),7640162322362)</f>
        <v>7640162322362</v>
      </c>
      <c r="B309" s="1" t="str">
        <f ca="1">IFERROR(__xludf.DUMMYFUNCTION("""COMPUTED_VALUE"""),"BIO-NATURAL")</f>
        <v>BIO-NATURAL</v>
      </c>
      <c r="C309" s="1" t="str">
        <f ca="1">IFERROR(__xludf.DUMMYFUNCTION("""COMPUTED_VALUE"""),"Зубная паста торговой марки DENTISSIMO: BIO-NATURAL WITH HERBS TOOTHPASTE")</f>
        <v>Зубная паста торговой марки DENTISSIMO: BIO-NATURAL WITH HERBS TOOTHPASTE</v>
      </c>
      <c r="D309" s="1" t="str">
        <f ca="1">IFERROR(__xludf.DUMMYFUNCTION("""COMPUTED_VALUE"""),"Зубная паста торговой марки DENTISSIMO: BIO-NATURAL WITH HERBS TOOTHPASTE ш/к 7640162322362")</f>
        <v>Зубная паста торговой марки DENTISSIMO: BIO-NATURAL WITH HERBS TOOTHPASTE ш/к 7640162322362</v>
      </c>
      <c r="E309" s="1" t="str">
        <f ca="1">IFERROR(__xludf.DUMMYFUNCTION("""COMPUTED_VALUE"""),"шт")</f>
        <v>шт</v>
      </c>
      <c r="F309" s="1" t="str">
        <f ca="1">IFERROR(__xludf.DUMMYFUNCTION("""COMPUTED_VALUE"""),"AST00000281")</f>
        <v>AST00000281</v>
      </c>
      <c r="G309" s="1">
        <f ca="1">IFERROR(__xludf.DUMMYFUNCTION("""COMPUTED_VALUE"""),7640162322362)</f>
        <v>7640162322362</v>
      </c>
      <c r="H309" s="1"/>
    </row>
    <row r="310" spans="1:8" x14ac:dyDescent="0.2">
      <c r="A310" s="1">
        <f ca="1">IFERROR(__xludf.DUMMYFUNCTION("""COMPUTED_VALUE"""),7640162322331)</f>
        <v>7640162322331</v>
      </c>
      <c r="B310" s="1" t="str">
        <f ca="1">IFERROR(__xludf.DUMMYFUNCTION("""COMPUTED_VALUE"""),"COMPLETE CARE")</f>
        <v>COMPLETE CARE</v>
      </c>
      <c r="C310" s="1" t="str">
        <f ca="1">IFERROR(__xludf.DUMMYFUNCTION("""COMPUTED_VALUE"""),"Зубная паста торговой марки DENTISSIMO: COMPLETE CARE PLUS TOOTHPASTE")</f>
        <v>Зубная паста торговой марки DENTISSIMO: COMPLETE CARE PLUS TOOTHPASTE</v>
      </c>
      <c r="D310" s="1" t="str">
        <f ca="1">IFERROR(__xludf.DUMMYFUNCTION("""COMPUTED_VALUE"""),"Зубная паста торговой марки DENTISSIMO: COMPLETE CARE PLUS TOOTHPASTE ш/к 7640162322331")</f>
        <v>Зубная паста торговой марки DENTISSIMO: COMPLETE CARE PLUS TOOTHPASTE ш/к 7640162322331</v>
      </c>
      <c r="E310" s="1" t="str">
        <f ca="1">IFERROR(__xludf.DUMMYFUNCTION("""COMPUTED_VALUE"""),"шт")</f>
        <v>шт</v>
      </c>
      <c r="F310" s="1" t="str">
        <f ca="1">IFERROR(__xludf.DUMMYFUNCTION("""COMPUTED_VALUE"""),"AST00000278")</f>
        <v>AST00000278</v>
      </c>
      <c r="G310" s="1">
        <f ca="1">IFERROR(__xludf.DUMMYFUNCTION("""COMPUTED_VALUE"""),7640162322331)</f>
        <v>7640162322331</v>
      </c>
      <c r="H310" s="1"/>
    </row>
    <row r="311" spans="1:8" x14ac:dyDescent="0.2">
      <c r="A311" s="1">
        <f ca="1">IFERROR(__xludf.DUMMYFUNCTION("""COMPUTED_VALUE"""),77367)</f>
        <v>77367</v>
      </c>
      <c r="B311" s="1" t="str">
        <f ca="1">IFERROR(__xludf.DUMMYFUNCTION("""COMPUTED_VALUE"""),"COMPLETE CARE 10ml")</f>
        <v>COMPLETE CARE 10ml</v>
      </c>
      <c r="C311" s="1" t="str">
        <f ca="1">IFERROR(__xludf.DUMMYFUNCTION("""COMPUTED_VALUE"""),"Зубная паста торговой марки DENTISSIMO: COMPLETE CARE TOOTHPASTE 10ML - SACHE")</f>
        <v>Зубная паста торговой марки DENTISSIMO: COMPLETE CARE TOOTHPASTE 10ML - SACHE</v>
      </c>
      <c r="D311" s="1" t="str">
        <f ca="1">IFERROR(__xludf.DUMMYFUNCTION("""COMPUTED_VALUE"""),"Зубная паста торговой марки DENTISSIMO: COMPLETE CARE PLUS TOOTHPASTE")</f>
        <v>Зубная паста торговой марки DENTISSIMO: COMPLETE CARE PLUS TOOTHPASTE</v>
      </c>
      <c r="E311" s="1" t="str">
        <f ca="1">IFERROR(__xludf.DUMMYFUNCTION("""COMPUTED_VALUE"""),"шт")</f>
        <v>шт</v>
      </c>
      <c r="F311" s="1" t="str">
        <f ca="1">IFERROR(__xludf.DUMMYFUNCTION("""COMPUTED_VALUE"""),"AST00000391")</f>
        <v>AST00000391</v>
      </c>
      <c r="G311" s="1">
        <f ca="1">IFERROR(__xludf.DUMMYFUNCTION("""COMPUTED_VALUE"""),77367)</f>
        <v>77367</v>
      </c>
      <c r="H311" s="1"/>
    </row>
    <row r="312" spans="1:8" x14ac:dyDescent="0.2">
      <c r="A312" s="1">
        <f ca="1">IFERROR(__xludf.DUMMYFUNCTION("""COMPUTED_VALUE"""),77033)</f>
        <v>77033</v>
      </c>
      <c r="B312" s="1" t="str">
        <f ca="1">IFERROR(__xludf.DUMMYFUNCTION("""COMPUTED_VALUE"""),"DENT GIFT SET 1")</f>
        <v>DENT GIFT SET 1</v>
      </c>
      <c r="C312" s="1" t="str">
        <f ca="1">IFERROR(__xludf.DUMMYFUNCTION("""COMPUTED_VALUE"""),"Подарочный набор TM DENTISSIMO (EXTRA-WHITENING + FRESH BREATH + HARD)")</f>
        <v>Подарочный набор TM DENTISSIMO (EXTRA-WHITENING + FRESH BREATH + HARD)</v>
      </c>
      <c r="D312" s="1" t="str">
        <f ca="1">IFERROR(__xludf.DUMMYFUNCTION("""COMPUTED_VALUE"""),"Подарочный набор TM DENTISSIMO Зубная паста EXTRA-WHITENING + Ополаскиватель FRESH BREATH + Зубная щетка HARD")</f>
        <v>Подарочный набор TM DENTISSIMO Зубная паста EXTRA-WHITENING + Ополаскиватель FRESH BREATH + Зубная щетка HARD</v>
      </c>
      <c r="E312" s="1" t="str">
        <f ca="1">IFERROR(__xludf.DUMMYFUNCTION("""COMPUTED_VALUE"""),"шт")</f>
        <v>шт</v>
      </c>
      <c r="F312" s="1" t="str">
        <f ca="1">IFERROR(__xludf.DUMMYFUNCTION("""COMPUTED_VALUE"""),"AST00000505")</f>
        <v>AST00000505</v>
      </c>
      <c r="G312" s="1">
        <f ca="1">IFERROR(__xludf.DUMMYFUNCTION("""COMPUTED_VALUE"""),77033)</f>
        <v>77033</v>
      </c>
      <c r="H312" s="1"/>
    </row>
    <row r="313" spans="1:8" x14ac:dyDescent="0.2">
      <c r="A313" s="1">
        <f ca="1">IFERROR(__xludf.DUMMYFUNCTION("""COMPUTED_VALUE"""),77034)</f>
        <v>77034</v>
      </c>
      <c r="B313" s="1" t="str">
        <f ca="1">IFERROR(__xludf.DUMMYFUNCTION("""COMPUTED_VALUE"""),"DENT GIFT SET 2")</f>
        <v>DENT GIFT SET 2</v>
      </c>
      <c r="C313" s="1" t="str">
        <f ca="1">IFERROR(__xludf.DUMMYFUNCTION("""COMPUTED_VALUE"""),"Подарочный набор TM DENTISSIMO (COMPLETE CARE + GUM PROTECTION + Medium)")</f>
        <v>Подарочный набор TM DENTISSIMO (COMPLETE CARE + GUM PROTECTION + Medium)</v>
      </c>
      <c r="D313" s="1" t="str">
        <f ca="1">IFERROR(__xludf.DUMMYFUNCTION("""COMPUTED_VALUE"""),"Подарочный набор TM DENTISSIMO Зубная паста COMPLETE CARE + Ополаскиватель GUM PROTECTION + Зубная щетка Medium")</f>
        <v>Подарочный набор TM DENTISSIMO Зубная паста COMPLETE CARE + Ополаскиватель GUM PROTECTION + Зубная щетка Medium</v>
      </c>
      <c r="E313" s="1" t="str">
        <f ca="1">IFERROR(__xludf.DUMMYFUNCTION("""COMPUTED_VALUE"""),"шт")</f>
        <v>шт</v>
      </c>
      <c r="F313" s="1" t="str">
        <f ca="1">IFERROR(__xludf.DUMMYFUNCTION("""COMPUTED_VALUE"""),"AST00000506")</f>
        <v>AST00000506</v>
      </c>
      <c r="G313" s="1">
        <f ca="1">IFERROR(__xludf.DUMMYFUNCTION("""COMPUTED_VALUE"""),77034)</f>
        <v>77034</v>
      </c>
      <c r="H313" s="1"/>
    </row>
    <row r="314" spans="1:8" x14ac:dyDescent="0.2">
      <c r="A314" s="1">
        <f ca="1">IFERROR(__xludf.DUMMYFUNCTION("""COMPUTED_VALUE"""),77035)</f>
        <v>77035</v>
      </c>
      <c r="B314" s="1" t="str">
        <f ca="1">IFERROR(__xludf.DUMMYFUNCTION("""COMPUTED_VALUE"""),"DENT GIFT SET 3")</f>
        <v>DENT GIFT SET 3</v>
      </c>
      <c r="C314" s="1" t="str">
        <f ca="1">IFERROR(__xludf.DUMMYFUNCTION("""COMPUTED_VALUE"""),"Подарочный набор TM DENTISSIMO (PRO-WHITENING + FRESH BREATH + HARD)")</f>
        <v>Подарочный набор TM DENTISSIMO (PRO-WHITENING + FRESH BREATH + HARD)</v>
      </c>
      <c r="D314" s="1" t="str">
        <f ca="1">IFERROR(__xludf.DUMMYFUNCTION("""COMPUTED_VALUE"""),"Подарочный набор TM DENTISSIMO Зубная паста PRO-WHITENING + Ополаскиватель FRESH BREATH + Зубная щетка HARD")</f>
        <v>Подарочный набор TM DENTISSIMO Зубная паста PRO-WHITENING + Ополаскиватель FRESH BREATH + Зубная щетка HARD</v>
      </c>
      <c r="E314" s="1" t="str">
        <f ca="1">IFERROR(__xludf.DUMMYFUNCTION("""COMPUTED_VALUE"""),"шт")</f>
        <v>шт</v>
      </c>
      <c r="F314" s="1" t="str">
        <f ca="1">IFERROR(__xludf.DUMMYFUNCTION("""COMPUTED_VALUE"""),"AST00000507")</f>
        <v>AST00000507</v>
      </c>
      <c r="G314" s="1">
        <f ca="1">IFERROR(__xludf.DUMMYFUNCTION("""COMPUTED_VALUE"""),77035)</f>
        <v>77035</v>
      </c>
      <c r="H314" s="1"/>
    </row>
    <row r="315" spans="1:8" x14ac:dyDescent="0.2">
      <c r="A315" s="1">
        <f ca="1">IFERROR(__xludf.DUMMYFUNCTION("""COMPUTED_VALUE"""),77036)</f>
        <v>77036</v>
      </c>
      <c r="B315" s="1" t="str">
        <f ca="1">IFERROR(__xludf.DUMMYFUNCTION("""COMPUTED_VALUE"""),"DENT GIFT SET 4")</f>
        <v>DENT GIFT SET 4</v>
      </c>
      <c r="C315" s="1" t="str">
        <f ca="1">IFERROR(__xludf.DUMMYFUNCTION("""COMPUTED_VALUE"""),"Подарочный набор TM DENTISSIMO (PRO-CARE + GUM PROTECTION + PARODONTAL)")</f>
        <v>Подарочный набор TM DENTISSIMO (PRO-CARE + GUM PROTECTION + PARODONTAL)</v>
      </c>
      <c r="D315" s="1" t="str">
        <f ca="1">IFERROR(__xludf.DUMMYFUNCTION("""COMPUTED_VALUE"""),"Подарочный набор TM DENTISSIMO Зубная паста PRO-CARE + Ополаскиватель GUM PROTECTION + Зубная щетка PARODONTAL")</f>
        <v>Подарочный набор TM DENTISSIMO Зубная паста PRO-CARE + Ополаскиватель GUM PROTECTION + Зубная щетка PARODONTAL</v>
      </c>
      <c r="E315" s="1" t="str">
        <f ca="1">IFERROR(__xludf.DUMMYFUNCTION("""COMPUTED_VALUE"""),"шт")</f>
        <v>шт</v>
      </c>
      <c r="F315" s="1" t="str">
        <f ca="1">IFERROR(__xludf.DUMMYFUNCTION("""COMPUTED_VALUE"""),"AST00000508")</f>
        <v>AST00000508</v>
      </c>
      <c r="G315" s="1">
        <f ca="1">IFERROR(__xludf.DUMMYFUNCTION("""COMPUTED_VALUE"""),77036)</f>
        <v>77036</v>
      </c>
      <c r="H315" s="1"/>
    </row>
    <row r="316" spans="1:8" x14ac:dyDescent="0.2">
      <c r="A316" s="1">
        <f ca="1">IFERROR(__xludf.DUMMYFUNCTION("""COMPUTED_VALUE"""),77037)</f>
        <v>77037</v>
      </c>
      <c r="B316" s="1" t="str">
        <f ca="1">IFERROR(__xludf.DUMMYFUNCTION("""COMPUTED_VALUE"""),"DENT GIFT SET 5")</f>
        <v>DENT GIFT SET 5</v>
      </c>
      <c r="C316" s="1" t="str">
        <f ca="1">IFERROR(__xludf.DUMMYFUNCTION("""COMPUTED_VALUE"""),"Подарочный набор TM DENTISSIMO (BIO-NATURAL + GUM PROTECTION + SENSITIVE)")</f>
        <v>Подарочный набор TM DENTISSIMO (BIO-NATURAL + GUM PROTECTION + SENSITIVE)</v>
      </c>
      <c r="D316" s="1" t="str">
        <f ca="1">IFERROR(__xludf.DUMMYFUNCTION("""COMPUTED_VALUE"""),"Подарочный набор TM DENTISSIMO Зубная паста BIO-NATURAL + Ополаскиватель GUM PROTECTION + Зубная щетка SENSITIVE")</f>
        <v>Подарочный набор TM DENTISSIMO Зубная паста BIO-NATURAL + Ополаскиватель GUM PROTECTION + Зубная щетка SENSITIVE</v>
      </c>
      <c r="E316" s="1" t="str">
        <f ca="1">IFERROR(__xludf.DUMMYFUNCTION("""COMPUTED_VALUE"""),"шт")</f>
        <v>шт</v>
      </c>
      <c r="F316" s="1" t="str">
        <f ca="1">IFERROR(__xludf.DUMMYFUNCTION("""COMPUTED_VALUE"""),"AST00000509")</f>
        <v>AST00000509</v>
      </c>
      <c r="G316" s="1">
        <f ca="1">IFERROR(__xludf.DUMMYFUNCTION("""COMPUTED_VALUE"""),77037)</f>
        <v>77037</v>
      </c>
      <c r="H316" s="1"/>
    </row>
    <row r="317" spans="1:8" x14ac:dyDescent="0.2">
      <c r="A317" s="1">
        <f ca="1">IFERROR(__xludf.DUMMYFUNCTION("""COMPUTED_VALUE"""),77000001864)</f>
        <v>77000001864</v>
      </c>
      <c r="B317" s="1" t="str">
        <f ca="1">IFERROR(__xludf.DUMMYFUNCTION("""COMPUTED_VALUE"""),"DENT GIFT SET 6")</f>
        <v>DENT GIFT SET 6</v>
      </c>
      <c r="C317" s="1" t="str">
        <f ca="1">IFERROR(__xludf.DUMMYFUNCTION("""COMPUTED_VALUE"""),"Подарочный набор TM DENTISSIMO (PRO-WHITENING + FRESH BREATH + MEDIUM)")</f>
        <v>Подарочный набор TM DENTISSIMO (PRO-WHITENING + FRESH BREATH + MEDIUM)</v>
      </c>
      <c r="D317" s="1" t="str">
        <f ca="1">IFERROR(__xludf.DUMMYFUNCTION("""COMPUTED_VALUE"""),"Подарочный набор TM DENTISSIMO Зубная паста PRO-WHITENING + Ополаскиватель FRESH BREATH + Зубная щетка MEDIUM")</f>
        <v>Подарочный набор TM DENTISSIMO Зубная паста PRO-WHITENING + Ополаскиватель FRESH BREATH + Зубная щетка MEDIUM</v>
      </c>
      <c r="E317" s="1" t="str">
        <f ca="1">IFERROR(__xludf.DUMMYFUNCTION("""COMPUTED_VALUE"""),"шт")</f>
        <v>шт</v>
      </c>
      <c r="F317" s="1">
        <f ca="1">IFERROR(__xludf.DUMMYFUNCTION("""COMPUTED_VALUE"""),77000001864)</f>
        <v>77000001864</v>
      </c>
      <c r="G317" s="1">
        <f ca="1">IFERROR(__xludf.DUMMYFUNCTION("""COMPUTED_VALUE"""),77000001864)</f>
        <v>77000001864</v>
      </c>
      <c r="H317" s="1"/>
    </row>
    <row r="318" spans="1:8" x14ac:dyDescent="0.2">
      <c r="A318" s="1">
        <f ca="1">IFERROR(__xludf.DUMMYFUNCTION("""COMPUTED_VALUE"""),77258)</f>
        <v>77258</v>
      </c>
      <c r="B318" s="1" t="str">
        <f ca="1">IFERROR(__xludf.DUMMYFUNCTION("""COMPUTED_VALUE"""),"EXTRA-WHITENING 10ml")</f>
        <v>EXTRA-WHITENING 10ml</v>
      </c>
      <c r="C318" s="1" t="str">
        <f ca="1">IFERROR(__xludf.DUMMYFUNCTION("""COMPUTED_VALUE"""),"Зубная паста торговой марки DENTISSIMO: EXTRA-WHITENING BLACK 10ML - SACHE")</f>
        <v>Зубная паста торговой марки DENTISSIMO: EXTRA-WHITENING BLACK 10ML - SACHE</v>
      </c>
      <c r="D318" s="1" t="str">
        <f ca="1">IFERROR(__xludf.DUMMYFUNCTION("""COMPUTED_VALUE"""),"Зубная паста торговой марки DENTISSIMO:""EXTRA-WHITENING BLACK""(экстра-отбеливающая черная)")</f>
        <v>Зубная паста торговой марки DENTISSIMO:"EXTRA-WHITENING BLACK"(экстра-отбеливающая черная)</v>
      </c>
      <c r="E318" s="1" t="str">
        <f ca="1">IFERROR(__xludf.DUMMYFUNCTION("""COMPUTED_VALUE"""),"шт")</f>
        <v>шт</v>
      </c>
      <c r="F318" s="1" t="str">
        <f ca="1">IFERROR(__xludf.DUMMYFUNCTION("""COMPUTED_VALUE"""),"AST00000539")</f>
        <v>AST00000539</v>
      </c>
      <c r="G318" s="1">
        <f ca="1">IFERROR(__xludf.DUMMYFUNCTION("""COMPUTED_VALUE"""),77258)</f>
        <v>77258</v>
      </c>
      <c r="H318" s="1"/>
    </row>
    <row r="319" spans="1:8" x14ac:dyDescent="0.2">
      <c r="A319" s="1">
        <f ca="1">IFERROR(__xludf.DUMMYFUNCTION("""COMPUTED_VALUE"""),7640162324304)</f>
        <v>7640162324304</v>
      </c>
      <c r="B319" s="1" t="str">
        <f ca="1">IFERROR(__xludf.DUMMYFUNCTION("""COMPUTED_VALUE"""),"EXTRA-WHITENING BLACK")</f>
        <v>EXTRA-WHITENING BLACK</v>
      </c>
      <c r="C319" s="1" t="str">
        <f ca="1">IFERROR(__xludf.DUMMYFUNCTION("""COMPUTED_VALUE"""),"Зубная паста торговой марки DENTISSIMO: EXTRA-WHITENING BLACK")</f>
        <v>Зубная паста торговой марки DENTISSIMO: EXTRA-WHITENING BLACK</v>
      </c>
      <c r="D319" s="1" t="str">
        <f ca="1">IFERROR(__xludf.DUMMYFUNCTION("""COMPUTED_VALUE"""),"Зубная паста торговой марки DENTISSIMO:""EXTRA-WHITENING BLACK""(экстра-отбеливающая черная) ш/к 7640162324304")</f>
        <v>Зубная паста торговой марки DENTISSIMO:"EXTRA-WHITENING BLACK"(экстра-отбеливающая черная) ш/к 7640162324304</v>
      </c>
      <c r="E319" s="1" t="str">
        <f ca="1">IFERROR(__xludf.DUMMYFUNCTION("""COMPUTED_VALUE"""),"шт")</f>
        <v>шт</v>
      </c>
      <c r="F319" s="1" t="str">
        <f ca="1">IFERROR(__xludf.DUMMYFUNCTION("""COMPUTED_VALUE"""),"AST00000375")</f>
        <v>AST00000375</v>
      </c>
      <c r="G319" s="1">
        <f ca="1">IFERROR(__xludf.DUMMYFUNCTION("""COMPUTED_VALUE"""),7640162324304)</f>
        <v>7640162324304</v>
      </c>
      <c r="H319" s="1"/>
    </row>
    <row r="320" spans="1:8" x14ac:dyDescent="0.2">
      <c r="A320" s="1">
        <f ca="1">IFERROR(__xludf.DUMMYFUNCTION("""COMPUTED_VALUE"""),7640162324298)</f>
        <v>7640162324298</v>
      </c>
      <c r="B320" s="1" t="str">
        <f ca="1">IFERROR(__xludf.DUMMYFUNCTION("""COMPUTED_VALUE"""),"GOLD ADVANCED")</f>
        <v>GOLD ADVANCED</v>
      </c>
      <c r="C320" s="1" t="str">
        <f ca="1">IFERROR(__xludf.DUMMYFUNCTION("""COMPUTED_VALUE"""),"Зубная паста-гель Отбеливающая для взрослых ТМ DENTISSIMO: GOLD ADVANCED")</f>
        <v>Зубная паста-гель Отбеливающая для взрослых ТМ DENTISSIMO: GOLD ADVANCED</v>
      </c>
      <c r="D320" s="1" t="str">
        <f ca="1">IFERROR(__xludf.DUMMYFUNCTION("""COMPUTED_VALUE"""),"Отбеливающая зубная паста- гель для взрослых ТМ DENTISSIMO: GOLD ADVANCED WHITENING TOOTHPASTE ш/к 7640162324298")</f>
        <v>Отбеливающая зубная паста- гель для взрослых ТМ DENTISSIMO: GOLD ADVANCED WHITENING TOOTHPASTE ш/к 7640162324298</v>
      </c>
      <c r="E320" s="1" t="str">
        <f ca="1">IFERROR(__xludf.DUMMYFUNCTION("""COMPUTED_VALUE"""),"шт")</f>
        <v>шт</v>
      </c>
      <c r="F320" s="1" t="str">
        <f ca="1">IFERROR(__xludf.DUMMYFUNCTION("""COMPUTED_VALUE"""),"AST00000504")</f>
        <v>AST00000504</v>
      </c>
      <c r="G320" s="1">
        <f ca="1">IFERROR(__xludf.DUMMYFUNCTION("""COMPUTED_VALUE"""),7640162324298)</f>
        <v>7640162324298</v>
      </c>
      <c r="H320" s="1"/>
    </row>
    <row r="321" spans="1:8" x14ac:dyDescent="0.2">
      <c r="A321" s="1">
        <f ca="1">IFERROR(__xludf.DUMMYFUNCTION("""COMPUTED_VALUE"""),77257)</f>
        <v>77257</v>
      </c>
      <c r="B321" s="1" t="str">
        <f ca="1">IFERROR(__xludf.DUMMYFUNCTION("""COMPUTED_VALUE"""),"GOLD ADVANCED 10ml")</f>
        <v>GOLD ADVANCED 10ml</v>
      </c>
      <c r="C321" s="1" t="str">
        <f ca="1">IFERROR(__xludf.DUMMYFUNCTION("""COMPUTED_VALUE"""),"Отбеливающая зубная паста- гель для взрослых ТМ DENTISSIMO: GOLD 10ML - SACHE")</f>
        <v>Отбеливающая зубная паста- гель для взрослых ТМ DENTISSIMO: GOLD 10ML - SACHE</v>
      </c>
      <c r="D321" s="1" t="str">
        <f ca="1">IFERROR(__xludf.DUMMYFUNCTION("""COMPUTED_VALUE"""),"Отбеливающая зубная паста- гель для взрослых ТМ DENTISSIMO: GOLD ADVANCED WHITENING")</f>
        <v>Отбеливающая зубная паста- гель для взрослых ТМ DENTISSIMO: GOLD ADVANCED WHITENING</v>
      </c>
      <c r="E321" s="1" t="str">
        <f ca="1">IFERROR(__xludf.DUMMYFUNCTION("""COMPUTED_VALUE"""),"шт")</f>
        <v>шт</v>
      </c>
      <c r="F321" s="1" t="str">
        <f ca="1">IFERROR(__xludf.DUMMYFUNCTION("""COMPUTED_VALUE"""),"AST00000538")</f>
        <v>AST00000538</v>
      </c>
      <c r="G321" s="1">
        <f ca="1">IFERROR(__xludf.DUMMYFUNCTION("""COMPUTED_VALUE"""),77257)</f>
        <v>77257</v>
      </c>
      <c r="H321" s="1"/>
    </row>
    <row r="322" spans="1:8" x14ac:dyDescent="0.2">
      <c r="A322" s="1">
        <f ca="1">IFERROR(__xludf.DUMMYFUNCTION("""COMPUTED_VALUE"""),7640162326513)</f>
        <v>7640162326513</v>
      </c>
      <c r="B322" s="1" t="str">
        <f ca="1">IFERROR(__xludf.DUMMYFUNCTION("""COMPUTED_VALUE"""),"GOLD ADVANCED New")</f>
        <v>GOLD ADVANCED New</v>
      </c>
      <c r="C322" s="1" t="str">
        <f ca="1">IFERROR(__xludf.DUMMYFUNCTION("""COMPUTED_VALUE"""),"Зубная паста-гель передовая отбеливающая ГОЛД ТМ DENTISSIMO: GOLD ADVANCED New")</f>
        <v>Зубная паста-гель передовая отбеливающая ГОЛД ТМ DENTISSIMO: GOLD ADVANCED New</v>
      </c>
      <c r="D322" s="1" t="str">
        <f ca="1">IFERROR(__xludf.DUMMYFUNCTION("""COMPUTED_VALUE"""),"Передовая отбеливающая ГОЛД ТМ ""DENTISSIMO"": GOLD ADVANCED WHITENING TOOTHPASTE ш/к 7640162326513")</f>
        <v>Передовая отбеливающая ГОЛД ТМ "DENTISSIMO": GOLD ADVANCED WHITENING TOOTHPASTE ш/к 7640162326513</v>
      </c>
      <c r="E322" s="1" t="str">
        <f ca="1">IFERROR(__xludf.DUMMYFUNCTION("""COMPUTED_VALUE"""),"шт")</f>
        <v>шт</v>
      </c>
      <c r="F322" s="1" t="str">
        <f ca="1">IFERROR(__xludf.DUMMYFUNCTION("""COMPUTED_VALUE"""),"AST00000685")</f>
        <v>AST00000685</v>
      </c>
      <c r="G322" s="1">
        <f ca="1">IFERROR(__xludf.DUMMYFUNCTION("""COMPUTED_VALUE"""),7640162326513)</f>
        <v>7640162326513</v>
      </c>
      <c r="H322" s="1"/>
    </row>
    <row r="323" spans="1:8" x14ac:dyDescent="0.2">
      <c r="A323" s="1">
        <f ca="1">IFERROR(__xludf.DUMMYFUNCTION("""COMPUTED_VALUE"""),7640162322409)</f>
        <v>7640162322409</v>
      </c>
      <c r="B323" s="1" t="str">
        <f ca="1">IFERROR(__xludf.DUMMYFUNCTION("""COMPUTED_VALUE"""),"JUNIOR 6+")</f>
        <v>JUNIOR 6+</v>
      </c>
      <c r="C323" s="1" t="str">
        <f ca="1">IFERROR(__xludf.DUMMYFUNCTION("""COMPUTED_VALUE"""),"Зубная паста торговой марки DENTISSIMO: JUNIOR 6+ APPLE TOOTHPASTE")</f>
        <v>Зубная паста торговой марки DENTISSIMO: JUNIOR 6+ APPLE TOOTHPASTE</v>
      </c>
      <c r="D323" s="1" t="str">
        <f ca="1">IFERROR(__xludf.DUMMYFUNCTION("""COMPUTED_VALUE"""),"Зубная паста торговой марки DENTISSIMO: JUNIOR 6+ APPLE TOOTHPASTE ш/к 7640162322409")</f>
        <v>Зубная паста торговой марки DENTISSIMO: JUNIOR 6+ APPLE TOOTHPASTE ш/к 7640162322409</v>
      </c>
      <c r="E323" s="1" t="str">
        <f ca="1">IFERROR(__xludf.DUMMYFUNCTION("""COMPUTED_VALUE"""),"шт")</f>
        <v>шт</v>
      </c>
      <c r="F323" s="1" t="str">
        <f ca="1">IFERROR(__xludf.DUMMYFUNCTION("""COMPUTED_VALUE"""),"AST00000283")</f>
        <v>AST00000283</v>
      </c>
      <c r="G323" s="1">
        <f ca="1">IFERROR(__xludf.DUMMYFUNCTION("""COMPUTED_VALUE"""),7640162322409)</f>
        <v>7640162322409</v>
      </c>
      <c r="H323" s="1"/>
    </row>
    <row r="324" spans="1:8" x14ac:dyDescent="0.2">
      <c r="A324" s="1">
        <f ca="1">IFERROR(__xludf.DUMMYFUNCTION("""COMPUTED_VALUE"""),77260)</f>
        <v>77260</v>
      </c>
      <c r="B324" s="1" t="str">
        <f ca="1">IFERROR(__xludf.DUMMYFUNCTION("""COMPUTED_VALUE"""),"JUNIOR 6+ 10ml")</f>
        <v>JUNIOR 6+ 10ml</v>
      </c>
      <c r="C324" s="1" t="str">
        <f ca="1">IFERROR(__xludf.DUMMYFUNCTION("""COMPUTED_VALUE"""),"Зубная паста торговой марки DENTISSIMO: JUNIOR 6+ APPLE TOOTHPASTE 10ML - SACHE")</f>
        <v>Зубная паста торговой марки DENTISSIMO: JUNIOR 6+ APPLE TOOTHPASTE 10ML - SACHE</v>
      </c>
      <c r="D324" s="1" t="str">
        <f ca="1">IFERROR(__xludf.DUMMYFUNCTION("""COMPUTED_VALUE"""),"Зубная паста торговой марки DENTISSIMO: JUNIOR 6+ APPLE TOOTHPASTE")</f>
        <v>Зубная паста торговой марки DENTISSIMO: JUNIOR 6+ APPLE TOOTHPASTE</v>
      </c>
      <c r="E324" s="1" t="str">
        <f ca="1">IFERROR(__xludf.DUMMYFUNCTION("""COMPUTED_VALUE"""),"шт")</f>
        <v>шт</v>
      </c>
      <c r="F324" s="1" t="str">
        <f ca="1">IFERROR(__xludf.DUMMYFUNCTION("""COMPUTED_VALUE"""),"AST00000541")</f>
        <v>AST00000541</v>
      </c>
      <c r="G324" s="1">
        <f ca="1">IFERROR(__xludf.DUMMYFUNCTION("""COMPUTED_VALUE"""),77260)</f>
        <v>77260</v>
      </c>
      <c r="H324" s="1"/>
    </row>
    <row r="325" spans="1:8" x14ac:dyDescent="0.2">
      <c r="A325" s="1">
        <f ca="1">IFERROR(__xludf.DUMMYFUNCTION("""COMPUTED_VALUE"""),7640162322393)</f>
        <v>7640162322393</v>
      </c>
      <c r="B325" s="1" t="str">
        <f ca="1">IFERROR(__xludf.DUMMYFUNCTION("""COMPUTED_VALUE"""),"KIDS 2-6")</f>
        <v>KIDS 2-6</v>
      </c>
      <c r="C325" s="1" t="str">
        <f ca="1">IFERROR(__xludf.DUMMYFUNCTION("""COMPUTED_VALUE"""),"Зубная паста торговой марки DENTISSIMO: KIDS 2-6 CARAMEL TOOTHPASTE")</f>
        <v>Зубная паста торговой марки DENTISSIMO: KIDS 2-6 CARAMEL TOOTHPASTE</v>
      </c>
      <c r="D325" s="1" t="str">
        <f ca="1">IFERROR(__xludf.DUMMYFUNCTION("""COMPUTED_VALUE"""),"Зубная паста торговой марки DENTISSIMO: KIDS 2-6 CARAMEL TOOTHPASTE ш/к 7640162322393")</f>
        <v>Зубная паста торговой марки DENTISSIMO: KIDS 2-6 CARAMEL TOOTHPASTE ш/к 7640162322393</v>
      </c>
      <c r="E325" s="1" t="str">
        <f ca="1">IFERROR(__xludf.DUMMYFUNCTION("""COMPUTED_VALUE"""),"шт")</f>
        <v>шт</v>
      </c>
      <c r="F325" s="1" t="str">
        <f ca="1">IFERROR(__xludf.DUMMYFUNCTION("""COMPUTED_VALUE"""),"AST00000282")</f>
        <v>AST00000282</v>
      </c>
      <c r="G325" s="1">
        <f ca="1">IFERROR(__xludf.DUMMYFUNCTION("""COMPUTED_VALUE"""),7640162322393)</f>
        <v>7640162322393</v>
      </c>
      <c r="H325" s="1"/>
    </row>
    <row r="326" spans="1:8" x14ac:dyDescent="0.2">
      <c r="A326" s="1">
        <f ca="1">IFERROR(__xludf.DUMMYFUNCTION("""COMPUTED_VALUE"""),77369)</f>
        <v>77369</v>
      </c>
      <c r="B326" s="1" t="str">
        <f ca="1">IFERROR(__xludf.DUMMYFUNCTION("""COMPUTED_VALUE"""),"KIDS 2-6 10ml")</f>
        <v>KIDS 2-6 10ml</v>
      </c>
      <c r="C326" s="1" t="str">
        <f ca="1">IFERROR(__xludf.DUMMYFUNCTION("""COMPUTED_VALUE"""),"Зубная паста торговой марки DENTISSIMO: KIDS 2-6 CARAMEL TOOTHPASTE 10ML - SACHE")</f>
        <v>Зубная паста торговой марки DENTISSIMO: KIDS 2-6 CARAMEL TOOTHPASTE 10ML - SACHE</v>
      </c>
      <c r="D326" s="1" t="str">
        <f ca="1">IFERROR(__xludf.DUMMYFUNCTION("""COMPUTED_VALUE"""),"Зубная паста торговой марки DENTISSIMO: KIDS 2-6 CARAMEL TOOTHPASTE")</f>
        <v>Зубная паста торговой марки DENTISSIMO: KIDS 2-6 CARAMEL TOOTHPASTE</v>
      </c>
      <c r="E326" s="1" t="str">
        <f ca="1">IFERROR(__xludf.DUMMYFUNCTION("""COMPUTED_VALUE"""),"шт")</f>
        <v>шт</v>
      </c>
      <c r="F326" s="1" t="str">
        <f ca="1">IFERROR(__xludf.DUMMYFUNCTION("""COMPUTED_VALUE"""),"AST00000393")</f>
        <v>AST00000393</v>
      </c>
      <c r="G326" s="1">
        <f ca="1">IFERROR(__xludf.DUMMYFUNCTION("""COMPUTED_VALUE"""),77369)</f>
        <v>77369</v>
      </c>
      <c r="H326" s="1"/>
    </row>
    <row r="327" spans="1:8" x14ac:dyDescent="0.2">
      <c r="A327" s="1">
        <f ca="1">IFERROR(__xludf.DUMMYFUNCTION("""COMPUTED_VALUE"""),7640162324311)</f>
        <v>7640162324311</v>
      </c>
      <c r="B327" s="1" t="str">
        <f ca="1">IFERROR(__xludf.DUMMYFUNCTION("""COMPUTED_VALUE"""),"Lady &amp; Young Mum")</f>
        <v>Lady &amp; Young Mum</v>
      </c>
      <c r="C327" s="1" t="str">
        <f ca="1">IFERROR(__xludf.DUMMYFUNCTION("""COMPUTED_VALUE"""),"Зубная паста-гель торговой марки DENTISSIMO: Для беременных женщин и молодых мам")</f>
        <v>Зубная паста-гель торговой марки DENTISSIMO: Для беременных женщин и молодых мам</v>
      </c>
      <c r="D327" s="1" t="str">
        <f ca="1">IFERROR(__xludf.DUMMYFUNCTION("""COMPUTED_VALUE"""),"Зубная паста-гель ТМ DENTISSIMO:""Для беременных женщин и молодых мам"" ш/к 7640162324311")</f>
        <v>Зубная паста-гель ТМ DENTISSIMO:"Для беременных женщин и молодых мам" ш/к 7640162324311</v>
      </c>
      <c r="E327" s="1" t="str">
        <f ca="1">IFERROR(__xludf.DUMMYFUNCTION("""COMPUTED_VALUE"""),"шт")</f>
        <v>шт</v>
      </c>
      <c r="F327" s="1" t="str">
        <f ca="1">IFERROR(__xludf.DUMMYFUNCTION("""COMPUTED_VALUE"""),"AST00000478")</f>
        <v>AST00000478</v>
      </c>
      <c r="G327" s="1">
        <f ca="1">IFERROR(__xludf.DUMMYFUNCTION("""COMPUTED_VALUE"""),7640162324311)</f>
        <v>7640162324311</v>
      </c>
      <c r="H327" s="1"/>
    </row>
    <row r="328" spans="1:8" x14ac:dyDescent="0.2">
      <c r="A328" s="1">
        <f ca="1">IFERROR(__xludf.DUMMYFUNCTION("""COMPUTED_VALUE"""),77259)</f>
        <v>77259</v>
      </c>
      <c r="B328" s="1" t="str">
        <f ca="1">IFERROR(__xludf.DUMMYFUNCTION("""COMPUTED_VALUE"""),"Lady &amp; Young Mum 10ml")</f>
        <v>Lady &amp; Young Mum 10ml</v>
      </c>
      <c r="C328" s="1" t="str">
        <f ca="1">IFERROR(__xludf.DUMMYFUNCTION("""COMPUTED_VALUE"""),"Зубная паста-гель ТМ DENTISSIMO: Для беременных женщин и молодых 10ML - SACHE")</f>
        <v>Зубная паста-гель ТМ DENTISSIMO: Для беременных женщин и молодых 10ML - SACHE</v>
      </c>
      <c r="D328" s="1" t="str">
        <f ca="1">IFERROR(__xludf.DUMMYFUNCTION("""COMPUTED_VALUE"""),"Зубная паста-гель ТМ DENTISSIMO: ""For Pregnant Lady &amp; Young Mum"" /""Для беременных женщин и молодых мам""")</f>
        <v>Зубная паста-гель ТМ DENTISSIMO: "For Pregnant Lady &amp; Young Mum" /"Для беременных женщин и молодых мам"</v>
      </c>
      <c r="E328" s="1" t="str">
        <f ca="1">IFERROR(__xludf.DUMMYFUNCTION("""COMPUTED_VALUE"""),"шт")</f>
        <v>шт</v>
      </c>
      <c r="F328" s="1" t="str">
        <f ca="1">IFERROR(__xludf.DUMMYFUNCTION("""COMPUTED_VALUE"""),"AST00000540")</f>
        <v>AST00000540</v>
      </c>
      <c r="G328" s="1">
        <f ca="1">IFERROR(__xludf.DUMMYFUNCTION("""COMPUTED_VALUE"""),77259)</f>
        <v>77259</v>
      </c>
      <c r="H328" s="1"/>
    </row>
    <row r="329" spans="1:8" x14ac:dyDescent="0.2">
      <c r="A329" s="1">
        <f ca="1">IFERROR(__xludf.DUMMYFUNCTION("""COMPUTED_VALUE"""),7640162322355)</f>
        <v>7640162322355</v>
      </c>
      <c r="B329" s="1" t="str">
        <f ca="1">IFERROR(__xludf.DUMMYFUNCTION("""COMPUTED_VALUE"""),"PRO-CARE")</f>
        <v>PRO-CARE</v>
      </c>
      <c r="C329" s="1" t="str">
        <f ca="1">IFERROR(__xludf.DUMMYFUNCTION("""COMPUTED_VALUE"""),"Зубная паста торговой марки DENTISSIMO:PRO-CARE TEETH&amp;GUM TOOTHPASTE")</f>
        <v>Зубная паста торговой марки DENTISSIMO:PRO-CARE TEETH&amp;GUM TOOTHPASTE</v>
      </c>
      <c r="D329" s="1" t="str">
        <f ca="1">IFERROR(__xludf.DUMMYFUNCTION("""COMPUTED_VALUE"""),"Зубная паста торговой марки DENTISSIMO:PRO-CARE TEETH&amp;GUM TOOTHPASTE ш/к 7640162322355")</f>
        <v>Зубная паста торговой марки DENTISSIMO:PRO-CARE TEETH&amp;GUM TOOTHPASTE ш/к 7640162322355</v>
      </c>
      <c r="E329" s="1" t="str">
        <f ca="1">IFERROR(__xludf.DUMMYFUNCTION("""COMPUTED_VALUE"""),"шт")</f>
        <v>шт</v>
      </c>
      <c r="F329" s="1" t="str">
        <f ca="1">IFERROR(__xludf.DUMMYFUNCTION("""COMPUTED_VALUE"""),"AST00000280")</f>
        <v>AST00000280</v>
      </c>
      <c r="G329" s="1">
        <f ca="1">IFERROR(__xludf.DUMMYFUNCTION("""COMPUTED_VALUE"""),7640162322355)</f>
        <v>7640162322355</v>
      </c>
      <c r="H329" s="1"/>
    </row>
    <row r="330" spans="1:8" x14ac:dyDescent="0.2">
      <c r="A330" s="1">
        <f ca="1">IFERROR(__xludf.DUMMYFUNCTION("""COMPUTED_VALUE"""),7640162322348)</f>
        <v>7640162322348</v>
      </c>
      <c r="B330" s="1" t="str">
        <f ca="1">IFERROR(__xludf.DUMMYFUNCTION("""COMPUTED_VALUE"""),"PRO-WHITENING")</f>
        <v>PRO-WHITENING</v>
      </c>
      <c r="C330" s="1" t="str">
        <f ca="1">IFERROR(__xludf.DUMMYFUNCTION("""COMPUTED_VALUE"""),"Зубная паста торговой марки DENTISSIMO:PRO-WHITENING TOOTHPASTE")</f>
        <v>Зубная паста торговой марки DENTISSIMO:PRO-WHITENING TOOTHPASTE</v>
      </c>
      <c r="D330" s="1" t="str">
        <f ca="1">IFERROR(__xludf.DUMMYFUNCTION("""COMPUTED_VALUE"""),"Зубная паста торговой марки DENTISSIMO:PRO-WHITENING TOOTHPASTE ш/к 7640162322348")</f>
        <v>Зубная паста торговой марки DENTISSIMO:PRO-WHITENING TOOTHPASTE ш/к 7640162322348</v>
      </c>
      <c r="E330" s="1" t="str">
        <f ca="1">IFERROR(__xludf.DUMMYFUNCTION("""COMPUTED_VALUE"""),"шт")</f>
        <v>шт</v>
      </c>
      <c r="F330" s="1" t="str">
        <f ca="1">IFERROR(__xludf.DUMMYFUNCTION("""COMPUTED_VALUE"""),"AST00000279")</f>
        <v>AST00000279</v>
      </c>
      <c r="G330" s="1">
        <f ca="1">IFERROR(__xludf.DUMMYFUNCTION("""COMPUTED_VALUE"""),7640162322348)</f>
        <v>7640162322348</v>
      </c>
      <c r="H330" s="1"/>
    </row>
    <row r="331" spans="1:8" x14ac:dyDescent="0.2">
      <c r="A331" s="1">
        <f ca="1">IFERROR(__xludf.DUMMYFUNCTION("""COMPUTED_VALUE"""),77368)</f>
        <v>77368</v>
      </c>
      <c r="B331" s="1" t="str">
        <f ca="1">IFERROR(__xludf.DUMMYFUNCTION("""COMPUTED_VALUE"""),"PRO-WHITENING 10ml")</f>
        <v>PRO-WHITENING 10ml</v>
      </c>
      <c r="C331" s="1" t="str">
        <f ca="1">IFERROR(__xludf.DUMMYFUNCTION("""COMPUTED_VALUE"""),"Зубная паста торговой марки DENTISSIMO: PRO-WHITENING TOOTHPASTE 10ML - SACHE")</f>
        <v>Зубная паста торговой марки DENTISSIMO: PRO-WHITENING TOOTHPASTE 10ML - SACHE</v>
      </c>
      <c r="D331" s="1" t="str">
        <f ca="1">IFERROR(__xludf.DUMMYFUNCTION("""COMPUTED_VALUE"""),"Зубная паста торговой марки DENTISSIMO: PRO-WHITENING TOOTHPASTE")</f>
        <v>Зубная паста торговой марки DENTISSIMO: PRO-WHITENING TOOTHPASTE</v>
      </c>
      <c r="E331" s="1" t="str">
        <f ca="1">IFERROR(__xludf.DUMMYFUNCTION("""COMPUTED_VALUE"""),"шт")</f>
        <v>шт</v>
      </c>
      <c r="F331" s="1" t="str">
        <f ca="1">IFERROR(__xludf.DUMMYFUNCTION("""COMPUTED_VALUE"""),"AST00000392")</f>
        <v>AST00000392</v>
      </c>
      <c r="G331" s="1">
        <f ca="1">IFERROR(__xludf.DUMMYFUNCTION("""COMPUTED_VALUE"""),77368)</f>
        <v>77368</v>
      </c>
      <c r="H331" s="1"/>
    </row>
    <row r="332" spans="1:8" x14ac:dyDescent="0.2">
      <c r="A332" s="1" t="str">
        <f ca="1">IFERROR(__xludf.DUMMYFUNCTION("""COMPUTED_VALUE"""),"Зубные щетки")</f>
        <v>Зубные щетки</v>
      </c>
      <c r="B332" s="1"/>
      <c r="C332" s="1"/>
      <c r="D332" s="1"/>
      <c r="E332" s="1"/>
      <c r="F332" s="1"/>
      <c r="G332" s="1"/>
      <c r="H332" s="1"/>
    </row>
    <row r="333" spans="1:8" x14ac:dyDescent="0.2">
      <c r="A333" s="1">
        <f ca="1">IFERROR(__xludf.DUMMYFUNCTION("""COMPUTED_VALUE"""),7640162322492)</f>
        <v>7640162322492</v>
      </c>
      <c r="B333" s="1" t="str">
        <f ca="1">IFERROR(__xludf.DUMMYFUNCTION("""COMPUTED_VALUE"""),"GOLD")</f>
        <v>GOLD</v>
      </c>
      <c r="C333" s="1" t="str">
        <f ca="1">IFERROR(__xludf.DUMMYFUNCTION("""COMPUTED_VALUE"""),"Зубные щетки для взрослых торговой марки DENTISSIMO: GOLD Tynex Medium Anti-Plaq")</f>
        <v>Зубные щетки для взрослых торговой марки DENTISSIMO: GOLD Tynex Medium Anti-Plaq</v>
      </c>
      <c r="D333" s="1" t="str">
        <f ca="1">IFERROR(__xludf.DUMMYFUNCTION("""COMPUTED_VALUE"""),"Зубные щетки для взрослых TM DENTISSIMO: GOLD Tynex Medium Anti-Plaque ш/к 7640162322492")</f>
        <v>Зубные щетки для взрослых TM DENTISSIMO: GOLD Tynex Medium Anti-Plaque ш/к 7640162322492</v>
      </c>
      <c r="E333" s="1" t="str">
        <f ca="1">IFERROR(__xludf.DUMMYFUNCTION("""COMPUTED_VALUE"""),"шт")</f>
        <v>шт</v>
      </c>
      <c r="F333" s="1" t="str">
        <f ca="1">IFERROR(__xludf.DUMMYFUNCTION("""COMPUTED_VALUE"""),"AST00000477")</f>
        <v>AST00000477</v>
      </c>
      <c r="G333" s="1">
        <f ca="1">IFERROR(__xludf.DUMMYFUNCTION("""COMPUTED_VALUE"""),7640162322492)</f>
        <v>7640162322492</v>
      </c>
      <c r="H333" s="1"/>
    </row>
    <row r="334" spans="1:8" x14ac:dyDescent="0.2">
      <c r="A334" s="1">
        <f ca="1">IFERROR(__xludf.DUMMYFUNCTION("""COMPUTED_VALUE"""),7640162322454)</f>
        <v>7640162322454</v>
      </c>
      <c r="B334" s="1" t="str">
        <f ca="1">IFERROR(__xludf.DUMMYFUNCTION("""COMPUTED_VALUE"""),"HARD")</f>
        <v>HARD</v>
      </c>
      <c r="C334" s="1" t="str">
        <f ca="1">IFERROR(__xludf.DUMMYFUNCTION("""COMPUTED_VALUE"""),"Зубные щетки для взрослых торговой марки DENTISSIMO: HARD Tartar Control")</f>
        <v>Зубные щетки для взрослых торговой марки DENTISSIMO: HARD Tartar Control</v>
      </c>
      <c r="D334" s="1" t="str">
        <f ca="1">IFERROR(__xludf.DUMMYFUNCTION("""COMPUTED_VALUE"""),"Зубные щетки для взрослых торговой марки DENTISSIMO: HARD Tartar Control ш/к 7640162322454")</f>
        <v>Зубные щетки для взрослых торговой марки DENTISSIMO: HARD Tartar Control ш/к 7640162322454</v>
      </c>
      <c r="E334" s="1" t="str">
        <f ca="1">IFERROR(__xludf.DUMMYFUNCTION("""COMPUTED_VALUE"""),"шт")</f>
        <v>шт</v>
      </c>
      <c r="F334" s="1" t="str">
        <f ca="1">IFERROR(__xludf.DUMMYFUNCTION("""COMPUTED_VALUE"""),"AST00000271")</f>
        <v>AST00000271</v>
      </c>
      <c r="G334" s="1">
        <f ca="1">IFERROR(__xludf.DUMMYFUNCTION("""COMPUTED_VALUE"""),7640162322454)</f>
        <v>7640162322454</v>
      </c>
      <c r="H334" s="1"/>
    </row>
    <row r="335" spans="1:8" x14ac:dyDescent="0.2">
      <c r="A335" s="1">
        <f ca="1">IFERROR(__xludf.DUMMYFUNCTION("""COMPUTED_VALUE"""),7640162322508)</f>
        <v>7640162322508</v>
      </c>
      <c r="B335" s="1" t="str">
        <f ca="1">IFERROR(__xludf.DUMMYFUNCTION("""COMPUTED_VALUE"""),"JUNIOR SOFT 6+")</f>
        <v>JUNIOR SOFT 6+</v>
      </c>
      <c r="C335" s="1" t="str">
        <f ca="1">IFERROR(__xludf.DUMMYFUNCTION("""COMPUTED_VALUE"""),"Детские зубные щетки торговой марки DENTISSIMO : JUNIOR SOFT 6+")</f>
        <v>Детские зубные щетки торговой марки DENTISSIMO : JUNIOR SOFT 6+</v>
      </c>
      <c r="D335" s="1" t="str">
        <f ca="1">IFERROR(__xludf.DUMMYFUNCTION("""COMPUTED_VALUE"""),"Детские зубные щетки торговой марки DENTISSIMO : JUNIOR SOFT 6+ ш/к 7640162322508")</f>
        <v>Детские зубные щетки торговой марки DENTISSIMO : JUNIOR SOFT 6+ ш/к 7640162322508</v>
      </c>
      <c r="E335" s="1" t="str">
        <f ca="1">IFERROR(__xludf.DUMMYFUNCTION("""COMPUTED_VALUE"""),"шт")</f>
        <v>шт</v>
      </c>
      <c r="F335" s="1" t="str">
        <f ca="1">IFERROR(__xludf.DUMMYFUNCTION("""COMPUTED_VALUE"""),"AST00000275")</f>
        <v>AST00000275</v>
      </c>
      <c r="G335" s="1">
        <f ca="1">IFERROR(__xludf.DUMMYFUNCTION("""COMPUTED_VALUE"""),7640162322508)</f>
        <v>7640162322508</v>
      </c>
      <c r="H335" s="1"/>
    </row>
    <row r="336" spans="1:8" x14ac:dyDescent="0.2">
      <c r="A336" s="1">
        <f ca="1">IFERROR(__xludf.DUMMYFUNCTION("""COMPUTED_VALUE"""),7640162322485)</f>
        <v>7640162322485</v>
      </c>
      <c r="B336" s="1" t="str">
        <f ca="1">IFERROR(__xludf.DUMMYFUNCTION("""COMPUTED_VALUE"""),"KIDS SOFT 2-6")</f>
        <v>KIDS SOFT 2-6</v>
      </c>
      <c r="C336" s="1" t="str">
        <f ca="1">IFERROR(__xludf.DUMMYFUNCTION("""COMPUTED_VALUE"""),"Детские зубные щетки торговой марки DENTISSIMO : KIDS SOFT 2-6")</f>
        <v>Детские зубные щетки торговой марки DENTISSIMO : KIDS SOFT 2-6</v>
      </c>
      <c r="D336" s="1" t="str">
        <f ca="1">IFERROR(__xludf.DUMMYFUNCTION("""COMPUTED_VALUE"""),"Детские зубные  щетки  торговой марки DENTISSIMO : KIDS SOFT 2-6 ш/к 7640162322485")</f>
        <v>Детские зубные  щетки  торговой марки DENTISSIMO : KIDS SOFT 2-6 ш/к 7640162322485</v>
      </c>
      <c r="E336" s="1" t="str">
        <f ca="1">IFERROR(__xludf.DUMMYFUNCTION("""COMPUTED_VALUE"""),"шт")</f>
        <v>шт</v>
      </c>
      <c r="F336" s="1" t="str">
        <f ca="1">IFERROR(__xludf.DUMMYFUNCTION("""COMPUTED_VALUE"""),"AST00000274")</f>
        <v>AST00000274</v>
      </c>
      <c r="G336" s="1">
        <f ca="1">IFERROR(__xludf.DUMMYFUNCTION("""COMPUTED_VALUE"""),7640162322485)</f>
        <v>7640162322485</v>
      </c>
      <c r="H336" s="1"/>
    </row>
    <row r="337" spans="1:8" x14ac:dyDescent="0.2">
      <c r="A337" s="1">
        <f ca="1">IFERROR(__xludf.DUMMYFUNCTION("""COMPUTED_VALUE"""),7640162326803)</f>
        <v>7640162326803</v>
      </c>
      <c r="B337" s="1" t="str">
        <f ca="1">IFERROR(__xludf.DUMMYFUNCTION("""COMPUTED_VALUE"""),"KIDS Timer SOFT (3-6)")</f>
        <v>KIDS Timer SOFT (3-6)</v>
      </c>
      <c r="C337" s="1" t="str">
        <f ca="1">IFERROR(__xludf.DUMMYFUNCTION("""COMPUTED_VALUE"""),"Детская зубная щетка торговой марки DENTISSIMO: KIDS Timer Soft (3-6) Years")</f>
        <v>Детская зубная щетка торговой марки DENTISSIMO: KIDS Timer Soft (3-6) Years</v>
      </c>
      <c r="D337" s="1" t="str">
        <f ca="1">IFERROR(__xludf.DUMMYFUNCTION("""COMPUTED_VALUE"""),"Детская зубная щетка торговой марки DENTISSIMO: Кидс Таймер SOFT (3-6 лет) ш/к 7640162326803")</f>
        <v>Детская зубная щетка торговой марки DENTISSIMO: Кидс Таймер SOFT (3-6 лет) ш/к 7640162326803</v>
      </c>
      <c r="E337" s="1" t="str">
        <f ca="1">IFERROR(__xludf.DUMMYFUNCTION("""COMPUTED_VALUE"""),"шт")</f>
        <v>шт</v>
      </c>
      <c r="F337" s="1" t="str">
        <f ca="1">IFERROR(__xludf.DUMMYFUNCTION("""COMPUTED_VALUE"""),"AST00000591")</f>
        <v>AST00000591</v>
      </c>
      <c r="G337" s="1">
        <f ca="1">IFERROR(__xludf.DUMMYFUNCTION("""COMPUTED_VALUE"""),7640162326803)</f>
        <v>7640162326803</v>
      </c>
      <c r="H337" s="1"/>
    </row>
    <row r="338" spans="1:8" x14ac:dyDescent="0.2">
      <c r="A338" s="1">
        <f ca="1">IFERROR(__xludf.DUMMYFUNCTION("""COMPUTED_VALUE"""),7640162322430)</f>
        <v>7640162322430</v>
      </c>
      <c r="B338" s="1" t="str">
        <f ca="1">IFERROR(__xludf.DUMMYFUNCTION("""COMPUTED_VALUE"""),"Medium")</f>
        <v>Medium</v>
      </c>
      <c r="C338" s="1" t="str">
        <f ca="1">IFERROR(__xludf.DUMMYFUNCTION("""COMPUTED_VALUE"""),"Зубные щетки для взрослых торговой марки DENTISSIMO: Medium antiplaque")</f>
        <v>Зубные щетки для взрослых торговой марки DENTISSIMO: Medium antiplaque</v>
      </c>
      <c r="D338" s="1" t="str">
        <f ca="1">IFERROR(__xludf.DUMMYFUNCTION("""COMPUTED_VALUE"""),"Зубные щетки для взрослых торговой марки DENTISSIMO: MEDIUM antiplaque ш/к 7640162322430")</f>
        <v>Зубные щетки для взрослых торговой марки DENTISSIMO: MEDIUM antiplaque ш/к 7640162322430</v>
      </c>
      <c r="E338" s="1" t="str">
        <f ca="1">IFERROR(__xludf.DUMMYFUNCTION("""COMPUTED_VALUE"""),"шт")</f>
        <v>шт</v>
      </c>
      <c r="F338" s="1" t="str">
        <f ca="1">IFERROR(__xludf.DUMMYFUNCTION("""COMPUTED_VALUE"""),"AST00000270")</f>
        <v>AST00000270</v>
      </c>
      <c r="G338" s="1">
        <f ca="1">IFERROR(__xludf.DUMMYFUNCTION("""COMPUTED_VALUE"""),7640162322430)</f>
        <v>7640162322430</v>
      </c>
      <c r="H338" s="1"/>
    </row>
    <row r="339" spans="1:8" x14ac:dyDescent="0.2">
      <c r="A339" s="1">
        <f ca="1">IFERROR(__xludf.DUMMYFUNCTION("""COMPUTED_VALUE"""),7640162322478)</f>
        <v>7640162322478</v>
      </c>
      <c r="B339" s="1" t="str">
        <f ca="1">IFERROR(__xludf.DUMMYFUNCTION("""COMPUTED_VALUE"""),"PARODONTAL")</f>
        <v>PARODONTAL</v>
      </c>
      <c r="C339" s="1" t="str">
        <f ca="1">IFERROR(__xludf.DUMMYFUNCTION("""COMPUTED_VALUE"""),"Зубные щетки для взрослых торговой марки DENTISSIMO: PARODONTAL Centle Interdent")</f>
        <v>Зубные щетки для взрослых торговой марки DENTISSIMO: PARODONTAL Centle Interdent</v>
      </c>
      <c r="D339" s="1" t="str">
        <f ca="1">IFERROR(__xludf.DUMMYFUNCTION("""COMPUTED_VALUE"""),"Зубные щетки для взрослых торговой марки DENTISSIMO: PARODONTAL Centle Interdental cleaning ш/к 7640162322478")</f>
        <v>Зубные щетки для взрослых торговой марки DENTISSIMO: PARODONTAL Centle Interdental cleaning ш/к 7640162322478</v>
      </c>
      <c r="E339" s="1" t="str">
        <f ca="1">IFERROR(__xludf.DUMMYFUNCTION("""COMPUTED_VALUE"""),"шт")</f>
        <v>шт</v>
      </c>
      <c r="F339" s="1" t="str">
        <f ca="1">IFERROR(__xludf.DUMMYFUNCTION("""COMPUTED_VALUE"""),"AST00000273")</f>
        <v>AST00000273</v>
      </c>
      <c r="G339" s="1">
        <f ca="1">IFERROR(__xludf.DUMMYFUNCTION("""COMPUTED_VALUE"""),7640162322478)</f>
        <v>7640162322478</v>
      </c>
      <c r="H339" s="1"/>
    </row>
    <row r="340" spans="1:8" x14ac:dyDescent="0.2">
      <c r="A340" s="1">
        <f ca="1">IFERROR(__xludf.DUMMYFUNCTION("""COMPUTED_VALUE"""),7640162322461)</f>
        <v>7640162322461</v>
      </c>
      <c r="B340" s="1" t="str">
        <f ca="1">IFERROR(__xludf.DUMMYFUNCTION("""COMPUTED_VALUE"""),"SENSITIVE")</f>
        <v>SENSITIVE</v>
      </c>
      <c r="C340" s="1" t="str">
        <f ca="1">IFERROR(__xludf.DUMMYFUNCTION("""COMPUTED_VALUE"""),"Зубные щетки для взрослых торговой марки DENTISSIMO: SENSITIVE Interdental clean")</f>
        <v>Зубные щетки для взрослых торговой марки DENTISSIMO: SENSITIVE Interdental clean</v>
      </c>
      <c r="D340" s="1" t="str">
        <f ca="1">IFERROR(__xludf.DUMMYFUNCTION("""COMPUTED_VALUE"""),"Зубные щетки для взрослых торговой марки DENTISSIMO: SENSITIVE Interdental cleaning and Massage ш/к 7640162322461")</f>
        <v>Зубные щетки для взрослых торговой марки DENTISSIMO: SENSITIVE Interdental cleaning and Massage ш/к 7640162322461</v>
      </c>
      <c r="E340" s="1" t="str">
        <f ca="1">IFERROR(__xludf.DUMMYFUNCTION("""COMPUTED_VALUE"""),"шт")</f>
        <v>шт</v>
      </c>
      <c r="F340" s="1" t="str">
        <f ca="1">IFERROR(__xludf.DUMMYFUNCTION("""COMPUTED_VALUE"""),"AST00000272")</f>
        <v>AST00000272</v>
      </c>
      <c r="G340" s="1">
        <f ca="1">IFERROR(__xludf.DUMMYFUNCTION("""COMPUTED_VALUE"""),7640162322461)</f>
        <v>7640162322461</v>
      </c>
      <c r="H340" s="1"/>
    </row>
    <row r="341" spans="1:8" x14ac:dyDescent="0.2">
      <c r="A341" s="1">
        <f ca="1">IFERROR(__xludf.DUMMYFUNCTION("""COMPUTED_VALUE"""),7640162320917)</f>
        <v>7640162320917</v>
      </c>
      <c r="B341" s="1" t="str">
        <f ca="1">IFERROR(__xludf.DUMMYFUNCTION("""COMPUTED_VALUE"""),"SILVER")</f>
        <v>SILVER</v>
      </c>
      <c r="C341" s="1" t="str">
        <f ca="1">IFERROR(__xludf.DUMMYFUNCTION("""COMPUTED_VALUE"""),"Зубные щетки для взрослых торговой марки DENTISSIMO: SILVER Tynex Hard Tartar")</f>
        <v>Зубные щетки для взрослых торговой марки DENTISSIMO: SILVER Tynex Hard Tartar</v>
      </c>
      <c r="D341" s="1" t="str">
        <f ca="1">IFERROR(__xludf.DUMMYFUNCTION("""COMPUTED_VALUE"""),"Зубная щетка для взрослых TM DENTISSIMO: SILVER Tynex Hard Tartar Control ш/к 7640162320917")</f>
        <v>Зубная щетка для взрослых TM DENTISSIMO: SILVER Tynex Hard Tartar Control ш/к 7640162320917</v>
      </c>
      <c r="E341" s="1" t="str">
        <f ca="1">IFERROR(__xludf.DUMMYFUNCTION("""COMPUTED_VALUE"""),"шт")</f>
        <v>шт</v>
      </c>
      <c r="F341" s="1" t="str">
        <f ca="1">IFERROR(__xludf.DUMMYFUNCTION("""COMPUTED_VALUE"""),"AST00000476")</f>
        <v>AST00000476</v>
      </c>
      <c r="G341" s="1">
        <f ca="1">IFERROR(__xludf.DUMMYFUNCTION("""COMPUTED_VALUE"""),7640162320917)</f>
        <v>7640162320917</v>
      </c>
      <c r="H341" s="1"/>
    </row>
    <row r="342" spans="1:8" x14ac:dyDescent="0.2">
      <c r="A342" s="1" t="str">
        <f ca="1">IFERROR(__xludf.DUMMYFUNCTION("""COMPUTED_VALUE"""),"Ингаляторы Dr.Frei")</f>
        <v>Ингаляторы Dr.Frei</v>
      </c>
      <c r="B342" s="1"/>
      <c r="C342" s="1"/>
      <c r="D342" s="1"/>
      <c r="E342" s="1"/>
      <c r="F342" s="1"/>
      <c r="G342" s="1"/>
      <c r="H342" s="1"/>
    </row>
    <row r="343" spans="1:8" x14ac:dyDescent="0.2">
      <c r="A343" s="1">
        <f ca="1">IFERROR(__xludf.DUMMYFUNCTION("""COMPUTED_VALUE"""),7640162320405)</f>
        <v>7640162320405</v>
      </c>
      <c r="B343" s="1" t="str">
        <f ca="1">IFERROR(__xludf.DUMMYFUNCTION("""COMPUTED_VALUE"""),"mod.A1800 TurboCar")</f>
        <v>mod.A1800 TurboCar</v>
      </c>
      <c r="C343" s="1" t="str">
        <f ca="1">IFERROR(__xludf.DUMMYFUNCTION("""COMPUTED_VALUE"""),"Ингалятор компрессорный Dr.Frei Turbo Car")</f>
        <v>Ингалятор компрессорный Dr.Frei Turbo Car</v>
      </c>
      <c r="D343" s="1" t="str">
        <f ca="1">IFERROR(__xludf.DUMMYFUNCTION("""COMPUTED_VALUE"""),"Ингалятор компрессорный Dr.Frei, Модель Turbo Car ш/к 7640162320405")</f>
        <v>Ингалятор компрессорный Dr.Frei, Модель Turbo Car ш/к 7640162320405</v>
      </c>
      <c r="E343" s="1" t="str">
        <f ca="1">IFERROR(__xludf.DUMMYFUNCTION("""COMPUTED_VALUE"""),"шт")</f>
        <v>шт</v>
      </c>
      <c r="F343" s="1" t="str">
        <f ca="1">IFERROR(__xludf.DUMMYFUNCTION("""COMPUTED_VALUE"""),"AST00000081")</f>
        <v>AST00000081</v>
      </c>
      <c r="G343" s="1">
        <f ca="1">IFERROR(__xludf.DUMMYFUNCTION("""COMPUTED_VALUE"""),7640162320405)</f>
        <v>7640162320405</v>
      </c>
      <c r="H343" s="1"/>
    </row>
    <row r="344" spans="1:8" x14ac:dyDescent="0.2">
      <c r="A344" s="1">
        <f ca="1">IFERROR(__xludf.DUMMYFUNCTION("""COMPUTED_VALUE"""),7640162320429)</f>
        <v>7640162320429</v>
      </c>
      <c r="B344" s="1" t="str">
        <f ca="1">IFERROR(__xludf.DUMMYFUNCTION("""COMPUTED_VALUE"""),"mod.A1801 Turbo Train")</f>
        <v>mod.A1801 Turbo Train</v>
      </c>
      <c r="C344" s="1" t="str">
        <f ca="1">IFERROR(__xludf.DUMMYFUNCTION("""COMPUTED_VALUE"""),"Ингалятор компрессорный Dr.Frei Turbo Train")</f>
        <v>Ингалятор компрессорный Dr.Frei Turbo Train</v>
      </c>
      <c r="D344" s="1" t="str">
        <f ca="1">IFERROR(__xludf.DUMMYFUNCTION("""COMPUTED_VALUE"""),"Ингалятор компрессорный Dr.Frei, Модель Turbo Train ш/к 7640162320429")</f>
        <v>Ингалятор компрессорный Dr.Frei, Модель Turbo Train ш/к 7640162320429</v>
      </c>
      <c r="E344" s="1" t="str">
        <f ca="1">IFERROR(__xludf.DUMMYFUNCTION("""COMPUTED_VALUE"""),"шт")</f>
        <v>шт</v>
      </c>
      <c r="F344" s="1" t="str">
        <f ca="1">IFERROR(__xludf.DUMMYFUNCTION("""COMPUTED_VALUE"""),"AST00000083")</f>
        <v>AST00000083</v>
      </c>
      <c r="G344" s="1">
        <f ca="1">IFERROR(__xludf.DUMMYFUNCTION("""COMPUTED_VALUE"""),7640162320429)</f>
        <v>7640162320429</v>
      </c>
      <c r="H344" s="1"/>
    </row>
    <row r="345" spans="1:8" x14ac:dyDescent="0.2">
      <c r="A345" s="1">
        <f ca="1">IFERROR(__xludf.DUMMYFUNCTION("""COMPUTED_VALUE"""),7640162320900)</f>
        <v>7640162320900</v>
      </c>
      <c r="B345" s="1" t="str">
        <f ca="1">IFERROR(__xludf.DUMMYFUNCTION("""COMPUTED_VALUE"""),"mod.A1950 TurboMini")</f>
        <v>mod.A1950 TurboMini</v>
      </c>
      <c r="C345" s="1" t="str">
        <f ca="1">IFERROR(__xludf.DUMMYFUNCTION("""COMPUTED_VALUE"""),"Ингалятор компрессорный Dr.Frei Turbo Mini")</f>
        <v>Ингалятор компрессорный Dr.Frei Turbo Mini</v>
      </c>
      <c r="D345" s="1" t="str">
        <f ca="1">IFERROR(__xludf.DUMMYFUNCTION("""COMPUTED_VALUE"""),"Ингалятор компрессорный Dr.Frei, Модель Turbo Mini ш/к 7640162320900")</f>
        <v>Ингалятор компрессорный Dr.Frei, Модель Turbo Mini ш/к 7640162320900</v>
      </c>
      <c r="E345" s="1" t="str">
        <f ca="1">IFERROR(__xludf.DUMMYFUNCTION("""COMPUTED_VALUE"""),"шт")</f>
        <v>шт</v>
      </c>
      <c r="F345" s="1" t="str">
        <f ca="1">IFERROR(__xludf.DUMMYFUNCTION("""COMPUTED_VALUE"""),"AST00000082")</f>
        <v>AST00000082</v>
      </c>
      <c r="G345" s="1">
        <f ca="1">IFERROR(__xludf.DUMMYFUNCTION("""COMPUTED_VALUE"""),7640162320900)</f>
        <v>7640162320900</v>
      </c>
      <c r="H345" s="1"/>
    </row>
    <row r="346" spans="1:8" x14ac:dyDescent="0.2">
      <c r="A346" s="1" t="str">
        <f ca="1">IFERROR(__xludf.DUMMYFUNCTION("""COMPUTED_VALUE"""),"Ингаляторы Gamma")</f>
        <v>Ингаляторы Gamma</v>
      </c>
      <c r="B346" s="1"/>
      <c r="C346" s="1"/>
      <c r="D346" s="1"/>
      <c r="E346" s="1"/>
      <c r="F346" s="1"/>
      <c r="G346" s="1"/>
      <c r="H346" s="1"/>
    </row>
    <row r="347" spans="1:8" x14ac:dyDescent="0.2">
      <c r="A347" s="1">
        <f ca="1">IFERROR(__xludf.DUMMYFUNCTION("""COMPUTED_VALUE"""),6956937000573)</f>
        <v>6956937000573</v>
      </c>
      <c r="B347" s="1" t="str">
        <f ca="1">IFERROR(__xludf.DUMMYFUNCTION("""COMPUTED_VALUE"""),"EFFECT NEW")</f>
        <v>EFFECT NEW</v>
      </c>
      <c r="C347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D347" s="1" t="str">
        <f ca="1">IFERROR(__xludf.DUMMYFUNCTION("""COMPUTED_VALUE"""),"Ингалятор компрессорный GAMMA модель EFFECT NEW ш/к 6956937000573")</f>
        <v>Ингалятор компрессорный GAMMA модель EFFECT NEW ш/к 6956937000573</v>
      </c>
      <c r="E347" s="1" t="str">
        <f ca="1">IFERROR(__xludf.DUMMYFUNCTION("""COMPUTED_VALUE"""),"шт")</f>
        <v>шт</v>
      </c>
      <c r="F347" s="1" t="str">
        <f ca="1">IFERROR(__xludf.DUMMYFUNCTION("""COMPUTED_VALUE"""),"AST00000286")</f>
        <v>AST00000286</v>
      </c>
      <c r="G347" s="1">
        <f ca="1">IFERROR(__xludf.DUMMYFUNCTION("""COMPUTED_VALUE"""),6956937000573)</f>
        <v>6956937000573</v>
      </c>
      <c r="H347" s="1"/>
    </row>
    <row r="348" spans="1:8" x14ac:dyDescent="0.2">
      <c r="A348" s="1">
        <f ca="1">IFERROR(__xludf.DUMMYFUNCTION("""COMPUTED_VALUE"""),6956937000580)</f>
        <v>6956937000580</v>
      </c>
      <c r="B348" s="1" t="str">
        <f ca="1">IFERROR(__xludf.DUMMYFUNCTION("""COMPUTED_VALUE"""),"NEMO")</f>
        <v>NEMO</v>
      </c>
      <c r="C348" s="1" t="str">
        <f ca="1">IFERROR(__xludf.DUMMYFUNCTION("""COMPUTED_VALUE"""),"Ингалятор компрессорный Gamma модель NEMO")</f>
        <v>Ингалятор компрессорный Gamma модель NEMO</v>
      </c>
      <c r="D348" s="1" t="str">
        <f ca="1">IFERROR(__xludf.DUMMYFUNCTION("""COMPUTED_VALUE"""),"Ингалятор компрессорный GAMMA модель NEMO ш/к 6956937000580")</f>
        <v>Ингалятор компрессорный GAMMA модель NEMO ш/к 6956937000580</v>
      </c>
      <c r="E348" s="1" t="str">
        <f ca="1">IFERROR(__xludf.DUMMYFUNCTION("""COMPUTED_VALUE"""),"шт")</f>
        <v>шт</v>
      </c>
      <c r="F348" s="1" t="str">
        <f ca="1">IFERROR(__xludf.DUMMYFUNCTION("""COMPUTED_VALUE"""),"AST00000287")</f>
        <v>AST00000287</v>
      </c>
      <c r="G348" s="1">
        <f ca="1">IFERROR(__xludf.DUMMYFUNCTION("""COMPUTED_VALUE"""),6956937000580)</f>
        <v>6956937000580</v>
      </c>
      <c r="H348" s="1"/>
    </row>
    <row r="349" spans="1:8" x14ac:dyDescent="0.2">
      <c r="A349" s="1" t="str">
        <f ca="1">IFERROR(__xludf.DUMMYFUNCTION("""COMPUTED_VALUE"""),"Костыли Dr.Frei")</f>
        <v>Костыли Dr.Frei</v>
      </c>
      <c r="B349" s="1"/>
      <c r="C349" s="1"/>
      <c r="D349" s="1"/>
      <c r="E349" s="1"/>
      <c r="F349" s="1"/>
      <c r="G349" s="1"/>
      <c r="H349" s="1"/>
    </row>
    <row r="350" spans="1:8" x14ac:dyDescent="0.2">
      <c r="A350" s="1">
        <f ca="1">IFERROR(__xludf.DUMMYFUNCTION("""COMPUTED_VALUE"""),7640162320740)</f>
        <v>7640162320740</v>
      </c>
      <c r="B350" s="1" t="str">
        <f ca="1">IFERROR(__xludf.DUMMYFUNCTION("""COMPUTED_VALUE"""),"KY912L")</f>
        <v>KY912L</v>
      </c>
      <c r="C350" s="1" t="str">
        <f ca="1">IFERROR(__xludf.DUMMYFUNCTION("""COMPUTED_VALUE"""),"KY912L Ходунки складные на двух колесах")</f>
        <v>KY912L Ходунки складные на двух колесах</v>
      </c>
      <c r="D350" s="1" t="str">
        <f ca="1">IFERROR(__xludf.DUMMYFUNCTION("""COMPUTED_VALUE"""),"KY912L Ходунки складные на двух колесах ш/к 7640162320740")</f>
        <v>KY912L Ходунки складные на двух колесах ш/к 7640162320740</v>
      </c>
      <c r="E350" s="1" t="str">
        <f ca="1">IFERROR(__xludf.DUMMYFUNCTION("""COMPUTED_VALUE"""),"шт")</f>
        <v>шт</v>
      </c>
      <c r="F350" s="1" t="str">
        <f ca="1">IFERROR(__xludf.DUMMYFUNCTION("""COMPUTED_VALUE"""),"КС000043")</f>
        <v>КС000043</v>
      </c>
      <c r="G350" s="1">
        <f ca="1">IFERROR(__xludf.DUMMYFUNCTION("""COMPUTED_VALUE"""),7640162320740)</f>
        <v>7640162320740</v>
      </c>
      <c r="H350" s="1"/>
    </row>
    <row r="351" spans="1:8" x14ac:dyDescent="0.2">
      <c r="A351" s="1">
        <f ca="1">IFERROR(__xludf.DUMMYFUNCTION("""COMPUTED_VALUE"""),7640162320757)</f>
        <v>7640162320757</v>
      </c>
      <c r="B351" s="1" t="str">
        <f ca="1">IFERROR(__xludf.DUMMYFUNCTION("""COMPUTED_VALUE"""),"KY913L")</f>
        <v>KY913L</v>
      </c>
      <c r="C351" s="1" t="str">
        <f ca="1">IFERROR(__xludf.DUMMYFUNCTION("""COMPUTED_VALUE"""),"KY913L Ходунки складные")</f>
        <v>KY913L Ходунки складные</v>
      </c>
      <c r="D351" s="1" t="str">
        <f ca="1">IFERROR(__xludf.DUMMYFUNCTION("""COMPUTED_VALUE"""),"KY913L Ходунки складные ш/к 7640162320757")</f>
        <v>KY913L Ходунки складные ш/к 7640162320757</v>
      </c>
      <c r="E351" s="1" t="str">
        <f ca="1">IFERROR(__xludf.DUMMYFUNCTION("""COMPUTED_VALUE"""),"шт")</f>
        <v>шт</v>
      </c>
      <c r="F351" s="1" t="str">
        <f ca="1">IFERROR(__xludf.DUMMYFUNCTION("""COMPUTED_VALUE"""),"КС000029")</f>
        <v>КС000029</v>
      </c>
      <c r="G351" s="1">
        <f ca="1">IFERROR(__xludf.DUMMYFUNCTION("""COMPUTED_VALUE"""),7640162320757)</f>
        <v>7640162320757</v>
      </c>
      <c r="H351" s="1"/>
    </row>
    <row r="352" spans="1:8" x14ac:dyDescent="0.2">
      <c r="A352" s="1">
        <f ca="1">IFERROR(__xludf.DUMMYFUNCTION("""COMPUTED_VALUE"""),7640162320795)</f>
        <v>7640162320795</v>
      </c>
      <c r="B352" s="1" t="str">
        <f ca="1">IFERROR(__xludf.DUMMYFUNCTION("""COMPUTED_VALUE"""),"KY920L")</f>
        <v>KY920L</v>
      </c>
      <c r="C352" s="1" t="str">
        <f ca="1">IFERROR(__xludf.DUMMYFUNCTION("""COMPUTED_VALUE"""),"KY920L Трость телескопическая")</f>
        <v>KY920L Трость телескопическая</v>
      </c>
      <c r="D352" s="1" t="str">
        <f ca="1">IFERROR(__xludf.DUMMYFUNCTION("""COMPUTED_VALUE"""),"KY920L Трость телескопическая ш/к 7640162320795")</f>
        <v>KY920L Трость телескопическая ш/к 7640162320795</v>
      </c>
      <c r="E352" s="1" t="str">
        <f ca="1">IFERROR(__xludf.DUMMYFUNCTION("""COMPUTED_VALUE"""),"шт")</f>
        <v>шт</v>
      </c>
      <c r="F352" s="1" t="str">
        <f ca="1">IFERROR(__xludf.DUMMYFUNCTION("""COMPUTED_VALUE"""),"КС000032")</f>
        <v>КС000032</v>
      </c>
      <c r="G352" s="1">
        <f ca="1">IFERROR(__xludf.DUMMYFUNCTION("""COMPUTED_VALUE"""),7640162320795)</f>
        <v>7640162320795</v>
      </c>
      <c r="H352" s="1"/>
    </row>
    <row r="353" spans="1:8" x14ac:dyDescent="0.2">
      <c r="A353" s="1">
        <f ca="1">IFERROR(__xludf.DUMMYFUNCTION("""COMPUTED_VALUE"""),7640162320696)</f>
        <v>7640162320696</v>
      </c>
      <c r="B353" s="1" t="str">
        <f ca="1">IFERROR(__xludf.DUMMYFUNCTION("""COMPUTED_VALUE"""),"KY925M")</f>
        <v>KY925M</v>
      </c>
      <c r="C353" s="1" t="str">
        <f ca="1">IFERROR(__xludf.DUMMYFUNCTION("""COMPUTED_VALUE"""),"KY925M Костыль")</f>
        <v>KY925M Костыль</v>
      </c>
      <c r="D353" s="1" t="str">
        <f ca="1">IFERROR(__xludf.DUMMYFUNCTION("""COMPUTED_VALUE"""),"KY925M Костыль с подмышечной опорой ш/к 7640162320696")</f>
        <v>KY925M Костыль с подмышечной опорой ш/к 7640162320696</v>
      </c>
      <c r="E353" s="1" t="str">
        <f ca="1">IFERROR(__xludf.DUMMYFUNCTION("""COMPUTED_VALUE"""),"шт")</f>
        <v>шт</v>
      </c>
      <c r="F353" s="1" t="str">
        <f ca="1">IFERROR(__xludf.DUMMYFUNCTION("""COMPUTED_VALUE"""),"КС000024")</f>
        <v>КС000024</v>
      </c>
      <c r="G353" s="1">
        <f ca="1">IFERROR(__xludf.DUMMYFUNCTION("""COMPUTED_VALUE"""),7640162320696)</f>
        <v>7640162320696</v>
      </c>
      <c r="H353" s="1"/>
    </row>
    <row r="354" spans="1:8" x14ac:dyDescent="0.2">
      <c r="A354" s="1">
        <f ca="1">IFERROR(__xludf.DUMMYFUNCTION("""COMPUTED_VALUE"""),7640162320825)</f>
        <v>7640162320825</v>
      </c>
      <c r="B354" s="1" t="str">
        <f ca="1">IFERROR(__xludf.DUMMYFUNCTION("""COMPUTED_VALUE"""),"KY927L")</f>
        <v>KY927L</v>
      </c>
      <c r="C354" s="1" t="str">
        <f ca="1">IFERROR(__xludf.DUMMYFUNCTION("""COMPUTED_VALUE"""),"KY927L Трость телескопическая складная")</f>
        <v>KY927L Трость телескопическая складная</v>
      </c>
      <c r="D354" s="1" t="str">
        <f ca="1">IFERROR(__xludf.DUMMYFUNCTION("""COMPUTED_VALUE"""),"KY927L Трость телескопическая складная ш/к 7640162320825")</f>
        <v>KY927L Трость телескопическая складная ш/к 7640162320825</v>
      </c>
      <c r="E354" s="1" t="str">
        <f ca="1">IFERROR(__xludf.DUMMYFUNCTION("""COMPUTED_VALUE"""),"шт")</f>
        <v>шт</v>
      </c>
      <c r="F354" s="1" t="str">
        <f ca="1">IFERROR(__xludf.DUMMYFUNCTION("""COMPUTED_VALUE"""),"КС000041")</f>
        <v>КС000041</v>
      </c>
      <c r="G354" s="1">
        <f ca="1">IFERROR(__xludf.DUMMYFUNCTION("""COMPUTED_VALUE"""),7640162320825)</f>
        <v>7640162320825</v>
      </c>
      <c r="H354" s="1"/>
    </row>
    <row r="355" spans="1:8" x14ac:dyDescent="0.2">
      <c r="A355" s="1">
        <f ca="1">IFERROR(__xludf.DUMMYFUNCTION("""COMPUTED_VALUE"""),7640162320832)</f>
        <v>7640162320832</v>
      </c>
      <c r="B355" s="1" t="str">
        <f ca="1">IFERROR(__xludf.DUMMYFUNCTION("""COMPUTED_VALUE"""),"KY928L")</f>
        <v>KY928L</v>
      </c>
      <c r="C355" s="1" t="str">
        <f ca="1">IFERROR(__xludf.DUMMYFUNCTION("""COMPUTED_VALUE"""),"KY928L Трость телескопическая")</f>
        <v>KY928L Трость телескопическая</v>
      </c>
      <c r="D355" s="1" t="str">
        <f ca="1">IFERROR(__xludf.DUMMYFUNCTION("""COMPUTED_VALUE"""),"KY928L Трость телескопическая ш/к 7640162320832")</f>
        <v>KY928L Трость телескопическая ш/к 7640162320832</v>
      </c>
      <c r="E355" s="1" t="str">
        <f ca="1">IFERROR(__xludf.DUMMYFUNCTION("""COMPUTED_VALUE"""),"шт")</f>
        <v>шт</v>
      </c>
      <c r="F355" s="1" t="str">
        <f ca="1">IFERROR(__xludf.DUMMYFUNCTION("""COMPUTED_VALUE"""),"КС000034")</f>
        <v>КС000034</v>
      </c>
      <c r="G355" s="1">
        <f ca="1">IFERROR(__xludf.DUMMYFUNCTION("""COMPUTED_VALUE"""),7640162320832)</f>
        <v>7640162320832</v>
      </c>
      <c r="H355" s="1"/>
    </row>
    <row r="356" spans="1:8" x14ac:dyDescent="0.2">
      <c r="A356" s="1">
        <f ca="1">IFERROR(__xludf.DUMMYFUNCTION("""COMPUTED_VALUE"""),7640162320702)</f>
        <v>7640162320702</v>
      </c>
      <c r="B356" s="1" t="str">
        <f ca="1">IFERROR(__xludf.DUMMYFUNCTION("""COMPUTED_VALUE"""),"KY933L")</f>
        <v>KY933L</v>
      </c>
      <c r="C356" s="1" t="str">
        <f ca="1">IFERROR(__xludf.DUMMYFUNCTION("""COMPUTED_VALUE"""),"KY933L Костыль с опорой под локоть")</f>
        <v>KY933L Костыль с опорой под локоть</v>
      </c>
      <c r="D356" s="1" t="str">
        <f ca="1">IFERROR(__xludf.DUMMYFUNCTION("""COMPUTED_VALUE"""),"KY933L Костыль с опорой под локоть ш/к 7640162320702")</f>
        <v>KY933L Костыль с опорой под локоть ш/к 7640162320702</v>
      </c>
      <c r="E356" s="1" t="str">
        <f ca="1">IFERROR(__xludf.DUMMYFUNCTION("""COMPUTED_VALUE"""),"шт")</f>
        <v>шт</v>
      </c>
      <c r="F356" s="1" t="str">
        <f ca="1">IFERROR(__xludf.DUMMYFUNCTION("""COMPUTED_VALUE"""),"КС000025")</f>
        <v>КС000025</v>
      </c>
      <c r="G356" s="1">
        <f ca="1">IFERROR(__xludf.DUMMYFUNCTION("""COMPUTED_VALUE"""),7640162320702)</f>
        <v>7640162320702</v>
      </c>
      <c r="H356" s="1"/>
    </row>
    <row r="357" spans="1:8" x14ac:dyDescent="0.2">
      <c r="A357" s="1">
        <f ca="1">IFERROR(__xludf.DUMMYFUNCTION("""COMPUTED_VALUE"""),7640162320719)</f>
        <v>7640162320719</v>
      </c>
      <c r="B357" s="1" t="str">
        <f ca="1">IFERROR(__xludf.DUMMYFUNCTION("""COMPUTED_VALUE"""),"KY935L")</f>
        <v>KY935L</v>
      </c>
      <c r="C357" s="1" t="str">
        <f ca="1">IFERROR(__xludf.DUMMYFUNCTION("""COMPUTED_VALUE"""),"KY935L Костыль")</f>
        <v>KY935L Костыль</v>
      </c>
      <c r="D357" s="1" t="str">
        <f ca="1">IFERROR(__xludf.DUMMYFUNCTION("""COMPUTED_VALUE"""),"KY935L Костыль с подмышечной опорой ш/к 7640162320719")</f>
        <v>KY935L Костыль с подмышечной опорой ш/к 7640162320719</v>
      </c>
      <c r="E357" s="1" t="str">
        <f ca="1">IFERROR(__xludf.DUMMYFUNCTION("""COMPUTED_VALUE"""),"шт")</f>
        <v>шт</v>
      </c>
      <c r="F357" s="1" t="str">
        <f ca="1">IFERROR(__xludf.DUMMYFUNCTION("""COMPUTED_VALUE"""),"КС000026")</f>
        <v>КС000026</v>
      </c>
      <c r="G357" s="1">
        <f ca="1">IFERROR(__xludf.DUMMYFUNCTION("""COMPUTED_VALUE"""),7640162320719)</f>
        <v>7640162320719</v>
      </c>
      <c r="H357" s="1"/>
    </row>
    <row r="358" spans="1:8" x14ac:dyDescent="0.2">
      <c r="A358" s="1">
        <f ca="1">IFERROR(__xludf.DUMMYFUNCTION("""COMPUTED_VALUE"""),7640162320726)</f>
        <v>7640162320726</v>
      </c>
      <c r="B358" s="1" t="str">
        <f ca="1">IFERROR(__xludf.DUMMYFUNCTION("""COMPUTED_VALUE"""),"KY935M")</f>
        <v>KY935M</v>
      </c>
      <c r="C358" s="1" t="str">
        <f ca="1">IFERROR(__xludf.DUMMYFUNCTION("""COMPUTED_VALUE"""),"KY935M Костыль")</f>
        <v>KY935M Костыль</v>
      </c>
      <c r="D358" s="1" t="str">
        <f ca="1">IFERROR(__xludf.DUMMYFUNCTION("""COMPUTED_VALUE"""),"KY935M Костыль с подмышечной опорой ш/к 7640162320726")</f>
        <v>KY935M Костыль с подмышечной опорой ш/к 7640162320726</v>
      </c>
      <c r="E358" s="1" t="str">
        <f ca="1">IFERROR(__xludf.DUMMYFUNCTION("""COMPUTED_VALUE"""),"шт")</f>
        <v>шт</v>
      </c>
      <c r="F358" s="1" t="str">
        <f ca="1">IFERROR(__xludf.DUMMYFUNCTION("""COMPUTED_VALUE"""),"КС000027")</f>
        <v>КС000027</v>
      </c>
      <c r="G358" s="1">
        <f ca="1">IFERROR(__xludf.DUMMYFUNCTION("""COMPUTED_VALUE"""),7640162320726)</f>
        <v>7640162320726</v>
      </c>
      <c r="H358" s="1"/>
    </row>
    <row r="359" spans="1:8" x14ac:dyDescent="0.2">
      <c r="A359" s="1">
        <f ca="1">IFERROR(__xludf.DUMMYFUNCTION("""COMPUTED_VALUE"""),7640162320733)</f>
        <v>7640162320733</v>
      </c>
      <c r="B359" s="1" t="str">
        <f ca="1">IFERROR(__xludf.DUMMYFUNCTION("""COMPUTED_VALUE"""),"KY937L")</f>
        <v>KY937L</v>
      </c>
      <c r="C359" s="1" t="str">
        <f ca="1">IFERROR(__xludf.DUMMYFUNCTION("""COMPUTED_VALUE"""),"KY937L Костыль с опорою под локоть")</f>
        <v>KY937L Костыль с опорою под локоть</v>
      </c>
      <c r="D359" s="1" t="str">
        <f ca="1">IFERROR(__xludf.DUMMYFUNCTION("""COMPUTED_VALUE"""),"KY937L Костыль с опорою под локоть ш/к 7640162320733")</f>
        <v>KY937L Костыль с опорою под локоть ш/к 7640162320733</v>
      </c>
      <c r="E359" s="1" t="str">
        <f ca="1">IFERROR(__xludf.DUMMYFUNCTION("""COMPUTED_VALUE"""),"шт")</f>
        <v>шт</v>
      </c>
      <c r="F359" s="1" t="str">
        <f ca="1">IFERROR(__xludf.DUMMYFUNCTION("""COMPUTED_VALUE"""),"КС000028")</f>
        <v>КС000028</v>
      </c>
      <c r="G359" s="1">
        <f ca="1">IFERROR(__xludf.DUMMYFUNCTION("""COMPUTED_VALUE"""),7640162320733)</f>
        <v>7640162320733</v>
      </c>
      <c r="H359" s="1"/>
    </row>
    <row r="360" spans="1:8" x14ac:dyDescent="0.2">
      <c r="A360" s="1">
        <f ca="1">IFERROR(__xludf.DUMMYFUNCTION("""COMPUTED_VALUE"""),7640162320870)</f>
        <v>7640162320870</v>
      </c>
      <c r="B360" s="1" t="str">
        <f ca="1">IFERROR(__xludf.DUMMYFUNCTION("""COMPUTED_VALUE"""),"KY939L")</f>
        <v>KY939L</v>
      </c>
      <c r="C360" s="1" t="str">
        <f ca="1">IFERROR(__xludf.DUMMYFUNCTION("""COMPUTED_VALUE"""),"KY939L Трость телескопическая")</f>
        <v>KY939L Трость телескопическая</v>
      </c>
      <c r="D360" s="1" t="str">
        <f ca="1">IFERROR(__xludf.DUMMYFUNCTION("""COMPUTED_VALUE"""),"KY939L Трость телескопическая ш/к 7640162320870")</f>
        <v>KY939L Трость телескопическая ш/к 7640162320870</v>
      </c>
      <c r="E360" s="1" t="str">
        <f ca="1">IFERROR(__xludf.DUMMYFUNCTION("""COMPUTED_VALUE"""),"шт")</f>
        <v>шт</v>
      </c>
      <c r="F360" s="1" t="str">
        <f ca="1">IFERROR(__xludf.DUMMYFUNCTION("""COMPUTED_VALUE"""),"КС000038")</f>
        <v>КС000038</v>
      </c>
      <c r="G360" s="1">
        <f ca="1">IFERROR(__xludf.DUMMYFUNCTION("""COMPUTED_VALUE"""),7640162320870)</f>
        <v>7640162320870</v>
      </c>
      <c r="H360" s="1"/>
    </row>
    <row r="361" spans="1:8" x14ac:dyDescent="0.2">
      <c r="A361" s="1" t="str">
        <f ca="1">IFERROR(__xludf.DUMMYFUNCTION("""COMPUTED_VALUE"""),"Кофе")</f>
        <v>Кофе</v>
      </c>
      <c r="B361" s="1"/>
      <c r="C361" s="1"/>
      <c r="D361" s="1"/>
      <c r="E361" s="1"/>
      <c r="F361" s="1"/>
      <c r="G361" s="1"/>
      <c r="H361" s="1"/>
    </row>
    <row r="362" spans="1:8" x14ac:dyDescent="0.2">
      <c r="A362" s="1">
        <f ca="1">IFERROR(__xludf.DUMMYFUNCTION("""COMPUTED_VALUE"""),77331)</f>
        <v>77331</v>
      </c>
      <c r="B362" s="1" t="str">
        <f ca="1">IFERROR(__xludf.DUMMYFUNCTION("""COMPUTED_VALUE"""),"Crema 250")</f>
        <v>Crema 250</v>
      </c>
      <c r="C362" s="1" t="str">
        <f ca="1">IFERROR(__xludf.DUMMYFUNCTION("""COMPUTED_VALUE"""),"Кофе натуральный жареный марки ""Swiss Energy Coffee"": молотый ""Crema"",  250г")</f>
        <v>Кофе натуральный жареный марки "Swiss Energy Coffee": молотый "Crema",  250г</v>
      </c>
      <c r="D362" s="1" t="str">
        <f ca="1">IFERROR(__xludf.DUMMYFUNCTION("""COMPUTED_VALUE"""),"Кофе натуральный жареный марки ""Swiss Energy Coffee"": молотый ""Crema"",  250г")</f>
        <v>Кофе натуральный жареный марки "Swiss Energy Coffee": молотый "Crema",  250г</v>
      </c>
      <c r="E362" s="1" t="str">
        <f ca="1">IFERROR(__xludf.DUMMYFUNCTION("""COMPUTED_VALUE"""),"шт")</f>
        <v>шт</v>
      </c>
      <c r="F362" s="1" t="str">
        <f ca="1">IFERROR(__xludf.DUMMYFUNCTION("""COMPUTED_VALUE"""),"AST00000689")</f>
        <v>AST00000689</v>
      </c>
      <c r="G362" s="1">
        <f ca="1">IFERROR(__xludf.DUMMYFUNCTION("""COMPUTED_VALUE"""),77331)</f>
        <v>77331</v>
      </c>
      <c r="H362" s="1"/>
    </row>
    <row r="363" spans="1:8" x14ac:dyDescent="0.2">
      <c r="A363" s="1">
        <f ca="1">IFERROR(__xludf.DUMMYFUNCTION("""COMPUTED_VALUE"""),77332)</f>
        <v>77332</v>
      </c>
      <c r="B363" s="1" t="str">
        <f ca="1">IFERROR(__xludf.DUMMYFUNCTION("""COMPUTED_VALUE"""),"Crema 500")</f>
        <v>Crema 500</v>
      </c>
      <c r="C363" s="1" t="str">
        <f ca="1">IFERROR(__xludf.DUMMYFUNCTION("""COMPUTED_VALUE"""),"Кофе натуральный жареный марки ""Swiss Energy Coffee"": в зернах ""Crema"",  500г")</f>
        <v>Кофе натуральный жареный марки "Swiss Energy Coffee": в зернах "Crema",  500г</v>
      </c>
      <c r="D363" s="1" t="str">
        <f ca="1">IFERROR(__xludf.DUMMYFUNCTION("""COMPUTED_VALUE"""),"Кофе натуральный жареный марки ""Swiss Energy Coffee"": в зернах ""Crema"",  500г")</f>
        <v>Кофе натуральный жареный марки "Swiss Energy Coffee": в зернах "Crema",  500г</v>
      </c>
      <c r="E363" s="1" t="str">
        <f ca="1">IFERROR(__xludf.DUMMYFUNCTION("""COMPUTED_VALUE"""),"шт")</f>
        <v>шт</v>
      </c>
      <c r="F363" s="1" t="str">
        <f ca="1">IFERROR(__xludf.DUMMYFUNCTION("""COMPUTED_VALUE"""),"AST00000690")</f>
        <v>AST00000690</v>
      </c>
      <c r="G363" s="1">
        <f ca="1">IFERROR(__xludf.DUMMYFUNCTION("""COMPUTED_VALUE"""),77332)</f>
        <v>77332</v>
      </c>
      <c r="H363" s="1"/>
    </row>
    <row r="364" spans="1:8" x14ac:dyDescent="0.2">
      <c r="A364" s="1">
        <f ca="1">IFERROR(__xludf.DUMMYFUNCTION("""COMPUTED_VALUE"""),77333)</f>
        <v>77333</v>
      </c>
      <c r="B364" s="1" t="str">
        <f ca="1">IFERROR(__xludf.DUMMYFUNCTION("""COMPUTED_VALUE"""),"Edel 250")</f>
        <v>Edel 250</v>
      </c>
      <c r="C364" s="1" t="str">
        <f ca="1">IFERROR(__xludf.DUMMYFUNCTION("""COMPUTED_VALUE"""),"Кофе натуральный жареный марки ""Swiss Energy Coffee"": молотый ""Edel"", 250г")</f>
        <v>Кофе натуральный жареный марки "Swiss Energy Coffee": молотый "Edel", 250г</v>
      </c>
      <c r="D364" s="1" t="str">
        <f ca="1">IFERROR(__xludf.DUMMYFUNCTION("""COMPUTED_VALUE"""),"Кофе натуральный жареный марки ""Swiss Energy Coffee"": молотый ""Edel"", 250г")</f>
        <v>Кофе натуральный жареный марки "Swiss Energy Coffee": молотый "Edel", 250г</v>
      </c>
      <c r="E364" s="1" t="str">
        <f ca="1">IFERROR(__xludf.DUMMYFUNCTION("""COMPUTED_VALUE"""),"шт")</f>
        <v>шт</v>
      </c>
      <c r="F364" s="1" t="str">
        <f ca="1">IFERROR(__xludf.DUMMYFUNCTION("""COMPUTED_VALUE"""),"AST00000691")</f>
        <v>AST00000691</v>
      </c>
      <c r="G364" s="1">
        <f ca="1">IFERROR(__xludf.DUMMYFUNCTION("""COMPUTED_VALUE"""),77333)</f>
        <v>77333</v>
      </c>
      <c r="H364" s="1"/>
    </row>
    <row r="365" spans="1:8" x14ac:dyDescent="0.2">
      <c r="A365" s="1">
        <f ca="1">IFERROR(__xludf.DUMMYFUNCTION("""COMPUTED_VALUE"""),77334)</f>
        <v>77334</v>
      </c>
      <c r="B365" s="1" t="str">
        <f ca="1">IFERROR(__xludf.DUMMYFUNCTION("""COMPUTED_VALUE"""),"Edel 500")</f>
        <v>Edel 500</v>
      </c>
      <c r="C365" s="1" t="str">
        <f ca="1">IFERROR(__xludf.DUMMYFUNCTION("""COMPUTED_VALUE"""),"Кофе натуральный жареный марки ""Swiss Energy Coffee"": в зернах ""Edel"",  500г")</f>
        <v>Кофе натуральный жареный марки "Swiss Energy Coffee": в зернах "Edel",  500г</v>
      </c>
      <c r="D365" s="1" t="str">
        <f ca="1">IFERROR(__xludf.DUMMYFUNCTION("""COMPUTED_VALUE"""),"Кофе натуральный жареный марки ""Swiss Energy Coffee"": в зернах ""Edel"",  500г")</f>
        <v>Кофе натуральный жареный марки "Swiss Energy Coffee": в зернах "Edel",  500г</v>
      </c>
      <c r="E365" s="1" t="str">
        <f ca="1">IFERROR(__xludf.DUMMYFUNCTION("""COMPUTED_VALUE"""),"шт")</f>
        <v>шт</v>
      </c>
      <c r="F365" s="1" t="str">
        <f ca="1">IFERROR(__xludf.DUMMYFUNCTION("""COMPUTED_VALUE"""),"AST00000692")</f>
        <v>AST00000692</v>
      </c>
      <c r="G365" s="1">
        <f ca="1">IFERROR(__xludf.DUMMYFUNCTION("""COMPUTED_VALUE"""),77334)</f>
        <v>77334</v>
      </c>
      <c r="H365" s="1"/>
    </row>
    <row r="366" spans="1:8" x14ac:dyDescent="0.2">
      <c r="A366" s="1" t="str">
        <f ca="1">IFERROR(__xludf.DUMMYFUNCTION("""COMPUTED_VALUE"""),"Ополаскиватель")</f>
        <v>Ополаскиватель</v>
      </c>
      <c r="B366" s="1"/>
      <c r="C366" s="1"/>
      <c r="D366" s="1"/>
      <c r="E366" s="1"/>
      <c r="F366" s="1"/>
      <c r="G366" s="1"/>
      <c r="H366" s="1"/>
    </row>
    <row r="367" spans="1:8" x14ac:dyDescent="0.2">
      <c r="A367" s="1">
        <f ca="1">IFERROR(__xludf.DUMMYFUNCTION("""COMPUTED_VALUE"""),7640162322416)</f>
        <v>7640162322416</v>
      </c>
      <c r="B367" s="1" t="str">
        <f ca="1">IFERROR(__xludf.DUMMYFUNCTION("""COMPUTED_VALUE"""),"FRESH BREATH")</f>
        <v>FRESH BREATH</v>
      </c>
      <c r="C367" s="1" t="str">
        <f ca="1">IFERROR(__xludf.DUMMYFUNCTION("""COMPUTED_VALUE"""),"Ополаскиватель для полости рта DENTISSIMO FRESH BREATH/Свежее дыхание")</f>
        <v>Ополаскиватель для полости рта DENTISSIMO FRESH BREATH/Свежее дыхание</v>
      </c>
      <c r="D367" s="1" t="str">
        <f ca="1">IFERROR(__xludf.DUMMYFUNCTION("""COMPUTED_VALUE"""),"Ополаскиватель для полости рта TM DENTISSIMO FRESH BREATH MOUTHWASH (свежее дыхание) / ш/к 7640162322416")</f>
        <v>Ополаскиватель для полости рта TM DENTISSIMO FRESH BREATH MOUTHWASH (свежее дыхание) / ш/к 7640162322416</v>
      </c>
      <c r="E367" s="1" t="str">
        <f ca="1">IFERROR(__xludf.DUMMYFUNCTION("""COMPUTED_VALUE"""),"шт")</f>
        <v>шт</v>
      </c>
      <c r="F367" s="1" t="str">
        <f ca="1">IFERROR(__xludf.DUMMYFUNCTION("""COMPUTED_VALUE"""),"AST00000376")</f>
        <v>AST00000376</v>
      </c>
      <c r="G367" s="1">
        <f ca="1">IFERROR(__xludf.DUMMYFUNCTION("""COMPUTED_VALUE"""),7640162322416)</f>
        <v>7640162322416</v>
      </c>
      <c r="H367" s="1"/>
    </row>
    <row r="368" spans="1:8" x14ac:dyDescent="0.2">
      <c r="A368" s="1">
        <f ca="1">IFERROR(__xludf.DUMMYFUNCTION("""COMPUTED_VALUE"""),7640162322423)</f>
        <v>7640162322423</v>
      </c>
      <c r="B368" s="1" t="str">
        <f ca="1">IFERROR(__xludf.DUMMYFUNCTION("""COMPUTED_VALUE"""),"GUM PROTECTION")</f>
        <v>GUM PROTECTION</v>
      </c>
      <c r="C368" s="1" t="str">
        <f ca="1">IFERROR(__xludf.DUMMYFUNCTION("""COMPUTED_VALUE"""),"Ополаскиватель для полости рта DENTISSIMO GUM PROTECTION/Защита десен")</f>
        <v>Ополаскиватель для полости рта DENTISSIMO GUM PROTECTION/Защита десен</v>
      </c>
      <c r="D368" s="1" t="str">
        <f ca="1">IFERROR(__xludf.DUMMYFUNCTION("""COMPUTED_VALUE"""),"Ополаскиватель для полости рта TM DENTISSIMO GUM PROTECTION MOUTHWASH (защита десен) / ш/к 7640162322423")</f>
        <v>Ополаскиватель для полости рта TM DENTISSIMO GUM PROTECTION MOUTHWASH (защита десен) / ш/к 7640162322423</v>
      </c>
      <c r="E368" s="1" t="str">
        <f ca="1">IFERROR(__xludf.DUMMYFUNCTION("""COMPUTED_VALUE"""),"шт")</f>
        <v>шт</v>
      </c>
      <c r="F368" s="1" t="str">
        <f ca="1">IFERROR(__xludf.DUMMYFUNCTION("""COMPUTED_VALUE"""),"AST00000377")</f>
        <v>AST00000377</v>
      </c>
      <c r="G368" s="1">
        <f ca="1">IFERROR(__xludf.DUMMYFUNCTION("""COMPUTED_VALUE"""),7640162322423)</f>
        <v>7640162322423</v>
      </c>
      <c r="H368" s="1"/>
    </row>
    <row r="369" spans="1:8" x14ac:dyDescent="0.2">
      <c r="A369" s="1" t="str">
        <f ca="1">IFERROR(__xludf.DUMMYFUNCTION("""COMPUTED_VALUE"""),"Презервативы №12")</f>
        <v>Презервативы №12</v>
      </c>
      <c r="B369" s="1"/>
      <c r="C369" s="1"/>
      <c r="D369" s="1"/>
      <c r="E369" s="1"/>
      <c r="F369" s="1"/>
      <c r="G369" s="1"/>
      <c r="H369" s="1"/>
    </row>
    <row r="370" spans="1:8" x14ac:dyDescent="0.2">
      <c r="A370" s="1">
        <f ca="1">IFERROR(__xludf.DUMMYFUNCTION("""COMPUTED_VALUE"""),4820144771095)</f>
        <v>4820144771095</v>
      </c>
      <c r="B370" s="1" t="str">
        <f ca="1">IFERROR(__xludf.DUMMYFUNCTION("""COMPUTED_VALUE"""),"DOLPHI/XXXXXL/12")</f>
        <v>DOLPHI/XXXXXL/12</v>
      </c>
      <c r="C370" s="1" t="str">
        <f ca="1">IFERROR(__xludf.DUMMYFUNCTION("""COMPUTED_VALUE"""),"DOLPHI XXXXXL № 12 шт Презервативы латексные")</f>
        <v>DOLPHI XXXXXL № 12 шт Презервативы латексные</v>
      </c>
      <c r="D370" s="1" t="str">
        <f ca="1">IFERROR(__xludf.DUMMYFUNCTION("""COMPUTED_VALUE"""),"DOLPHI XXXXXL №12 шт Презервативы латексные УКТЗЕД4014100000 ш/к 4820144771095")</f>
        <v>DOLPHI XXXXXL №12 шт Презервативы латексные УКТЗЕД4014100000 ш/к 4820144771095</v>
      </c>
      <c r="E370" s="1" t="str">
        <f ca="1">IFERROR(__xludf.DUMMYFUNCTION("""COMPUTED_VALUE"""),"упак.")</f>
        <v>упак.</v>
      </c>
      <c r="F370" s="1" t="str">
        <f ca="1">IFERROR(__xludf.DUMMYFUNCTION("""COMPUTED_VALUE"""),"ПD000016")</f>
        <v>ПD000016</v>
      </c>
      <c r="G370" s="1">
        <f ca="1">IFERROR(__xludf.DUMMYFUNCTION("""COMPUTED_VALUE"""),4820144771095)</f>
        <v>4820144771095</v>
      </c>
      <c r="H370" s="1"/>
    </row>
    <row r="371" spans="1:8" x14ac:dyDescent="0.2">
      <c r="A371" s="1">
        <f ca="1">IFERROR(__xludf.DUMMYFUNCTION("""COMPUTED_VALUE"""),4820144770852)</f>
        <v>4820144770852</v>
      </c>
      <c r="B371" s="1" t="str">
        <f ca="1">IFERROR(__xludf.DUMMYFUNCTION("""COMPUTED_VALUE"""),"DOLPHI/Анатом/надтон/12")</f>
        <v>DOLPHI/Анатом/надтон/12</v>
      </c>
      <c r="C371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D371" s="1" t="str">
        <f ca="1">IFERROR(__xludf.DUMMYFUNCTION("""COMPUTED_VALUE"""),"Презервативы латексные DOLPHI анатомические ультратонкие №12  ш/к  4 820 144 770 852")</f>
        <v>Презервативы латексные DOLPHI анатомические ультратонкие №12  ш/к  4 820 144 770 852</v>
      </c>
      <c r="E371" s="1" t="str">
        <f ca="1">IFERROR(__xludf.DUMMYFUNCTION("""COMPUTED_VALUE"""),"упак.")</f>
        <v>упак.</v>
      </c>
      <c r="F371" s="1" t="str">
        <f ca="1">IFERROR(__xludf.DUMMYFUNCTION("""COMPUTED_VALUE"""),"ПDК00033")</f>
        <v>ПDК00033</v>
      </c>
      <c r="G371" s="1">
        <f ca="1">IFERROR(__xludf.DUMMYFUNCTION("""COMPUTED_VALUE"""),4820144770852)</f>
        <v>4820144770852</v>
      </c>
      <c r="H371" s="1"/>
    </row>
    <row r="372" spans="1:8" x14ac:dyDescent="0.2">
      <c r="A372" s="1">
        <f ca="1">IFERROR(__xludf.DUMMYFUNCTION("""COMPUTED_VALUE"""),4820144770975)</f>
        <v>4820144770975</v>
      </c>
      <c r="B372" s="1" t="str">
        <f ca="1">IFERROR(__xludf.DUMMYFUNCTION("""COMPUTED_VALUE"""),"DOLPHI/Баггі/12")</f>
        <v>DOLPHI/Баггі/12</v>
      </c>
      <c r="C372" s="1" t="str">
        <f ca="1">IFERROR(__xludf.DUMMYFUNCTION("""COMPUTED_VALUE"""),"DOLPHI Багги №12 Презервативы латексные")</f>
        <v>DOLPHI Багги №12 Презервативы латексные</v>
      </c>
      <c r="D372" s="1" t="str">
        <f ca="1">IFERROR(__xludf.DUMMYFUNCTION("""COMPUTED_VALUE"""),"DOLPHI Багги №12 Презервативы латексные ш/к  4 820 144 770 975")</f>
        <v>DOLPHI Багги №12 Презервативы латексные ш/к  4 820 144 770 975</v>
      </c>
      <c r="E372" s="1" t="str">
        <f ca="1">IFERROR(__xludf.DUMMYFUNCTION("""COMPUTED_VALUE"""),"упак.")</f>
        <v>упак.</v>
      </c>
      <c r="F372" s="1" t="str">
        <f ca="1">IFERROR(__xludf.DUMMYFUNCTION("""COMPUTED_VALUE"""),"ПDК00029")</f>
        <v>ПDК00029</v>
      </c>
      <c r="G372" s="1">
        <f ca="1">IFERROR(__xludf.DUMMYFUNCTION("""COMPUTED_VALUE"""),4820144770975)</f>
        <v>4820144770975</v>
      </c>
      <c r="H372" s="1"/>
    </row>
    <row r="373" spans="1:8" x14ac:dyDescent="0.2">
      <c r="A373" s="1">
        <f ca="1">IFERROR(__xludf.DUMMYFUNCTION("""COMPUTED_VALUE"""),4820144770814)</f>
        <v>4820144770814</v>
      </c>
      <c r="B373" s="1" t="str">
        <f ca="1">IFERROR(__xludf.DUMMYFUNCTION("""COMPUTED_VALUE"""),"DOLPHI/Класичні/12")</f>
        <v>DOLPHI/Класичні/12</v>
      </c>
      <c r="C373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D373" s="1" t="str">
        <f ca="1">IFERROR(__xludf.DUMMYFUNCTION("""COMPUTED_VALUE"""),"Презервативы латексные DOLPHI классические №12 ш/к  4 820 144 770 814")</f>
        <v>Презервативы латексные DOLPHI классические №12 ш/к  4 820 144 770 814</v>
      </c>
      <c r="E373" s="1" t="str">
        <f ca="1">IFERROR(__xludf.DUMMYFUNCTION("""COMPUTED_VALUE"""),"упак.")</f>
        <v>упак.</v>
      </c>
      <c r="F373" s="1" t="str">
        <f ca="1">IFERROR(__xludf.DUMMYFUNCTION("""COMPUTED_VALUE"""),"ПDК00026")</f>
        <v>ПDК00026</v>
      </c>
      <c r="G373" s="1">
        <f ca="1">IFERROR(__xludf.DUMMYFUNCTION("""COMPUTED_VALUE"""),4820144770814)</f>
        <v>4820144770814</v>
      </c>
      <c r="H373" s="1"/>
    </row>
    <row r="374" spans="1:8" x14ac:dyDescent="0.2">
      <c r="A374" s="1">
        <f ca="1">IFERROR(__xludf.DUMMYFUNCTION("""COMPUTED_VALUE"""),4820144771019)</f>
        <v>4820144771019</v>
      </c>
      <c r="B374" s="1" t="str">
        <f ca="1">IFERROR(__xludf.DUMMYFUNCTION("""COMPUTED_VALUE"""),"DOLPHI/Надтон/12")</f>
        <v>DOLPHI/Надтон/12</v>
      </c>
      <c r="C374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D374" s="1" t="str">
        <f ca="1">IFERROR(__xludf.DUMMYFUNCTION("""COMPUTED_VALUE"""),"Презервативы латексные DOLPHI ультратонкие №12 ш/к  4 820 144 771 019")</f>
        <v>Презервативы латексные DOLPHI ультратонкие №12 ш/к  4 820 144 771 019</v>
      </c>
      <c r="E374" s="1" t="str">
        <f ca="1">IFERROR(__xludf.DUMMYFUNCTION("""COMPUTED_VALUE"""),"упак.")</f>
        <v>упак.</v>
      </c>
      <c r="F374" s="1" t="str">
        <f ca="1">IFERROR(__xludf.DUMMYFUNCTION("""COMPUTED_VALUE"""),"ПDК00027")</f>
        <v>ПDК00027</v>
      </c>
      <c r="G374" s="1">
        <f ca="1">IFERROR(__xludf.DUMMYFUNCTION("""COMPUTED_VALUE"""),4820144771019)</f>
        <v>4820144771019</v>
      </c>
      <c r="H374" s="1"/>
    </row>
    <row r="375" spans="1:8" x14ac:dyDescent="0.2">
      <c r="A375" s="1">
        <f ca="1">IFERROR(__xludf.DUMMYFUNCTION("""COMPUTED_VALUE"""),4820144770890)</f>
        <v>4820144770890</v>
      </c>
      <c r="B375" s="1" t="str">
        <f ca="1">IFERROR(__xludf.DUMMYFUNCTION("""COMPUTED_VALUE"""),"DOLPHI/Три в одному/12")</f>
        <v>DOLPHI/Три в одному/12</v>
      </c>
      <c r="C375" s="1" t="str">
        <f ca="1">IFERROR(__xludf.DUMMYFUNCTION("""COMPUTED_VALUE"""),"DOLPHI 3 в 1 №12 Презервативы латексные")</f>
        <v>DOLPHI 3 в 1 №12 Презервативы латексные</v>
      </c>
      <c r="D375" s="1" t="str">
        <f ca="1">IFERROR(__xludf.DUMMYFUNCTION("""COMPUTED_VALUE"""),"Презервативы латексные DOLPHI 3 в 1 №12  ш/к  4 820 144 770 890")</f>
        <v>Презервативы латексные DOLPHI 3 в 1 №12  ш/к  4 820 144 770 890</v>
      </c>
      <c r="E375" s="1" t="str">
        <f ca="1">IFERROR(__xludf.DUMMYFUNCTION("""COMPUTED_VALUE"""),"упак.")</f>
        <v>упак.</v>
      </c>
      <c r="F375" s="1" t="str">
        <f ca="1">IFERROR(__xludf.DUMMYFUNCTION("""COMPUTED_VALUE"""),"ПDК00032")</f>
        <v>ПDК00032</v>
      </c>
      <c r="G375" s="1">
        <f ca="1">IFERROR(__xludf.DUMMYFUNCTION("""COMPUTED_VALUE"""),4820144770890)</f>
        <v>4820144770890</v>
      </c>
      <c r="H375" s="1"/>
    </row>
    <row r="376" spans="1:8" x14ac:dyDescent="0.2">
      <c r="A376" s="1" t="str">
        <f ca="1">IFERROR(__xludf.DUMMYFUNCTION("""COMPUTED_VALUE"""),"Презервативы №3")</f>
        <v>Презервативы №3</v>
      </c>
      <c r="B376" s="1"/>
      <c r="C376" s="1"/>
      <c r="D376" s="1"/>
      <c r="E376" s="1"/>
      <c r="F376" s="1"/>
      <c r="G376" s="1"/>
      <c r="H376" s="1"/>
    </row>
    <row r="377" spans="1:8" x14ac:dyDescent="0.2">
      <c r="A377" s="1">
        <f ca="1">IFERROR(__xludf.DUMMYFUNCTION("""COMPUTED_VALUE"""),4820144770777)</f>
        <v>4820144770777</v>
      </c>
      <c r="B377" s="1" t="str">
        <f ca="1">IFERROR(__xludf.DUMMYFUNCTION("""COMPUTED_VALUE"""),"DOLPHI/XXXXXL/3")</f>
        <v>DOLPHI/XXXXXL/3</v>
      </c>
      <c r="C377" s="1" t="str">
        <f ca="1">IFERROR(__xludf.DUMMYFUNCTION("""COMPUTED_VALUE"""),"DOLPHI XXXXXL № 3 шт Презервативы латексные")</f>
        <v>DOLPHI XXXXXL № 3 шт Презервативы латексные</v>
      </c>
      <c r="D377" s="1" t="str">
        <f ca="1">IFERROR(__xludf.DUMMYFUNCTION("""COMPUTED_VALUE"""),"DOLPHI XXXXXL № 3 шт Презервативы латексные УКТЗЕД4014100000 ш/к 4820144770777")</f>
        <v>DOLPHI XXXXXL № 3 шт Презервативы латексные УКТЗЕД4014100000 ш/к 4820144770777</v>
      </c>
      <c r="E377" s="1" t="str">
        <f ca="1">IFERROR(__xludf.DUMMYFUNCTION("""COMPUTED_VALUE"""),"упак.")</f>
        <v>упак.</v>
      </c>
      <c r="F377" s="1" t="str">
        <f ca="1">IFERROR(__xludf.DUMMYFUNCTION("""COMPUTED_VALUE"""),"ПD000015")</f>
        <v>ПD000015</v>
      </c>
      <c r="G377" s="1">
        <f ca="1">IFERROR(__xludf.DUMMYFUNCTION("""COMPUTED_VALUE"""),4820144770777)</f>
        <v>4820144770777</v>
      </c>
      <c r="H377" s="1"/>
    </row>
    <row r="378" spans="1:8" x14ac:dyDescent="0.2">
      <c r="A378" s="1">
        <f ca="1">IFERROR(__xludf.DUMMYFUNCTION("""COMPUTED_VALUE"""),4820144770531)</f>
        <v>4820144770531</v>
      </c>
      <c r="B378" s="1" t="str">
        <f ca="1">IFERROR(__xludf.DUMMYFUNCTION("""COMPUTED_VALUE"""),"DOLPHI/Анатом/надтон/3")</f>
        <v>DOLPHI/Анатом/надтон/3</v>
      </c>
      <c r="C378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D378" s="1" t="str">
        <f ca="1">IFERROR(__xludf.DUMMYFUNCTION("""COMPUTED_VALUE"""),"Презервативы латексные DOLPHI анатомические ультратонкие №3 ш/к  4 820 144 770 531")</f>
        <v>Презервативы латексные DOLPHI анатомические ультратонкие №3 ш/к  4 820 144 770 531</v>
      </c>
      <c r="E378" s="1" t="str">
        <f ca="1">IFERROR(__xludf.DUMMYFUNCTION("""COMPUTED_VALUE"""),"упак.")</f>
        <v>упак.</v>
      </c>
      <c r="F378" s="1" t="str">
        <f ca="1">IFERROR(__xludf.DUMMYFUNCTION("""COMPUTED_VALUE"""),"ПDК00025")</f>
        <v>ПDК00025</v>
      </c>
      <c r="G378" s="1">
        <f ca="1">IFERROR(__xludf.DUMMYFUNCTION("""COMPUTED_VALUE"""),4820144770531)</f>
        <v>4820144770531</v>
      </c>
      <c r="H378" s="1"/>
    </row>
    <row r="379" spans="1:8" x14ac:dyDescent="0.2">
      <c r="A379" s="1">
        <f ca="1">IFERROR(__xludf.DUMMYFUNCTION("""COMPUTED_VALUE"""),4820144770654)</f>
        <v>4820144770654</v>
      </c>
      <c r="B379" s="1" t="str">
        <f ca="1">IFERROR(__xludf.DUMMYFUNCTION("""COMPUTED_VALUE"""),"DOLPHI/Баггі/3")</f>
        <v>DOLPHI/Баггі/3</v>
      </c>
      <c r="C379" s="1" t="str">
        <f ca="1">IFERROR(__xludf.DUMMYFUNCTION("""COMPUTED_VALUE"""),"DOLPHI Багги №3 Презервативы латексные")</f>
        <v>DOLPHI Багги №3 Презервативы латексные</v>
      </c>
      <c r="D379" s="1" t="str">
        <f ca="1">IFERROR(__xludf.DUMMYFUNCTION("""COMPUTED_VALUE"""),"DOLPHI Багги №3 Презервативы латексные  ш/к  4 820 144 770 654")</f>
        <v>DOLPHI Багги №3 Презервативы латексные  ш/к  4 820 144 770 654</v>
      </c>
      <c r="E379" s="1" t="str">
        <f ca="1">IFERROR(__xludf.DUMMYFUNCTION("""COMPUTED_VALUE"""),"упак.")</f>
        <v>упак.</v>
      </c>
      <c r="F379" s="1" t="str">
        <f ca="1">IFERROR(__xludf.DUMMYFUNCTION("""COMPUTED_VALUE"""),"ПDК00022")</f>
        <v>ПDК00022</v>
      </c>
      <c r="G379" s="1">
        <f ca="1">IFERROR(__xludf.DUMMYFUNCTION("""COMPUTED_VALUE"""),4820144770654)</f>
        <v>4820144770654</v>
      </c>
      <c r="H379" s="1"/>
    </row>
    <row r="380" spans="1:8" x14ac:dyDescent="0.2">
      <c r="A380" s="1">
        <f ca="1">IFERROR(__xludf.DUMMYFUNCTION("""COMPUTED_VALUE"""),4820144770494)</f>
        <v>4820144770494</v>
      </c>
      <c r="B380" s="1" t="str">
        <f ca="1">IFERROR(__xludf.DUMMYFUNCTION("""COMPUTED_VALUE"""),"DOLPHI/Класичні/3")</f>
        <v>DOLPHI/Класичні/3</v>
      </c>
      <c r="C380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D380" s="1" t="str">
        <f ca="1">IFERROR(__xludf.DUMMYFUNCTION("""COMPUTED_VALUE"""),"Презервативы латексные DOLPHI классические №3 ш/к  4 820 144 770 494")</f>
        <v>Презервативы латексные DOLPHI классические №3 ш/к  4 820 144 770 494</v>
      </c>
      <c r="E380" s="1" t="str">
        <f ca="1">IFERROR(__xludf.DUMMYFUNCTION("""COMPUTED_VALUE"""),"упак.")</f>
        <v>упак.</v>
      </c>
      <c r="F380" s="1" t="str">
        <f ca="1">IFERROR(__xludf.DUMMYFUNCTION("""COMPUTED_VALUE"""),"ПDК00019")</f>
        <v>ПDК00019</v>
      </c>
      <c r="G380" s="1">
        <f ca="1">IFERROR(__xludf.DUMMYFUNCTION("""COMPUTED_VALUE"""),4820144770494)</f>
        <v>4820144770494</v>
      </c>
      <c r="H380" s="1"/>
    </row>
    <row r="381" spans="1:8" x14ac:dyDescent="0.2">
      <c r="A381" s="1">
        <f ca="1">IFERROR(__xludf.DUMMYFUNCTION("""COMPUTED_VALUE"""),4820144770692)</f>
        <v>4820144770692</v>
      </c>
      <c r="B381" s="1" t="str">
        <f ca="1">IFERROR(__xludf.DUMMYFUNCTION("""COMPUTED_VALUE"""),"DOLPHI/Надтон/3")</f>
        <v>DOLPHI/Надтон/3</v>
      </c>
      <c r="C381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D381" s="1" t="str">
        <f ca="1">IFERROR(__xludf.DUMMYFUNCTION("""COMPUTED_VALUE"""),"Презервативы латексные DOLPHI ультратонкие №3 ш/к  4 820 144 770 692")</f>
        <v>Презервативы латексные DOLPHI ультратонкие №3 ш/к  4 820 144 770 692</v>
      </c>
      <c r="E381" s="1" t="str">
        <f ca="1">IFERROR(__xludf.DUMMYFUNCTION("""COMPUTED_VALUE"""),"упак.")</f>
        <v>упак.</v>
      </c>
      <c r="F381" s="1" t="str">
        <f ca="1">IFERROR(__xludf.DUMMYFUNCTION("""COMPUTED_VALUE"""),"ПDК00020")</f>
        <v>ПDК00020</v>
      </c>
      <c r="G381" s="1">
        <f ca="1">IFERROR(__xludf.DUMMYFUNCTION("""COMPUTED_VALUE"""),4820144770692)</f>
        <v>4820144770692</v>
      </c>
      <c r="H381" s="1"/>
    </row>
    <row r="382" spans="1:8" x14ac:dyDescent="0.2">
      <c r="A382" s="1">
        <f ca="1">IFERROR(__xludf.DUMMYFUNCTION("""COMPUTED_VALUE"""),4820144770579)</f>
        <v>4820144770579</v>
      </c>
      <c r="B382" s="1" t="str">
        <f ca="1">IFERROR(__xludf.DUMMYFUNCTION("""COMPUTED_VALUE"""),"DOLPHI/Три в одному/3")</f>
        <v>DOLPHI/Три в одному/3</v>
      </c>
      <c r="C382" s="1" t="str">
        <f ca="1">IFERROR(__xludf.DUMMYFUNCTION("""COMPUTED_VALUE"""),"DOLPHI 3 в 1 №3 Презервативы латексные")</f>
        <v>DOLPHI 3 в 1 №3 Презервативы латексные</v>
      </c>
      <c r="D382" s="1" t="str">
        <f ca="1">IFERROR(__xludf.DUMMYFUNCTION("""COMPUTED_VALUE"""),"Презервативы латексные DOLPHI 3 в 1 №3  ш/к  4 820 144 770 579")</f>
        <v>Презервативы латексные DOLPHI 3 в 1 №3  ш/к  4 820 144 770 579</v>
      </c>
      <c r="E382" s="1" t="str">
        <f ca="1">IFERROR(__xludf.DUMMYFUNCTION("""COMPUTED_VALUE"""),"упак.")</f>
        <v>упак.</v>
      </c>
      <c r="F382" s="1" t="str">
        <f ca="1">IFERROR(__xludf.DUMMYFUNCTION("""COMPUTED_VALUE"""),"ПDК00024")</f>
        <v>ПDК00024</v>
      </c>
      <c r="G382" s="1">
        <f ca="1">IFERROR(__xludf.DUMMYFUNCTION("""COMPUTED_VALUE"""),4820144770579)</f>
        <v>4820144770579</v>
      </c>
      <c r="H382" s="1"/>
    </row>
    <row r="383" spans="1:8" x14ac:dyDescent="0.2">
      <c r="A383" s="1">
        <f ca="1">IFERROR(__xludf.DUMMYFUNCTION("""COMPUTED_VALUE"""),4820144770258)</f>
        <v>4820144770258</v>
      </c>
      <c r="B383" s="1" t="str">
        <f ca="1">IFERROR(__xludf.DUMMYFUNCTION("""COMPUTED_VALUE"""),"Mr. Ben/classic/3")</f>
        <v>Mr. Ben/classic/3</v>
      </c>
      <c r="C383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D383" s="1" t="str">
        <f ca="1">IFERROR(__xludf.DUMMYFUNCTION("""COMPUTED_VALUE"""),"Презервативы латексные Mister Ben классические №3   ш/к 4 820 144 770 258")</f>
        <v>Презервативы латексные Mister Ben классические №3   ш/к 4 820 144 770 258</v>
      </c>
      <c r="E383" s="1" t="str">
        <f ca="1">IFERROR(__xludf.DUMMYFUNCTION("""COMPUTED_VALUE"""),"упак.")</f>
        <v>упак.</v>
      </c>
      <c r="F383" s="1" t="str">
        <f ca="1">IFERROR(__xludf.DUMMYFUNCTION("""COMPUTED_VALUE"""),"BEN00001")</f>
        <v>BEN00001</v>
      </c>
      <c r="G383" s="1">
        <f ca="1">IFERROR(__xludf.DUMMYFUNCTION("""COMPUTED_VALUE"""),4820144770258)</f>
        <v>4820144770258</v>
      </c>
      <c r="H383" s="1"/>
    </row>
    <row r="384" spans="1:8" x14ac:dyDescent="0.2">
      <c r="A384" s="1">
        <f ca="1">IFERROR(__xludf.DUMMYFUNCTION("""COMPUTED_VALUE"""),4820144771538)</f>
        <v>4820144771538</v>
      </c>
      <c r="B384" s="1" t="str">
        <f ca="1">IFERROR(__xludf.DUMMYFUNCTION("""COMPUTED_VALUE"""),"Mr. Ben/dotted/3")</f>
        <v>Mr. Ben/dotted/3</v>
      </c>
      <c r="C384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D384" s="1" t="str">
        <f ca="1">IFERROR(__xludf.DUMMYFUNCTION("""COMPUTED_VALUE"""),"Презервативи Mister Ben З крапковою структурою 3шт./уп./С точечной структурой презервативы в силиконовой смазке с накопителем Mister Ben №3 ш/к 4820144771538")</f>
        <v>Презервативи Mister Ben З крапковою структурою 3шт./уп./С точечной структурой презервативы в силиконовой смазке с накопителем Mister Ben №3 ш/к 4820144771538</v>
      </c>
      <c r="E384" s="1" t="str">
        <f ca="1">IFERROR(__xludf.DUMMYFUNCTION("""COMPUTED_VALUE"""),"упак.")</f>
        <v>упак.</v>
      </c>
      <c r="F384" s="1" t="str">
        <f ca="1">IFERROR(__xludf.DUMMYFUNCTION("""COMPUTED_VALUE"""),"AST00000344")</f>
        <v>AST00000344</v>
      </c>
      <c r="G384" s="1">
        <f ca="1">IFERROR(__xludf.DUMMYFUNCTION("""COMPUTED_VALUE"""),4820144771538)</f>
        <v>4820144771538</v>
      </c>
      <c r="H384" s="1"/>
    </row>
    <row r="385" spans="1:8" x14ac:dyDescent="0.2">
      <c r="A385" s="1">
        <f ca="1">IFERROR(__xludf.DUMMYFUNCTION("""COMPUTED_VALUE"""),4820144770173)</f>
        <v>4820144770173</v>
      </c>
      <c r="B385" s="1" t="str">
        <f ca="1">IFERROR(__xludf.DUMMYFUNCTION("""COMPUTED_VALUE"""),"Mr. Ben/ribbed/3")</f>
        <v>Mr. Ben/ribbed/3</v>
      </c>
      <c r="C385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D385" s="1" t="str">
        <f ca="1">IFERROR(__xludf.DUMMYFUNCTION("""COMPUTED_VALUE"""),"Презервативи Mister Ben Ребристі 3шт./уп./Ребристые презервативы в силиконовой смазке с накопителем Mister Ben №3 ш/к 4820144770173")</f>
        <v>Презервативи Mister Ben Ребристі 3шт./уп./Ребристые презервативы в силиконовой смазке с накопителем Mister Ben №3 ш/к 4820144770173</v>
      </c>
      <c r="E385" s="1" t="str">
        <f ca="1">IFERROR(__xludf.DUMMYFUNCTION("""COMPUTED_VALUE"""),"упак.")</f>
        <v>упак.</v>
      </c>
      <c r="F385" s="1" t="str">
        <f ca="1">IFERROR(__xludf.DUMMYFUNCTION("""COMPUTED_VALUE"""),"AST00000342")</f>
        <v>AST00000342</v>
      </c>
      <c r="G385" s="1">
        <f ca="1">IFERROR(__xludf.DUMMYFUNCTION("""COMPUTED_VALUE"""),4820144770173)</f>
        <v>4820144770173</v>
      </c>
      <c r="H385" s="1"/>
    </row>
    <row r="386" spans="1:8" x14ac:dyDescent="0.2">
      <c r="A386" s="1">
        <f ca="1">IFERROR(__xludf.DUMMYFUNCTION("""COMPUTED_VALUE"""),4820144770210)</f>
        <v>4820144770210</v>
      </c>
      <c r="B386" s="1" t="str">
        <f ca="1">IFERROR(__xludf.DUMMYFUNCTION("""COMPUTED_VALUE"""),"Mr. Ben/ultra-thin/3")</f>
        <v>Mr. Ben/ultra-thin/3</v>
      </c>
      <c r="C386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D386" s="1" t="str">
        <f ca="1">IFERROR(__xludf.DUMMYFUNCTION("""COMPUTED_VALUE"""),"Презервативи Mister Ben Ультратонкі 3шт./уп./Ультратонкие презервативы в силиконовой смазке с накопителем Mister Ben №3 ш/к 4820144770210")</f>
        <v>Презервативи Mister Ben Ультратонкі 3шт./уп./Ультратонкие презервативы в силиконовой смазке с накопителем Mister Ben №3 ш/к 4820144770210</v>
      </c>
      <c r="E386" s="1" t="str">
        <f ca="1">IFERROR(__xludf.DUMMYFUNCTION("""COMPUTED_VALUE"""),"упак.")</f>
        <v>упак.</v>
      </c>
      <c r="F386" s="1" t="str">
        <f ca="1">IFERROR(__xludf.DUMMYFUNCTION("""COMPUTED_VALUE"""),"AST00000343")</f>
        <v>AST00000343</v>
      </c>
      <c r="G386" s="1">
        <f ca="1">IFERROR(__xludf.DUMMYFUNCTION("""COMPUTED_VALUE"""),4820144770210)</f>
        <v>4820144770210</v>
      </c>
      <c r="H386" s="1"/>
    </row>
    <row r="387" spans="1:8" x14ac:dyDescent="0.2">
      <c r="A387" s="1">
        <f ca="1">IFERROR(__xludf.DUMMYFUNCTION("""COMPUTED_VALUE"""),4820144770098)</f>
        <v>4820144770098</v>
      </c>
      <c r="B387" s="1" t="str">
        <f ca="1">IFERROR(__xludf.DUMMYFUNCTION("""COMPUTED_VALUE"""),"Sxy/classic/3")</f>
        <v>Sxy/classic/3</v>
      </c>
      <c r="C387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D387" s="1" t="str">
        <f ca="1">IFERROR(__xludf.DUMMYFUNCTION("""COMPUTED_VALUE"""),"Презервативы латексные Sexxxyi классические №3  ш/к  4 820 144 770 098")</f>
        <v>Презервативы латексные Sexxxyi классические №3  ш/к  4 820 144 770 098</v>
      </c>
      <c r="E387" s="1" t="str">
        <f ca="1">IFERROR(__xludf.DUMMYFUNCTION("""COMPUTED_VALUE"""),"упак.")</f>
        <v>упак.</v>
      </c>
      <c r="F387" s="1" t="str">
        <f ca="1">IFERROR(__xludf.DUMMYFUNCTION("""COMPUTED_VALUE"""),"SEX00001")</f>
        <v>SEX00001</v>
      </c>
      <c r="G387" s="1">
        <f ca="1">IFERROR(__xludf.DUMMYFUNCTION("""COMPUTED_VALUE"""),4820144770098)</f>
        <v>4820144770098</v>
      </c>
      <c r="H387" s="1"/>
    </row>
    <row r="388" spans="1:8" x14ac:dyDescent="0.2">
      <c r="A388" s="1" t="str">
        <f ca="1">IFERROR(__xludf.DUMMYFUNCTION("""COMPUTED_VALUE"""),"Стетофонендоскопы Dr.Frei")</f>
        <v>Стетофонендоскопы Dr.Frei</v>
      </c>
      <c r="B388" s="1"/>
      <c r="C388" s="1"/>
      <c r="D388" s="1"/>
      <c r="E388" s="1"/>
      <c r="F388" s="1"/>
      <c r="G388" s="1"/>
      <c r="H388" s="1"/>
    </row>
    <row r="389" spans="1:8" x14ac:dyDescent="0.2">
      <c r="A389" s="1">
        <f ca="1">IFERROR(__xludf.DUMMYFUNCTION("""COMPUTED_VALUE"""),7640162320191)</f>
        <v>7640162320191</v>
      </c>
      <c r="B389" s="1" t="str">
        <f ca="1">IFERROR(__xludf.DUMMYFUNCTION("""COMPUTED_VALUE"""),"S-10 Single")</f>
        <v>S-10 Single</v>
      </c>
      <c r="C389" s="1" t="str">
        <f ca="1">IFERROR(__xludf.DUMMYFUNCTION("""COMPUTED_VALUE"""),"Профессиональный стетоскоп с односторонней головкой Dr.Frei Модель S-10")</f>
        <v>Профессиональный стетоскоп с односторонней головкой Dr.Frei Модель S-10</v>
      </c>
      <c r="D389" s="1" t="str">
        <f ca="1">IFERROR(__xludf.DUMMYFUNCTION("""COMPUTED_VALUE"""),"Профессиональный стетоскоп с односторонней головкой Dr.Frei Модель S-10 ш/к 7640162320191")</f>
        <v>Профессиональный стетоскоп с односторонней головкой Dr.Frei Модель S-10 ш/к 7640162320191</v>
      </c>
      <c r="E389" s="1" t="str">
        <f ca="1">IFERROR(__xludf.DUMMYFUNCTION("""COMPUTED_VALUE"""),"шт")</f>
        <v>шт</v>
      </c>
      <c r="F389" s="1" t="str">
        <f ca="1">IFERROR(__xludf.DUMMYFUNCTION("""COMPUTED_VALUE"""),"AST00000231")</f>
        <v>AST00000231</v>
      </c>
      <c r="G389" s="1">
        <f ca="1">IFERROR(__xludf.DUMMYFUNCTION("""COMPUTED_VALUE"""),7640162320191)</f>
        <v>7640162320191</v>
      </c>
      <c r="H389" s="1"/>
    </row>
    <row r="390" spans="1:8" x14ac:dyDescent="0.2">
      <c r="A390" s="1">
        <f ca="1">IFERROR(__xludf.DUMMYFUNCTION("""COMPUTED_VALUE"""),7640162320146)</f>
        <v>7640162320146</v>
      </c>
      <c r="B390" s="1" t="str">
        <f ca="1">IFERROR(__xludf.DUMMYFUNCTION("""COMPUTED_VALUE"""),"S-20 Dual")</f>
        <v>S-20 Dual</v>
      </c>
      <c r="C390" s="1" t="str">
        <f ca="1">IFERROR(__xludf.DUMMYFUNCTION("""COMPUTED_VALUE"""),"Профессиональный стетоскоп с двусторонней головкой Dr.Frei Модель S-20")</f>
        <v>Профессиональный стетоскоп с двусторонней головкой Dr.Frei Модель S-20</v>
      </c>
      <c r="D390" s="1" t="str">
        <f ca="1">IFERROR(__xludf.DUMMYFUNCTION("""COMPUTED_VALUE"""),"Профессиональный стетоскоп с двусторонней головкой Dr.Frei Модель S-20 ш/к 7640162320146")</f>
        <v>Профессиональный стетоскоп с двусторонней головкой Dr.Frei Модель S-20 ш/к 7640162320146</v>
      </c>
      <c r="E390" s="1" t="str">
        <f ca="1">IFERROR(__xludf.DUMMYFUNCTION("""COMPUTED_VALUE"""),"шт")</f>
        <v>шт</v>
      </c>
      <c r="F390" s="1" t="str">
        <f ca="1">IFERROR(__xludf.DUMMYFUNCTION("""COMPUTED_VALUE"""),"AST00000232")</f>
        <v>AST00000232</v>
      </c>
      <c r="G390" s="1">
        <f ca="1">IFERROR(__xludf.DUMMYFUNCTION("""COMPUTED_VALUE"""),7640162320146)</f>
        <v>7640162320146</v>
      </c>
      <c r="H390" s="1"/>
    </row>
    <row r="391" spans="1:8" x14ac:dyDescent="0.2">
      <c r="A391" s="1">
        <f ca="1">IFERROR(__xludf.DUMMYFUNCTION("""COMPUTED_VALUE"""),7640162320153)</f>
        <v>7640162320153</v>
      </c>
      <c r="B391" s="1" t="str">
        <f ca="1">IFERROR(__xludf.DUMMYFUNCTION("""COMPUTED_VALUE"""),"S-30")</f>
        <v>S-30</v>
      </c>
      <c r="C391" s="1" t="str">
        <f ca="1">IFERROR(__xludf.DUMMYFUNCTION("""COMPUTED_VALUE"""),"Стетофонендоскоп Раппопорт Dr.Frei S-30")</f>
        <v>Стетофонендоскоп Раппопорт Dr.Frei S-30</v>
      </c>
      <c r="D391" s="1" t="str">
        <f ca="1">IFERROR(__xludf.DUMMYFUNCTION("""COMPUTED_VALUE"""),"Стетофонендоскоп Раппопорт Dr.Frei Модель S-30 ш/к 7640162320153")</f>
        <v>Стетофонендоскоп Раппопорт Dr.Frei Модель S-30 ш/к 7640162320153</v>
      </c>
      <c r="E391" s="1" t="str">
        <f ca="1">IFERROR(__xludf.DUMMYFUNCTION("""COMPUTED_VALUE"""),"шт")</f>
        <v>шт</v>
      </c>
      <c r="F391" s="1" t="str">
        <f ca="1">IFERROR(__xludf.DUMMYFUNCTION("""COMPUTED_VALUE"""),"AST00000027")</f>
        <v>AST00000027</v>
      </c>
      <c r="G391" s="1">
        <f ca="1">IFERROR(__xludf.DUMMYFUNCTION("""COMPUTED_VALUE"""),7640162320153)</f>
        <v>7640162320153</v>
      </c>
      <c r="H391" s="1"/>
    </row>
    <row r="392" spans="1:8" x14ac:dyDescent="0.2">
      <c r="A392" s="1" t="str">
        <f ca="1">IFERROR(__xludf.DUMMYFUNCTION("""COMPUTED_VALUE"""),"Термометры Dr.Frei")</f>
        <v>Термометры Dr.Frei</v>
      </c>
      <c r="B392" s="1"/>
      <c r="C392" s="1"/>
      <c r="D392" s="1"/>
      <c r="E392" s="1"/>
      <c r="F392" s="1"/>
      <c r="G392" s="1"/>
      <c r="H392" s="1"/>
    </row>
    <row r="393" spans="1:8" x14ac:dyDescent="0.2">
      <c r="A393" s="1">
        <f ca="1">IFERROR(__xludf.DUMMYFUNCTION("""COMPUTED_VALUE"""),7640162320184)</f>
        <v>7640162320184</v>
      </c>
      <c r="B393" s="1" t="str">
        <f ca="1">IFERROR(__xludf.DUMMYFUNCTION("""COMPUTED_VALUE"""),"T-10")</f>
        <v>T-10</v>
      </c>
      <c r="C393" s="1" t="str">
        <f ca="1">IFERROR(__xludf.DUMMYFUNCTION("""COMPUTED_VALUE"""),"Электронный термометр Dr.Frei Т-10")</f>
        <v>Электронный термометр Dr.Frei Т-10</v>
      </c>
      <c r="D393" s="1" t="str">
        <f ca="1">IFERROR(__xludf.DUMMYFUNCTION("""COMPUTED_VALUE"""),"Электронный термометр Dr.Frei модель Т-10 (Сертификат № 689 об утверждении типа СИ) ш/к 7640162320184")</f>
        <v>Электронный термометр Dr.Frei модель Т-10 (Сертификат № 689 об утверждении типа СИ) ш/к 7640162320184</v>
      </c>
      <c r="E393" s="1" t="str">
        <f ca="1">IFERROR(__xludf.DUMMYFUNCTION("""COMPUTED_VALUE"""),"шт")</f>
        <v>шт</v>
      </c>
      <c r="F393" s="1" t="str">
        <f ca="1">IFERROR(__xludf.DUMMYFUNCTION("""COMPUTED_VALUE"""),"AST00000026")</f>
        <v>AST00000026</v>
      </c>
      <c r="G393" s="1">
        <f ca="1">IFERROR(__xludf.DUMMYFUNCTION("""COMPUTED_VALUE"""),7640162320184)</f>
        <v>7640162320184</v>
      </c>
      <c r="H393" s="1"/>
    </row>
    <row r="394" spans="1:8" x14ac:dyDescent="0.2">
      <c r="A394" s="1">
        <f ca="1">IFERROR(__xludf.DUMMYFUNCTION("""COMPUTED_VALUE"""),7640162320139)</f>
        <v>7640162320139</v>
      </c>
      <c r="B394" s="1" t="str">
        <f ca="1">IFERROR(__xludf.DUMMYFUNCTION("""COMPUTED_VALUE"""),"T-20")</f>
        <v>T-20</v>
      </c>
      <c r="C394" s="1" t="str">
        <f ca="1">IFERROR(__xludf.DUMMYFUNCTION("""COMPUTED_VALUE"""),"Электронный термометр Dr.Frei Т-20")</f>
        <v>Электронный термометр Dr.Frei Т-20</v>
      </c>
      <c r="D394" s="1" t="str">
        <f ca="1">IFERROR(__xludf.DUMMYFUNCTION("""COMPUTED_VALUE"""),"Электронный термометр Dr.Frei модель Т-20 (Сертификат № 689 об утверждении типа СИ) ш/к 7640162320139")</f>
        <v>Электронный термометр Dr.Frei модель Т-20 (Сертификат № 689 об утверждении типа СИ) ш/к 7640162320139</v>
      </c>
      <c r="E394" s="1" t="str">
        <f ca="1">IFERROR(__xludf.DUMMYFUNCTION("""COMPUTED_VALUE"""),"шт")</f>
        <v>шт</v>
      </c>
      <c r="F394" s="1" t="str">
        <f ca="1">IFERROR(__xludf.DUMMYFUNCTION("""COMPUTED_VALUE"""),"AST00000028")</f>
        <v>AST00000028</v>
      </c>
      <c r="G394" s="1">
        <f ca="1">IFERROR(__xludf.DUMMYFUNCTION("""COMPUTED_VALUE"""),7640162320139)</f>
        <v>7640162320139</v>
      </c>
      <c r="H394" s="1"/>
    </row>
    <row r="395" spans="1:8" x14ac:dyDescent="0.2">
      <c r="A395" s="1">
        <f ca="1">IFERROR(__xludf.DUMMYFUNCTION("""COMPUTED_VALUE"""),7640162320177)</f>
        <v>7640162320177</v>
      </c>
      <c r="B395" s="1" t="str">
        <f ca="1">IFERROR(__xludf.DUMMYFUNCTION("""COMPUTED_VALUE"""),"T-30")</f>
        <v>T-30</v>
      </c>
      <c r="C395" s="1" t="str">
        <f ca="1">IFERROR(__xludf.DUMMYFUNCTION("""COMPUTED_VALUE"""),"Электронный термометр Dr.Frei Т-30")</f>
        <v>Электронный термометр Dr.Frei Т-30</v>
      </c>
      <c r="D395" s="1" t="str">
        <f ca="1">IFERROR(__xludf.DUMMYFUNCTION("""COMPUTED_VALUE"""),"Электронный термометр Dr.Frei модель Т-30 (Сертификат № 689 об утверждении типа СИ) ш/к 7640162320177")</f>
        <v>Электронный термометр Dr.Frei модель Т-30 (Сертификат № 689 об утверждении типа СИ) ш/к 7640162320177</v>
      </c>
      <c r="E395" s="1" t="str">
        <f ca="1">IFERROR(__xludf.DUMMYFUNCTION("""COMPUTED_VALUE"""),"шт")</f>
        <v>шт</v>
      </c>
      <c r="F395" s="1" t="str">
        <f ca="1">IFERROR(__xludf.DUMMYFUNCTION("""COMPUTED_VALUE"""),"AST00000011")</f>
        <v>AST00000011</v>
      </c>
      <c r="G395" s="1">
        <f ca="1">IFERROR(__xludf.DUMMYFUNCTION("""COMPUTED_VALUE"""),7640162320177)</f>
        <v>7640162320177</v>
      </c>
      <c r="H395" s="1"/>
    </row>
    <row r="396" spans="1:8" x14ac:dyDescent="0.2">
      <c r="A396" s="1" t="str">
        <f ca="1">IFERROR(__xludf.DUMMYFUNCTION("""COMPUTED_VALUE"""),"Термометры Gamma")</f>
        <v>Термометры Gamma</v>
      </c>
      <c r="B396" s="1"/>
      <c r="C396" s="1"/>
      <c r="D396" s="1"/>
      <c r="E396" s="1"/>
      <c r="F396" s="1"/>
      <c r="G396" s="1"/>
      <c r="H396" s="1"/>
    </row>
    <row r="397" spans="1:8" x14ac:dyDescent="0.2">
      <c r="A397" s="1">
        <f ca="1">IFERROR(__xludf.DUMMYFUNCTION("""COMPUTED_VALUE"""),4719003000745)</f>
        <v>4719003000745</v>
      </c>
      <c r="B397" s="1" t="str">
        <f ca="1">IFERROR(__xludf.DUMMYFUNCTION("""COMPUTED_VALUE"""),"Т50")</f>
        <v>Т50</v>
      </c>
      <c r="C397" s="1" t="str">
        <f ca="1">IFERROR(__xludf.DUMMYFUNCTION("""COMPUTED_VALUE"""),"Термометр Gamma Т 50 (ПДВ)")</f>
        <v>Термометр Gamma Т 50 (ПДВ)</v>
      </c>
      <c r="D397" s="1" t="str">
        <f ca="1">IFERROR(__xludf.DUMMYFUNCTION("""COMPUTED_VALUE"""),"Т 50 Цифровий термометр Gamma УКТЗЕД9025192090 ш/к  4 719 003 000 745")</f>
        <v>Т 50 Цифровий термометр Gamma УКТЗЕД9025192090 ш/к  4 719 003 000 745</v>
      </c>
      <c r="E397" s="1" t="str">
        <f ca="1">IFERROR(__xludf.DUMMYFUNCTION("""COMPUTED_VALUE"""),"шт")</f>
        <v>шт</v>
      </c>
      <c r="F397" s="1" t="str">
        <f ca="1">IFERROR(__xludf.DUMMYFUNCTION("""COMPUTED_VALUE"""),"ТЕ000018")</f>
        <v>ТЕ000018</v>
      </c>
      <c r="G397" s="1">
        <f ca="1">IFERROR(__xludf.DUMMYFUNCTION("""COMPUTED_VALUE"""),4719003000745)</f>
        <v>4719003000745</v>
      </c>
      <c r="H397" s="1"/>
    </row>
    <row r="398" spans="1:8" x14ac:dyDescent="0.2">
      <c r="A398" s="1">
        <f ca="1">IFERROR(__xludf.DUMMYFUNCTION("""COMPUTED_VALUE"""),4719003800048)</f>
        <v>4719003800048</v>
      </c>
      <c r="B398" s="1" t="str">
        <f ca="1">IFERROR(__xludf.DUMMYFUNCTION("""COMPUTED_VALUE"""),"Т70")</f>
        <v>Т70</v>
      </c>
      <c r="C398" s="1" t="str">
        <f ca="1">IFERROR(__xludf.DUMMYFUNCTION("""COMPUTED_VALUE"""),"Термометр Gamma Т 70 (ПДВ)")</f>
        <v>Термометр Gamma Т 70 (ПДВ)</v>
      </c>
      <c r="D398" s="1" t="str">
        <f ca="1">IFERROR(__xludf.DUMMYFUNCTION("""COMPUTED_VALUE"""),"Т 70 Цифровий термометр Gamma УКТЗЕД9025192090 ш/к  4 719 003 800 048")</f>
        <v>Т 70 Цифровий термометр Gamma УКТЗЕД9025192090 ш/к  4 719 003 800 048</v>
      </c>
      <c r="E398" s="1" t="str">
        <f ca="1">IFERROR(__xludf.DUMMYFUNCTION("""COMPUTED_VALUE"""),"шт")</f>
        <v>шт</v>
      </c>
      <c r="F398" s="1" t="str">
        <f ca="1">IFERROR(__xludf.DUMMYFUNCTION("""COMPUTED_VALUE"""),"ТЕ000020")</f>
        <v>ТЕ000020</v>
      </c>
      <c r="G398" s="1">
        <f ca="1">IFERROR(__xludf.DUMMYFUNCTION("""COMPUTED_VALUE"""),4719003800048)</f>
        <v>4719003800048</v>
      </c>
      <c r="H398" s="1"/>
    </row>
    <row r="399" spans="1:8" x14ac:dyDescent="0.2">
      <c r="A399" s="1" t="str">
        <f ca="1">IFERROR(__xludf.DUMMYFUNCTION("""COMPUTED_VALUE"""),"Тест-полоски Bionime")</f>
        <v>Тест-полоски Bionime</v>
      </c>
      <c r="B399" s="1"/>
      <c r="C399" s="1"/>
      <c r="D399" s="1"/>
      <c r="E399" s="1"/>
      <c r="F399" s="1"/>
      <c r="G399" s="1"/>
      <c r="H399" s="1"/>
    </row>
    <row r="400" spans="1:8" x14ac:dyDescent="0.2">
      <c r="A400" s="1">
        <f ca="1">IFERROR(__xludf.DUMMYFUNCTION("""COMPUTED_VALUE"""),4710627334247)</f>
        <v>4710627334247</v>
      </c>
      <c r="B400" s="1" t="str">
        <f ca="1">IFERROR(__xludf.DUMMYFUNCTION("""COMPUTED_VALUE"""),"GS300(50шт)")</f>
        <v>GS300(50шт)</v>
      </c>
      <c r="C400" s="1" t="str">
        <f ca="1">IFERROR(__xludf.DUMMYFUNCTION("""COMPUTED_VALUE"""),"Тест-полоски для контроля ур глюкозы Rightest GS300 (2уп. х 25шт)")</f>
        <v>Тест-полоски для контроля ур глюкозы Rightest GS300 (2уп. х 25шт)</v>
      </c>
      <c r="D400" s="1" t="str">
        <f ca="1">IFERROR(__xludf.DUMMYFUNCTION("""COMPUTED_VALUE"""),"Тест-полоски для контроля уровня глюкозы в крови Bionime Rightest GS300 (2уп. х 25шт)  ш/к 4710627334247")</f>
        <v>Тест-полоски для контроля уровня глюкозы в крови Bionime Rightest GS300 (2уп. х 25шт)  ш/к 4710627334247</v>
      </c>
      <c r="E400" s="1" t="str">
        <f ca="1">IFERROR(__xludf.DUMMYFUNCTION("""COMPUTED_VALUE"""),"шт")</f>
        <v>шт</v>
      </c>
      <c r="F400" s="1" t="str">
        <f ca="1">IFERROR(__xludf.DUMMYFUNCTION("""COMPUTED_VALUE"""),"ГЛ000057")</f>
        <v>ГЛ000057</v>
      </c>
      <c r="G400" s="1">
        <f ca="1">IFERROR(__xludf.DUMMYFUNCTION("""COMPUTED_VALUE"""),4710627334247)</f>
        <v>4710627334247</v>
      </c>
      <c r="H400" s="1"/>
    </row>
    <row r="401" spans="1:8" x14ac:dyDescent="0.2">
      <c r="A401" s="1">
        <f ca="1">IFERROR(__xludf.DUMMYFUNCTION("""COMPUTED_VALUE"""),4710627337637)</f>
        <v>4710627337637</v>
      </c>
      <c r="B401" s="1" t="str">
        <f ca="1">IFERROR(__xludf.DUMMYFUNCTION("""COMPUTED_VALUE"""),"GS550 (50)")</f>
        <v>GS550 (50)</v>
      </c>
      <c r="C401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D401" s="1" t="str">
        <f ca="1">IFERROR(__xludf.DUMMYFUNCTION("""COMPUTED_VALUE"""),"Тест-полоски для контроля уровня глюкозы в крови Bionime Rightest GS 550 № 50 ш/к 4710627337637")</f>
        <v>Тест-полоски для контроля уровня глюкозы в крови Bionime Rightest GS 550 № 50 ш/к 4710627337637</v>
      </c>
      <c r="E401" s="1" t="str">
        <f ca="1">IFERROR(__xludf.DUMMYFUNCTION("""COMPUTED_VALUE"""),"шт")</f>
        <v>шт</v>
      </c>
      <c r="F401" s="1" t="str">
        <f ca="1">IFERROR(__xludf.DUMMYFUNCTION("""COMPUTED_VALUE"""),"AST00000325")</f>
        <v>AST00000325</v>
      </c>
      <c r="G401" s="1">
        <f ca="1">IFERROR(__xludf.DUMMYFUNCTION("""COMPUTED_VALUE"""),4710627337637)</f>
        <v>4710627337637</v>
      </c>
      <c r="H401" s="1"/>
    </row>
    <row r="402" spans="1:8" x14ac:dyDescent="0.2">
      <c r="A402" s="1" t="str">
        <f ca="1">IFERROR(__xludf.DUMMYFUNCTION("""COMPUTED_VALUE"""),"Тонометры Dr.Frei")</f>
        <v>Тонометры Dr.Frei</v>
      </c>
      <c r="B402" s="1"/>
      <c r="C402" s="1"/>
      <c r="D402" s="1"/>
      <c r="E402" s="1"/>
      <c r="F402" s="1"/>
      <c r="G402" s="1"/>
      <c r="H402" s="1"/>
    </row>
    <row r="403" spans="1:8" x14ac:dyDescent="0.2">
      <c r="A403" s="1">
        <f ca="1">IFERROR(__xludf.DUMMYFUNCTION("""COMPUTED_VALUE"""),7640162320016)</f>
        <v>7640162320016</v>
      </c>
      <c r="B403" s="1" t="str">
        <f ca="1">IFERROR(__xludf.DUMMYFUNCTION("""COMPUTED_VALUE"""),"M-100A")</f>
        <v>M-100A</v>
      </c>
      <c r="C403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D403" s="1" t="str">
        <f ca="1">IFERROR(__xludf.DUMMYFUNCTION("""COMPUTED_VALUE"""),"Автоматический измеритель артериального давления ТМ DR.FREI МОДЕЛЬ M-100A (Сертификат № 13829 об утверждении типа СИ) ш/к 7640162320016")</f>
        <v>Автоматический измеритель артериального давления ТМ DR.FREI МОДЕЛЬ M-100A (Сертификат № 13829 об утверждении типа СИ) ш/к 7640162320016</v>
      </c>
      <c r="E403" s="1" t="str">
        <f ca="1">IFERROR(__xludf.DUMMYFUNCTION("""COMPUTED_VALUE"""),"шт")</f>
        <v>шт</v>
      </c>
      <c r="F403" s="1" t="str">
        <f ca="1">IFERROR(__xludf.DUMMYFUNCTION("""COMPUTED_VALUE"""),"AST00000233")</f>
        <v>AST00000233</v>
      </c>
      <c r="G403" s="1">
        <f ca="1">IFERROR(__xludf.DUMMYFUNCTION("""COMPUTED_VALUE"""),7640162320016)</f>
        <v>7640162320016</v>
      </c>
      <c r="H403" s="1"/>
    </row>
    <row r="404" spans="1:8" x14ac:dyDescent="0.2">
      <c r="A404" s="1">
        <f ca="1">IFERROR(__xludf.DUMMYFUNCTION("""COMPUTED_VALUE"""),7640162320092)</f>
        <v>7640162320092</v>
      </c>
      <c r="B404" s="1" t="str">
        <f ca="1">IFERROR(__xludf.DUMMYFUNCTION("""COMPUTED_VALUE"""),"M-110W")</f>
        <v>M-110W</v>
      </c>
      <c r="C404" s="1" t="str">
        <f ca="1">IFERROR(__xludf.DUMMYFUNCTION("""COMPUTED_VALUE"""),"Автоматический измеритель арт давления на запястье Dr.Frei  модель М-110W")</f>
        <v>Автоматический измеритель арт давления на запястье Dr.Frei  модель М-110W</v>
      </c>
      <c r="D404" s="1" t="str">
        <f ca="1">IFERROR(__xludf.DUMMYFUNCTION("""COMPUTED_VALUE"""),"Автоматический измеритель арт давления на запястье Dr.Frei  модель М-110W (Сертификат № 12491 об утверждении типа СИ) ш/к 7640162320092")</f>
        <v>Автоматический измеритель арт давления на запястье Dr.Frei  модель М-110W (Сертификат № 12491 об утверждении типа СИ) ш/к 7640162320092</v>
      </c>
      <c r="E404" s="1" t="str">
        <f ca="1">IFERROR(__xludf.DUMMYFUNCTION("""COMPUTED_VALUE"""),"шт")</f>
        <v>шт</v>
      </c>
      <c r="F404" s="1" t="str">
        <f ca="1">IFERROR(__xludf.DUMMYFUNCTION("""COMPUTED_VALUE"""),"AST00000034")</f>
        <v>AST00000034</v>
      </c>
      <c r="G404" s="1">
        <f ca="1">IFERROR(__xludf.DUMMYFUNCTION("""COMPUTED_VALUE"""),7640162320092)</f>
        <v>7640162320092</v>
      </c>
      <c r="H404" s="1"/>
    </row>
    <row r="405" spans="1:8" x14ac:dyDescent="0.2">
      <c r="A405" s="1">
        <f ca="1">IFERROR(__xludf.DUMMYFUNCTION("""COMPUTED_VALUE"""),7640162320030)</f>
        <v>7640162320030</v>
      </c>
      <c r="B405" s="1" t="str">
        <f ca="1">IFERROR(__xludf.DUMMYFUNCTION("""COMPUTED_VALUE"""),"M-150S")</f>
        <v>M-150S</v>
      </c>
      <c r="C405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D405" s="1" t="str">
        <f ca="1">IFERROR(__xludf.DUMMYFUNCTION("""COMPUTED_VALUE"""),"Полуавтоматический измеритель артериального давления ТМ DR.FREI МОДЕЛЬ M-150S (Сертификат № 13829 об утверждении типа СИ) ш/к 7640162320030")</f>
        <v>Полуавтоматический измеритель артериального давления ТМ DR.FREI МОДЕЛЬ M-150S (Сертификат № 13829 об утверждении типа СИ) ш/к 7640162320030</v>
      </c>
      <c r="E405" s="1" t="str">
        <f ca="1">IFERROR(__xludf.DUMMYFUNCTION("""COMPUTED_VALUE"""),"шт")</f>
        <v>шт</v>
      </c>
      <c r="F405" s="1" t="str">
        <f ca="1">IFERROR(__xludf.DUMMYFUNCTION("""COMPUTED_VALUE"""),"AST00000235")</f>
        <v>AST00000235</v>
      </c>
      <c r="G405" s="1">
        <f ca="1">IFERROR(__xludf.DUMMYFUNCTION("""COMPUTED_VALUE"""),7640162320030)</f>
        <v>7640162320030</v>
      </c>
      <c r="H405" s="1"/>
    </row>
    <row r="406" spans="1:8" x14ac:dyDescent="0.2">
      <c r="A406" s="1">
        <f ca="1">IFERROR(__xludf.DUMMYFUNCTION("""COMPUTED_VALUE"""),7640162320023)</f>
        <v>7640162320023</v>
      </c>
      <c r="B406" s="1" t="str">
        <f ca="1">IFERROR(__xludf.DUMMYFUNCTION("""COMPUTED_VALUE"""),"M-200A")</f>
        <v>M-200A</v>
      </c>
      <c r="C406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D406" s="1" t="str">
        <f ca="1">IFERROR(__xludf.DUMMYFUNCTION("""COMPUTED_VALUE"""),"Автоматический измеритель артериального давления ТМ DR.FREI МОДЕЛЬ M-200A (Сертификат № 13829 об утверждении типа СИ) ш/к 7640162320023")</f>
        <v>Автоматический измеритель артериального давления ТМ DR.FREI МОДЕЛЬ M-200A (Сертификат № 13829 об утверждении типа СИ) ш/к 7640162320023</v>
      </c>
      <c r="E406" s="1" t="str">
        <f ca="1">IFERROR(__xludf.DUMMYFUNCTION("""COMPUTED_VALUE"""),"шт")</f>
        <v>шт</v>
      </c>
      <c r="F406" s="1" t="str">
        <f ca="1">IFERROR(__xludf.DUMMYFUNCTION("""COMPUTED_VALUE"""),"AST00000234")</f>
        <v>AST00000234</v>
      </c>
      <c r="G406" s="1">
        <f ca="1">IFERROR(__xludf.DUMMYFUNCTION("""COMPUTED_VALUE"""),7640162320023)</f>
        <v>7640162320023</v>
      </c>
      <c r="H406" s="1"/>
    </row>
    <row r="407" spans="1:8" x14ac:dyDescent="0.2">
      <c r="A407" s="1">
        <f ca="1">IFERROR(__xludf.DUMMYFUNCTION("""COMPUTED_VALUE"""),7640162320108)</f>
        <v>7640162320108</v>
      </c>
      <c r="B407" s="1" t="str">
        <f ca="1">IFERROR(__xludf.DUMMYFUNCTION("""COMPUTED_VALUE"""),"А-10")</f>
        <v>А-10</v>
      </c>
      <c r="C407" s="1" t="str">
        <f ca="1">IFERROR(__xludf.DUMMYFUNCTION("""COMPUTED_VALUE"""),"Измеритель артериального давления Профессиональный Dr.Frei А-10")</f>
        <v>Измеритель артериального давления Профессиональный Dr.Frei А-10</v>
      </c>
      <c r="D407" s="1" t="str">
        <f ca="1">IFERROR(__xludf.DUMMYFUNCTION("""COMPUTED_VALUE"""),"Измеритель артериального давления Профессиональный Dr.Frei  Модель А-10 (Сертификат № 12388 об утверждении типа СИ)  ш/к 7640162320108")</f>
        <v>Измеритель артериального давления Профессиональный Dr.Frei  Модель А-10 (Сертификат № 12388 об утверждении типа СИ)  ш/к 7640162320108</v>
      </c>
      <c r="E407" s="1" t="str">
        <f ca="1">IFERROR(__xludf.DUMMYFUNCTION("""COMPUTED_VALUE"""),"шт")</f>
        <v>шт</v>
      </c>
      <c r="F407" s="1" t="str">
        <f ca="1">IFERROR(__xludf.DUMMYFUNCTION("""COMPUTED_VALUE"""),"AST00000008")</f>
        <v>AST00000008</v>
      </c>
      <c r="G407" s="1">
        <f ca="1">IFERROR(__xludf.DUMMYFUNCTION("""COMPUTED_VALUE"""),7640162320108)</f>
        <v>7640162320108</v>
      </c>
      <c r="H407" s="1"/>
    </row>
    <row r="408" spans="1:8" x14ac:dyDescent="0.2">
      <c r="A408" s="1">
        <f ca="1">IFERROR(__xludf.DUMMYFUNCTION("""COMPUTED_VALUE"""),7640162320115)</f>
        <v>7640162320115</v>
      </c>
      <c r="B408" s="1" t="str">
        <f ca="1">IFERROR(__xludf.DUMMYFUNCTION("""COMPUTED_VALUE"""),"А-20")</f>
        <v>А-20</v>
      </c>
      <c r="C408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D408" s="1" t="str">
        <f ca="1">IFERROR(__xludf.DUMMYFUNCTION("""COMPUTED_VALUE"""),"Измеритель артериального давления Классик Dr.Frei  Модель А-20 (Сертификат № 12388 об утверждении типа СИ) ш/к 7640162320115")</f>
        <v>Измеритель артериального давления Классик Dr.Frei  Модель А-20 (Сертификат № 12388 об утверждении типа СИ) ш/к 7640162320115</v>
      </c>
      <c r="E408" s="1" t="str">
        <f ca="1">IFERROR(__xludf.DUMMYFUNCTION("""COMPUTED_VALUE"""),"шт")</f>
        <v>шт</v>
      </c>
      <c r="F408" s="1" t="str">
        <f ca="1">IFERROR(__xludf.DUMMYFUNCTION("""COMPUTED_VALUE"""),"AST00000009")</f>
        <v>AST00000009</v>
      </c>
      <c r="G408" s="1">
        <f ca="1">IFERROR(__xludf.DUMMYFUNCTION("""COMPUTED_VALUE"""),7640162320115)</f>
        <v>7640162320115</v>
      </c>
      <c r="H408" s="1"/>
    </row>
    <row r="409" spans="1:8" x14ac:dyDescent="0.2">
      <c r="A409" s="1">
        <f ca="1">IFERROR(__xludf.DUMMYFUNCTION("""COMPUTED_VALUE"""),7640162320122)</f>
        <v>7640162320122</v>
      </c>
      <c r="B409" s="1" t="str">
        <f ca="1">IFERROR(__xludf.DUMMYFUNCTION("""COMPUTED_VALUE"""),"А-30")</f>
        <v>А-30</v>
      </c>
      <c r="C409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D409" s="1" t="str">
        <f ca="1">IFERROR(__xludf.DUMMYFUNCTION("""COMPUTED_VALUE"""),"Измеритель артериального давления Premium Dr.Frei  Модель А-30 (Сертификат № 12388 об утверждении типа СИ) ш/к 7640162320122")</f>
        <v>Измеритель артериального давления Premium Dr.Frei  Модель А-30 (Сертификат № 12388 об утверждении типа СИ) ш/к 7640162320122</v>
      </c>
      <c r="E409" s="1" t="str">
        <f ca="1">IFERROR(__xludf.DUMMYFUNCTION("""COMPUTED_VALUE"""),"шт")</f>
        <v>шт</v>
      </c>
      <c r="F409" s="1" t="str">
        <f ca="1">IFERROR(__xludf.DUMMYFUNCTION("""COMPUTED_VALUE"""),"AST00000046")</f>
        <v>AST00000046</v>
      </c>
      <c r="G409" s="1">
        <f ca="1">IFERROR(__xludf.DUMMYFUNCTION("""COMPUTED_VALUE"""),7640162320122)</f>
        <v>7640162320122</v>
      </c>
      <c r="H409" s="1"/>
    </row>
    <row r="410" spans="1:8" x14ac:dyDescent="0.2">
      <c r="A410" s="1">
        <f ca="1">IFERROR(__xludf.DUMMYFUNCTION("""COMPUTED_VALUE"""),7640162320375)</f>
        <v>7640162320375</v>
      </c>
      <c r="B410" s="1" t="str">
        <f ca="1">IFERROR(__xludf.DUMMYFUNCTION("""COMPUTED_VALUE"""),"А-40")</f>
        <v>А-40</v>
      </c>
      <c r="C410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D410" s="1" t="str">
        <f ca="1">IFERROR(__xludf.DUMMYFUNCTION("""COMPUTED_VALUE"""),"Измеритель артериального давления Комфорт Dr.Frei  Модель А-40 (Сертификат № 12388 об утверждении типа СИ) ш/к 7640162320375")</f>
        <v>Измеритель артериального давления Комфорт Dr.Frei  Модель А-40 (Сертификат № 12388 об утверждении типа СИ) ш/к 7640162320375</v>
      </c>
      <c r="E410" s="1" t="str">
        <f ca="1">IFERROR(__xludf.DUMMYFUNCTION("""COMPUTED_VALUE"""),"шт")</f>
        <v>шт</v>
      </c>
      <c r="F410" s="1" t="str">
        <f ca="1">IFERROR(__xludf.DUMMYFUNCTION("""COMPUTED_VALUE"""),"AST00000010")</f>
        <v>AST00000010</v>
      </c>
      <c r="G410" s="1">
        <f ca="1">IFERROR(__xludf.DUMMYFUNCTION("""COMPUTED_VALUE"""),7640162320375)</f>
        <v>7640162320375</v>
      </c>
      <c r="H410" s="1"/>
    </row>
    <row r="411" spans="1:8" x14ac:dyDescent="0.2">
      <c r="A411" s="1">
        <f ca="1">IFERROR(__xludf.DUMMYFUNCTION("""COMPUTED_VALUE"""),77000001878)</f>
        <v>77000001878</v>
      </c>
      <c r="B411" s="1" t="str">
        <f ca="1">IFERROR(__xludf.DUMMYFUNCTION("""COMPUTED_VALUE"""),"М-100А/М-200А")</f>
        <v>М-100А/М-200А</v>
      </c>
      <c r="C411" s="1" t="str">
        <f ca="1">IFERROR(__xludf.DUMMYFUNCTION("""COMPUTED_VALUE"""),"Адаптер Dr.Frei М-100А/М-200А")</f>
        <v>Адаптер Dr.Frei М-100А/М-200А</v>
      </c>
      <c r="D411" s="1" t="str">
        <f ca="1">IFERROR(__xludf.DUMMYFUNCTION("""COMPUTED_VALUE"""),"Адаптер Dr.Frei М-100А/М-200А ш/к 77000001878")</f>
        <v>Адаптер Dr.Frei М-100А/М-200А ш/к 77000001878</v>
      </c>
      <c r="E411" s="1" t="str">
        <f ca="1">IFERROR(__xludf.DUMMYFUNCTION("""COMPUTED_VALUE"""),"шт")</f>
        <v>шт</v>
      </c>
      <c r="F411" s="1">
        <f ca="1">IFERROR(__xludf.DUMMYFUNCTION("""COMPUTED_VALUE"""),77000001878)</f>
        <v>77000001878</v>
      </c>
      <c r="G411" s="1">
        <f ca="1">IFERROR(__xludf.DUMMYFUNCTION("""COMPUTED_VALUE"""),77000001878)</f>
        <v>77000001878</v>
      </c>
      <c r="H411" s="1"/>
    </row>
    <row r="412" spans="1:8" x14ac:dyDescent="0.2">
      <c r="A412" s="1">
        <f ca="1">IFERROR(__xludf.DUMMYFUNCTION("""COMPUTED_VALUE"""),7640162320054)</f>
        <v>7640162320054</v>
      </c>
      <c r="B412" s="1" t="str">
        <f ca="1">IFERROR(__xludf.DUMMYFUNCTION("""COMPUTED_VALUE"""),"М-300А")</f>
        <v>М-300А</v>
      </c>
      <c r="C412" s="1" t="str">
        <f ca="1">IFERROR(__xludf.DUMMYFUNCTION("""COMPUTED_VALUE"""),"Автоматический измеритель артериального давления М-300А")</f>
        <v>Автоматический измеритель артериального давления М-300А</v>
      </c>
      <c r="D412" s="1" t="str">
        <f ca="1">IFERROR(__xludf.DUMMYFUNCTION("""COMPUTED_VALUE"""),"Автоматический измеритель артериального давления Dr.Frei модель М-300А (Сертификат № 12491 об утверждении типа СИ) ш/к 7640162320054")</f>
        <v>Автоматический измеритель артериального давления Dr.Frei модель М-300А (Сертификат № 12491 об утверждении типа СИ) ш/к 7640162320054</v>
      </c>
      <c r="E412" s="1" t="str">
        <f ca="1">IFERROR(__xludf.DUMMYFUNCTION("""COMPUTED_VALUE"""),"шт")</f>
        <v>шт</v>
      </c>
      <c r="F412" s="1" t="str">
        <f ca="1">IFERROR(__xludf.DUMMYFUNCTION("""COMPUTED_VALUE"""),"AST00000005")</f>
        <v>AST00000005</v>
      </c>
      <c r="G412" s="1">
        <f ca="1">IFERROR(__xludf.DUMMYFUNCTION("""COMPUTED_VALUE"""),7640162320054)</f>
        <v>7640162320054</v>
      </c>
      <c r="H412" s="1"/>
    </row>
    <row r="413" spans="1:8" x14ac:dyDescent="0.2">
      <c r="A413" s="1">
        <f ca="1">IFERROR(__xludf.DUMMYFUNCTION("""COMPUTED_VALUE"""),7640162320061)</f>
        <v>7640162320061</v>
      </c>
      <c r="B413" s="1" t="str">
        <f ca="1">IFERROR(__xludf.DUMMYFUNCTION("""COMPUTED_VALUE"""),"М-400А")</f>
        <v>М-400А</v>
      </c>
      <c r="C413" s="1" t="str">
        <f ca="1">IFERROR(__xludf.DUMMYFUNCTION("""COMPUTED_VALUE"""),"Автоматический измеритель артериального давления М-400А")</f>
        <v>Автоматический измеритель артериального давления М-400А</v>
      </c>
      <c r="D413" s="1" t="str">
        <f ca="1">IFERROR(__xludf.DUMMYFUNCTION("""COMPUTED_VALUE"""),"Автоматический измеритель артериального давления Dr.Frei модель М-400А (Сертификат № 12491 об утверждении типа СИ) ш/к 7640162320061")</f>
        <v>Автоматический измеритель артериального давления Dr.Frei модель М-400А (Сертификат № 12491 об утверждении типа СИ) ш/к 7640162320061</v>
      </c>
      <c r="E413" s="1" t="str">
        <f ca="1">IFERROR(__xludf.DUMMYFUNCTION("""COMPUTED_VALUE"""),"шт")</f>
        <v>шт</v>
      </c>
      <c r="F413" s="1" t="str">
        <f ca="1">IFERROR(__xludf.DUMMYFUNCTION("""COMPUTED_VALUE"""),"AST00000006")</f>
        <v>AST00000006</v>
      </c>
      <c r="G413" s="1">
        <f ca="1">IFERROR(__xludf.DUMMYFUNCTION("""COMPUTED_VALUE"""),7640162320061)</f>
        <v>7640162320061</v>
      </c>
      <c r="H413" s="1"/>
    </row>
    <row r="414" spans="1:8" x14ac:dyDescent="0.2">
      <c r="A414" s="1">
        <f ca="1">IFERROR(__xludf.DUMMYFUNCTION("""COMPUTED_VALUE"""),7640162320078)</f>
        <v>7640162320078</v>
      </c>
      <c r="B414" s="1" t="str">
        <f ca="1">IFERROR(__xludf.DUMMYFUNCTION("""COMPUTED_VALUE"""),"М-500А")</f>
        <v>М-500А</v>
      </c>
      <c r="C414" s="1" t="str">
        <f ca="1">IFERROR(__xludf.DUMMYFUNCTION("""COMPUTED_VALUE"""),"Автоматический измеритель артериального давления М-500А")</f>
        <v>Автоматический измеритель артериального давления М-500А</v>
      </c>
      <c r="D414" s="1" t="str">
        <f ca="1">IFERROR(__xludf.DUMMYFUNCTION("""COMPUTED_VALUE"""),"Автоматический измеритель артериального давления Dr.Frei модель М-500А (Сертификат № 12491 об утверждении типа СИ) ш/к 7640162320078")</f>
        <v>Автоматический измеритель артериального давления Dr.Frei модель М-500А (Сертификат № 12491 об утверждении типа СИ) ш/к 7640162320078</v>
      </c>
      <c r="E414" s="1" t="str">
        <f ca="1">IFERROR(__xludf.DUMMYFUNCTION("""COMPUTED_VALUE"""),"шт")</f>
        <v>шт</v>
      </c>
      <c r="F414" s="1" t="str">
        <f ca="1">IFERROR(__xludf.DUMMYFUNCTION("""COMPUTED_VALUE"""),"AST00000007")</f>
        <v>AST00000007</v>
      </c>
      <c r="G414" s="1">
        <f ca="1">IFERROR(__xludf.DUMMYFUNCTION("""COMPUTED_VALUE"""),7640162320078)</f>
        <v>7640162320078</v>
      </c>
      <c r="H414" s="1"/>
    </row>
    <row r="415" spans="1:8" x14ac:dyDescent="0.2">
      <c r="A415" s="1">
        <f ca="1">IFERROR(__xludf.DUMMYFUNCTION("""COMPUTED_VALUE"""),7640162320085)</f>
        <v>7640162320085</v>
      </c>
      <c r="B415" s="1" t="str">
        <f ca="1">IFERROR(__xludf.DUMMYFUNCTION("""COMPUTED_VALUE"""),"МА20")</f>
        <v>МА20</v>
      </c>
      <c r="C415" s="1" t="str">
        <f ca="1">IFERROR(__xludf.DUMMYFUNCTION("""COMPUTED_VALUE"""),"Адаптер МА20 Dr.Frei")</f>
        <v>Адаптер МА20 Dr.Frei</v>
      </c>
      <c r="D415" s="1" t="str">
        <f ca="1">IFERROR(__xludf.DUMMYFUNCTION("""COMPUTED_VALUE"""),"Адаптер МА20 Dr.Frei ш/к 7640162320085")</f>
        <v>Адаптер МА20 Dr.Frei ш/к 7640162320085</v>
      </c>
      <c r="E415" s="1" t="str">
        <f ca="1">IFERROR(__xludf.DUMMYFUNCTION("""COMPUTED_VALUE"""),"шт")</f>
        <v>шт</v>
      </c>
      <c r="F415" s="1" t="str">
        <f ca="1">IFERROR(__xludf.DUMMYFUNCTION("""COMPUTED_VALUE"""),"AST00000069")</f>
        <v>AST00000069</v>
      </c>
      <c r="G415" s="1">
        <f ca="1">IFERROR(__xludf.DUMMYFUNCTION("""COMPUTED_VALUE"""),7640162320085)</f>
        <v>7640162320085</v>
      </c>
      <c r="H415" s="1"/>
    </row>
    <row r="416" spans="1:8" x14ac:dyDescent="0.2">
      <c r="A416" s="1" t="str">
        <f ca="1">IFERROR(__xludf.DUMMYFUNCTION("""COMPUTED_VALUE"""),"Тонометры Gamma")</f>
        <v>Тонометры Gamma</v>
      </c>
      <c r="B416" s="1"/>
      <c r="C416" s="1"/>
      <c r="D416" s="1"/>
      <c r="E416" s="1"/>
      <c r="F416" s="1"/>
      <c r="G416" s="1"/>
      <c r="H416" s="1"/>
    </row>
    <row r="417" spans="1:8" x14ac:dyDescent="0.2">
      <c r="A417" s="1">
        <f ca="1">IFERROR(__xludf.DUMMYFUNCTION("""COMPUTED_VALUE"""),6948423806509)</f>
        <v>6948423806509</v>
      </c>
      <c r="B417" s="1" t="str">
        <f ca="1">IFERROR(__xludf.DUMMYFUNCTION("""COMPUTED_VALUE"""),"Active")</f>
        <v>Active</v>
      </c>
      <c r="C417" s="1" t="str">
        <f ca="1">IFERROR(__xludf.DUMMYFUNCTION("""COMPUTED_VALUE"""),"Тонометр на запястие автомат Gamma Active")</f>
        <v>Тонометр на запястие автомат Gamma Active</v>
      </c>
      <c r="D417" s="1" t="str">
        <f ca="1">IFERROR(__xludf.DUMMYFUNCTION("""COMPUTED_VALUE"""),"Автоматический измеритель артериального давления GAMMA модель Active ш/к 6948423806509 (Сертификат № 13277 об утверждении типа СИ)")</f>
        <v>Автоматический измеритель артериального давления GAMMA модель Active ш/к 6948423806509 (Сертификат № 13277 об утверждении типа СИ)</v>
      </c>
      <c r="E417" s="1" t="str">
        <f ca="1">IFERROR(__xludf.DUMMYFUNCTION("""COMPUTED_VALUE"""),"шт")</f>
        <v>шт</v>
      </c>
      <c r="F417" s="1" t="str">
        <f ca="1">IFERROR(__xludf.DUMMYFUNCTION("""COMPUTED_VALUE"""),"AST00000079")</f>
        <v>AST00000079</v>
      </c>
      <c r="G417" s="1">
        <f ca="1">IFERROR(__xludf.DUMMYFUNCTION("""COMPUTED_VALUE"""),6948423806509)</f>
        <v>6948423806509</v>
      </c>
      <c r="H417" s="1"/>
    </row>
    <row r="418" spans="1:8" x14ac:dyDescent="0.2">
      <c r="A418" s="1">
        <f ca="1">IFERROR(__xludf.DUMMYFUNCTION("""COMPUTED_VALUE"""),6948423806523)</f>
        <v>6948423806523</v>
      </c>
      <c r="B418" s="1" t="str">
        <f ca="1">IFERROR(__xludf.DUMMYFUNCTION("""COMPUTED_VALUE"""),"Control")</f>
        <v>Control</v>
      </c>
      <c r="C418" s="1" t="str">
        <f ca="1">IFERROR(__xludf.DUMMYFUNCTION("""COMPUTED_VALUE"""),"Тонометр автомат Gamma Control")</f>
        <v>Тонометр автомат Gamma Control</v>
      </c>
      <c r="D418" s="1" t="str">
        <f ca="1">IFERROR(__xludf.DUMMYFUNCTION("""COMPUTED_VALUE"""),"Автоматический измеритель артериального давления GAMMA модель Control ш/к 6948423806523 (Сертификат № 13277 об утверждении типа СИ)")</f>
        <v>Автоматический измеритель артериального давления GAMMA модель Control ш/к 6948423806523 (Сертификат № 13277 об утверждении типа СИ)</v>
      </c>
      <c r="E418" s="1" t="str">
        <f ca="1">IFERROR(__xludf.DUMMYFUNCTION("""COMPUTED_VALUE"""),"шт")</f>
        <v>шт</v>
      </c>
      <c r="F418" s="1" t="str">
        <f ca="1">IFERROR(__xludf.DUMMYFUNCTION("""COMPUTED_VALUE"""),"AST00000077")</f>
        <v>AST00000077</v>
      </c>
      <c r="G418" s="1">
        <f ca="1">IFERROR(__xludf.DUMMYFUNCTION("""COMPUTED_VALUE"""),6948423806523)</f>
        <v>6948423806523</v>
      </c>
      <c r="H418" s="1"/>
    </row>
    <row r="419" spans="1:8" x14ac:dyDescent="0.2">
      <c r="A419" s="1">
        <f ca="1">IFERROR(__xludf.DUMMYFUNCTION("""COMPUTED_VALUE"""),77000001906)</f>
        <v>77000001906</v>
      </c>
      <c r="B419" s="1" t="str">
        <f ca="1">IFERROR(__xludf.DUMMYFUNCTION("""COMPUTED_VALUE"""),"Control 2+1")</f>
        <v>Control 2+1</v>
      </c>
      <c r="C419" s="1" t="str">
        <f ca="1">IFERROR(__xludf.DUMMYFUNCTION("""COMPUTED_VALUE"""),"Тонометр Gamma Control Акция (2+1 Gamma Plus и Smart + Control по 1тг)")</f>
        <v>Тонометр Gamma Control Акция (2+1 Gamma Plus и Smart + Control по 1тг)</v>
      </c>
      <c r="D419" s="1" t="str">
        <f ca="1">IFERROR(__xludf.DUMMYFUNCTION("""COMPUTED_VALUE"""),"Автоматический измеритель артериального давления GAMMA модель Control ш/к 6948423806523 (Сертификат № 13277 об утверждении типа СИ) (акция 2+1 при покупке 100% реализаций тонометра Gamma Smart и Gamma Plus.Тонометр Gamma Control по цене 1тг)")</f>
        <v>Автоматический измеритель артериального давления GAMMA модель Control ш/к 6948423806523 (Сертификат № 13277 об утверждении типа СИ) (акция 2+1 при покупке 100% реализаций тонометра Gamma Smart и Gamma Plus.Тонометр Gamma Control по цене 1тг)</v>
      </c>
      <c r="E419" s="1" t="str">
        <f ca="1">IFERROR(__xludf.DUMMYFUNCTION("""COMPUTED_VALUE"""),"шт")</f>
        <v>шт</v>
      </c>
      <c r="F419" s="1">
        <f ca="1">IFERROR(__xludf.DUMMYFUNCTION("""COMPUTED_VALUE"""),77000001906)</f>
        <v>77000001906</v>
      </c>
      <c r="G419" s="1">
        <f ca="1">IFERROR(__xludf.DUMMYFUNCTION("""COMPUTED_VALUE"""),77000001906)</f>
        <v>77000001906</v>
      </c>
      <c r="H419" s="1"/>
    </row>
    <row r="420" spans="1:8" x14ac:dyDescent="0.2">
      <c r="A420" s="1">
        <f ca="1">IFERROR(__xludf.DUMMYFUNCTION("""COMPUTED_VALUE"""),6948423806912)</f>
        <v>6948423806912</v>
      </c>
      <c r="B420" s="1" t="str">
        <f ca="1">IFERROR(__xludf.DUMMYFUNCTION("""COMPUTED_VALUE"""),"GA-60")</f>
        <v>GA-60</v>
      </c>
      <c r="C420" s="1" t="str">
        <f ca="1">IFERROR(__xludf.DUMMYFUNCTION("""COMPUTED_VALUE"""),"Адаптер GAMMA")</f>
        <v>Адаптер GAMMA</v>
      </c>
      <c r="D420" s="1" t="str">
        <f ca="1">IFERROR(__xludf.DUMMYFUNCTION("""COMPUTED_VALUE"""),"Адаптер GAMMA ш/к 6948423806912")</f>
        <v>Адаптер GAMMA ш/к 6948423806912</v>
      </c>
      <c r="E420" s="1" t="str">
        <f ca="1">IFERROR(__xludf.DUMMYFUNCTION("""COMPUTED_VALUE"""),"шт")</f>
        <v>шт</v>
      </c>
      <c r="F420" s="1" t="str">
        <f ca="1">IFERROR(__xludf.DUMMYFUNCTION("""COMPUTED_VALUE"""),"AST00000130")</f>
        <v>AST00000130</v>
      </c>
      <c r="G420" s="1">
        <f ca="1">IFERROR(__xludf.DUMMYFUNCTION("""COMPUTED_VALUE"""),6948423806912)</f>
        <v>6948423806912</v>
      </c>
      <c r="H420" s="1"/>
    </row>
    <row r="421" spans="1:8" x14ac:dyDescent="0.2">
      <c r="A421" s="1">
        <f ca="1">IFERROR(__xludf.DUMMYFUNCTION("""COMPUTED_VALUE"""),4719003310523)</f>
        <v>4719003310523</v>
      </c>
      <c r="B421" s="1" t="str">
        <f ca="1">IFERROR(__xludf.DUMMYFUNCTION("""COMPUTED_VALUE"""),"M1-S-1")</f>
        <v>M1-S-1</v>
      </c>
      <c r="C421" s="1" t="str">
        <f ca="1">IFERROR(__xludf.DUMMYFUNCTION("""COMPUTED_VALUE"""),"Тонометр Gamma M 1-S-1")</f>
        <v>Тонометр Gamma M 1-S-1</v>
      </c>
      <c r="D421" s="1" t="str">
        <f ca="1">IFERROR(__xludf.DUMMYFUNCTION("""COMPUTED_VALUE"""),"Измеритель артериального давления Gamma M1-S1 полуавтоматический на плечо ш/к  4 719 003 310 523")</f>
        <v>Измеритель артериального давления Gamma M1-S1 полуавтоматический на плечо ш/к  4 719 003 310 523</v>
      </c>
      <c r="E421" s="1" t="str">
        <f ca="1">IFERROR(__xludf.DUMMYFUNCTION("""COMPUTED_VALUE"""),"шт")</f>
        <v>шт</v>
      </c>
      <c r="F421" s="1" t="str">
        <f ca="1">IFERROR(__xludf.DUMMYFUNCTION("""COMPUTED_VALUE"""),"ТП000016")</f>
        <v>ТП000016</v>
      </c>
      <c r="G421" s="1">
        <f ca="1">IFERROR(__xludf.DUMMYFUNCTION("""COMPUTED_VALUE"""),4719003310523)</f>
        <v>4719003310523</v>
      </c>
      <c r="H421" s="1"/>
    </row>
    <row r="422" spans="1:8" x14ac:dyDescent="0.2">
      <c r="A422" s="1">
        <f ca="1">IFERROR(__xludf.DUMMYFUNCTION("""COMPUTED_VALUE"""),6948423806516)</f>
        <v>6948423806516</v>
      </c>
      <c r="B422" s="1" t="str">
        <f ca="1">IFERROR(__xludf.DUMMYFUNCTION("""COMPUTED_VALUE"""),"Plus")</f>
        <v>Plus</v>
      </c>
      <c r="C422" s="1" t="str">
        <f ca="1">IFERROR(__xludf.DUMMYFUNCTION("""COMPUTED_VALUE"""),"Тонометр автомат Gamma Plus")</f>
        <v>Тонометр автомат Gamma Plus</v>
      </c>
      <c r="D422" s="1" t="str">
        <f ca="1">IFERROR(__xludf.DUMMYFUNCTION("""COMPUTED_VALUE"""),"Автоматический измеритель артериального давления GAMMA модель Plus ш/к 6948423806516 (Сертификат № 13277 об утверждении типа СИ)")</f>
        <v>Автоматический измеритель артериального давления GAMMA модель Plus ш/к 6948423806516 (Сертификат № 13277 об утверждении типа СИ)</v>
      </c>
      <c r="E422" s="1" t="str">
        <f ca="1">IFERROR(__xludf.DUMMYFUNCTION("""COMPUTED_VALUE"""),"шт")</f>
        <v>шт</v>
      </c>
      <c r="F422" s="1" t="str">
        <f ca="1">IFERROR(__xludf.DUMMYFUNCTION("""COMPUTED_VALUE"""),"AST00000076")</f>
        <v>AST00000076</v>
      </c>
      <c r="G422" s="1">
        <f ca="1">IFERROR(__xludf.DUMMYFUNCTION("""COMPUTED_VALUE"""),6948423806516)</f>
        <v>6948423806516</v>
      </c>
      <c r="H422" s="1"/>
    </row>
    <row r="423" spans="1:8" x14ac:dyDescent="0.2">
      <c r="A423" s="1">
        <f ca="1">IFERROR(__xludf.DUMMYFUNCTION("""COMPUTED_VALUE"""),6948423806547)</f>
        <v>6948423806547</v>
      </c>
      <c r="B423" s="1" t="str">
        <f ca="1">IFERROR(__xludf.DUMMYFUNCTION("""COMPUTED_VALUE"""),"Semi Plus")</f>
        <v>Semi Plus</v>
      </c>
      <c r="C423" s="1" t="str">
        <f ca="1">IFERROR(__xludf.DUMMYFUNCTION("""COMPUTED_VALUE"""),"Тонометр полуавтомат Gamma Semi Plus")</f>
        <v>Тонометр полуавтомат Gamma Semi Plus</v>
      </c>
      <c r="D423" s="1" t="str">
        <f ca="1">IFERROR(__xludf.DUMMYFUNCTION("""COMPUTED_VALUE"""),"Полуавтоматический измеритель артериального давления Gamma модель Semi Plus ш/к 6948423806547 (Сертификат № 13277 об утверждении типа СИ)")</f>
        <v>Полуавтоматический измеритель артериального давления Gamma модель Semi Plus ш/к 6948423806547 (Сертификат № 13277 об утверждении типа СИ)</v>
      </c>
      <c r="E423" s="1" t="str">
        <f ca="1">IFERROR(__xludf.DUMMYFUNCTION("""COMPUTED_VALUE"""),"шт")</f>
        <v>шт</v>
      </c>
      <c r="F423" s="1" t="str">
        <f ca="1">IFERROR(__xludf.DUMMYFUNCTION("""COMPUTED_VALUE"""),"AST00000075")</f>
        <v>AST00000075</v>
      </c>
      <c r="G423" s="1">
        <f ca="1">IFERROR(__xludf.DUMMYFUNCTION("""COMPUTED_VALUE"""),6948423806547)</f>
        <v>6948423806547</v>
      </c>
      <c r="H423" s="1"/>
    </row>
    <row r="424" spans="1:8" x14ac:dyDescent="0.2">
      <c r="A424" s="1">
        <f ca="1">IFERROR(__xludf.DUMMYFUNCTION("""COMPUTED_VALUE"""),6948423806554)</f>
        <v>6948423806554</v>
      </c>
      <c r="B424" s="1" t="str">
        <f ca="1">IFERROR(__xludf.DUMMYFUNCTION("""COMPUTED_VALUE"""),"Smart")</f>
        <v>Smart</v>
      </c>
      <c r="C424" s="1" t="str">
        <f ca="1">IFERROR(__xludf.DUMMYFUNCTION("""COMPUTED_VALUE"""),"Тонометр автомат Gamma Smart")</f>
        <v>Тонометр автомат Gamma Smart</v>
      </c>
      <c r="D424" s="1" t="str">
        <f ca="1">IFERROR(__xludf.DUMMYFUNCTION("""COMPUTED_VALUE"""),"Автоматический измеритель артериального давления GAMMA модель Smart ш/к 6948423806554 (Сертификат № 13277 об утверждении типа СИ)")</f>
        <v>Автоматический измеритель артериального давления GAMMA модель Smart ш/к 6948423806554 (Сертификат № 13277 об утверждении типа СИ)</v>
      </c>
      <c r="E424" s="1" t="str">
        <f ca="1">IFERROR(__xludf.DUMMYFUNCTION("""COMPUTED_VALUE"""),"шт")</f>
        <v>шт</v>
      </c>
      <c r="F424" s="1" t="str">
        <f ca="1">IFERROR(__xludf.DUMMYFUNCTION("""COMPUTED_VALUE"""),"AST00000078")</f>
        <v>AST00000078</v>
      </c>
      <c r="G424" s="1">
        <f ca="1">IFERROR(__xludf.DUMMYFUNCTION("""COMPUTED_VALUE"""),6948423806554)</f>
        <v>6948423806554</v>
      </c>
      <c r="H424" s="1"/>
    </row>
    <row r="425" spans="1:8" x14ac:dyDescent="0.2">
      <c r="A425" s="1">
        <f ca="1">IFERROR(__xludf.DUMMYFUNCTION("""COMPUTED_VALUE"""),4719300311544)</f>
        <v>4719300311544</v>
      </c>
      <c r="B425" s="1" t="str">
        <f ca="1">IFERROR(__xludf.DUMMYFUNCTION("""COMPUTED_VALUE"""),"М1-1")</f>
        <v>М1-1</v>
      </c>
      <c r="C425" s="1" t="str">
        <f ca="1">IFERROR(__xludf.DUMMYFUNCTION("""COMPUTED_VALUE"""),"Тонометр Gamma М 1-1")</f>
        <v>Тонометр Gamma М 1-1</v>
      </c>
      <c r="D425" s="1" t="str">
        <f ca="1">IFERROR(__xludf.DUMMYFUNCTION("""COMPUTED_VALUE"""),"Измеритель артериального давления Gamma M1-1 автоматический на плечо ш/к  4 719 300 311 544")</f>
        <v>Измеритель артериального давления Gamma M1-1 автоматический на плечо ш/к  4 719 300 311 544</v>
      </c>
      <c r="E425" s="1" t="str">
        <f ca="1">IFERROR(__xludf.DUMMYFUNCTION("""COMPUTED_VALUE"""),"шт")</f>
        <v>шт</v>
      </c>
      <c r="F425" s="1" t="str">
        <f ca="1">IFERROR(__xludf.DUMMYFUNCTION("""COMPUTED_VALUE"""),"ТА000015")</f>
        <v>ТА000015</v>
      </c>
      <c r="G425" s="1">
        <f ca="1">IFERROR(__xludf.DUMMYFUNCTION("""COMPUTED_VALUE"""),4719300311544)</f>
        <v>4719300311544</v>
      </c>
      <c r="H425" s="1"/>
    </row>
    <row r="426" spans="1:8" x14ac:dyDescent="0.2">
      <c r="A426" s="1">
        <f ca="1">IFERROR(__xludf.DUMMYFUNCTION("""COMPUTED_VALUE"""),4719300311445)</f>
        <v>4719300311445</v>
      </c>
      <c r="B426" s="1" t="str">
        <f ca="1">IFERROR(__xludf.DUMMYFUNCTION("""COMPUTED_VALUE"""),"М1-2")</f>
        <v>М1-2</v>
      </c>
      <c r="C426" s="1" t="str">
        <f ca="1">IFERROR(__xludf.DUMMYFUNCTION("""COMPUTED_VALUE"""),"Тонометр Gamma М 1-2")</f>
        <v>Тонометр Gamma М 1-2</v>
      </c>
      <c r="D426" s="1" t="str">
        <f ca="1">IFERROR(__xludf.DUMMYFUNCTION("""COMPUTED_VALUE"""),"Измеритель артериального давления Gamma М 1-2 автоматический (на плечо)ш/к 4719300311445")</f>
        <v>Измеритель артериального давления Gamma М 1-2 автоматический (на плечо)ш/к 4719300311445</v>
      </c>
      <c r="E426" s="1" t="str">
        <f ca="1">IFERROR(__xludf.DUMMYFUNCTION("""COMPUTED_VALUE"""),"шт")</f>
        <v>шт</v>
      </c>
      <c r="F426" s="1" t="str">
        <f ca="1">IFERROR(__xludf.DUMMYFUNCTION("""COMPUTED_VALUE"""),"ТА000016")</f>
        <v>ТА000016</v>
      </c>
      <c r="G426" s="1">
        <f ca="1">IFERROR(__xludf.DUMMYFUNCTION("""COMPUTED_VALUE"""),4719300311445)</f>
        <v>4719300311445</v>
      </c>
      <c r="H426" s="1"/>
    </row>
    <row r="427" spans="1:8" x14ac:dyDescent="0.2">
      <c r="A427" s="1">
        <f ca="1">IFERROR(__xludf.DUMMYFUNCTION("""COMPUTED_VALUE"""),4719300311643)</f>
        <v>4719300311643</v>
      </c>
      <c r="B427" s="1" t="str">
        <f ca="1">IFERROR(__xludf.DUMMYFUNCTION("""COMPUTED_VALUE"""),"М1-S")</f>
        <v>М1-S</v>
      </c>
      <c r="C427" s="1" t="str">
        <f ca="1">IFERROR(__xludf.DUMMYFUNCTION("""COMPUTED_VALUE"""),"Тонометр Gamma М 1-S")</f>
        <v>Тонометр Gamma М 1-S</v>
      </c>
      <c r="D427" s="1" t="str">
        <f ca="1">IFERROR(__xludf.DUMMYFUNCTION("""COMPUTED_VALUE"""),"Измеритель артериального давления Gamma M1-S полуавтоматический на плечо ш/к  4 719 300 311 643")</f>
        <v>Измеритель артериального давления Gamma M1-S полуавтоматический на плечо ш/к  4 719 300 311 643</v>
      </c>
      <c r="E427" s="1" t="str">
        <f ca="1">IFERROR(__xludf.DUMMYFUNCTION("""COMPUTED_VALUE"""),"шт")</f>
        <v>шт</v>
      </c>
      <c r="F427" s="1" t="str">
        <f ca="1">IFERROR(__xludf.DUMMYFUNCTION("""COMPUTED_VALUE"""),"ТП000009")</f>
        <v>ТП000009</v>
      </c>
      <c r="G427" s="1">
        <f ca="1">IFERROR(__xludf.DUMMYFUNCTION("""COMPUTED_VALUE"""),4719300311643)</f>
        <v>4719300311643</v>
      </c>
      <c r="H427" s="1"/>
    </row>
    <row r="428" spans="1:8" x14ac:dyDescent="0.2">
      <c r="A428" s="1">
        <f ca="1">IFERROR(__xludf.DUMMYFUNCTION("""COMPUTED_VALUE"""),4719300311346)</f>
        <v>4719300311346</v>
      </c>
      <c r="B428" s="1" t="str">
        <f ca="1">IFERROR(__xludf.DUMMYFUNCTION("""COMPUTED_VALUE"""),"М2-W")</f>
        <v>М2-W</v>
      </c>
      <c r="C428" s="1" t="str">
        <f ca="1">IFERROR(__xludf.DUMMYFUNCTION("""COMPUTED_VALUE"""),"Тонометр Gamma М 2-W")</f>
        <v>Тонометр Gamma М 2-W</v>
      </c>
      <c r="D428" s="1" t="str">
        <f ca="1">IFERROR(__xludf.DUMMYFUNCTION("""COMPUTED_VALUE"""),"Измеритель аретриального давления Gamma M2-W автоматический на запястье ш/к  4 719 300 311 346")</f>
        <v>Измеритель аретриального давления Gamma M2-W автоматический на запястье ш/к  4 719 300 311 346</v>
      </c>
      <c r="E428" s="1" t="str">
        <f ca="1">IFERROR(__xludf.DUMMYFUNCTION("""COMPUTED_VALUE"""),"шт")</f>
        <v>шт</v>
      </c>
      <c r="F428" s="1" t="str">
        <f ca="1">IFERROR(__xludf.DUMMYFUNCTION("""COMPUTED_VALUE"""),"ТЗ000010")</f>
        <v>ТЗ000010</v>
      </c>
      <c r="G428" s="1">
        <f ca="1">IFERROR(__xludf.DUMMYFUNCTION("""COMPUTED_VALUE"""),4719300311346)</f>
        <v>4719300311346</v>
      </c>
      <c r="H428" s="1"/>
    </row>
    <row r="429" spans="1:8" x14ac:dyDescent="0.2">
      <c r="A429" s="1"/>
      <c r="B429" s="1" t="str">
        <f ca="1">IFERROR(__xludf.DUMMYFUNCTION("""COMPUTED_VALUE"""),"3011 S_BG")</f>
        <v>3011 S_BG</v>
      </c>
      <c r="C429" s="1" t="str">
        <f ca="1">IFERROR(__xludf.DUMMYFUNCTION("""COMPUTED_VALUE"""),"Корректор лечебно-профилактический (с 4 ребрами жесткости) эластичный 3011 - S")</f>
        <v>Корректор лечебно-профилактический (с 4 ребрами жесткости) эластичный 3011 - S</v>
      </c>
      <c r="D429" s="1" t="str">
        <f ca="1">IFERROR(__xludf.DUMMYFUNCTION("""COMPUTED_VALUE"""),"Корректор лечебно-профилактический (с 4 ребрами жесткости) эластичный 3011 - S (Болгария)")</f>
        <v>Корректор лечебно-профилактический (с 4 ребрами жесткости) эластичный 3011 - S (Болгария)</v>
      </c>
      <c r="E429" s="1" t="str">
        <f ca="1">IFERROR(__xludf.DUMMYFUNCTION("""COMPUTED_VALUE"""),"шт")</f>
        <v>шт</v>
      </c>
      <c r="F429" s="1" t="str">
        <f ca="1">IFERROR(__xludf.DUMMYFUNCTION("""COMPUTED_VALUE"""),"AST00000417")</f>
        <v>AST00000417</v>
      </c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H3001"/>
  <sheetViews>
    <sheetView workbookViewId="0"/>
  </sheetViews>
  <sheetFormatPr defaultColWidth="12.5703125" defaultRowHeight="15.75" customHeight="1" x14ac:dyDescent="0.2"/>
  <cols>
    <col min="1" max="1" width="46.5703125" customWidth="1"/>
    <col min="2" max="2" width="21.5703125" customWidth="1"/>
    <col min="3" max="3" width="24.85546875" customWidth="1"/>
    <col min="4" max="4" width="14.42578125" customWidth="1"/>
    <col min="5" max="5" width="18.42578125" customWidth="1"/>
    <col min="6" max="6" width="98.28515625" customWidth="1"/>
    <col min="7" max="7" width="80.5703125" customWidth="1"/>
    <col min="8" max="8" width="147.28515625" customWidth="1"/>
  </cols>
  <sheetData>
    <row r="1" spans="1:8" ht="15.75" customHeight="1" x14ac:dyDescent="0.25">
      <c r="A1" s="3" t="s">
        <v>16</v>
      </c>
      <c r="B1" s="4" t="s">
        <v>20</v>
      </c>
      <c r="C1" s="4" t="s">
        <v>21</v>
      </c>
      <c r="D1" s="5" t="s">
        <v>0</v>
      </c>
      <c r="E1" s="6"/>
      <c r="F1" s="7"/>
      <c r="G1" s="7"/>
      <c r="H1" s="7"/>
    </row>
    <row r="2" spans="1:8" ht="12.75" x14ac:dyDescent="0.2">
      <c r="A2" s="1" t="str">
        <f ca="1">IFERROR(__xludf.DUMMYFUNCTION("IMPORTRANGE(""1qptHSRGmBGpZ2a-3Sl03VuQVlQVTlolfenhhSjzQQ7U/edit#gid=490982906"",""LOT!A2:H"")"),"Бандаж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2" s="1" t="str">
        <f ca="1">IFERROR(__xludf.DUMMYFUNCTION("""COMPUTED_VALUE"""),"KZ.7100.01.01.00501816")</f>
        <v>KZ.7100.01.01.00501816</v>
      </c>
      <c r="C2" s="1" t="str">
        <f ca="1">IFERROR(__xludf.DUMMYFUNCTION("""COMPUTED_VALUE"""),"Действителен до 01.03.2022")</f>
        <v>Действителен до 01.03.2022</v>
      </c>
      <c r="D2" s="8" t="str">
        <f ca="1">IFERROR(__xludf.DUMMYFUNCTION("""COMPUTED_VALUE"""),"0217069KZ42")</f>
        <v>0217069KZ42</v>
      </c>
      <c r="E2" s="1" t="str">
        <f ca="1">IFERROR(__xludf.DUMMYFUNCTION("""COMPUTED_VALUE"""),"годен до 01 03 2022 г.")</f>
        <v>годен до 01 03 2022 г.</v>
      </c>
      <c r="F2" s="1" t="str">
        <f ca="1">IFERROR(__xludf.DUMMYFUNCTION("""COMPUTED_VALUE"""),"Бандаж на шейный отдел позвоночника мягкой фиксацией 1001 I(S) (Болгария) - 0217069KZ42")</f>
        <v>Бандаж на шейный отдел позвоночника мягкой фиксацией 1001 I(S) (Болгария) - 0217069KZ42</v>
      </c>
      <c r="G2" s="1" t="str">
        <f ca="1">IFERROR(__xludf.DUMMYFUNCTION("""COMPUTED_VALUE"""),"KZ.7100.01.01.00501816 / Действителен до 01.03.2022 / 0217069KZ42 / годен до 01 03 2022 г.")</f>
        <v>KZ.7100.01.01.00501816 / Действителен до 01.03.2022 / 0217069KZ42 / годен до 01 03 2022 г.</v>
      </c>
      <c r="H2" s="1" t="str">
        <f ca="1">IFERROR(__xludf.DUMMYFUNCTION("""COMPUTED_VALUE"""),"Бандаж на шейный отдел позвоночника мягкой фиксацией 1001 I(S) (Болгария) KZ.7100.01.01.00501816 / Действителен до 01.03.2022 / 0217069KZ42 / годен до 01 03 2022 г.")</f>
        <v>Бандаж на шейный отдел позвоночника мягкой фиксацией 1001 I(S) (Болгария) KZ.7100.01.01.00501816 / Действителен до 01.03.2022 / 0217069KZ42 / годен до 01 03 2022 г.</v>
      </c>
    </row>
    <row r="3" spans="1:8" ht="12.75" x14ac:dyDescent="0.2">
      <c r="A3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3" s="1" t="str">
        <f ca="1">IFERROR(__xludf.DUMMYFUNCTION("""COMPUTED_VALUE"""),"KZ.7100.01.01.00501816")</f>
        <v>KZ.7100.01.01.00501816</v>
      </c>
      <c r="C3" s="1" t="str">
        <f ca="1">IFERROR(__xludf.DUMMYFUNCTION("""COMPUTED_VALUE"""),"Действителен до 01.03.2022")</f>
        <v>Действителен до 01.03.2022</v>
      </c>
      <c r="D3" s="8" t="str">
        <f ca="1">IFERROR(__xludf.DUMMYFUNCTION("""COMPUTED_VALUE"""),"0217069KZ42")</f>
        <v>0217069KZ42</v>
      </c>
      <c r="E3" s="1" t="str">
        <f ca="1">IFERROR(__xludf.DUMMYFUNCTION("""COMPUTED_VALUE"""),"годен до 01 03 2022 г.")</f>
        <v>годен до 01 03 2022 г.</v>
      </c>
      <c r="F3" s="1" t="str">
        <f ca="1">IFERROR(__xludf.DUMMYFUNCTION("""COMPUTED_VALUE"""),"Бандаж на шейный отдел позвоночника мягкой фиксацией 1001 II(M) (Болгария) - 0217069KZ42")</f>
        <v>Бандаж на шейный отдел позвоночника мягкой фиксацией 1001 II(M) (Болгария) - 0217069KZ42</v>
      </c>
      <c r="G3" s="1" t="str">
        <f ca="1">IFERROR(__xludf.DUMMYFUNCTION("""COMPUTED_VALUE"""),"KZ.7100.01.01.00501816 / Действителен до 01.03.2022 / 0217069KZ42 / годен до 01 03 2022 г.")</f>
        <v>KZ.7100.01.01.00501816 / Действителен до 01.03.2022 / 0217069KZ42 / годен до 01 03 2022 г.</v>
      </c>
      <c r="H3" s="1" t="str">
        <f ca="1">IFERROR(__xludf.DUMMYFUNCTION("""COMPUTED_VALUE"""),"Бандаж на шейный отдел позвоночника мягкой фиксацией 1001 II(M) (Болгария) KZ.7100.01.01.00501816 / Действителен до 01.03.2022 / 0217069KZ42 / годен до 01 03 2022 г.")</f>
        <v>Бандаж на шейный отдел позвоночника мягкой фиксацией 1001 II(M) (Болгария) KZ.7100.01.01.00501816 / Действителен до 01.03.2022 / 0217069KZ42 / годен до 01 03 2022 г.</v>
      </c>
    </row>
    <row r="4" spans="1:8" ht="12.75" x14ac:dyDescent="0.2">
      <c r="A4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4" s="1" t="str">
        <f ca="1">IFERROR(__xludf.DUMMYFUNCTION("""COMPUTED_VALUE"""),"KZ.7100.01.01.00501816")</f>
        <v>KZ.7100.01.01.00501816</v>
      </c>
      <c r="C4" s="1" t="str">
        <f ca="1">IFERROR(__xludf.DUMMYFUNCTION("""COMPUTED_VALUE"""),"Действителен до 01.03.2022")</f>
        <v>Действителен до 01.03.2022</v>
      </c>
      <c r="D4" s="8" t="str">
        <f ca="1">IFERROR(__xludf.DUMMYFUNCTION("""COMPUTED_VALUE"""),"0217069KZ42")</f>
        <v>0217069KZ42</v>
      </c>
      <c r="E4" s="1" t="str">
        <f ca="1">IFERROR(__xludf.DUMMYFUNCTION("""COMPUTED_VALUE"""),"годен до 01 03 2022 г.")</f>
        <v>годен до 01 03 2022 г.</v>
      </c>
      <c r="F4" s="1" t="str">
        <f ca="1">IFERROR(__xludf.DUMMYFUNCTION("""COMPUTED_VALUE"""),"Бандаж на шейный отдел позвоночника мягкой фиксацией 1001 III(L) (Болгария) - 0217069KZ42")</f>
        <v>Бандаж на шейный отдел позвоночника мягкой фиксацией 1001 III(L) (Болгария) - 0217069KZ42</v>
      </c>
      <c r="G4" s="1" t="str">
        <f ca="1">IFERROR(__xludf.DUMMYFUNCTION("""COMPUTED_VALUE"""),"KZ.7100.01.01.00501816 / Действителен до 01.03.2022 / 0217069KZ42 / годен до 01 03 2022 г.")</f>
        <v>KZ.7100.01.01.00501816 / Действителен до 01.03.2022 / 0217069KZ42 / годен до 01 03 2022 г.</v>
      </c>
      <c r="H4" s="1" t="str">
        <f ca="1">IFERROR(__xludf.DUMMYFUNCTION("""COMPUTED_VALUE"""),"Бандаж на шейный отдел позвоночника мягкой фиксацией 1001 III(L) (Болгария) KZ.7100.01.01.00501816 / Действителен до 01.03.2022 / 0217069KZ42 / годен до 01 03 2022 г.")</f>
        <v>Бандаж на шейный отдел позвоночника мягкой фиксацией 1001 III(L) (Болгария) KZ.7100.01.01.00501816 / Действителен до 01.03.2022 / 0217069KZ42 / годен до 01 03 2022 г.</v>
      </c>
    </row>
    <row r="5" spans="1:8" ht="12.75" x14ac:dyDescent="0.2">
      <c r="A5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5" s="1" t="str">
        <f ca="1">IFERROR(__xludf.DUMMYFUNCTION("""COMPUTED_VALUE"""),"KZ.7100.01.01.00502589")</f>
        <v>KZ.7100.01.01.00502589</v>
      </c>
      <c r="C5" s="1" t="str">
        <f ca="1">IFERROR(__xludf.DUMMYFUNCTION("""COMPUTED_VALUE"""),"Действителен до 05.03.2022")</f>
        <v>Действителен до 05.03.2022</v>
      </c>
      <c r="D5" s="8" t="str">
        <f ca="1">IFERROR(__xludf.DUMMYFUNCTION("""COMPUTED_VALUE"""),"0417016KZ11")</f>
        <v>0417016KZ11</v>
      </c>
      <c r="E5" s="1" t="str">
        <f ca="1">IFERROR(__xludf.DUMMYFUNCTION("""COMPUTED_VALUE"""),"годен до 05.03.2022")</f>
        <v>годен до 05.03.2022</v>
      </c>
      <c r="F5" s="1" t="str">
        <f ca="1">IFERROR(__xludf.DUMMYFUNCTION("""COMPUTED_VALUE"""),"Бандаж на шейный отдел позвоночника мягкой фиксацией 1001 I(S) (Болгария) - 0417016KZ11")</f>
        <v>Бандаж на шейный отдел позвоночника мягкой фиксацией 1001 I(S) (Болгария) - 0417016KZ11</v>
      </c>
      <c r="G5" s="1" t="str">
        <f ca="1">IFERROR(__xludf.DUMMYFUNCTION("""COMPUTED_VALUE"""),"KZ.7100.01.01.00502589 / Действителен до 05.03.2022 / 0417016KZ11 / годен до 05.03.2022")</f>
        <v>KZ.7100.01.01.00502589 / Действителен до 05.03.2022 / 0417016KZ11 / годен до 05.03.2022</v>
      </c>
      <c r="H5" s="1" t="str">
        <f ca="1">IFERROR(__xludf.DUMMYFUNCTION("""COMPUTED_VALUE"""),"Бандаж на шейный отдел позвоночника мягкой фиксацией 1001 I(S) (Болгария) KZ.7100.01.01.00502589 / Действителен до 05.03.2022 / 0417016KZ11 / годен до 05.03.2022")</f>
        <v>Бандаж на шейный отдел позвоночника мягкой фиксацией 1001 I(S) (Болгария) KZ.7100.01.01.00502589 / Действителен до 05.03.2022 / 0417016KZ11 / годен до 05.03.2022</v>
      </c>
    </row>
    <row r="6" spans="1:8" ht="12.75" x14ac:dyDescent="0.2">
      <c r="A6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6" s="1" t="str">
        <f ca="1">IFERROR(__xludf.DUMMYFUNCTION("""COMPUTED_VALUE"""),"KZ.7100.01.01.00502589")</f>
        <v>KZ.7100.01.01.00502589</v>
      </c>
      <c r="C6" s="1" t="str">
        <f ca="1">IFERROR(__xludf.DUMMYFUNCTION("""COMPUTED_VALUE"""),"Действителен до 05.03.2022")</f>
        <v>Действителен до 05.03.2022</v>
      </c>
      <c r="D6" s="8" t="str">
        <f ca="1">IFERROR(__xludf.DUMMYFUNCTION("""COMPUTED_VALUE"""),"0417016KZ11")</f>
        <v>0417016KZ11</v>
      </c>
      <c r="E6" s="1" t="str">
        <f ca="1">IFERROR(__xludf.DUMMYFUNCTION("""COMPUTED_VALUE"""),"годен до 05.03.2022")</f>
        <v>годен до 05.03.2022</v>
      </c>
      <c r="F6" s="1" t="str">
        <f ca="1">IFERROR(__xludf.DUMMYFUNCTION("""COMPUTED_VALUE"""),"Бандаж на шейный отдел позвоночника мягкой фиксацией 1001 II(M) (Болгария) - 0417016KZ11")</f>
        <v>Бандаж на шейный отдел позвоночника мягкой фиксацией 1001 II(M) (Болгария) - 0417016KZ11</v>
      </c>
      <c r="G6" s="1" t="str">
        <f ca="1">IFERROR(__xludf.DUMMYFUNCTION("""COMPUTED_VALUE"""),"KZ.7100.01.01.00502589 / Действителен до 05.03.2022 / 0417016KZ11 / годен до 05.03.2022")</f>
        <v>KZ.7100.01.01.00502589 / Действителен до 05.03.2022 / 0417016KZ11 / годен до 05.03.2022</v>
      </c>
      <c r="H6" s="1" t="str">
        <f ca="1">IFERROR(__xludf.DUMMYFUNCTION("""COMPUTED_VALUE"""),"Бандаж на шейный отдел позвоночника мягкой фиксацией 1001 II(M) (Болгария) KZ.7100.01.01.00502589 / Действителен до 05.03.2022 / 0417016KZ11 / годен до 05.03.2022")</f>
        <v>Бандаж на шейный отдел позвоночника мягкой фиксацией 1001 II(M) (Болгария) KZ.7100.01.01.00502589 / Действителен до 05.03.2022 / 0417016KZ11 / годен до 05.03.2022</v>
      </c>
    </row>
    <row r="7" spans="1:8" ht="12.75" x14ac:dyDescent="0.2">
      <c r="A7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7" s="1" t="str">
        <f ca="1">IFERROR(__xludf.DUMMYFUNCTION("""COMPUTED_VALUE"""),"KZ.7100.01.01.00502589")</f>
        <v>KZ.7100.01.01.00502589</v>
      </c>
      <c r="C7" s="1" t="str">
        <f ca="1">IFERROR(__xludf.DUMMYFUNCTION("""COMPUTED_VALUE"""),"Действителен до 05.03.2022")</f>
        <v>Действителен до 05.03.2022</v>
      </c>
      <c r="D7" s="8" t="str">
        <f ca="1">IFERROR(__xludf.DUMMYFUNCTION("""COMPUTED_VALUE"""),"0417016KZ11")</f>
        <v>0417016KZ11</v>
      </c>
      <c r="E7" s="1" t="str">
        <f ca="1">IFERROR(__xludf.DUMMYFUNCTION("""COMPUTED_VALUE"""),"годен до 05.03.2022")</f>
        <v>годен до 05.03.2022</v>
      </c>
      <c r="F7" s="1" t="str">
        <f ca="1">IFERROR(__xludf.DUMMYFUNCTION("""COMPUTED_VALUE"""),"Бандаж на шейный отдел позвоночника мягкой фиксацией 1001 III(L) (Болгария) - 0417016KZ11")</f>
        <v>Бандаж на шейный отдел позвоночника мягкой фиксацией 1001 III(L) (Болгария) - 0417016KZ11</v>
      </c>
      <c r="G7" s="1" t="str">
        <f ca="1">IFERROR(__xludf.DUMMYFUNCTION("""COMPUTED_VALUE"""),"KZ.7100.01.01.00502589 / Действителен до 05.03.2022 / 0417016KZ11 / годен до 05.03.2022")</f>
        <v>KZ.7100.01.01.00502589 / Действителен до 05.03.2022 / 0417016KZ11 / годен до 05.03.2022</v>
      </c>
      <c r="H7" s="1" t="str">
        <f ca="1">IFERROR(__xludf.DUMMYFUNCTION("""COMPUTED_VALUE"""),"Бандаж на шейный отдел позвоночника мягкой фиксацией 1001 III(L) (Болгария) KZ.7100.01.01.00502589 / Действителен до 05.03.2022 / 0417016KZ11 / годен до 05.03.2022")</f>
        <v>Бандаж на шейный отдел позвоночника мягкой фиксацией 1001 III(L) (Болгария) KZ.7100.01.01.00502589 / Действителен до 05.03.2022 / 0417016KZ11 / годен до 05.03.2022</v>
      </c>
    </row>
    <row r="8" spans="1:8" ht="12.75" x14ac:dyDescent="0.2">
      <c r="A8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8" s="1" t="str">
        <f ca="1">IFERROR(__xludf.DUMMYFUNCTION("""COMPUTED_VALUE"""),"KZ.7100.01.01.00503695")</f>
        <v>KZ.7100.01.01.00503695</v>
      </c>
      <c r="C8" s="1" t="str">
        <f ca="1">IFERROR(__xludf.DUMMYFUNCTION("""COMPUTED_VALUE"""),"Действителен до 21.06.2022")</f>
        <v>Действителен до 21.06.2022</v>
      </c>
      <c r="D8" s="8" t="str">
        <f ca="1">IFERROR(__xludf.DUMMYFUNCTION("""COMPUTED_VALUE"""),"0617041KZ30")</f>
        <v>0617041KZ30</v>
      </c>
      <c r="E8" s="1" t="str">
        <f ca="1">IFERROR(__xludf.DUMMYFUNCTION("""COMPUTED_VALUE"""),"годен до 21.06.2022")</f>
        <v>годен до 21.06.2022</v>
      </c>
      <c r="F8" s="1" t="str">
        <f ca="1">IFERROR(__xludf.DUMMYFUNCTION("""COMPUTED_VALUE"""),"Бандаж на шейный отдел позвоночника мягкой фиксацией 1001 I(S) (Болгария) - 0617041KZ30")</f>
        <v>Бандаж на шейный отдел позвоночника мягкой фиксацией 1001 I(S) (Болгария) - 0617041KZ30</v>
      </c>
      <c r="G8" s="1" t="str">
        <f ca="1">IFERROR(__xludf.DUMMYFUNCTION("""COMPUTED_VALUE"""),"KZ.7100.01.01.00503695 / Действителен до 21.06.2022 / 0617041KZ30 / годен до 21.06.2022")</f>
        <v>KZ.7100.01.01.00503695 / Действителен до 21.06.2022 / 0617041KZ30 / годен до 21.06.2022</v>
      </c>
      <c r="H8" s="1" t="str">
        <f ca="1">IFERROR(__xludf.DUMMYFUNCTION("""COMPUTED_VALUE"""),"Бандаж на шейный отдел позвоночника мягкой фиксацией 1001 I(S) (Болгария) KZ.7100.01.01.00503695 / Действителен до 21.06.2022 / 0617041KZ30 / годен до 21.06.2022")</f>
        <v>Бандаж на шейный отдел позвоночника мягкой фиксацией 1001 I(S) (Болгария) KZ.7100.01.01.00503695 / Действителен до 21.06.2022 / 0617041KZ30 / годен до 21.06.2022</v>
      </c>
    </row>
    <row r="9" spans="1:8" ht="12.75" x14ac:dyDescent="0.2">
      <c r="A9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9" s="1" t="str">
        <f ca="1">IFERROR(__xludf.DUMMYFUNCTION("""COMPUTED_VALUE"""),"KZ.7100.01.01.00503695")</f>
        <v>KZ.7100.01.01.00503695</v>
      </c>
      <c r="C9" s="1" t="str">
        <f ca="1">IFERROR(__xludf.DUMMYFUNCTION("""COMPUTED_VALUE"""),"Действителен до 21.06.2022")</f>
        <v>Действителен до 21.06.2022</v>
      </c>
      <c r="D9" s="8" t="str">
        <f ca="1">IFERROR(__xludf.DUMMYFUNCTION("""COMPUTED_VALUE"""),"0617041KZ30")</f>
        <v>0617041KZ30</v>
      </c>
      <c r="E9" s="1" t="str">
        <f ca="1">IFERROR(__xludf.DUMMYFUNCTION("""COMPUTED_VALUE"""),"годен до 21.06.2022")</f>
        <v>годен до 21.06.2022</v>
      </c>
      <c r="F9" s="1" t="str">
        <f ca="1">IFERROR(__xludf.DUMMYFUNCTION("""COMPUTED_VALUE"""),"Бандаж на шейный отдел позвоночника мягкой фиксацией 1001 II(M) (Болгария) - 0617041KZ30")</f>
        <v>Бандаж на шейный отдел позвоночника мягкой фиксацией 1001 II(M) (Болгария) - 0617041KZ30</v>
      </c>
      <c r="G9" s="1" t="str">
        <f ca="1">IFERROR(__xludf.DUMMYFUNCTION("""COMPUTED_VALUE"""),"KZ.7100.01.01.00503695 / Действителен до 21.06.2022 / 0617041KZ30 / годен до 21.06.2022")</f>
        <v>KZ.7100.01.01.00503695 / Действителен до 21.06.2022 / 0617041KZ30 / годен до 21.06.2022</v>
      </c>
      <c r="H9" s="1" t="str">
        <f ca="1">IFERROR(__xludf.DUMMYFUNCTION("""COMPUTED_VALUE"""),"Бандаж на шейный отдел позвоночника мягкой фиксацией 1001 II(M) (Болгария) KZ.7100.01.01.00503695 / Действителен до 21.06.2022 / 0617041KZ30 / годен до 21.06.2022")</f>
        <v>Бандаж на шейный отдел позвоночника мягкой фиксацией 1001 II(M) (Болгария) KZ.7100.01.01.00503695 / Действителен до 21.06.2022 / 0617041KZ30 / годен до 21.06.2022</v>
      </c>
    </row>
    <row r="10" spans="1:8" ht="12.75" x14ac:dyDescent="0.2">
      <c r="A10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0" s="1" t="str">
        <f ca="1">IFERROR(__xludf.DUMMYFUNCTION("""COMPUTED_VALUE"""),"KZ.7100.01.01.00503695")</f>
        <v>KZ.7100.01.01.00503695</v>
      </c>
      <c r="C10" s="1" t="str">
        <f ca="1">IFERROR(__xludf.DUMMYFUNCTION("""COMPUTED_VALUE"""),"Действителен до 21.06.2022")</f>
        <v>Действителен до 21.06.2022</v>
      </c>
      <c r="D10" s="8" t="str">
        <f ca="1">IFERROR(__xludf.DUMMYFUNCTION("""COMPUTED_VALUE"""),"0617041KZ30")</f>
        <v>0617041KZ30</v>
      </c>
      <c r="E10" s="1" t="str">
        <f ca="1">IFERROR(__xludf.DUMMYFUNCTION("""COMPUTED_VALUE"""),"годен до 21.06.2022")</f>
        <v>годен до 21.06.2022</v>
      </c>
      <c r="F10" s="1" t="str">
        <f ca="1">IFERROR(__xludf.DUMMYFUNCTION("""COMPUTED_VALUE"""),"Бандаж на шейный отдел позвоночника мягкой фиксацией 1001 III(L) (Болгария) - 0617041KZ30")</f>
        <v>Бандаж на шейный отдел позвоночника мягкой фиксацией 1001 III(L) (Болгария) - 0617041KZ30</v>
      </c>
      <c r="G10" s="1" t="str">
        <f ca="1">IFERROR(__xludf.DUMMYFUNCTION("""COMPUTED_VALUE"""),"KZ.7100.01.01.00503695 / Действителен до 21.06.2022 / 0617041KZ30 / годен до 21.06.2022")</f>
        <v>KZ.7100.01.01.00503695 / Действителен до 21.06.2022 / 0617041KZ30 / годен до 21.06.2022</v>
      </c>
      <c r="H10" s="1" t="str">
        <f ca="1">IFERROR(__xludf.DUMMYFUNCTION("""COMPUTED_VALUE"""),"Бандаж на шейный отдел позвоночника мягкой фиксацией 1001 III(L) (Болгария) KZ.7100.01.01.00503695 / Действителен до 21.06.2022 / 0617041KZ30 / годен до 21.06.2022")</f>
        <v>Бандаж на шейный отдел позвоночника мягкой фиксацией 1001 III(L) (Болгария) KZ.7100.01.01.00503695 / Действителен до 21.06.2022 / 0617041KZ30 / годен до 21.06.2022</v>
      </c>
    </row>
    <row r="11" spans="1:8" ht="12.75" x14ac:dyDescent="0.2">
      <c r="A11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1" s="1" t="str">
        <f ca="1">IFERROR(__xludf.DUMMYFUNCTION("""COMPUTED_VALUE"""),"KZ.7100.01.01.00506598")</f>
        <v>KZ.7100.01.01.00506598</v>
      </c>
      <c r="C11" s="1" t="str">
        <f ca="1">IFERROR(__xludf.DUMMYFUNCTION("""COMPUTED_VALUE"""),"Действителен до 15.11.2022")</f>
        <v>Действителен до 15.11.2022</v>
      </c>
      <c r="D11" s="8" t="str">
        <f ca="1">IFERROR(__xludf.DUMMYFUNCTION("""COMPUTED_VALUE"""),"1117047KZ59")</f>
        <v>1117047KZ59</v>
      </c>
      <c r="E11" s="1" t="str">
        <f ca="1">IFERROR(__xludf.DUMMYFUNCTION("""COMPUTED_VALUE"""),"годен до 15.11.2022")</f>
        <v>годен до 15.11.2022</v>
      </c>
      <c r="F11" s="1" t="str">
        <f ca="1">IFERROR(__xludf.DUMMYFUNCTION("""COMPUTED_VALUE"""),"Бандаж на шейный отдел позвоночника мягкой фиксацией 1001 I(S) (Болгария) - 1117047KZ59")</f>
        <v>Бандаж на шейный отдел позвоночника мягкой фиксацией 1001 I(S) (Болгария) - 1117047KZ59</v>
      </c>
      <c r="G11" s="1" t="str">
        <f ca="1">IFERROR(__xludf.DUMMYFUNCTION("""COMPUTED_VALUE"""),"KZ.7100.01.01.00506598 / Действителен до 15.11.2022 / 1117047KZ59 / годен до 15.11.2022")</f>
        <v>KZ.7100.01.01.00506598 / Действителен до 15.11.2022 / 1117047KZ59 / годен до 15.11.2022</v>
      </c>
      <c r="H11" s="1" t="str">
        <f ca="1">IFERROR(__xludf.DUMMYFUNCTION("""COMPUTED_VALUE"""),"Бандаж на шейный отдел позвоночника мягкой фиксацией 1001 I(S) (Болгария) KZ.7100.01.01.00506598 / Действителен до 15.11.2022 / 1117047KZ59 / годен до 15.11.2022")</f>
        <v>Бандаж на шейный отдел позвоночника мягкой фиксацией 1001 I(S) (Болгария) KZ.7100.01.01.00506598 / Действителен до 15.11.2022 / 1117047KZ59 / годен до 15.11.2022</v>
      </c>
    </row>
    <row r="12" spans="1:8" ht="12.75" x14ac:dyDescent="0.2">
      <c r="A12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2" s="1" t="str">
        <f ca="1">IFERROR(__xludf.DUMMYFUNCTION("""COMPUTED_VALUE"""),"KZ.7100.01.01.00506598")</f>
        <v>KZ.7100.01.01.00506598</v>
      </c>
      <c r="C12" s="1" t="str">
        <f ca="1">IFERROR(__xludf.DUMMYFUNCTION("""COMPUTED_VALUE"""),"Действителен до 15.11.2022")</f>
        <v>Действителен до 15.11.2022</v>
      </c>
      <c r="D12" s="8" t="str">
        <f ca="1">IFERROR(__xludf.DUMMYFUNCTION("""COMPUTED_VALUE"""),"1117047KZ59")</f>
        <v>1117047KZ59</v>
      </c>
      <c r="E12" s="1" t="str">
        <f ca="1">IFERROR(__xludf.DUMMYFUNCTION("""COMPUTED_VALUE"""),"годен до 15.11.2022")</f>
        <v>годен до 15.11.2022</v>
      </c>
      <c r="F12" s="1" t="str">
        <f ca="1">IFERROR(__xludf.DUMMYFUNCTION("""COMPUTED_VALUE"""),"Бандаж на шейный отдел позвоночника мягкой фиксацией 1001 II(M) (Болгария) - 1117047KZ59")</f>
        <v>Бандаж на шейный отдел позвоночника мягкой фиксацией 1001 II(M) (Болгария) - 1117047KZ59</v>
      </c>
      <c r="G12" s="1" t="str">
        <f ca="1">IFERROR(__xludf.DUMMYFUNCTION("""COMPUTED_VALUE"""),"KZ.7100.01.01.00506598 / Действителен до 15.11.2022 / 1117047KZ59 / годен до 15.11.2022")</f>
        <v>KZ.7100.01.01.00506598 / Действителен до 15.11.2022 / 1117047KZ59 / годен до 15.11.2022</v>
      </c>
      <c r="H12" s="1" t="str">
        <f ca="1">IFERROR(__xludf.DUMMYFUNCTION("""COMPUTED_VALUE"""),"Бандаж на шейный отдел позвоночника мягкой фиксацией 1001 II(M) (Болгария) KZ.7100.01.01.00506598 / Действителен до 15.11.2022 / 1117047KZ59 / годен до 15.11.2022")</f>
        <v>Бандаж на шейный отдел позвоночника мягкой фиксацией 1001 II(M) (Болгария) KZ.7100.01.01.00506598 / Действителен до 15.11.2022 / 1117047KZ59 / годен до 15.11.2022</v>
      </c>
    </row>
    <row r="13" spans="1:8" ht="12.75" x14ac:dyDescent="0.2">
      <c r="A13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3" s="1" t="str">
        <f ca="1">IFERROR(__xludf.DUMMYFUNCTION("""COMPUTED_VALUE"""),"KZ.7100.01.01.00506598")</f>
        <v>KZ.7100.01.01.00506598</v>
      </c>
      <c r="C13" s="1" t="str">
        <f ca="1">IFERROR(__xludf.DUMMYFUNCTION("""COMPUTED_VALUE"""),"Действителен до 15.11.2022")</f>
        <v>Действителен до 15.11.2022</v>
      </c>
      <c r="D13" s="8" t="str">
        <f ca="1">IFERROR(__xludf.DUMMYFUNCTION("""COMPUTED_VALUE"""),"1117047KZ59")</f>
        <v>1117047KZ59</v>
      </c>
      <c r="E13" s="1" t="str">
        <f ca="1">IFERROR(__xludf.DUMMYFUNCTION("""COMPUTED_VALUE"""),"годен до 15.11.2022")</f>
        <v>годен до 15.11.2022</v>
      </c>
      <c r="F13" s="1" t="str">
        <f ca="1">IFERROR(__xludf.DUMMYFUNCTION("""COMPUTED_VALUE"""),"Бандаж на шейный отдел позвоночника мягкой фиксацией 1001 III(L) (Болгария) - 1117047KZ59")</f>
        <v>Бандаж на шейный отдел позвоночника мягкой фиксацией 1001 III(L) (Болгария) - 1117047KZ59</v>
      </c>
      <c r="G13" s="1" t="str">
        <f ca="1">IFERROR(__xludf.DUMMYFUNCTION("""COMPUTED_VALUE"""),"KZ.7100.01.01.00506598 / Действителен до 15.11.2022 / 1117047KZ59 / годен до 15.11.2022")</f>
        <v>KZ.7100.01.01.00506598 / Действителен до 15.11.2022 / 1117047KZ59 / годен до 15.11.2022</v>
      </c>
      <c r="H13" s="1" t="str">
        <f ca="1">IFERROR(__xludf.DUMMYFUNCTION("""COMPUTED_VALUE"""),"Бандаж на шейный отдел позвоночника мягкой фиксацией 1001 III(L) (Болгария) KZ.7100.01.01.00506598 / Действителен до 15.11.2022 / 1117047KZ59 / годен до 15.11.2022")</f>
        <v>Бандаж на шейный отдел позвоночника мягкой фиксацией 1001 III(L) (Болгария) KZ.7100.01.01.00506598 / Действителен до 15.11.2022 / 1117047KZ59 / годен до 15.11.2022</v>
      </c>
    </row>
    <row r="14" spans="1:8" ht="12.75" x14ac:dyDescent="0.2">
      <c r="A14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4" s="1" t="str">
        <f ca="1">IFERROR(__xludf.DUMMYFUNCTION("""COMPUTED_VALUE"""),"KZ.7700.02.01.00516915")</f>
        <v>KZ.7700.02.01.00516915</v>
      </c>
      <c r="C14" s="1" t="str">
        <f ca="1">IFERROR(__xludf.DUMMYFUNCTION("""COMPUTED_VALUE"""),"Действителен до 31.03.2023")</f>
        <v>Действителен до 31.03.2023</v>
      </c>
      <c r="D14" s="8" t="str">
        <f ca="1">IFERROR(__xludf.DUMMYFUNCTION("""COMPUTED_VALUE"""),"0318003KZ03")</f>
        <v>0318003KZ03</v>
      </c>
      <c r="E14" s="1" t="str">
        <f ca="1">IFERROR(__xludf.DUMMYFUNCTION("""COMPUTED_VALUE"""),"годен до 31.03.2023")</f>
        <v>годен до 31.03.2023</v>
      </c>
      <c r="F14" s="1" t="str">
        <f ca="1">IFERROR(__xludf.DUMMYFUNCTION("""COMPUTED_VALUE"""),"Бандаж на шейный отдел позвоночника мягкой фиксацией 1001 I(S) (Болгария) - 0318003KZ03")</f>
        <v>Бандаж на шейный отдел позвоночника мягкой фиксацией 1001 I(S) (Болгария) - 0318003KZ03</v>
      </c>
      <c r="G14" s="1" t="str">
        <f ca="1">IFERROR(__xludf.DUMMYFUNCTION("""COMPUTED_VALUE"""),"KZ.7700.02.01.00516915 / Действителен до 31.03.2023 / 0318003KZ03 / годен до 31.03.2023")</f>
        <v>KZ.7700.02.01.00516915 / Действителен до 31.03.2023 / 0318003KZ03 / годен до 31.03.2023</v>
      </c>
      <c r="H14" s="1" t="str">
        <f ca="1">IFERROR(__xludf.DUMMYFUNCTION("""COMPUTED_VALUE"""),"Бандаж на шейный отдел позвоночника мягкой фиксацией 1001 I(S) (Болгария) KZ.7700.02.01.00516915 / Действителен до 31.03.2023 / 0318003KZ03 / годен до 31.03.2023")</f>
        <v>Бандаж на шейный отдел позвоночника мягкой фиксацией 1001 I(S) (Болгария) KZ.7700.02.01.00516915 / Действителен до 31.03.2023 / 0318003KZ03 / годен до 31.03.2023</v>
      </c>
    </row>
    <row r="15" spans="1:8" ht="12.75" x14ac:dyDescent="0.2">
      <c r="A15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5" s="1" t="str">
        <f ca="1">IFERROR(__xludf.DUMMYFUNCTION("""COMPUTED_VALUE"""),"KZ.7700.02.01.00516916")</f>
        <v>KZ.7700.02.01.00516916</v>
      </c>
      <c r="C15" s="1" t="str">
        <f ca="1">IFERROR(__xludf.DUMMYFUNCTION("""COMPUTED_VALUE"""),"Действителен до 31.03.2023")</f>
        <v>Действителен до 31.03.2023</v>
      </c>
      <c r="D15" s="8" t="str">
        <f ca="1">IFERROR(__xludf.DUMMYFUNCTION("""COMPUTED_VALUE"""),"0318003KZ03")</f>
        <v>0318003KZ03</v>
      </c>
      <c r="E15" s="1" t="str">
        <f ca="1">IFERROR(__xludf.DUMMYFUNCTION("""COMPUTED_VALUE"""),"годен до 31.03.2023")</f>
        <v>годен до 31.03.2023</v>
      </c>
      <c r="F15" s="1" t="str">
        <f ca="1">IFERROR(__xludf.DUMMYFUNCTION("""COMPUTED_VALUE"""),"Бандаж на шейный отдел позвоночника мягкой фиксацией 1001 II(M) (Болгария) - 0318003KZ03")</f>
        <v>Бандаж на шейный отдел позвоночника мягкой фиксацией 1001 II(M) (Болгария) - 0318003KZ03</v>
      </c>
      <c r="G15" s="1" t="str">
        <f ca="1">IFERROR(__xludf.DUMMYFUNCTION("""COMPUTED_VALUE"""),"KZ.7700.02.01.00516916 / Действителен до 31.03.2023 / 0318003KZ03 / годен до 31.03.2023")</f>
        <v>KZ.7700.02.01.00516916 / Действителен до 31.03.2023 / 0318003KZ03 / годен до 31.03.2023</v>
      </c>
      <c r="H15" s="1" t="str">
        <f ca="1">IFERROR(__xludf.DUMMYFUNCTION("""COMPUTED_VALUE"""),"Бандаж на шейный отдел позвоночника мягкой фиксацией 1001 II(M) (Болгария) KZ.7700.02.01.00516916 / Действителен до 31.03.2023 / 0318003KZ03 / годен до 31.03.2023")</f>
        <v>Бандаж на шейный отдел позвоночника мягкой фиксацией 1001 II(M) (Болгария) KZ.7700.02.01.00516916 / Действителен до 31.03.2023 / 0318003KZ03 / годен до 31.03.2023</v>
      </c>
    </row>
    <row r="16" spans="1:8" ht="12.75" x14ac:dyDescent="0.2">
      <c r="A16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6" s="1" t="str">
        <f ca="1">IFERROR(__xludf.DUMMYFUNCTION("""COMPUTED_VALUE"""),"KZ.7700.02.01.00516914")</f>
        <v>KZ.7700.02.01.00516914</v>
      </c>
      <c r="C16" s="1" t="str">
        <f ca="1">IFERROR(__xludf.DUMMYFUNCTION("""COMPUTED_VALUE"""),"Действителен до 31.03.2023")</f>
        <v>Действителен до 31.03.2023</v>
      </c>
      <c r="D16" s="8" t="str">
        <f ca="1">IFERROR(__xludf.DUMMYFUNCTION("""COMPUTED_VALUE"""),"0318003KZ03")</f>
        <v>0318003KZ03</v>
      </c>
      <c r="E16" s="1" t="str">
        <f ca="1">IFERROR(__xludf.DUMMYFUNCTION("""COMPUTED_VALUE"""),"годен до 31.03.2023")</f>
        <v>годен до 31.03.2023</v>
      </c>
      <c r="F16" s="1" t="str">
        <f ca="1">IFERROR(__xludf.DUMMYFUNCTION("""COMPUTED_VALUE"""),"Бандаж на шейный отдел позвоночника мягкой фиксацией 1001 III(L) (Болгария) - 0318003KZ03")</f>
        <v>Бандаж на шейный отдел позвоночника мягкой фиксацией 1001 III(L) (Болгария) - 0318003KZ03</v>
      </c>
      <c r="G16" s="1" t="str">
        <f ca="1">IFERROR(__xludf.DUMMYFUNCTION("""COMPUTED_VALUE"""),"KZ.7700.02.01.00516914 / Действителен до 31.03.2023 / 0318003KZ03 / годен до 31.03.2023")</f>
        <v>KZ.7700.02.01.00516914 / Действителен до 31.03.2023 / 0318003KZ03 / годен до 31.03.2023</v>
      </c>
      <c r="H16" s="1" t="str">
        <f ca="1">IFERROR(__xludf.DUMMYFUNCTION("""COMPUTED_VALUE"""),"Бандаж на шейный отдел позвоночника мягкой фиксацией 1001 III(L) (Болгария) KZ.7700.02.01.00516914 / Действителен до 31.03.2023 / 0318003KZ03 / годен до 31.03.2023")</f>
        <v>Бандаж на шейный отдел позвоночника мягкой фиксацией 1001 III(L) (Болгария) KZ.7700.02.01.00516914 / Действителен до 31.03.2023 / 0318003KZ03 / годен до 31.03.2023</v>
      </c>
    </row>
    <row r="17" spans="1:8" ht="12.75" x14ac:dyDescent="0.2">
      <c r="A17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7" s="1" t="str">
        <f ca="1">IFERROR(__xludf.DUMMYFUNCTION("""COMPUTED_VALUE"""),"KZ.7700.02.01.00726425")</f>
        <v>KZ.7700.02.01.00726425</v>
      </c>
      <c r="C17" s="1" t="str">
        <f ca="1">IFERROR(__xludf.DUMMYFUNCTION("""COMPUTED_VALUE"""),"Действителен до 15.02.2026")</f>
        <v>Действителен до 15.02.2026</v>
      </c>
      <c r="D17" s="8" t="str">
        <f ca="1">IFERROR(__xludf.DUMMYFUNCTION("""COMPUTED_VALUE"""),"0221174KZ174")</f>
        <v>0221174KZ174</v>
      </c>
      <c r="E17" s="1" t="str">
        <f ca="1">IFERROR(__xludf.DUMMYFUNCTION("""COMPUTED_VALUE"""),"годен до 15.02.2026")</f>
        <v>годен до 15.02.2026</v>
      </c>
      <c r="F17" s="1" t="str">
        <f ca="1">IFERROR(__xludf.DUMMYFUNCTION("""COMPUTED_VALUE"""),"Бандаж на шейный отдел позвоночника мягкой фиксацией 1001 III(L) (Болгария) - 0221174KZ174")</f>
        <v>Бандаж на шейный отдел позвоночника мягкой фиксацией 1001 III(L) (Болгария) - 0221174KZ174</v>
      </c>
      <c r="G17" s="1" t="str">
        <f ca="1">IFERROR(__xludf.DUMMYFUNCTION("""COMPUTED_VALUE"""),"KZ.7700.02.01.00726425 / Действителен до 15.02.2026 / 0221174KZ174 / годен до 15.02.2026")</f>
        <v>KZ.7700.02.01.00726425 / Действителен до 15.02.2026 / 0221174KZ174 / годен до 15.02.2026</v>
      </c>
      <c r="H17" s="1" t="str">
        <f ca="1">IFERROR(__xludf.DUMMYFUNCTION("""COMPUTED_VALUE"""),"Бандаж на шейный отдел позвоночника мягкой фиксацией 1001 III(L) (Болгария) KZ.7700.02.01.00726425 / Действителен до 15.02.2026 / 0221174KZ174 / годен до 15.02.2026")</f>
        <v>Бандаж на шейный отдел позвоночника мягкой фиксацией 1001 III(L) (Болгария) KZ.7700.02.01.00726425 / Действителен до 15.02.2026 / 0221174KZ174 / годен до 15.02.2026</v>
      </c>
    </row>
    <row r="18" spans="1:8" ht="12.75" x14ac:dyDescent="0.2">
      <c r="A18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18" s="1" t="str">
        <f ca="1">IFERROR(__xludf.DUMMYFUNCTION("""COMPUTED_VALUE"""),"KZ.7700.02.01.00726433")</f>
        <v>KZ.7700.02.01.00726433</v>
      </c>
      <c r="C18" s="1" t="str">
        <f ca="1">IFERROR(__xludf.DUMMYFUNCTION("""COMPUTED_VALUE"""),"Действителен до 15.02.2026")</f>
        <v>Действителен до 15.02.2026</v>
      </c>
      <c r="D18" s="8" t="str">
        <f ca="1">IFERROR(__xludf.DUMMYFUNCTION("""COMPUTED_VALUE"""),"0221174KZ174")</f>
        <v>0221174KZ174</v>
      </c>
      <c r="E18" s="1" t="str">
        <f ca="1">IFERROR(__xludf.DUMMYFUNCTION("""COMPUTED_VALUE"""),"годен до 15.02.2026")</f>
        <v>годен до 15.02.2026</v>
      </c>
      <c r="F18" s="1" t="str">
        <f ca="1">IFERROR(__xludf.DUMMYFUNCTION("""COMPUTED_VALUE"""),"Бандаж на шейный отдел позвоночника мягкой фиксацией с жесткой вставкой 1005 I(S) - 0221174KZ174")</f>
        <v>Бандаж на шейный отдел позвоночника мягкой фиксацией с жесткой вставкой 1005 I(S) - 0221174KZ174</v>
      </c>
      <c r="G18" s="1" t="str">
        <f ca="1">IFERROR(__xludf.DUMMYFUNCTION("""COMPUTED_VALUE"""),"KZ.7700.02.01.00726433 / Действителен до 15.02.2026 / 0221174KZ174 / годен до 15.02.2026")</f>
        <v>KZ.7700.02.01.00726433 / Действителен до 15.02.2026 / 0221174KZ174 / годен до 15.02.2026</v>
      </c>
      <c r="H18" s="1" t="str">
        <f ca="1">IFERROR(__xludf.DUMMYFUNCTION("""COMPUTED_VALUE"""),"Бандаж на шейный отдел позвоночника мягкой фиксацией с жесткой вставкой 1005 I(S) KZ.7700.02.01.00726433 / Действителен до 15.02.2026 / 0221174KZ174 / годен до 15.02.2026")</f>
        <v>Бандаж на шейный отдел позвоночника мягкой фиксацией с жесткой вставкой 1005 I(S) KZ.7700.02.01.00726433 / Действителен до 15.02.2026 / 0221174KZ174 / годен до 15.02.2026</v>
      </c>
    </row>
    <row r="19" spans="1:8" ht="12.75" x14ac:dyDescent="0.2">
      <c r="A19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9" s="1" t="str">
        <f ca="1">IFERROR(__xludf.DUMMYFUNCTION("""COMPUTED_VALUE"""),"KZ.7700.02.01.00726432")</f>
        <v>KZ.7700.02.01.00726432</v>
      </c>
      <c r="C19" s="1" t="str">
        <f ca="1">IFERROR(__xludf.DUMMYFUNCTION("""COMPUTED_VALUE"""),"Действителен до 15.02.2026")</f>
        <v>Действителен до 15.02.2026</v>
      </c>
      <c r="D19" s="8" t="str">
        <f ca="1">IFERROR(__xludf.DUMMYFUNCTION("""COMPUTED_VALUE"""),"0221174KZ174")</f>
        <v>0221174KZ174</v>
      </c>
      <c r="E19" s="1" t="str">
        <f ca="1">IFERROR(__xludf.DUMMYFUNCTION("""COMPUTED_VALUE"""),"годен до 15.02.2026")</f>
        <v>годен до 15.02.2026</v>
      </c>
      <c r="F19" s="1" t="str">
        <f ca="1">IFERROR(__xludf.DUMMYFUNCTION("""COMPUTED_VALUE"""),"Бандаж на шейный отдел позвоночника мягкой фиксацией с жесткой вставкой 1005 II(M) - 0221174KZ174")</f>
        <v>Бандаж на шейный отдел позвоночника мягкой фиксацией с жесткой вставкой 1005 II(M) - 0221174KZ174</v>
      </c>
      <c r="G19" s="1" t="str">
        <f ca="1">IFERROR(__xludf.DUMMYFUNCTION("""COMPUTED_VALUE"""),"KZ.7700.02.01.00726432 / Действителен до 15.02.2026 / 0221174KZ174 / годен до 15.02.2026")</f>
        <v>KZ.7700.02.01.00726432 / Действителен до 15.02.2026 / 0221174KZ174 / годен до 15.02.2026</v>
      </c>
      <c r="H19" s="1" t="str">
        <f ca="1">IFERROR(__xludf.DUMMYFUNCTION("""COMPUTED_VALUE"""),"Бандаж на шейный отдел позвоночника мягкой фиксацией с жесткой вставкой 1005 II(M) KZ.7700.02.01.00726432 / Действителен до 15.02.2026 / 0221174KZ174 / годен до 15.02.2026")</f>
        <v>Бандаж на шейный отдел позвоночника мягкой фиксацией с жесткой вставкой 1005 II(M) KZ.7700.02.01.00726432 / Действителен до 15.02.2026 / 0221174KZ174 / годен до 15.02.2026</v>
      </c>
    </row>
    <row r="20" spans="1:8" ht="12.75" x14ac:dyDescent="0.2">
      <c r="A20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20" s="1" t="str">
        <f ca="1">IFERROR(__xludf.DUMMYFUNCTION("""COMPUTED_VALUE"""),"KZ.7700.02.01.00726428")</f>
        <v>KZ.7700.02.01.00726428</v>
      </c>
      <c r="C20" s="1" t="str">
        <f ca="1">IFERROR(__xludf.DUMMYFUNCTION("""COMPUTED_VALUE"""),"Действителен до 15.02.2026")</f>
        <v>Действителен до 15.02.2026</v>
      </c>
      <c r="D20" s="8" t="str">
        <f ca="1">IFERROR(__xludf.DUMMYFUNCTION("""COMPUTED_VALUE"""),"0221174KZ174")</f>
        <v>0221174KZ174</v>
      </c>
      <c r="E20" s="1" t="str">
        <f ca="1">IFERROR(__xludf.DUMMYFUNCTION("""COMPUTED_VALUE"""),"годен до 15.02.2026")</f>
        <v>годен до 15.02.2026</v>
      </c>
      <c r="F20" s="1" t="str">
        <f ca="1">IFERROR(__xludf.DUMMYFUNCTION("""COMPUTED_VALUE"""),"Бандаж на шейный отдел позвоночника мягкой фиксацией с жесткой вставкой 1005 III(L) - 0221174KZ174")</f>
        <v>Бандаж на шейный отдел позвоночника мягкой фиксацией с жесткой вставкой 1005 III(L) - 0221174KZ174</v>
      </c>
      <c r="G20" s="1" t="str">
        <f ca="1">IFERROR(__xludf.DUMMYFUNCTION("""COMPUTED_VALUE"""),"KZ.7700.02.01.00726428 / Действителен до 15.02.2026 / 0221174KZ174 / годен до 15.02.2026")</f>
        <v>KZ.7700.02.01.00726428 / Действителен до 15.02.2026 / 0221174KZ174 / годен до 15.02.2026</v>
      </c>
      <c r="H20" s="1" t="str">
        <f ca="1">IFERROR(__xludf.DUMMYFUNCTION("""COMPUTED_VALUE"""),"Бандаж на шейный отдел позвоночника мягкой фиксацией с жесткой вставкой 1005 III(L) KZ.7700.02.01.00726428 / Действителен до 15.02.2026 / 0221174KZ174 / годен до 15.02.2026")</f>
        <v>Бандаж на шейный отдел позвоночника мягкой фиксацией с жесткой вставкой 1005 III(L) KZ.7700.02.01.00726428 / Действителен до 15.02.2026 / 0221174KZ174 / годен до 15.02.2026</v>
      </c>
    </row>
    <row r="21" spans="1:8" ht="12.75" x14ac:dyDescent="0.2">
      <c r="A21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21" s="1" t="str">
        <f ca="1">IFERROR(__xludf.DUMMYFUNCTION("""COMPUTED_VALUE"""),"KZ.7700.02.01.00726424")</f>
        <v>KZ.7700.02.01.00726424</v>
      </c>
      <c r="C21" s="1" t="str">
        <f ca="1">IFERROR(__xludf.DUMMYFUNCTION("""COMPUTED_VALUE"""),"Действителен до 15.02.2026")</f>
        <v>Действителен до 15.02.2026</v>
      </c>
      <c r="D21" s="8" t="str">
        <f ca="1">IFERROR(__xludf.DUMMYFUNCTION("""COMPUTED_VALUE"""),"0221174KZ174")</f>
        <v>0221174KZ174</v>
      </c>
      <c r="E21" s="1" t="str">
        <f ca="1">IFERROR(__xludf.DUMMYFUNCTION("""COMPUTED_VALUE"""),"годен до 15.02.2026")</f>
        <v>годен до 15.02.2026</v>
      </c>
      <c r="F21" s="1" t="str">
        <f ca="1">IFERROR(__xludf.DUMMYFUNCTION("""COMPUTED_VALUE"""),"Реклинатор (корректор осанки) детский 2005 L (Болгария) - 0221174KZ174")</f>
        <v>Реклинатор (корректор осанки) детский 2005 L (Болгария) - 0221174KZ174</v>
      </c>
      <c r="G21" s="1" t="str">
        <f ca="1">IFERROR(__xludf.DUMMYFUNCTION("""COMPUTED_VALUE"""),"KZ.7700.02.01.00726424 / Действителен до 15.02.2026 / 0221174KZ174 / годен до 15.02.2026")</f>
        <v>KZ.7700.02.01.00726424 / Действителен до 15.02.2026 / 0221174KZ174 / годен до 15.02.2026</v>
      </c>
      <c r="H21" s="1" t="str">
        <f ca="1">IFERROR(__xludf.DUMMYFUNCTION("""COMPUTED_VALUE"""),"Реклинатор (корректор осанки) детский 2005 L (Болгария) KZ.7700.02.01.00726424 / Действителен до 15.02.2026 / 0221174KZ174 / годен до 15.02.2026")</f>
        <v>Реклинатор (корректор осанки) детский 2005 L (Болгария) KZ.7700.02.01.00726424 / Действителен до 15.02.2026 / 0221174KZ174 / годен до 15.02.2026</v>
      </c>
    </row>
    <row r="22" spans="1:8" ht="12.75" x14ac:dyDescent="0.2">
      <c r="A22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22" s="1" t="str">
        <f ca="1">IFERROR(__xludf.DUMMYFUNCTION("""COMPUTED_VALUE"""),"KZ.7700.02.01.00726426")</f>
        <v>KZ.7700.02.01.00726426</v>
      </c>
      <c r="C22" s="1" t="str">
        <f ca="1">IFERROR(__xludf.DUMMYFUNCTION("""COMPUTED_VALUE"""),"Действителен до 15.02.2026")</f>
        <v>Действителен до 15.02.2026</v>
      </c>
      <c r="D22" s="8" t="str">
        <f ca="1">IFERROR(__xludf.DUMMYFUNCTION("""COMPUTED_VALUE"""),"0221174KZ174")</f>
        <v>0221174KZ174</v>
      </c>
      <c r="E22" s="1" t="str">
        <f ca="1">IFERROR(__xludf.DUMMYFUNCTION("""COMPUTED_VALUE"""),"годен до 15.02.2026")</f>
        <v>годен до 15.02.2026</v>
      </c>
      <c r="F22" s="1" t="str">
        <f ca="1">IFERROR(__xludf.DUMMYFUNCTION("""COMPUTED_VALUE"""),"Реклинатор (корректор осанки) детский 2005 M (Болгария) - 0221174KZ174")</f>
        <v>Реклинатор (корректор осанки) детский 2005 M (Болгария) - 0221174KZ174</v>
      </c>
      <c r="G22" s="1" t="str">
        <f ca="1">IFERROR(__xludf.DUMMYFUNCTION("""COMPUTED_VALUE"""),"KZ.7700.02.01.00726426 / Действителен до 15.02.2026 / 0221174KZ174 / годен до 15.02.2026")</f>
        <v>KZ.7700.02.01.00726426 / Действителен до 15.02.2026 / 0221174KZ174 / годен до 15.02.2026</v>
      </c>
      <c r="H22" s="1" t="str">
        <f ca="1">IFERROR(__xludf.DUMMYFUNCTION("""COMPUTED_VALUE"""),"Реклинатор (корректор осанки) детский 2005 M (Болгария) KZ.7700.02.01.00726426 / Действителен до 15.02.2026 / 0221174KZ174 / годен до 15.02.2026")</f>
        <v>Реклинатор (корректор осанки) детский 2005 M (Болгария) KZ.7700.02.01.00726426 / Действителен до 15.02.2026 / 0221174KZ174 / годен до 15.02.2026</v>
      </c>
    </row>
    <row r="23" spans="1:8" ht="12.75" x14ac:dyDescent="0.2">
      <c r="A23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23" s="1" t="str">
        <f ca="1">IFERROR(__xludf.DUMMYFUNCTION("""COMPUTED_VALUE"""),"KZ.7700.02.01.00726429")</f>
        <v>KZ.7700.02.01.00726429</v>
      </c>
      <c r="C23" s="1" t="str">
        <f ca="1">IFERROR(__xludf.DUMMYFUNCTION("""COMPUTED_VALUE"""),"Действителен до 15.02.2026")</f>
        <v>Действителен до 15.02.2026</v>
      </c>
      <c r="D23" s="8" t="str">
        <f ca="1">IFERROR(__xludf.DUMMYFUNCTION("""COMPUTED_VALUE"""),"0221174KZ174")</f>
        <v>0221174KZ174</v>
      </c>
      <c r="E23" s="1" t="str">
        <f ca="1">IFERROR(__xludf.DUMMYFUNCTION("""COMPUTED_VALUE"""),"годен до 15.02.2026")</f>
        <v>годен до 15.02.2026</v>
      </c>
      <c r="F23" s="1" t="str">
        <f ca="1">IFERROR(__xludf.DUMMYFUNCTION("""COMPUTED_VALUE"""),"Реклинатор (корректор осанки) детский 2005 S (Болгария) - 0221174KZ174")</f>
        <v>Реклинатор (корректор осанки) детский 2005 S (Болгария) - 0221174KZ174</v>
      </c>
      <c r="G23" s="1" t="str">
        <f ca="1">IFERROR(__xludf.DUMMYFUNCTION("""COMPUTED_VALUE"""),"KZ.7700.02.01.00726429 / Действителен до 15.02.2026 / 0221174KZ174 / годен до 15.02.2026")</f>
        <v>KZ.7700.02.01.00726429 / Действителен до 15.02.2026 / 0221174KZ174 / годен до 15.02.2026</v>
      </c>
      <c r="H23" s="1" t="str">
        <f ca="1">IFERROR(__xludf.DUMMYFUNCTION("""COMPUTED_VALUE"""),"Реклинатор (корректор осанки) детский 2005 S (Болгария) KZ.7700.02.01.00726429 / Действителен до 15.02.2026 / 0221174KZ174 / годен до 15.02.2026")</f>
        <v>Реклинатор (корректор осанки) детский 2005 S (Болгария) KZ.7700.02.01.00726429 / Действителен до 15.02.2026 / 0221174KZ174 / годен до 15.02.2026</v>
      </c>
    </row>
    <row r="24" spans="1:8" ht="12.75" x14ac:dyDescent="0.2">
      <c r="A24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24" s="1" t="str">
        <f ca="1">IFERROR(__xludf.DUMMYFUNCTION("""COMPUTED_VALUE"""),"KZ.7700.02.01.00726430")</f>
        <v>KZ.7700.02.01.00726430</v>
      </c>
      <c r="C24" s="1" t="str">
        <f ca="1">IFERROR(__xludf.DUMMYFUNCTION("""COMPUTED_VALUE"""),"Действителен до 15.02.2026")</f>
        <v>Действителен до 15.02.2026</v>
      </c>
      <c r="D24" s="8" t="str">
        <f ca="1">IFERROR(__xludf.DUMMYFUNCTION("""COMPUTED_VALUE"""),"0221174KZ174")</f>
        <v>0221174KZ174</v>
      </c>
      <c r="E24" s="1" t="str">
        <f ca="1">IFERROR(__xludf.DUMMYFUNCTION("""COMPUTED_VALUE"""),"годен до 15.02.2026")</f>
        <v>годен до 15.02.2026</v>
      </c>
      <c r="F24" s="1" t="str">
        <f ca="1">IFERROR(__xludf.DUMMYFUNCTION("""COMPUTED_VALUE"""),"Корректор осанки с ребрами жесткости эластичный 2011 L (Болгария) - 0221174KZ174")</f>
        <v>Корректор осанки с ребрами жесткости эластичный 2011 L (Болгария) - 0221174KZ174</v>
      </c>
      <c r="G24" s="1" t="str">
        <f ca="1">IFERROR(__xludf.DUMMYFUNCTION("""COMPUTED_VALUE"""),"KZ.7700.02.01.00726430 / Действителен до 15.02.2026 / 0221174KZ174 / годен до 15.02.2026")</f>
        <v>KZ.7700.02.01.00726430 / Действителен до 15.02.2026 / 0221174KZ174 / годен до 15.02.2026</v>
      </c>
      <c r="H24" s="1" t="str">
        <f ca="1">IFERROR(__xludf.DUMMYFUNCTION("""COMPUTED_VALUE"""),"Корректор осанки с ребрами жесткости эластичный 2011 L (Болгария) KZ.7700.02.01.00726430 / Действителен до 15.02.2026 / 0221174KZ174 / годен до 15.02.2026")</f>
        <v>Корректор осанки с ребрами жесткости эластичный 2011 L (Болгария) KZ.7700.02.01.00726430 / Действителен до 15.02.2026 / 0221174KZ174 / годен до 15.02.2026</v>
      </c>
    </row>
    <row r="25" spans="1:8" ht="12.75" x14ac:dyDescent="0.2">
      <c r="A25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25" s="1" t="str">
        <f ca="1">IFERROR(__xludf.DUMMYFUNCTION("""COMPUTED_VALUE"""),"KZ.7700.02.01.00726427")</f>
        <v>KZ.7700.02.01.00726427</v>
      </c>
      <c r="C25" s="1" t="str">
        <f ca="1">IFERROR(__xludf.DUMMYFUNCTION("""COMPUTED_VALUE"""),"Действителен до 15.02.2026")</f>
        <v>Действителен до 15.02.2026</v>
      </c>
      <c r="D25" s="8" t="str">
        <f ca="1">IFERROR(__xludf.DUMMYFUNCTION("""COMPUTED_VALUE"""),"0221174KZ174")</f>
        <v>0221174KZ174</v>
      </c>
      <c r="E25" s="1" t="str">
        <f ca="1">IFERROR(__xludf.DUMMYFUNCTION("""COMPUTED_VALUE"""),"годен до 15.02.2026")</f>
        <v>годен до 15.02.2026</v>
      </c>
      <c r="F25" s="1" t="str">
        <f ca="1">IFERROR(__xludf.DUMMYFUNCTION("""COMPUTED_VALUE"""),"Корректор осанки с ребрами жесткости эластичный 2011 M (Болгария) - 0221174KZ174")</f>
        <v>Корректор осанки с ребрами жесткости эластичный 2011 M (Болгария) - 0221174KZ174</v>
      </c>
      <c r="G25" s="1" t="str">
        <f ca="1">IFERROR(__xludf.DUMMYFUNCTION("""COMPUTED_VALUE"""),"KZ.7700.02.01.00726427 / Действителен до 15.02.2026 / 0221174KZ174 / годен до 15.02.2026")</f>
        <v>KZ.7700.02.01.00726427 / Действителен до 15.02.2026 / 0221174KZ174 / годен до 15.02.2026</v>
      </c>
      <c r="H25" s="1" t="str">
        <f ca="1">IFERROR(__xludf.DUMMYFUNCTION("""COMPUTED_VALUE"""),"Корректор осанки с ребрами жесткости эластичный 2011 M (Болгария) KZ.7700.02.01.00726427 / Действителен до 15.02.2026 / 0221174KZ174 / годен до 15.02.2026")</f>
        <v>Корректор осанки с ребрами жесткости эластичный 2011 M (Болгария) KZ.7700.02.01.00726427 / Действителен до 15.02.2026 / 0221174KZ174 / годен до 15.02.2026</v>
      </c>
    </row>
    <row r="26" spans="1:8" ht="12.75" x14ac:dyDescent="0.2">
      <c r="A26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26" s="1" t="str">
        <f ca="1">IFERROR(__xludf.DUMMYFUNCTION("""COMPUTED_VALUE"""),"KZ.7700.02.01.00726431")</f>
        <v>KZ.7700.02.01.00726431</v>
      </c>
      <c r="C26" s="1" t="str">
        <f ca="1">IFERROR(__xludf.DUMMYFUNCTION("""COMPUTED_VALUE"""),"Действителен до 15.02.2026")</f>
        <v>Действителен до 15.02.2026</v>
      </c>
      <c r="D26" s="8" t="str">
        <f ca="1">IFERROR(__xludf.DUMMYFUNCTION("""COMPUTED_VALUE"""),"0221174KZ174")</f>
        <v>0221174KZ174</v>
      </c>
      <c r="E26" s="1" t="str">
        <f ca="1">IFERROR(__xludf.DUMMYFUNCTION("""COMPUTED_VALUE"""),"годен до 15.02.2026")</f>
        <v>годен до 15.02.2026</v>
      </c>
      <c r="F26" s="1" t="str">
        <f ca="1">IFERROR(__xludf.DUMMYFUNCTION("""COMPUTED_VALUE"""),"Корректор осанки с ребрами жесткости эластичный 2011 S (Болгария) - 0221174KZ174")</f>
        <v>Корректор осанки с ребрами жесткости эластичный 2011 S (Болгария) - 0221174KZ174</v>
      </c>
      <c r="G26" s="1" t="str">
        <f ca="1">IFERROR(__xludf.DUMMYFUNCTION("""COMPUTED_VALUE"""),"KZ.7700.02.01.00726431 / Действителен до 15.02.2026 / 0221174KZ174 / годен до 15.02.2026")</f>
        <v>KZ.7700.02.01.00726431 / Действителен до 15.02.2026 / 0221174KZ174 / годен до 15.02.2026</v>
      </c>
      <c r="H26" s="1" t="str">
        <f ca="1">IFERROR(__xludf.DUMMYFUNCTION("""COMPUTED_VALUE"""),"Корректор осанки с ребрами жесткости эластичный 2011 S (Болгария) KZ.7700.02.01.00726431 / Действителен до 15.02.2026 / 0221174KZ174 / годен до 15.02.2026")</f>
        <v>Корректор осанки с ребрами жесткости эластичный 2011 S (Болгария) KZ.7700.02.01.00726431 / Действителен до 15.02.2026 / 0221174KZ174 / годен до 15.02.2026</v>
      </c>
    </row>
    <row r="27" spans="1:8" ht="12.75" x14ac:dyDescent="0.2">
      <c r="A27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27" s="1" t="str">
        <f ca="1">IFERROR(__xludf.DUMMYFUNCTION("""COMPUTED_VALUE"""),"KZ.7700.02.01.00726435")</f>
        <v>KZ.7700.02.01.00726435</v>
      </c>
      <c r="C27" s="1" t="str">
        <f ca="1">IFERROR(__xludf.DUMMYFUNCTION("""COMPUTED_VALUE"""),"Действителен до 15.02.2026")</f>
        <v>Действителен до 15.02.2026</v>
      </c>
      <c r="D27" s="8" t="str">
        <f ca="1">IFERROR(__xludf.DUMMYFUNCTION("""COMPUTED_VALUE"""),"0221174KZ174")</f>
        <v>0221174KZ174</v>
      </c>
      <c r="E27" s="1" t="str">
        <f ca="1">IFERROR(__xludf.DUMMYFUNCTION("""COMPUTED_VALUE"""),"годен до 15.02.2026")</f>
        <v>годен до 15.02.2026</v>
      </c>
      <c r="F27" s="1" t="str">
        <f ca="1">IFERROR(__xludf.DUMMYFUNCTION("""COMPUTED_VALUE"""),"Корректор осанки с ребрами жесткости эластичный 2011 XL (Болгария) - 0221174KZ174")</f>
        <v>Корректор осанки с ребрами жесткости эластичный 2011 XL (Болгария) - 0221174KZ174</v>
      </c>
      <c r="G27" s="1" t="str">
        <f ca="1">IFERROR(__xludf.DUMMYFUNCTION("""COMPUTED_VALUE"""),"KZ.7700.02.01.00726435 / Действителен до 15.02.2026 / 0221174KZ174 / годен до 15.02.2026")</f>
        <v>KZ.7700.02.01.00726435 / Действителен до 15.02.2026 / 0221174KZ174 / годен до 15.02.2026</v>
      </c>
      <c r="H27" s="1" t="str">
        <f ca="1">IFERROR(__xludf.DUMMYFUNCTION("""COMPUTED_VALUE"""),"Корректор осанки с ребрами жесткости эластичный 2011 XL (Болгария) KZ.7700.02.01.00726435 / Действителен до 15.02.2026 / 0221174KZ174 / годен до 15.02.2026")</f>
        <v>Корректор осанки с ребрами жесткости эластичный 2011 XL (Болгария) KZ.7700.02.01.00726435 / Действителен до 15.02.2026 / 0221174KZ174 / годен до 15.02.2026</v>
      </c>
    </row>
    <row r="28" spans="1:8" ht="12.75" x14ac:dyDescent="0.2">
      <c r="A28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28" s="1" t="str">
        <f ca="1">IFERROR(__xludf.DUMMYFUNCTION("""COMPUTED_VALUE"""),"KZ.7700.02.01.00726436")</f>
        <v>KZ.7700.02.01.00726436</v>
      </c>
      <c r="C28" s="1" t="str">
        <f ca="1">IFERROR(__xludf.DUMMYFUNCTION("""COMPUTED_VALUE"""),"Действителен до 15.02.2026")</f>
        <v>Действителен до 15.02.2026</v>
      </c>
      <c r="D28" s="8" t="str">
        <f ca="1">IFERROR(__xludf.DUMMYFUNCTION("""COMPUTED_VALUE"""),"0221174KZ174")</f>
        <v>0221174KZ174</v>
      </c>
      <c r="E28" s="1" t="str">
        <f ca="1">IFERROR(__xludf.DUMMYFUNCTION("""COMPUTED_VALUE"""),"годен до 15.02.2026")</f>
        <v>годен до 15.02.2026</v>
      </c>
      <c r="F28" s="1" t="str">
        <f ca="1">IFERROR(__xludf.DUMMYFUNCTION("""COMPUTED_VALUE"""),"Корректор осанки с ребрами жесткости эластичный 2011 XXL (Болгария) - 0221174KZ174")</f>
        <v>Корректор осанки с ребрами жесткости эластичный 2011 XXL (Болгария) - 0221174KZ174</v>
      </c>
      <c r="G28" s="1" t="str">
        <f ca="1">IFERROR(__xludf.DUMMYFUNCTION("""COMPUTED_VALUE"""),"KZ.7700.02.01.00726436 / Действителен до 15.02.2026 / 0221174KZ174 / годен до 15.02.2026")</f>
        <v>KZ.7700.02.01.00726436 / Действителен до 15.02.2026 / 0221174KZ174 / годен до 15.02.2026</v>
      </c>
      <c r="H28" s="1" t="str">
        <f ca="1">IFERROR(__xludf.DUMMYFUNCTION("""COMPUTED_VALUE"""),"Корректор осанки с ребрами жесткости эластичный 2011 XXL (Болгария) KZ.7700.02.01.00726436 / Действителен до 15.02.2026 / 0221174KZ174 / годен до 15.02.2026")</f>
        <v>Корректор осанки с ребрами жесткости эластичный 2011 XXL (Болгария) KZ.7700.02.01.00726436 / Действителен до 15.02.2026 / 0221174KZ174 / годен до 15.02.2026</v>
      </c>
    </row>
    <row r="29" spans="1:8" ht="12.75" x14ac:dyDescent="0.2">
      <c r="A29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29" s="1" t="str">
        <f ca="1">IFERROR(__xludf.DUMMYFUNCTION("""COMPUTED_VALUE"""),"KZ.7700.02.01.00726442")</f>
        <v>KZ.7700.02.01.00726442</v>
      </c>
      <c r="C29" s="1" t="str">
        <f ca="1">IFERROR(__xludf.DUMMYFUNCTION("""COMPUTED_VALUE"""),"Действителен до 15.02.2026")</f>
        <v>Действителен до 15.02.2026</v>
      </c>
      <c r="D29" s="8" t="str">
        <f ca="1">IFERROR(__xludf.DUMMYFUNCTION("""COMPUTED_VALUE"""),"0221174KZ174")</f>
        <v>0221174KZ174</v>
      </c>
      <c r="E29" s="1" t="str">
        <f ca="1">IFERROR(__xludf.DUMMYFUNCTION("""COMPUTED_VALUE"""),"годен до 15.02.2026")</f>
        <v>годен до 15.02.2026</v>
      </c>
      <c r="F29" s="1" t="str">
        <f ca="1">IFERROR(__xludf.DUMMYFUNCTION("""COMPUTED_VALUE"""),"Корректор лечебно-профилактический (с 4 ребрами жесткости) эластичный 3011 - L - 0221174KZ174")</f>
        <v>Корректор лечебно-профилактический (с 4 ребрами жесткости) эластичный 3011 - L - 0221174KZ174</v>
      </c>
      <c r="G29" s="1" t="str">
        <f ca="1">IFERROR(__xludf.DUMMYFUNCTION("""COMPUTED_VALUE"""),"KZ.7700.02.01.00726442 / Действителен до 15.02.2026 / 0221174KZ174 / годен до 15.02.2026")</f>
        <v>KZ.7700.02.01.00726442 / Действителен до 15.02.2026 / 0221174KZ174 / годен до 15.02.2026</v>
      </c>
      <c r="H29" s="1" t="str">
        <f ca="1">IFERROR(__xludf.DUMMYFUNCTION("""COMPUTED_VALUE"""),"Корректор лечебно-профилактический (с 4 ребрами жесткости) эластичный 3011 - L KZ.7700.02.01.00726442 / Действителен до 15.02.2026 / 0221174KZ174 / годен до 15.02.2026")</f>
        <v>Корректор лечебно-профилактический (с 4 ребрами жесткости) эластичный 3011 - L KZ.7700.02.01.00726442 / Действителен до 15.02.2026 / 0221174KZ174 / годен до 15.02.2026</v>
      </c>
    </row>
    <row r="30" spans="1:8" ht="12.75" x14ac:dyDescent="0.2">
      <c r="A30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30" s="1" t="str">
        <f ca="1">IFERROR(__xludf.DUMMYFUNCTION("""COMPUTED_VALUE"""),"KZ.7700.02.01.00726437")</f>
        <v>KZ.7700.02.01.00726437</v>
      </c>
      <c r="C30" s="1" t="str">
        <f ca="1">IFERROR(__xludf.DUMMYFUNCTION("""COMPUTED_VALUE"""),"Действителен до 15.02.2026")</f>
        <v>Действителен до 15.02.2026</v>
      </c>
      <c r="D30" s="8" t="str">
        <f ca="1">IFERROR(__xludf.DUMMYFUNCTION("""COMPUTED_VALUE"""),"0221174KZ174")</f>
        <v>0221174KZ174</v>
      </c>
      <c r="E30" s="1" t="str">
        <f ca="1">IFERROR(__xludf.DUMMYFUNCTION("""COMPUTED_VALUE"""),"годен до 15.02.2026")</f>
        <v>годен до 15.02.2026</v>
      </c>
      <c r="F30" s="1" t="str">
        <f ca="1">IFERROR(__xludf.DUMMYFUNCTION("""COMPUTED_VALUE"""),"Корректор лечебно-профилактический (с 4 ребрами жесткости) эластичный 3011 - М - 0221174KZ174")</f>
        <v>Корректор лечебно-профилактический (с 4 ребрами жесткости) эластичный 3011 - М - 0221174KZ174</v>
      </c>
      <c r="G30" s="1" t="str">
        <f ca="1">IFERROR(__xludf.DUMMYFUNCTION("""COMPUTED_VALUE"""),"KZ.7700.02.01.00726437 / Действителен до 15.02.2026 / 0221174KZ174 / годен до 15.02.2026")</f>
        <v>KZ.7700.02.01.00726437 / Действителен до 15.02.2026 / 0221174KZ174 / годен до 15.02.2026</v>
      </c>
      <c r="H30" s="1" t="str">
        <f ca="1">IFERROR(__xludf.DUMMYFUNCTION("""COMPUTED_VALUE"""),"Корректор лечебно-профилактический (с 4 ребрами жесткости) эластичный 3011 - М KZ.7700.02.01.00726437 / Действителен до 15.02.2026 / 0221174KZ174 / годен до 15.02.2026")</f>
        <v>Корректор лечебно-профилактический (с 4 ребрами жесткости) эластичный 3011 - М KZ.7700.02.01.00726437 / Действителен до 15.02.2026 / 0221174KZ174 / годен до 15.02.2026</v>
      </c>
    </row>
    <row r="31" spans="1:8" ht="12.75" x14ac:dyDescent="0.2">
      <c r="A31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31" s="1" t="str">
        <f ca="1">IFERROR(__xludf.DUMMYFUNCTION("""COMPUTED_VALUE"""),"KZ.7700.02.01.00726443")</f>
        <v>KZ.7700.02.01.00726443</v>
      </c>
      <c r="C31" s="1" t="str">
        <f ca="1">IFERROR(__xludf.DUMMYFUNCTION("""COMPUTED_VALUE"""),"Действителен до 15.02.2026")</f>
        <v>Действителен до 15.02.2026</v>
      </c>
      <c r="D31" s="8" t="str">
        <f ca="1">IFERROR(__xludf.DUMMYFUNCTION("""COMPUTED_VALUE"""),"0221174KZ174")</f>
        <v>0221174KZ174</v>
      </c>
      <c r="E31" s="1" t="str">
        <f ca="1">IFERROR(__xludf.DUMMYFUNCTION("""COMPUTED_VALUE"""),"годен до 15.02.2026")</f>
        <v>годен до 15.02.2026</v>
      </c>
      <c r="F31" s="1" t="str">
        <f ca="1">IFERROR(__xludf.DUMMYFUNCTION("""COMPUTED_VALUE"""),"Корректор лечебно-профилактический (с 4 ребрами жесткости) эластичный 3011- XL - 0221174KZ174")</f>
        <v>Корректор лечебно-профилактический (с 4 ребрами жесткости) эластичный 3011- XL - 0221174KZ174</v>
      </c>
      <c r="G31" s="1" t="str">
        <f ca="1">IFERROR(__xludf.DUMMYFUNCTION("""COMPUTED_VALUE"""),"KZ.7700.02.01.00726443 / Действителен до 15.02.2026 / 0221174KZ174 / годен до 15.02.2026")</f>
        <v>KZ.7700.02.01.00726443 / Действителен до 15.02.2026 / 0221174KZ174 / годен до 15.02.2026</v>
      </c>
      <c r="H31" s="1" t="str">
        <f ca="1">IFERROR(__xludf.DUMMYFUNCTION("""COMPUTED_VALUE"""),"Корректор лечебно-профилактический (с 4 ребрами жесткости) эластичный 3011- XL KZ.7700.02.01.00726443 / Действителен до 15.02.2026 / 0221174KZ174 / годен до 15.02.2026")</f>
        <v>Корректор лечебно-профилактический (с 4 ребрами жесткости) эластичный 3011- XL KZ.7700.02.01.00726443 / Действителен до 15.02.2026 / 0221174KZ174 / годен до 15.02.2026</v>
      </c>
    </row>
    <row r="32" spans="1:8" ht="12.75" x14ac:dyDescent="0.2">
      <c r="A32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32" s="1" t="str">
        <f ca="1">IFERROR(__xludf.DUMMYFUNCTION("""COMPUTED_VALUE"""),"KZ.7700.02.01.00726438")</f>
        <v>KZ.7700.02.01.00726438</v>
      </c>
      <c r="C32" s="1" t="str">
        <f ca="1">IFERROR(__xludf.DUMMYFUNCTION("""COMPUTED_VALUE"""),"Действителен до 15.02.2026")</f>
        <v>Действителен до 15.02.2026</v>
      </c>
      <c r="D32" s="8" t="str">
        <f ca="1">IFERROR(__xludf.DUMMYFUNCTION("""COMPUTED_VALUE"""),"0221174KZ174")</f>
        <v>0221174KZ174</v>
      </c>
      <c r="E32" s="1" t="str">
        <f ca="1">IFERROR(__xludf.DUMMYFUNCTION("""COMPUTED_VALUE"""),"годен до 15.02.2026")</f>
        <v>годен до 15.02.2026</v>
      </c>
      <c r="F32" s="1" t="str">
        <f ca="1">IFERROR(__xludf.DUMMYFUNCTION("""COMPUTED_VALUE"""),"Корректор лечебно-профилактический (с 4 ребрами жесткости) эластичный 3011- XXL - 0221174KZ174")</f>
        <v>Корректор лечебно-профилактический (с 4 ребрами жесткости) эластичный 3011- XXL - 0221174KZ174</v>
      </c>
      <c r="G32" s="1" t="str">
        <f ca="1">IFERROR(__xludf.DUMMYFUNCTION("""COMPUTED_VALUE"""),"KZ.7700.02.01.00726438 / Действителен до 15.02.2026 / 0221174KZ174 / годен до 15.02.2026")</f>
        <v>KZ.7700.02.01.00726438 / Действителен до 15.02.2026 / 0221174KZ174 / годен до 15.02.2026</v>
      </c>
      <c r="H32" s="1" t="str">
        <f ca="1">IFERROR(__xludf.DUMMYFUNCTION("""COMPUTED_VALUE"""),"Корректор лечебно-профилактический (с 4 ребрами жесткости) эластичный 3011- XXL KZ.7700.02.01.00726438 / Действителен до 15.02.2026 / 0221174KZ174 / годен до 15.02.2026")</f>
        <v>Корректор лечебно-профилактический (с 4 ребрами жесткости) эластичный 3011- XXL KZ.7700.02.01.00726438 / Действителен до 15.02.2026 / 0221174KZ174 / годен до 15.02.2026</v>
      </c>
    </row>
    <row r="33" spans="1:8" ht="12.75" x14ac:dyDescent="0.2">
      <c r="A33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33" s="1" t="str">
        <f ca="1">IFERROR(__xludf.DUMMYFUNCTION("""COMPUTED_VALUE"""),"KZ.7700.02.01.00726434")</f>
        <v>KZ.7700.02.01.00726434</v>
      </c>
      <c r="C33" s="1" t="str">
        <f ca="1">IFERROR(__xludf.DUMMYFUNCTION("""COMPUTED_VALUE"""),"Действителен до 15.02.2026")</f>
        <v>Действителен до 15.02.2026</v>
      </c>
      <c r="D33" s="8" t="str">
        <f ca="1">IFERROR(__xludf.DUMMYFUNCTION("""COMPUTED_VALUE"""),"0221174KZ174")</f>
        <v>0221174KZ174</v>
      </c>
      <c r="E33" s="1" t="str">
        <f ca="1">IFERROR(__xludf.DUMMYFUNCTION("""COMPUTED_VALUE"""),"годен до 15.02.2026")</f>
        <v>годен до 15.02.2026</v>
      </c>
      <c r="F33" s="1" t="str">
        <f ca="1">IFERROR(__xludf.DUMMYFUNCTION("""COMPUTED_VALUE"""),"Корректор лечебно-профилактический (с 4 ребрами жесткости) эластичный 3011- XXXL - 0221174KZ174")</f>
        <v>Корректор лечебно-профилактический (с 4 ребрами жесткости) эластичный 3011- XXXL - 0221174KZ174</v>
      </c>
      <c r="G33" s="1" t="str">
        <f ca="1">IFERROR(__xludf.DUMMYFUNCTION("""COMPUTED_VALUE"""),"KZ.7700.02.01.00726434 / Действителен до 15.02.2026 / 0221174KZ174 / годен до 15.02.2026")</f>
        <v>KZ.7700.02.01.00726434 / Действителен до 15.02.2026 / 0221174KZ174 / годен до 15.02.2026</v>
      </c>
      <c r="H33" s="1" t="str">
        <f ca="1">IFERROR(__xludf.DUMMYFUNCTION("""COMPUTED_VALUE"""),"Корректор лечебно-профилактический (с 4 ребрами жесткости) эластичный 3011- XXXL KZ.7700.02.01.00726434 / Действителен до 15.02.2026 / 0221174KZ174 / годен до 15.02.2026")</f>
        <v>Корректор лечебно-профилактический (с 4 ребрами жесткости) эластичный 3011- XXXL KZ.7700.02.01.00726434 / Действителен до 15.02.2026 / 0221174KZ174 / годен до 15.02.2026</v>
      </c>
    </row>
    <row r="34" spans="1:8" ht="12.75" x14ac:dyDescent="0.2">
      <c r="A34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34" s="1" t="str">
        <f ca="1">IFERROR(__xludf.DUMMYFUNCTION("""COMPUTED_VALUE"""),"KZ.7700.02.01.00726439")</f>
        <v>KZ.7700.02.01.00726439</v>
      </c>
      <c r="C34" s="1" t="str">
        <f ca="1">IFERROR(__xludf.DUMMYFUNCTION("""COMPUTED_VALUE"""),"Действителен до 15.02.2026")</f>
        <v>Действителен до 15.02.2026</v>
      </c>
      <c r="D34" s="8" t="str">
        <f ca="1">IFERROR(__xludf.DUMMYFUNCTION("""COMPUTED_VALUE"""),"0221174KZ174")</f>
        <v>0221174KZ174</v>
      </c>
      <c r="E34" s="1" t="str">
        <f ca="1">IFERROR(__xludf.DUMMYFUNCTION("""COMPUTED_VALUE"""),"годен до 15.02.2026")</f>
        <v>годен до 15.02.2026</v>
      </c>
      <c r="F34" s="1" t="str">
        <f ca="1">IFERROR(__xludf.DUMMYFUNCTION("""COMPUTED_VALUE"""),"Корректор лечебно-профилактический (с 4 ребрами жесткости) эластичный 3011 XXXXL - 0221174KZ174")</f>
        <v>Корректор лечебно-профилактический (с 4 ребрами жесткости) эластичный 3011 XXXXL - 0221174KZ174</v>
      </c>
      <c r="G34" s="1" t="str">
        <f ca="1">IFERROR(__xludf.DUMMYFUNCTION("""COMPUTED_VALUE"""),"KZ.7700.02.01.00726439 / Действителен до 15.02.2026 / 0221174KZ174 / годен до 15.02.2026")</f>
        <v>KZ.7700.02.01.00726439 / Действителен до 15.02.2026 / 0221174KZ174 / годен до 15.02.2026</v>
      </c>
      <c r="H34" s="1" t="str">
        <f ca="1">IFERROR(__xludf.DUMMYFUNCTION("""COMPUTED_VALUE"""),"Корректор лечебно-профилактический (с 4 ребрами жесткости) эластичный 3011 XXXXL KZ.7700.02.01.00726439 / Действителен до 15.02.2026 / 0221174KZ174 / годен до 15.02.2026")</f>
        <v>Корректор лечебно-профилактический (с 4 ребрами жесткости) эластичный 3011 XXXXL KZ.7700.02.01.00726439 / Действителен до 15.02.2026 / 0221174KZ174 / годен до 15.02.2026</v>
      </c>
    </row>
    <row r="35" spans="1:8" ht="12.75" x14ac:dyDescent="0.2">
      <c r="A35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35" s="1" t="str">
        <f ca="1">IFERROR(__xludf.DUMMYFUNCTION("""COMPUTED_VALUE"""),"KZ.7700.02.01.00726440")</f>
        <v>KZ.7700.02.01.00726440</v>
      </c>
      <c r="C35" s="1" t="str">
        <f ca="1">IFERROR(__xludf.DUMMYFUNCTION("""COMPUTED_VALUE"""),"Действителен до 15.02.2026")</f>
        <v>Действителен до 15.02.2026</v>
      </c>
      <c r="D35" s="8" t="str">
        <f ca="1">IFERROR(__xludf.DUMMYFUNCTION("""COMPUTED_VALUE"""),"0221174KZ174")</f>
        <v>0221174KZ174</v>
      </c>
      <c r="E35" s="1" t="str">
        <f ca="1">IFERROR(__xludf.DUMMYFUNCTION("""COMPUTED_VALUE"""),"годен до 15.02.2026")</f>
        <v>годен до 15.02.2026</v>
      </c>
      <c r="F35" s="1" t="str">
        <f ca="1">IFERROR(__xludf.DUMMYFUNCTION("""COMPUTED_VALUE"""),"Корсет ортопедический с ребрами жесткости согревающий 3041 M/L (Болгария) - 0221174KZ174")</f>
        <v>Корсет ортопедический с ребрами жесткости согревающий 3041 M/L (Болгария) - 0221174KZ174</v>
      </c>
      <c r="G35" s="1" t="str">
        <f ca="1">IFERROR(__xludf.DUMMYFUNCTION("""COMPUTED_VALUE"""),"KZ.7700.02.01.00726440 / Действителен до 15.02.2026 / 0221174KZ174 / годен до 15.02.2026")</f>
        <v>KZ.7700.02.01.00726440 / Действителен до 15.02.2026 / 0221174KZ174 / годен до 15.02.2026</v>
      </c>
      <c r="H35" s="1" t="str">
        <f ca="1">IFERROR(__xludf.DUMMYFUNCTION("""COMPUTED_VALUE"""),"Корсет ортопедический с ребрами жесткости согревающий 3041 M/L (Болгария) KZ.7700.02.01.00726440 / Действителен до 15.02.2026 / 0221174KZ174 / годен до 15.02.2026")</f>
        <v>Корсет ортопедический с ребрами жесткости согревающий 3041 M/L (Болгария) KZ.7700.02.01.00726440 / Действителен до 15.02.2026 / 0221174KZ174 / годен до 15.02.2026</v>
      </c>
    </row>
    <row r="36" spans="1:8" ht="12.75" x14ac:dyDescent="0.2">
      <c r="A36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36" s="1" t="str">
        <f ca="1">IFERROR(__xludf.DUMMYFUNCTION("""COMPUTED_VALUE"""),"KZ.7700.02.01.00726445")</f>
        <v>KZ.7700.02.01.00726445</v>
      </c>
      <c r="C36" s="1" t="str">
        <f ca="1">IFERROR(__xludf.DUMMYFUNCTION("""COMPUTED_VALUE"""),"Действителен до 15.02.2026")</f>
        <v>Действителен до 15.02.2026</v>
      </c>
      <c r="D36" s="8" t="str">
        <f ca="1">IFERROR(__xludf.DUMMYFUNCTION("""COMPUTED_VALUE"""),"0221174KZ174")</f>
        <v>0221174KZ174</v>
      </c>
      <c r="E36" s="1" t="str">
        <f ca="1">IFERROR(__xludf.DUMMYFUNCTION("""COMPUTED_VALUE"""),"годен до 15.02.2026")</f>
        <v>годен до 15.02.2026</v>
      </c>
      <c r="F36" s="1" t="str">
        <f ca="1">IFERROR(__xludf.DUMMYFUNCTION("""COMPUTED_VALUE"""),"Корсет ортопедический с ребрами жесткости согревающий 3041 XXXL/XXXXL (Болгария) - 0221174KZ174")</f>
        <v>Корсет ортопедический с ребрами жесткости согревающий 3041 XXXL/XXXXL (Болгария) - 0221174KZ174</v>
      </c>
      <c r="G36" s="1" t="str">
        <f ca="1">IFERROR(__xludf.DUMMYFUNCTION("""COMPUTED_VALUE"""),"KZ.7700.02.01.00726445 / Действителен до 15.02.2026 / 0221174KZ174 / годен до 15.02.2026")</f>
        <v>KZ.7700.02.01.00726445 / Действителен до 15.02.2026 / 0221174KZ174 / годен до 15.02.2026</v>
      </c>
      <c r="H36" s="1" t="str">
        <f ca="1">IFERROR(__xludf.DUMMYFUNCTION("""COMPUTED_VALUE"""),"Корсет ортопедический с ребрами жесткости согревающий 3041 XXXL/XXXXL (Болгария) KZ.7700.02.01.00726445 / Действителен до 15.02.2026 / 0221174KZ174 / годен до 15.02.2026")</f>
        <v>Корсет ортопедический с ребрами жесткости согревающий 3041 XXXL/XXXXL (Болгария) KZ.7700.02.01.00726445 / Действителен до 15.02.2026 / 0221174KZ174 / годен до 15.02.2026</v>
      </c>
    </row>
    <row r="37" spans="1:8" ht="12.75" x14ac:dyDescent="0.2">
      <c r="A37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37" s="1" t="str">
        <f ca="1">IFERROR(__xludf.DUMMYFUNCTION("""COMPUTED_VALUE"""),"KZ.7700.02.01.00726453")</f>
        <v>KZ.7700.02.01.00726453</v>
      </c>
      <c r="C37" s="1" t="str">
        <f ca="1">IFERROR(__xludf.DUMMYFUNCTION("""COMPUTED_VALUE"""),"Действителен до 15.02.2026")</f>
        <v>Действителен до 15.02.2026</v>
      </c>
      <c r="D37" s="8" t="str">
        <f ca="1">IFERROR(__xludf.DUMMYFUNCTION("""COMPUTED_VALUE"""),"0221174KZ174")</f>
        <v>0221174KZ174</v>
      </c>
      <c r="E37" s="1" t="str">
        <f ca="1">IFERROR(__xludf.DUMMYFUNCTION("""COMPUTED_VALUE"""),"годен до 15.02.2026")</f>
        <v>годен до 15.02.2026</v>
      </c>
      <c r="F37" s="1" t="str">
        <f ca="1">IFERROR(__xludf.DUMMYFUNCTION("""COMPUTED_VALUE"""),"Бандаж лечебно–профилактический (с тремя ребрами жесткости) 4001 L (Болгария) - 0221174KZ174")</f>
        <v>Бандаж лечебно–профилактический (с тремя ребрами жесткости) 4001 L (Болгария) - 0221174KZ174</v>
      </c>
      <c r="G37" s="1" t="str">
        <f ca="1">IFERROR(__xludf.DUMMYFUNCTION("""COMPUTED_VALUE"""),"KZ.7700.02.01.00726453 / Действителен до 15.02.2026 / 0221174KZ174 / годен до 15.02.2026")</f>
        <v>KZ.7700.02.01.00726453 / Действителен до 15.02.2026 / 0221174KZ174 / годен до 15.02.2026</v>
      </c>
      <c r="H37" s="1" t="str">
        <f ca="1">IFERROR(__xludf.DUMMYFUNCTION("""COMPUTED_VALUE"""),"Бандаж лечебно–профилактический (с тремя ребрами жесткости) 4001 L (Болгария) KZ.7700.02.01.00726453 / Действителен до 15.02.2026 / 0221174KZ174 / годен до 15.02.2026")</f>
        <v>Бандаж лечебно–профилактический (с тремя ребрами жесткости) 4001 L (Болгария) KZ.7700.02.01.00726453 / Действителен до 15.02.2026 / 0221174KZ174 / годен до 15.02.2026</v>
      </c>
    </row>
    <row r="38" spans="1:8" ht="12.75" x14ac:dyDescent="0.2">
      <c r="A38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38" s="1" t="str">
        <f ca="1">IFERROR(__xludf.DUMMYFUNCTION("""COMPUTED_VALUE"""),"KZ.7700.02.01.00726449")</f>
        <v>KZ.7700.02.01.00726449</v>
      </c>
      <c r="C38" s="1" t="str">
        <f ca="1">IFERROR(__xludf.DUMMYFUNCTION("""COMPUTED_VALUE"""),"Действителен до 15.02.2026")</f>
        <v>Действителен до 15.02.2026</v>
      </c>
      <c r="D38" s="8" t="str">
        <f ca="1">IFERROR(__xludf.DUMMYFUNCTION("""COMPUTED_VALUE"""),"0221174KZ174")</f>
        <v>0221174KZ174</v>
      </c>
      <c r="E38" s="1" t="str">
        <f ca="1">IFERROR(__xludf.DUMMYFUNCTION("""COMPUTED_VALUE"""),"годен до 15.02.2026")</f>
        <v>годен до 15.02.2026</v>
      </c>
      <c r="F38" s="1" t="str">
        <f ca="1">IFERROR(__xludf.DUMMYFUNCTION("""COMPUTED_VALUE"""),"Бандаж лечебно–профилактический (с тремя ребрами жесткости) 4001 M (Болгария) - 0221174KZ174")</f>
        <v>Бандаж лечебно–профилактический (с тремя ребрами жесткости) 4001 M (Болгария) - 0221174KZ174</v>
      </c>
      <c r="G38" s="1" t="str">
        <f ca="1">IFERROR(__xludf.DUMMYFUNCTION("""COMPUTED_VALUE"""),"KZ.7700.02.01.00726449 / Действителен до 15.02.2026 / 0221174KZ174 / годен до 15.02.2026")</f>
        <v>KZ.7700.02.01.00726449 / Действителен до 15.02.2026 / 0221174KZ174 / годен до 15.02.2026</v>
      </c>
      <c r="H38" s="1" t="str">
        <f ca="1">IFERROR(__xludf.DUMMYFUNCTION("""COMPUTED_VALUE"""),"Бандаж лечебно–профилактический (с тремя ребрами жесткости) 4001 M (Болгария) KZ.7700.02.01.00726449 / Действителен до 15.02.2026 / 0221174KZ174 / годен до 15.02.2026")</f>
        <v>Бандаж лечебно–профилактический (с тремя ребрами жесткости) 4001 M (Болгария) KZ.7700.02.01.00726449 / Действителен до 15.02.2026 / 0221174KZ174 / годен до 15.02.2026</v>
      </c>
    </row>
    <row r="39" spans="1:8" ht="12.75" x14ac:dyDescent="0.2">
      <c r="A39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39" s="1" t="str">
        <f ca="1">IFERROR(__xludf.DUMMYFUNCTION("""COMPUTED_VALUE"""),"KZ.7700.02.01.00726444")</f>
        <v>KZ.7700.02.01.00726444</v>
      </c>
      <c r="C39" s="1" t="str">
        <f ca="1">IFERROR(__xludf.DUMMYFUNCTION("""COMPUTED_VALUE"""),"Действителен до 15.02.2026")</f>
        <v>Действителен до 15.02.2026</v>
      </c>
      <c r="D39" s="8" t="str">
        <f ca="1">IFERROR(__xludf.DUMMYFUNCTION("""COMPUTED_VALUE"""),"0221174KZ174")</f>
        <v>0221174KZ174</v>
      </c>
      <c r="E39" s="1" t="str">
        <f ca="1">IFERROR(__xludf.DUMMYFUNCTION("""COMPUTED_VALUE"""),"годен до 15.02.2026")</f>
        <v>годен до 15.02.2026</v>
      </c>
      <c r="F39" s="1" t="str">
        <f ca="1">IFERROR(__xludf.DUMMYFUNCTION("""COMPUTED_VALUE"""),"Бандаж лечебно–профилактический (с тремя ребрами жесткости) 4001 S (Болгария) - 0221174KZ174")</f>
        <v>Бандаж лечебно–профилактический (с тремя ребрами жесткости) 4001 S (Болгария) - 0221174KZ174</v>
      </c>
      <c r="G39" s="1" t="str">
        <f ca="1">IFERROR(__xludf.DUMMYFUNCTION("""COMPUTED_VALUE"""),"KZ.7700.02.01.00726444 / Действителен до 15.02.2026 / 0221174KZ174 / годен до 15.02.2026")</f>
        <v>KZ.7700.02.01.00726444 / Действителен до 15.02.2026 / 0221174KZ174 / годен до 15.02.2026</v>
      </c>
      <c r="H39" s="1" t="str">
        <f ca="1">IFERROR(__xludf.DUMMYFUNCTION("""COMPUTED_VALUE"""),"Бандаж лечебно–профилактический (с тремя ребрами жесткости) 4001 S (Болгария) KZ.7700.02.01.00726444 / Действителен до 15.02.2026 / 0221174KZ174 / годен до 15.02.2026")</f>
        <v>Бандаж лечебно–профилактический (с тремя ребрами жесткости) 4001 S (Болгария) KZ.7700.02.01.00726444 / Действителен до 15.02.2026 / 0221174KZ174 / годен до 15.02.2026</v>
      </c>
    </row>
    <row r="40" spans="1:8" ht="12.75" x14ac:dyDescent="0.2">
      <c r="A40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40" s="1" t="str">
        <f ca="1">IFERROR(__xludf.DUMMYFUNCTION("""COMPUTED_VALUE"""),"KZ.7700.02.01.00726448")</f>
        <v>KZ.7700.02.01.00726448</v>
      </c>
      <c r="C40" s="1" t="str">
        <f ca="1">IFERROR(__xludf.DUMMYFUNCTION("""COMPUTED_VALUE"""),"Действителен до 15.02.2026")</f>
        <v>Действителен до 15.02.2026</v>
      </c>
      <c r="D40" s="8" t="str">
        <f ca="1">IFERROR(__xludf.DUMMYFUNCTION("""COMPUTED_VALUE"""),"0221174KZ174")</f>
        <v>0221174KZ174</v>
      </c>
      <c r="E40" s="1" t="str">
        <f ca="1">IFERROR(__xludf.DUMMYFUNCTION("""COMPUTED_VALUE"""),"годен до 15.02.2026")</f>
        <v>годен до 15.02.2026</v>
      </c>
      <c r="F40" s="1" t="str">
        <f ca="1">IFERROR(__xludf.DUMMYFUNCTION("""COMPUTED_VALUE"""),"Бандаж лечебно–профилактический (с тремя ребрами жесткости) 4001 XL (Болгария) - 0221174KZ174")</f>
        <v>Бандаж лечебно–профилактический (с тремя ребрами жесткости) 4001 XL (Болгария) - 0221174KZ174</v>
      </c>
      <c r="G40" s="1" t="str">
        <f ca="1">IFERROR(__xludf.DUMMYFUNCTION("""COMPUTED_VALUE"""),"KZ.7700.02.01.00726448 / Действителен до 15.02.2026 / 0221174KZ174 / годен до 15.02.2026")</f>
        <v>KZ.7700.02.01.00726448 / Действителен до 15.02.2026 / 0221174KZ174 / годен до 15.02.2026</v>
      </c>
      <c r="H40" s="1" t="str">
        <f ca="1">IFERROR(__xludf.DUMMYFUNCTION("""COMPUTED_VALUE"""),"Бандаж лечебно–профилактический (с тремя ребрами жесткости) 4001 XL (Болгария) KZ.7700.02.01.00726448 / Действителен до 15.02.2026 / 0221174KZ174 / годен до 15.02.2026")</f>
        <v>Бандаж лечебно–профилактический (с тремя ребрами жесткости) 4001 XL (Болгария) KZ.7700.02.01.00726448 / Действителен до 15.02.2026 / 0221174KZ174 / годен до 15.02.2026</v>
      </c>
    </row>
    <row r="41" spans="1:8" ht="12.75" x14ac:dyDescent="0.2">
      <c r="A41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41" s="1" t="str">
        <f ca="1">IFERROR(__xludf.DUMMYFUNCTION("""COMPUTED_VALUE"""),"KZ.7700.02.01.00726447")</f>
        <v>KZ.7700.02.01.00726447</v>
      </c>
      <c r="C41" s="1" t="str">
        <f ca="1">IFERROR(__xludf.DUMMYFUNCTION("""COMPUTED_VALUE"""),"Действителен до 15.02.2026")</f>
        <v>Действителен до 15.02.2026</v>
      </c>
      <c r="D41" s="8" t="str">
        <f ca="1">IFERROR(__xludf.DUMMYFUNCTION("""COMPUTED_VALUE"""),"0221174KZ174")</f>
        <v>0221174KZ174</v>
      </c>
      <c r="E41" s="1" t="str">
        <f ca="1">IFERROR(__xludf.DUMMYFUNCTION("""COMPUTED_VALUE"""),"годен до 15.02.2026")</f>
        <v>годен до 15.02.2026</v>
      </c>
      <c r="F41" s="1" t="str">
        <f ca="1">IFERROR(__xludf.DUMMYFUNCTION("""COMPUTED_VALUE"""),"Бандаж лечебно–профилактический (с тремя ребрами жесткости) 4001 XXL (Болгария) - 0221174KZ174")</f>
        <v>Бандаж лечебно–профилактический (с тремя ребрами жесткости) 4001 XXL (Болгария) - 0221174KZ174</v>
      </c>
      <c r="G41" s="1" t="str">
        <f ca="1">IFERROR(__xludf.DUMMYFUNCTION("""COMPUTED_VALUE"""),"KZ.7700.02.01.00726447 / Действителен до 15.02.2026 / 0221174KZ174 / годен до 15.02.2026")</f>
        <v>KZ.7700.02.01.00726447 / Действителен до 15.02.2026 / 0221174KZ174 / годен до 15.02.2026</v>
      </c>
      <c r="H41" s="1" t="str">
        <f ca="1">IFERROR(__xludf.DUMMYFUNCTION("""COMPUTED_VALUE"""),"Бандаж лечебно–профилактический (с тремя ребрами жесткости) 4001 XXL (Болгария) KZ.7700.02.01.00726447 / Действителен до 15.02.2026 / 0221174KZ174 / годен до 15.02.2026")</f>
        <v>Бандаж лечебно–профилактический (с тремя ребрами жесткости) 4001 XXL (Болгария) KZ.7700.02.01.00726447 / Действителен до 15.02.2026 / 0221174KZ174 / годен до 15.02.2026</v>
      </c>
    </row>
    <row r="42" spans="1:8" ht="12.75" x14ac:dyDescent="0.2">
      <c r="A42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42" s="1" t="str">
        <f ca="1">IFERROR(__xludf.DUMMYFUNCTION("""COMPUTED_VALUE"""),"KZ.7700.02.01.00726451")</f>
        <v>KZ.7700.02.01.00726451</v>
      </c>
      <c r="C42" s="1" t="str">
        <f ca="1">IFERROR(__xludf.DUMMYFUNCTION("""COMPUTED_VALUE"""),"Действителен до 15.02.2026")</f>
        <v>Действителен до 15.02.2026</v>
      </c>
      <c r="D42" s="8" t="str">
        <f ca="1">IFERROR(__xludf.DUMMYFUNCTION("""COMPUTED_VALUE"""),"0221174KZ174")</f>
        <v>0221174KZ174</v>
      </c>
      <c r="E42" s="1" t="str">
        <f ca="1">IFERROR(__xludf.DUMMYFUNCTION("""COMPUTED_VALUE"""),"годен до 15.02.2026")</f>
        <v>годен до 15.02.2026</v>
      </c>
      <c r="F42" s="1" t="str">
        <f ca="1">IFERROR(__xludf.DUMMYFUNCTION("""COMPUTED_VALUE"""),"Бандаж лечебно–профилактический (с тремя ребрами жесткости) 4001 XXXL(Болгария) - 0221174KZ174")</f>
        <v>Бандаж лечебно–профилактический (с тремя ребрами жесткости) 4001 XXXL(Болгария) - 0221174KZ174</v>
      </c>
      <c r="G42" s="1" t="str">
        <f ca="1">IFERROR(__xludf.DUMMYFUNCTION("""COMPUTED_VALUE"""),"KZ.7700.02.01.00726451 / Действителен до 15.02.2026 / 0221174KZ174 / годен до 15.02.2026")</f>
        <v>KZ.7700.02.01.00726451 / Действителен до 15.02.2026 / 0221174KZ174 / годен до 15.02.2026</v>
      </c>
      <c r="H42" s="1" t="str">
        <f ca="1">IFERROR(__xludf.DUMMYFUNCTION("""COMPUTED_VALUE"""),"Бандаж лечебно–профилактический (с тремя ребрами жесткости) 4001 XXXL(Болгария) KZ.7700.02.01.00726451 / Действителен до 15.02.2026 / 0221174KZ174 / годен до 15.02.2026")</f>
        <v>Бандаж лечебно–профилактический (с тремя ребрами жесткости) 4001 XXXL(Болгария) KZ.7700.02.01.00726451 / Действителен до 15.02.2026 / 0221174KZ174 / годен до 15.02.2026</v>
      </c>
    </row>
    <row r="43" spans="1:8" ht="12.75" x14ac:dyDescent="0.2">
      <c r="A43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43" s="1" t="str">
        <f ca="1">IFERROR(__xludf.DUMMYFUNCTION("""COMPUTED_VALUE"""),"KZ.7700.02.01.00726450")</f>
        <v>KZ.7700.02.01.00726450</v>
      </c>
      <c r="C43" s="1" t="str">
        <f ca="1">IFERROR(__xludf.DUMMYFUNCTION("""COMPUTED_VALUE"""),"Действителен до 15.02.2026")</f>
        <v>Действителен до 15.02.2026</v>
      </c>
      <c r="D43" s="8" t="str">
        <f ca="1">IFERROR(__xludf.DUMMYFUNCTION("""COMPUTED_VALUE"""),"0221174KZ174")</f>
        <v>0221174KZ174</v>
      </c>
      <c r="E43" s="1" t="str">
        <f ca="1">IFERROR(__xludf.DUMMYFUNCTION("""COMPUTED_VALUE"""),"годен до 15.02.2026")</f>
        <v>годен до 15.02.2026</v>
      </c>
      <c r="F43" s="1" t="str">
        <f ca="1">IFERROR(__xludf.DUMMYFUNCTION("""COMPUTED_VALUE"""),"Бандаж лечебно–профилактический (с тремя ребрами жесткости) 4001 XXXXL(Болгария) - 0221174KZ174")</f>
        <v>Бандаж лечебно–профилактический (с тремя ребрами жесткости) 4001 XXXXL(Болгария) - 0221174KZ174</v>
      </c>
      <c r="G43" s="1" t="str">
        <f ca="1">IFERROR(__xludf.DUMMYFUNCTION("""COMPUTED_VALUE"""),"KZ.7700.02.01.00726450 / Действителен до 15.02.2026 / 0221174KZ174 / годен до 15.02.2026")</f>
        <v>KZ.7700.02.01.00726450 / Действителен до 15.02.2026 / 0221174KZ174 / годен до 15.02.2026</v>
      </c>
      <c r="H43" s="1" t="str">
        <f ca="1">IFERROR(__xludf.DUMMYFUNCTION("""COMPUTED_VALUE"""),"Бандаж лечебно–профилактический (с тремя ребрами жесткости) 4001 XXXXL(Болгария) KZ.7700.02.01.00726450 / Действителен до 15.02.2026 / 0221174KZ174 / годен до 15.02.2026")</f>
        <v>Бандаж лечебно–профилактический (с тремя ребрами жесткости) 4001 XXXXL(Болгария) KZ.7700.02.01.00726450 / Действителен до 15.02.2026 / 0221174KZ174 / годен до 15.02.2026</v>
      </c>
    </row>
    <row r="44" spans="1:8" ht="12.75" x14ac:dyDescent="0.2">
      <c r="A44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44" s="1" t="str">
        <f ca="1">IFERROR(__xludf.DUMMYFUNCTION("""COMPUTED_VALUE"""),"KZ.7700.02.01.00726458")</f>
        <v>KZ.7700.02.01.00726458</v>
      </c>
      <c r="C44" s="1" t="str">
        <f ca="1">IFERROR(__xludf.DUMMYFUNCTION("""COMPUTED_VALUE"""),"Действителен до 15.02.2026")</f>
        <v>Действителен до 15.02.2026</v>
      </c>
      <c r="D44" s="8" t="str">
        <f ca="1">IFERROR(__xludf.DUMMYFUNCTION("""COMPUTED_VALUE"""),"0221174KZ174")</f>
        <v>0221174KZ174</v>
      </c>
      <c r="E44" s="1" t="str">
        <f ca="1">IFERROR(__xludf.DUMMYFUNCTION("""COMPUTED_VALUE"""),"годен до 15.02.2026")</f>
        <v>годен до 15.02.2026</v>
      </c>
      <c r="F44" s="1" t="str">
        <f ca="1">IFERROR(__xludf.DUMMYFUNCTION("""COMPUTED_VALUE"""),"Бандаж лечебно–профилактический эластичный 4002 L (Болгария) - 0221174KZ174")</f>
        <v>Бандаж лечебно–профилактический эластичный 4002 L (Болгария) - 0221174KZ174</v>
      </c>
      <c r="G44" s="1" t="str">
        <f ca="1">IFERROR(__xludf.DUMMYFUNCTION("""COMPUTED_VALUE"""),"KZ.7700.02.01.00726458 / Действителен до 15.02.2026 / 0221174KZ174 / годен до 15.02.2026")</f>
        <v>KZ.7700.02.01.00726458 / Действителен до 15.02.2026 / 0221174KZ174 / годен до 15.02.2026</v>
      </c>
      <c r="H44" s="1" t="str">
        <f ca="1">IFERROR(__xludf.DUMMYFUNCTION("""COMPUTED_VALUE"""),"Бандаж лечебно–профилактический эластичный 4002 L (Болгария) KZ.7700.02.01.00726458 / Действителен до 15.02.2026 / 0221174KZ174 / годен до 15.02.2026")</f>
        <v>Бандаж лечебно–профилактический эластичный 4002 L (Болгария) KZ.7700.02.01.00726458 / Действителен до 15.02.2026 / 0221174KZ174 / годен до 15.02.2026</v>
      </c>
    </row>
    <row r="45" spans="1:8" ht="12.75" x14ac:dyDescent="0.2">
      <c r="A45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45" s="1" t="str">
        <f ca="1">IFERROR(__xludf.DUMMYFUNCTION("""COMPUTED_VALUE"""),"KZ.7700.02.01.00726460")</f>
        <v>KZ.7700.02.01.00726460</v>
      </c>
      <c r="C45" s="1" t="str">
        <f ca="1">IFERROR(__xludf.DUMMYFUNCTION("""COMPUTED_VALUE"""),"Действителен до 15.02.2026")</f>
        <v>Действителен до 15.02.2026</v>
      </c>
      <c r="D45" s="8" t="str">
        <f ca="1">IFERROR(__xludf.DUMMYFUNCTION("""COMPUTED_VALUE"""),"0221174KZ174")</f>
        <v>0221174KZ174</v>
      </c>
      <c r="E45" s="1" t="str">
        <f ca="1">IFERROR(__xludf.DUMMYFUNCTION("""COMPUTED_VALUE"""),"годен до 15.02.2026")</f>
        <v>годен до 15.02.2026</v>
      </c>
      <c r="F45" s="1" t="str">
        <f ca="1">IFERROR(__xludf.DUMMYFUNCTION("""COMPUTED_VALUE"""),"Бандаж лечебно–профилактический эластичный 4002 M (Болгария) - 0221174KZ174")</f>
        <v>Бандаж лечебно–профилактический эластичный 4002 M (Болгария) - 0221174KZ174</v>
      </c>
      <c r="G45" s="1" t="str">
        <f ca="1">IFERROR(__xludf.DUMMYFUNCTION("""COMPUTED_VALUE"""),"KZ.7700.02.01.00726460 / Действителен до 15.02.2026 / 0221174KZ174 / годен до 15.02.2026")</f>
        <v>KZ.7700.02.01.00726460 / Действителен до 15.02.2026 / 0221174KZ174 / годен до 15.02.2026</v>
      </c>
      <c r="H45" s="1" t="str">
        <f ca="1">IFERROR(__xludf.DUMMYFUNCTION("""COMPUTED_VALUE"""),"Бандаж лечебно–профилактический эластичный 4002 M (Болгария) KZ.7700.02.01.00726460 / Действителен до 15.02.2026 / 0221174KZ174 / годен до 15.02.2026")</f>
        <v>Бандаж лечебно–профилактический эластичный 4002 M (Болгария) KZ.7700.02.01.00726460 / Действителен до 15.02.2026 / 0221174KZ174 / годен до 15.02.2026</v>
      </c>
    </row>
    <row r="46" spans="1:8" ht="12.75" x14ac:dyDescent="0.2">
      <c r="A46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46" s="1" t="str">
        <f ca="1">IFERROR(__xludf.DUMMYFUNCTION("""COMPUTED_VALUE"""),"KZ.7700.02.01.00726452")</f>
        <v>KZ.7700.02.01.00726452</v>
      </c>
      <c r="C46" s="1" t="str">
        <f ca="1">IFERROR(__xludf.DUMMYFUNCTION("""COMPUTED_VALUE"""),"Действителен до 15.02.2026")</f>
        <v>Действителен до 15.02.2026</v>
      </c>
      <c r="D46" s="8" t="str">
        <f ca="1">IFERROR(__xludf.DUMMYFUNCTION("""COMPUTED_VALUE"""),"0221174KZ174")</f>
        <v>0221174KZ174</v>
      </c>
      <c r="E46" s="1" t="str">
        <f ca="1">IFERROR(__xludf.DUMMYFUNCTION("""COMPUTED_VALUE"""),"годен до 15.02.2026")</f>
        <v>годен до 15.02.2026</v>
      </c>
      <c r="F46" s="1" t="str">
        <f ca="1">IFERROR(__xludf.DUMMYFUNCTION("""COMPUTED_VALUE"""),"Бандаж лечебно–профилактический эластичный 4002 S (Болгария) - 0221174KZ174")</f>
        <v>Бандаж лечебно–профилактический эластичный 4002 S (Болгария) - 0221174KZ174</v>
      </c>
      <c r="G46" s="1" t="str">
        <f ca="1">IFERROR(__xludf.DUMMYFUNCTION("""COMPUTED_VALUE"""),"KZ.7700.02.01.00726452 / Действителен до 15.02.2026 / 0221174KZ174 / годен до 15.02.2026")</f>
        <v>KZ.7700.02.01.00726452 / Действителен до 15.02.2026 / 0221174KZ174 / годен до 15.02.2026</v>
      </c>
      <c r="H46" s="1" t="str">
        <f ca="1">IFERROR(__xludf.DUMMYFUNCTION("""COMPUTED_VALUE"""),"Бандаж лечебно–профилактический эластичный 4002 S (Болгария) KZ.7700.02.01.00726452 / Действителен до 15.02.2026 / 0221174KZ174 / годен до 15.02.2026")</f>
        <v>Бандаж лечебно–профилактический эластичный 4002 S (Болгария) KZ.7700.02.01.00726452 / Действителен до 15.02.2026 / 0221174KZ174 / годен до 15.02.2026</v>
      </c>
    </row>
    <row r="47" spans="1:8" ht="12.75" x14ac:dyDescent="0.2">
      <c r="A47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47" s="1" t="str">
        <f ca="1">IFERROR(__xludf.DUMMYFUNCTION("""COMPUTED_VALUE"""),"KZ.7700.02.01.00726456")</f>
        <v>KZ.7700.02.01.00726456</v>
      </c>
      <c r="C47" s="1" t="str">
        <f ca="1">IFERROR(__xludf.DUMMYFUNCTION("""COMPUTED_VALUE"""),"Действителен до 15.02.2026")</f>
        <v>Действителен до 15.02.2026</v>
      </c>
      <c r="D47" s="8" t="str">
        <f ca="1">IFERROR(__xludf.DUMMYFUNCTION("""COMPUTED_VALUE"""),"0221174KZ174")</f>
        <v>0221174KZ174</v>
      </c>
      <c r="E47" s="1" t="str">
        <f ca="1">IFERROR(__xludf.DUMMYFUNCTION("""COMPUTED_VALUE"""),"годен до 15.02.2026")</f>
        <v>годен до 15.02.2026</v>
      </c>
      <c r="F47" s="1" t="str">
        <f ca="1">IFERROR(__xludf.DUMMYFUNCTION("""COMPUTED_VALUE"""),"Бандаж лечебно–профилактический эластичный 4002 XL (Болгария) - 0221174KZ174")</f>
        <v>Бандаж лечебно–профилактический эластичный 4002 XL (Болгария) - 0221174KZ174</v>
      </c>
      <c r="G47" s="1" t="str">
        <f ca="1">IFERROR(__xludf.DUMMYFUNCTION("""COMPUTED_VALUE"""),"KZ.7700.02.01.00726456 / Действителен до 15.02.2026 / 0221174KZ174 / годен до 15.02.2026")</f>
        <v>KZ.7700.02.01.00726456 / Действителен до 15.02.2026 / 0221174KZ174 / годен до 15.02.2026</v>
      </c>
      <c r="H47" s="1" t="str">
        <f ca="1">IFERROR(__xludf.DUMMYFUNCTION("""COMPUTED_VALUE"""),"Бандаж лечебно–профилактический эластичный 4002 XL (Болгария) KZ.7700.02.01.00726456 / Действителен до 15.02.2026 / 0221174KZ174 / годен до 15.02.2026")</f>
        <v>Бандаж лечебно–профилактический эластичный 4002 XL (Болгария) KZ.7700.02.01.00726456 / Действителен до 15.02.2026 / 0221174KZ174 / годен до 15.02.2026</v>
      </c>
    </row>
    <row r="48" spans="1:8" ht="12.75" x14ac:dyDescent="0.2">
      <c r="A48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48" s="1" t="str">
        <f ca="1">IFERROR(__xludf.DUMMYFUNCTION("""COMPUTED_VALUE"""),"KZ.7700.02.01.00726457")</f>
        <v>KZ.7700.02.01.00726457</v>
      </c>
      <c r="C48" s="1" t="str">
        <f ca="1">IFERROR(__xludf.DUMMYFUNCTION("""COMPUTED_VALUE"""),"Действителен до 15.02.2026")</f>
        <v>Действителен до 15.02.2026</v>
      </c>
      <c r="D48" s="8" t="str">
        <f ca="1">IFERROR(__xludf.DUMMYFUNCTION("""COMPUTED_VALUE"""),"0221174KZ174")</f>
        <v>0221174KZ174</v>
      </c>
      <c r="E48" s="1" t="str">
        <f ca="1">IFERROR(__xludf.DUMMYFUNCTION("""COMPUTED_VALUE"""),"годен до 15.02.2026")</f>
        <v>годен до 15.02.2026</v>
      </c>
      <c r="F48" s="1" t="str">
        <f ca="1">IFERROR(__xludf.DUMMYFUNCTION("""COMPUTED_VALUE"""),"Бандаж лечебно–профилактический эластичный 4002 XXL (Болгария) - 0221174KZ174")</f>
        <v>Бандаж лечебно–профилактический эластичный 4002 XXL (Болгария) - 0221174KZ174</v>
      </c>
      <c r="G48" s="1" t="str">
        <f ca="1">IFERROR(__xludf.DUMMYFUNCTION("""COMPUTED_VALUE"""),"KZ.7700.02.01.00726457 / Действителен до 15.02.2026 / 0221174KZ174 / годен до 15.02.2026")</f>
        <v>KZ.7700.02.01.00726457 / Действителен до 15.02.2026 / 0221174KZ174 / годен до 15.02.2026</v>
      </c>
      <c r="H48" s="1" t="str">
        <f ca="1">IFERROR(__xludf.DUMMYFUNCTION("""COMPUTED_VALUE"""),"Бандаж лечебно–профилактический эластичный 4002 XXL (Болгария) KZ.7700.02.01.00726457 / Действителен до 15.02.2026 / 0221174KZ174 / годен до 15.02.2026")</f>
        <v>Бандаж лечебно–профилактический эластичный 4002 XXL (Болгария) KZ.7700.02.01.00726457 / Действителен до 15.02.2026 / 0221174KZ174 / годен до 15.02.2026</v>
      </c>
    </row>
    <row r="49" spans="1:8" ht="12.75" x14ac:dyDescent="0.2">
      <c r="A49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49" s="1" t="str">
        <f ca="1">IFERROR(__xludf.DUMMYFUNCTION("""COMPUTED_VALUE"""),"KZ.7700.02.01.00726454")</f>
        <v>KZ.7700.02.01.00726454</v>
      </c>
      <c r="C49" s="1" t="str">
        <f ca="1">IFERROR(__xludf.DUMMYFUNCTION("""COMPUTED_VALUE"""),"Действителен до 15.02.2026")</f>
        <v>Действителен до 15.02.2026</v>
      </c>
      <c r="D49" s="8" t="str">
        <f ca="1">IFERROR(__xludf.DUMMYFUNCTION("""COMPUTED_VALUE"""),"0221174KZ174")</f>
        <v>0221174KZ174</v>
      </c>
      <c r="E49" s="1" t="str">
        <f ca="1">IFERROR(__xludf.DUMMYFUNCTION("""COMPUTED_VALUE"""),"годен до 15.02.2026")</f>
        <v>годен до 15.02.2026</v>
      </c>
      <c r="F49" s="1" t="str">
        <f ca="1">IFERROR(__xludf.DUMMYFUNCTION("""COMPUTED_VALUE"""),"Бандаж лечебно–профилактический эластичный 4002 XXXL (Болгария) - 0221174KZ174")</f>
        <v>Бандаж лечебно–профилактический эластичный 4002 XXXL (Болгария) - 0221174KZ174</v>
      </c>
      <c r="G49" s="1" t="str">
        <f ca="1">IFERROR(__xludf.DUMMYFUNCTION("""COMPUTED_VALUE"""),"KZ.7700.02.01.00726454 / Действителен до 15.02.2026 / 0221174KZ174 / годен до 15.02.2026")</f>
        <v>KZ.7700.02.01.00726454 / Действителен до 15.02.2026 / 0221174KZ174 / годен до 15.02.2026</v>
      </c>
      <c r="H49" s="1" t="str">
        <f ca="1">IFERROR(__xludf.DUMMYFUNCTION("""COMPUTED_VALUE"""),"Бандаж лечебно–профилактический эластичный 4002 XXXL (Болгария) KZ.7700.02.01.00726454 / Действителен до 15.02.2026 / 0221174KZ174 / годен до 15.02.2026")</f>
        <v>Бандаж лечебно–профилактический эластичный 4002 XXXL (Болгария) KZ.7700.02.01.00726454 / Действителен до 15.02.2026 / 0221174KZ174 / годен до 15.02.2026</v>
      </c>
    </row>
    <row r="50" spans="1:8" ht="12.75" x14ac:dyDescent="0.2">
      <c r="A50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50" s="1" t="str">
        <f ca="1">IFERROR(__xludf.DUMMYFUNCTION("""COMPUTED_VALUE"""),"KZ.7700.02.01.00726461")</f>
        <v>KZ.7700.02.01.00726461</v>
      </c>
      <c r="C50" s="1" t="str">
        <f ca="1">IFERROR(__xludf.DUMMYFUNCTION("""COMPUTED_VALUE"""),"Действителен до 15.02.2026")</f>
        <v>Действителен до 15.02.2026</v>
      </c>
      <c r="D50" s="8" t="str">
        <f ca="1">IFERROR(__xludf.DUMMYFUNCTION("""COMPUTED_VALUE"""),"0221174KZ174")</f>
        <v>0221174KZ174</v>
      </c>
      <c r="E50" s="1" t="str">
        <f ca="1">IFERROR(__xludf.DUMMYFUNCTION("""COMPUTED_VALUE"""),"годен до 15.02.2026")</f>
        <v>годен до 15.02.2026</v>
      </c>
      <c r="F50" s="1" t="str">
        <f ca="1">IFERROR(__xludf.DUMMYFUNCTION("""COMPUTED_VALUE"""),"Бандаж лечебно–профилактический эластичный 4002 XXXXL (Болгария) - 0221174KZ174")</f>
        <v>Бандаж лечебно–профилактический эластичный 4002 XXXXL (Болгария) - 0221174KZ174</v>
      </c>
      <c r="G50" s="1" t="str">
        <f ca="1">IFERROR(__xludf.DUMMYFUNCTION("""COMPUTED_VALUE"""),"KZ.7700.02.01.00726461 / Действителен до 15.02.2026 / 0221174KZ174 / годен до 15.02.2026")</f>
        <v>KZ.7700.02.01.00726461 / Действителен до 15.02.2026 / 0221174KZ174 / годен до 15.02.2026</v>
      </c>
      <c r="H50" s="1" t="str">
        <f ca="1">IFERROR(__xludf.DUMMYFUNCTION("""COMPUTED_VALUE"""),"Бандаж лечебно–профилактический эластичный 4002 XXXXL (Болгария) KZ.7700.02.01.00726461 / Действителен до 15.02.2026 / 0221174KZ174 / годен до 15.02.2026")</f>
        <v>Бандаж лечебно–профилактический эластичный 4002 XXXXL (Болгария) KZ.7700.02.01.00726461 / Действителен до 15.02.2026 / 0221174KZ174 / годен до 15.02.2026</v>
      </c>
    </row>
    <row r="51" spans="1:8" ht="12.75" x14ac:dyDescent="0.2">
      <c r="A51" s="1" t="str">
        <f ca="1">IFERROR(__xludf.DUMMYFUNCTION("""COMPUTED_VALUE"""),"Бандаж универсальный 4011 M/L (Болгария)")</f>
        <v>Бандаж универсальный 4011 M/L (Болгария)</v>
      </c>
      <c r="B51" s="1" t="str">
        <f ca="1">IFERROR(__xludf.DUMMYFUNCTION("""COMPUTED_VALUE"""),"KZ.7700.02.01.00726464")</f>
        <v>KZ.7700.02.01.00726464</v>
      </c>
      <c r="C51" s="1" t="str">
        <f ca="1">IFERROR(__xludf.DUMMYFUNCTION("""COMPUTED_VALUE"""),"Действителен до 15.02.2026")</f>
        <v>Действителен до 15.02.2026</v>
      </c>
      <c r="D51" s="8" t="str">
        <f ca="1">IFERROR(__xludf.DUMMYFUNCTION("""COMPUTED_VALUE"""),"0221174KZ174")</f>
        <v>0221174KZ174</v>
      </c>
      <c r="E51" s="1" t="str">
        <f ca="1">IFERROR(__xludf.DUMMYFUNCTION("""COMPUTED_VALUE"""),"годен до 15.02.2026")</f>
        <v>годен до 15.02.2026</v>
      </c>
      <c r="F51" s="1" t="str">
        <f ca="1">IFERROR(__xludf.DUMMYFUNCTION("""COMPUTED_VALUE"""),"Бандаж универсальный 4011 M/L (Болгария) - 0221174KZ174")</f>
        <v>Бандаж универсальный 4011 M/L (Болгария) - 0221174KZ174</v>
      </c>
      <c r="G51" s="1" t="str">
        <f ca="1">IFERROR(__xludf.DUMMYFUNCTION("""COMPUTED_VALUE"""),"KZ.7700.02.01.00726464 / Действителен до 15.02.2026 / 0221174KZ174 / годен до 15.02.2026")</f>
        <v>KZ.7700.02.01.00726464 / Действителен до 15.02.2026 / 0221174KZ174 / годен до 15.02.2026</v>
      </c>
      <c r="H51" s="1" t="str">
        <f ca="1">IFERROR(__xludf.DUMMYFUNCTION("""COMPUTED_VALUE"""),"Бандаж универсальный 4011 M/L (Болгария) KZ.7700.02.01.00726464 / Действителен до 15.02.2026 / 0221174KZ174 / годен до 15.02.2026")</f>
        <v>Бандаж универсальный 4011 M/L (Болгария) KZ.7700.02.01.00726464 / Действителен до 15.02.2026 / 0221174KZ174 / годен до 15.02.2026</v>
      </c>
    </row>
    <row r="52" spans="1:8" ht="12.75" x14ac:dyDescent="0.2">
      <c r="A52" s="1" t="str">
        <f ca="1">IFERROR(__xludf.DUMMYFUNCTION("""COMPUTED_VALUE"""),"Бандаж универсальный 4011 XL/XXL (Болгария)")</f>
        <v>Бандаж универсальный 4011 XL/XXL (Болгария)</v>
      </c>
      <c r="B52" s="1" t="str">
        <f ca="1">IFERROR(__xludf.DUMMYFUNCTION("""COMPUTED_VALUE"""),"KZ.7700.02.01.00726465")</f>
        <v>KZ.7700.02.01.00726465</v>
      </c>
      <c r="C52" s="1" t="str">
        <f ca="1">IFERROR(__xludf.DUMMYFUNCTION("""COMPUTED_VALUE"""),"Действителен до 15.02.2026")</f>
        <v>Действителен до 15.02.2026</v>
      </c>
      <c r="D52" s="8" t="str">
        <f ca="1">IFERROR(__xludf.DUMMYFUNCTION("""COMPUTED_VALUE"""),"0221174KZ174")</f>
        <v>0221174KZ174</v>
      </c>
      <c r="E52" s="1" t="str">
        <f ca="1">IFERROR(__xludf.DUMMYFUNCTION("""COMPUTED_VALUE"""),"годен до 15.02.2026")</f>
        <v>годен до 15.02.2026</v>
      </c>
      <c r="F52" s="1" t="str">
        <f ca="1">IFERROR(__xludf.DUMMYFUNCTION("""COMPUTED_VALUE"""),"Бандаж универсальный 4011 XL/XXL (Болгария) - 0221174KZ174")</f>
        <v>Бандаж универсальный 4011 XL/XXL (Болгария) - 0221174KZ174</v>
      </c>
      <c r="G52" s="1" t="str">
        <f ca="1">IFERROR(__xludf.DUMMYFUNCTION("""COMPUTED_VALUE"""),"KZ.7700.02.01.00726465 / Действителен до 15.02.2026 / 0221174KZ174 / годен до 15.02.2026")</f>
        <v>KZ.7700.02.01.00726465 / Действителен до 15.02.2026 / 0221174KZ174 / годен до 15.02.2026</v>
      </c>
      <c r="H52" s="1" t="str">
        <f ca="1">IFERROR(__xludf.DUMMYFUNCTION("""COMPUTED_VALUE"""),"Бандаж универсальный 4011 XL/XXL (Болгария) KZ.7700.02.01.00726465 / Действителен до 15.02.2026 / 0221174KZ174 / годен до 15.02.2026")</f>
        <v>Бандаж универсальный 4011 XL/XXL (Болгария) KZ.7700.02.01.00726465 / Действителен до 15.02.2026 / 0221174KZ174 / годен до 15.02.2026</v>
      </c>
    </row>
    <row r="53" spans="1:8" ht="12.75" x14ac:dyDescent="0.2">
      <c r="A53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53" s="1" t="str">
        <f ca="1">IFERROR(__xludf.DUMMYFUNCTION("""COMPUTED_VALUE"""),"KZ.7700.02.01.00726469")</f>
        <v>KZ.7700.02.01.00726469</v>
      </c>
      <c r="C53" s="1" t="str">
        <f ca="1">IFERROR(__xludf.DUMMYFUNCTION("""COMPUTED_VALUE"""),"Действителен до 15.02.2026")</f>
        <v>Действителен до 15.02.2026</v>
      </c>
      <c r="D53" s="8" t="str">
        <f ca="1">IFERROR(__xludf.DUMMYFUNCTION("""COMPUTED_VALUE"""),"0221174KZ174")</f>
        <v>0221174KZ174</v>
      </c>
      <c r="E53" s="1" t="str">
        <f ca="1">IFERROR(__xludf.DUMMYFUNCTION("""COMPUTED_VALUE"""),"годен до 15.02.2026")</f>
        <v>годен до 15.02.2026</v>
      </c>
      <c r="F53" s="1" t="str">
        <f ca="1">IFERROR(__xludf.DUMMYFUNCTION("""COMPUTED_VALUE"""),"Бандаж универсальный 4011 XXXL/XXXXL (Болгария) - 0221174KZ174")</f>
        <v>Бандаж универсальный 4011 XXXL/XXXXL (Болгария) - 0221174KZ174</v>
      </c>
      <c r="G53" s="1" t="str">
        <f ca="1">IFERROR(__xludf.DUMMYFUNCTION("""COMPUTED_VALUE"""),"KZ.7700.02.01.00726469 / Действителен до 15.02.2026 / 0221174KZ174 / годен до 15.02.2026")</f>
        <v>KZ.7700.02.01.00726469 / Действителен до 15.02.2026 / 0221174KZ174 / годен до 15.02.2026</v>
      </c>
      <c r="H53" s="1" t="str">
        <f ca="1">IFERROR(__xludf.DUMMYFUNCTION("""COMPUTED_VALUE"""),"Бандаж универсальный 4011 XXXL/XXXXL (Болгария) KZ.7700.02.01.00726469 / Действителен до 15.02.2026 / 0221174KZ174 / годен до 15.02.2026")</f>
        <v>Бандаж универсальный 4011 XXXL/XXXXL (Болгария) KZ.7700.02.01.00726469 / Действителен до 15.02.2026 / 0221174KZ174 / годен до 15.02.2026</v>
      </c>
    </row>
    <row r="54" spans="1:8" ht="12.75" x14ac:dyDescent="0.2">
      <c r="A54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54" s="1" t="str">
        <f ca="1">IFERROR(__xludf.DUMMYFUNCTION("""COMPUTED_VALUE"""),"KZ.7700.02.01.00726470")</f>
        <v>KZ.7700.02.01.00726470</v>
      </c>
      <c r="C54" s="1" t="str">
        <f ca="1">IFERROR(__xludf.DUMMYFUNCTION("""COMPUTED_VALUE"""),"Действителен до 15.02.2026")</f>
        <v>Действителен до 15.02.2026</v>
      </c>
      <c r="D54" s="8" t="str">
        <f ca="1">IFERROR(__xludf.DUMMYFUNCTION("""COMPUTED_VALUE"""),"0221174KZ174")</f>
        <v>0221174KZ174</v>
      </c>
      <c r="E54" s="1" t="str">
        <f ca="1">IFERROR(__xludf.DUMMYFUNCTION("""COMPUTED_VALUE"""),"годен до 15.02.2026")</f>
        <v>годен до 15.02.2026</v>
      </c>
      <c r="F54" s="1" t="str">
        <f ca="1">IFERROR(__xludf.DUMMYFUNCTION("""COMPUTED_VALUE"""),"Бандаж грыжевой лево-и правосторонний 5001 M/L (Болгария) - 0221174KZ174")</f>
        <v>Бандаж грыжевой лево-и правосторонний 5001 M/L (Болгария) - 0221174KZ174</v>
      </c>
      <c r="G54" s="1" t="str">
        <f ca="1">IFERROR(__xludf.DUMMYFUNCTION("""COMPUTED_VALUE"""),"KZ.7700.02.01.00726470 / Действителен до 15.02.2026 / 0221174KZ174 / годен до 15.02.2026")</f>
        <v>KZ.7700.02.01.00726470 / Действителен до 15.02.2026 / 0221174KZ174 / годен до 15.02.2026</v>
      </c>
      <c r="H54" s="1" t="str">
        <f ca="1">IFERROR(__xludf.DUMMYFUNCTION("""COMPUTED_VALUE"""),"Бандаж грыжевой лево-и правосторонний 5001 M/L (Болгария) KZ.7700.02.01.00726470 / Действителен до 15.02.2026 / 0221174KZ174 / годен до 15.02.2026")</f>
        <v>Бандаж грыжевой лево-и правосторонний 5001 M/L (Болгария) KZ.7700.02.01.00726470 / Действителен до 15.02.2026 / 0221174KZ174 / годен до 15.02.2026</v>
      </c>
    </row>
    <row r="55" spans="1:8" ht="12.75" x14ac:dyDescent="0.2">
      <c r="A55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55" s="1" t="str">
        <f ca="1">IFERROR(__xludf.DUMMYFUNCTION("""COMPUTED_VALUE"""),"KZ.7700.02.01.00726471")</f>
        <v>KZ.7700.02.01.00726471</v>
      </c>
      <c r="C55" s="1" t="str">
        <f ca="1">IFERROR(__xludf.DUMMYFUNCTION("""COMPUTED_VALUE"""),"Действителен до 15.02.2026")</f>
        <v>Действителен до 15.02.2026</v>
      </c>
      <c r="D55" s="8" t="str">
        <f ca="1">IFERROR(__xludf.DUMMYFUNCTION("""COMPUTED_VALUE"""),"0221174KZ174")</f>
        <v>0221174KZ174</v>
      </c>
      <c r="E55" s="1" t="str">
        <f ca="1">IFERROR(__xludf.DUMMYFUNCTION("""COMPUTED_VALUE"""),"годен до 15.02.2026")</f>
        <v>годен до 15.02.2026</v>
      </c>
      <c r="F55" s="1" t="str">
        <f ca="1">IFERROR(__xludf.DUMMYFUNCTION("""COMPUTED_VALUE"""),"Бандаж грыжевой лево-и правосторонний 5001 XL/XXL (Болгария) - 0221174KZ174")</f>
        <v>Бандаж грыжевой лево-и правосторонний 5001 XL/XXL (Болгария) - 0221174KZ174</v>
      </c>
      <c r="G55" s="1" t="str">
        <f ca="1">IFERROR(__xludf.DUMMYFUNCTION("""COMPUTED_VALUE"""),"KZ.7700.02.01.00726471 / Действителен до 15.02.2026 / 0221174KZ174 / годен до 15.02.2026")</f>
        <v>KZ.7700.02.01.00726471 / Действителен до 15.02.2026 / 0221174KZ174 / годен до 15.02.2026</v>
      </c>
      <c r="H55" s="1" t="str">
        <f ca="1">IFERROR(__xludf.DUMMYFUNCTION("""COMPUTED_VALUE"""),"Бандаж грыжевой лево-и правосторонний 5001 XL/XXL (Болгария) KZ.7700.02.01.00726471 / Действителен до 15.02.2026 / 0221174KZ174 / годен до 15.02.2026")</f>
        <v>Бандаж грыжевой лево-и правосторонний 5001 XL/XXL (Болгария) KZ.7700.02.01.00726471 / Действителен до 15.02.2026 / 0221174KZ174 / годен до 15.02.2026</v>
      </c>
    </row>
    <row r="56" spans="1:8" ht="12.75" x14ac:dyDescent="0.2">
      <c r="A56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56" s="1" t="str">
        <f ca="1">IFERROR(__xludf.DUMMYFUNCTION("""COMPUTED_VALUE"""),"KZ.7700.02.01.00726468")</f>
        <v>KZ.7700.02.01.00726468</v>
      </c>
      <c r="C56" s="1" t="str">
        <f ca="1">IFERROR(__xludf.DUMMYFUNCTION("""COMPUTED_VALUE"""),"Действителен до 15.02.2026")</f>
        <v>Действителен до 15.02.2026</v>
      </c>
      <c r="D56" s="8" t="str">
        <f ca="1">IFERROR(__xludf.DUMMYFUNCTION("""COMPUTED_VALUE"""),"0221174KZ174")</f>
        <v>0221174KZ174</v>
      </c>
      <c r="E56" s="1" t="str">
        <f ca="1">IFERROR(__xludf.DUMMYFUNCTION("""COMPUTED_VALUE"""),"годен до 15.02.2026")</f>
        <v>годен до 15.02.2026</v>
      </c>
      <c r="F56" s="1" t="str">
        <f ca="1">IFERROR(__xludf.DUMMYFUNCTION("""COMPUTED_VALUE"""),"Бандаж грыжевой лево-и правосторонний 5001 XS/S (Болгария) - 0221174KZ174")</f>
        <v>Бандаж грыжевой лево-и правосторонний 5001 XS/S (Болгария) - 0221174KZ174</v>
      </c>
      <c r="G56" s="1" t="str">
        <f ca="1">IFERROR(__xludf.DUMMYFUNCTION("""COMPUTED_VALUE"""),"KZ.7700.02.01.00726468 / Действителен до 15.02.2026 / 0221174KZ174 / годен до 15.02.2026")</f>
        <v>KZ.7700.02.01.00726468 / Действителен до 15.02.2026 / 0221174KZ174 / годен до 15.02.2026</v>
      </c>
      <c r="H56" s="1" t="str">
        <f ca="1">IFERROR(__xludf.DUMMYFUNCTION("""COMPUTED_VALUE"""),"Бандаж грыжевой лево-и правосторонний 5001 XS/S (Болгария) KZ.7700.02.01.00726468 / Действителен до 15.02.2026 / 0221174KZ174 / годен до 15.02.2026")</f>
        <v>Бандаж грыжевой лево-и правосторонний 5001 XS/S (Болгария) KZ.7700.02.01.00726468 / Действителен до 15.02.2026 / 0221174KZ174 / годен до 15.02.2026</v>
      </c>
    </row>
    <row r="57" spans="1:8" ht="12.75" x14ac:dyDescent="0.2">
      <c r="A57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57" s="1" t="str">
        <f ca="1">IFERROR(__xludf.DUMMYFUNCTION("""COMPUTED_VALUE"""),"KZ.7700.02.01.00726480")</f>
        <v>KZ.7700.02.01.00726480</v>
      </c>
      <c r="C57" s="1" t="str">
        <f ca="1">IFERROR(__xludf.DUMMYFUNCTION("""COMPUTED_VALUE"""),"Действителен до 15.02.2026")</f>
        <v>Действителен до 15.02.2026</v>
      </c>
      <c r="D57" s="8" t="str">
        <f ca="1">IFERROR(__xludf.DUMMYFUNCTION("""COMPUTED_VALUE"""),"0221174KZ174")</f>
        <v>0221174KZ174</v>
      </c>
      <c r="E57" s="1" t="str">
        <f ca="1">IFERROR(__xludf.DUMMYFUNCTION("""COMPUTED_VALUE"""),"годен до 15.02.2026")</f>
        <v>годен до 15.02.2026</v>
      </c>
      <c r="F57" s="1" t="str">
        <f ca="1">IFERROR(__xludf.DUMMYFUNCTION("""COMPUTED_VALUE"""),"Бандаж при пупочной грыже 5051 M/L (Болгария) - 0221174KZ174")</f>
        <v>Бандаж при пупочной грыже 5051 M/L (Болгария) - 0221174KZ174</v>
      </c>
      <c r="G57" s="1" t="str">
        <f ca="1">IFERROR(__xludf.DUMMYFUNCTION("""COMPUTED_VALUE"""),"KZ.7700.02.01.00726480 / Действителен до 15.02.2026 / 0221174KZ174 / годен до 15.02.2026")</f>
        <v>KZ.7700.02.01.00726480 / Действителен до 15.02.2026 / 0221174KZ174 / годен до 15.02.2026</v>
      </c>
      <c r="H57" s="1" t="str">
        <f ca="1">IFERROR(__xludf.DUMMYFUNCTION("""COMPUTED_VALUE"""),"Бандаж при пупочной грыже 5051 M/L (Болгария) KZ.7700.02.01.00726480 / Действителен до 15.02.2026 / 0221174KZ174 / годен до 15.02.2026")</f>
        <v>Бандаж при пупочной грыже 5051 M/L (Болгария) KZ.7700.02.01.00726480 / Действителен до 15.02.2026 / 0221174KZ174 / годен до 15.02.2026</v>
      </c>
    </row>
    <row r="58" spans="1:8" ht="12.75" x14ac:dyDescent="0.2">
      <c r="A58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58" s="1" t="str">
        <f ca="1">IFERROR(__xludf.DUMMYFUNCTION("""COMPUTED_VALUE"""),"KZ.7700.02.01.00726478")</f>
        <v>KZ.7700.02.01.00726478</v>
      </c>
      <c r="C58" s="1" t="str">
        <f ca="1">IFERROR(__xludf.DUMMYFUNCTION("""COMPUTED_VALUE"""),"Действителен до 15.02.2026")</f>
        <v>Действителен до 15.02.2026</v>
      </c>
      <c r="D58" s="8" t="str">
        <f ca="1">IFERROR(__xludf.DUMMYFUNCTION("""COMPUTED_VALUE"""),"0221174KZ174")</f>
        <v>0221174KZ174</v>
      </c>
      <c r="E58" s="1" t="str">
        <f ca="1">IFERROR(__xludf.DUMMYFUNCTION("""COMPUTED_VALUE"""),"годен до 15.02.2026")</f>
        <v>годен до 15.02.2026</v>
      </c>
      <c r="F58" s="1" t="str">
        <f ca="1">IFERROR(__xludf.DUMMYFUNCTION("""COMPUTED_VALUE"""),"Бандаж при пупочной грыже 5051 XL/XXL (Болгария) - 0221174KZ174")</f>
        <v>Бандаж при пупочной грыже 5051 XL/XXL (Болгария) - 0221174KZ174</v>
      </c>
      <c r="G58" s="1" t="str">
        <f ca="1">IFERROR(__xludf.DUMMYFUNCTION("""COMPUTED_VALUE"""),"KZ.7700.02.01.00726478 / Действителен до 15.02.2026 / 0221174KZ174 / годен до 15.02.2026")</f>
        <v>KZ.7700.02.01.00726478 / Действителен до 15.02.2026 / 0221174KZ174 / годен до 15.02.2026</v>
      </c>
      <c r="H58" s="1" t="str">
        <f ca="1">IFERROR(__xludf.DUMMYFUNCTION("""COMPUTED_VALUE"""),"Бандаж при пупочной грыже 5051 XL/XXL (Болгария) KZ.7700.02.01.00726478 / Действителен до 15.02.2026 / 0221174KZ174 / годен до 15.02.2026")</f>
        <v>Бандаж при пупочной грыже 5051 XL/XXL (Болгария) KZ.7700.02.01.00726478 / Действителен до 15.02.2026 / 0221174KZ174 / годен до 15.02.2026</v>
      </c>
    </row>
    <row r="59" spans="1:8" ht="12.75" x14ac:dyDescent="0.2">
      <c r="A59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59" s="1" t="str">
        <f ca="1">IFERROR(__xludf.DUMMYFUNCTION("""COMPUTED_VALUE"""),"KZ.7700.02.01.00726476")</f>
        <v>KZ.7700.02.01.00726476</v>
      </c>
      <c r="C59" s="1" t="str">
        <f ca="1">IFERROR(__xludf.DUMMYFUNCTION("""COMPUTED_VALUE"""),"Действителен до 15.02.2026")</f>
        <v>Действителен до 15.02.2026</v>
      </c>
      <c r="D59" s="8" t="str">
        <f ca="1">IFERROR(__xludf.DUMMYFUNCTION("""COMPUTED_VALUE"""),"0221174KZ174")</f>
        <v>0221174KZ174</v>
      </c>
      <c r="E59" s="1" t="str">
        <f ca="1">IFERROR(__xludf.DUMMYFUNCTION("""COMPUTED_VALUE"""),"годен до 15.02.2026")</f>
        <v>годен до 15.02.2026</v>
      </c>
      <c r="F59" s="1" t="str">
        <f ca="1">IFERROR(__xludf.DUMMYFUNCTION("""COMPUTED_VALUE"""),"Бандаж при пупочной грыже 5051 XXXL/XXXXL (Болгария) - 0221174KZ174")</f>
        <v>Бандаж при пупочной грыже 5051 XXXL/XXXXL (Болгария) - 0221174KZ174</v>
      </c>
      <c r="G59" s="1" t="str">
        <f ca="1">IFERROR(__xludf.DUMMYFUNCTION("""COMPUTED_VALUE"""),"KZ.7700.02.01.00726476 / Действителен до 15.02.2026 / 0221174KZ174 / годен до 15.02.2026")</f>
        <v>KZ.7700.02.01.00726476 / Действителен до 15.02.2026 / 0221174KZ174 / годен до 15.02.2026</v>
      </c>
      <c r="H59" s="1" t="str">
        <f ca="1">IFERROR(__xludf.DUMMYFUNCTION("""COMPUTED_VALUE"""),"Бандаж при пупочной грыже 5051 XXXL/XXXXL (Болгария) KZ.7700.02.01.00726476 / Действителен до 15.02.2026 / 0221174KZ174 / годен до 15.02.2026")</f>
        <v>Бандаж при пупочной грыже 5051 XXXL/XXXXL (Болгария) KZ.7700.02.01.00726476 / Действителен до 15.02.2026 / 0221174KZ174 / годен до 15.02.2026</v>
      </c>
    </row>
    <row r="60" spans="1:8" ht="12.75" x14ac:dyDescent="0.2">
      <c r="A60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60" s="1" t="str">
        <f ca="1">IFERROR(__xludf.DUMMYFUNCTION("""COMPUTED_VALUE"""),"KZ.7700.02.01.00726477")</f>
        <v>KZ.7700.02.01.00726477</v>
      </c>
      <c r="C60" s="1" t="str">
        <f ca="1">IFERROR(__xludf.DUMMYFUNCTION("""COMPUTED_VALUE"""),"Действителен до 15.02.2026")</f>
        <v>Действителен до 15.02.2026</v>
      </c>
      <c r="D60" s="8" t="str">
        <f ca="1">IFERROR(__xludf.DUMMYFUNCTION("""COMPUTED_VALUE"""),"0221174KZ174")</f>
        <v>0221174KZ174</v>
      </c>
      <c r="E60" s="1" t="str">
        <f ca="1">IFERROR(__xludf.DUMMYFUNCTION("""COMPUTED_VALUE"""),"годен до 15.02.2026")</f>
        <v>годен до 15.02.2026</v>
      </c>
      <c r="F60" s="1" t="str">
        <f ca="1">IFERROR(__xludf.DUMMYFUNCTION("""COMPUTED_VALUE"""),"Бандаж на коленный сустав эластичный 6040 L (Болгария) - 0221174KZ174")</f>
        <v>Бандаж на коленный сустав эластичный 6040 L (Болгария) - 0221174KZ174</v>
      </c>
      <c r="G60" s="1" t="str">
        <f ca="1">IFERROR(__xludf.DUMMYFUNCTION("""COMPUTED_VALUE"""),"KZ.7700.02.01.00726477 / Действителен до 15.02.2026 / 0221174KZ174 / годен до 15.02.2026")</f>
        <v>KZ.7700.02.01.00726477 / Действителен до 15.02.2026 / 0221174KZ174 / годен до 15.02.2026</v>
      </c>
      <c r="H60" s="1" t="str">
        <f ca="1">IFERROR(__xludf.DUMMYFUNCTION("""COMPUTED_VALUE"""),"Бандаж на коленный сустав эластичный 6040 L (Болгария) KZ.7700.02.01.00726477 / Действителен до 15.02.2026 / 0221174KZ174 / годен до 15.02.2026")</f>
        <v>Бандаж на коленный сустав эластичный 6040 L (Болгария) KZ.7700.02.01.00726477 / Действителен до 15.02.2026 / 0221174KZ174 / годен до 15.02.2026</v>
      </c>
    </row>
    <row r="61" spans="1:8" ht="12.75" x14ac:dyDescent="0.2">
      <c r="A61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61" s="1" t="str">
        <f ca="1">IFERROR(__xludf.DUMMYFUNCTION("""COMPUTED_VALUE"""),"KZ.7700.02.01.00726483")</f>
        <v>KZ.7700.02.01.00726483</v>
      </c>
      <c r="C61" s="1" t="str">
        <f ca="1">IFERROR(__xludf.DUMMYFUNCTION("""COMPUTED_VALUE"""),"Действителен до 15.02.2026")</f>
        <v>Действителен до 15.02.2026</v>
      </c>
      <c r="D61" s="8" t="str">
        <f ca="1">IFERROR(__xludf.DUMMYFUNCTION("""COMPUTED_VALUE"""),"0221174KZ174")</f>
        <v>0221174KZ174</v>
      </c>
      <c r="E61" s="1" t="str">
        <f ca="1">IFERROR(__xludf.DUMMYFUNCTION("""COMPUTED_VALUE"""),"годен до 15.02.2026")</f>
        <v>годен до 15.02.2026</v>
      </c>
      <c r="F61" s="1" t="str">
        <f ca="1">IFERROR(__xludf.DUMMYFUNCTION("""COMPUTED_VALUE"""),"Бандаж на коленный сустав эластичный 6040 M (Болгария) - 0221174KZ174")</f>
        <v>Бандаж на коленный сустав эластичный 6040 M (Болгария) - 0221174KZ174</v>
      </c>
      <c r="G61" s="1" t="str">
        <f ca="1">IFERROR(__xludf.DUMMYFUNCTION("""COMPUTED_VALUE"""),"KZ.7700.02.01.00726483 / Действителен до 15.02.2026 / 0221174KZ174 / годен до 15.02.2026")</f>
        <v>KZ.7700.02.01.00726483 / Действителен до 15.02.2026 / 0221174KZ174 / годен до 15.02.2026</v>
      </c>
      <c r="H61" s="1" t="str">
        <f ca="1">IFERROR(__xludf.DUMMYFUNCTION("""COMPUTED_VALUE"""),"Бандаж на коленный сустав эластичный 6040 M (Болгария) KZ.7700.02.01.00726483 / Действителен до 15.02.2026 / 0221174KZ174 / годен до 15.02.2026")</f>
        <v>Бандаж на коленный сустав эластичный 6040 M (Болгария) KZ.7700.02.01.00726483 / Действителен до 15.02.2026 / 0221174KZ174 / годен до 15.02.2026</v>
      </c>
    </row>
    <row r="62" spans="1:8" ht="12.75" x14ac:dyDescent="0.2">
      <c r="A62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62" s="1" t="str">
        <f ca="1">IFERROR(__xludf.DUMMYFUNCTION("""COMPUTED_VALUE"""),"KZ.7700.02.01.00726474")</f>
        <v>KZ.7700.02.01.00726474</v>
      </c>
      <c r="C62" s="1" t="str">
        <f ca="1">IFERROR(__xludf.DUMMYFUNCTION("""COMPUTED_VALUE"""),"Действителен до 15.02.2026")</f>
        <v>Действителен до 15.02.2026</v>
      </c>
      <c r="D62" s="8" t="str">
        <f ca="1">IFERROR(__xludf.DUMMYFUNCTION("""COMPUTED_VALUE"""),"0221174KZ174")</f>
        <v>0221174KZ174</v>
      </c>
      <c r="E62" s="1" t="str">
        <f ca="1">IFERROR(__xludf.DUMMYFUNCTION("""COMPUTED_VALUE"""),"годен до 15.02.2026")</f>
        <v>годен до 15.02.2026</v>
      </c>
      <c r="F62" s="1" t="str">
        <f ca="1">IFERROR(__xludf.DUMMYFUNCTION("""COMPUTED_VALUE"""),"Бандаж на коленный сустав эластичный 6040 S (Болгария) - 0221174KZ174")</f>
        <v>Бандаж на коленный сустав эластичный 6040 S (Болгария) - 0221174KZ174</v>
      </c>
      <c r="G62" s="1" t="str">
        <f ca="1">IFERROR(__xludf.DUMMYFUNCTION("""COMPUTED_VALUE"""),"KZ.7700.02.01.00726474 / Действителен до 15.02.2026 / 0221174KZ174 / годен до 15.02.2026")</f>
        <v>KZ.7700.02.01.00726474 / Действителен до 15.02.2026 / 0221174KZ174 / годен до 15.02.2026</v>
      </c>
      <c r="H62" s="1" t="str">
        <f ca="1">IFERROR(__xludf.DUMMYFUNCTION("""COMPUTED_VALUE"""),"Бандаж на коленный сустав эластичный 6040 S (Болгария) KZ.7700.02.01.00726474 / Действителен до 15.02.2026 / 0221174KZ174 / годен до 15.02.2026")</f>
        <v>Бандаж на коленный сустав эластичный 6040 S (Болгария) KZ.7700.02.01.00726474 / Действителен до 15.02.2026 / 0221174KZ174 / годен до 15.02.2026</v>
      </c>
    </row>
    <row r="63" spans="1:8" ht="12.75" x14ac:dyDescent="0.2">
      <c r="A63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63" s="1" t="str">
        <f ca="1">IFERROR(__xludf.DUMMYFUNCTION("""COMPUTED_VALUE"""),"KZ.7700.02.01.00726482")</f>
        <v>KZ.7700.02.01.00726482</v>
      </c>
      <c r="C63" s="1" t="str">
        <f ca="1">IFERROR(__xludf.DUMMYFUNCTION("""COMPUTED_VALUE"""),"Действителен до 15.02.2026")</f>
        <v>Действителен до 15.02.2026</v>
      </c>
      <c r="D63" s="8" t="str">
        <f ca="1">IFERROR(__xludf.DUMMYFUNCTION("""COMPUTED_VALUE"""),"0221174KZ174")</f>
        <v>0221174KZ174</v>
      </c>
      <c r="E63" s="1" t="str">
        <f ca="1">IFERROR(__xludf.DUMMYFUNCTION("""COMPUTED_VALUE"""),"годен до 15.02.2026")</f>
        <v>годен до 15.02.2026</v>
      </c>
      <c r="F63" s="1" t="str">
        <f ca="1">IFERROR(__xludf.DUMMYFUNCTION("""COMPUTED_VALUE"""),"Бандаж на коленный сустав эластичный 6040 XL (Болгария) - 0221174KZ174")</f>
        <v>Бандаж на коленный сустав эластичный 6040 XL (Болгария) - 0221174KZ174</v>
      </c>
      <c r="G63" s="1" t="str">
        <f ca="1">IFERROR(__xludf.DUMMYFUNCTION("""COMPUTED_VALUE"""),"KZ.7700.02.01.00726482 / Действителен до 15.02.2026 / 0221174KZ174 / годен до 15.02.2026")</f>
        <v>KZ.7700.02.01.00726482 / Действителен до 15.02.2026 / 0221174KZ174 / годен до 15.02.2026</v>
      </c>
      <c r="H63" s="1" t="str">
        <f ca="1">IFERROR(__xludf.DUMMYFUNCTION("""COMPUTED_VALUE"""),"Бандаж на коленный сустав эластичный 6040 XL (Болгария) KZ.7700.02.01.00726482 / Действителен до 15.02.2026 / 0221174KZ174 / годен до 15.02.2026")</f>
        <v>Бандаж на коленный сустав эластичный 6040 XL (Болгария) KZ.7700.02.01.00726482 / Действителен до 15.02.2026 / 0221174KZ174 / годен до 15.02.2026</v>
      </c>
    </row>
    <row r="64" spans="1:8" ht="12.75" x14ac:dyDescent="0.2">
      <c r="A64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64" s="1" t="str">
        <f ca="1">IFERROR(__xludf.DUMMYFUNCTION("""COMPUTED_VALUE"""),"KZ.7700.02.01.00726481")</f>
        <v>KZ.7700.02.01.00726481</v>
      </c>
      <c r="C64" s="1" t="str">
        <f ca="1">IFERROR(__xludf.DUMMYFUNCTION("""COMPUTED_VALUE"""),"Действителен до 15.02.2026")</f>
        <v>Действителен до 15.02.2026</v>
      </c>
      <c r="D64" s="8" t="str">
        <f ca="1">IFERROR(__xludf.DUMMYFUNCTION("""COMPUTED_VALUE"""),"0221174KZ174")</f>
        <v>0221174KZ174</v>
      </c>
      <c r="E64" s="1" t="str">
        <f ca="1">IFERROR(__xludf.DUMMYFUNCTION("""COMPUTED_VALUE"""),"годен до 15.02.2026")</f>
        <v>годен до 15.02.2026</v>
      </c>
      <c r="F64" s="1" t="str">
        <f ca="1">IFERROR(__xludf.DUMMYFUNCTION("""COMPUTED_VALUE"""),"Бандаж на коленный сустав разъемный 6058 L\XL (Болгария) - 0221174KZ174")</f>
        <v>Бандаж на коленный сустав разъемный 6058 L\XL (Болгария) - 0221174KZ174</v>
      </c>
      <c r="G64" s="1" t="str">
        <f ca="1">IFERROR(__xludf.DUMMYFUNCTION("""COMPUTED_VALUE"""),"KZ.7700.02.01.00726481 / Действителен до 15.02.2026 / 0221174KZ174 / годен до 15.02.2026")</f>
        <v>KZ.7700.02.01.00726481 / Действителен до 15.02.2026 / 0221174KZ174 / годен до 15.02.2026</v>
      </c>
      <c r="H64" s="1" t="str">
        <f ca="1">IFERROR(__xludf.DUMMYFUNCTION("""COMPUTED_VALUE"""),"Бандаж на коленный сустав разъемный 6058 L\XL (Болгария) KZ.7700.02.01.00726481 / Действителен до 15.02.2026 / 0221174KZ174 / годен до 15.02.2026")</f>
        <v>Бандаж на коленный сустав разъемный 6058 L\XL (Болгария) KZ.7700.02.01.00726481 / Действителен до 15.02.2026 / 0221174KZ174 / годен до 15.02.2026</v>
      </c>
    </row>
    <row r="65" spans="1:8" ht="12.75" x14ac:dyDescent="0.2">
      <c r="A65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65" s="1" t="str">
        <f ca="1">IFERROR(__xludf.DUMMYFUNCTION("""COMPUTED_VALUE"""),"KZ.7700.02.01.00726475")</f>
        <v>KZ.7700.02.01.00726475</v>
      </c>
      <c r="C65" s="1" t="str">
        <f ca="1">IFERROR(__xludf.DUMMYFUNCTION("""COMPUTED_VALUE"""),"Действителен до 15.02.2026")</f>
        <v>Действителен до 15.02.2026</v>
      </c>
      <c r="D65" s="8" t="str">
        <f ca="1">IFERROR(__xludf.DUMMYFUNCTION("""COMPUTED_VALUE"""),"0221174KZ174")</f>
        <v>0221174KZ174</v>
      </c>
      <c r="E65" s="1" t="str">
        <f ca="1">IFERROR(__xludf.DUMMYFUNCTION("""COMPUTED_VALUE"""),"годен до 15.02.2026")</f>
        <v>годен до 15.02.2026</v>
      </c>
      <c r="F65" s="1" t="str">
        <f ca="1">IFERROR(__xludf.DUMMYFUNCTION("""COMPUTED_VALUE"""),"Бандаж на коленный сустав разъемный 6058 S\M (Болгария) - 0221174KZ174")</f>
        <v>Бандаж на коленный сустав разъемный 6058 S\M (Болгария) - 0221174KZ174</v>
      </c>
      <c r="G65" s="1" t="str">
        <f ca="1">IFERROR(__xludf.DUMMYFUNCTION("""COMPUTED_VALUE"""),"KZ.7700.02.01.00726475 / Действителен до 15.02.2026 / 0221174KZ174 / годен до 15.02.2026")</f>
        <v>KZ.7700.02.01.00726475 / Действителен до 15.02.2026 / 0221174KZ174 / годен до 15.02.2026</v>
      </c>
      <c r="H65" s="1" t="str">
        <f ca="1">IFERROR(__xludf.DUMMYFUNCTION("""COMPUTED_VALUE"""),"Бандаж на коленный сустав разъемный 6058 S\M (Болгария) KZ.7700.02.01.00726475 / Действителен до 15.02.2026 / 0221174KZ174 / годен до 15.02.2026")</f>
        <v>Бандаж на коленный сустав разъемный 6058 S\M (Болгария) KZ.7700.02.01.00726475 / Действителен до 15.02.2026 / 0221174KZ174 / годен до 15.02.2026</v>
      </c>
    </row>
    <row r="66" spans="1:8" ht="12.75" x14ac:dyDescent="0.2">
      <c r="A66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66" s="1" t="str">
        <f ca="1">IFERROR(__xludf.DUMMYFUNCTION("""COMPUTED_VALUE"""),"KZ.7700.02.01.00726441")</f>
        <v>KZ.7700.02.01.00726441</v>
      </c>
      <c r="C66" s="1" t="str">
        <f ca="1">IFERROR(__xludf.DUMMYFUNCTION("""COMPUTED_VALUE"""),"Действителен до 15.02.2026")</f>
        <v>Действителен до 15.02.2026</v>
      </c>
      <c r="D66" s="8" t="str">
        <f ca="1">IFERROR(__xludf.DUMMYFUNCTION("""COMPUTED_VALUE"""),"0221174KZ174")</f>
        <v>0221174KZ174</v>
      </c>
      <c r="E66" s="1" t="str">
        <f ca="1">IFERROR(__xludf.DUMMYFUNCTION("""COMPUTED_VALUE"""),"годен до 15.02.2026")</f>
        <v>годен до 15.02.2026</v>
      </c>
      <c r="F66" s="1" t="str">
        <f ca="1">IFERROR(__xludf.DUMMYFUNCTION("""COMPUTED_VALUE"""),"Корсет ортопедический с ребрами жесткости согревающий 3041 XL/XXL (Болгария) - 0221174KZ174")</f>
        <v>Корсет ортопедический с ребрами жесткости согревающий 3041 XL/XXL (Болгария) - 0221174KZ174</v>
      </c>
      <c r="G66" s="1" t="str">
        <f ca="1">IFERROR(__xludf.DUMMYFUNCTION("""COMPUTED_VALUE"""),"KZ.7700.02.01.00726441 / Действителен до 15.02.2026 / 0221174KZ174 / годен до 15.02.2026")</f>
        <v>KZ.7700.02.01.00726441 / Действителен до 15.02.2026 / 0221174KZ174 / годен до 15.02.2026</v>
      </c>
      <c r="H66" s="1" t="str">
        <f ca="1">IFERROR(__xludf.DUMMYFUNCTION("""COMPUTED_VALUE"""),"Корсет ортопедический с ребрами жесткости согревающий 3041 XL/XXL (Болгария) KZ.7700.02.01.00726441 / Действителен до 15.02.2026 / 0221174KZ174 / годен до 15.02.2026")</f>
        <v>Корсет ортопедический с ребрами жесткости согревающий 3041 XL/XXL (Болгария) KZ.7700.02.01.00726441 / Действителен до 15.02.2026 / 0221174KZ174 / годен до 15.02.2026</v>
      </c>
    </row>
    <row r="67" spans="1:8" ht="12.75" x14ac:dyDescent="0.2">
      <c r="A67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67" s="1" t="str">
        <f ca="1">IFERROR(__xludf.DUMMYFUNCTION("""COMPUTED_VALUE"""),"KZ.7700.02.01.00727184")</f>
        <v>KZ.7700.02.01.00727184</v>
      </c>
      <c r="C67" s="1" t="str">
        <f ca="1">IFERROR(__xludf.DUMMYFUNCTION("""COMPUTED_VALUE"""),"Действителен до 15.02.2026")</f>
        <v>Действителен до 15.02.2026</v>
      </c>
      <c r="D67" s="8" t="str">
        <f ca="1">IFERROR(__xludf.DUMMYFUNCTION("""COMPUTED_VALUE"""),"0221174KZ174")</f>
        <v>0221174KZ174</v>
      </c>
      <c r="E67" s="1" t="str">
        <f ca="1">IFERROR(__xludf.DUMMYFUNCTION("""COMPUTED_VALUE"""),"годен до 15.02.2026")</f>
        <v>годен до 15.02.2026</v>
      </c>
      <c r="F67" s="1" t="str">
        <f ca="1">IFERROR(__xludf.DUMMYFUNCTION("""COMPUTED_VALUE"""),"Бинт эластичный медицинский средней растяжимости (ширина 80 мм) 02х80х1.5 - 0221174KZ174")</f>
        <v>Бинт эластичный медицинский средней растяжимости (ширина 80 мм) 02х80х1.5 - 0221174KZ174</v>
      </c>
      <c r="G67" s="1" t="str">
        <f ca="1">IFERROR(__xludf.DUMMYFUNCTION("""COMPUTED_VALUE"""),"KZ.7700.02.01.00727184 / Действителен до 15.02.2026 / 0221174KZ174 / годен до 15.02.2026")</f>
        <v>KZ.7700.02.01.00727184 / Действителен до 15.02.2026 / 0221174KZ174 / годен до 15.02.2026</v>
      </c>
      <c r="H67" s="1" t="str">
        <f ca="1">IFERROR(__xludf.DUMMYFUNCTION("""COMPUTED_VALUE"""),"Бинт эластичный медицинский средней растяжимости (ширина 80 мм) 02х80х1.5 KZ.7700.02.01.00727184 / Действителен до 15.02.2026 / 0221174KZ174 / годен до 15.02.2026")</f>
        <v>Бинт эластичный медицинский средней растяжимости (ширина 80 мм) 02х80х1.5 KZ.7700.02.01.00727184 / Действителен до 15.02.2026 / 0221174KZ174 / годен до 15.02.2026</v>
      </c>
    </row>
    <row r="68" spans="1:8" ht="12.75" x14ac:dyDescent="0.2">
      <c r="A68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68" s="1" t="str">
        <f ca="1">IFERROR(__xludf.DUMMYFUNCTION("""COMPUTED_VALUE"""),"KZ.7700.02.01.00727185")</f>
        <v>KZ.7700.02.01.00727185</v>
      </c>
      <c r="C68" s="1" t="str">
        <f ca="1">IFERROR(__xludf.DUMMYFUNCTION("""COMPUTED_VALUE"""),"Действителен до 15.02.2026")</f>
        <v>Действителен до 15.02.2026</v>
      </c>
      <c r="D68" s="8" t="str">
        <f ca="1">IFERROR(__xludf.DUMMYFUNCTION("""COMPUTED_VALUE"""),"0221174KZ174")</f>
        <v>0221174KZ174</v>
      </c>
      <c r="E68" s="1" t="str">
        <f ca="1">IFERROR(__xludf.DUMMYFUNCTION("""COMPUTED_VALUE"""),"годен до 15.02.2026")</f>
        <v>годен до 15.02.2026</v>
      </c>
      <c r="F68" s="1" t="str">
        <f ca="1">IFERROR(__xludf.DUMMYFUNCTION("""COMPUTED_VALUE"""),"Бинт эластичный медицинский средней растяжимости (ширина 80 мм) 02х80х1 - 0221174KZ174")</f>
        <v>Бинт эластичный медицинский средней растяжимости (ширина 80 мм) 02х80х1 - 0221174KZ174</v>
      </c>
      <c r="G68" s="1" t="str">
        <f ca="1">IFERROR(__xludf.DUMMYFUNCTION("""COMPUTED_VALUE"""),"KZ.7700.02.01.00727185 / Действителен до 15.02.2026 / 0221174KZ174 / годен до 15.02.2026")</f>
        <v>KZ.7700.02.01.00727185 / Действителен до 15.02.2026 / 0221174KZ174 / годен до 15.02.2026</v>
      </c>
      <c r="H68" s="1" t="str">
        <f ca="1">IFERROR(__xludf.DUMMYFUNCTION("""COMPUTED_VALUE"""),"Бинт эластичный медицинский средней растяжимости (ширина 80 мм) 02х80х1 KZ.7700.02.01.00727185 / Действителен до 15.02.2026 / 0221174KZ174 / годен до 15.02.2026")</f>
        <v>Бинт эластичный медицинский средней растяжимости (ширина 80 мм) 02х80х1 KZ.7700.02.01.00727185 / Действителен до 15.02.2026 / 0221174KZ174 / годен до 15.02.2026</v>
      </c>
    </row>
    <row r="69" spans="1:8" ht="12.75" x14ac:dyDescent="0.2">
      <c r="A69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69" s="1" t="str">
        <f ca="1">IFERROR(__xludf.DUMMYFUNCTION("""COMPUTED_VALUE"""),"KZ.7700.02.01.00727183")</f>
        <v>KZ.7700.02.01.00727183</v>
      </c>
      <c r="C69" s="1" t="str">
        <f ca="1">IFERROR(__xludf.DUMMYFUNCTION("""COMPUTED_VALUE"""),"Действителен до 15.02.2026")</f>
        <v>Действителен до 15.02.2026</v>
      </c>
      <c r="D69" s="8" t="str">
        <f ca="1">IFERROR(__xludf.DUMMYFUNCTION("""COMPUTED_VALUE"""),"0221174KZ174")</f>
        <v>0221174KZ174</v>
      </c>
      <c r="E69" s="1" t="str">
        <f ca="1">IFERROR(__xludf.DUMMYFUNCTION("""COMPUTED_VALUE"""),"годен до 15.02.2026")</f>
        <v>годен до 15.02.2026</v>
      </c>
      <c r="F69" s="1" t="str">
        <f ca="1">IFERROR(__xludf.DUMMYFUNCTION("""COMPUTED_VALUE"""),"Бинт эластичный медицинский средней растяжимости (ширина 80 мм) 02х80х2 - 0221174KZ174")</f>
        <v>Бинт эластичный медицинский средней растяжимости (ширина 80 мм) 02х80х2 - 0221174KZ174</v>
      </c>
      <c r="G69" s="1" t="str">
        <f ca="1">IFERROR(__xludf.DUMMYFUNCTION("""COMPUTED_VALUE"""),"KZ.7700.02.01.00727183 / Действителен до 15.02.2026 / 0221174KZ174 / годен до 15.02.2026")</f>
        <v>KZ.7700.02.01.00727183 / Действителен до 15.02.2026 / 0221174KZ174 / годен до 15.02.2026</v>
      </c>
      <c r="H69" s="1" t="str">
        <f ca="1">IFERROR(__xludf.DUMMYFUNCTION("""COMPUTED_VALUE"""),"Бинт эластичный медицинский средней растяжимости (ширина 80 мм) 02х80х2 KZ.7700.02.01.00727183 / Действителен до 15.02.2026 / 0221174KZ174 / годен до 15.02.2026")</f>
        <v>Бинт эластичный медицинский средней растяжимости (ширина 80 мм) 02х80х2 KZ.7700.02.01.00727183 / Действителен до 15.02.2026 / 0221174KZ174 / годен до 15.02.2026</v>
      </c>
    </row>
    <row r="70" spans="1:8" ht="12.75" x14ac:dyDescent="0.2">
      <c r="A70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70" s="1" t="str">
        <f ca="1">IFERROR(__xludf.DUMMYFUNCTION("""COMPUTED_VALUE"""),"KZ.7700.02.01.00727188")</f>
        <v>KZ.7700.02.01.00727188</v>
      </c>
      <c r="C70" s="1" t="str">
        <f ca="1">IFERROR(__xludf.DUMMYFUNCTION("""COMPUTED_VALUE"""),"Действителен до 15.02.2026")</f>
        <v>Действителен до 15.02.2026</v>
      </c>
      <c r="D70" s="8" t="str">
        <f ca="1">IFERROR(__xludf.DUMMYFUNCTION("""COMPUTED_VALUE"""),"0221174KZ174")</f>
        <v>0221174KZ174</v>
      </c>
      <c r="E70" s="1" t="str">
        <f ca="1">IFERROR(__xludf.DUMMYFUNCTION("""COMPUTED_VALUE"""),"годен до 15.02.2026")</f>
        <v>годен до 15.02.2026</v>
      </c>
      <c r="F70" s="1" t="str">
        <f ca="1">IFERROR(__xludf.DUMMYFUNCTION("""COMPUTED_VALUE"""),"Бинт эластичный медицинский средней растяжимости (ширина 80 мм) 02х80х2.5 - 0221174KZ174")</f>
        <v>Бинт эластичный медицинский средней растяжимости (ширина 80 мм) 02х80х2.5 - 0221174KZ174</v>
      </c>
      <c r="G70" s="1" t="str">
        <f ca="1">IFERROR(__xludf.DUMMYFUNCTION("""COMPUTED_VALUE"""),"KZ.7700.02.01.00727188 / Действителен до 15.02.2026 / 0221174KZ174 / годен до 15.02.2026")</f>
        <v>KZ.7700.02.01.00727188 / Действителен до 15.02.2026 / 0221174KZ174 / годен до 15.02.2026</v>
      </c>
      <c r="H70" s="1" t="str">
        <f ca="1">IFERROR(__xludf.DUMMYFUNCTION("""COMPUTED_VALUE"""),"Бинт эластичный медицинский средней растяжимости (ширина 80 мм) 02х80х2.5 KZ.7700.02.01.00727188 / Действителен до 15.02.2026 / 0221174KZ174 / годен до 15.02.2026")</f>
        <v>Бинт эластичный медицинский средней растяжимости (ширина 80 мм) 02х80х2.5 KZ.7700.02.01.00727188 / Действителен до 15.02.2026 / 0221174KZ174 / годен до 15.02.2026</v>
      </c>
    </row>
    <row r="71" spans="1:8" ht="12.75" x14ac:dyDescent="0.2">
      <c r="A71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71" s="1" t="str">
        <f ca="1">IFERROR(__xludf.DUMMYFUNCTION("""COMPUTED_VALUE"""),"KZ.7700.02.01.00727191")</f>
        <v>KZ.7700.02.01.00727191</v>
      </c>
      <c r="C71" s="1" t="str">
        <f ca="1">IFERROR(__xludf.DUMMYFUNCTION("""COMPUTED_VALUE"""),"Действителен до 15.02.2026")</f>
        <v>Действителен до 15.02.2026</v>
      </c>
      <c r="D71" s="8" t="str">
        <f ca="1">IFERROR(__xludf.DUMMYFUNCTION("""COMPUTED_VALUE"""),"0221174KZ174")</f>
        <v>0221174KZ174</v>
      </c>
      <c r="E71" s="1" t="str">
        <f ca="1">IFERROR(__xludf.DUMMYFUNCTION("""COMPUTED_VALUE"""),"годен до 15.02.2026")</f>
        <v>годен до 15.02.2026</v>
      </c>
      <c r="F71" s="1" t="str">
        <f ca="1">IFERROR(__xludf.DUMMYFUNCTION("""COMPUTED_VALUE"""),"Бинт эластичный медицинский средней растяжимости (ширина 80 мм) 02х80х3 - 0221174KZ174")</f>
        <v>Бинт эластичный медицинский средней растяжимости (ширина 80 мм) 02х80х3 - 0221174KZ174</v>
      </c>
      <c r="G71" s="1" t="str">
        <f ca="1">IFERROR(__xludf.DUMMYFUNCTION("""COMPUTED_VALUE"""),"KZ.7700.02.01.00727191 / Действителен до 15.02.2026 / 0221174KZ174 / годен до 15.02.2026")</f>
        <v>KZ.7700.02.01.00727191 / Действителен до 15.02.2026 / 0221174KZ174 / годен до 15.02.2026</v>
      </c>
      <c r="H71" s="1" t="str">
        <f ca="1">IFERROR(__xludf.DUMMYFUNCTION("""COMPUTED_VALUE"""),"Бинт эластичный медицинский средней растяжимости (ширина 80 мм) 02х80х3 KZ.7700.02.01.00727191 / Действителен до 15.02.2026 / 0221174KZ174 / годен до 15.02.2026")</f>
        <v>Бинт эластичный медицинский средней растяжимости (ширина 80 мм) 02х80х3 KZ.7700.02.01.00727191 / Действителен до 15.02.2026 / 0221174KZ174 / годен до 15.02.2026</v>
      </c>
    </row>
    <row r="72" spans="1:8" ht="12.75" x14ac:dyDescent="0.2">
      <c r="A72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72" s="1" t="str">
        <f ca="1">IFERROR(__xludf.DUMMYFUNCTION("""COMPUTED_VALUE"""),"KZ.7700.02.01.00727189")</f>
        <v>KZ.7700.02.01.00727189</v>
      </c>
      <c r="C72" s="1" t="str">
        <f ca="1">IFERROR(__xludf.DUMMYFUNCTION("""COMPUTED_VALUE"""),"Действителен до 15.02.2026")</f>
        <v>Действителен до 15.02.2026</v>
      </c>
      <c r="D72" s="8" t="str">
        <f ca="1">IFERROR(__xludf.DUMMYFUNCTION("""COMPUTED_VALUE"""),"0221174KZ174")</f>
        <v>0221174KZ174</v>
      </c>
      <c r="E72" s="1" t="str">
        <f ca="1">IFERROR(__xludf.DUMMYFUNCTION("""COMPUTED_VALUE"""),"годен до 15.02.2026")</f>
        <v>годен до 15.02.2026</v>
      </c>
      <c r="F72" s="1" t="str">
        <f ca="1">IFERROR(__xludf.DUMMYFUNCTION("""COMPUTED_VALUE"""),"Бинт эластичный медицинский средней растяжимости (ширина 80 мм) 02х80х3.5 - 0221174KZ174")</f>
        <v>Бинт эластичный медицинский средней растяжимости (ширина 80 мм) 02х80х3.5 - 0221174KZ174</v>
      </c>
      <c r="G72" s="1" t="str">
        <f ca="1">IFERROR(__xludf.DUMMYFUNCTION("""COMPUTED_VALUE"""),"KZ.7700.02.01.00727189 / Действителен до 15.02.2026 / 0221174KZ174 / годен до 15.02.2026")</f>
        <v>KZ.7700.02.01.00727189 / Действителен до 15.02.2026 / 0221174KZ174 / годен до 15.02.2026</v>
      </c>
      <c r="H72" s="1" t="str">
        <f ca="1">IFERROR(__xludf.DUMMYFUNCTION("""COMPUTED_VALUE"""),"Бинт эластичный медицинский средней растяжимости (ширина 80 мм) 02х80х3.5 KZ.7700.02.01.00727189 / Действителен до 15.02.2026 / 0221174KZ174 / годен до 15.02.2026")</f>
        <v>Бинт эластичный медицинский средней растяжимости (ширина 80 мм) 02х80х3.5 KZ.7700.02.01.00727189 / Действителен до 15.02.2026 / 0221174KZ174 / годен до 15.02.2026</v>
      </c>
    </row>
    <row r="73" spans="1:8" ht="12.75" x14ac:dyDescent="0.2">
      <c r="A73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73" s="1" t="str">
        <f ca="1">IFERROR(__xludf.DUMMYFUNCTION("""COMPUTED_VALUE"""),"KZ.7700.02.01.00727186")</f>
        <v>KZ.7700.02.01.00727186</v>
      </c>
      <c r="C73" s="1" t="str">
        <f ca="1">IFERROR(__xludf.DUMMYFUNCTION("""COMPUTED_VALUE"""),"Действителен до 15.02.2026")</f>
        <v>Действителен до 15.02.2026</v>
      </c>
      <c r="D73" s="8" t="str">
        <f ca="1">IFERROR(__xludf.DUMMYFUNCTION("""COMPUTED_VALUE"""),"0221174KZ174")</f>
        <v>0221174KZ174</v>
      </c>
      <c r="E73" s="1" t="str">
        <f ca="1">IFERROR(__xludf.DUMMYFUNCTION("""COMPUTED_VALUE"""),"годен до 15.02.2026")</f>
        <v>годен до 15.02.2026</v>
      </c>
      <c r="F73" s="1" t="str">
        <f ca="1">IFERROR(__xludf.DUMMYFUNCTION("""COMPUTED_VALUE"""),"Бинт эластичный медицинский средней растяжимости (ширина 80 мм) 02х80х4 - 0221174KZ174")</f>
        <v>Бинт эластичный медицинский средней растяжимости (ширина 80 мм) 02х80х4 - 0221174KZ174</v>
      </c>
      <c r="G73" s="1" t="str">
        <f ca="1">IFERROR(__xludf.DUMMYFUNCTION("""COMPUTED_VALUE"""),"KZ.7700.02.01.00727186 / Действителен до 15.02.2026 / 0221174KZ174 / годен до 15.02.2026")</f>
        <v>KZ.7700.02.01.00727186 / Действителен до 15.02.2026 / 0221174KZ174 / годен до 15.02.2026</v>
      </c>
      <c r="H73" s="1" t="str">
        <f ca="1">IFERROR(__xludf.DUMMYFUNCTION("""COMPUTED_VALUE"""),"Бинт эластичный медицинский средней растяжимости (ширина 80 мм) 02х80х4 KZ.7700.02.01.00727186 / Действителен до 15.02.2026 / 0221174KZ174 / годен до 15.02.2026")</f>
        <v>Бинт эластичный медицинский средней растяжимости (ширина 80 мм) 02х80х4 KZ.7700.02.01.00727186 / Действителен до 15.02.2026 / 0221174KZ174 / годен до 15.02.2026</v>
      </c>
    </row>
    <row r="74" spans="1:8" ht="12.75" x14ac:dyDescent="0.2">
      <c r="A74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74" s="1" t="str">
        <f ca="1">IFERROR(__xludf.DUMMYFUNCTION("""COMPUTED_VALUE"""),"KZ.7700.02.01.00727187")</f>
        <v>KZ.7700.02.01.00727187</v>
      </c>
      <c r="C74" s="1" t="str">
        <f ca="1">IFERROR(__xludf.DUMMYFUNCTION("""COMPUTED_VALUE"""),"Действителен до 15.02.2026")</f>
        <v>Действителен до 15.02.2026</v>
      </c>
      <c r="D74" s="8" t="str">
        <f ca="1">IFERROR(__xludf.DUMMYFUNCTION("""COMPUTED_VALUE"""),"0221174KZ174")</f>
        <v>0221174KZ174</v>
      </c>
      <c r="E74" s="1" t="str">
        <f ca="1">IFERROR(__xludf.DUMMYFUNCTION("""COMPUTED_VALUE"""),"годен до 15.02.2026")</f>
        <v>годен до 15.02.2026</v>
      </c>
      <c r="F74" s="1" t="str">
        <f ca="1">IFERROR(__xludf.DUMMYFUNCTION("""COMPUTED_VALUE"""),"Бинт эластичный медицинский средней растяжимости (ширина 80 мм) 02х80х5 - 0221174KZ174")</f>
        <v>Бинт эластичный медицинский средней растяжимости (ширина 80 мм) 02х80х5 - 0221174KZ174</v>
      </c>
      <c r="G74" s="1" t="str">
        <f ca="1">IFERROR(__xludf.DUMMYFUNCTION("""COMPUTED_VALUE"""),"KZ.7700.02.01.00727187 / Действителен до 15.02.2026 / 0221174KZ174 / годен до 15.02.2026")</f>
        <v>KZ.7700.02.01.00727187 / Действителен до 15.02.2026 / 0221174KZ174 / годен до 15.02.2026</v>
      </c>
      <c r="H74" s="1" t="str">
        <f ca="1">IFERROR(__xludf.DUMMYFUNCTION("""COMPUTED_VALUE"""),"Бинт эластичный медицинский средней растяжимости (ширина 80 мм) 02х80х5 KZ.7700.02.01.00727187 / Действителен до 15.02.2026 / 0221174KZ174 / годен до 15.02.2026")</f>
        <v>Бинт эластичный медицинский средней растяжимости (ширина 80 мм) 02х80х5 KZ.7700.02.01.00727187 / Действителен до 15.02.2026 / 0221174KZ174 / годен до 15.02.2026</v>
      </c>
    </row>
    <row r="75" spans="1:8" ht="12.75" x14ac:dyDescent="0.2">
      <c r="A75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75" s="1" t="str">
        <f ca="1">IFERROR(__xludf.DUMMYFUNCTION("""COMPUTED_VALUE"""),"KZ.7700.02.01.00727154")</f>
        <v>KZ.7700.02.01.00727154</v>
      </c>
      <c r="C75" s="1" t="str">
        <f ca="1">IFERROR(__xludf.DUMMYFUNCTION("""COMPUTED_VALUE"""),"Действителен до 15.02.2026")</f>
        <v>Действителен до 15.02.2026</v>
      </c>
      <c r="D75" s="8" t="str">
        <f ca="1">IFERROR(__xludf.DUMMYFUNCTION("""COMPUTED_VALUE"""),"0221174KZ174")</f>
        <v>0221174KZ174</v>
      </c>
      <c r="E75" s="1" t="str">
        <f ca="1">IFERROR(__xludf.DUMMYFUNCTION("""COMPUTED_VALUE"""),"годен до 15.02.2026")</f>
        <v>годен до 15.02.2026</v>
      </c>
      <c r="F75" s="1" t="str">
        <f ca="1">IFERROR(__xludf.DUMMYFUNCTION("""COMPUTED_VALUE"""),"Бандаж на коленный сустав разъемный 6058 XXL (Болгария) - 0221174KZ174")</f>
        <v>Бандаж на коленный сустав разъемный 6058 XXL (Болгария) - 0221174KZ174</v>
      </c>
      <c r="G75" s="1" t="str">
        <f ca="1">IFERROR(__xludf.DUMMYFUNCTION("""COMPUTED_VALUE"""),"KZ.7700.02.01.00727154 / Действителен до 15.02.2026 / 0221174KZ174 / годен до 15.02.2026")</f>
        <v>KZ.7700.02.01.00727154 / Действителен до 15.02.2026 / 0221174KZ174 / годен до 15.02.2026</v>
      </c>
      <c r="H75" s="1" t="str">
        <f ca="1">IFERROR(__xludf.DUMMYFUNCTION("""COMPUTED_VALUE"""),"Бандаж на коленный сустав разъемный 6058 XXL (Болгария) KZ.7700.02.01.00727154 / Действителен до 15.02.2026 / 0221174KZ174 / годен до 15.02.2026")</f>
        <v>Бандаж на коленный сустав разъемный 6058 XXL (Болгария) KZ.7700.02.01.00727154 / Действителен до 15.02.2026 / 0221174KZ174 / годен до 15.02.2026</v>
      </c>
    </row>
    <row r="76" spans="1:8" ht="12.75" x14ac:dyDescent="0.2">
      <c r="A76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76" s="1" t="str">
        <f ca="1">IFERROR(__xludf.DUMMYFUNCTION("""COMPUTED_VALUE"""),"KZ.7700.02.01.00727157")</f>
        <v>KZ.7700.02.01.00727157</v>
      </c>
      <c r="C76" s="1" t="str">
        <f ca="1">IFERROR(__xludf.DUMMYFUNCTION("""COMPUTED_VALUE"""),"Действителен до 15.02.2026")</f>
        <v>Действителен до 15.02.2026</v>
      </c>
      <c r="D76" s="8" t="str">
        <f ca="1">IFERROR(__xludf.DUMMYFUNCTION("""COMPUTED_VALUE"""),"0221174KZ174")</f>
        <v>0221174KZ174</v>
      </c>
      <c r="E76" s="1" t="str">
        <f ca="1">IFERROR(__xludf.DUMMYFUNCTION("""COMPUTED_VALUE"""),"годен до 15.02.2026")</f>
        <v>годен до 15.02.2026</v>
      </c>
      <c r="F76" s="1" t="str">
        <f ca="1">IFERROR(__xludf.DUMMYFUNCTION("""COMPUTED_VALUE"""),"Бандаж на голеностопный сустав легкой фиксации 7034 L (бежевый) (Болгария) - 0221174KZ174")</f>
        <v>Бандаж на голеностопный сустав легкой фиксации 7034 L (бежевый) (Болгария) - 0221174KZ174</v>
      </c>
      <c r="G76" s="1" t="str">
        <f ca="1">IFERROR(__xludf.DUMMYFUNCTION("""COMPUTED_VALUE"""),"KZ.7700.02.01.00727157 / Действителен до 15.02.2026 / 0221174KZ174 / годен до 15.02.2026")</f>
        <v>KZ.7700.02.01.00727157 / Действителен до 15.02.2026 / 0221174KZ174 / годен до 15.02.2026</v>
      </c>
      <c r="H76" s="1" t="str">
        <f ca="1">IFERROR(__xludf.DUMMYFUNCTION("""COMPUTED_VALUE"""),"Бандаж на голеностопный сустав легкой фиксации 7034 L (бежевый) (Болгария) KZ.7700.02.01.00727157 / Действителен до 15.02.2026 / 0221174KZ174 / годен до 15.02.2026")</f>
        <v>Бандаж на голеностопный сустав легкой фиксации 7034 L (бежевый) (Болгария) KZ.7700.02.01.00727157 / Действителен до 15.02.2026 / 0221174KZ174 / годен до 15.02.2026</v>
      </c>
    </row>
    <row r="77" spans="1:8" ht="12.75" x14ac:dyDescent="0.2">
      <c r="A77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77" s="1" t="str">
        <f ca="1">IFERROR(__xludf.DUMMYFUNCTION("""COMPUTED_VALUE"""),"KZ.7700.02.01.00727159")</f>
        <v>KZ.7700.02.01.00727159</v>
      </c>
      <c r="C77" s="1" t="str">
        <f ca="1">IFERROR(__xludf.DUMMYFUNCTION("""COMPUTED_VALUE"""),"Действителен до 15.02.2026")</f>
        <v>Действителен до 15.02.2026</v>
      </c>
      <c r="D77" s="8" t="str">
        <f ca="1">IFERROR(__xludf.DUMMYFUNCTION("""COMPUTED_VALUE"""),"0221174KZ174")</f>
        <v>0221174KZ174</v>
      </c>
      <c r="E77" s="1" t="str">
        <f ca="1">IFERROR(__xludf.DUMMYFUNCTION("""COMPUTED_VALUE"""),"годен до 15.02.2026")</f>
        <v>годен до 15.02.2026</v>
      </c>
      <c r="F77" s="1" t="str">
        <f ca="1">IFERROR(__xludf.DUMMYFUNCTION("""COMPUTED_VALUE"""),"Бандаж на голеностопный сустав легкой фиксации 7034 M (бежевый) (Болгария) - 0221174KZ174")</f>
        <v>Бандаж на голеностопный сустав легкой фиксации 7034 M (бежевый) (Болгария) - 0221174KZ174</v>
      </c>
      <c r="G77" s="1" t="str">
        <f ca="1">IFERROR(__xludf.DUMMYFUNCTION("""COMPUTED_VALUE"""),"KZ.7700.02.01.00727159 / Действителен до 15.02.2026 / 0221174KZ174 / годен до 15.02.2026")</f>
        <v>KZ.7700.02.01.00727159 / Действителен до 15.02.2026 / 0221174KZ174 / годен до 15.02.2026</v>
      </c>
      <c r="H77" s="1" t="str">
        <f ca="1">IFERROR(__xludf.DUMMYFUNCTION("""COMPUTED_VALUE"""),"Бандаж на голеностопный сустав легкой фиксации 7034 M (бежевый) (Болгария) KZ.7700.02.01.00727159 / Действителен до 15.02.2026 / 0221174KZ174 / годен до 15.02.2026")</f>
        <v>Бандаж на голеностопный сустав легкой фиксации 7034 M (бежевый) (Болгария) KZ.7700.02.01.00727159 / Действителен до 15.02.2026 / 0221174KZ174 / годен до 15.02.2026</v>
      </c>
    </row>
    <row r="78" spans="1:8" ht="12.75" x14ac:dyDescent="0.2">
      <c r="A78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78" s="1" t="str">
        <f ca="1">IFERROR(__xludf.DUMMYFUNCTION("""COMPUTED_VALUE"""),"KZ.7700.02.01.00727155")</f>
        <v>KZ.7700.02.01.00727155</v>
      </c>
      <c r="C78" s="1" t="str">
        <f ca="1">IFERROR(__xludf.DUMMYFUNCTION("""COMPUTED_VALUE"""),"Действителен до 15.02.2026")</f>
        <v>Действителен до 15.02.2026</v>
      </c>
      <c r="D78" s="8" t="str">
        <f ca="1">IFERROR(__xludf.DUMMYFUNCTION("""COMPUTED_VALUE"""),"0221174KZ174")</f>
        <v>0221174KZ174</v>
      </c>
      <c r="E78" s="1" t="str">
        <f ca="1">IFERROR(__xludf.DUMMYFUNCTION("""COMPUTED_VALUE"""),"годен до 15.02.2026")</f>
        <v>годен до 15.02.2026</v>
      </c>
      <c r="F78" s="1" t="str">
        <f ca="1">IFERROR(__xludf.DUMMYFUNCTION("""COMPUTED_VALUE"""),"Бандаж на голеностопный сустав легкой фиксации 7034 XL (бежевый) (Болгария) - 0221174KZ174")</f>
        <v>Бандаж на голеностопный сустав легкой фиксации 7034 XL (бежевый) (Болгария) - 0221174KZ174</v>
      </c>
      <c r="G78" s="1" t="str">
        <f ca="1">IFERROR(__xludf.DUMMYFUNCTION("""COMPUTED_VALUE"""),"KZ.7700.02.01.00727155 / Действителен до 15.02.2026 / 0221174KZ174 / годен до 15.02.2026")</f>
        <v>KZ.7700.02.01.00727155 / Действителен до 15.02.2026 / 0221174KZ174 / годен до 15.02.2026</v>
      </c>
      <c r="H78" s="1" t="str">
        <f ca="1">IFERROR(__xludf.DUMMYFUNCTION("""COMPUTED_VALUE"""),"Бандаж на голеностопный сустав легкой фиксации 7034 XL (бежевый) (Болгария) KZ.7700.02.01.00727155 / Действителен до 15.02.2026 / 0221174KZ174 / годен до 15.02.2026")</f>
        <v>Бандаж на голеностопный сустав легкой фиксации 7034 XL (бежевый) (Болгария) KZ.7700.02.01.00727155 / Действителен до 15.02.2026 / 0221174KZ174 / годен до 15.02.2026</v>
      </c>
    </row>
    <row r="79" spans="1:8" ht="12.75" x14ac:dyDescent="0.2">
      <c r="A79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79" s="1" t="str">
        <f ca="1">IFERROR(__xludf.DUMMYFUNCTION("""COMPUTED_VALUE"""),"KZ.7700.02.01.00727171")</f>
        <v>KZ.7700.02.01.00727171</v>
      </c>
      <c r="C79" s="1" t="str">
        <f ca="1">IFERROR(__xludf.DUMMYFUNCTION("""COMPUTED_VALUE"""),"Действителен до 15.02.2026")</f>
        <v>Действителен до 15.02.2026</v>
      </c>
      <c r="D79" s="8" t="str">
        <f ca="1">IFERROR(__xludf.DUMMYFUNCTION("""COMPUTED_VALUE"""),"0221174KZ174")</f>
        <v>0221174KZ174</v>
      </c>
      <c r="E79" s="1" t="str">
        <f ca="1">IFERROR(__xludf.DUMMYFUNCTION("""COMPUTED_VALUE"""),"годен до 15.02.2026")</f>
        <v>годен до 15.02.2026</v>
      </c>
      <c r="F79" s="1" t="str">
        <f ca="1">IFERROR(__xludf.DUMMYFUNCTION("""COMPUTED_VALUE"""),"Бандаж на голеностопный сустав эластичный 7035 L (Болгария) - 0221174KZ174")</f>
        <v>Бандаж на голеностопный сустав эластичный 7035 L (Болгария) - 0221174KZ174</v>
      </c>
      <c r="G79" s="1" t="str">
        <f ca="1">IFERROR(__xludf.DUMMYFUNCTION("""COMPUTED_VALUE"""),"KZ.7700.02.01.00727171 / Действителен до 15.02.2026 / 0221174KZ174 / годен до 15.02.2026")</f>
        <v>KZ.7700.02.01.00727171 / Действителен до 15.02.2026 / 0221174KZ174 / годен до 15.02.2026</v>
      </c>
      <c r="H79" s="1" t="str">
        <f ca="1">IFERROR(__xludf.DUMMYFUNCTION("""COMPUTED_VALUE"""),"Бандаж на голеностопный сустав эластичный 7035 L (Болгария) KZ.7700.02.01.00727171 / Действителен до 15.02.2026 / 0221174KZ174 / годен до 15.02.2026")</f>
        <v>Бандаж на голеностопный сустав эластичный 7035 L (Болгария) KZ.7700.02.01.00727171 / Действителен до 15.02.2026 / 0221174KZ174 / годен до 15.02.2026</v>
      </c>
    </row>
    <row r="80" spans="1:8" ht="12.75" x14ac:dyDescent="0.2">
      <c r="A80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80" s="1" t="str">
        <f ca="1">IFERROR(__xludf.DUMMYFUNCTION("""COMPUTED_VALUE"""),"KZ.7700.02.01.00737897")</f>
        <v>KZ.7700.02.01.00737897</v>
      </c>
      <c r="C80" s="1" t="str">
        <f ca="1">IFERROR(__xludf.DUMMYFUNCTION("""COMPUTED_VALUE"""),"Действителен до 01.02.2024")</f>
        <v>Действителен до 01.02.2024</v>
      </c>
      <c r="D80" s="8" t="str">
        <f ca="1">IFERROR(__xludf.DUMMYFUNCTION("""COMPUTED_VALUE"""),"20210106LS")</f>
        <v>20210106LS</v>
      </c>
      <c r="E80" s="1" t="str">
        <f ca="1">IFERROR(__xludf.DUMMYFUNCTION("""COMPUTED_VALUE"""),"годен до 01.2024")</f>
        <v>годен до 01.2024</v>
      </c>
      <c r="F80" s="1" t="str">
        <f ca="1">IFERROR(__xludf.DUMMYFUNCTION("""COMPUTED_VALUE"""),"Экспресс-Тест (полоска) на овуляцию №5 + 1 ПДВ - 20210106LS")</f>
        <v>Экспресс-Тест (полоска) на овуляцию №5 + 1 ПДВ - 20210106LS</v>
      </c>
      <c r="G80" s="1" t="str">
        <f ca="1">IFERROR(__xludf.DUMMYFUNCTION("""COMPUTED_VALUE"""),"KZ.7700.02.01.00737897 / Действителен до 01.02.2024 / 20210106LS / годен до 01.2024")</f>
        <v>KZ.7700.02.01.00737897 / Действителен до 01.02.2024 / 20210106LS / годен до 01.2024</v>
      </c>
      <c r="H80" s="1" t="str">
        <f ca="1">IFERROR(__xludf.DUMMYFUNCTION("""COMPUTED_VALUE"""),"Экспресс-Тест (полоска) на овуляцию №5 + 1 ПДВ KZ.7700.02.01.00737897 / Действителен до 01.02.2024 / 20210106LS / годен до 01.2024")</f>
        <v>Экспресс-Тест (полоска) на овуляцию №5 + 1 ПДВ KZ.7700.02.01.00737897 / Действителен до 01.02.2024 / 20210106LS / годен до 01.2024</v>
      </c>
    </row>
    <row r="81" spans="1:8" ht="12.75" x14ac:dyDescent="0.2">
      <c r="A81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81" s="1" t="str">
        <f ca="1">IFERROR(__xludf.DUMMYFUNCTION("""COMPUTED_VALUE"""),"KZ.7700.02.01.00737535")</f>
        <v>KZ.7700.02.01.00737535</v>
      </c>
      <c r="C81" s="1" t="str">
        <f ca="1">IFERROR(__xludf.DUMMYFUNCTION("""COMPUTED_VALUE"""),"Действителен до 01.02.2024")</f>
        <v>Действителен до 01.02.2024</v>
      </c>
      <c r="D81" s="8" t="str">
        <f ca="1">IFERROR(__xludf.DUMMYFUNCTION("""COMPUTED_VALUE"""),"20210106HS")</f>
        <v>20210106HS</v>
      </c>
      <c r="E81" s="1" t="str">
        <f ca="1">IFERROR(__xludf.DUMMYFUNCTION("""COMPUTED_VALUE"""),"годен до 01.2024")</f>
        <v>годен до 01.2024</v>
      </c>
      <c r="F81" s="1" t="str">
        <f ca="1">IFERROR(__xludf.DUMMYFUNCTION("""COMPUTED_VALUE"""),"Экспресс-Тест (полоска) на беременность 3 мм №1 - 20210106HS")</f>
        <v>Экспресс-Тест (полоска) на беременность 3 мм №1 - 20210106HS</v>
      </c>
      <c r="G81" s="1" t="str">
        <f ca="1">IFERROR(__xludf.DUMMYFUNCTION("""COMPUTED_VALUE"""),"KZ.7700.02.01.00737535 / Действителен до 01.02.2024 / 20210106HS / годен до 01.2024")</f>
        <v>KZ.7700.02.01.00737535 / Действителен до 01.02.2024 / 20210106HS / годен до 01.2024</v>
      </c>
      <c r="H81" s="1" t="str">
        <f ca="1">IFERROR(__xludf.DUMMYFUNCTION("""COMPUTED_VALUE"""),"Экспресс-Тест (полоска) на беременность 3 мм №1 KZ.7700.02.01.00737535 / Действителен до 01.02.2024 / 20210106HS / годен до 01.2024")</f>
        <v>Экспресс-Тест (полоска) на беременность 3 мм №1 KZ.7700.02.01.00737535 / Действителен до 01.02.2024 / 20210106HS / годен до 01.2024</v>
      </c>
    </row>
    <row r="82" spans="1:8" ht="12.75" x14ac:dyDescent="0.2">
      <c r="A82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82" s="1" t="str">
        <f ca="1">IFERROR(__xludf.DUMMYFUNCTION("""COMPUTED_VALUE"""),"KZ.7700.02.01.00737885")</f>
        <v>KZ.7700.02.01.00737885</v>
      </c>
      <c r="C82" s="1" t="str">
        <f ca="1">IFERROR(__xludf.DUMMYFUNCTION("""COMPUTED_VALUE"""),"Действителен до 01.02.2024")</f>
        <v>Действителен до 01.02.2024</v>
      </c>
      <c r="D82" s="8" t="str">
        <f ca="1">IFERROR(__xludf.DUMMYFUNCTION("""COMPUTED_VALUE"""),"20210106HS2")</f>
        <v>20210106HS2</v>
      </c>
      <c r="E82" s="1" t="str">
        <f ca="1">IFERROR(__xludf.DUMMYFUNCTION("""COMPUTED_VALUE"""),"годен до 01.2024")</f>
        <v>годен до 01.2024</v>
      </c>
      <c r="F82" s="1" t="str">
        <f ca="1">IFERROR(__xludf.DUMMYFUNCTION("""COMPUTED_VALUE"""),"Экспресс-Тест (полоска) на беременность 3 мм №2 ПДВ - 20210106HS2")</f>
        <v>Экспресс-Тест (полоска) на беременность 3 мм №2 ПДВ - 20210106HS2</v>
      </c>
      <c r="G82" s="1" t="str">
        <f ca="1">IFERROR(__xludf.DUMMYFUNCTION("""COMPUTED_VALUE"""),"KZ.7700.02.01.00737885 / Действителен до 01.02.2024 / 20210106HS2 / годен до 01.2024")</f>
        <v>KZ.7700.02.01.00737885 / Действителен до 01.02.2024 / 20210106HS2 / годен до 01.2024</v>
      </c>
      <c r="H82" s="1" t="str">
        <f ca="1">IFERROR(__xludf.DUMMYFUNCTION("""COMPUTED_VALUE"""),"Экспресс-Тест (полоска) на беременность 3 мм №2 ПДВ KZ.7700.02.01.00737885 / Действителен до 01.02.2024 / 20210106HS2 / годен до 01.2024")</f>
        <v>Экспресс-Тест (полоска) на беременность 3 мм №2 ПДВ KZ.7700.02.01.00737885 / Действителен до 01.02.2024 / 20210106HS2 / годен до 01.2024</v>
      </c>
    </row>
    <row r="83" spans="1:8" ht="12.75" x14ac:dyDescent="0.2">
      <c r="A83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83" s="1" t="str">
        <f ca="1">IFERROR(__xludf.DUMMYFUNCTION("""COMPUTED_VALUE"""),"KZ.7700.02.01.00737538")</f>
        <v>KZ.7700.02.01.00737538</v>
      </c>
      <c r="C83" s="1" t="str">
        <f ca="1">IFERROR(__xludf.DUMMYFUNCTION("""COMPUTED_VALUE"""),"Действителен до 01.02.2024")</f>
        <v>Действителен до 01.02.2024</v>
      </c>
      <c r="D83" s="8" t="str">
        <f ca="1">IFERROR(__xludf.DUMMYFUNCTION("""COMPUTED_VALUE"""),"20210106HM")</f>
        <v>20210106HM</v>
      </c>
      <c r="E83" s="1" t="str">
        <f ca="1">IFERROR(__xludf.DUMMYFUNCTION("""COMPUTED_VALUE"""),"годен до 01.2024")</f>
        <v>годен до 01.2024</v>
      </c>
      <c r="F83" s="1" t="str">
        <f ca="1">IFERROR(__xludf.DUMMYFUNCTION("""COMPUTED_VALUE"""),"Экспресс-Тест (струйный) на беременность - 20210106HM")</f>
        <v>Экспресс-Тест (струйный) на беременность - 20210106HM</v>
      </c>
      <c r="G83" s="1" t="str">
        <f ca="1">IFERROR(__xludf.DUMMYFUNCTION("""COMPUTED_VALUE"""),"KZ.7700.02.01.00737538 / Действителен до 01.02.2024 / 20210106HM / годен до 01.2024")</f>
        <v>KZ.7700.02.01.00737538 / Действителен до 01.02.2024 / 20210106HM / годен до 01.2024</v>
      </c>
      <c r="H83" s="1" t="str">
        <f ca="1">IFERROR(__xludf.DUMMYFUNCTION("""COMPUTED_VALUE"""),"Экспресс-Тест (струйный) на беременность KZ.7700.02.01.00737538 / Действителен до 01.02.2024 / 20210106HM / годен до 01.2024")</f>
        <v>Экспресс-Тест (струйный) на беременность KZ.7700.02.01.00737538 / Действителен до 01.02.2024 / 20210106HM / годен до 01.2024</v>
      </c>
    </row>
    <row r="84" spans="1:8" ht="12.75" x14ac:dyDescent="0.2">
      <c r="A84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84" s="1" t="str">
        <f ca="1">IFERROR(__xludf.DUMMYFUNCTION("""COMPUTED_VALUE"""),"KZ.7700.02.01.00715164")</f>
        <v>KZ.7700.02.01.00715164</v>
      </c>
      <c r="C84" s="1" t="str">
        <f ca="1">IFERROR(__xludf.DUMMYFUNCTION("""COMPUTED_VALUE"""),"Действителен до 01.11.2023")</f>
        <v>Действителен до 01.11.2023</v>
      </c>
      <c r="D84" s="8" t="str">
        <f ca="1">IFERROR(__xludf.DUMMYFUNCTION("""COMPUTED_VALUE"""),"20201009LS")</f>
        <v>20201009LS</v>
      </c>
      <c r="E84" s="1" t="str">
        <f ca="1">IFERROR(__xludf.DUMMYFUNCTION("""COMPUTED_VALUE"""),"годен до 10.2023")</f>
        <v>годен до 10.2023</v>
      </c>
      <c r="F84" s="1" t="str">
        <f ca="1">IFERROR(__xludf.DUMMYFUNCTION("""COMPUTED_VALUE"""),"Экспресс-Тест (полоска) на овуляцию №5 + 1 ПДВ - 20201009LS")</f>
        <v>Экспресс-Тест (полоска) на овуляцию №5 + 1 ПДВ - 20201009LS</v>
      </c>
      <c r="G84" s="1" t="str">
        <f ca="1">IFERROR(__xludf.DUMMYFUNCTION("""COMPUTED_VALUE"""),"KZ.7700.02.01.00715164 / Действителен до 01.11.2023 / 20201009LS / годен до 10.2023")</f>
        <v>KZ.7700.02.01.00715164 / Действителен до 01.11.2023 / 20201009LS / годен до 10.2023</v>
      </c>
      <c r="H84" s="1" t="str">
        <f ca="1">IFERROR(__xludf.DUMMYFUNCTION("""COMPUTED_VALUE"""),"Экспресс-Тест (полоска) на овуляцию №5 + 1 ПДВ KZ.7700.02.01.00715164 / Действителен до 01.11.2023 / 20201009LS / годен до 10.2023")</f>
        <v>Экспресс-Тест (полоска) на овуляцию №5 + 1 ПДВ KZ.7700.02.01.00715164 / Действителен до 01.11.2023 / 20201009LS / годен до 10.2023</v>
      </c>
    </row>
    <row r="85" spans="1:8" ht="12.75" x14ac:dyDescent="0.2">
      <c r="A85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85" s="1" t="str">
        <f ca="1">IFERROR(__xludf.DUMMYFUNCTION("""COMPUTED_VALUE"""),"KZ.7700.02.01.00715166")</f>
        <v>KZ.7700.02.01.00715166</v>
      </c>
      <c r="C85" s="1" t="str">
        <f ca="1">IFERROR(__xludf.DUMMYFUNCTION("""COMPUTED_VALUE"""),"Действителен до 01.11.2023")</f>
        <v>Действителен до 01.11.2023</v>
      </c>
      <c r="D85" s="8" t="str">
        <f ca="1">IFERROR(__xludf.DUMMYFUNCTION("""COMPUTED_VALUE"""),"20201009HS")</f>
        <v>20201009HS</v>
      </c>
      <c r="E85" s="1" t="str">
        <f ca="1">IFERROR(__xludf.DUMMYFUNCTION("""COMPUTED_VALUE"""),"годен до 10.2023")</f>
        <v>годен до 10.2023</v>
      </c>
      <c r="F85" s="1" t="str">
        <f ca="1">IFERROR(__xludf.DUMMYFUNCTION("""COMPUTED_VALUE"""),"Экспресс-Тест (полоска) на беременность 3 мм №1 - 20201009HS")</f>
        <v>Экспресс-Тест (полоска) на беременность 3 мм №1 - 20201009HS</v>
      </c>
      <c r="G85" s="1" t="str">
        <f ca="1">IFERROR(__xludf.DUMMYFUNCTION("""COMPUTED_VALUE"""),"KZ.7700.02.01.00715166 / Действителен до 01.11.2023 / 20201009HS / годен до 10.2023")</f>
        <v>KZ.7700.02.01.00715166 / Действителен до 01.11.2023 / 20201009HS / годен до 10.2023</v>
      </c>
      <c r="H85" s="1" t="str">
        <f ca="1">IFERROR(__xludf.DUMMYFUNCTION("""COMPUTED_VALUE"""),"Экспресс-Тест (полоска) на беременность 3 мм №1 KZ.7700.02.01.00715166 / Действителен до 01.11.2023 / 20201009HS / годен до 10.2023")</f>
        <v>Экспресс-Тест (полоска) на беременность 3 мм №1 KZ.7700.02.01.00715166 / Действителен до 01.11.2023 / 20201009HS / годен до 10.2023</v>
      </c>
    </row>
    <row r="86" spans="1:8" ht="12.75" x14ac:dyDescent="0.2">
      <c r="A86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86" s="1" t="str">
        <f ca="1">IFERROR(__xludf.DUMMYFUNCTION("""COMPUTED_VALUE"""),"KZ.7700.02.01.00715138")</f>
        <v>KZ.7700.02.01.00715138</v>
      </c>
      <c r="C86" s="1" t="str">
        <f ca="1">IFERROR(__xludf.DUMMYFUNCTION("""COMPUTED_VALUE"""),"Действителен до 01.11.2023")</f>
        <v>Действителен до 01.11.2023</v>
      </c>
      <c r="D86" s="8" t="str">
        <f ca="1">IFERROR(__xludf.DUMMYFUNCTION("""COMPUTED_VALUE"""),"20201009HS2")</f>
        <v>20201009HS2</v>
      </c>
      <c r="E86" s="1" t="str">
        <f ca="1">IFERROR(__xludf.DUMMYFUNCTION("""COMPUTED_VALUE"""),"годен до 10.2023")</f>
        <v>годен до 10.2023</v>
      </c>
      <c r="F86" s="1" t="str">
        <f ca="1">IFERROR(__xludf.DUMMYFUNCTION("""COMPUTED_VALUE"""),"Экспресс-Тест (полоска) на беременность 3 мм №2 ПДВ - 20201009HS2")</f>
        <v>Экспресс-Тест (полоска) на беременность 3 мм №2 ПДВ - 20201009HS2</v>
      </c>
      <c r="G86" s="1" t="str">
        <f ca="1">IFERROR(__xludf.DUMMYFUNCTION("""COMPUTED_VALUE"""),"KZ.7700.02.01.00715138 / Действителен до 01.11.2023 / 20201009HS2 / годен до 10.2023")</f>
        <v>KZ.7700.02.01.00715138 / Действителен до 01.11.2023 / 20201009HS2 / годен до 10.2023</v>
      </c>
      <c r="H86" s="1" t="str">
        <f ca="1">IFERROR(__xludf.DUMMYFUNCTION("""COMPUTED_VALUE"""),"Экспресс-Тест (полоска) на беременность 3 мм №2 ПДВ KZ.7700.02.01.00715138 / Действителен до 01.11.2023 / 20201009HS2 / годен до 10.2023")</f>
        <v>Экспресс-Тест (полоска) на беременность 3 мм №2 ПДВ KZ.7700.02.01.00715138 / Действителен до 01.11.2023 / 20201009HS2 / годен до 10.2023</v>
      </c>
    </row>
    <row r="87" spans="1:8" ht="12.75" x14ac:dyDescent="0.2">
      <c r="A87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87" s="1" t="str">
        <f ca="1">IFERROR(__xludf.DUMMYFUNCTION("""COMPUTED_VALUE"""),"KZ.7700.02.01.00715179")</f>
        <v>KZ.7700.02.01.00715179</v>
      </c>
      <c r="C87" s="1" t="str">
        <f ca="1">IFERROR(__xludf.DUMMYFUNCTION("""COMPUTED_VALUE"""),"Действителен до 01.11.2023")</f>
        <v>Действителен до 01.11.2023</v>
      </c>
      <c r="D87" s="8" t="str">
        <f ca="1">IFERROR(__xludf.DUMMYFUNCTION("""COMPUTED_VALUE"""),"20201009HM")</f>
        <v>20201009HM</v>
      </c>
      <c r="E87" s="1" t="str">
        <f ca="1">IFERROR(__xludf.DUMMYFUNCTION("""COMPUTED_VALUE"""),"годен до 10.2023")</f>
        <v>годен до 10.2023</v>
      </c>
      <c r="F87" s="1" t="str">
        <f ca="1">IFERROR(__xludf.DUMMYFUNCTION("""COMPUTED_VALUE"""),"Экспресс-Тест (струйный) на беременность - 20201009HM")</f>
        <v>Экспресс-Тест (струйный) на беременность - 20201009HM</v>
      </c>
      <c r="G87" s="1" t="str">
        <f ca="1">IFERROR(__xludf.DUMMYFUNCTION("""COMPUTED_VALUE"""),"KZ.7700.02.01.00715179 / Действителен до 01.11.2023 / 20201009HM / годен до 10.2023")</f>
        <v>KZ.7700.02.01.00715179 / Действителен до 01.11.2023 / 20201009HM / годен до 10.2023</v>
      </c>
      <c r="H87" s="1" t="str">
        <f ca="1">IFERROR(__xludf.DUMMYFUNCTION("""COMPUTED_VALUE"""),"Экспресс-Тест (струйный) на беременность KZ.7700.02.01.00715179 / Действителен до 01.11.2023 / 20201009HM / годен до 10.2023")</f>
        <v>Экспресс-Тест (струйный) на беременность KZ.7700.02.01.00715179 / Действителен до 01.11.2023 / 20201009HM / годен до 10.2023</v>
      </c>
    </row>
    <row r="88" spans="1:8" ht="12.75" x14ac:dyDescent="0.2">
      <c r="A88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88" s="1" t="str">
        <f ca="1">IFERROR(__xludf.DUMMYFUNCTION("""COMPUTED_VALUE"""),"KZ.7700.02.01.00653322")</f>
        <v>KZ.7700.02.01.00653322</v>
      </c>
      <c r="C88" s="1" t="str">
        <f ca="1">IFERROR(__xludf.DUMMYFUNCTION("""COMPUTED_VALUE"""),"Действителен до 01.04.2022")</f>
        <v>Действителен до 01.04.2022</v>
      </c>
      <c r="D88" s="8" t="str">
        <f ca="1">IFERROR(__xludf.DUMMYFUNCTION("""COMPUTED_VALUE"""),"20200305HS")</f>
        <v>20200305HS</v>
      </c>
      <c r="E88" s="1" t="str">
        <f ca="1">IFERROR(__xludf.DUMMYFUNCTION("""COMPUTED_VALUE"""),"годен до 03.2022")</f>
        <v>годен до 03.2022</v>
      </c>
      <c r="F88" s="1" t="str">
        <f ca="1">IFERROR(__xludf.DUMMYFUNCTION("""COMPUTED_VALUE"""),"Экспресс-Тест (полоска) на беременность 3 мм №1 - 20200305HS")</f>
        <v>Экспресс-Тест (полоска) на беременность 3 мм №1 - 20200305HS</v>
      </c>
      <c r="G88" s="1" t="str">
        <f ca="1">IFERROR(__xludf.DUMMYFUNCTION("""COMPUTED_VALUE"""),"KZ.7700.02.01.00653322 / Действителен до 01.04.2022 / 20200305HS / годен до 03.2022")</f>
        <v>KZ.7700.02.01.00653322 / Действителен до 01.04.2022 / 20200305HS / годен до 03.2022</v>
      </c>
      <c r="H88" s="1" t="str">
        <f ca="1">IFERROR(__xludf.DUMMYFUNCTION("""COMPUTED_VALUE"""),"Экспресс-Тест (полоска) на беременность 3 мм №1 KZ.7700.02.01.00653322 / Действителен до 01.04.2022 / 20200305HS / годен до 03.2022")</f>
        <v>Экспресс-Тест (полоска) на беременность 3 мм №1 KZ.7700.02.01.00653322 / Действителен до 01.04.2022 / 20200305HS / годен до 03.2022</v>
      </c>
    </row>
    <row r="89" spans="1:8" ht="12.75" x14ac:dyDescent="0.2">
      <c r="A89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89" s="1" t="str">
        <f ca="1">IFERROR(__xludf.DUMMYFUNCTION("""COMPUTED_VALUE"""),"KZ.7700.02.01.00653323")</f>
        <v>KZ.7700.02.01.00653323</v>
      </c>
      <c r="C89" s="1" t="str">
        <f ca="1">IFERROR(__xludf.DUMMYFUNCTION("""COMPUTED_VALUE"""),"Действителен до 01.04.2022")</f>
        <v>Действителен до 01.04.2022</v>
      </c>
      <c r="D89" s="8" t="str">
        <f ca="1">IFERROR(__xludf.DUMMYFUNCTION("""COMPUTED_VALUE"""),"20200305HS2")</f>
        <v>20200305HS2</v>
      </c>
      <c r="E89" s="1" t="str">
        <f ca="1">IFERROR(__xludf.DUMMYFUNCTION("""COMPUTED_VALUE"""),"годен до 03.2022")</f>
        <v>годен до 03.2022</v>
      </c>
      <c r="F89" s="1" t="str">
        <f ca="1">IFERROR(__xludf.DUMMYFUNCTION("""COMPUTED_VALUE"""),"Экспресс-Тест (полоска) на беременность 3 мм №2 ПДВ - 20200305HS2")</f>
        <v>Экспресс-Тест (полоска) на беременность 3 мм №2 ПДВ - 20200305HS2</v>
      </c>
      <c r="G89" s="1" t="str">
        <f ca="1">IFERROR(__xludf.DUMMYFUNCTION("""COMPUTED_VALUE"""),"KZ.7700.02.01.00653323 / Действителен до 01.04.2022 / 20200305HS2 / годен до 03.2022")</f>
        <v>KZ.7700.02.01.00653323 / Действителен до 01.04.2022 / 20200305HS2 / годен до 03.2022</v>
      </c>
      <c r="H89" s="1" t="str">
        <f ca="1">IFERROR(__xludf.DUMMYFUNCTION("""COMPUTED_VALUE"""),"Экспресс-Тест (полоска) на беременность 3 мм №2 ПДВ KZ.7700.02.01.00653323 / Действителен до 01.04.2022 / 20200305HS2 / годен до 03.2022")</f>
        <v>Экспресс-Тест (полоска) на беременность 3 мм №2 ПДВ KZ.7700.02.01.00653323 / Действителен до 01.04.2022 / 20200305HS2 / годен до 03.2022</v>
      </c>
    </row>
    <row r="90" spans="1:8" ht="12.75" x14ac:dyDescent="0.2">
      <c r="A90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90" s="1" t="str">
        <f ca="1">IFERROR(__xludf.DUMMYFUNCTION("""COMPUTED_VALUE"""),"KZ.7700.02.01.00653324")</f>
        <v>KZ.7700.02.01.00653324</v>
      </c>
      <c r="C90" s="1" t="str">
        <f ca="1">IFERROR(__xludf.DUMMYFUNCTION("""COMPUTED_VALUE"""),"Действителен до 01.04.2022")</f>
        <v>Действителен до 01.04.2022</v>
      </c>
      <c r="D90" s="8" t="str">
        <f ca="1">IFERROR(__xludf.DUMMYFUNCTION("""COMPUTED_VALUE"""),"20200305HM")</f>
        <v>20200305HM</v>
      </c>
      <c r="E90" s="1" t="str">
        <f ca="1">IFERROR(__xludf.DUMMYFUNCTION("""COMPUTED_VALUE"""),"годен до 03.2022")</f>
        <v>годен до 03.2022</v>
      </c>
      <c r="F90" s="1" t="str">
        <f ca="1">IFERROR(__xludf.DUMMYFUNCTION("""COMPUTED_VALUE"""),"Экспресс-Тест (струйный) на беременность - 20200305HM")</f>
        <v>Экспресс-Тест (струйный) на беременность - 20200305HM</v>
      </c>
      <c r="G90" s="1" t="str">
        <f ca="1">IFERROR(__xludf.DUMMYFUNCTION("""COMPUTED_VALUE"""),"KZ.7700.02.01.00653324 / Действителен до 01.04.2022 / 20200305HM / годен до 03.2022")</f>
        <v>KZ.7700.02.01.00653324 / Действителен до 01.04.2022 / 20200305HM / годен до 03.2022</v>
      </c>
      <c r="H90" s="1" t="str">
        <f ca="1">IFERROR(__xludf.DUMMYFUNCTION("""COMPUTED_VALUE"""),"Экспресс-Тест (струйный) на беременность KZ.7700.02.01.00653324 / Действителен до 01.04.2022 / 20200305HM / годен до 03.2022")</f>
        <v>Экспресс-Тест (струйный) на беременность KZ.7700.02.01.00653324 / Действителен до 01.04.2022 / 20200305HM / годен до 03.2022</v>
      </c>
    </row>
    <row r="91" spans="1:8" ht="12.75" x14ac:dyDescent="0.2">
      <c r="A91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91" s="1" t="str">
        <f ca="1">IFERROR(__xludf.DUMMYFUNCTION("""COMPUTED_VALUE"""),"KZ.7700.02.01.00653325")</f>
        <v>KZ.7700.02.01.00653325</v>
      </c>
      <c r="C91" s="1" t="str">
        <f ca="1">IFERROR(__xludf.DUMMYFUNCTION("""COMPUTED_VALUE"""),"Действителен до 01.04.2022")</f>
        <v>Действителен до 01.04.2022</v>
      </c>
      <c r="D91" s="8" t="str">
        <f ca="1">IFERROR(__xludf.DUMMYFUNCTION("""COMPUTED_VALUE"""),"20200305LS")</f>
        <v>20200305LS</v>
      </c>
      <c r="E91" s="1" t="str">
        <f ca="1">IFERROR(__xludf.DUMMYFUNCTION("""COMPUTED_VALUE"""),"годен до 03.2022.")</f>
        <v>годен до 03.2022.</v>
      </c>
      <c r="F91" s="1" t="str">
        <f ca="1">IFERROR(__xludf.DUMMYFUNCTION("""COMPUTED_VALUE"""),"Экспресс-Тест (полоска) на овуляцию №5 + 1 ПДВ - 20200305LS")</f>
        <v>Экспресс-Тест (полоска) на овуляцию №5 + 1 ПДВ - 20200305LS</v>
      </c>
      <c r="G91" s="1" t="str">
        <f ca="1">IFERROR(__xludf.DUMMYFUNCTION("""COMPUTED_VALUE"""),"KZ.7700.02.01.00653325 / Действителен до 01.04.2022 / 20200305LS / годен до 03.2022.")</f>
        <v>KZ.7700.02.01.00653325 / Действителен до 01.04.2022 / 20200305LS / годен до 03.2022.</v>
      </c>
      <c r="H91" s="1" t="str">
        <f ca="1">IFERROR(__xludf.DUMMYFUNCTION("""COMPUTED_VALUE"""),"Экспресс-Тест (полоска) на овуляцию №5 + 1 ПДВ KZ.7700.02.01.00653325 / Действителен до 01.04.2022 / 20200305LS / годен до 03.2022.")</f>
        <v>Экспресс-Тест (полоска) на овуляцию №5 + 1 ПДВ KZ.7700.02.01.00653325 / Действителен до 01.04.2022 / 20200305LS / годен до 03.2022.</v>
      </c>
    </row>
    <row r="92" spans="1:8" ht="12.75" x14ac:dyDescent="0.2">
      <c r="A92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92" s="1" t="str">
        <f ca="1">IFERROR(__xludf.DUMMYFUNCTION("""COMPUTED_VALUE"""),"KZ.7700.02.01.00620222")</f>
        <v>KZ.7700.02.01.00620222</v>
      </c>
      <c r="C92" s="1" t="str">
        <f ca="1">IFERROR(__xludf.DUMMYFUNCTION("""COMPUTED_VALUE"""),"Действителен до 01.12.2021")</f>
        <v>Действителен до 01.12.2021</v>
      </c>
      <c r="D92" s="8" t="str">
        <f ca="1">IFERROR(__xludf.DUMMYFUNCTION("""COMPUTED_VALUE"""),"20191105HS")</f>
        <v>20191105HS</v>
      </c>
      <c r="E92" s="1" t="str">
        <f ca="1">IFERROR(__xludf.DUMMYFUNCTION("""COMPUTED_VALUE"""),"годен до 11.2021.")</f>
        <v>годен до 11.2021.</v>
      </c>
      <c r="F92" s="1" t="str">
        <f ca="1">IFERROR(__xludf.DUMMYFUNCTION("""COMPUTED_VALUE"""),"Экспресс-Тест (полоска) на беременность 3 мм №1 - 20191105HS")</f>
        <v>Экспресс-Тест (полоска) на беременность 3 мм №1 - 20191105HS</v>
      </c>
      <c r="G92" s="1" t="str">
        <f ca="1">IFERROR(__xludf.DUMMYFUNCTION("""COMPUTED_VALUE"""),"KZ.7700.02.01.00620222 / Действителен до 01.12.2021 / 20191105HS / годен до 11.2021.")</f>
        <v>KZ.7700.02.01.00620222 / Действителен до 01.12.2021 / 20191105HS / годен до 11.2021.</v>
      </c>
      <c r="H92" s="1" t="str">
        <f ca="1">IFERROR(__xludf.DUMMYFUNCTION("""COMPUTED_VALUE"""),"Экспресс-Тест (полоска) на беременность 3 мм №1 KZ.7700.02.01.00620222 / Действителен до 01.12.2021 / 20191105HS / годен до 11.2021.")</f>
        <v>Экспресс-Тест (полоска) на беременность 3 мм №1 KZ.7700.02.01.00620222 / Действителен до 01.12.2021 / 20191105HS / годен до 11.2021.</v>
      </c>
    </row>
    <row r="93" spans="1:8" ht="12.75" x14ac:dyDescent="0.2">
      <c r="A93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93" s="1" t="str">
        <f ca="1">IFERROR(__xludf.DUMMYFUNCTION("""COMPUTED_VALUE"""),"KZ.7700.02.01.00620223")</f>
        <v>KZ.7700.02.01.00620223</v>
      </c>
      <c r="C93" s="1" t="str">
        <f ca="1">IFERROR(__xludf.DUMMYFUNCTION("""COMPUTED_VALUE"""),"Действителен до 01.12.2021")</f>
        <v>Действителен до 01.12.2021</v>
      </c>
      <c r="D93" s="8" t="str">
        <f ca="1">IFERROR(__xludf.DUMMYFUNCTION("""COMPUTED_VALUE"""),"20191105HS2")</f>
        <v>20191105HS2</v>
      </c>
      <c r="E93" s="1" t="str">
        <f ca="1">IFERROR(__xludf.DUMMYFUNCTION("""COMPUTED_VALUE"""),"годен до 11.2021")</f>
        <v>годен до 11.2021</v>
      </c>
      <c r="F93" s="1" t="str">
        <f ca="1">IFERROR(__xludf.DUMMYFUNCTION("""COMPUTED_VALUE"""),"Экспресс-Тест (полоска) на беременность 3 мм №2 ПДВ - 20191105HS2")</f>
        <v>Экспресс-Тест (полоска) на беременность 3 мм №2 ПДВ - 20191105HS2</v>
      </c>
      <c r="G93" s="1" t="str">
        <f ca="1">IFERROR(__xludf.DUMMYFUNCTION("""COMPUTED_VALUE"""),"KZ.7700.02.01.00620223 / Действителен до 01.12.2021 / 20191105HS2 / годен до 11.2021")</f>
        <v>KZ.7700.02.01.00620223 / Действителен до 01.12.2021 / 20191105HS2 / годен до 11.2021</v>
      </c>
      <c r="H93" s="1" t="str">
        <f ca="1">IFERROR(__xludf.DUMMYFUNCTION("""COMPUTED_VALUE"""),"Экспресс-Тест (полоска) на беременность 3 мм №2 ПДВ KZ.7700.02.01.00620223 / Действителен до 01.12.2021 / 20191105HS2 / годен до 11.2021")</f>
        <v>Экспресс-Тест (полоска) на беременность 3 мм №2 ПДВ KZ.7700.02.01.00620223 / Действителен до 01.12.2021 / 20191105HS2 / годен до 11.2021</v>
      </c>
    </row>
    <row r="94" spans="1:8" ht="12.75" x14ac:dyDescent="0.2">
      <c r="A94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94" s="1" t="str">
        <f ca="1">IFERROR(__xludf.DUMMYFUNCTION("""COMPUTED_VALUE"""),"KZ.7700.02.01.00620220")</f>
        <v>KZ.7700.02.01.00620220</v>
      </c>
      <c r="C94" s="1" t="str">
        <f ca="1">IFERROR(__xludf.DUMMYFUNCTION("""COMPUTED_VALUE"""),"Действителен до 01.12.2021")</f>
        <v>Действителен до 01.12.2021</v>
      </c>
      <c r="D94" s="8" t="str">
        <f ca="1">IFERROR(__xludf.DUMMYFUNCTION("""COMPUTED_VALUE"""),"20191105HM")</f>
        <v>20191105HM</v>
      </c>
      <c r="E94" s="1" t="str">
        <f ca="1">IFERROR(__xludf.DUMMYFUNCTION("""COMPUTED_VALUE"""),"годен до 11.2021.")</f>
        <v>годен до 11.2021.</v>
      </c>
      <c r="F94" s="1" t="str">
        <f ca="1">IFERROR(__xludf.DUMMYFUNCTION("""COMPUTED_VALUE"""),"Экспресс-Тест (струйный) на беременность - 20191105HM")</f>
        <v>Экспресс-Тест (струйный) на беременность - 20191105HM</v>
      </c>
      <c r="G94" s="1" t="str">
        <f ca="1">IFERROR(__xludf.DUMMYFUNCTION("""COMPUTED_VALUE"""),"KZ.7700.02.01.00620220 / Действителен до 01.12.2021 / 20191105HM / годен до 11.2021.")</f>
        <v>KZ.7700.02.01.00620220 / Действителен до 01.12.2021 / 20191105HM / годен до 11.2021.</v>
      </c>
      <c r="H94" s="1" t="str">
        <f ca="1">IFERROR(__xludf.DUMMYFUNCTION("""COMPUTED_VALUE"""),"Экспресс-Тест (струйный) на беременность KZ.7700.02.01.00620220 / Действителен до 01.12.2021 / 20191105HM / годен до 11.2021.")</f>
        <v>Экспресс-Тест (струйный) на беременность KZ.7700.02.01.00620220 / Действителен до 01.12.2021 / 20191105HM / годен до 11.2021.</v>
      </c>
    </row>
    <row r="95" spans="1:8" ht="12.75" x14ac:dyDescent="0.2">
      <c r="A95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95" s="1" t="str">
        <f ca="1">IFERROR(__xludf.DUMMYFUNCTION("""COMPUTED_VALUE"""),"KZ.7700.02.01.00620227")</f>
        <v>KZ.7700.02.01.00620227</v>
      </c>
      <c r="C95" s="1" t="str">
        <f ca="1">IFERROR(__xludf.DUMMYFUNCTION("""COMPUTED_VALUE"""),"Действителен до 01.12.2021")</f>
        <v>Действителен до 01.12.2021</v>
      </c>
      <c r="D95" s="8" t="str">
        <f ca="1">IFERROR(__xludf.DUMMYFUNCTION("""COMPUTED_VALUE"""),"20191105LS")</f>
        <v>20191105LS</v>
      </c>
      <c r="E95" s="1" t="str">
        <f ca="1">IFERROR(__xludf.DUMMYFUNCTION("""COMPUTED_VALUE"""),"годен до 11.2021.")</f>
        <v>годен до 11.2021.</v>
      </c>
      <c r="F95" s="1" t="str">
        <f ca="1">IFERROR(__xludf.DUMMYFUNCTION("""COMPUTED_VALUE"""),"Экспресс-Тест (полоска) на овуляцию №5 + 1 ПДВ - 20191105LS")</f>
        <v>Экспресс-Тест (полоска) на овуляцию №5 + 1 ПДВ - 20191105LS</v>
      </c>
      <c r="G95" s="1" t="str">
        <f ca="1">IFERROR(__xludf.DUMMYFUNCTION("""COMPUTED_VALUE"""),"KZ.7700.02.01.00620227 / Действителен до 01.12.2021 / 20191105LS / годен до 11.2021.")</f>
        <v>KZ.7700.02.01.00620227 / Действителен до 01.12.2021 / 20191105LS / годен до 11.2021.</v>
      </c>
      <c r="H95" s="1" t="str">
        <f ca="1">IFERROR(__xludf.DUMMYFUNCTION("""COMPUTED_VALUE"""),"Экспресс-Тест (полоска) на овуляцию №5 + 1 ПДВ KZ.7700.02.01.00620227 / Действителен до 01.12.2021 / 20191105LS / годен до 11.2021.")</f>
        <v>Экспресс-Тест (полоска) на овуляцию №5 + 1 ПДВ KZ.7700.02.01.00620227 / Действителен до 01.12.2021 / 20191105LS / годен до 11.2021.</v>
      </c>
    </row>
    <row r="96" spans="1:8" ht="12.75" x14ac:dyDescent="0.2">
      <c r="A96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96" s="1" t="str">
        <f ca="1">IFERROR(__xludf.DUMMYFUNCTION("""COMPUTED_VALUE"""),"KZ.7700.02.01.00587877")</f>
        <v>KZ.7700.02.01.00587877</v>
      </c>
      <c r="C96" s="1" t="str">
        <f ca="1">IFERROR(__xludf.DUMMYFUNCTION("""COMPUTED_VALUE"""),"Действителен до 01.08.2021")</f>
        <v>Действителен до 01.08.2021</v>
      </c>
      <c r="D96" s="8" t="str">
        <f ca="1">IFERROR(__xludf.DUMMYFUNCTION("""COMPUTED_VALUE"""),"20190702HS")</f>
        <v>20190702HS</v>
      </c>
      <c r="E96" s="1" t="str">
        <f ca="1">IFERROR(__xludf.DUMMYFUNCTION("""COMPUTED_VALUE"""),"годен до 07.2021")</f>
        <v>годен до 07.2021</v>
      </c>
      <c r="F96" s="1" t="str">
        <f ca="1">IFERROR(__xludf.DUMMYFUNCTION("""COMPUTED_VALUE"""),"Экспресс-Тест (полоска) на беременность 3 мм №1 - 20190702HS")</f>
        <v>Экспресс-Тест (полоска) на беременность 3 мм №1 - 20190702HS</v>
      </c>
      <c r="G96" s="1" t="str">
        <f ca="1">IFERROR(__xludf.DUMMYFUNCTION("""COMPUTED_VALUE"""),"KZ.7700.02.01.00587877 / Действителен до 01.08.2021 / 20190702HS / годен до 07.2021")</f>
        <v>KZ.7700.02.01.00587877 / Действителен до 01.08.2021 / 20190702HS / годен до 07.2021</v>
      </c>
      <c r="H96" s="1" t="str">
        <f ca="1">IFERROR(__xludf.DUMMYFUNCTION("""COMPUTED_VALUE"""),"Экспресс-Тест (полоска) на беременность 3 мм №1 KZ.7700.02.01.00587877 / Действителен до 01.08.2021 / 20190702HS / годен до 07.2021")</f>
        <v>Экспресс-Тест (полоска) на беременность 3 мм №1 KZ.7700.02.01.00587877 / Действителен до 01.08.2021 / 20190702HS / годен до 07.2021</v>
      </c>
    </row>
    <row r="97" spans="1:8" ht="12.75" x14ac:dyDescent="0.2">
      <c r="A97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97" s="1" t="str">
        <f ca="1">IFERROR(__xludf.DUMMYFUNCTION("""COMPUTED_VALUE"""),"KZ.7700.02.01.00587898")</f>
        <v>KZ.7700.02.01.00587898</v>
      </c>
      <c r="C97" s="1" t="str">
        <f ca="1">IFERROR(__xludf.DUMMYFUNCTION("""COMPUTED_VALUE"""),"Действителен до 01.08.2021")</f>
        <v>Действителен до 01.08.2021</v>
      </c>
      <c r="D97" s="8" t="str">
        <f ca="1">IFERROR(__xludf.DUMMYFUNCTION("""COMPUTED_VALUE"""),"20190702HS2")</f>
        <v>20190702HS2</v>
      </c>
      <c r="E97" s="1" t="str">
        <f ca="1">IFERROR(__xludf.DUMMYFUNCTION("""COMPUTED_VALUE"""),"годен до 07.2021")</f>
        <v>годен до 07.2021</v>
      </c>
      <c r="F97" s="1" t="str">
        <f ca="1">IFERROR(__xludf.DUMMYFUNCTION("""COMPUTED_VALUE"""),"Экспресс-Тест (полоска) на беременность 3 мм №2 ПДВ - 20190702HS2")</f>
        <v>Экспресс-Тест (полоска) на беременность 3 мм №2 ПДВ - 20190702HS2</v>
      </c>
      <c r="G97" s="1" t="str">
        <f ca="1">IFERROR(__xludf.DUMMYFUNCTION("""COMPUTED_VALUE"""),"KZ.7700.02.01.00587898 / Действителен до 01.08.2021 / 20190702HS2 / годен до 07.2021")</f>
        <v>KZ.7700.02.01.00587898 / Действителен до 01.08.2021 / 20190702HS2 / годен до 07.2021</v>
      </c>
      <c r="H97" s="1" t="str">
        <f ca="1">IFERROR(__xludf.DUMMYFUNCTION("""COMPUTED_VALUE"""),"Экспресс-Тест (полоска) на беременность 3 мм №2 ПДВ KZ.7700.02.01.00587898 / Действителен до 01.08.2021 / 20190702HS2 / годен до 07.2021")</f>
        <v>Экспресс-Тест (полоска) на беременность 3 мм №2 ПДВ KZ.7700.02.01.00587898 / Действителен до 01.08.2021 / 20190702HS2 / годен до 07.2021</v>
      </c>
    </row>
    <row r="98" spans="1:8" ht="12.75" x14ac:dyDescent="0.2">
      <c r="A98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98" s="1" t="str">
        <f ca="1">IFERROR(__xludf.DUMMYFUNCTION("""COMPUTED_VALUE"""),"KZ.7700.02.01.00587878")</f>
        <v>KZ.7700.02.01.00587878</v>
      </c>
      <c r="C98" s="1" t="str">
        <f ca="1">IFERROR(__xludf.DUMMYFUNCTION("""COMPUTED_VALUE"""),"Действителен до 01.08.2021")</f>
        <v>Действителен до 01.08.2021</v>
      </c>
      <c r="D98" s="8" t="str">
        <f ca="1">IFERROR(__xludf.DUMMYFUNCTION("""COMPUTED_VALUE"""),"20190702HM")</f>
        <v>20190702HM</v>
      </c>
      <c r="E98" s="1" t="str">
        <f ca="1">IFERROR(__xludf.DUMMYFUNCTION("""COMPUTED_VALUE"""),"годен до 07.2021")</f>
        <v>годен до 07.2021</v>
      </c>
      <c r="F98" s="1" t="str">
        <f ca="1">IFERROR(__xludf.DUMMYFUNCTION("""COMPUTED_VALUE"""),"Экспресс-Тест (струйный) на беременность - 20190702HM")</f>
        <v>Экспресс-Тест (струйный) на беременность - 20190702HM</v>
      </c>
      <c r="G98" s="1" t="str">
        <f ca="1">IFERROR(__xludf.DUMMYFUNCTION("""COMPUTED_VALUE"""),"KZ.7700.02.01.00587878 / Действителен до 01.08.2021 / 20190702HM / годен до 07.2021")</f>
        <v>KZ.7700.02.01.00587878 / Действителен до 01.08.2021 / 20190702HM / годен до 07.2021</v>
      </c>
      <c r="H98" s="1" t="str">
        <f ca="1">IFERROR(__xludf.DUMMYFUNCTION("""COMPUTED_VALUE"""),"Экспресс-Тест (струйный) на беременность KZ.7700.02.01.00587878 / Действителен до 01.08.2021 / 20190702HM / годен до 07.2021")</f>
        <v>Экспресс-Тест (струйный) на беременность KZ.7700.02.01.00587878 / Действителен до 01.08.2021 / 20190702HM / годен до 07.2021</v>
      </c>
    </row>
    <row r="99" spans="1:8" ht="12.75" x14ac:dyDescent="0.2">
      <c r="A99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99" s="1" t="str">
        <f ca="1">IFERROR(__xludf.DUMMYFUNCTION("""COMPUTED_VALUE"""),"KZ.7700.02.01.00587882")</f>
        <v>KZ.7700.02.01.00587882</v>
      </c>
      <c r="C99" s="1" t="str">
        <f ca="1">IFERROR(__xludf.DUMMYFUNCTION("""COMPUTED_VALUE"""),"Действителен до 01.08.2021")</f>
        <v>Действителен до 01.08.2021</v>
      </c>
      <c r="D99" s="8" t="str">
        <f ca="1">IFERROR(__xludf.DUMMYFUNCTION("""COMPUTED_VALUE"""),"20190702LS")</f>
        <v>20190702LS</v>
      </c>
      <c r="E99" s="1" t="str">
        <f ca="1">IFERROR(__xludf.DUMMYFUNCTION("""COMPUTED_VALUE"""),"годен до 07.2021")</f>
        <v>годен до 07.2021</v>
      </c>
      <c r="F99" s="1" t="str">
        <f ca="1">IFERROR(__xludf.DUMMYFUNCTION("""COMPUTED_VALUE"""),"Экспресс-Тест (полоска) на овуляцию №5 + 1 ПДВ - 20190702LS")</f>
        <v>Экспресс-Тест (полоска) на овуляцию №5 + 1 ПДВ - 20190702LS</v>
      </c>
      <c r="G99" s="1" t="str">
        <f ca="1">IFERROR(__xludf.DUMMYFUNCTION("""COMPUTED_VALUE"""),"KZ.7700.02.01.00587882 / Действителен до 01.08.2021 / 20190702LS / годен до 07.2021")</f>
        <v>KZ.7700.02.01.00587882 / Действителен до 01.08.2021 / 20190702LS / годен до 07.2021</v>
      </c>
      <c r="H99" s="1" t="str">
        <f ca="1">IFERROR(__xludf.DUMMYFUNCTION("""COMPUTED_VALUE"""),"Экспресс-Тест (полоска) на овуляцию №5 + 1 ПДВ KZ.7700.02.01.00587882 / Действителен до 01.08.2021 / 20190702LS / годен до 07.2021")</f>
        <v>Экспресс-Тест (полоска) на овуляцию №5 + 1 ПДВ KZ.7700.02.01.00587882 / Действителен до 01.08.2021 / 20190702LS / годен до 07.2021</v>
      </c>
    </row>
    <row r="100" spans="1:8" ht="12.75" x14ac:dyDescent="0.2">
      <c r="A100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00" s="1" t="str">
        <f ca="1">IFERROR(__xludf.DUMMYFUNCTION("""COMPUTED_VALUE"""),"KZ.7700.02.01.00572086")</f>
        <v>KZ.7700.02.01.00572086</v>
      </c>
      <c r="C100" s="1" t="str">
        <f ca="1">IFERROR(__xludf.DUMMYFUNCTION("""COMPUTED_VALUE"""),"Действителен до 01.06.2021")</f>
        <v>Действителен до 01.06.2021</v>
      </c>
      <c r="D100" s="8" t="str">
        <f ca="1">IFERROR(__xludf.DUMMYFUNCTION("""COMPUTED_VALUE"""),"20190508HS")</f>
        <v>20190508HS</v>
      </c>
      <c r="E100" s="1" t="str">
        <f ca="1">IFERROR(__xludf.DUMMYFUNCTION("""COMPUTED_VALUE"""),"годен до 05.2021")</f>
        <v>годен до 05.2021</v>
      </c>
      <c r="F100" s="1" t="str">
        <f ca="1">IFERROR(__xludf.DUMMYFUNCTION("""COMPUTED_VALUE"""),"Экспресс-Тест (полоска) на беременность 3 мм №1 - 20190508HS")</f>
        <v>Экспресс-Тест (полоска) на беременность 3 мм №1 - 20190508HS</v>
      </c>
      <c r="G100" s="1" t="str">
        <f ca="1">IFERROR(__xludf.DUMMYFUNCTION("""COMPUTED_VALUE"""),"KZ.7700.02.01.00572086 / Действителен до 01.06.2021 / 20190508HS / годен до 05.2021")</f>
        <v>KZ.7700.02.01.00572086 / Действителен до 01.06.2021 / 20190508HS / годен до 05.2021</v>
      </c>
      <c r="H100" s="1" t="str">
        <f ca="1">IFERROR(__xludf.DUMMYFUNCTION("""COMPUTED_VALUE"""),"Экспресс-Тест (полоска) на беременность 3 мм №1 KZ.7700.02.01.00572086 / Действителен до 01.06.2021 / 20190508HS / годен до 05.2021")</f>
        <v>Экспресс-Тест (полоска) на беременность 3 мм №1 KZ.7700.02.01.00572086 / Действителен до 01.06.2021 / 20190508HS / годен до 05.2021</v>
      </c>
    </row>
    <row r="101" spans="1:8" ht="12.75" x14ac:dyDescent="0.2">
      <c r="A101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01" s="1" t="str">
        <f ca="1">IFERROR(__xludf.DUMMYFUNCTION("""COMPUTED_VALUE"""),"KZ.7700.02.01.00572087")</f>
        <v>KZ.7700.02.01.00572087</v>
      </c>
      <c r="C101" s="1" t="str">
        <f ca="1">IFERROR(__xludf.DUMMYFUNCTION("""COMPUTED_VALUE"""),"Действителен до 01.06.2021")</f>
        <v>Действителен до 01.06.2021</v>
      </c>
      <c r="D101" s="8" t="str">
        <f ca="1">IFERROR(__xludf.DUMMYFUNCTION("""COMPUTED_VALUE"""),"20190508HS2")</f>
        <v>20190508HS2</v>
      </c>
      <c r="E101" s="1" t="str">
        <f ca="1">IFERROR(__xludf.DUMMYFUNCTION("""COMPUTED_VALUE"""),"годен до 05.2021")</f>
        <v>годен до 05.2021</v>
      </c>
      <c r="F101" s="1" t="str">
        <f ca="1">IFERROR(__xludf.DUMMYFUNCTION("""COMPUTED_VALUE"""),"Экспресс-Тест (полоска) на беременность 3 мм №2 ПДВ - 20190508HS2")</f>
        <v>Экспресс-Тест (полоска) на беременность 3 мм №2 ПДВ - 20190508HS2</v>
      </c>
      <c r="G101" s="1" t="str">
        <f ca="1">IFERROR(__xludf.DUMMYFUNCTION("""COMPUTED_VALUE"""),"KZ.7700.02.01.00572087 / Действителен до 01.06.2021 / 20190508HS2 / годен до 05.2021")</f>
        <v>KZ.7700.02.01.00572087 / Действителен до 01.06.2021 / 20190508HS2 / годен до 05.2021</v>
      </c>
      <c r="H101" s="1" t="str">
        <f ca="1">IFERROR(__xludf.DUMMYFUNCTION("""COMPUTED_VALUE"""),"Экспресс-Тест (полоска) на беременность 3 мм №2 ПДВ KZ.7700.02.01.00572087 / Действителен до 01.06.2021 / 20190508HS2 / годен до 05.2021")</f>
        <v>Экспресс-Тест (полоска) на беременность 3 мм №2 ПДВ KZ.7700.02.01.00572087 / Действителен до 01.06.2021 / 20190508HS2 / годен до 05.2021</v>
      </c>
    </row>
    <row r="102" spans="1:8" ht="12.75" x14ac:dyDescent="0.2">
      <c r="A102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02" s="1" t="str">
        <f ca="1">IFERROR(__xludf.DUMMYFUNCTION("""COMPUTED_VALUE"""),"KZ.7700.02.01.00572085")</f>
        <v>KZ.7700.02.01.00572085</v>
      </c>
      <c r="C102" s="1" t="str">
        <f ca="1">IFERROR(__xludf.DUMMYFUNCTION("""COMPUTED_VALUE"""),"Действителен до 01.06.2021")</f>
        <v>Действителен до 01.06.2021</v>
      </c>
      <c r="D102" s="8" t="str">
        <f ca="1">IFERROR(__xludf.DUMMYFUNCTION("""COMPUTED_VALUE"""),"20190508HM")</f>
        <v>20190508HM</v>
      </c>
      <c r="E102" s="1" t="str">
        <f ca="1">IFERROR(__xludf.DUMMYFUNCTION("""COMPUTED_VALUE"""),"годен до 05.2021")</f>
        <v>годен до 05.2021</v>
      </c>
      <c r="F102" s="1" t="str">
        <f ca="1">IFERROR(__xludf.DUMMYFUNCTION("""COMPUTED_VALUE"""),"Экспресс-Тест (струйный) на беременность - 20190508HM")</f>
        <v>Экспресс-Тест (струйный) на беременность - 20190508HM</v>
      </c>
      <c r="G102" s="1" t="str">
        <f ca="1">IFERROR(__xludf.DUMMYFUNCTION("""COMPUTED_VALUE"""),"KZ.7700.02.01.00572085 / Действителен до 01.06.2021 / 20190508HM / годен до 05.2021")</f>
        <v>KZ.7700.02.01.00572085 / Действителен до 01.06.2021 / 20190508HM / годен до 05.2021</v>
      </c>
      <c r="H102" s="1" t="str">
        <f ca="1">IFERROR(__xludf.DUMMYFUNCTION("""COMPUTED_VALUE"""),"Экспресс-Тест (струйный) на беременность KZ.7700.02.01.00572085 / Действителен до 01.06.2021 / 20190508HM / годен до 05.2021")</f>
        <v>Экспресс-Тест (струйный) на беременность KZ.7700.02.01.00572085 / Действителен до 01.06.2021 / 20190508HM / годен до 05.2021</v>
      </c>
    </row>
    <row r="103" spans="1:8" ht="12.75" x14ac:dyDescent="0.2">
      <c r="A103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03" s="1" t="str">
        <f ca="1">IFERROR(__xludf.DUMMYFUNCTION("""COMPUTED_VALUE"""),"KZ.7700.02.01.00572088")</f>
        <v>KZ.7700.02.01.00572088</v>
      </c>
      <c r="C103" s="1" t="str">
        <f ca="1">IFERROR(__xludf.DUMMYFUNCTION("""COMPUTED_VALUE"""),"Действителен до 01.06.2021")</f>
        <v>Действителен до 01.06.2021</v>
      </c>
      <c r="D103" s="8" t="str">
        <f ca="1">IFERROR(__xludf.DUMMYFUNCTION("""COMPUTED_VALUE"""),"20190508LS")</f>
        <v>20190508LS</v>
      </c>
      <c r="E103" s="1" t="str">
        <f ca="1">IFERROR(__xludf.DUMMYFUNCTION("""COMPUTED_VALUE"""),"годен до 05.2021")</f>
        <v>годен до 05.2021</v>
      </c>
      <c r="F103" s="1" t="str">
        <f ca="1">IFERROR(__xludf.DUMMYFUNCTION("""COMPUTED_VALUE"""),"Экспресс-Тест (полоска) на овуляцию №5 + 1 ПДВ - 20190508LS")</f>
        <v>Экспресс-Тест (полоска) на овуляцию №5 + 1 ПДВ - 20190508LS</v>
      </c>
      <c r="G103" s="1" t="str">
        <f ca="1">IFERROR(__xludf.DUMMYFUNCTION("""COMPUTED_VALUE"""),"KZ.7700.02.01.00572088 / Действителен до 01.06.2021 / 20190508LS / годен до 05.2021")</f>
        <v>KZ.7700.02.01.00572088 / Действителен до 01.06.2021 / 20190508LS / годен до 05.2021</v>
      </c>
      <c r="H103" s="1" t="str">
        <f ca="1">IFERROR(__xludf.DUMMYFUNCTION("""COMPUTED_VALUE"""),"Экспресс-Тест (полоска) на овуляцию №5 + 1 ПДВ KZ.7700.02.01.00572088 / Действителен до 01.06.2021 / 20190508LS / годен до 05.2021")</f>
        <v>Экспресс-Тест (полоска) на овуляцию №5 + 1 ПДВ KZ.7700.02.01.00572088 / Действителен до 01.06.2021 / 20190508LS / годен до 05.2021</v>
      </c>
    </row>
    <row r="104" spans="1:8" ht="12.75" x14ac:dyDescent="0.2">
      <c r="A104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04" s="1" t="str">
        <f ca="1">IFERROR(__xludf.DUMMYFUNCTION("""COMPUTED_VALUE"""),"KZ.7700.02.01.00553960")</f>
        <v>KZ.7700.02.01.00553960</v>
      </c>
      <c r="C104" s="1" t="str">
        <f ca="1">IFERROR(__xludf.DUMMYFUNCTION("""COMPUTED_VALUE"""),"Действителен до 01.02.2021")</f>
        <v>Действителен до 01.02.2021</v>
      </c>
      <c r="D104" s="8" t="str">
        <f ca="1">IFERROR(__xludf.DUMMYFUNCTION("""COMPUTED_VALUE"""),"20190117HS")</f>
        <v>20190117HS</v>
      </c>
      <c r="E104" s="1" t="str">
        <f ca="1">IFERROR(__xludf.DUMMYFUNCTION("""COMPUTED_VALUE"""),"годен до 01.2021")</f>
        <v>годен до 01.2021</v>
      </c>
      <c r="F104" s="1" t="str">
        <f ca="1">IFERROR(__xludf.DUMMYFUNCTION("""COMPUTED_VALUE"""),"Экспресс-Тест (полоска) на беременность 3 мм №1 - 20190117HS")</f>
        <v>Экспресс-Тест (полоска) на беременность 3 мм №1 - 20190117HS</v>
      </c>
      <c r="G104" s="1" t="str">
        <f ca="1">IFERROR(__xludf.DUMMYFUNCTION("""COMPUTED_VALUE"""),"KZ.7700.02.01.00553960 / Действителен до 01.02.2021 / 20190117HS / годен до 01.2021")</f>
        <v>KZ.7700.02.01.00553960 / Действителен до 01.02.2021 / 20190117HS / годен до 01.2021</v>
      </c>
      <c r="H104" s="1" t="str">
        <f ca="1">IFERROR(__xludf.DUMMYFUNCTION("""COMPUTED_VALUE"""),"Экспресс-Тест (полоска) на беременность 3 мм №1 KZ.7700.02.01.00553960 / Действителен до 01.02.2021 / 20190117HS / годен до 01.2021")</f>
        <v>Экспресс-Тест (полоска) на беременность 3 мм №1 KZ.7700.02.01.00553960 / Действителен до 01.02.2021 / 20190117HS / годен до 01.2021</v>
      </c>
    </row>
    <row r="105" spans="1:8" ht="12.75" x14ac:dyDescent="0.2">
      <c r="A105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05" s="1" t="str">
        <f ca="1">IFERROR(__xludf.DUMMYFUNCTION("""COMPUTED_VALUE"""),"KZ.7700.02.01.00553961")</f>
        <v>KZ.7700.02.01.00553961</v>
      </c>
      <c r="C105" s="1" t="str">
        <f ca="1">IFERROR(__xludf.DUMMYFUNCTION("""COMPUTED_VALUE"""),"Действителен до 01.02.2021")</f>
        <v>Действителен до 01.02.2021</v>
      </c>
      <c r="D105" s="8" t="str">
        <f ca="1">IFERROR(__xludf.DUMMYFUNCTION("""COMPUTED_VALUE"""),"20190117HS2")</f>
        <v>20190117HS2</v>
      </c>
      <c r="E105" s="1" t="str">
        <f ca="1">IFERROR(__xludf.DUMMYFUNCTION("""COMPUTED_VALUE"""),"годен до 01.2021")</f>
        <v>годен до 01.2021</v>
      </c>
      <c r="F105" s="1" t="str">
        <f ca="1">IFERROR(__xludf.DUMMYFUNCTION("""COMPUTED_VALUE"""),"Экспресс-Тест (полоска) на беременность 3 мм №2 ПДВ - 20190117HS2")</f>
        <v>Экспресс-Тест (полоска) на беременность 3 мм №2 ПДВ - 20190117HS2</v>
      </c>
      <c r="G105" s="1" t="str">
        <f ca="1">IFERROR(__xludf.DUMMYFUNCTION("""COMPUTED_VALUE"""),"KZ.7700.02.01.00553961 / Действителен до 01.02.2021 / 20190117HS2 / годен до 01.2021")</f>
        <v>KZ.7700.02.01.00553961 / Действителен до 01.02.2021 / 20190117HS2 / годен до 01.2021</v>
      </c>
      <c r="H105" s="1" t="str">
        <f ca="1">IFERROR(__xludf.DUMMYFUNCTION("""COMPUTED_VALUE"""),"Экспресс-Тест (полоска) на беременность 3 мм №2 ПДВ KZ.7700.02.01.00553961 / Действителен до 01.02.2021 / 20190117HS2 / годен до 01.2021")</f>
        <v>Экспресс-Тест (полоска) на беременность 3 мм №2 ПДВ KZ.7700.02.01.00553961 / Действителен до 01.02.2021 / 20190117HS2 / годен до 01.2021</v>
      </c>
    </row>
    <row r="106" spans="1:8" ht="12.75" x14ac:dyDescent="0.2">
      <c r="A106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06" s="1" t="str">
        <f ca="1">IFERROR(__xludf.DUMMYFUNCTION("""COMPUTED_VALUE"""),"KZ.7700.02.01.00553953")</f>
        <v>KZ.7700.02.01.00553953</v>
      </c>
      <c r="C106" s="1" t="str">
        <f ca="1">IFERROR(__xludf.DUMMYFUNCTION("""COMPUTED_VALUE"""),"Действителен до 01.02.2021")</f>
        <v>Действителен до 01.02.2021</v>
      </c>
      <c r="D106" s="8" t="str">
        <f ca="1">IFERROR(__xludf.DUMMYFUNCTION("""COMPUTED_VALUE"""),"20190117HM")</f>
        <v>20190117HM</v>
      </c>
      <c r="E106" s="1" t="str">
        <f ca="1">IFERROR(__xludf.DUMMYFUNCTION("""COMPUTED_VALUE"""),"годен до 01.2021")</f>
        <v>годен до 01.2021</v>
      </c>
      <c r="F106" s="1" t="str">
        <f ca="1">IFERROR(__xludf.DUMMYFUNCTION("""COMPUTED_VALUE"""),"Экспресс-Тест (струйный) на беременность - 20190117HM")</f>
        <v>Экспресс-Тест (струйный) на беременность - 20190117HM</v>
      </c>
      <c r="G106" s="1" t="str">
        <f ca="1">IFERROR(__xludf.DUMMYFUNCTION("""COMPUTED_VALUE"""),"KZ.7700.02.01.00553953 / Действителен до 01.02.2021 / 20190117HM / годен до 01.2021")</f>
        <v>KZ.7700.02.01.00553953 / Действителен до 01.02.2021 / 20190117HM / годен до 01.2021</v>
      </c>
      <c r="H106" s="1" t="str">
        <f ca="1">IFERROR(__xludf.DUMMYFUNCTION("""COMPUTED_VALUE"""),"Экспресс-Тест (струйный) на беременность KZ.7700.02.01.00553953 / Действителен до 01.02.2021 / 20190117HM / годен до 01.2021")</f>
        <v>Экспресс-Тест (струйный) на беременность KZ.7700.02.01.00553953 / Действителен до 01.02.2021 / 20190117HM / годен до 01.2021</v>
      </c>
    </row>
    <row r="107" spans="1:8" ht="12.75" x14ac:dyDescent="0.2">
      <c r="A107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07" s="1" t="str">
        <f ca="1">IFERROR(__xludf.DUMMYFUNCTION("""COMPUTED_VALUE"""),"KZ.7700.02.01.00553962")</f>
        <v>KZ.7700.02.01.00553962</v>
      </c>
      <c r="C107" s="1" t="str">
        <f ca="1">IFERROR(__xludf.DUMMYFUNCTION("""COMPUTED_VALUE"""),"Действителен до 01.02.2021")</f>
        <v>Действителен до 01.02.2021</v>
      </c>
      <c r="D107" s="8" t="str">
        <f ca="1">IFERROR(__xludf.DUMMYFUNCTION("""COMPUTED_VALUE"""),"20190117LS")</f>
        <v>20190117LS</v>
      </c>
      <c r="E107" s="1" t="str">
        <f ca="1">IFERROR(__xludf.DUMMYFUNCTION("""COMPUTED_VALUE"""),"годен до 01.2021")</f>
        <v>годен до 01.2021</v>
      </c>
      <c r="F107" s="1" t="str">
        <f ca="1">IFERROR(__xludf.DUMMYFUNCTION("""COMPUTED_VALUE"""),"Экспресс-Тест (полоска) на овуляцию №5 + 1 ПДВ - 20190117LS")</f>
        <v>Экспресс-Тест (полоска) на овуляцию №5 + 1 ПДВ - 20190117LS</v>
      </c>
      <c r="G107" s="1" t="str">
        <f ca="1">IFERROR(__xludf.DUMMYFUNCTION("""COMPUTED_VALUE"""),"KZ.7700.02.01.00553962 / Действителен до 01.02.2021 / 20190117LS / годен до 01.2021")</f>
        <v>KZ.7700.02.01.00553962 / Действителен до 01.02.2021 / 20190117LS / годен до 01.2021</v>
      </c>
      <c r="H107" s="1" t="str">
        <f ca="1">IFERROR(__xludf.DUMMYFUNCTION("""COMPUTED_VALUE"""),"Экспресс-Тест (полоска) на овуляцию №5 + 1 ПДВ KZ.7700.02.01.00553962 / Действителен до 01.02.2021 / 20190117LS / годен до 01.2021")</f>
        <v>Экспресс-Тест (полоска) на овуляцию №5 + 1 ПДВ KZ.7700.02.01.00553962 / Действителен до 01.02.2021 / 20190117LS / годен до 01.2021</v>
      </c>
    </row>
    <row r="108" spans="1:8" ht="12.75" x14ac:dyDescent="0.2">
      <c r="A108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08" s="1" t="str">
        <f ca="1">IFERROR(__xludf.DUMMYFUNCTION("""COMPUTED_VALUE"""),"KZ.7700.02.01.00537245")</f>
        <v>KZ.7700.02.01.00537245</v>
      </c>
      <c r="C108" s="1" t="str">
        <f ca="1">IFERROR(__xludf.DUMMYFUNCTION("""COMPUTED_VALUE"""),"Действителен до 01.10.2020")</f>
        <v>Действителен до 01.10.2020</v>
      </c>
      <c r="D108" s="8" t="str">
        <f ca="1">IFERROR(__xludf.DUMMYFUNCTION("""COMPUTED_VALUE"""),"20181008HS")</f>
        <v>20181008HS</v>
      </c>
      <c r="E108" s="1" t="str">
        <f ca="1">IFERROR(__xludf.DUMMYFUNCTION("""COMPUTED_VALUE"""),"годен до 10.2020")</f>
        <v>годен до 10.2020</v>
      </c>
      <c r="F108" s="1" t="str">
        <f ca="1">IFERROR(__xludf.DUMMYFUNCTION("""COMPUTED_VALUE"""),"Экспресс-Тест (полоска) на беременность 3 мм №1 - 20181008HS")</f>
        <v>Экспресс-Тест (полоска) на беременность 3 мм №1 - 20181008HS</v>
      </c>
      <c r="G108" s="1" t="str">
        <f ca="1">IFERROR(__xludf.DUMMYFUNCTION("""COMPUTED_VALUE"""),"KZ.7700.02.01.00537245 / Действителен до 01.10.2020 / 20181008HS / годен до 10.2020")</f>
        <v>KZ.7700.02.01.00537245 / Действителен до 01.10.2020 / 20181008HS / годен до 10.2020</v>
      </c>
      <c r="H108" s="1" t="str">
        <f ca="1">IFERROR(__xludf.DUMMYFUNCTION("""COMPUTED_VALUE"""),"Экспресс-Тест (полоска) на беременность 3 мм №1 KZ.7700.02.01.00537245 / Действителен до 01.10.2020 / 20181008HS / годен до 10.2020")</f>
        <v>Экспресс-Тест (полоска) на беременность 3 мм №1 KZ.7700.02.01.00537245 / Действителен до 01.10.2020 / 20181008HS / годен до 10.2020</v>
      </c>
    </row>
    <row r="109" spans="1:8" ht="12.75" x14ac:dyDescent="0.2">
      <c r="A109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09" s="1" t="str">
        <f ca="1">IFERROR(__xludf.DUMMYFUNCTION("""COMPUTED_VALUE"""),"KZ.7700.02.01.00537244")</f>
        <v>KZ.7700.02.01.00537244</v>
      </c>
      <c r="C109" s="1" t="str">
        <f ca="1">IFERROR(__xludf.DUMMYFUNCTION("""COMPUTED_VALUE"""),"Действителен до 01.10.2020")</f>
        <v>Действителен до 01.10.2020</v>
      </c>
      <c r="D109" s="8" t="str">
        <f ca="1">IFERROR(__xludf.DUMMYFUNCTION("""COMPUTED_VALUE"""),"20181008HS2")</f>
        <v>20181008HS2</v>
      </c>
      <c r="E109" s="1" t="str">
        <f ca="1">IFERROR(__xludf.DUMMYFUNCTION("""COMPUTED_VALUE"""),"годен до 10.2020")</f>
        <v>годен до 10.2020</v>
      </c>
      <c r="F109" s="1" t="str">
        <f ca="1">IFERROR(__xludf.DUMMYFUNCTION("""COMPUTED_VALUE"""),"Экспресс-Тест (полоска) на беременность 3 мм №2 ПДВ - 20181008HS2")</f>
        <v>Экспресс-Тест (полоска) на беременность 3 мм №2 ПДВ - 20181008HS2</v>
      </c>
      <c r="G109" s="1" t="str">
        <f ca="1">IFERROR(__xludf.DUMMYFUNCTION("""COMPUTED_VALUE"""),"KZ.7700.02.01.00537244 / Действителен до 01.10.2020 / 20181008HS2 / годен до 10.2020")</f>
        <v>KZ.7700.02.01.00537244 / Действителен до 01.10.2020 / 20181008HS2 / годен до 10.2020</v>
      </c>
      <c r="H109" s="1" t="str">
        <f ca="1">IFERROR(__xludf.DUMMYFUNCTION("""COMPUTED_VALUE"""),"Экспресс-Тест (полоска) на беременность 3 мм №2 ПДВ KZ.7700.02.01.00537244 / Действителен до 01.10.2020 / 20181008HS2 / годен до 10.2020")</f>
        <v>Экспресс-Тест (полоска) на беременность 3 мм №2 ПДВ KZ.7700.02.01.00537244 / Действителен до 01.10.2020 / 20181008HS2 / годен до 10.2020</v>
      </c>
    </row>
    <row r="110" spans="1:8" ht="12.75" x14ac:dyDescent="0.2">
      <c r="A110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10" s="1" t="str">
        <f ca="1">IFERROR(__xludf.DUMMYFUNCTION("""COMPUTED_VALUE"""),"KZ.7700.02.01.00537242")</f>
        <v>KZ.7700.02.01.00537242</v>
      </c>
      <c r="C110" s="1" t="str">
        <f ca="1">IFERROR(__xludf.DUMMYFUNCTION("""COMPUTED_VALUE"""),"Действителен до 01.10.2020")</f>
        <v>Действителен до 01.10.2020</v>
      </c>
      <c r="D110" s="8" t="str">
        <f ca="1">IFERROR(__xludf.DUMMYFUNCTION("""COMPUTED_VALUE"""),"20181008HМ")</f>
        <v>20181008HМ</v>
      </c>
      <c r="E110" s="1" t="str">
        <f ca="1">IFERROR(__xludf.DUMMYFUNCTION("""COMPUTED_VALUE"""),"годен до 10.2020")</f>
        <v>годен до 10.2020</v>
      </c>
      <c r="F110" s="1" t="str">
        <f ca="1">IFERROR(__xludf.DUMMYFUNCTION("""COMPUTED_VALUE"""),"Экспресс-Тест (струйный) на беременность - 20181008HМ")</f>
        <v>Экспресс-Тест (струйный) на беременность - 20181008HМ</v>
      </c>
      <c r="G110" s="1" t="str">
        <f ca="1">IFERROR(__xludf.DUMMYFUNCTION("""COMPUTED_VALUE"""),"KZ.7700.02.01.00537242 / Действителен до 01.10.2020 / 20181008HМ / годен до 10.2020")</f>
        <v>KZ.7700.02.01.00537242 / Действителен до 01.10.2020 / 20181008HМ / годен до 10.2020</v>
      </c>
      <c r="H110" s="1" t="str">
        <f ca="1">IFERROR(__xludf.DUMMYFUNCTION("""COMPUTED_VALUE"""),"Экспресс-Тест (струйный) на беременность KZ.7700.02.01.00537242 / Действителен до 01.10.2020 / 20181008HМ / годен до 10.2020")</f>
        <v>Экспресс-Тест (струйный) на беременность KZ.7700.02.01.00537242 / Действителен до 01.10.2020 / 20181008HМ / годен до 10.2020</v>
      </c>
    </row>
    <row r="111" spans="1:8" ht="12.75" x14ac:dyDescent="0.2">
      <c r="A111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11" s="1" t="str">
        <f ca="1">IFERROR(__xludf.DUMMYFUNCTION("""COMPUTED_VALUE"""),"KZ.7700.02.01.00537249")</f>
        <v>KZ.7700.02.01.00537249</v>
      </c>
      <c r="C111" s="1" t="str">
        <f ca="1">IFERROR(__xludf.DUMMYFUNCTION("""COMPUTED_VALUE"""),"Действителен до 01.10.2020")</f>
        <v>Действителен до 01.10.2020</v>
      </c>
      <c r="D111" s="8" t="str">
        <f ca="1">IFERROR(__xludf.DUMMYFUNCTION("""COMPUTED_VALUE"""),"20181008LS")</f>
        <v>20181008LS</v>
      </c>
      <c r="E111" s="1" t="str">
        <f ca="1">IFERROR(__xludf.DUMMYFUNCTION("""COMPUTED_VALUE"""),"годен до 10.2020")</f>
        <v>годен до 10.2020</v>
      </c>
      <c r="F111" s="1" t="str">
        <f ca="1">IFERROR(__xludf.DUMMYFUNCTION("""COMPUTED_VALUE"""),"Экспресс-Тест (полоска) на овуляцию №5 + 1 ПДВ - 20181008LS")</f>
        <v>Экспресс-Тест (полоска) на овуляцию №5 + 1 ПДВ - 20181008LS</v>
      </c>
      <c r="G111" s="1" t="str">
        <f ca="1">IFERROR(__xludf.DUMMYFUNCTION("""COMPUTED_VALUE"""),"KZ.7700.02.01.00537249 / Действителен до 01.10.2020 / 20181008LS / годен до 10.2020")</f>
        <v>KZ.7700.02.01.00537249 / Действителен до 01.10.2020 / 20181008LS / годен до 10.2020</v>
      </c>
      <c r="H111" s="1" t="str">
        <f ca="1">IFERROR(__xludf.DUMMYFUNCTION("""COMPUTED_VALUE"""),"Экспресс-Тест (полоска) на овуляцию №5 + 1 ПДВ KZ.7700.02.01.00537249 / Действителен до 01.10.2020 / 20181008LS / годен до 10.2020")</f>
        <v>Экспресс-Тест (полоска) на овуляцию №5 + 1 ПДВ KZ.7700.02.01.00537249 / Действителен до 01.10.2020 / 20181008LS / годен до 10.2020</v>
      </c>
    </row>
    <row r="112" spans="1:8" ht="12.75" x14ac:dyDescent="0.2">
      <c r="A112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12" s="1" t="str">
        <f ca="1">IFERROR(__xludf.DUMMYFUNCTION("""COMPUTED_VALUE"""),"KZ.7700.02.01.00518337")</f>
        <v>KZ.7700.02.01.00518337</v>
      </c>
      <c r="C112" s="1" t="str">
        <f ca="1">IFERROR(__xludf.DUMMYFUNCTION("""COMPUTED_VALUE"""),"Действителен до 01.11.2020")</f>
        <v>Действителен до 01.11.2020</v>
      </c>
      <c r="D112" s="8" t="str">
        <f ca="1">IFERROR(__xludf.DUMMYFUNCTION("""COMPUTED_VALUE"""),"20180420HS")</f>
        <v>20180420HS</v>
      </c>
      <c r="E112" s="1" t="str">
        <f ca="1">IFERROR(__xludf.DUMMYFUNCTION("""COMPUTED_VALUE"""),"годен до 10.2020")</f>
        <v>годен до 10.2020</v>
      </c>
      <c r="F112" s="1" t="str">
        <f ca="1">IFERROR(__xludf.DUMMYFUNCTION("""COMPUTED_VALUE"""),"Экспресс-Тест (полоска) на беременность 3 мм №1 - 20180420HS")</f>
        <v>Экспресс-Тест (полоска) на беременность 3 мм №1 - 20180420HS</v>
      </c>
      <c r="G112" s="1" t="str">
        <f ca="1">IFERROR(__xludf.DUMMYFUNCTION("""COMPUTED_VALUE"""),"KZ.7700.02.01.00518337 / Действителен до 01.11.2020 / 20180420HS / годен до 10.2020")</f>
        <v>KZ.7700.02.01.00518337 / Действителен до 01.11.2020 / 20180420HS / годен до 10.2020</v>
      </c>
      <c r="H112" s="1" t="str">
        <f ca="1">IFERROR(__xludf.DUMMYFUNCTION("""COMPUTED_VALUE"""),"Экспресс-Тест (полоска) на беременность 3 мм №1 KZ.7700.02.01.00518337 / Действителен до 01.11.2020 / 20180420HS / годен до 10.2020")</f>
        <v>Экспресс-Тест (полоска) на беременность 3 мм №1 KZ.7700.02.01.00518337 / Действителен до 01.11.2020 / 20180420HS / годен до 10.2020</v>
      </c>
    </row>
    <row r="113" spans="1:8" ht="12.75" x14ac:dyDescent="0.2">
      <c r="A113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13" s="1" t="str">
        <f ca="1">IFERROR(__xludf.DUMMYFUNCTION("""COMPUTED_VALUE"""),"KZ.7700.02.01.00518336")</f>
        <v>KZ.7700.02.01.00518336</v>
      </c>
      <c r="C113" s="1" t="str">
        <f ca="1">IFERROR(__xludf.DUMMYFUNCTION("""COMPUTED_VALUE"""),"Действителен до 01.11.2020")</f>
        <v>Действителен до 01.11.2020</v>
      </c>
      <c r="D113" s="8" t="str">
        <f ca="1">IFERROR(__xludf.DUMMYFUNCTION("""COMPUTED_VALUE"""),"20180420HS2")</f>
        <v>20180420HS2</v>
      </c>
      <c r="E113" s="1" t="str">
        <f ca="1">IFERROR(__xludf.DUMMYFUNCTION("""COMPUTED_VALUE"""),"годен до 10.2020")</f>
        <v>годен до 10.2020</v>
      </c>
      <c r="F113" s="1" t="str">
        <f ca="1">IFERROR(__xludf.DUMMYFUNCTION("""COMPUTED_VALUE"""),"Экспресс-Тест (полоска) на беременность 3 мм №2 ПДВ - 20180420HS2")</f>
        <v>Экспресс-Тест (полоска) на беременность 3 мм №2 ПДВ - 20180420HS2</v>
      </c>
      <c r="G113" s="1" t="str">
        <f ca="1">IFERROR(__xludf.DUMMYFUNCTION("""COMPUTED_VALUE"""),"KZ.7700.02.01.00518336 / Действителен до 01.11.2020 / 20180420HS2 / годен до 10.2020")</f>
        <v>KZ.7700.02.01.00518336 / Действителен до 01.11.2020 / 20180420HS2 / годен до 10.2020</v>
      </c>
      <c r="H113" s="1" t="str">
        <f ca="1">IFERROR(__xludf.DUMMYFUNCTION("""COMPUTED_VALUE"""),"Экспресс-Тест (полоска) на беременность 3 мм №2 ПДВ KZ.7700.02.01.00518336 / Действителен до 01.11.2020 / 20180420HS2 / годен до 10.2020")</f>
        <v>Экспресс-Тест (полоска) на беременность 3 мм №2 ПДВ KZ.7700.02.01.00518336 / Действителен до 01.11.2020 / 20180420HS2 / годен до 10.2020</v>
      </c>
    </row>
    <row r="114" spans="1:8" ht="12.75" x14ac:dyDescent="0.2">
      <c r="A114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14" s="1" t="str">
        <f ca="1">IFERROR(__xludf.DUMMYFUNCTION("""COMPUTED_VALUE"""),"KZ.7700.02.01.00518339")</f>
        <v>KZ.7700.02.01.00518339</v>
      </c>
      <c r="C114" s="1" t="str">
        <f ca="1">IFERROR(__xludf.DUMMYFUNCTION("""COMPUTED_VALUE"""),"Действителен до 01.11.2020")</f>
        <v>Действителен до 01.11.2020</v>
      </c>
      <c r="D114" s="8" t="str">
        <f ca="1">IFERROR(__xludf.DUMMYFUNCTION("""COMPUTED_VALUE"""),"20180420HM")</f>
        <v>20180420HM</v>
      </c>
      <c r="E114" s="1" t="str">
        <f ca="1">IFERROR(__xludf.DUMMYFUNCTION("""COMPUTED_VALUE"""),"годен до 10.2020")</f>
        <v>годен до 10.2020</v>
      </c>
      <c r="F114" s="1" t="str">
        <f ca="1">IFERROR(__xludf.DUMMYFUNCTION("""COMPUTED_VALUE"""),"Экспресс-Тест (струйный) на беременность - 20180420HM")</f>
        <v>Экспресс-Тест (струйный) на беременность - 20180420HM</v>
      </c>
      <c r="G114" s="1" t="str">
        <f ca="1">IFERROR(__xludf.DUMMYFUNCTION("""COMPUTED_VALUE"""),"KZ.7700.02.01.00518339 / Действителен до 01.11.2020 / 20180420HM / годен до 10.2020")</f>
        <v>KZ.7700.02.01.00518339 / Действителен до 01.11.2020 / 20180420HM / годен до 10.2020</v>
      </c>
      <c r="H114" s="1" t="str">
        <f ca="1">IFERROR(__xludf.DUMMYFUNCTION("""COMPUTED_VALUE"""),"Экспресс-Тест (струйный) на беременность KZ.7700.02.01.00518339 / Действителен до 01.11.2020 / 20180420HM / годен до 10.2020")</f>
        <v>Экспресс-Тест (струйный) на беременность KZ.7700.02.01.00518339 / Действителен до 01.11.2020 / 20180420HM / годен до 10.2020</v>
      </c>
    </row>
    <row r="115" spans="1:8" ht="12.75" x14ac:dyDescent="0.2">
      <c r="A115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15" s="1" t="str">
        <f ca="1">IFERROR(__xludf.DUMMYFUNCTION("""COMPUTED_VALUE"""),"KZ.7700.02.01.00518335")</f>
        <v>KZ.7700.02.01.00518335</v>
      </c>
      <c r="C115" s="1" t="str">
        <f ca="1">IFERROR(__xludf.DUMMYFUNCTION("""COMPUTED_VALUE"""),"Действителен до 01.11.2020")</f>
        <v>Действителен до 01.11.2020</v>
      </c>
      <c r="D115" s="8" t="str">
        <f ca="1">IFERROR(__xludf.DUMMYFUNCTION("""COMPUTED_VALUE"""),"20180420LS")</f>
        <v>20180420LS</v>
      </c>
      <c r="E115" s="1" t="str">
        <f ca="1">IFERROR(__xludf.DUMMYFUNCTION("""COMPUTED_VALUE"""),"годен до 10.2020")</f>
        <v>годен до 10.2020</v>
      </c>
      <c r="F115" s="1" t="str">
        <f ca="1">IFERROR(__xludf.DUMMYFUNCTION("""COMPUTED_VALUE"""),"Экспресс-Тест (полоска) на овуляцию №5 + 1 ПДВ - 20180420LS")</f>
        <v>Экспресс-Тест (полоска) на овуляцию №5 + 1 ПДВ - 20180420LS</v>
      </c>
      <c r="G115" s="1" t="str">
        <f ca="1">IFERROR(__xludf.DUMMYFUNCTION("""COMPUTED_VALUE"""),"KZ.7700.02.01.00518335 / Действителен до 01.11.2020 / 20180420LS / годен до 10.2020")</f>
        <v>KZ.7700.02.01.00518335 / Действителен до 01.11.2020 / 20180420LS / годен до 10.2020</v>
      </c>
      <c r="H115" s="1" t="str">
        <f ca="1">IFERROR(__xludf.DUMMYFUNCTION("""COMPUTED_VALUE"""),"Экспресс-Тест (полоска) на овуляцию №5 + 1 ПДВ KZ.7700.02.01.00518335 / Действителен до 01.11.2020 / 20180420LS / годен до 10.2020")</f>
        <v>Экспресс-Тест (полоска) на овуляцию №5 + 1 ПДВ KZ.7700.02.01.00518335 / Действителен до 01.11.2020 / 20180420LS / годен до 10.2020</v>
      </c>
    </row>
    <row r="116" spans="1:8" ht="12.75" x14ac:dyDescent="0.2">
      <c r="A116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16" s="1" t="str">
        <f ca="1">IFERROR(__xludf.DUMMYFUNCTION("""COMPUTED_VALUE"""),"KZ.7700.02.01.00508432")</f>
        <v>KZ.7700.02.01.00508432</v>
      </c>
      <c r="C116" s="1" t="str">
        <f ca="1">IFERROR(__xludf.DUMMYFUNCTION("""COMPUTED_VALUE"""),"Действителен до 30.06.2020")</f>
        <v>Действителен до 30.06.2020</v>
      </c>
      <c r="D116" s="8" t="str">
        <f ca="1">IFERROR(__xludf.DUMMYFUNCTION("""COMPUTED_VALUE"""),"20171227HS")</f>
        <v>20171227HS</v>
      </c>
      <c r="E116" s="1" t="str">
        <f ca="1">IFERROR(__xludf.DUMMYFUNCTION("""COMPUTED_VALUE"""),"годен до 06.2020")</f>
        <v>годен до 06.2020</v>
      </c>
      <c r="F116" s="1" t="str">
        <f ca="1">IFERROR(__xludf.DUMMYFUNCTION("""COMPUTED_VALUE"""),"Экспресс-Тест (полоска) на беременность 3 мм №1 - 20171227HS")</f>
        <v>Экспресс-Тест (полоска) на беременность 3 мм №1 - 20171227HS</v>
      </c>
      <c r="G116" s="1" t="str">
        <f ca="1">IFERROR(__xludf.DUMMYFUNCTION("""COMPUTED_VALUE"""),"KZ.7700.02.01.00508432 / Действителен до 30.06.2020 / 20171227HS / годен до 06.2020")</f>
        <v>KZ.7700.02.01.00508432 / Действителен до 30.06.2020 / 20171227HS / годен до 06.2020</v>
      </c>
      <c r="H116" s="1" t="str">
        <f ca="1">IFERROR(__xludf.DUMMYFUNCTION("""COMPUTED_VALUE"""),"Экспресс-Тест (полоска) на беременность 3 мм №1 KZ.7700.02.01.00508432 / Действителен до 30.06.2020 / 20171227HS / годен до 06.2020")</f>
        <v>Экспресс-Тест (полоска) на беременность 3 мм №1 KZ.7700.02.01.00508432 / Действителен до 30.06.2020 / 20171227HS / годен до 06.2020</v>
      </c>
    </row>
    <row r="117" spans="1:8" ht="12.75" x14ac:dyDescent="0.2">
      <c r="A117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17" s="1" t="str">
        <f ca="1">IFERROR(__xludf.DUMMYFUNCTION("""COMPUTED_VALUE"""),"KZ.7700.02.01.00508385")</f>
        <v>KZ.7700.02.01.00508385</v>
      </c>
      <c r="C117" s="1" t="str">
        <f ca="1">IFERROR(__xludf.DUMMYFUNCTION("""COMPUTED_VALUE"""),"Действителен до 30.06.2020")</f>
        <v>Действителен до 30.06.2020</v>
      </c>
      <c r="D117" s="8" t="str">
        <f ca="1">IFERROR(__xludf.DUMMYFUNCTION("""COMPUTED_VALUE"""),"20171227HS")</f>
        <v>20171227HS</v>
      </c>
      <c r="E117" s="1" t="str">
        <f ca="1">IFERROR(__xludf.DUMMYFUNCTION("""COMPUTED_VALUE"""),"годен до 06.2020")</f>
        <v>годен до 06.2020</v>
      </c>
      <c r="F117" s="1" t="str">
        <f ca="1">IFERROR(__xludf.DUMMYFUNCTION("""COMPUTED_VALUE"""),"Экспресс-Тест (полоска) на беременность 3 мм №2 ПДВ - 20171227HS")</f>
        <v>Экспресс-Тест (полоска) на беременность 3 мм №2 ПДВ - 20171227HS</v>
      </c>
      <c r="G117" s="1" t="str">
        <f ca="1">IFERROR(__xludf.DUMMYFUNCTION("""COMPUTED_VALUE"""),"KZ.7700.02.01.00508385 / Действителен до 30.06.2020 / 20171227HS / годен до 06.2020")</f>
        <v>KZ.7700.02.01.00508385 / Действителен до 30.06.2020 / 20171227HS / годен до 06.2020</v>
      </c>
      <c r="H117" s="1" t="str">
        <f ca="1">IFERROR(__xludf.DUMMYFUNCTION("""COMPUTED_VALUE"""),"Экспресс-Тест (полоска) на беременность 3 мм №2 ПДВ KZ.7700.02.01.00508385 / Действителен до 30.06.2020 / 20171227HS / годен до 06.2020")</f>
        <v>Экспресс-Тест (полоска) на беременность 3 мм №2 ПДВ KZ.7700.02.01.00508385 / Действителен до 30.06.2020 / 20171227HS / годен до 06.2020</v>
      </c>
    </row>
    <row r="118" spans="1:8" ht="12.75" x14ac:dyDescent="0.2">
      <c r="A118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18" s="1" t="str">
        <f ca="1">IFERROR(__xludf.DUMMYFUNCTION("""COMPUTED_VALUE"""),"KZ.7700.02.01.00508477")</f>
        <v>KZ.7700.02.01.00508477</v>
      </c>
      <c r="C118" s="1" t="str">
        <f ca="1">IFERROR(__xludf.DUMMYFUNCTION("""COMPUTED_VALUE"""),"Действителен до 30.06.2020")</f>
        <v>Действителен до 30.06.2020</v>
      </c>
      <c r="D118" s="8" t="str">
        <f ca="1">IFERROR(__xludf.DUMMYFUNCTION("""COMPUTED_VALUE"""),"20171227HM")</f>
        <v>20171227HM</v>
      </c>
      <c r="E118" s="1" t="str">
        <f ca="1">IFERROR(__xludf.DUMMYFUNCTION("""COMPUTED_VALUE"""),"годен до 06.2020")</f>
        <v>годен до 06.2020</v>
      </c>
      <c r="F118" s="1" t="str">
        <f ca="1">IFERROR(__xludf.DUMMYFUNCTION("""COMPUTED_VALUE"""),"Экспресс-Тест (струйный) на беременность - 20171227HM")</f>
        <v>Экспресс-Тест (струйный) на беременность - 20171227HM</v>
      </c>
      <c r="G118" s="1" t="str">
        <f ca="1">IFERROR(__xludf.DUMMYFUNCTION("""COMPUTED_VALUE"""),"KZ.7700.02.01.00508477 / Действителен до 30.06.2020 / 20171227HM / годен до 06.2020")</f>
        <v>KZ.7700.02.01.00508477 / Действителен до 30.06.2020 / 20171227HM / годен до 06.2020</v>
      </c>
      <c r="H118" s="1" t="str">
        <f ca="1">IFERROR(__xludf.DUMMYFUNCTION("""COMPUTED_VALUE"""),"Экспресс-Тест (струйный) на беременность KZ.7700.02.01.00508477 / Действителен до 30.06.2020 / 20171227HM / годен до 06.2020")</f>
        <v>Экспресс-Тест (струйный) на беременность KZ.7700.02.01.00508477 / Действителен до 30.06.2020 / 20171227HM / годен до 06.2020</v>
      </c>
    </row>
    <row r="119" spans="1:8" ht="12.75" x14ac:dyDescent="0.2">
      <c r="A119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19" s="1" t="str">
        <f ca="1">IFERROR(__xludf.DUMMYFUNCTION("""COMPUTED_VALUE"""),"KZ.7700.02.01.00508385")</f>
        <v>KZ.7700.02.01.00508385</v>
      </c>
      <c r="C119" s="1" t="str">
        <f ca="1">IFERROR(__xludf.DUMMYFUNCTION("""COMPUTED_VALUE"""),"Действителен до 30.06.2020")</f>
        <v>Действителен до 30.06.2020</v>
      </c>
      <c r="D119" s="8" t="str">
        <f ca="1">IFERROR(__xludf.DUMMYFUNCTION("""COMPUTED_VALUE"""),"20171227LS")</f>
        <v>20171227LS</v>
      </c>
      <c r="E119" s="1" t="str">
        <f ca="1">IFERROR(__xludf.DUMMYFUNCTION("""COMPUTED_VALUE"""),"годен до 06.2020")</f>
        <v>годен до 06.2020</v>
      </c>
      <c r="F119" s="1" t="str">
        <f ca="1">IFERROR(__xludf.DUMMYFUNCTION("""COMPUTED_VALUE"""),"Экспресс-Тест (полоска) на овуляцию №5 + 1 ПДВ - 20171227LS")</f>
        <v>Экспресс-Тест (полоска) на овуляцию №5 + 1 ПДВ - 20171227LS</v>
      </c>
      <c r="G119" s="1" t="str">
        <f ca="1">IFERROR(__xludf.DUMMYFUNCTION("""COMPUTED_VALUE"""),"KZ.7700.02.01.00508385 / Действителен до 30.06.2020 / 20171227LS / годен до 06.2020")</f>
        <v>KZ.7700.02.01.00508385 / Действителен до 30.06.2020 / 20171227LS / годен до 06.2020</v>
      </c>
      <c r="H119" s="1" t="str">
        <f ca="1">IFERROR(__xludf.DUMMYFUNCTION("""COMPUTED_VALUE"""),"Экспресс-Тест (полоска) на овуляцию №5 + 1 ПДВ KZ.7700.02.01.00508385 / Действителен до 30.06.2020 / 20171227LS / годен до 06.2020")</f>
        <v>Экспресс-Тест (полоска) на овуляцию №5 + 1 ПДВ KZ.7700.02.01.00508385 / Действителен до 30.06.2020 / 20171227LS / годен до 06.2020</v>
      </c>
    </row>
    <row r="120" spans="1:8" ht="12.75" x14ac:dyDescent="0.2">
      <c r="A120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20" s="1" t="str">
        <f ca="1">IFERROR(__xludf.DUMMYFUNCTION("""COMPUTED_VALUE"""),"KZ.7100.01.01.00504810")</f>
        <v>KZ.7100.01.01.00504810</v>
      </c>
      <c r="C120" s="1" t="str">
        <f ca="1">IFERROR(__xludf.DUMMYFUNCTION("""COMPUTED_VALUE"""),"Действителен до 01.04.2020")</f>
        <v>Действителен до 01.04.2020</v>
      </c>
      <c r="D120" s="8" t="str">
        <f ca="1">IFERROR(__xludf.DUMMYFUNCTION("""COMPUTED_VALUE"""),"20170912HS")</f>
        <v>20170912HS</v>
      </c>
      <c r="E120" s="1" t="str">
        <f ca="1">IFERROR(__xludf.DUMMYFUNCTION("""COMPUTED_VALUE"""),"годен до 03.2020")</f>
        <v>годен до 03.2020</v>
      </c>
      <c r="F120" s="1" t="str">
        <f ca="1">IFERROR(__xludf.DUMMYFUNCTION("""COMPUTED_VALUE"""),"Экспресс-Тест (полоска) на беременность 3 мм №1 - 20170912HS")</f>
        <v>Экспресс-Тест (полоска) на беременность 3 мм №1 - 20170912HS</v>
      </c>
      <c r="G120" s="1" t="str">
        <f ca="1">IFERROR(__xludf.DUMMYFUNCTION("""COMPUTED_VALUE"""),"KZ.7100.01.01.00504810 / Действителен до 01.04.2020 / 20170912HS / годен до 03.2020")</f>
        <v>KZ.7100.01.01.00504810 / Действителен до 01.04.2020 / 20170912HS / годен до 03.2020</v>
      </c>
      <c r="H120" s="1" t="str">
        <f ca="1">IFERROR(__xludf.DUMMYFUNCTION("""COMPUTED_VALUE"""),"Экспресс-Тест (полоска) на беременность 3 мм №1 KZ.7100.01.01.00504810 / Действителен до 01.04.2020 / 20170912HS / годен до 03.2020")</f>
        <v>Экспресс-Тест (полоска) на беременность 3 мм №1 KZ.7100.01.01.00504810 / Действителен до 01.04.2020 / 20170912HS / годен до 03.2020</v>
      </c>
    </row>
    <row r="121" spans="1:8" ht="12.75" x14ac:dyDescent="0.2">
      <c r="A121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21" s="1" t="str">
        <f ca="1">IFERROR(__xludf.DUMMYFUNCTION("""COMPUTED_VALUE"""),"KZ.7100.01.01.00504811")</f>
        <v>KZ.7100.01.01.00504811</v>
      </c>
      <c r="C121" s="1" t="str">
        <f ca="1">IFERROR(__xludf.DUMMYFUNCTION("""COMPUTED_VALUE"""),"Действителен до 01.04.2020")</f>
        <v>Действителен до 01.04.2020</v>
      </c>
      <c r="D121" s="8" t="str">
        <f ca="1">IFERROR(__xludf.DUMMYFUNCTION("""COMPUTED_VALUE"""),"20170912HS")</f>
        <v>20170912HS</v>
      </c>
      <c r="E121" s="1" t="str">
        <f ca="1">IFERROR(__xludf.DUMMYFUNCTION("""COMPUTED_VALUE"""),"годен до 03.2020")</f>
        <v>годен до 03.2020</v>
      </c>
      <c r="F121" s="1" t="str">
        <f ca="1">IFERROR(__xludf.DUMMYFUNCTION("""COMPUTED_VALUE"""),"Экспресс-Тест (полоска) на беременность 3 мм №2 ПДВ - 20170912HS")</f>
        <v>Экспресс-Тест (полоска) на беременность 3 мм №2 ПДВ - 20170912HS</v>
      </c>
      <c r="G121" s="1" t="str">
        <f ca="1">IFERROR(__xludf.DUMMYFUNCTION("""COMPUTED_VALUE"""),"KZ.7100.01.01.00504811 / Действителен до 01.04.2020 / 20170912HS / годен до 03.2020")</f>
        <v>KZ.7100.01.01.00504811 / Действителен до 01.04.2020 / 20170912HS / годен до 03.2020</v>
      </c>
      <c r="H121" s="1" t="str">
        <f ca="1">IFERROR(__xludf.DUMMYFUNCTION("""COMPUTED_VALUE"""),"Экспресс-Тест (полоска) на беременность 3 мм №2 ПДВ KZ.7100.01.01.00504811 / Действителен до 01.04.2020 / 20170912HS / годен до 03.2020")</f>
        <v>Экспресс-Тест (полоска) на беременность 3 мм №2 ПДВ KZ.7100.01.01.00504811 / Действителен до 01.04.2020 / 20170912HS / годен до 03.2020</v>
      </c>
    </row>
    <row r="122" spans="1:8" ht="12.75" x14ac:dyDescent="0.2">
      <c r="A122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22" s="1" t="str">
        <f ca="1">IFERROR(__xludf.DUMMYFUNCTION("""COMPUTED_VALUE"""),"KZ.7100.01.01.00504809")</f>
        <v>KZ.7100.01.01.00504809</v>
      </c>
      <c r="C122" s="1" t="str">
        <f ca="1">IFERROR(__xludf.DUMMYFUNCTION("""COMPUTED_VALUE"""),"Действителен до 01.04.2020")</f>
        <v>Действителен до 01.04.2020</v>
      </c>
      <c r="D122" s="8" t="str">
        <f ca="1">IFERROR(__xludf.DUMMYFUNCTION("""COMPUTED_VALUE"""),"20170912HМ")</f>
        <v>20170912HМ</v>
      </c>
      <c r="E122" s="1" t="str">
        <f ca="1">IFERROR(__xludf.DUMMYFUNCTION("""COMPUTED_VALUE"""),"годен до 03.2020")</f>
        <v>годен до 03.2020</v>
      </c>
      <c r="F122" s="1" t="str">
        <f ca="1">IFERROR(__xludf.DUMMYFUNCTION("""COMPUTED_VALUE"""),"Экспресс-Тест (струйный) на беременность - 20170912HМ")</f>
        <v>Экспресс-Тест (струйный) на беременность - 20170912HМ</v>
      </c>
      <c r="G122" s="1" t="str">
        <f ca="1">IFERROR(__xludf.DUMMYFUNCTION("""COMPUTED_VALUE"""),"KZ.7100.01.01.00504809 / Действителен до 01.04.2020 / 20170912HМ / годен до 03.2020")</f>
        <v>KZ.7100.01.01.00504809 / Действителен до 01.04.2020 / 20170912HМ / годен до 03.2020</v>
      </c>
      <c r="H122" s="1" t="str">
        <f ca="1">IFERROR(__xludf.DUMMYFUNCTION("""COMPUTED_VALUE"""),"Экспресс-Тест (струйный) на беременность KZ.7100.01.01.00504809 / Действителен до 01.04.2020 / 20170912HМ / годен до 03.2020")</f>
        <v>Экспресс-Тест (струйный) на беременность KZ.7100.01.01.00504809 / Действителен до 01.04.2020 / 20170912HМ / годен до 03.2020</v>
      </c>
    </row>
    <row r="123" spans="1:8" ht="12.75" x14ac:dyDescent="0.2">
      <c r="A123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23" s="1" t="str">
        <f ca="1">IFERROR(__xludf.DUMMYFUNCTION("""COMPUTED_VALUE"""),"KZ.7100.01.01.00504812")</f>
        <v>KZ.7100.01.01.00504812</v>
      </c>
      <c r="C123" s="1" t="str">
        <f ca="1">IFERROR(__xludf.DUMMYFUNCTION("""COMPUTED_VALUE"""),"Действителен до 01.04.2020")</f>
        <v>Действителен до 01.04.2020</v>
      </c>
      <c r="D123" s="8" t="str">
        <f ca="1">IFERROR(__xludf.DUMMYFUNCTION("""COMPUTED_VALUE"""),"20170912LS")</f>
        <v>20170912LS</v>
      </c>
      <c r="E123" s="1" t="str">
        <f ca="1">IFERROR(__xludf.DUMMYFUNCTION("""COMPUTED_VALUE"""),"годен до 03.2020")</f>
        <v>годен до 03.2020</v>
      </c>
      <c r="F123" s="1" t="str">
        <f ca="1">IFERROR(__xludf.DUMMYFUNCTION("""COMPUTED_VALUE"""),"Экспресс-Тест (полоска) на овуляцию №5 + 1 ПДВ - 20170912LS")</f>
        <v>Экспресс-Тест (полоска) на овуляцию №5 + 1 ПДВ - 20170912LS</v>
      </c>
      <c r="G123" s="1" t="str">
        <f ca="1">IFERROR(__xludf.DUMMYFUNCTION("""COMPUTED_VALUE"""),"KZ.7100.01.01.00504812 / Действителен до 01.04.2020 / 20170912LS / годен до 03.2020")</f>
        <v>KZ.7100.01.01.00504812 / Действителен до 01.04.2020 / 20170912LS / годен до 03.2020</v>
      </c>
      <c r="H123" s="1" t="str">
        <f ca="1">IFERROR(__xludf.DUMMYFUNCTION("""COMPUTED_VALUE"""),"Экспресс-Тест (полоска) на овуляцию №5 + 1 ПДВ KZ.7100.01.01.00504812 / Действителен до 01.04.2020 / 20170912LS / годен до 03.2020")</f>
        <v>Экспресс-Тест (полоска) на овуляцию №5 + 1 ПДВ KZ.7100.01.01.00504812 / Действителен до 01.04.2020 / 20170912LS / годен до 03.2020</v>
      </c>
    </row>
    <row r="124" spans="1:8" ht="12.75" x14ac:dyDescent="0.2">
      <c r="A124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24" s="1" t="str">
        <f ca="1">IFERROR(__xludf.DUMMYFUNCTION("""COMPUTED_VALUE"""),"KZ.7100.01.01.00502645")</f>
        <v>KZ.7100.01.01.00502645</v>
      </c>
      <c r="C124" s="1" t="str">
        <f ca="1">IFERROR(__xludf.DUMMYFUNCTION("""COMPUTED_VALUE"""),"Действителен до 01.12.2019")</f>
        <v>Действителен до 01.12.2019</v>
      </c>
      <c r="D124" s="8" t="str">
        <f ca="1">IFERROR(__xludf.DUMMYFUNCTION("""COMPUTED_VALUE"""),"20170509HS")</f>
        <v>20170509HS</v>
      </c>
      <c r="E124" s="1" t="str">
        <f ca="1">IFERROR(__xludf.DUMMYFUNCTION("""COMPUTED_VALUE"""),"годен до 11.2019")</f>
        <v>годен до 11.2019</v>
      </c>
      <c r="F124" s="1" t="str">
        <f ca="1">IFERROR(__xludf.DUMMYFUNCTION("""COMPUTED_VALUE"""),"Экспресс-Тест (полоска) на беременность 3 мм №1 - 20170509HS")</f>
        <v>Экспресс-Тест (полоска) на беременность 3 мм №1 - 20170509HS</v>
      </c>
      <c r="G124" s="1" t="str">
        <f ca="1">IFERROR(__xludf.DUMMYFUNCTION("""COMPUTED_VALUE"""),"KZ.7100.01.01.00502645 / Действителен до 01.12.2019 / 20170509HS / годен до 11.2019")</f>
        <v>KZ.7100.01.01.00502645 / Действителен до 01.12.2019 / 20170509HS / годен до 11.2019</v>
      </c>
      <c r="H124" s="1" t="str">
        <f ca="1">IFERROR(__xludf.DUMMYFUNCTION("""COMPUTED_VALUE"""),"Экспресс-Тест (полоска) на беременность 3 мм №1 KZ.7100.01.01.00502645 / Действителен до 01.12.2019 / 20170509HS / годен до 11.2019")</f>
        <v>Экспресс-Тест (полоска) на беременность 3 мм №1 KZ.7100.01.01.00502645 / Действителен до 01.12.2019 / 20170509HS / годен до 11.2019</v>
      </c>
    </row>
    <row r="125" spans="1:8" ht="12.75" x14ac:dyDescent="0.2">
      <c r="A125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25" s="1" t="str">
        <f ca="1">IFERROR(__xludf.DUMMYFUNCTION("""COMPUTED_VALUE"""),"KZ.7100.01.01.00502645")</f>
        <v>KZ.7100.01.01.00502645</v>
      </c>
      <c r="C125" s="1" t="str">
        <f ca="1">IFERROR(__xludf.DUMMYFUNCTION("""COMPUTED_VALUE"""),"Действителен до 01.12.2019")</f>
        <v>Действителен до 01.12.2019</v>
      </c>
      <c r="D125" s="8" t="str">
        <f ca="1">IFERROR(__xludf.DUMMYFUNCTION("""COMPUTED_VALUE"""),"20170509HS")</f>
        <v>20170509HS</v>
      </c>
      <c r="E125" s="1" t="str">
        <f ca="1">IFERROR(__xludf.DUMMYFUNCTION("""COMPUTED_VALUE"""),"годен до 11.2019")</f>
        <v>годен до 11.2019</v>
      </c>
      <c r="F125" s="1" t="str">
        <f ca="1">IFERROR(__xludf.DUMMYFUNCTION("""COMPUTED_VALUE"""),"Экспресс-Тест (полоска) на беременность 3 мм №2 ПДВ - 20170509HS")</f>
        <v>Экспресс-Тест (полоска) на беременность 3 мм №2 ПДВ - 20170509HS</v>
      </c>
      <c r="G125" s="1" t="str">
        <f ca="1">IFERROR(__xludf.DUMMYFUNCTION("""COMPUTED_VALUE"""),"KZ.7100.01.01.00502645 / Действителен до 01.12.2019 / 20170509HS / годен до 11.2019")</f>
        <v>KZ.7100.01.01.00502645 / Действителен до 01.12.2019 / 20170509HS / годен до 11.2019</v>
      </c>
      <c r="H125" s="1" t="str">
        <f ca="1">IFERROR(__xludf.DUMMYFUNCTION("""COMPUTED_VALUE"""),"Экспресс-Тест (полоска) на беременность 3 мм №2 ПДВ KZ.7100.01.01.00502645 / Действителен до 01.12.2019 / 20170509HS / годен до 11.2019")</f>
        <v>Экспресс-Тест (полоска) на беременность 3 мм №2 ПДВ KZ.7100.01.01.00502645 / Действителен до 01.12.2019 / 20170509HS / годен до 11.2019</v>
      </c>
    </row>
    <row r="126" spans="1:8" ht="12.75" x14ac:dyDescent="0.2">
      <c r="A126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26" s="1" t="str">
        <f ca="1">IFERROR(__xludf.DUMMYFUNCTION("""COMPUTED_VALUE"""),"KZ.7100.01.01.00502644")</f>
        <v>KZ.7100.01.01.00502644</v>
      </c>
      <c r="C126" s="1" t="str">
        <f ca="1">IFERROR(__xludf.DUMMYFUNCTION("""COMPUTED_VALUE"""),"Действителен до 01.12.2019")</f>
        <v>Действителен до 01.12.2019</v>
      </c>
      <c r="D126" s="8" t="str">
        <f ca="1">IFERROR(__xludf.DUMMYFUNCTION("""COMPUTED_VALUE"""),"20170509HM")</f>
        <v>20170509HM</v>
      </c>
      <c r="E126" s="1" t="str">
        <f ca="1">IFERROR(__xludf.DUMMYFUNCTION("""COMPUTED_VALUE"""),"годен до 11.2019")</f>
        <v>годен до 11.2019</v>
      </c>
      <c r="F126" s="1" t="str">
        <f ca="1">IFERROR(__xludf.DUMMYFUNCTION("""COMPUTED_VALUE"""),"Экспресс-Тест (струйный) на беременность - 20170509HM")</f>
        <v>Экспресс-Тест (струйный) на беременность - 20170509HM</v>
      </c>
      <c r="G126" s="1" t="str">
        <f ca="1">IFERROR(__xludf.DUMMYFUNCTION("""COMPUTED_VALUE"""),"KZ.7100.01.01.00502644 / Действителен до 01.12.2019 / 20170509HM / годен до 11.2019")</f>
        <v>KZ.7100.01.01.00502644 / Действителен до 01.12.2019 / 20170509HM / годен до 11.2019</v>
      </c>
      <c r="H126" s="1" t="str">
        <f ca="1">IFERROR(__xludf.DUMMYFUNCTION("""COMPUTED_VALUE"""),"Экспресс-Тест (струйный) на беременность KZ.7100.01.01.00502644 / Действителен до 01.12.2019 / 20170509HM / годен до 11.2019")</f>
        <v>Экспресс-Тест (струйный) на беременность KZ.7100.01.01.00502644 / Действителен до 01.12.2019 / 20170509HM / годен до 11.2019</v>
      </c>
    </row>
    <row r="127" spans="1:8" ht="12.75" x14ac:dyDescent="0.2">
      <c r="A127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27" s="1" t="str">
        <f ca="1">IFERROR(__xludf.DUMMYFUNCTION("""COMPUTED_VALUE"""),"KZ.7100.01.01.00502647")</f>
        <v>KZ.7100.01.01.00502647</v>
      </c>
      <c r="C127" s="1" t="str">
        <f ca="1">IFERROR(__xludf.DUMMYFUNCTION("""COMPUTED_VALUE"""),"Действителен до 01.12.2019")</f>
        <v>Действителен до 01.12.2019</v>
      </c>
      <c r="D127" s="8" t="str">
        <f ca="1">IFERROR(__xludf.DUMMYFUNCTION("""COMPUTED_VALUE"""),"20170509LS")</f>
        <v>20170509LS</v>
      </c>
      <c r="E127" s="1" t="str">
        <f ca="1">IFERROR(__xludf.DUMMYFUNCTION("""COMPUTED_VALUE"""),"годен до 11.2019")</f>
        <v>годен до 11.2019</v>
      </c>
      <c r="F127" s="1" t="str">
        <f ca="1">IFERROR(__xludf.DUMMYFUNCTION("""COMPUTED_VALUE"""),"Экспресс-Тест (полоска) на овуляцию №5 + 1 ПДВ - 20170509LS")</f>
        <v>Экспресс-Тест (полоска) на овуляцию №5 + 1 ПДВ - 20170509LS</v>
      </c>
      <c r="G127" s="1" t="str">
        <f ca="1">IFERROR(__xludf.DUMMYFUNCTION("""COMPUTED_VALUE"""),"KZ.7100.01.01.00502647 / Действителен до 01.12.2019 / 20170509LS / годен до 11.2019")</f>
        <v>KZ.7100.01.01.00502647 / Действителен до 01.12.2019 / 20170509LS / годен до 11.2019</v>
      </c>
      <c r="H127" s="1" t="str">
        <f ca="1">IFERROR(__xludf.DUMMYFUNCTION("""COMPUTED_VALUE"""),"Экспресс-Тест (полоска) на овуляцию №5 + 1 ПДВ KZ.7100.01.01.00502647 / Действителен до 01.12.2019 / 20170509LS / годен до 11.2019")</f>
        <v>Экспресс-Тест (полоска) на овуляцию №5 + 1 ПДВ KZ.7100.01.01.00502647 / Действителен до 01.12.2019 / 20170509LS / годен до 11.2019</v>
      </c>
    </row>
    <row r="128" spans="1:8" ht="12.75" x14ac:dyDescent="0.2">
      <c r="A128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28" s="1" t="str">
        <f ca="1">IFERROR(__xludf.DUMMYFUNCTION("""COMPUTED_VALUE"""),"KZ.7100.01.01.00501426")</f>
        <v>KZ.7100.01.01.00501426</v>
      </c>
      <c r="C128" s="1" t="str">
        <f ca="1">IFERROR(__xludf.DUMMYFUNCTION("""COMPUTED_VALUE"""),"Действителен до 01.06.2019")</f>
        <v>Действителен до 01.06.2019</v>
      </c>
      <c r="D128" s="8" t="str">
        <f ca="1">IFERROR(__xludf.DUMMYFUNCTION("""COMPUTED_VALUE"""),"20161101HS")</f>
        <v>20161101HS</v>
      </c>
      <c r="E128" s="1" t="str">
        <f ca="1">IFERROR(__xludf.DUMMYFUNCTION("""COMPUTED_VALUE"""),"годен до 05.2019")</f>
        <v>годен до 05.2019</v>
      </c>
      <c r="F128" s="1" t="str">
        <f ca="1">IFERROR(__xludf.DUMMYFUNCTION("""COMPUTED_VALUE"""),"Экспресс-Тест (полоска) на беременность 3 мм №1 - 20161101HS")</f>
        <v>Экспресс-Тест (полоска) на беременность 3 мм №1 - 20161101HS</v>
      </c>
      <c r="G128" s="1" t="str">
        <f ca="1">IFERROR(__xludf.DUMMYFUNCTION("""COMPUTED_VALUE"""),"KZ.7100.01.01.00501426 / Действителен до 01.06.2019 / 20161101HS / годен до 05.2019")</f>
        <v>KZ.7100.01.01.00501426 / Действителен до 01.06.2019 / 20161101HS / годен до 05.2019</v>
      </c>
      <c r="H128" s="1" t="str">
        <f ca="1">IFERROR(__xludf.DUMMYFUNCTION("""COMPUTED_VALUE"""),"Экспресс-Тест (полоска) на беременность 3 мм №1 KZ.7100.01.01.00501426 / Действителен до 01.06.2019 / 20161101HS / годен до 05.2019")</f>
        <v>Экспресс-Тест (полоска) на беременность 3 мм №1 KZ.7100.01.01.00501426 / Действителен до 01.06.2019 / 20161101HS / годен до 05.2019</v>
      </c>
    </row>
    <row r="129" spans="1:8" ht="12.75" x14ac:dyDescent="0.2">
      <c r="A129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29" s="1" t="str">
        <f ca="1">IFERROR(__xludf.DUMMYFUNCTION("""COMPUTED_VALUE"""),"KZ.7100.01.01.00501425")</f>
        <v>KZ.7100.01.01.00501425</v>
      </c>
      <c r="C129" s="1" t="str">
        <f ca="1">IFERROR(__xludf.DUMMYFUNCTION("""COMPUTED_VALUE"""),"Действителен до 01.06.2019")</f>
        <v>Действителен до 01.06.2019</v>
      </c>
      <c r="D129" s="8" t="str">
        <f ca="1">IFERROR(__xludf.DUMMYFUNCTION("""COMPUTED_VALUE"""),"20161101HM")</f>
        <v>20161101HM</v>
      </c>
      <c r="E129" s="1" t="str">
        <f ca="1">IFERROR(__xludf.DUMMYFUNCTION("""COMPUTED_VALUE"""),"годен до 05.2019")</f>
        <v>годен до 05.2019</v>
      </c>
      <c r="F129" s="1" t="str">
        <f ca="1">IFERROR(__xludf.DUMMYFUNCTION("""COMPUTED_VALUE"""),"Экспресс-Тест (струйный) на беременность - 20161101HM")</f>
        <v>Экспресс-Тест (струйный) на беременность - 20161101HM</v>
      </c>
      <c r="G129" s="1" t="str">
        <f ca="1">IFERROR(__xludf.DUMMYFUNCTION("""COMPUTED_VALUE"""),"KZ.7100.01.01.00501425 / Действителен до 01.06.2019 / 20161101HM / годен до 05.2019")</f>
        <v>KZ.7100.01.01.00501425 / Действителен до 01.06.2019 / 20161101HM / годен до 05.2019</v>
      </c>
      <c r="H129" s="1" t="str">
        <f ca="1">IFERROR(__xludf.DUMMYFUNCTION("""COMPUTED_VALUE"""),"Экспресс-Тест (струйный) на беременность KZ.7100.01.01.00501425 / Действителен до 01.06.2019 / 20161101HM / годен до 05.2019")</f>
        <v>Экспресс-Тест (струйный) на беременность KZ.7100.01.01.00501425 / Действителен до 01.06.2019 / 20161101HM / годен до 05.2019</v>
      </c>
    </row>
    <row r="130" spans="1:8" ht="12.75" x14ac:dyDescent="0.2">
      <c r="A130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30" s="1" t="str">
        <f ca="1">IFERROR(__xludf.DUMMYFUNCTION("""COMPUTED_VALUE"""),"KZ.7100.01.01.00501427")</f>
        <v>KZ.7100.01.01.00501427</v>
      </c>
      <c r="C130" s="1" t="str">
        <f ca="1">IFERROR(__xludf.DUMMYFUNCTION("""COMPUTED_VALUE"""),"Действителен до 01.06.2019")</f>
        <v>Действителен до 01.06.2019</v>
      </c>
      <c r="D130" s="8" t="str">
        <f ca="1">IFERROR(__xludf.DUMMYFUNCTION("""COMPUTED_VALUE"""),"20161101LS")</f>
        <v>20161101LS</v>
      </c>
      <c r="E130" s="1" t="str">
        <f ca="1">IFERROR(__xludf.DUMMYFUNCTION("""COMPUTED_VALUE"""),"годен до 05.2019")</f>
        <v>годен до 05.2019</v>
      </c>
      <c r="F130" s="1" t="str">
        <f ca="1">IFERROR(__xludf.DUMMYFUNCTION("""COMPUTED_VALUE"""),"Экспресс-Тест (полоска) на овуляцию №5 + 1 ПДВ - 20161101LS")</f>
        <v>Экспресс-Тест (полоска) на овуляцию №5 + 1 ПДВ - 20161101LS</v>
      </c>
      <c r="G130" s="1" t="str">
        <f ca="1">IFERROR(__xludf.DUMMYFUNCTION("""COMPUTED_VALUE"""),"KZ.7100.01.01.00501427 / Действителен до 01.06.2019 / 20161101LS / годен до 05.2019")</f>
        <v>KZ.7100.01.01.00501427 / Действителен до 01.06.2019 / 20161101LS / годен до 05.2019</v>
      </c>
      <c r="H130" s="1" t="str">
        <f ca="1">IFERROR(__xludf.DUMMYFUNCTION("""COMPUTED_VALUE"""),"Экспресс-Тест (полоска) на овуляцию №5 + 1 ПДВ KZ.7100.01.01.00501427 / Действителен до 01.06.2019 / 20161101LS / годен до 05.2019")</f>
        <v>Экспресс-Тест (полоска) на овуляцию №5 + 1 ПДВ KZ.7100.01.01.00501427 / Действителен до 01.06.2019 / 20161101LS / годен до 05.2019</v>
      </c>
    </row>
    <row r="131" spans="1:8" ht="12.75" x14ac:dyDescent="0.2">
      <c r="A131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31" s="1" t="str">
        <f ca="1">IFERROR(__xludf.DUMMYFUNCTION("""COMPUTED_VALUE"""),"KZ.7100.01.01.00500582")</f>
        <v>KZ.7100.01.01.00500582</v>
      </c>
      <c r="C131" s="1" t="str">
        <f ca="1">IFERROR(__xludf.DUMMYFUNCTION("""COMPUTED_VALUE"""),"Действителен до 01.05.2019")</f>
        <v>Действителен до 01.05.2019</v>
      </c>
      <c r="D131" s="8" t="str">
        <f ca="1">IFERROR(__xludf.DUMMYFUNCTION("""COMPUTED_VALUE"""),"20161014HS")</f>
        <v>20161014HS</v>
      </c>
      <c r="E131" s="1" t="str">
        <f ca="1">IFERROR(__xludf.DUMMYFUNCTION("""COMPUTED_VALUE"""),"годен до 04.2019")</f>
        <v>годен до 04.2019</v>
      </c>
      <c r="F131" s="1" t="str">
        <f ca="1">IFERROR(__xludf.DUMMYFUNCTION("""COMPUTED_VALUE"""),"Экспресс-Тест (полоска) на беременность 3 мм №1 - 20161014HS")</f>
        <v>Экспресс-Тест (полоска) на беременность 3 мм №1 - 20161014HS</v>
      </c>
      <c r="G131" s="1" t="str">
        <f ca="1">IFERROR(__xludf.DUMMYFUNCTION("""COMPUTED_VALUE"""),"KZ.7100.01.01.00500582 / Действителен до 01.05.2019 / 20161014HS / годен до 04.2019")</f>
        <v>KZ.7100.01.01.00500582 / Действителен до 01.05.2019 / 20161014HS / годен до 04.2019</v>
      </c>
      <c r="H131" s="1" t="str">
        <f ca="1">IFERROR(__xludf.DUMMYFUNCTION("""COMPUTED_VALUE"""),"Экспресс-Тест (полоска) на беременность 3 мм №1 KZ.7100.01.01.00500582 / Действителен до 01.05.2019 / 20161014HS / годен до 04.2019")</f>
        <v>Экспресс-Тест (полоска) на беременность 3 мм №1 KZ.7100.01.01.00500582 / Действителен до 01.05.2019 / 20161014HS / годен до 04.2019</v>
      </c>
    </row>
    <row r="132" spans="1:8" ht="12.75" x14ac:dyDescent="0.2">
      <c r="A132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32" s="1" t="str">
        <f ca="1">IFERROR(__xludf.DUMMYFUNCTION("""COMPUTED_VALUE"""),"KZ.7100.01.01.00500583")</f>
        <v>KZ.7100.01.01.00500583</v>
      </c>
      <c r="C132" s="1" t="str">
        <f ca="1">IFERROR(__xludf.DUMMYFUNCTION("""COMPUTED_VALUE"""),"Действителен до 01.05.2019")</f>
        <v>Действителен до 01.05.2019</v>
      </c>
      <c r="D132" s="8" t="str">
        <f ca="1">IFERROR(__xludf.DUMMYFUNCTION("""COMPUTED_VALUE"""),"20161014HS")</f>
        <v>20161014HS</v>
      </c>
      <c r="E132" s="1" t="str">
        <f ca="1">IFERROR(__xludf.DUMMYFUNCTION("""COMPUTED_VALUE"""),"годен до 04.2019")</f>
        <v>годен до 04.2019</v>
      </c>
      <c r="F132" s="1" t="str">
        <f ca="1">IFERROR(__xludf.DUMMYFUNCTION("""COMPUTED_VALUE"""),"Экспресс-Тест (полоска) на беременность 3 мм №2 ПДВ - 20161014HS")</f>
        <v>Экспресс-Тест (полоска) на беременность 3 мм №2 ПДВ - 20161014HS</v>
      </c>
      <c r="G132" s="1" t="str">
        <f ca="1">IFERROR(__xludf.DUMMYFUNCTION("""COMPUTED_VALUE"""),"KZ.7100.01.01.00500583 / Действителен до 01.05.2019 / 20161014HS / годен до 04.2019")</f>
        <v>KZ.7100.01.01.00500583 / Действителен до 01.05.2019 / 20161014HS / годен до 04.2019</v>
      </c>
      <c r="H132" s="1" t="str">
        <f ca="1">IFERROR(__xludf.DUMMYFUNCTION("""COMPUTED_VALUE"""),"Экспресс-Тест (полоска) на беременность 3 мм №2 ПДВ KZ.7100.01.01.00500583 / Действителен до 01.05.2019 / 20161014HS / годен до 04.2019")</f>
        <v>Экспресс-Тест (полоска) на беременность 3 мм №2 ПДВ KZ.7100.01.01.00500583 / Действителен до 01.05.2019 / 20161014HS / годен до 04.2019</v>
      </c>
    </row>
    <row r="133" spans="1:8" ht="12.75" x14ac:dyDescent="0.2">
      <c r="A133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33" s="1" t="str">
        <f ca="1">IFERROR(__xludf.DUMMYFUNCTION("""COMPUTED_VALUE"""),"KZ.7100.01.01.00500581")</f>
        <v>KZ.7100.01.01.00500581</v>
      </c>
      <c r="C133" s="1" t="str">
        <f ca="1">IFERROR(__xludf.DUMMYFUNCTION("""COMPUTED_VALUE"""),"Действителен до 01.05.2019")</f>
        <v>Действителен до 01.05.2019</v>
      </c>
      <c r="D133" s="8" t="str">
        <f ca="1">IFERROR(__xludf.DUMMYFUNCTION("""COMPUTED_VALUE"""),"20161014HM")</f>
        <v>20161014HM</v>
      </c>
      <c r="E133" s="1" t="str">
        <f ca="1">IFERROR(__xludf.DUMMYFUNCTION("""COMPUTED_VALUE"""),"годен до 04.2019")</f>
        <v>годен до 04.2019</v>
      </c>
      <c r="F133" s="1" t="str">
        <f ca="1">IFERROR(__xludf.DUMMYFUNCTION("""COMPUTED_VALUE"""),"Экспресс-Тест (струйный) на беременность - 20161014HM")</f>
        <v>Экспресс-Тест (струйный) на беременность - 20161014HM</v>
      </c>
      <c r="G133" s="1" t="str">
        <f ca="1">IFERROR(__xludf.DUMMYFUNCTION("""COMPUTED_VALUE"""),"KZ.7100.01.01.00500581 / Действителен до 01.05.2019 / 20161014HM / годен до 04.2019")</f>
        <v>KZ.7100.01.01.00500581 / Действителен до 01.05.2019 / 20161014HM / годен до 04.2019</v>
      </c>
      <c r="H133" s="1" t="str">
        <f ca="1">IFERROR(__xludf.DUMMYFUNCTION("""COMPUTED_VALUE"""),"Экспресс-Тест (струйный) на беременность KZ.7100.01.01.00500581 / Действителен до 01.05.2019 / 20161014HM / годен до 04.2019")</f>
        <v>Экспресс-Тест (струйный) на беременность KZ.7100.01.01.00500581 / Действителен до 01.05.2019 / 20161014HM / годен до 04.2019</v>
      </c>
    </row>
    <row r="134" spans="1:8" ht="12.75" x14ac:dyDescent="0.2">
      <c r="A134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34" s="1" t="str">
        <f ca="1">IFERROR(__xludf.DUMMYFUNCTION("""COMPUTED_VALUE"""),"KZ.7100.01.01.00500584")</f>
        <v>KZ.7100.01.01.00500584</v>
      </c>
      <c r="C134" s="1" t="str">
        <f ca="1">IFERROR(__xludf.DUMMYFUNCTION("""COMPUTED_VALUE"""),"Действителен до 01.05.2019")</f>
        <v>Действителен до 01.05.2019</v>
      </c>
      <c r="D134" s="8" t="str">
        <f ca="1">IFERROR(__xludf.DUMMYFUNCTION("""COMPUTED_VALUE"""),"20161014LS")</f>
        <v>20161014LS</v>
      </c>
      <c r="E134" s="1" t="str">
        <f ca="1">IFERROR(__xludf.DUMMYFUNCTION("""COMPUTED_VALUE"""),"годен до 04.2019")</f>
        <v>годен до 04.2019</v>
      </c>
      <c r="F134" s="1" t="str">
        <f ca="1">IFERROR(__xludf.DUMMYFUNCTION("""COMPUTED_VALUE"""),"Экспресс-Тест (полоска) на овуляцию №5 + 1 ПДВ - 20161014LS")</f>
        <v>Экспресс-Тест (полоска) на овуляцию №5 + 1 ПДВ - 20161014LS</v>
      </c>
      <c r="G134" s="1" t="str">
        <f ca="1">IFERROR(__xludf.DUMMYFUNCTION("""COMPUTED_VALUE"""),"KZ.7100.01.01.00500584 / Действителен до 01.05.2019 / 20161014LS / годен до 04.2019")</f>
        <v>KZ.7100.01.01.00500584 / Действителен до 01.05.2019 / 20161014LS / годен до 04.2019</v>
      </c>
      <c r="H134" s="1" t="str">
        <f ca="1">IFERROR(__xludf.DUMMYFUNCTION("""COMPUTED_VALUE"""),"Экспресс-Тест (полоска) на овуляцию №5 + 1 ПДВ KZ.7100.01.01.00500584 / Действителен до 01.05.2019 / 20161014LS / годен до 04.2019")</f>
        <v>Экспресс-Тест (полоска) на овуляцию №5 + 1 ПДВ KZ.7100.01.01.00500584 / Действителен до 01.05.2019 / 20161014LS / годен до 04.2019</v>
      </c>
    </row>
    <row r="135" spans="1:8" ht="12.75" x14ac:dyDescent="0.2">
      <c r="A135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35" s="1" t="str">
        <f ca="1">IFERROR(__xludf.DUMMYFUNCTION("""COMPUTED_VALUE"""),"KZ.7100.02.01.00008195")</f>
        <v>KZ.7100.02.01.00008195</v>
      </c>
      <c r="C135" s="1" t="str">
        <f ca="1">IFERROR(__xludf.DUMMYFUNCTION("""COMPUTED_VALUE"""),"Действителен до 01.08.2018")</f>
        <v>Действителен до 01.08.2018</v>
      </c>
      <c r="D135" s="8" t="str">
        <f ca="1">IFERROR(__xludf.DUMMYFUNCTION("""COMPUTED_VALUE"""),"20160219HS")</f>
        <v>20160219HS</v>
      </c>
      <c r="E135" s="1" t="str">
        <f ca="1">IFERROR(__xludf.DUMMYFUNCTION("""COMPUTED_VALUE"""),"годен до 08.2018")</f>
        <v>годен до 08.2018</v>
      </c>
      <c r="F135" s="1" t="str">
        <f ca="1">IFERROR(__xludf.DUMMYFUNCTION("""COMPUTED_VALUE"""),"Экспресс-Тест (полоска) на беременность 3 мм №1 - 20160219HS")</f>
        <v>Экспресс-Тест (полоска) на беременность 3 мм №1 - 20160219HS</v>
      </c>
      <c r="G135" s="1" t="str">
        <f ca="1">IFERROR(__xludf.DUMMYFUNCTION("""COMPUTED_VALUE"""),"KZ.7100.02.01.00008195 / Действителен до 01.08.2018 / 20160219HS / годен до 08.2018")</f>
        <v>KZ.7100.02.01.00008195 / Действителен до 01.08.2018 / 20160219HS / годен до 08.2018</v>
      </c>
      <c r="H135" s="1" t="str">
        <f ca="1">IFERROR(__xludf.DUMMYFUNCTION("""COMPUTED_VALUE"""),"Экспресс-Тест (полоска) на беременность 3 мм №1 KZ.7100.02.01.00008195 / Действителен до 01.08.2018 / 20160219HS / годен до 08.2018")</f>
        <v>Экспресс-Тест (полоска) на беременность 3 мм №1 KZ.7100.02.01.00008195 / Действителен до 01.08.2018 / 20160219HS / годен до 08.2018</v>
      </c>
    </row>
    <row r="136" spans="1:8" ht="12.75" x14ac:dyDescent="0.2">
      <c r="A136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36" s="1" t="str">
        <f ca="1">IFERROR(__xludf.DUMMYFUNCTION("""COMPUTED_VALUE"""),"KZ.7100.02.01.00008195")</f>
        <v>KZ.7100.02.01.00008195</v>
      </c>
      <c r="C136" s="1" t="str">
        <f ca="1">IFERROR(__xludf.DUMMYFUNCTION("""COMPUTED_VALUE"""),"Действителен до 01.08.2018")</f>
        <v>Действителен до 01.08.2018</v>
      </c>
      <c r="D136" s="8" t="str">
        <f ca="1">IFERROR(__xludf.DUMMYFUNCTION("""COMPUTED_VALUE"""),"20160219HS")</f>
        <v>20160219HS</v>
      </c>
      <c r="E136" s="1" t="str">
        <f ca="1">IFERROR(__xludf.DUMMYFUNCTION("""COMPUTED_VALUE"""),"годен до 08.2018")</f>
        <v>годен до 08.2018</v>
      </c>
      <c r="F136" s="1" t="str">
        <f ca="1">IFERROR(__xludf.DUMMYFUNCTION("""COMPUTED_VALUE"""),"Экспресс-Тест (полоска) на беременность 3 мм №2 ПДВ - 20160219HS")</f>
        <v>Экспресс-Тест (полоска) на беременность 3 мм №2 ПДВ - 20160219HS</v>
      </c>
      <c r="G136" s="1" t="str">
        <f ca="1">IFERROR(__xludf.DUMMYFUNCTION("""COMPUTED_VALUE"""),"KZ.7100.02.01.00008195 / Действителен до 01.08.2018 / 20160219HS / годен до 08.2018")</f>
        <v>KZ.7100.02.01.00008195 / Действителен до 01.08.2018 / 20160219HS / годен до 08.2018</v>
      </c>
      <c r="H136" s="1" t="str">
        <f ca="1">IFERROR(__xludf.DUMMYFUNCTION("""COMPUTED_VALUE"""),"Экспресс-Тест (полоска) на беременность 3 мм №2 ПДВ KZ.7100.02.01.00008195 / Действителен до 01.08.2018 / 20160219HS / годен до 08.2018")</f>
        <v>Экспресс-Тест (полоска) на беременность 3 мм №2 ПДВ KZ.7100.02.01.00008195 / Действителен до 01.08.2018 / 20160219HS / годен до 08.2018</v>
      </c>
    </row>
    <row r="137" spans="1:8" ht="12.75" x14ac:dyDescent="0.2">
      <c r="A137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37" s="1" t="str">
        <f ca="1">IFERROR(__xludf.DUMMYFUNCTION("""COMPUTED_VALUE"""),"KZ.7100.02.01.00008192")</f>
        <v>KZ.7100.02.01.00008192</v>
      </c>
      <c r="C137" s="1" t="str">
        <f ca="1">IFERROR(__xludf.DUMMYFUNCTION("""COMPUTED_VALUE"""),"Действителен до 01.08.2018")</f>
        <v>Действителен до 01.08.2018</v>
      </c>
      <c r="D137" s="8" t="str">
        <f ca="1">IFERROR(__xludf.DUMMYFUNCTION("""COMPUTED_VALUE"""),"20160219НМ")</f>
        <v>20160219НМ</v>
      </c>
      <c r="E137" s="1" t="str">
        <f ca="1">IFERROR(__xludf.DUMMYFUNCTION("""COMPUTED_VALUE"""),"годен до 08.2018")</f>
        <v>годен до 08.2018</v>
      </c>
      <c r="F137" s="1" t="str">
        <f ca="1">IFERROR(__xludf.DUMMYFUNCTION("""COMPUTED_VALUE"""),"Экспресс-Тест (струйный) на беременность - 20160219НМ")</f>
        <v>Экспресс-Тест (струйный) на беременность - 20160219НМ</v>
      </c>
      <c r="G137" s="1" t="str">
        <f ca="1">IFERROR(__xludf.DUMMYFUNCTION("""COMPUTED_VALUE"""),"KZ.7100.02.01.00008192 / Действителен до 01.08.2018 / 20160219НМ / годен до 08.2018")</f>
        <v>KZ.7100.02.01.00008192 / Действителен до 01.08.2018 / 20160219НМ / годен до 08.2018</v>
      </c>
      <c r="H137" s="1" t="str">
        <f ca="1">IFERROR(__xludf.DUMMYFUNCTION("""COMPUTED_VALUE"""),"Экспресс-Тест (струйный) на беременность KZ.7100.02.01.00008192 / Действителен до 01.08.2018 / 20160219НМ / годен до 08.2018")</f>
        <v>Экспресс-Тест (струйный) на беременность KZ.7100.02.01.00008192 / Действителен до 01.08.2018 / 20160219НМ / годен до 08.2018</v>
      </c>
    </row>
    <row r="138" spans="1:8" ht="12.75" x14ac:dyDescent="0.2">
      <c r="A138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38" s="1" t="str">
        <f ca="1">IFERROR(__xludf.DUMMYFUNCTION("""COMPUTED_VALUE"""),"KZ.7100.02.01.00008193")</f>
        <v>KZ.7100.02.01.00008193</v>
      </c>
      <c r="C138" s="1" t="str">
        <f ca="1">IFERROR(__xludf.DUMMYFUNCTION("""COMPUTED_VALUE"""),"Действителен до 01.08.2018")</f>
        <v>Действителен до 01.08.2018</v>
      </c>
      <c r="D138" s="8" t="str">
        <f ca="1">IFERROR(__xludf.DUMMYFUNCTION("""COMPUTED_VALUE"""),"20160219LS")</f>
        <v>20160219LS</v>
      </c>
      <c r="E138" s="1" t="str">
        <f ca="1">IFERROR(__xludf.DUMMYFUNCTION("""COMPUTED_VALUE"""),"годен до 08.2018")</f>
        <v>годен до 08.2018</v>
      </c>
      <c r="F138" s="1" t="str">
        <f ca="1">IFERROR(__xludf.DUMMYFUNCTION("""COMPUTED_VALUE"""),"Экспресс-Тест (полоска) на овуляцию №5 + 1 ПДВ - 20160219LS")</f>
        <v>Экспресс-Тест (полоска) на овуляцию №5 + 1 ПДВ - 20160219LS</v>
      </c>
      <c r="G138" s="1" t="str">
        <f ca="1">IFERROR(__xludf.DUMMYFUNCTION("""COMPUTED_VALUE"""),"KZ.7100.02.01.00008193 / Действителен до 01.08.2018 / 20160219LS / годен до 08.2018")</f>
        <v>KZ.7100.02.01.00008193 / Действителен до 01.08.2018 / 20160219LS / годен до 08.2018</v>
      </c>
      <c r="H138" s="1" t="str">
        <f ca="1">IFERROR(__xludf.DUMMYFUNCTION("""COMPUTED_VALUE"""),"Экспресс-Тест (полоска) на овуляцию №5 + 1 ПДВ KZ.7100.02.01.00008193 / Действителен до 01.08.2018 / 20160219LS / годен до 08.2018")</f>
        <v>Экспресс-Тест (полоска) на овуляцию №5 + 1 ПДВ KZ.7100.02.01.00008193 / Действителен до 01.08.2018 / 20160219LS / годен до 08.2018</v>
      </c>
    </row>
    <row r="139" spans="1:8" ht="12.75" x14ac:dyDescent="0.2">
      <c r="A139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39" s="1" t="str">
        <f ca="1">IFERROR(__xludf.DUMMYFUNCTION("""COMPUTED_VALUE"""),"KZ.7100.02.01.00007099")</f>
        <v>KZ.7100.02.01.00007099</v>
      </c>
      <c r="C139" s="1" t="str">
        <f ca="1">IFERROR(__xludf.DUMMYFUNCTION("""COMPUTED_VALUE"""),"Действителен до 01.03.2018")</f>
        <v>Действителен до 01.03.2018</v>
      </c>
      <c r="D139" s="8" t="str">
        <f ca="1">IFERROR(__xludf.DUMMYFUNCTION("""COMPUTED_VALUE"""),"20150902")</f>
        <v>20150902</v>
      </c>
      <c r="E139" s="1" t="str">
        <f ca="1">IFERROR(__xludf.DUMMYFUNCTION("""COMPUTED_VALUE"""),"годен до 03.2018")</f>
        <v>годен до 03.2018</v>
      </c>
      <c r="F139" s="1" t="str">
        <f ca="1">IFERROR(__xludf.DUMMYFUNCTION("""COMPUTED_VALUE"""),"Экспресс-Тест (полоска) на беременность 3 мм №1 - 20150902")</f>
        <v>Экспресс-Тест (полоска) на беременность 3 мм №1 - 20150902</v>
      </c>
      <c r="G139" s="1" t="str">
        <f ca="1">IFERROR(__xludf.DUMMYFUNCTION("""COMPUTED_VALUE"""),"KZ.7100.02.01.00007099 / Действителен до 01.03.2018 / 20150902 / годен до 03.2018")</f>
        <v>KZ.7100.02.01.00007099 / Действителен до 01.03.2018 / 20150902 / годен до 03.2018</v>
      </c>
      <c r="H139" s="1" t="str">
        <f ca="1">IFERROR(__xludf.DUMMYFUNCTION("""COMPUTED_VALUE"""),"Экспресс-Тест (полоска) на беременность 3 мм №1 KZ.7100.02.01.00007099 / Действителен до 01.03.2018 / 20150902 / годен до 03.2018")</f>
        <v>Экспресс-Тест (полоска) на беременность 3 мм №1 KZ.7100.02.01.00007099 / Действителен до 01.03.2018 / 20150902 / годен до 03.2018</v>
      </c>
    </row>
    <row r="140" spans="1:8" ht="12.75" x14ac:dyDescent="0.2">
      <c r="A140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40" s="1" t="str">
        <f ca="1">IFERROR(__xludf.DUMMYFUNCTION("""COMPUTED_VALUE"""),"KZ.7100.02.01.00007099")</f>
        <v>KZ.7100.02.01.00007099</v>
      </c>
      <c r="C140" s="1" t="str">
        <f ca="1">IFERROR(__xludf.DUMMYFUNCTION("""COMPUTED_VALUE"""),"Действителен до 01.03.2018")</f>
        <v>Действителен до 01.03.2018</v>
      </c>
      <c r="D140" s="8" t="str">
        <f ca="1">IFERROR(__xludf.DUMMYFUNCTION("""COMPUTED_VALUE"""),"20150902")</f>
        <v>20150902</v>
      </c>
      <c r="E140" s="1" t="str">
        <f ca="1">IFERROR(__xludf.DUMMYFUNCTION("""COMPUTED_VALUE"""),"годен до 03.2018")</f>
        <v>годен до 03.2018</v>
      </c>
      <c r="F140" s="1" t="str">
        <f ca="1">IFERROR(__xludf.DUMMYFUNCTION("""COMPUTED_VALUE"""),"Экспресс-Тест (полоска) на беременность 3 мм №2 ПДВ - 20150902")</f>
        <v>Экспресс-Тест (полоска) на беременность 3 мм №2 ПДВ - 20150902</v>
      </c>
      <c r="G140" s="1" t="str">
        <f ca="1">IFERROR(__xludf.DUMMYFUNCTION("""COMPUTED_VALUE"""),"KZ.7100.02.01.00007099 / Действителен до 01.03.2018 / 20150902 / годен до 03.2018")</f>
        <v>KZ.7100.02.01.00007099 / Действителен до 01.03.2018 / 20150902 / годен до 03.2018</v>
      </c>
      <c r="H140" s="1" t="str">
        <f ca="1">IFERROR(__xludf.DUMMYFUNCTION("""COMPUTED_VALUE"""),"Экспресс-Тест (полоска) на беременность 3 мм №2 ПДВ KZ.7100.02.01.00007099 / Действителен до 01.03.2018 / 20150902 / годен до 03.2018")</f>
        <v>Экспресс-Тест (полоска) на беременность 3 мм №2 ПДВ KZ.7100.02.01.00007099 / Действителен до 01.03.2018 / 20150902 / годен до 03.2018</v>
      </c>
    </row>
    <row r="141" spans="1:8" ht="12.75" x14ac:dyDescent="0.2">
      <c r="A141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41" s="1" t="str">
        <f ca="1">IFERROR(__xludf.DUMMYFUNCTION("""COMPUTED_VALUE"""),"KZ.7100.02.01.00007098")</f>
        <v>KZ.7100.02.01.00007098</v>
      </c>
      <c r="C141" s="1" t="str">
        <f ca="1">IFERROR(__xludf.DUMMYFUNCTION("""COMPUTED_VALUE"""),"Действителен до 01.03.2018")</f>
        <v>Действителен до 01.03.2018</v>
      </c>
      <c r="D141" s="8" t="str">
        <f ca="1">IFERROR(__xludf.DUMMYFUNCTION("""COMPUTED_VALUE"""),"20150902")</f>
        <v>20150902</v>
      </c>
      <c r="E141" s="1" t="str">
        <f ca="1">IFERROR(__xludf.DUMMYFUNCTION("""COMPUTED_VALUE"""),"годен до 03.2018")</f>
        <v>годен до 03.2018</v>
      </c>
      <c r="F141" s="1" t="str">
        <f ca="1">IFERROR(__xludf.DUMMYFUNCTION("""COMPUTED_VALUE"""),"Экспресс-Тест (струйный) на беременность - 20150902")</f>
        <v>Экспресс-Тест (струйный) на беременность - 20150902</v>
      </c>
      <c r="G141" s="1" t="str">
        <f ca="1">IFERROR(__xludf.DUMMYFUNCTION("""COMPUTED_VALUE"""),"KZ.7100.02.01.00007098 / Действителен до 01.03.2018 / 20150902 / годен до 03.2018")</f>
        <v>KZ.7100.02.01.00007098 / Действителен до 01.03.2018 / 20150902 / годен до 03.2018</v>
      </c>
      <c r="H141" s="1" t="str">
        <f ca="1">IFERROR(__xludf.DUMMYFUNCTION("""COMPUTED_VALUE"""),"Экспресс-Тест (струйный) на беременность KZ.7100.02.01.00007098 / Действителен до 01.03.2018 / 20150902 / годен до 03.2018")</f>
        <v>Экспресс-Тест (струйный) на беременность KZ.7100.02.01.00007098 / Действителен до 01.03.2018 / 20150902 / годен до 03.2018</v>
      </c>
    </row>
    <row r="142" spans="1:8" ht="12.75" x14ac:dyDescent="0.2">
      <c r="A142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42" s="1" t="str">
        <f ca="1">IFERROR(__xludf.DUMMYFUNCTION("""COMPUTED_VALUE"""),"KZ.7100.02.01.00007100")</f>
        <v>KZ.7100.02.01.00007100</v>
      </c>
      <c r="C142" s="1" t="str">
        <f ca="1">IFERROR(__xludf.DUMMYFUNCTION("""COMPUTED_VALUE"""),"Действителен до 01.03.2018")</f>
        <v>Действителен до 01.03.2018</v>
      </c>
      <c r="D142" s="8" t="str">
        <f ca="1">IFERROR(__xludf.DUMMYFUNCTION("""COMPUTED_VALUE"""),"20150902")</f>
        <v>20150902</v>
      </c>
      <c r="E142" s="1" t="str">
        <f ca="1">IFERROR(__xludf.DUMMYFUNCTION("""COMPUTED_VALUE"""),"годен до 08.2018")</f>
        <v>годен до 08.2018</v>
      </c>
      <c r="F142" s="1" t="str">
        <f ca="1">IFERROR(__xludf.DUMMYFUNCTION("""COMPUTED_VALUE"""),"Экспресс-Тест (полоска) на овуляцию №5 + 1 ПДВ - 20150902")</f>
        <v>Экспресс-Тест (полоска) на овуляцию №5 + 1 ПДВ - 20150902</v>
      </c>
      <c r="G142" s="1" t="str">
        <f ca="1">IFERROR(__xludf.DUMMYFUNCTION("""COMPUTED_VALUE"""),"KZ.7100.02.01.00007100 / Действителен до 01.03.2018 / 20150902 / годен до 08.2018")</f>
        <v>KZ.7100.02.01.00007100 / Действителен до 01.03.2018 / 20150902 / годен до 08.2018</v>
      </c>
      <c r="H142" s="1" t="str">
        <f ca="1">IFERROR(__xludf.DUMMYFUNCTION("""COMPUTED_VALUE"""),"Экспресс-Тест (полоска) на овуляцию №5 + 1 ПДВ KZ.7100.02.01.00007100 / Действителен до 01.03.2018 / 20150902 / годен до 08.2018")</f>
        <v>Экспресс-Тест (полоска) на овуляцию №5 + 1 ПДВ KZ.7100.02.01.00007100 / Действителен до 01.03.2018 / 20150902 / годен до 08.2018</v>
      </c>
    </row>
    <row r="143" spans="1:8" ht="12.75" x14ac:dyDescent="0.2">
      <c r="A143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43" s="1" t="str">
        <f ca="1">IFERROR(__xludf.DUMMYFUNCTION("""COMPUTED_VALUE"""),"KZ.7100.02.01.00006052")</f>
        <v>KZ.7100.02.01.00006052</v>
      </c>
      <c r="C143" s="1" t="str">
        <f ca="1">IFERROR(__xludf.DUMMYFUNCTION("""COMPUTED_VALUE"""),"Действителен до 01.09.2017")</f>
        <v>Действителен до 01.09.2017</v>
      </c>
      <c r="D143" s="8" t="str">
        <f ca="1">IFERROR(__xludf.DUMMYFUNCTION("""COMPUTED_VALUE"""),"20150318")</f>
        <v>20150318</v>
      </c>
      <c r="E143" s="1" t="str">
        <f ca="1">IFERROR(__xludf.DUMMYFUNCTION("""COMPUTED_VALUE"""),"годен до 09.2017")</f>
        <v>годен до 09.2017</v>
      </c>
      <c r="F143" s="1" t="str">
        <f ca="1">IFERROR(__xludf.DUMMYFUNCTION("""COMPUTED_VALUE"""),"Экспресс-Тест (полоска) на беременность 3 мм №1 - 20150318")</f>
        <v>Экспресс-Тест (полоска) на беременность 3 мм №1 - 20150318</v>
      </c>
      <c r="G143" s="1" t="str">
        <f ca="1">IFERROR(__xludf.DUMMYFUNCTION("""COMPUTED_VALUE"""),"KZ.7100.02.01.00006052 / Действителен до 01.09.2017 / 20150318 / годен до 09.2017")</f>
        <v>KZ.7100.02.01.00006052 / Действителен до 01.09.2017 / 20150318 / годен до 09.2017</v>
      </c>
      <c r="H143" s="1" t="str">
        <f ca="1">IFERROR(__xludf.DUMMYFUNCTION("""COMPUTED_VALUE"""),"Экспресс-Тест (полоска) на беременность 3 мм №1 KZ.7100.02.01.00006052 / Действителен до 01.09.2017 / 20150318 / годен до 09.2017")</f>
        <v>Экспресс-Тест (полоска) на беременность 3 мм №1 KZ.7100.02.01.00006052 / Действителен до 01.09.2017 / 20150318 / годен до 09.2017</v>
      </c>
    </row>
    <row r="144" spans="1:8" ht="12.75" x14ac:dyDescent="0.2">
      <c r="A144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44" s="1" t="str">
        <f ca="1">IFERROR(__xludf.DUMMYFUNCTION("""COMPUTED_VALUE"""),"KZ.7100.02.01.00006052")</f>
        <v>KZ.7100.02.01.00006052</v>
      </c>
      <c r="C144" s="1" t="str">
        <f ca="1">IFERROR(__xludf.DUMMYFUNCTION("""COMPUTED_VALUE"""),"Действителен до 01.09.2017")</f>
        <v>Действителен до 01.09.2017</v>
      </c>
      <c r="D144" s="8" t="str">
        <f ca="1">IFERROR(__xludf.DUMMYFUNCTION("""COMPUTED_VALUE"""),"20150318")</f>
        <v>20150318</v>
      </c>
      <c r="E144" s="1" t="str">
        <f ca="1">IFERROR(__xludf.DUMMYFUNCTION("""COMPUTED_VALUE"""),"годен до 09.2017")</f>
        <v>годен до 09.2017</v>
      </c>
      <c r="F144" s="1" t="str">
        <f ca="1">IFERROR(__xludf.DUMMYFUNCTION("""COMPUTED_VALUE"""),"Экспресс-Тест (полоска) на беременность 3 мм №2 ПДВ - 20150318")</f>
        <v>Экспресс-Тест (полоска) на беременность 3 мм №2 ПДВ - 20150318</v>
      </c>
      <c r="G144" s="1" t="str">
        <f ca="1">IFERROR(__xludf.DUMMYFUNCTION("""COMPUTED_VALUE"""),"KZ.7100.02.01.00006052 / Действителен до 01.09.2017 / 20150318 / годен до 09.2017")</f>
        <v>KZ.7100.02.01.00006052 / Действителен до 01.09.2017 / 20150318 / годен до 09.2017</v>
      </c>
      <c r="H144" s="1" t="str">
        <f ca="1">IFERROR(__xludf.DUMMYFUNCTION("""COMPUTED_VALUE"""),"Экспресс-Тест (полоска) на беременность 3 мм №2 ПДВ KZ.7100.02.01.00006052 / Действителен до 01.09.2017 / 20150318 / годен до 09.2017")</f>
        <v>Экспресс-Тест (полоска) на беременность 3 мм №2 ПДВ KZ.7100.02.01.00006052 / Действителен до 01.09.2017 / 20150318 / годен до 09.2017</v>
      </c>
    </row>
    <row r="145" spans="1:8" ht="12.75" x14ac:dyDescent="0.2">
      <c r="A145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45" s="1" t="str">
        <f ca="1">IFERROR(__xludf.DUMMYFUNCTION("""COMPUTED_VALUE"""),"KZ.7100.02.01.00006051")</f>
        <v>KZ.7100.02.01.00006051</v>
      </c>
      <c r="C145" s="1" t="str">
        <f ca="1">IFERROR(__xludf.DUMMYFUNCTION("""COMPUTED_VALUE"""),"Действителен до 01.09.2017")</f>
        <v>Действителен до 01.09.2017</v>
      </c>
      <c r="D145" s="8" t="str">
        <f ca="1">IFERROR(__xludf.DUMMYFUNCTION("""COMPUTED_VALUE"""),"20150318")</f>
        <v>20150318</v>
      </c>
      <c r="E145" s="1" t="str">
        <f ca="1">IFERROR(__xludf.DUMMYFUNCTION("""COMPUTED_VALUE"""),"годен до 09.2017")</f>
        <v>годен до 09.2017</v>
      </c>
      <c r="F145" s="1" t="str">
        <f ca="1">IFERROR(__xludf.DUMMYFUNCTION("""COMPUTED_VALUE"""),"Экспресс-Тест (струйный) на беременность - 20150318")</f>
        <v>Экспресс-Тест (струйный) на беременность - 20150318</v>
      </c>
      <c r="G145" s="1" t="str">
        <f ca="1">IFERROR(__xludf.DUMMYFUNCTION("""COMPUTED_VALUE"""),"KZ.7100.02.01.00006051 / Действителен до 01.09.2017 / 20150318 / годен до 09.2017")</f>
        <v>KZ.7100.02.01.00006051 / Действителен до 01.09.2017 / 20150318 / годен до 09.2017</v>
      </c>
      <c r="H145" s="1" t="str">
        <f ca="1">IFERROR(__xludf.DUMMYFUNCTION("""COMPUTED_VALUE"""),"Экспресс-Тест (струйный) на беременность KZ.7100.02.01.00006051 / Действителен до 01.09.2017 / 20150318 / годен до 09.2017")</f>
        <v>Экспресс-Тест (струйный) на беременность KZ.7100.02.01.00006051 / Действителен до 01.09.2017 / 20150318 / годен до 09.2017</v>
      </c>
    </row>
    <row r="146" spans="1:8" ht="12.75" x14ac:dyDescent="0.2">
      <c r="A146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46" s="1" t="str">
        <f ca="1">IFERROR(__xludf.DUMMYFUNCTION("""COMPUTED_VALUE"""),"KZ.7700.02.01.00727172")</f>
        <v>KZ.7700.02.01.00727172</v>
      </c>
      <c r="C146" s="1" t="str">
        <f ca="1">IFERROR(__xludf.DUMMYFUNCTION("""COMPUTED_VALUE"""),"Действителен до 15.02.2026")</f>
        <v>Действителен до 15.02.2026</v>
      </c>
      <c r="D146" s="8" t="str">
        <f ca="1">IFERROR(__xludf.DUMMYFUNCTION("""COMPUTED_VALUE"""),"0221174KZ174")</f>
        <v>0221174KZ174</v>
      </c>
      <c r="E146" s="1" t="str">
        <f ca="1">IFERROR(__xludf.DUMMYFUNCTION("""COMPUTED_VALUE"""),"годен до 15.02.2026")</f>
        <v>годен до 15.02.2026</v>
      </c>
      <c r="F146" s="1" t="str">
        <f ca="1">IFERROR(__xludf.DUMMYFUNCTION("""COMPUTED_VALUE"""),"Бандаж на голеностопный сустав эластичный 7035 M (Болгария) - 0221174KZ174")</f>
        <v>Бандаж на голеностопный сустав эластичный 7035 M (Болгария) - 0221174KZ174</v>
      </c>
      <c r="G146" s="1" t="str">
        <f ca="1">IFERROR(__xludf.DUMMYFUNCTION("""COMPUTED_VALUE"""),"KZ.7700.02.01.00727172 / Действителен до 15.02.2026 / 0221174KZ174 / годен до 15.02.2026")</f>
        <v>KZ.7700.02.01.00727172 / Действителен до 15.02.2026 / 0221174KZ174 / годен до 15.02.2026</v>
      </c>
      <c r="H146" s="1" t="str">
        <f ca="1">IFERROR(__xludf.DUMMYFUNCTION("""COMPUTED_VALUE"""),"Бандаж на голеностопный сустав эластичный 7035 M (Болгария) KZ.7700.02.01.00727172 / Действителен до 15.02.2026 / 0221174KZ174 / годен до 15.02.2026")</f>
        <v>Бандаж на голеностопный сустав эластичный 7035 M (Болгария) KZ.7700.02.01.00727172 / Действителен до 15.02.2026 / 0221174KZ174 / годен до 15.02.2026</v>
      </c>
    </row>
    <row r="147" spans="1:8" ht="12.75" x14ac:dyDescent="0.2">
      <c r="A147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147" s="1" t="str">
        <f ca="1">IFERROR(__xludf.DUMMYFUNCTION("""COMPUTED_VALUE"""),"KZ.7700.02.01.00727156")</f>
        <v>KZ.7700.02.01.00727156</v>
      </c>
      <c r="C147" s="1" t="str">
        <f ca="1">IFERROR(__xludf.DUMMYFUNCTION("""COMPUTED_VALUE"""),"Действителен до 15.02.2026")</f>
        <v>Действителен до 15.02.2026</v>
      </c>
      <c r="D147" s="8" t="str">
        <f ca="1">IFERROR(__xludf.DUMMYFUNCTION("""COMPUTED_VALUE"""),"0221174KZ174")</f>
        <v>0221174KZ174</v>
      </c>
      <c r="E147" s="1" t="str">
        <f ca="1">IFERROR(__xludf.DUMMYFUNCTION("""COMPUTED_VALUE"""),"годен до 15.02.2026")</f>
        <v>годен до 15.02.2026</v>
      </c>
      <c r="F147" s="1" t="str">
        <f ca="1">IFERROR(__xludf.DUMMYFUNCTION("""COMPUTED_VALUE"""),"Бандаж на голеностопный сустав эластичный 7035 S (Болгария) - 0221174KZ174")</f>
        <v>Бандаж на голеностопный сустав эластичный 7035 S (Болгария) - 0221174KZ174</v>
      </c>
      <c r="G147" s="1" t="str">
        <f ca="1">IFERROR(__xludf.DUMMYFUNCTION("""COMPUTED_VALUE"""),"KZ.7700.02.01.00727156 / Действителен до 15.02.2026 / 0221174KZ174 / годен до 15.02.2026")</f>
        <v>KZ.7700.02.01.00727156 / Действителен до 15.02.2026 / 0221174KZ174 / годен до 15.02.2026</v>
      </c>
      <c r="H147" s="1" t="str">
        <f ca="1">IFERROR(__xludf.DUMMYFUNCTION("""COMPUTED_VALUE"""),"Бандаж на голеностопный сустав эластичный 7035 S (Болгария) KZ.7700.02.01.00727156 / Действителен до 15.02.2026 / 0221174KZ174 / годен до 15.02.2026")</f>
        <v>Бандаж на голеностопный сустав эластичный 7035 S (Болгария) KZ.7700.02.01.00727156 / Действителен до 15.02.2026 / 0221174KZ174 / годен до 15.02.2026</v>
      </c>
    </row>
    <row r="148" spans="1:8" ht="12.75" x14ac:dyDescent="0.2">
      <c r="A148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148" s="1" t="str">
        <f ca="1">IFERROR(__xludf.DUMMYFUNCTION("""COMPUTED_VALUE"""),"KZ.7700.02.01.00727164")</f>
        <v>KZ.7700.02.01.00727164</v>
      </c>
      <c r="C148" s="1" t="str">
        <f ca="1">IFERROR(__xludf.DUMMYFUNCTION("""COMPUTED_VALUE"""),"Действителен до 15.02.2026")</f>
        <v>Действителен до 15.02.2026</v>
      </c>
      <c r="D148" s="8" t="str">
        <f ca="1">IFERROR(__xludf.DUMMYFUNCTION("""COMPUTED_VALUE"""),"0221174KZ174")</f>
        <v>0221174KZ174</v>
      </c>
      <c r="E148" s="1" t="str">
        <f ca="1">IFERROR(__xludf.DUMMYFUNCTION("""COMPUTED_VALUE"""),"годен до 15.02.2026")</f>
        <v>годен до 15.02.2026</v>
      </c>
      <c r="F148" s="1" t="str">
        <f ca="1">IFERROR(__xludf.DUMMYFUNCTION("""COMPUTED_VALUE"""),"Бандаж на голеностопный сустав эластичный 7035 XL (Болгария) - 0221174KZ174")</f>
        <v>Бандаж на голеностопный сустав эластичный 7035 XL (Болгария) - 0221174KZ174</v>
      </c>
      <c r="G148" s="1" t="str">
        <f ca="1">IFERROR(__xludf.DUMMYFUNCTION("""COMPUTED_VALUE"""),"KZ.7700.02.01.00727164 / Действителен до 15.02.2026 / 0221174KZ174 / годен до 15.02.2026")</f>
        <v>KZ.7700.02.01.00727164 / Действителен до 15.02.2026 / 0221174KZ174 / годен до 15.02.2026</v>
      </c>
      <c r="H148" s="1" t="str">
        <f ca="1">IFERROR(__xludf.DUMMYFUNCTION("""COMPUTED_VALUE"""),"Бандаж на голеностопный сустав эластичный 7035 XL (Болгария) KZ.7700.02.01.00727164 / Действителен до 15.02.2026 / 0221174KZ174 / годен до 15.02.2026")</f>
        <v>Бандаж на голеностопный сустав эластичный 7035 XL (Болгария) KZ.7700.02.01.00727164 / Действителен до 15.02.2026 / 0221174KZ174 / годен до 15.02.2026</v>
      </c>
    </row>
    <row r="149" spans="1:8" ht="12.75" x14ac:dyDescent="0.2">
      <c r="A149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149" s="1" t="str">
        <f ca="1">IFERROR(__xludf.DUMMYFUNCTION("""COMPUTED_VALUE"""),"KZ.7700.02.01.00727163")</f>
        <v>KZ.7700.02.01.00727163</v>
      </c>
      <c r="C149" s="1" t="str">
        <f ca="1">IFERROR(__xludf.DUMMYFUNCTION("""COMPUTED_VALUE"""),"Действителен до 15.02.2026")</f>
        <v>Действителен до 15.02.2026</v>
      </c>
      <c r="D149" s="8" t="str">
        <f ca="1">IFERROR(__xludf.DUMMYFUNCTION("""COMPUTED_VALUE"""),"0221174KZ174")</f>
        <v>0221174KZ174</v>
      </c>
      <c r="E149" s="1" t="str">
        <f ca="1">IFERROR(__xludf.DUMMYFUNCTION("""COMPUTED_VALUE"""),"годен до 15.02.2026")</f>
        <v>годен до 15.02.2026</v>
      </c>
      <c r="F149" s="1" t="str">
        <f ca="1">IFERROR(__xludf.DUMMYFUNCTION("""COMPUTED_VALUE"""),"Бандаж на локтевой сустав эластичный 8317 L (Болгария) - 0221174KZ174")</f>
        <v>Бандаж на локтевой сустав эластичный 8317 L (Болгария) - 0221174KZ174</v>
      </c>
      <c r="G149" s="1" t="str">
        <f ca="1">IFERROR(__xludf.DUMMYFUNCTION("""COMPUTED_VALUE"""),"KZ.7700.02.01.00727163 / Действителен до 15.02.2026 / 0221174KZ174 / годен до 15.02.2026")</f>
        <v>KZ.7700.02.01.00727163 / Действителен до 15.02.2026 / 0221174KZ174 / годен до 15.02.2026</v>
      </c>
      <c r="H149" s="1" t="str">
        <f ca="1">IFERROR(__xludf.DUMMYFUNCTION("""COMPUTED_VALUE"""),"Бандаж на локтевой сустав эластичный 8317 L (Болгария) KZ.7700.02.01.00727163 / Действителен до 15.02.2026 / 0221174KZ174 / годен до 15.02.2026")</f>
        <v>Бандаж на локтевой сустав эластичный 8317 L (Болгария) KZ.7700.02.01.00727163 / Действителен до 15.02.2026 / 0221174KZ174 / годен до 15.02.2026</v>
      </c>
    </row>
    <row r="150" spans="1:8" ht="12.75" x14ac:dyDescent="0.2">
      <c r="A150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150" s="1" t="str">
        <f ca="1">IFERROR(__xludf.DUMMYFUNCTION("""COMPUTED_VALUE"""),"KZ.7700.02.01.00727170")</f>
        <v>KZ.7700.02.01.00727170</v>
      </c>
      <c r="C150" s="1" t="str">
        <f ca="1">IFERROR(__xludf.DUMMYFUNCTION("""COMPUTED_VALUE"""),"Действителен до 15.02.2026")</f>
        <v>Действителен до 15.02.2026</v>
      </c>
      <c r="D150" s="8" t="str">
        <f ca="1">IFERROR(__xludf.DUMMYFUNCTION("""COMPUTED_VALUE"""),"0221174KZ174")</f>
        <v>0221174KZ174</v>
      </c>
      <c r="E150" s="1" t="str">
        <f ca="1">IFERROR(__xludf.DUMMYFUNCTION("""COMPUTED_VALUE"""),"годен до 15.02.2026")</f>
        <v>годен до 15.02.2026</v>
      </c>
      <c r="F150" s="1" t="str">
        <f ca="1">IFERROR(__xludf.DUMMYFUNCTION("""COMPUTED_VALUE"""),"Бандаж на локтевой сустав эластичный 8317 M (Болгария) - 0221174KZ174")</f>
        <v>Бандаж на локтевой сустав эластичный 8317 M (Болгария) - 0221174KZ174</v>
      </c>
      <c r="G150" s="1" t="str">
        <f ca="1">IFERROR(__xludf.DUMMYFUNCTION("""COMPUTED_VALUE"""),"KZ.7700.02.01.00727170 / Действителен до 15.02.2026 / 0221174KZ174 / годен до 15.02.2026")</f>
        <v>KZ.7700.02.01.00727170 / Действителен до 15.02.2026 / 0221174KZ174 / годен до 15.02.2026</v>
      </c>
      <c r="H150" s="1" t="str">
        <f ca="1">IFERROR(__xludf.DUMMYFUNCTION("""COMPUTED_VALUE"""),"Бандаж на локтевой сустав эластичный 8317 M (Болгария) KZ.7700.02.01.00727170 / Действителен до 15.02.2026 / 0221174KZ174 / годен до 15.02.2026")</f>
        <v>Бандаж на локтевой сустав эластичный 8317 M (Болгария) KZ.7700.02.01.00727170 / Действителен до 15.02.2026 / 0221174KZ174 / годен до 15.02.2026</v>
      </c>
    </row>
    <row r="151" spans="1:8" ht="12.75" x14ac:dyDescent="0.2">
      <c r="A151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151" s="1" t="str">
        <f ca="1">IFERROR(__xludf.DUMMYFUNCTION("""COMPUTED_VALUE"""),"KZ.7700.02.01.00727167")</f>
        <v>KZ.7700.02.01.00727167</v>
      </c>
      <c r="C151" s="1" t="str">
        <f ca="1">IFERROR(__xludf.DUMMYFUNCTION("""COMPUTED_VALUE"""),"Действителен до 15.02.2026")</f>
        <v>Действителен до 15.02.2026</v>
      </c>
      <c r="D151" s="8" t="str">
        <f ca="1">IFERROR(__xludf.DUMMYFUNCTION("""COMPUTED_VALUE"""),"0221174KZ174")</f>
        <v>0221174KZ174</v>
      </c>
      <c r="E151" s="1" t="str">
        <f ca="1">IFERROR(__xludf.DUMMYFUNCTION("""COMPUTED_VALUE"""),"годен до 15.02.2026")</f>
        <v>годен до 15.02.2026</v>
      </c>
      <c r="F151" s="1" t="str">
        <f ca="1">IFERROR(__xludf.DUMMYFUNCTION("""COMPUTED_VALUE"""),"Бандаж на локтевой сустав эластичный 8317 S (Болгария) - 0221174KZ174")</f>
        <v>Бандаж на локтевой сустав эластичный 8317 S (Болгария) - 0221174KZ174</v>
      </c>
      <c r="G151" s="1" t="str">
        <f ca="1">IFERROR(__xludf.DUMMYFUNCTION("""COMPUTED_VALUE"""),"KZ.7700.02.01.00727167 / Действителен до 15.02.2026 / 0221174KZ174 / годен до 15.02.2026")</f>
        <v>KZ.7700.02.01.00727167 / Действителен до 15.02.2026 / 0221174KZ174 / годен до 15.02.2026</v>
      </c>
      <c r="H151" s="1" t="str">
        <f ca="1">IFERROR(__xludf.DUMMYFUNCTION("""COMPUTED_VALUE"""),"Бандаж на локтевой сустав эластичный 8317 S (Болгария) KZ.7700.02.01.00727167 / Действителен до 15.02.2026 / 0221174KZ174 / годен до 15.02.2026")</f>
        <v>Бандаж на локтевой сустав эластичный 8317 S (Болгария) KZ.7700.02.01.00727167 / Действителен до 15.02.2026 / 0221174KZ174 / годен до 15.02.2026</v>
      </c>
    </row>
    <row r="152" spans="1:8" ht="12.75" x14ac:dyDescent="0.2">
      <c r="A152" s="1" t="str">
        <f ca="1">IFERROR(__xludf.DUMMYFUNCTION("""COMPUTED_VALUE"""),"Бандаж на локтевой сустав эластичный 8317 XL (Болгария)")</f>
        <v>Бандаж на локтевой сустав эластичный 8317 XL (Болгария)</v>
      </c>
      <c r="B152" s="1" t="str">
        <f ca="1">IFERROR(__xludf.DUMMYFUNCTION("""COMPUTED_VALUE"""),"KZ.7700.02.01.00727166")</f>
        <v>KZ.7700.02.01.00727166</v>
      </c>
      <c r="C152" s="1" t="str">
        <f ca="1">IFERROR(__xludf.DUMMYFUNCTION("""COMPUTED_VALUE"""),"Действителен до 15.02.2026")</f>
        <v>Действителен до 15.02.2026</v>
      </c>
      <c r="D152" s="8" t="str">
        <f ca="1">IFERROR(__xludf.DUMMYFUNCTION("""COMPUTED_VALUE"""),"0221174KZ174")</f>
        <v>0221174KZ174</v>
      </c>
      <c r="E152" s="1" t="str">
        <f ca="1">IFERROR(__xludf.DUMMYFUNCTION("""COMPUTED_VALUE"""),"годен до 15.02.2026")</f>
        <v>годен до 15.02.2026</v>
      </c>
      <c r="F152" s="1" t="str">
        <f ca="1">IFERROR(__xludf.DUMMYFUNCTION("""COMPUTED_VALUE"""),"Бандаж на локтевой сустав эластичный 8317 XL (Болгария) - 0221174KZ174")</f>
        <v>Бандаж на локтевой сустав эластичный 8317 XL (Болгария) - 0221174KZ174</v>
      </c>
      <c r="G152" s="1" t="str">
        <f ca="1">IFERROR(__xludf.DUMMYFUNCTION("""COMPUTED_VALUE"""),"KZ.7700.02.01.00727166 / Действителен до 15.02.2026 / 0221174KZ174 / годен до 15.02.2026")</f>
        <v>KZ.7700.02.01.00727166 / Действителен до 15.02.2026 / 0221174KZ174 / годен до 15.02.2026</v>
      </c>
      <c r="H152" s="1" t="str">
        <f ca="1">IFERROR(__xludf.DUMMYFUNCTION("""COMPUTED_VALUE"""),"Бандаж на локтевой сустав эластичный 8317 XL (Болгария) KZ.7700.02.01.00727166 / Действителен до 15.02.2026 / 0221174KZ174 / годен до 15.02.2026")</f>
        <v>Бандаж на локтевой сустав эластичный 8317 XL (Болгария) KZ.7700.02.01.00727166 / Действителен до 15.02.2026 / 0221174KZ174 / годен до 15.02.2026</v>
      </c>
    </row>
    <row r="153" spans="1:8" ht="12.75" x14ac:dyDescent="0.2">
      <c r="A153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153" s="1" t="str">
        <f ca="1">IFERROR(__xludf.DUMMYFUNCTION("""COMPUTED_VALUE"""),"KZ.7700.02.01.00727168")</f>
        <v>KZ.7700.02.01.00727168</v>
      </c>
      <c r="C153" s="1" t="str">
        <f ca="1">IFERROR(__xludf.DUMMYFUNCTION("""COMPUTED_VALUE"""),"Действителен до 15.02.2026")</f>
        <v>Действителен до 15.02.2026</v>
      </c>
      <c r="D153" s="8" t="str">
        <f ca="1">IFERROR(__xludf.DUMMYFUNCTION("""COMPUTED_VALUE"""),"0221174KZ174")</f>
        <v>0221174KZ174</v>
      </c>
      <c r="E153" s="1" t="str">
        <f ca="1">IFERROR(__xludf.DUMMYFUNCTION("""COMPUTED_VALUE"""),"годен до 15.02.2026")</f>
        <v>годен до 15.02.2026</v>
      </c>
      <c r="F153" s="1" t="str">
        <f ca="1">IFERROR(__xludf.DUMMYFUNCTION("""COMPUTED_VALUE"""),"Бандаж на лучезапястный сустав эластичный 8503 L (Болгария) - 0221174KZ174")</f>
        <v>Бандаж на лучезапястный сустав эластичный 8503 L (Болгария) - 0221174KZ174</v>
      </c>
      <c r="G153" s="1" t="str">
        <f ca="1">IFERROR(__xludf.DUMMYFUNCTION("""COMPUTED_VALUE"""),"KZ.7700.02.01.00727168 / Действителен до 15.02.2026 / 0221174KZ174 / годен до 15.02.2026")</f>
        <v>KZ.7700.02.01.00727168 / Действителен до 15.02.2026 / 0221174KZ174 / годен до 15.02.2026</v>
      </c>
      <c r="H153" s="1" t="str">
        <f ca="1">IFERROR(__xludf.DUMMYFUNCTION("""COMPUTED_VALUE"""),"Бандаж на лучезапястный сустав эластичный 8503 L (Болгария) KZ.7700.02.01.00727168 / Действителен до 15.02.2026 / 0221174KZ174 / годен до 15.02.2026")</f>
        <v>Бандаж на лучезапястный сустав эластичный 8503 L (Болгария) KZ.7700.02.01.00727168 / Действителен до 15.02.2026 / 0221174KZ174 / годен до 15.02.2026</v>
      </c>
    </row>
    <row r="154" spans="1:8" ht="12.75" x14ac:dyDescent="0.2">
      <c r="A154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54" s="1" t="str">
        <f ca="1">IFERROR(__xludf.DUMMYFUNCTION("""COMPUTED_VALUE"""),"KZ.7700.02.01.00727169")</f>
        <v>KZ.7700.02.01.00727169</v>
      </c>
      <c r="C154" s="1" t="str">
        <f ca="1">IFERROR(__xludf.DUMMYFUNCTION("""COMPUTED_VALUE"""),"Действителен до 15.02.2026")</f>
        <v>Действителен до 15.02.2026</v>
      </c>
      <c r="D154" s="8" t="str">
        <f ca="1">IFERROR(__xludf.DUMMYFUNCTION("""COMPUTED_VALUE"""),"0221174KZ174")</f>
        <v>0221174KZ174</v>
      </c>
      <c r="E154" s="1" t="str">
        <f ca="1">IFERROR(__xludf.DUMMYFUNCTION("""COMPUTED_VALUE"""),"годен до 15.02.2026")</f>
        <v>годен до 15.02.2026</v>
      </c>
      <c r="F154" s="1" t="str">
        <f ca="1">IFERROR(__xludf.DUMMYFUNCTION("""COMPUTED_VALUE"""),"Бандаж на лучезапястный сустав эластичный 8503 M (Болгария) - 0221174KZ174")</f>
        <v>Бандаж на лучезапястный сустав эластичный 8503 M (Болгария) - 0221174KZ174</v>
      </c>
      <c r="G154" s="1" t="str">
        <f ca="1">IFERROR(__xludf.DUMMYFUNCTION("""COMPUTED_VALUE"""),"KZ.7700.02.01.00727169 / Действителен до 15.02.2026 / 0221174KZ174 / годен до 15.02.2026")</f>
        <v>KZ.7700.02.01.00727169 / Действителен до 15.02.2026 / 0221174KZ174 / годен до 15.02.2026</v>
      </c>
      <c r="H154" s="1" t="str">
        <f ca="1">IFERROR(__xludf.DUMMYFUNCTION("""COMPUTED_VALUE"""),"Бандаж на лучезапястный сустав эластичный 8503 M (Болгария) KZ.7700.02.01.00727169 / Действителен до 15.02.2026 / 0221174KZ174 / годен до 15.02.2026")</f>
        <v>Бандаж на лучезапястный сустав эластичный 8503 M (Болгария) KZ.7700.02.01.00727169 / Действителен до 15.02.2026 / 0221174KZ174 / годен до 15.02.2026</v>
      </c>
    </row>
    <row r="155" spans="1:8" ht="12.75" x14ac:dyDescent="0.2">
      <c r="A155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55" s="1" t="str">
        <f ca="1">IFERROR(__xludf.DUMMYFUNCTION("""COMPUTED_VALUE"""),"KZ.7700.02.01.00727165")</f>
        <v>KZ.7700.02.01.00727165</v>
      </c>
      <c r="C155" s="1" t="str">
        <f ca="1">IFERROR(__xludf.DUMMYFUNCTION("""COMPUTED_VALUE"""),"Действителен до 15.02.2026")</f>
        <v>Действителен до 15.02.2026</v>
      </c>
      <c r="D155" s="8" t="str">
        <f ca="1">IFERROR(__xludf.DUMMYFUNCTION("""COMPUTED_VALUE"""),"0221174KZ174")</f>
        <v>0221174KZ174</v>
      </c>
      <c r="E155" s="1" t="str">
        <f ca="1">IFERROR(__xludf.DUMMYFUNCTION("""COMPUTED_VALUE"""),"годен до 15.02.2026")</f>
        <v>годен до 15.02.2026</v>
      </c>
      <c r="F155" s="1" t="str">
        <f ca="1">IFERROR(__xludf.DUMMYFUNCTION("""COMPUTED_VALUE"""),"Бандаж на лучезапястный сустав эластичный 8503 S (Болгария) - 0221174KZ174")</f>
        <v>Бандаж на лучезапястный сустав эластичный 8503 S (Болгария) - 0221174KZ174</v>
      </c>
      <c r="G155" s="1" t="str">
        <f ca="1">IFERROR(__xludf.DUMMYFUNCTION("""COMPUTED_VALUE"""),"KZ.7700.02.01.00727165 / Действителен до 15.02.2026 / 0221174KZ174 / годен до 15.02.2026")</f>
        <v>KZ.7700.02.01.00727165 / Действителен до 15.02.2026 / 0221174KZ174 / годен до 15.02.2026</v>
      </c>
      <c r="H155" s="1" t="str">
        <f ca="1">IFERROR(__xludf.DUMMYFUNCTION("""COMPUTED_VALUE"""),"Бандаж на лучезапястный сустав эластичный 8503 S (Болгария) KZ.7700.02.01.00727165 / Действителен до 15.02.2026 / 0221174KZ174 / годен до 15.02.2026")</f>
        <v>Бандаж на лучезапястный сустав эластичный 8503 S (Болгария) KZ.7700.02.01.00727165 / Действителен до 15.02.2026 / 0221174KZ174 / годен до 15.02.2026</v>
      </c>
    </row>
    <row r="156" spans="1:8" ht="12.75" x14ac:dyDescent="0.2">
      <c r="A156" s="1" t="str">
        <f ca="1">IFERROR(__xludf.DUMMYFUNCTION("""COMPUTED_VALUE"""),"Бандаж на лучезапястный сустав эластичный 8503 XL (Болгария)")</f>
        <v>Бандаж на лучезапястный сустав эластичный 8503 XL (Болгария)</v>
      </c>
      <c r="B156" s="1" t="str">
        <f ca="1">IFERROR(__xludf.DUMMYFUNCTION("""COMPUTED_VALUE"""),"KZ.7700.02.01.00727182")</f>
        <v>KZ.7700.02.01.00727182</v>
      </c>
      <c r="C156" s="1" t="str">
        <f ca="1">IFERROR(__xludf.DUMMYFUNCTION("""COMPUTED_VALUE"""),"Действителен до 15.02.2026")</f>
        <v>Действителен до 15.02.2026</v>
      </c>
      <c r="D156" s="8" t="str">
        <f ca="1">IFERROR(__xludf.DUMMYFUNCTION("""COMPUTED_VALUE"""),"0221174KZ174")</f>
        <v>0221174KZ174</v>
      </c>
      <c r="E156" s="1" t="str">
        <f ca="1">IFERROR(__xludf.DUMMYFUNCTION("""COMPUTED_VALUE"""),"годен до 15.02.2026")</f>
        <v>годен до 15.02.2026</v>
      </c>
      <c r="F156" s="1" t="str">
        <f ca="1">IFERROR(__xludf.DUMMYFUNCTION("""COMPUTED_VALUE"""),"Бандаж на лучезапястный сустав эластичный 8503 XL (Болгария) - 0221174KZ174")</f>
        <v>Бандаж на лучезапястный сустав эластичный 8503 XL (Болгария) - 0221174KZ174</v>
      </c>
      <c r="G156" s="1" t="str">
        <f ca="1">IFERROR(__xludf.DUMMYFUNCTION("""COMPUTED_VALUE"""),"KZ.7700.02.01.00727182 / Действителен до 15.02.2026 / 0221174KZ174 / годен до 15.02.2026")</f>
        <v>KZ.7700.02.01.00727182 / Действителен до 15.02.2026 / 0221174KZ174 / годен до 15.02.2026</v>
      </c>
      <c r="H156" s="1" t="str">
        <f ca="1">IFERROR(__xludf.DUMMYFUNCTION("""COMPUTED_VALUE"""),"Бандаж на лучезапястный сустав эластичный 8503 XL (Болгария) KZ.7700.02.01.00727182 / Действителен до 15.02.2026 / 0221174KZ174 / годен до 15.02.2026")</f>
        <v>Бандаж на лучезапястный сустав эластичный 8503 XL (Болгария) KZ.7700.02.01.00727182 / Действителен до 15.02.2026 / 0221174KZ174 / годен до 15.02.2026</v>
      </c>
    </row>
    <row r="157" spans="1:8" ht="12.75" x14ac:dyDescent="0.2">
      <c r="A157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157" s="1" t="str">
        <f ca="1">IFERROR(__xludf.DUMMYFUNCTION("""COMPUTED_VALUE"""),"KZ.7700.02.01.00727174")</f>
        <v>KZ.7700.02.01.00727174</v>
      </c>
      <c r="C157" s="1" t="str">
        <f ca="1">IFERROR(__xludf.DUMMYFUNCTION("""COMPUTED_VALUE"""),"Действителен до 15.02.2026")</f>
        <v>Действителен до 15.02.2026</v>
      </c>
      <c r="D157" s="8" t="str">
        <f ca="1">IFERROR(__xludf.DUMMYFUNCTION("""COMPUTED_VALUE"""),"0221174KZ174")</f>
        <v>0221174KZ174</v>
      </c>
      <c r="E157" s="1" t="str">
        <f ca="1">IFERROR(__xludf.DUMMYFUNCTION("""COMPUTED_VALUE"""),"годен до 15.02.2026")</f>
        <v>годен до 15.02.2026</v>
      </c>
      <c r="F157" s="1" t="str">
        <f ca="1">IFERROR(__xludf.DUMMYFUNCTION("""COMPUTED_VALUE"""),"Бандаж на лучезапястный сустав легкой фиксации 8505 L/XL (Бежевый) (Болгария) - 0221174KZ174")</f>
        <v>Бандаж на лучезапястный сустав легкой фиксации 8505 L/XL (Бежевый) (Болгария) - 0221174KZ174</v>
      </c>
      <c r="G157" s="1" t="str">
        <f ca="1">IFERROR(__xludf.DUMMYFUNCTION("""COMPUTED_VALUE"""),"KZ.7700.02.01.00727174 / Действителен до 15.02.2026 / 0221174KZ174 / годен до 15.02.2026")</f>
        <v>KZ.7700.02.01.00727174 / Действителен до 15.02.2026 / 0221174KZ174 / годен до 15.02.2026</v>
      </c>
      <c r="H157" s="1" t="str">
        <f ca="1">IFERROR(__xludf.DUMMYFUNCTION("""COMPUTED_VALUE"""),"Бандаж на лучезапястный сустав легкой фиксации 8505 L/XL (Бежевый) (Болгария) KZ.7700.02.01.00727174 / Действителен до 15.02.2026 / 0221174KZ174 / годен до 15.02.2026")</f>
        <v>Бандаж на лучезапястный сустав легкой фиксации 8505 L/XL (Бежевый) (Болгария) KZ.7700.02.01.00727174 / Действителен до 15.02.2026 / 0221174KZ174 / годен до 15.02.2026</v>
      </c>
    </row>
    <row r="158" spans="1:8" ht="12.75" x14ac:dyDescent="0.2">
      <c r="A158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158" s="1" t="str">
        <f ca="1">IFERROR(__xludf.DUMMYFUNCTION("""COMPUTED_VALUE"""),"KZ.7700.02.01.00727175")</f>
        <v>KZ.7700.02.01.00727175</v>
      </c>
      <c r="C158" s="1" t="str">
        <f ca="1">IFERROR(__xludf.DUMMYFUNCTION("""COMPUTED_VALUE"""),"Действителен до 15.02.2026")</f>
        <v>Действителен до 15.02.2026</v>
      </c>
      <c r="D158" s="8" t="str">
        <f ca="1">IFERROR(__xludf.DUMMYFUNCTION("""COMPUTED_VALUE"""),"0221174KZ174")</f>
        <v>0221174KZ174</v>
      </c>
      <c r="E158" s="1" t="str">
        <f ca="1">IFERROR(__xludf.DUMMYFUNCTION("""COMPUTED_VALUE"""),"годен до 15.02.2026")</f>
        <v>годен до 15.02.2026</v>
      </c>
      <c r="F158" s="1" t="str">
        <f ca="1">IFERROR(__xludf.DUMMYFUNCTION("""COMPUTED_VALUE"""),"Бандаж на лучезапястный сустав легкой фиксации 8505 S/M (Бежевый) (Болгария) - 0221174KZ174")</f>
        <v>Бандаж на лучезапястный сустав легкой фиксации 8505 S/M (Бежевый) (Болгария) - 0221174KZ174</v>
      </c>
      <c r="G158" s="1" t="str">
        <f ca="1">IFERROR(__xludf.DUMMYFUNCTION("""COMPUTED_VALUE"""),"KZ.7700.02.01.00727175 / Действителен до 15.02.2026 / 0221174KZ174 / годен до 15.02.2026")</f>
        <v>KZ.7700.02.01.00727175 / Действителен до 15.02.2026 / 0221174KZ174 / годен до 15.02.2026</v>
      </c>
      <c r="H158" s="1" t="str">
        <f ca="1">IFERROR(__xludf.DUMMYFUNCTION("""COMPUTED_VALUE"""),"Бандаж на лучезапястный сустав легкой фиксации 8505 S/M (Бежевый) (Болгария) KZ.7700.02.01.00727175 / Действителен до 15.02.2026 / 0221174KZ174 / годен до 15.02.2026")</f>
        <v>Бандаж на лучезапястный сустав легкой фиксации 8505 S/M (Бежевый) (Болгария) KZ.7700.02.01.00727175 / Действителен до 15.02.2026 / 0221174KZ174 / годен до 15.02.2026</v>
      </c>
    </row>
    <row r="159" spans="1:8" ht="12.75" x14ac:dyDescent="0.2">
      <c r="A159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59" s="1" t="str">
        <f ca="1">IFERROR(__xludf.DUMMYFUNCTION("""COMPUTED_VALUE"""),"KZ.7700.02.01.00727177")</f>
        <v>KZ.7700.02.01.00727177</v>
      </c>
      <c r="C159" s="1" t="str">
        <f ca="1">IFERROR(__xludf.DUMMYFUNCTION("""COMPUTED_VALUE"""),"Действителен до 15.02.2026")</f>
        <v>Действителен до 15.02.2026</v>
      </c>
      <c r="D159" s="8" t="str">
        <f ca="1">IFERROR(__xludf.DUMMYFUNCTION("""COMPUTED_VALUE"""),"0221174KZ174")</f>
        <v>0221174KZ174</v>
      </c>
      <c r="E159" s="1" t="str">
        <f ca="1">IFERROR(__xludf.DUMMYFUNCTION("""COMPUTED_VALUE"""),"годен до 15.02.2026")</f>
        <v>годен до 15.02.2026</v>
      </c>
      <c r="F159" s="1" t="str">
        <f ca="1">IFERROR(__xludf.DUMMYFUNCTION("""COMPUTED_VALUE"""),"Бандаж на лучезапястный сустав с фиксацией пальца 8552 L\XL (Болгария) - 0221174KZ174")</f>
        <v>Бандаж на лучезапястный сустав с фиксацией пальца 8552 L\XL (Болгария) - 0221174KZ174</v>
      </c>
      <c r="G159" s="1" t="str">
        <f ca="1">IFERROR(__xludf.DUMMYFUNCTION("""COMPUTED_VALUE"""),"KZ.7700.02.01.00727177 / Действителен до 15.02.2026 / 0221174KZ174 / годен до 15.02.2026")</f>
        <v>KZ.7700.02.01.00727177 / Действителен до 15.02.2026 / 0221174KZ174 / годен до 15.02.2026</v>
      </c>
      <c r="H159" s="1" t="str">
        <f ca="1">IFERROR(__xludf.DUMMYFUNCTION("""COMPUTED_VALUE"""),"Бандаж на лучезапястный сустав с фиксацией пальца 8552 L\XL (Болгария) KZ.7700.02.01.00727177 / Действителен до 15.02.2026 / 0221174KZ174 / годен до 15.02.2026")</f>
        <v>Бандаж на лучезапястный сустав с фиксацией пальца 8552 L\XL (Болгария) KZ.7700.02.01.00727177 / Действителен до 15.02.2026 / 0221174KZ174 / годен до 15.02.2026</v>
      </c>
    </row>
    <row r="160" spans="1:8" ht="12.75" x14ac:dyDescent="0.2">
      <c r="A160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60" s="1" t="str">
        <f ca="1">IFERROR(__xludf.DUMMYFUNCTION("""COMPUTED_VALUE"""),"KZ.7700.02.01.00727178")</f>
        <v>KZ.7700.02.01.00727178</v>
      </c>
      <c r="C160" s="1" t="str">
        <f ca="1">IFERROR(__xludf.DUMMYFUNCTION("""COMPUTED_VALUE"""),"Действителен до 15.02.2026")</f>
        <v>Действителен до 15.02.2026</v>
      </c>
      <c r="D160" s="8" t="str">
        <f ca="1">IFERROR(__xludf.DUMMYFUNCTION("""COMPUTED_VALUE"""),"0221174KZ174")</f>
        <v>0221174KZ174</v>
      </c>
      <c r="E160" s="1" t="str">
        <f ca="1">IFERROR(__xludf.DUMMYFUNCTION("""COMPUTED_VALUE"""),"годен до 15.02.2026")</f>
        <v>годен до 15.02.2026</v>
      </c>
      <c r="F160" s="1" t="str">
        <f ca="1">IFERROR(__xludf.DUMMYFUNCTION("""COMPUTED_VALUE"""),"Бандаж на лучезапястный сустав с фиксацией пальца 8552 S\M (Болгария) - 0221174KZ174")</f>
        <v>Бандаж на лучезапястный сустав с фиксацией пальца 8552 S\M (Болгария) - 0221174KZ174</v>
      </c>
      <c r="G160" s="1" t="str">
        <f ca="1">IFERROR(__xludf.DUMMYFUNCTION("""COMPUTED_VALUE"""),"KZ.7700.02.01.00727178 / Действителен до 15.02.2026 / 0221174KZ174 / годен до 15.02.2026")</f>
        <v>KZ.7700.02.01.00727178 / Действителен до 15.02.2026 / 0221174KZ174 / годен до 15.02.2026</v>
      </c>
      <c r="H160" s="1" t="str">
        <f ca="1">IFERROR(__xludf.DUMMYFUNCTION("""COMPUTED_VALUE"""),"Бандаж на лучезапястный сустав с фиксацией пальца 8552 S\M (Болгария) KZ.7700.02.01.00727178 / Действителен до 15.02.2026 / 0221174KZ174 / годен до 15.02.2026")</f>
        <v>Бандаж на лучезапястный сустав с фиксацией пальца 8552 S\M (Болгария) KZ.7700.02.01.00727178 / Действителен до 15.02.2026 / 0221174KZ174 / годен до 15.02.2026</v>
      </c>
    </row>
    <row r="161" spans="1:8" ht="12.75" x14ac:dyDescent="0.2">
      <c r="A161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161" s="1" t="str">
        <f ca="1">IFERROR(__xludf.DUMMYFUNCTION("""COMPUTED_VALUE"""),"KZ.7700.02.01.00727180")</f>
        <v>KZ.7700.02.01.00727180</v>
      </c>
      <c r="C161" s="1" t="str">
        <f ca="1">IFERROR(__xludf.DUMMYFUNCTION("""COMPUTED_VALUE"""),"Действителен до 15.02.2026")</f>
        <v>Действителен до 15.02.2026</v>
      </c>
      <c r="D161" s="8" t="str">
        <f ca="1">IFERROR(__xludf.DUMMYFUNCTION("""COMPUTED_VALUE"""),"0221174KZ174")</f>
        <v>0221174KZ174</v>
      </c>
      <c r="E161" s="1" t="str">
        <f ca="1">IFERROR(__xludf.DUMMYFUNCTION("""COMPUTED_VALUE"""),"годен до 15.02.2026")</f>
        <v>годен до 15.02.2026</v>
      </c>
      <c r="F161" s="1" t="str">
        <f ca="1">IFERROR(__xludf.DUMMYFUNCTION("""COMPUTED_VALUE"""),"Бандаж для руки поддерживающий облегченный (косынка) 9912 L (белый) (Болгария) - 0221174KZ174")</f>
        <v>Бандаж для руки поддерживающий облегченный (косынка) 9912 L (белый) (Болгария) - 0221174KZ174</v>
      </c>
      <c r="G161" s="1" t="str">
        <f ca="1">IFERROR(__xludf.DUMMYFUNCTION("""COMPUTED_VALUE"""),"KZ.7700.02.01.00727180 / Действителен до 15.02.2026 / 0221174KZ174 / годен до 15.02.2026")</f>
        <v>KZ.7700.02.01.00727180 / Действителен до 15.02.2026 / 0221174KZ174 / годен до 15.02.2026</v>
      </c>
      <c r="H161" s="1" t="str">
        <f ca="1">IFERROR(__xludf.DUMMYFUNCTION("""COMPUTED_VALUE"""),"Бандаж для руки поддерживающий облегченный (косынка) 9912 L (белый) (Болгария) KZ.7700.02.01.00727180 / Действителен до 15.02.2026 / 0221174KZ174 / годен до 15.02.2026")</f>
        <v>Бандаж для руки поддерживающий облегченный (косынка) 9912 L (белый) (Болгария) KZ.7700.02.01.00727180 / Действителен до 15.02.2026 / 0221174KZ174 / годен до 15.02.2026</v>
      </c>
    </row>
    <row r="162" spans="1:8" ht="12.75" x14ac:dyDescent="0.2">
      <c r="A162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62" s="1" t="str">
        <f ca="1">IFERROR(__xludf.DUMMYFUNCTION("""COMPUTED_VALUE"""),"KZ.7700.02.01.00727176")</f>
        <v>KZ.7700.02.01.00727176</v>
      </c>
      <c r="C162" s="1" t="str">
        <f ca="1">IFERROR(__xludf.DUMMYFUNCTION("""COMPUTED_VALUE"""),"Действителен до 15.02.2026")</f>
        <v>Действителен до 15.02.2026</v>
      </c>
      <c r="D162" s="8" t="str">
        <f ca="1">IFERROR(__xludf.DUMMYFUNCTION("""COMPUTED_VALUE"""),"0221174KZ174")</f>
        <v>0221174KZ174</v>
      </c>
      <c r="E162" s="1" t="str">
        <f ca="1">IFERROR(__xludf.DUMMYFUNCTION("""COMPUTED_VALUE"""),"годен до 15.02.2026")</f>
        <v>годен до 15.02.2026</v>
      </c>
      <c r="F162" s="1" t="str">
        <f ca="1">IFERROR(__xludf.DUMMYFUNCTION("""COMPUTED_VALUE"""),"Бандаж для руки поддерживающий облегченный (косынка) 9912 L (черный) (Болгария) - 0221174KZ174")</f>
        <v>Бандаж для руки поддерживающий облегченный (косынка) 9912 L (черный) (Болгария) - 0221174KZ174</v>
      </c>
      <c r="G162" s="1" t="str">
        <f ca="1">IFERROR(__xludf.DUMMYFUNCTION("""COMPUTED_VALUE"""),"KZ.7700.02.01.00727176 / Действителен до 15.02.2026 / 0221174KZ174 / годен до 15.02.2026")</f>
        <v>KZ.7700.02.01.00727176 / Действителен до 15.02.2026 / 0221174KZ174 / годен до 15.02.2026</v>
      </c>
      <c r="H162" s="1" t="str">
        <f ca="1">IFERROR(__xludf.DUMMYFUNCTION("""COMPUTED_VALUE"""),"Бандаж для руки поддерживающий облегченный (косынка) 9912 L (черный) (Болгария) KZ.7700.02.01.00727176 / Действителен до 15.02.2026 / 0221174KZ174 / годен до 15.02.2026")</f>
        <v>Бандаж для руки поддерживающий облегченный (косынка) 9912 L (черный) (Болгария) KZ.7700.02.01.00727176 / Действителен до 15.02.2026 / 0221174KZ174 / годен до 15.02.2026</v>
      </c>
    </row>
    <row r="163" spans="1:8" ht="12.75" x14ac:dyDescent="0.2">
      <c r="A163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63" s="1" t="str">
        <f ca="1">IFERROR(__xludf.DUMMYFUNCTION("""COMPUTED_VALUE"""),"KZ.7700.02.01.00727179")</f>
        <v>KZ.7700.02.01.00727179</v>
      </c>
      <c r="C163" s="1" t="str">
        <f ca="1">IFERROR(__xludf.DUMMYFUNCTION("""COMPUTED_VALUE"""),"Действителен до 15.02.2026")</f>
        <v>Действителен до 15.02.2026</v>
      </c>
      <c r="D163" s="8" t="str">
        <f ca="1">IFERROR(__xludf.DUMMYFUNCTION("""COMPUTED_VALUE"""),"0221174KZ174")</f>
        <v>0221174KZ174</v>
      </c>
      <c r="E163" s="1" t="str">
        <f ca="1">IFERROR(__xludf.DUMMYFUNCTION("""COMPUTED_VALUE"""),"годен до 15.02.2026")</f>
        <v>годен до 15.02.2026</v>
      </c>
      <c r="F163" s="1" t="str">
        <f ca="1">IFERROR(__xludf.DUMMYFUNCTION("""COMPUTED_VALUE"""),"Бандаж для руки поддерживающий облегченный (косынка) 9912 M (черный) (Болгария) - 0221174KZ174")</f>
        <v>Бандаж для руки поддерживающий облегченный (косынка) 9912 M (черный) (Болгария) - 0221174KZ174</v>
      </c>
      <c r="G163" s="1" t="str">
        <f ca="1">IFERROR(__xludf.DUMMYFUNCTION("""COMPUTED_VALUE"""),"KZ.7700.02.01.00727179 / Действителен до 15.02.2026 / 0221174KZ174 / годен до 15.02.2026")</f>
        <v>KZ.7700.02.01.00727179 / Действителен до 15.02.2026 / 0221174KZ174 / годен до 15.02.2026</v>
      </c>
      <c r="H163" s="1" t="str">
        <f ca="1">IFERROR(__xludf.DUMMYFUNCTION("""COMPUTED_VALUE"""),"Бандаж для руки поддерживающий облегченный (косынка) 9912 M (черный) (Болгария) KZ.7700.02.01.00727179 / Действителен до 15.02.2026 / 0221174KZ174 / годен до 15.02.2026")</f>
        <v>Бандаж для руки поддерживающий облегченный (косынка) 9912 M (черный) (Болгария) KZ.7700.02.01.00727179 / Действителен до 15.02.2026 / 0221174KZ174 / годен до 15.02.2026</v>
      </c>
    </row>
    <row r="164" spans="1:8" ht="12.75" x14ac:dyDescent="0.2">
      <c r="A164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164" s="1" t="str">
        <f ca="1">IFERROR(__xludf.DUMMYFUNCTION("""COMPUTED_VALUE"""),"KZ.7700.02.01.00727173")</f>
        <v>KZ.7700.02.01.00727173</v>
      </c>
      <c r="C164" s="1" t="str">
        <f ca="1">IFERROR(__xludf.DUMMYFUNCTION("""COMPUTED_VALUE"""),"Действителен до 15.02.2026")</f>
        <v>Действителен до 15.02.2026</v>
      </c>
      <c r="D164" s="8" t="str">
        <f ca="1">IFERROR(__xludf.DUMMYFUNCTION("""COMPUTED_VALUE"""),"0221174KZ174")</f>
        <v>0221174KZ174</v>
      </c>
      <c r="E164" s="1" t="str">
        <f ca="1">IFERROR(__xludf.DUMMYFUNCTION("""COMPUTED_VALUE"""),"годен до 15.02.2026")</f>
        <v>годен до 15.02.2026</v>
      </c>
      <c r="F164" s="1" t="str">
        <f ca="1">IFERROR(__xludf.DUMMYFUNCTION("""COMPUTED_VALUE"""),"Бандаж для руки поддерживающий облегченный (косынка) 9912 S (черный) (Болгария) - 0221174KZ174")</f>
        <v>Бандаж для руки поддерживающий облегченный (косынка) 9912 S (черный) (Болгария) - 0221174KZ174</v>
      </c>
      <c r="G164" s="1" t="str">
        <f ca="1">IFERROR(__xludf.DUMMYFUNCTION("""COMPUTED_VALUE"""),"KZ.7700.02.01.00727173 / Действителен до 15.02.2026 / 0221174KZ174 / годен до 15.02.2026")</f>
        <v>KZ.7700.02.01.00727173 / Действителен до 15.02.2026 / 0221174KZ174 / годен до 15.02.2026</v>
      </c>
      <c r="H164" s="1" t="str">
        <f ca="1">IFERROR(__xludf.DUMMYFUNCTION("""COMPUTED_VALUE"""),"Бандаж для руки поддерживающий облегченный (косынка) 9912 S (черный) (Болгария) KZ.7700.02.01.00727173 / Действителен до 15.02.2026 / 0221174KZ174 / годен до 15.02.2026")</f>
        <v>Бандаж для руки поддерживающий облегченный (косынка) 9912 S (черный) (Болгария) KZ.7700.02.01.00727173 / Действителен до 15.02.2026 / 0221174KZ174 / годен до 15.02.2026</v>
      </c>
    </row>
    <row r="165" spans="1:8" ht="12.75" x14ac:dyDescent="0.2">
      <c r="A165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B165" s="1" t="str">
        <f ca="1">IFERROR(__xludf.DUMMYFUNCTION("""COMPUTED_VALUE"""),"KZ.7700.02.01.00727190")</f>
        <v>KZ.7700.02.01.00727190</v>
      </c>
      <c r="C165" s="1" t="str">
        <f ca="1">IFERROR(__xludf.DUMMYFUNCTION("""COMPUTED_VALUE"""),"Действителен до 15.02.2026")</f>
        <v>Действителен до 15.02.2026</v>
      </c>
      <c r="D165" s="8" t="str">
        <f ca="1">IFERROR(__xludf.DUMMYFUNCTION("""COMPUTED_VALUE"""),"0221174KZ174")</f>
        <v>0221174KZ174</v>
      </c>
      <c r="E165" s="1" t="str">
        <f ca="1">IFERROR(__xludf.DUMMYFUNCTION("""COMPUTED_VALUE"""),"годен до 15.02.2026")</f>
        <v>годен до 15.02.2026</v>
      </c>
      <c r="F165" s="1" t="str">
        <f ca="1">IFERROR(__xludf.DUMMYFUNCTION("""COMPUTED_VALUE"""),"Бандаж для руки поддерживающий облегченный (косынка) 9912 XL (белый) (Болгария) - 0221174KZ174")</f>
        <v>Бандаж для руки поддерживающий облегченный (косынка) 9912 XL (белый) (Болгария) - 0221174KZ174</v>
      </c>
      <c r="G165" s="1" t="str">
        <f ca="1">IFERROR(__xludf.DUMMYFUNCTION("""COMPUTED_VALUE"""),"KZ.7700.02.01.00727190 / Действителен до 15.02.2026 / 0221174KZ174 / годен до 15.02.2026")</f>
        <v>KZ.7700.02.01.00727190 / Действителен до 15.02.2026 / 0221174KZ174 / годен до 15.02.2026</v>
      </c>
      <c r="H165" s="1" t="str">
        <f ca="1">IFERROR(__xludf.DUMMYFUNCTION("""COMPUTED_VALUE"""),"Бандаж для руки поддерживающий облегченный (косынка) 9912 XL (белый) (Болгария) KZ.7700.02.01.00727190 / Действителен до 15.02.2026 / 0221174KZ174 / годен до 15.02.2026")</f>
        <v>Бандаж для руки поддерживающий облегченный (косынка) 9912 XL (белый) (Болгария) KZ.7700.02.01.00727190 / Действителен до 15.02.2026 / 0221174KZ174 / годен до 15.02.2026</v>
      </c>
    </row>
    <row r="166" spans="1:8" ht="12.75" x14ac:dyDescent="0.2">
      <c r="A166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66" s="1" t="str">
        <f ca="1">IFERROR(__xludf.DUMMYFUNCTION("""COMPUTED_VALUE"""),"KZ.7700.02.01.00727181")</f>
        <v>KZ.7700.02.01.00727181</v>
      </c>
      <c r="C166" s="1" t="str">
        <f ca="1">IFERROR(__xludf.DUMMYFUNCTION("""COMPUTED_VALUE"""),"Действителен до 15.02.2026")</f>
        <v>Действителен до 15.02.2026</v>
      </c>
      <c r="D166" s="8" t="str">
        <f ca="1">IFERROR(__xludf.DUMMYFUNCTION("""COMPUTED_VALUE"""),"0221174KZ174")</f>
        <v>0221174KZ174</v>
      </c>
      <c r="E166" s="1" t="str">
        <f ca="1">IFERROR(__xludf.DUMMYFUNCTION("""COMPUTED_VALUE"""),"годен до 15.02.2026")</f>
        <v>годен до 15.02.2026</v>
      </c>
      <c r="F166" s="1" t="str">
        <f ca="1">IFERROR(__xludf.DUMMYFUNCTION("""COMPUTED_VALUE"""),"Бандаж для руки поддерживающий облегченный (косынка) 9912 XL (черный) (Болгария) - 0221174KZ174")</f>
        <v>Бандаж для руки поддерживающий облегченный (косынка) 9912 XL (черный) (Болгария) - 0221174KZ174</v>
      </c>
      <c r="G166" s="1" t="str">
        <f ca="1">IFERROR(__xludf.DUMMYFUNCTION("""COMPUTED_VALUE"""),"KZ.7700.02.01.00727181 / Действителен до 15.02.2026 / 0221174KZ174 / годен до 15.02.2026")</f>
        <v>KZ.7700.02.01.00727181 / Действителен до 15.02.2026 / 0221174KZ174 / годен до 15.02.2026</v>
      </c>
      <c r="H166" s="1" t="str">
        <f ca="1">IFERROR(__xludf.DUMMYFUNCTION("""COMPUTED_VALUE"""),"Бандаж для руки поддерживающий облегченный (косынка) 9912 XL (черный) (Болгария) KZ.7700.02.01.00727181 / Действителен до 15.02.2026 / 0221174KZ174 / годен до 15.02.2026")</f>
        <v>Бандаж для руки поддерживающий облегченный (косынка) 9912 XL (черный) (Болгария) KZ.7700.02.01.00727181 / Действителен до 15.02.2026 / 0221174KZ174 / годен до 15.02.2026</v>
      </c>
    </row>
    <row r="167" spans="1:8" ht="12.75" x14ac:dyDescent="0.2">
      <c r="A167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67" s="1" t="str">
        <f ca="1">IFERROR(__xludf.DUMMYFUNCTION("""COMPUTED_VALUE"""),"KZ.7700.02.01.00724440")</f>
        <v>KZ.7700.02.01.00724440</v>
      </c>
      <c r="C167" s="1" t="str">
        <f ca="1">IFERROR(__xludf.DUMMYFUNCTION("""COMPUTED_VALUE"""),"Действителен до 15.02.2026")</f>
        <v>Действителен до 15.02.2026</v>
      </c>
      <c r="D167" s="8" t="str">
        <f ca="1">IFERROR(__xludf.DUMMYFUNCTION("""COMPUTED_VALUE"""),"0221174KZ174")</f>
        <v>0221174KZ174</v>
      </c>
      <c r="E167" s="1" t="str">
        <f ca="1">IFERROR(__xludf.DUMMYFUNCTION("""COMPUTED_VALUE"""),"годен до 15.02.2026")</f>
        <v>годен до 15.02.2026</v>
      </c>
      <c r="F167" s="1" t="str">
        <f ca="1">IFERROR(__xludf.DUMMYFUNCTION("""COMPUTED_VALUE"""),"Бандаж для беременных эластичный 4505 - L (Болгария) - 0221174KZ174")</f>
        <v>Бандаж для беременных эластичный 4505 - L (Болгария) - 0221174KZ174</v>
      </c>
      <c r="G167" s="1" t="str">
        <f ca="1">IFERROR(__xludf.DUMMYFUNCTION("""COMPUTED_VALUE"""),"KZ.7700.02.01.00724440 / Действителен до 15.02.2026 / 0221174KZ174 / годен до 15.02.2026")</f>
        <v>KZ.7700.02.01.00724440 / Действителен до 15.02.2026 / 0221174KZ174 / годен до 15.02.2026</v>
      </c>
      <c r="H167" s="1" t="str">
        <f ca="1">IFERROR(__xludf.DUMMYFUNCTION("""COMPUTED_VALUE"""),"Бандаж для беременных эластичный 4505 - L (Болгария) KZ.7700.02.01.00724440 / Действителен до 15.02.2026 / 0221174KZ174 / годен до 15.02.2026")</f>
        <v>Бандаж для беременных эластичный 4505 - L (Болгария) KZ.7700.02.01.00724440 / Действителен до 15.02.2026 / 0221174KZ174 / годен до 15.02.2026</v>
      </c>
    </row>
    <row r="168" spans="1:8" ht="12.75" x14ac:dyDescent="0.2">
      <c r="A168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168" s="1" t="str">
        <f ca="1">IFERROR(__xludf.DUMMYFUNCTION("""COMPUTED_VALUE"""),"KZ.7700.02.01.00724438")</f>
        <v>KZ.7700.02.01.00724438</v>
      </c>
      <c r="C168" s="1" t="str">
        <f ca="1">IFERROR(__xludf.DUMMYFUNCTION("""COMPUTED_VALUE"""),"Действителен до 15.02.2026")</f>
        <v>Действителен до 15.02.2026</v>
      </c>
      <c r="D168" s="8" t="str">
        <f ca="1">IFERROR(__xludf.DUMMYFUNCTION("""COMPUTED_VALUE"""),"0221174KZ174")</f>
        <v>0221174KZ174</v>
      </c>
      <c r="E168" s="1" t="str">
        <f ca="1">IFERROR(__xludf.DUMMYFUNCTION("""COMPUTED_VALUE"""),"годен до 15.02.2026")</f>
        <v>годен до 15.02.2026</v>
      </c>
      <c r="F168" s="1" t="str">
        <f ca="1">IFERROR(__xludf.DUMMYFUNCTION("""COMPUTED_VALUE"""),"Бандаж для беременных эластичный 4505 - М (Болгария) - 0221174KZ174")</f>
        <v>Бандаж для беременных эластичный 4505 - М (Болгария) - 0221174KZ174</v>
      </c>
      <c r="G168" s="1" t="str">
        <f ca="1">IFERROR(__xludf.DUMMYFUNCTION("""COMPUTED_VALUE"""),"KZ.7700.02.01.00724438 / Действителен до 15.02.2026 / 0221174KZ174 / годен до 15.02.2026")</f>
        <v>KZ.7700.02.01.00724438 / Действителен до 15.02.2026 / 0221174KZ174 / годен до 15.02.2026</v>
      </c>
      <c r="H168" s="1" t="str">
        <f ca="1">IFERROR(__xludf.DUMMYFUNCTION("""COMPUTED_VALUE"""),"Бандаж для беременных эластичный 4505 - М (Болгария) KZ.7700.02.01.00724438 / Действителен до 15.02.2026 / 0221174KZ174 / годен до 15.02.2026")</f>
        <v>Бандаж для беременных эластичный 4505 - М (Болгария) KZ.7700.02.01.00724438 / Действителен до 15.02.2026 / 0221174KZ174 / годен до 15.02.2026</v>
      </c>
    </row>
    <row r="169" spans="1:8" ht="12.75" x14ac:dyDescent="0.2">
      <c r="A169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169" s="1" t="str">
        <f ca="1">IFERROR(__xludf.DUMMYFUNCTION("""COMPUTED_VALUE"""),"KZ.7700.02.01.00724434")</f>
        <v>KZ.7700.02.01.00724434</v>
      </c>
      <c r="C169" s="1" t="str">
        <f ca="1">IFERROR(__xludf.DUMMYFUNCTION("""COMPUTED_VALUE"""),"Действителен до 15.02.2026")</f>
        <v>Действителен до 15.02.2026</v>
      </c>
      <c r="D169" s="8" t="str">
        <f ca="1">IFERROR(__xludf.DUMMYFUNCTION("""COMPUTED_VALUE"""),"0221174KZ174")</f>
        <v>0221174KZ174</v>
      </c>
      <c r="E169" s="1" t="str">
        <f ca="1">IFERROR(__xludf.DUMMYFUNCTION("""COMPUTED_VALUE"""),"годен до 15.02.2026")</f>
        <v>годен до 15.02.2026</v>
      </c>
      <c r="F169" s="1" t="str">
        <f ca="1">IFERROR(__xludf.DUMMYFUNCTION("""COMPUTED_VALUE"""),"Бандаж для беременных эластичный 4505 - S (Болгария) - 0221174KZ174")</f>
        <v>Бандаж для беременных эластичный 4505 - S (Болгария) - 0221174KZ174</v>
      </c>
      <c r="G169" s="1" t="str">
        <f ca="1">IFERROR(__xludf.DUMMYFUNCTION("""COMPUTED_VALUE"""),"KZ.7700.02.01.00724434 / Действителен до 15.02.2026 / 0221174KZ174 / годен до 15.02.2026")</f>
        <v>KZ.7700.02.01.00724434 / Действителен до 15.02.2026 / 0221174KZ174 / годен до 15.02.2026</v>
      </c>
      <c r="H169" s="1" t="str">
        <f ca="1">IFERROR(__xludf.DUMMYFUNCTION("""COMPUTED_VALUE"""),"Бандаж для беременных эластичный 4505 - S (Болгария) KZ.7700.02.01.00724434 / Действителен до 15.02.2026 / 0221174KZ174 / годен до 15.02.2026")</f>
        <v>Бандаж для беременных эластичный 4505 - S (Болгария) KZ.7700.02.01.00724434 / Действителен до 15.02.2026 / 0221174KZ174 / годен до 15.02.2026</v>
      </c>
    </row>
    <row r="170" spans="1:8" ht="12.75" x14ac:dyDescent="0.2">
      <c r="A170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70" s="1" t="str">
        <f ca="1">IFERROR(__xludf.DUMMYFUNCTION("""COMPUTED_VALUE"""),"KZ.7700.02.01.00724432")</f>
        <v>KZ.7700.02.01.00724432</v>
      </c>
      <c r="C170" s="1" t="str">
        <f ca="1">IFERROR(__xludf.DUMMYFUNCTION("""COMPUTED_VALUE"""),"Действителен до 15.02.2026")</f>
        <v>Действителен до 15.02.2026</v>
      </c>
      <c r="D170" s="8" t="str">
        <f ca="1">IFERROR(__xludf.DUMMYFUNCTION("""COMPUTED_VALUE"""),"0221174KZ174")</f>
        <v>0221174KZ174</v>
      </c>
      <c r="E170" s="1" t="str">
        <f ca="1">IFERROR(__xludf.DUMMYFUNCTION("""COMPUTED_VALUE"""),"годен до 15.02.2026")</f>
        <v>годен до 15.02.2026</v>
      </c>
      <c r="F170" s="1" t="str">
        <f ca="1">IFERROR(__xludf.DUMMYFUNCTION("""COMPUTED_VALUE"""),"Бандаж для беременных эластичный 4505 - XL (Болгария) - 0221174KZ174")</f>
        <v>Бандаж для беременных эластичный 4505 - XL (Болгария) - 0221174KZ174</v>
      </c>
      <c r="G170" s="1" t="str">
        <f ca="1">IFERROR(__xludf.DUMMYFUNCTION("""COMPUTED_VALUE"""),"KZ.7700.02.01.00724432 / Действителен до 15.02.2026 / 0221174KZ174 / годен до 15.02.2026")</f>
        <v>KZ.7700.02.01.00724432 / Действителен до 15.02.2026 / 0221174KZ174 / годен до 15.02.2026</v>
      </c>
      <c r="H170" s="1" t="str">
        <f ca="1">IFERROR(__xludf.DUMMYFUNCTION("""COMPUTED_VALUE"""),"Бандаж для беременных эластичный 4505 - XL (Болгария) KZ.7700.02.01.00724432 / Действителен до 15.02.2026 / 0221174KZ174 / годен до 15.02.2026")</f>
        <v>Бандаж для беременных эластичный 4505 - XL (Болгария) KZ.7700.02.01.00724432 / Действителен до 15.02.2026 / 0221174KZ174 / годен до 15.02.2026</v>
      </c>
    </row>
    <row r="171" spans="1:8" ht="12.75" x14ac:dyDescent="0.2">
      <c r="A171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71" s="1" t="str">
        <f ca="1">IFERROR(__xludf.DUMMYFUNCTION("""COMPUTED_VALUE"""),"KZ.7700.02.01.00724436")</f>
        <v>KZ.7700.02.01.00724436</v>
      </c>
      <c r="C171" s="1" t="str">
        <f ca="1">IFERROR(__xludf.DUMMYFUNCTION("""COMPUTED_VALUE"""),"Действителен до 15.02.2026")</f>
        <v>Действителен до 15.02.2026</v>
      </c>
      <c r="D171" s="8" t="str">
        <f ca="1">IFERROR(__xludf.DUMMYFUNCTION("""COMPUTED_VALUE"""),"0221174KZ174")</f>
        <v>0221174KZ174</v>
      </c>
      <c r="E171" s="1" t="str">
        <f ca="1">IFERROR(__xludf.DUMMYFUNCTION("""COMPUTED_VALUE"""),"годен до 15.02.2026")</f>
        <v>годен до 15.02.2026</v>
      </c>
      <c r="F171" s="1" t="str">
        <f ca="1">IFERROR(__xludf.DUMMYFUNCTION("""COMPUTED_VALUE"""),"Бандаж для беременных эластичный 4505 - XXL (Болгария) - 0221174KZ174")</f>
        <v>Бандаж для беременных эластичный 4505 - XXL (Болгария) - 0221174KZ174</v>
      </c>
      <c r="G171" s="1" t="str">
        <f ca="1">IFERROR(__xludf.DUMMYFUNCTION("""COMPUTED_VALUE"""),"KZ.7700.02.01.00724436 / Действителен до 15.02.2026 / 0221174KZ174 / годен до 15.02.2026")</f>
        <v>KZ.7700.02.01.00724436 / Действителен до 15.02.2026 / 0221174KZ174 / годен до 15.02.2026</v>
      </c>
      <c r="H171" s="1" t="str">
        <f ca="1">IFERROR(__xludf.DUMMYFUNCTION("""COMPUTED_VALUE"""),"Бандаж для беременных эластичный 4505 - XXL (Болгария) KZ.7700.02.01.00724436 / Действителен до 15.02.2026 / 0221174KZ174 / годен до 15.02.2026")</f>
        <v>Бандаж для беременных эластичный 4505 - XXL (Болгария) KZ.7700.02.01.00724436 / Действителен до 15.02.2026 / 0221174KZ174 / годен до 15.02.2026</v>
      </c>
    </row>
    <row r="172" spans="1:8" ht="12.75" x14ac:dyDescent="0.2">
      <c r="A172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72" s="1" t="str">
        <f ca="1">IFERROR(__xludf.DUMMYFUNCTION("""COMPUTED_VALUE"""),"KZ.7700.02.01.00724435")</f>
        <v>KZ.7700.02.01.00724435</v>
      </c>
      <c r="C172" s="1" t="str">
        <f ca="1">IFERROR(__xludf.DUMMYFUNCTION("""COMPUTED_VALUE"""),"Действителен до 15.02.2026")</f>
        <v>Действителен до 15.02.2026</v>
      </c>
      <c r="D172" s="8" t="str">
        <f ca="1">IFERROR(__xludf.DUMMYFUNCTION("""COMPUTED_VALUE"""),"0221174KZ174")</f>
        <v>0221174KZ174</v>
      </c>
      <c r="E172" s="1" t="str">
        <f ca="1">IFERROR(__xludf.DUMMYFUNCTION("""COMPUTED_VALUE"""),"годен до 15.02.2026")</f>
        <v>годен до 15.02.2026</v>
      </c>
      <c r="F172" s="1" t="str">
        <f ca="1">IFERROR(__xludf.DUMMYFUNCTION("""COMPUTED_VALUE"""),"Бандаж для беременных эластичный 4505 - XXXL (Болгария) - 0221174KZ174")</f>
        <v>Бандаж для беременных эластичный 4505 - XXXL (Болгария) - 0221174KZ174</v>
      </c>
      <c r="G172" s="1" t="str">
        <f ca="1">IFERROR(__xludf.DUMMYFUNCTION("""COMPUTED_VALUE"""),"KZ.7700.02.01.00724435 / Действителен до 15.02.2026 / 0221174KZ174 / годен до 15.02.2026")</f>
        <v>KZ.7700.02.01.00724435 / Действителен до 15.02.2026 / 0221174KZ174 / годен до 15.02.2026</v>
      </c>
      <c r="H172" s="1" t="str">
        <f ca="1">IFERROR(__xludf.DUMMYFUNCTION("""COMPUTED_VALUE"""),"Бандаж для беременных эластичный 4505 - XXXL (Болгария) KZ.7700.02.01.00724435 / Действителен до 15.02.2026 / 0221174KZ174 / годен до 15.02.2026")</f>
        <v>Бандаж для беременных эластичный 4505 - XXXL (Болгария) KZ.7700.02.01.00724435 / Действителен до 15.02.2026 / 0221174KZ174 / годен до 15.02.2026</v>
      </c>
    </row>
    <row r="173" spans="1:8" ht="12.75" x14ac:dyDescent="0.2">
      <c r="A173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73" s="1" t="str">
        <f ca="1">IFERROR(__xludf.DUMMYFUNCTION("""COMPUTED_VALUE"""),"KZ.7700.02.01.00742601")</f>
        <v>KZ.7700.02.01.00742601</v>
      </c>
      <c r="C173" s="1" t="str">
        <f ca="1">IFERROR(__xludf.DUMMYFUNCTION("""COMPUTED_VALUE"""),"Действителен до 30.03.2026")</f>
        <v>Действителен до 30.03.2026</v>
      </c>
      <c r="D173" s="8" t="str">
        <f ca="1">IFERROR(__xludf.DUMMYFUNCTION("""COMPUTED_VALUE"""),"0321022KZ022")</f>
        <v>0321022KZ022</v>
      </c>
      <c r="E173" s="1" t="str">
        <f ca="1">IFERROR(__xludf.DUMMYFUNCTION("""COMPUTED_VALUE"""),"годен до 30.03.2026")</f>
        <v>годен до 30.03.2026</v>
      </c>
      <c r="F173" s="1" t="str">
        <f ca="1">IFERROR(__xludf.DUMMYFUNCTION("""COMPUTED_VALUE"""),"Бандаж для беременных эластичный 4505 - L (Болгария) - 0321022KZ022")</f>
        <v>Бандаж для беременных эластичный 4505 - L (Болгария) - 0321022KZ022</v>
      </c>
      <c r="G173" s="1" t="str">
        <f ca="1">IFERROR(__xludf.DUMMYFUNCTION("""COMPUTED_VALUE"""),"KZ.7700.02.01.00742601 / Действителен до 30.03.2026 / 0321022KZ022 / годен до 30.03.2026")</f>
        <v>KZ.7700.02.01.00742601 / Действителен до 30.03.2026 / 0321022KZ022 / годен до 30.03.2026</v>
      </c>
      <c r="H173" s="1" t="str">
        <f ca="1">IFERROR(__xludf.DUMMYFUNCTION("""COMPUTED_VALUE"""),"Бандаж для беременных эластичный 4505 - L (Болгария) KZ.7700.02.01.00742601 / Действителен до 30.03.2026 / 0321022KZ022 / годен до 30.03.2026")</f>
        <v>Бандаж для беременных эластичный 4505 - L (Болгария) KZ.7700.02.01.00742601 / Действителен до 30.03.2026 / 0321022KZ022 / годен до 30.03.2026</v>
      </c>
    </row>
    <row r="174" spans="1:8" ht="12.75" x14ac:dyDescent="0.2">
      <c r="A174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74" s="1" t="str">
        <f ca="1">IFERROR(__xludf.DUMMYFUNCTION("""COMPUTED_VALUE"""),"KZ.7700.02.01.00742592")</f>
        <v>KZ.7700.02.01.00742592</v>
      </c>
      <c r="C174" s="1" t="str">
        <f ca="1">IFERROR(__xludf.DUMMYFUNCTION("""COMPUTED_VALUE"""),"Действителен до 30.03.2026")</f>
        <v>Действителен до 30.03.2026</v>
      </c>
      <c r="D174" s="8" t="str">
        <f ca="1">IFERROR(__xludf.DUMMYFUNCTION("""COMPUTED_VALUE"""),"0321022KZ022")</f>
        <v>0321022KZ022</v>
      </c>
      <c r="E174" s="1" t="str">
        <f ca="1">IFERROR(__xludf.DUMMYFUNCTION("""COMPUTED_VALUE"""),"годен до 30.03.2026")</f>
        <v>годен до 30.03.2026</v>
      </c>
      <c r="F174" s="1" t="str">
        <f ca="1">IFERROR(__xludf.DUMMYFUNCTION("""COMPUTED_VALUE"""),"Бандаж для беременных эластичный 4505 - XL (Болгария) - 0321022KZ022")</f>
        <v>Бандаж для беременных эластичный 4505 - XL (Болгария) - 0321022KZ022</v>
      </c>
      <c r="G174" s="1" t="str">
        <f ca="1">IFERROR(__xludf.DUMMYFUNCTION("""COMPUTED_VALUE"""),"KZ.7700.02.01.00742592 / Действителен до 30.03.2026 / 0321022KZ022 / годен до 30.03.2026")</f>
        <v>KZ.7700.02.01.00742592 / Действителен до 30.03.2026 / 0321022KZ022 / годен до 30.03.2026</v>
      </c>
      <c r="H174" s="1" t="str">
        <f ca="1">IFERROR(__xludf.DUMMYFUNCTION("""COMPUTED_VALUE"""),"Бандаж для беременных эластичный 4505 - XL (Болгария) KZ.7700.02.01.00742592 / Действителен до 30.03.2026 / 0321022KZ022 / годен до 30.03.2026")</f>
        <v>Бандаж для беременных эластичный 4505 - XL (Болгария) KZ.7700.02.01.00742592 / Действителен до 30.03.2026 / 0321022KZ022 / годен до 30.03.2026</v>
      </c>
    </row>
    <row r="175" spans="1:8" ht="12.75" x14ac:dyDescent="0.2">
      <c r="A175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75" s="1" t="str">
        <f ca="1">IFERROR(__xludf.DUMMYFUNCTION("""COMPUTED_VALUE"""),"KZ.7700.02.01.00742599")</f>
        <v>KZ.7700.02.01.00742599</v>
      </c>
      <c r="C175" s="1" t="str">
        <f ca="1">IFERROR(__xludf.DUMMYFUNCTION("""COMPUTED_VALUE"""),"Действителен до 30.03.2026")</f>
        <v>Действителен до 30.03.2026</v>
      </c>
      <c r="D175" s="8" t="str">
        <f ca="1">IFERROR(__xludf.DUMMYFUNCTION("""COMPUTED_VALUE"""),"0321022KZ022")</f>
        <v>0321022KZ022</v>
      </c>
      <c r="E175" s="1" t="str">
        <f ca="1">IFERROR(__xludf.DUMMYFUNCTION("""COMPUTED_VALUE"""),"годен до 30.03.2026")</f>
        <v>годен до 30.03.2026</v>
      </c>
      <c r="F175" s="1" t="str">
        <f ca="1">IFERROR(__xludf.DUMMYFUNCTION("""COMPUTED_VALUE"""),"Бандаж для беременных эластичный 4505 - XXL (Болгария) - 0321022KZ022")</f>
        <v>Бандаж для беременных эластичный 4505 - XXL (Болгария) - 0321022KZ022</v>
      </c>
      <c r="G175" s="1" t="str">
        <f ca="1">IFERROR(__xludf.DUMMYFUNCTION("""COMPUTED_VALUE"""),"KZ.7700.02.01.00742599 / Действителен до 30.03.2026 / 0321022KZ022 / годен до 30.03.2026")</f>
        <v>KZ.7700.02.01.00742599 / Действителен до 30.03.2026 / 0321022KZ022 / годен до 30.03.2026</v>
      </c>
      <c r="H175" s="1" t="str">
        <f ca="1">IFERROR(__xludf.DUMMYFUNCTION("""COMPUTED_VALUE"""),"Бандаж для беременных эластичный 4505 - XXL (Болгария) KZ.7700.02.01.00742599 / Действителен до 30.03.2026 / 0321022KZ022 / годен до 30.03.2026")</f>
        <v>Бандаж для беременных эластичный 4505 - XXL (Болгария) KZ.7700.02.01.00742599 / Действителен до 30.03.2026 / 0321022KZ022 / годен до 30.03.2026</v>
      </c>
    </row>
    <row r="176" spans="1:8" ht="12.75" x14ac:dyDescent="0.2">
      <c r="A176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76" s="1" t="str">
        <f ca="1">IFERROR(__xludf.DUMMYFUNCTION("""COMPUTED_VALUE"""),"KZ.7700.02.01.00742595")</f>
        <v>KZ.7700.02.01.00742595</v>
      </c>
      <c r="C176" s="1" t="str">
        <f ca="1">IFERROR(__xludf.DUMMYFUNCTION("""COMPUTED_VALUE"""),"Действителен до 30.03.2026")</f>
        <v>Действителен до 30.03.2026</v>
      </c>
      <c r="D176" s="8" t="str">
        <f ca="1">IFERROR(__xludf.DUMMYFUNCTION("""COMPUTED_VALUE"""),"0321022KZ022")</f>
        <v>0321022KZ022</v>
      </c>
      <c r="E176" s="1" t="str">
        <f ca="1">IFERROR(__xludf.DUMMYFUNCTION("""COMPUTED_VALUE"""),"годен до 30.03.2026")</f>
        <v>годен до 30.03.2026</v>
      </c>
      <c r="F176" s="1" t="str">
        <f ca="1">IFERROR(__xludf.DUMMYFUNCTION("""COMPUTED_VALUE"""),"Бандаж для беременных эластичный 4505 - XXXL (Болгария) - 0321022KZ022")</f>
        <v>Бандаж для беременных эластичный 4505 - XXXL (Болгария) - 0321022KZ022</v>
      </c>
      <c r="G176" s="1" t="str">
        <f ca="1">IFERROR(__xludf.DUMMYFUNCTION("""COMPUTED_VALUE"""),"KZ.7700.02.01.00742595 / Действителен до 30.03.2026 / 0321022KZ022 / годен до 30.03.2026")</f>
        <v>KZ.7700.02.01.00742595 / Действителен до 30.03.2026 / 0321022KZ022 / годен до 30.03.2026</v>
      </c>
      <c r="H176" s="1" t="str">
        <f ca="1">IFERROR(__xludf.DUMMYFUNCTION("""COMPUTED_VALUE"""),"Бандаж для беременных эластичный 4505 - XXXL (Болгария) KZ.7700.02.01.00742595 / Действителен до 30.03.2026 / 0321022KZ022 / годен до 30.03.2026")</f>
        <v>Бандаж для беременных эластичный 4505 - XXXL (Болгария) KZ.7700.02.01.00742595 / Действителен до 30.03.2026 / 0321022KZ022 / годен до 30.03.2026</v>
      </c>
    </row>
    <row r="177" spans="1:8" ht="12.75" x14ac:dyDescent="0.2">
      <c r="A177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77" s="1" t="str">
        <f ca="1">IFERROR(__xludf.DUMMYFUNCTION("""COMPUTED_VALUE"""),"KZ.7700.02.01.00746763")</f>
        <v>KZ.7700.02.01.00746763</v>
      </c>
      <c r="C177" s="1" t="str">
        <f ca="1">IFERROR(__xludf.DUMMYFUNCTION("""COMPUTED_VALUE"""),"Действителен до 30.03.2026")</f>
        <v>Действителен до 30.03.2026</v>
      </c>
      <c r="D177" s="8" t="str">
        <f ca="1">IFERROR(__xludf.DUMMYFUNCTION("""COMPUTED_VALUE"""),"0321022KZ022")</f>
        <v>0321022KZ022</v>
      </c>
      <c r="E177" s="1" t="str">
        <f ca="1">IFERROR(__xludf.DUMMYFUNCTION("""COMPUTED_VALUE"""),"годен до 30.03.2026")</f>
        <v>годен до 30.03.2026</v>
      </c>
      <c r="F177" s="1" t="str">
        <f ca="1">IFERROR(__xludf.DUMMYFUNCTION("""COMPUTED_VALUE"""),"Бинт эластичный медицинский средней растяжимости (ширина 80 мм) 02х80х1 - 0321022KZ022")</f>
        <v>Бинт эластичный медицинский средней растяжимости (ширина 80 мм) 02х80х1 - 0321022KZ022</v>
      </c>
      <c r="G177" s="1" t="str">
        <f ca="1">IFERROR(__xludf.DUMMYFUNCTION("""COMPUTED_VALUE"""),"KZ.7700.02.01.00746763 / Действителен до 30.03.2026 / 0321022KZ022 / годен до 30.03.2026")</f>
        <v>KZ.7700.02.01.00746763 / Действителен до 30.03.2026 / 0321022KZ022 / годен до 30.03.2026</v>
      </c>
      <c r="H177" s="1" t="str">
        <f ca="1">IFERROR(__xludf.DUMMYFUNCTION("""COMPUTED_VALUE"""),"Бинт эластичный медицинский средней растяжимости (ширина 80 мм) 02х80х1 KZ.7700.02.01.00746763 / Действителен до 30.03.2026 / 0321022KZ022 / годен до 30.03.2026")</f>
        <v>Бинт эластичный медицинский средней растяжимости (ширина 80 мм) 02х80х1 KZ.7700.02.01.00746763 / Действителен до 30.03.2026 / 0321022KZ022 / годен до 30.03.2026</v>
      </c>
    </row>
    <row r="178" spans="1:8" ht="12.75" x14ac:dyDescent="0.2">
      <c r="A178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78" s="1" t="str">
        <f ca="1">IFERROR(__xludf.DUMMYFUNCTION("""COMPUTED_VALUE"""),"KZ.7700.02.01.00746772")</f>
        <v>KZ.7700.02.01.00746772</v>
      </c>
      <c r="C178" s="1" t="str">
        <f ca="1">IFERROR(__xludf.DUMMYFUNCTION("""COMPUTED_VALUE"""),"Действителен до 30.03.2026")</f>
        <v>Действителен до 30.03.2026</v>
      </c>
      <c r="D178" s="8" t="str">
        <f ca="1">IFERROR(__xludf.DUMMYFUNCTION("""COMPUTED_VALUE"""),"0321022KZ022")</f>
        <v>0321022KZ022</v>
      </c>
      <c r="E178" s="1" t="str">
        <f ca="1">IFERROR(__xludf.DUMMYFUNCTION("""COMPUTED_VALUE"""),"годен до 30.03.2026")</f>
        <v>годен до 30.03.2026</v>
      </c>
      <c r="F178" s="1" t="str">
        <f ca="1">IFERROR(__xludf.DUMMYFUNCTION("""COMPUTED_VALUE"""),"Бинт эластичный медицинский средней растяжимости (ширина 80 мм) 02х80х1.5 - 0321022KZ022")</f>
        <v>Бинт эластичный медицинский средней растяжимости (ширина 80 мм) 02х80х1.5 - 0321022KZ022</v>
      </c>
      <c r="G178" s="1" t="str">
        <f ca="1">IFERROR(__xludf.DUMMYFUNCTION("""COMPUTED_VALUE"""),"KZ.7700.02.01.00746772 / Действителен до 30.03.2026 / 0321022KZ022 / годен до 30.03.2026")</f>
        <v>KZ.7700.02.01.00746772 / Действителен до 30.03.2026 / 0321022KZ022 / годен до 30.03.2026</v>
      </c>
      <c r="H178" s="1" t="str">
        <f ca="1">IFERROR(__xludf.DUMMYFUNCTION("""COMPUTED_VALUE"""),"Бинт эластичный медицинский средней растяжимости (ширина 80 мм) 02х80х1.5 KZ.7700.02.01.00746772 / Действителен до 30.03.2026 / 0321022KZ022 / годен до 30.03.2026")</f>
        <v>Бинт эластичный медицинский средней растяжимости (ширина 80 мм) 02х80х1.5 KZ.7700.02.01.00746772 / Действителен до 30.03.2026 / 0321022KZ022 / годен до 30.03.2026</v>
      </c>
    </row>
    <row r="179" spans="1:8" ht="12.75" x14ac:dyDescent="0.2">
      <c r="A179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79" s="1" t="str">
        <f ca="1">IFERROR(__xludf.DUMMYFUNCTION("""COMPUTED_VALUE"""),"KZ.7700.02.01.00746773")</f>
        <v>KZ.7700.02.01.00746773</v>
      </c>
      <c r="C179" s="1" t="str">
        <f ca="1">IFERROR(__xludf.DUMMYFUNCTION("""COMPUTED_VALUE"""),"Действителен до 30.03.2026")</f>
        <v>Действителен до 30.03.2026</v>
      </c>
      <c r="D179" s="8" t="str">
        <f ca="1">IFERROR(__xludf.DUMMYFUNCTION("""COMPUTED_VALUE"""),"0321022KZ022")</f>
        <v>0321022KZ022</v>
      </c>
      <c r="E179" s="1" t="str">
        <f ca="1">IFERROR(__xludf.DUMMYFUNCTION("""COMPUTED_VALUE"""),"годен до 30.03.2026")</f>
        <v>годен до 30.03.2026</v>
      </c>
      <c r="F179" s="1" t="str">
        <f ca="1">IFERROR(__xludf.DUMMYFUNCTION("""COMPUTED_VALUE"""),"Бинт эластичный медицинский средней растяжимости (ширина 80 мм) 02х80х2 - 0321022KZ022")</f>
        <v>Бинт эластичный медицинский средней растяжимости (ширина 80 мм) 02х80х2 - 0321022KZ022</v>
      </c>
      <c r="G179" s="1" t="str">
        <f ca="1">IFERROR(__xludf.DUMMYFUNCTION("""COMPUTED_VALUE"""),"KZ.7700.02.01.00746773 / Действителен до 30.03.2026 / 0321022KZ022 / годен до 30.03.2026")</f>
        <v>KZ.7700.02.01.00746773 / Действителен до 30.03.2026 / 0321022KZ022 / годен до 30.03.2026</v>
      </c>
      <c r="H179" s="1" t="str">
        <f ca="1">IFERROR(__xludf.DUMMYFUNCTION("""COMPUTED_VALUE"""),"Бинт эластичный медицинский средней растяжимости (ширина 80 мм) 02х80х2 KZ.7700.02.01.00746773 / Действителен до 30.03.2026 / 0321022KZ022 / годен до 30.03.2026")</f>
        <v>Бинт эластичный медицинский средней растяжимости (ширина 80 мм) 02х80х2 KZ.7700.02.01.00746773 / Действителен до 30.03.2026 / 0321022KZ022 / годен до 30.03.2026</v>
      </c>
    </row>
    <row r="180" spans="1:8" ht="12.75" x14ac:dyDescent="0.2">
      <c r="A180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80" s="1" t="str">
        <f ca="1">IFERROR(__xludf.DUMMYFUNCTION("""COMPUTED_VALUE"""),"KZ.7700.02.01.00746777")</f>
        <v>KZ.7700.02.01.00746777</v>
      </c>
      <c r="C180" s="1" t="str">
        <f ca="1">IFERROR(__xludf.DUMMYFUNCTION("""COMPUTED_VALUE"""),"Действителен до 30.03.2026")</f>
        <v>Действителен до 30.03.2026</v>
      </c>
      <c r="D180" s="8" t="str">
        <f ca="1">IFERROR(__xludf.DUMMYFUNCTION("""COMPUTED_VALUE"""),"0321022KZ022")</f>
        <v>0321022KZ022</v>
      </c>
      <c r="E180" s="1" t="str">
        <f ca="1">IFERROR(__xludf.DUMMYFUNCTION("""COMPUTED_VALUE"""),"годен до 30.03.2026")</f>
        <v>годен до 30.03.2026</v>
      </c>
      <c r="F180" s="1" t="str">
        <f ca="1">IFERROR(__xludf.DUMMYFUNCTION("""COMPUTED_VALUE"""),"Бинт эластичный медицинский средней растяжимости (ширина 80 мм) 02х80х2.5 - 0321022KZ022")</f>
        <v>Бинт эластичный медицинский средней растяжимости (ширина 80 мм) 02х80х2.5 - 0321022KZ022</v>
      </c>
      <c r="G180" s="1" t="str">
        <f ca="1">IFERROR(__xludf.DUMMYFUNCTION("""COMPUTED_VALUE"""),"KZ.7700.02.01.00746777 / Действителен до 30.03.2026 / 0321022KZ022 / годен до 30.03.2026")</f>
        <v>KZ.7700.02.01.00746777 / Действителен до 30.03.2026 / 0321022KZ022 / годен до 30.03.2026</v>
      </c>
      <c r="H180" s="1" t="str">
        <f ca="1">IFERROR(__xludf.DUMMYFUNCTION("""COMPUTED_VALUE"""),"Бинт эластичный медицинский средней растяжимости (ширина 80 мм) 02х80х2.5 KZ.7700.02.01.00746777 / Действителен до 30.03.2026 / 0321022KZ022 / годен до 30.03.2026")</f>
        <v>Бинт эластичный медицинский средней растяжимости (ширина 80 мм) 02х80х2.5 KZ.7700.02.01.00746777 / Действителен до 30.03.2026 / 0321022KZ022 / годен до 30.03.2026</v>
      </c>
    </row>
    <row r="181" spans="1:8" ht="12.75" x14ac:dyDescent="0.2">
      <c r="A181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81" s="1" t="str">
        <f ca="1">IFERROR(__xludf.DUMMYFUNCTION("""COMPUTED_VALUE"""),"KZ.7700.02.01.00746778")</f>
        <v>KZ.7700.02.01.00746778</v>
      </c>
      <c r="C181" s="1" t="str">
        <f ca="1">IFERROR(__xludf.DUMMYFUNCTION("""COMPUTED_VALUE"""),"Действителен до 30.03.2026")</f>
        <v>Действителен до 30.03.2026</v>
      </c>
      <c r="D181" s="8" t="str">
        <f ca="1">IFERROR(__xludf.DUMMYFUNCTION("""COMPUTED_VALUE"""),"0321022KZ022")</f>
        <v>0321022KZ022</v>
      </c>
      <c r="E181" s="1" t="str">
        <f ca="1">IFERROR(__xludf.DUMMYFUNCTION("""COMPUTED_VALUE"""),"годен до 30.03.2026")</f>
        <v>годен до 30.03.2026</v>
      </c>
      <c r="F181" s="1" t="str">
        <f ca="1">IFERROR(__xludf.DUMMYFUNCTION("""COMPUTED_VALUE"""),"Бинт эластичный медицинский средней растяжимости (ширина 80 мм) 02х80х3 - 0321022KZ022")</f>
        <v>Бинт эластичный медицинский средней растяжимости (ширина 80 мм) 02х80х3 - 0321022KZ022</v>
      </c>
      <c r="G181" s="1" t="str">
        <f ca="1">IFERROR(__xludf.DUMMYFUNCTION("""COMPUTED_VALUE"""),"KZ.7700.02.01.00746778 / Действителен до 30.03.2026 / 0321022KZ022 / годен до 30.03.2026")</f>
        <v>KZ.7700.02.01.00746778 / Действителен до 30.03.2026 / 0321022KZ022 / годен до 30.03.2026</v>
      </c>
      <c r="H181" s="1" t="str">
        <f ca="1">IFERROR(__xludf.DUMMYFUNCTION("""COMPUTED_VALUE"""),"Бинт эластичный медицинский средней растяжимости (ширина 80 мм) 02х80х3 KZ.7700.02.01.00746778 / Действителен до 30.03.2026 / 0321022KZ022 / годен до 30.03.2026")</f>
        <v>Бинт эластичный медицинский средней растяжимости (ширина 80 мм) 02х80х3 KZ.7700.02.01.00746778 / Действителен до 30.03.2026 / 0321022KZ022 / годен до 30.03.2026</v>
      </c>
    </row>
    <row r="182" spans="1:8" ht="12.75" x14ac:dyDescent="0.2">
      <c r="A182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82" s="1" t="str">
        <f ca="1">IFERROR(__xludf.DUMMYFUNCTION("""COMPUTED_VALUE"""),"KZ.7700.02.01.00746775")</f>
        <v>KZ.7700.02.01.00746775</v>
      </c>
      <c r="C182" s="1" t="str">
        <f ca="1">IFERROR(__xludf.DUMMYFUNCTION("""COMPUTED_VALUE"""),"Действителен до 30.03.2026")</f>
        <v>Действителен до 30.03.2026</v>
      </c>
      <c r="D182" s="8" t="str">
        <f ca="1">IFERROR(__xludf.DUMMYFUNCTION("""COMPUTED_VALUE"""),"0321022KZ022")</f>
        <v>0321022KZ022</v>
      </c>
      <c r="E182" s="1" t="str">
        <f ca="1">IFERROR(__xludf.DUMMYFUNCTION("""COMPUTED_VALUE"""),"годен до 30.03.2026")</f>
        <v>годен до 30.03.2026</v>
      </c>
      <c r="F182" s="1" t="str">
        <f ca="1">IFERROR(__xludf.DUMMYFUNCTION("""COMPUTED_VALUE"""),"Бинт эластичный медицинский средней растяжимости (ширина 80 мм) 02х80х4 - 0321022KZ022")</f>
        <v>Бинт эластичный медицинский средней растяжимости (ширина 80 мм) 02х80х4 - 0321022KZ022</v>
      </c>
      <c r="G182" s="1" t="str">
        <f ca="1">IFERROR(__xludf.DUMMYFUNCTION("""COMPUTED_VALUE"""),"KZ.7700.02.01.00746775 / Действителен до 30.03.2026 / 0321022KZ022 / годен до 30.03.2026")</f>
        <v>KZ.7700.02.01.00746775 / Действителен до 30.03.2026 / 0321022KZ022 / годен до 30.03.2026</v>
      </c>
      <c r="H182" s="1" t="str">
        <f ca="1">IFERROR(__xludf.DUMMYFUNCTION("""COMPUTED_VALUE"""),"Бинт эластичный медицинский средней растяжимости (ширина 80 мм) 02х80х4 KZ.7700.02.01.00746775 / Действителен до 30.03.2026 / 0321022KZ022 / годен до 30.03.2026")</f>
        <v>Бинт эластичный медицинский средней растяжимости (ширина 80 мм) 02х80х4 KZ.7700.02.01.00746775 / Действителен до 30.03.2026 / 0321022KZ022 / годен до 30.03.2026</v>
      </c>
    </row>
    <row r="183" spans="1:8" ht="12.75" x14ac:dyDescent="0.2">
      <c r="A183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83" s="1" t="str">
        <f ca="1">IFERROR(__xludf.DUMMYFUNCTION("""COMPUTED_VALUE"""),"KZ.7700.02.01.00746771")</f>
        <v>KZ.7700.02.01.00746771</v>
      </c>
      <c r="C183" s="1" t="str">
        <f ca="1">IFERROR(__xludf.DUMMYFUNCTION("""COMPUTED_VALUE"""),"Действителен до 30.03.2026")</f>
        <v>Действителен до 30.03.2026</v>
      </c>
      <c r="D183" s="8" t="str">
        <f ca="1">IFERROR(__xludf.DUMMYFUNCTION("""COMPUTED_VALUE"""),"0321022KZ022")</f>
        <v>0321022KZ022</v>
      </c>
      <c r="E183" s="1" t="str">
        <f ca="1">IFERROR(__xludf.DUMMYFUNCTION("""COMPUTED_VALUE"""),"годен до 30.03.2026")</f>
        <v>годен до 30.03.2026</v>
      </c>
      <c r="F183" s="1" t="str">
        <f ca="1">IFERROR(__xludf.DUMMYFUNCTION("""COMPUTED_VALUE"""),"Бинт эластичный медицинский средней растяжимости (ширина 80 мм) 02х80х5 - 0321022KZ022")</f>
        <v>Бинт эластичный медицинский средней растяжимости (ширина 80 мм) 02х80х5 - 0321022KZ022</v>
      </c>
      <c r="G183" s="1" t="str">
        <f ca="1">IFERROR(__xludf.DUMMYFUNCTION("""COMPUTED_VALUE"""),"KZ.7700.02.01.00746771 / Действителен до 30.03.2026 / 0321022KZ022 / годен до 30.03.2026")</f>
        <v>KZ.7700.02.01.00746771 / Действителен до 30.03.2026 / 0321022KZ022 / годен до 30.03.2026</v>
      </c>
      <c r="H183" s="1" t="str">
        <f ca="1">IFERROR(__xludf.DUMMYFUNCTION("""COMPUTED_VALUE"""),"Бинт эластичный медицинский средней растяжимости (ширина 80 мм) 02х80х5 KZ.7700.02.01.00746771 / Действителен до 30.03.2026 / 0321022KZ022 / годен до 30.03.2026")</f>
        <v>Бинт эластичный медицинский средней растяжимости (ширина 80 мм) 02х80х5 KZ.7700.02.01.00746771 / Действителен до 30.03.2026 / 0321022KZ022 / годен до 30.03.2026</v>
      </c>
    </row>
    <row r="184" spans="1:8" ht="12.75" x14ac:dyDescent="0.2">
      <c r="A184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84" s="1" t="str">
        <f ca="1">IFERROR(__xludf.DUMMYFUNCTION("""COMPUTED_VALUE"""),"KZ.7700.02.01.00745576")</f>
        <v>KZ.7700.02.01.00745576</v>
      </c>
      <c r="C184" s="1" t="str">
        <f ca="1">IFERROR(__xludf.DUMMYFUNCTION("""COMPUTED_VALUE"""),"Действителен до 30.03.2026")</f>
        <v>Действителен до 30.03.2026</v>
      </c>
      <c r="D184" s="8" t="str">
        <f ca="1">IFERROR(__xludf.DUMMYFUNCTION("""COMPUTED_VALUE"""),"0321022KZ022")</f>
        <v>0321022KZ022</v>
      </c>
      <c r="E184" s="1" t="str">
        <f ca="1">IFERROR(__xludf.DUMMYFUNCTION("""COMPUTED_VALUE"""),"годен до 30.03.2026")</f>
        <v>годен до 30.03.2026</v>
      </c>
      <c r="F184" s="1" t="str">
        <f ca="1">IFERROR(__xludf.DUMMYFUNCTION("""COMPUTED_VALUE"""),"Бандаж на шейный отдел позвоночника мягкой фиксацией 1001 II(M) (Болгария) - 0321022KZ022")</f>
        <v>Бандаж на шейный отдел позвоночника мягкой фиксацией 1001 II(M) (Болгария) - 0321022KZ022</v>
      </c>
      <c r="G184" s="1" t="str">
        <f ca="1">IFERROR(__xludf.DUMMYFUNCTION("""COMPUTED_VALUE"""),"KZ.7700.02.01.00745576 / Действителен до 30.03.2026 / 0321022KZ022 / годен до 30.03.2026")</f>
        <v>KZ.7700.02.01.00745576 / Действителен до 30.03.2026 / 0321022KZ022 / годен до 30.03.2026</v>
      </c>
      <c r="H184" s="1" t="str">
        <f ca="1">IFERROR(__xludf.DUMMYFUNCTION("""COMPUTED_VALUE"""),"Бандаж на шейный отдел позвоночника мягкой фиксацией 1001 II(M) (Болгария) KZ.7700.02.01.00745576 / Действителен до 30.03.2026 / 0321022KZ022 / годен до 30.03.2026")</f>
        <v>Бандаж на шейный отдел позвоночника мягкой фиксацией 1001 II(M) (Болгария) KZ.7700.02.01.00745576 / Действителен до 30.03.2026 / 0321022KZ022 / годен до 30.03.2026</v>
      </c>
    </row>
    <row r="185" spans="1:8" ht="12.75" x14ac:dyDescent="0.2">
      <c r="A185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85" s="1" t="str">
        <f ca="1">IFERROR(__xludf.DUMMYFUNCTION("""COMPUTED_VALUE"""),"KZ.7700.02.01.00745579")</f>
        <v>KZ.7700.02.01.00745579</v>
      </c>
      <c r="C185" s="1" t="str">
        <f ca="1">IFERROR(__xludf.DUMMYFUNCTION("""COMPUTED_VALUE"""),"Действителен до 30.03.2026")</f>
        <v>Действителен до 30.03.2026</v>
      </c>
      <c r="D185" s="8" t="str">
        <f ca="1">IFERROR(__xludf.DUMMYFUNCTION("""COMPUTED_VALUE"""),"0321022KZ022")</f>
        <v>0321022KZ022</v>
      </c>
      <c r="E185" s="1" t="str">
        <f ca="1">IFERROR(__xludf.DUMMYFUNCTION("""COMPUTED_VALUE"""),"годен до 30.03.2026")</f>
        <v>годен до 30.03.2026</v>
      </c>
      <c r="F185" s="1" t="str">
        <f ca="1">IFERROR(__xludf.DUMMYFUNCTION("""COMPUTED_VALUE"""),"Бандаж на шейный отдел позвоночника мягкой фиксацией 1001 III(L) (Болгария) - 0321022KZ022")</f>
        <v>Бандаж на шейный отдел позвоночника мягкой фиксацией 1001 III(L) (Болгария) - 0321022KZ022</v>
      </c>
      <c r="G185" s="1" t="str">
        <f ca="1">IFERROR(__xludf.DUMMYFUNCTION("""COMPUTED_VALUE"""),"KZ.7700.02.01.00745579 / Действителен до 30.03.2026 / 0321022KZ022 / годен до 30.03.2026")</f>
        <v>KZ.7700.02.01.00745579 / Действителен до 30.03.2026 / 0321022KZ022 / годен до 30.03.2026</v>
      </c>
      <c r="H185" s="1" t="str">
        <f ca="1">IFERROR(__xludf.DUMMYFUNCTION("""COMPUTED_VALUE"""),"Бандаж на шейный отдел позвоночника мягкой фиксацией 1001 III(L) (Болгария) KZ.7700.02.01.00745579 / Действителен до 30.03.2026 / 0321022KZ022 / годен до 30.03.2026")</f>
        <v>Бандаж на шейный отдел позвоночника мягкой фиксацией 1001 III(L) (Болгария) KZ.7700.02.01.00745579 / Действителен до 30.03.2026 / 0321022KZ022 / годен до 30.03.2026</v>
      </c>
    </row>
    <row r="186" spans="1:8" ht="12.75" x14ac:dyDescent="0.2">
      <c r="A186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186" s="1" t="str">
        <f ca="1">IFERROR(__xludf.DUMMYFUNCTION("""COMPUTED_VALUE"""),"KZ.7700.02.01.00745580")</f>
        <v>KZ.7700.02.01.00745580</v>
      </c>
      <c r="C186" s="1" t="str">
        <f ca="1">IFERROR(__xludf.DUMMYFUNCTION("""COMPUTED_VALUE"""),"Действителен до 30.03.2026")</f>
        <v>Действителен до 30.03.2026</v>
      </c>
      <c r="D186" s="8" t="str">
        <f ca="1">IFERROR(__xludf.DUMMYFUNCTION("""COMPUTED_VALUE"""),"0321022KZ022")</f>
        <v>0321022KZ022</v>
      </c>
      <c r="E186" s="1" t="str">
        <f ca="1">IFERROR(__xludf.DUMMYFUNCTION("""COMPUTED_VALUE"""),"годен до 30.03.2026")</f>
        <v>годен до 30.03.2026</v>
      </c>
      <c r="F186" s="1" t="str">
        <f ca="1">IFERROR(__xludf.DUMMYFUNCTION("""COMPUTED_VALUE"""),"Бандаж на шейный отдел позвоночника мягкой фиксацией с жесткой вставкой 1005 I(S) - 0321022KZ022")</f>
        <v>Бандаж на шейный отдел позвоночника мягкой фиксацией с жесткой вставкой 1005 I(S) - 0321022KZ022</v>
      </c>
      <c r="G186" s="1" t="str">
        <f ca="1">IFERROR(__xludf.DUMMYFUNCTION("""COMPUTED_VALUE"""),"KZ.7700.02.01.00745580 / Действителен до 30.03.2026 / 0321022KZ022 / годен до 30.03.2026")</f>
        <v>KZ.7700.02.01.00745580 / Действителен до 30.03.2026 / 0321022KZ022 / годен до 30.03.2026</v>
      </c>
      <c r="H186" s="1" t="str">
        <f ca="1">IFERROR(__xludf.DUMMYFUNCTION("""COMPUTED_VALUE"""),"Бандаж на шейный отдел позвоночника мягкой фиксацией с жесткой вставкой 1005 I(S) KZ.7700.02.01.00745580 / Действителен до 30.03.2026 / 0321022KZ022 / годен до 30.03.2026")</f>
        <v>Бандаж на шейный отдел позвоночника мягкой фиксацией с жесткой вставкой 1005 I(S) KZ.7700.02.01.00745580 / Действителен до 30.03.2026 / 0321022KZ022 / годен до 30.03.2026</v>
      </c>
    </row>
    <row r="187" spans="1:8" ht="12.75" x14ac:dyDescent="0.2">
      <c r="A187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87" s="1" t="str">
        <f ca="1">IFERROR(__xludf.DUMMYFUNCTION("""COMPUTED_VALUE"""),"KZ.7700.02.01.00745583")</f>
        <v>KZ.7700.02.01.00745583</v>
      </c>
      <c r="C187" s="1" t="str">
        <f ca="1">IFERROR(__xludf.DUMMYFUNCTION("""COMPUTED_VALUE"""),"Действителен до 30.03.2026")</f>
        <v>Действителен до 30.03.2026</v>
      </c>
      <c r="D187" s="8" t="str">
        <f ca="1">IFERROR(__xludf.DUMMYFUNCTION("""COMPUTED_VALUE"""),"0321022KZ022")</f>
        <v>0321022KZ022</v>
      </c>
      <c r="E187" s="1" t="str">
        <f ca="1">IFERROR(__xludf.DUMMYFUNCTION("""COMPUTED_VALUE"""),"годен до 30.03.2026")</f>
        <v>годен до 30.03.2026</v>
      </c>
      <c r="F187" s="1" t="str">
        <f ca="1">IFERROR(__xludf.DUMMYFUNCTION("""COMPUTED_VALUE"""),"Бандаж на шейный отдел позвоночника мягкой фиксацией с жесткой вставкой 1005 II(M) - 0321022KZ022")</f>
        <v>Бандаж на шейный отдел позвоночника мягкой фиксацией с жесткой вставкой 1005 II(M) - 0321022KZ022</v>
      </c>
      <c r="G187" s="1" t="str">
        <f ca="1">IFERROR(__xludf.DUMMYFUNCTION("""COMPUTED_VALUE"""),"KZ.7700.02.01.00745583 / Действителен до 30.03.2026 / 0321022KZ022 / годен до 30.03.2026")</f>
        <v>KZ.7700.02.01.00745583 / Действителен до 30.03.2026 / 0321022KZ022 / годен до 30.03.2026</v>
      </c>
      <c r="H187" s="1" t="str">
        <f ca="1">IFERROR(__xludf.DUMMYFUNCTION("""COMPUTED_VALUE"""),"Бандаж на шейный отдел позвоночника мягкой фиксацией с жесткой вставкой 1005 II(M) KZ.7700.02.01.00745583 / Действителен до 30.03.2026 / 0321022KZ022 / годен до 30.03.2026")</f>
        <v>Бандаж на шейный отдел позвоночника мягкой фиксацией с жесткой вставкой 1005 II(M) KZ.7700.02.01.00745583 / Действителен до 30.03.2026 / 0321022KZ022 / годен до 30.03.2026</v>
      </c>
    </row>
    <row r="188" spans="1:8" ht="12.75" x14ac:dyDescent="0.2">
      <c r="A188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188" s="1" t="str">
        <f ca="1">IFERROR(__xludf.DUMMYFUNCTION("""COMPUTED_VALUE"""),"KZ.7700.02.01.00745593")</f>
        <v>KZ.7700.02.01.00745593</v>
      </c>
      <c r="C188" s="1" t="str">
        <f ca="1">IFERROR(__xludf.DUMMYFUNCTION("""COMPUTED_VALUE"""),"Действителен до 30.03.2026")</f>
        <v>Действителен до 30.03.2026</v>
      </c>
      <c r="D188" s="8" t="str">
        <f ca="1">IFERROR(__xludf.DUMMYFUNCTION("""COMPUTED_VALUE"""),"0321022KZ022")</f>
        <v>0321022KZ022</v>
      </c>
      <c r="E188" s="1" t="str">
        <f ca="1">IFERROR(__xludf.DUMMYFUNCTION("""COMPUTED_VALUE"""),"годен до 30.03.2026")</f>
        <v>годен до 30.03.2026</v>
      </c>
      <c r="F188" s="1" t="str">
        <f ca="1">IFERROR(__xludf.DUMMYFUNCTION("""COMPUTED_VALUE"""),"Бандаж на шейный отдел позвоночника мягкой фиксацией с жесткой вставкой 1005 III(L) - 0321022KZ022")</f>
        <v>Бандаж на шейный отдел позвоночника мягкой фиксацией с жесткой вставкой 1005 III(L) - 0321022KZ022</v>
      </c>
      <c r="G188" s="1" t="str">
        <f ca="1">IFERROR(__xludf.DUMMYFUNCTION("""COMPUTED_VALUE"""),"KZ.7700.02.01.00745593 / Действителен до 30.03.2026 / 0321022KZ022 / годен до 30.03.2026")</f>
        <v>KZ.7700.02.01.00745593 / Действителен до 30.03.2026 / 0321022KZ022 / годен до 30.03.2026</v>
      </c>
      <c r="H188" s="1" t="str">
        <f ca="1">IFERROR(__xludf.DUMMYFUNCTION("""COMPUTED_VALUE"""),"Бандаж на шейный отдел позвоночника мягкой фиксацией с жесткой вставкой 1005 III(L) KZ.7700.02.01.00745593 / Действителен до 30.03.2026 / 0321022KZ022 / годен до 30.03.2026")</f>
        <v>Бандаж на шейный отдел позвоночника мягкой фиксацией с жесткой вставкой 1005 III(L) KZ.7700.02.01.00745593 / Действителен до 30.03.2026 / 0321022KZ022 / годен до 30.03.2026</v>
      </c>
    </row>
    <row r="189" spans="1:8" ht="12.75" x14ac:dyDescent="0.2">
      <c r="A189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89" s="1" t="str">
        <f ca="1">IFERROR(__xludf.DUMMYFUNCTION("""COMPUTED_VALUE"""),"KZ.7700.02.01.00745586")</f>
        <v>KZ.7700.02.01.00745586</v>
      </c>
      <c r="C189" s="1" t="str">
        <f ca="1">IFERROR(__xludf.DUMMYFUNCTION("""COMPUTED_VALUE"""),"Действителен до 30.03.2026")</f>
        <v>Действителен до 30.03.2026</v>
      </c>
      <c r="D189" s="8" t="str">
        <f ca="1">IFERROR(__xludf.DUMMYFUNCTION("""COMPUTED_VALUE"""),"0321022KZ022")</f>
        <v>0321022KZ022</v>
      </c>
      <c r="E189" s="1" t="str">
        <f ca="1">IFERROR(__xludf.DUMMYFUNCTION("""COMPUTED_VALUE"""),"годен до 30.03.2026")</f>
        <v>годен до 30.03.2026</v>
      </c>
      <c r="F189" s="1" t="str">
        <f ca="1">IFERROR(__xludf.DUMMYFUNCTION("""COMPUTED_VALUE"""),"Реклинатор (корректор осанки) детский 2005 L (Болгария) - 0321022KZ022")</f>
        <v>Реклинатор (корректор осанки) детский 2005 L (Болгария) - 0321022KZ022</v>
      </c>
      <c r="G189" s="1" t="str">
        <f ca="1">IFERROR(__xludf.DUMMYFUNCTION("""COMPUTED_VALUE"""),"KZ.7700.02.01.00745586 / Действителен до 30.03.2026 / 0321022KZ022 / годен до 30.03.2026")</f>
        <v>KZ.7700.02.01.00745586 / Действителен до 30.03.2026 / 0321022KZ022 / годен до 30.03.2026</v>
      </c>
      <c r="H189" s="1" t="str">
        <f ca="1">IFERROR(__xludf.DUMMYFUNCTION("""COMPUTED_VALUE"""),"Реклинатор (корректор осанки) детский 2005 L (Болгария) KZ.7700.02.01.00745586 / Действителен до 30.03.2026 / 0321022KZ022 / годен до 30.03.2026")</f>
        <v>Реклинатор (корректор осанки) детский 2005 L (Болгария) KZ.7700.02.01.00745586 / Действителен до 30.03.2026 / 0321022KZ022 / годен до 30.03.2026</v>
      </c>
    </row>
    <row r="190" spans="1:8" ht="12.75" x14ac:dyDescent="0.2">
      <c r="A190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190" s="1" t="str">
        <f ca="1">IFERROR(__xludf.DUMMYFUNCTION("""COMPUTED_VALUE"""),"KZ.7700.02.01.00745587")</f>
        <v>KZ.7700.02.01.00745587</v>
      </c>
      <c r="C190" s="1" t="str">
        <f ca="1">IFERROR(__xludf.DUMMYFUNCTION("""COMPUTED_VALUE"""),"Действителен до 30.03.2026")</f>
        <v>Действителен до 30.03.2026</v>
      </c>
      <c r="D190" s="8" t="str">
        <f ca="1">IFERROR(__xludf.DUMMYFUNCTION("""COMPUTED_VALUE"""),"0321022KZ022")</f>
        <v>0321022KZ022</v>
      </c>
      <c r="E190" s="1" t="str">
        <f ca="1">IFERROR(__xludf.DUMMYFUNCTION("""COMPUTED_VALUE"""),"годен до 30.03.2026")</f>
        <v>годен до 30.03.2026</v>
      </c>
      <c r="F190" s="1" t="str">
        <f ca="1">IFERROR(__xludf.DUMMYFUNCTION("""COMPUTED_VALUE"""),"Корректор осанки с ребрами жесткости эластичный 2011 L (Болгария) - 0321022KZ022")</f>
        <v>Корректор осанки с ребрами жесткости эластичный 2011 L (Болгария) - 0321022KZ022</v>
      </c>
      <c r="G190" s="1" t="str">
        <f ca="1">IFERROR(__xludf.DUMMYFUNCTION("""COMPUTED_VALUE"""),"KZ.7700.02.01.00745587 / Действителен до 30.03.2026 / 0321022KZ022 / годен до 30.03.2026")</f>
        <v>KZ.7700.02.01.00745587 / Действителен до 30.03.2026 / 0321022KZ022 / годен до 30.03.2026</v>
      </c>
      <c r="H190" s="1" t="str">
        <f ca="1">IFERROR(__xludf.DUMMYFUNCTION("""COMPUTED_VALUE"""),"Корректор осанки с ребрами жесткости эластичный 2011 L (Болгария) KZ.7700.02.01.00745587 / Действителен до 30.03.2026 / 0321022KZ022 / годен до 30.03.2026")</f>
        <v>Корректор осанки с ребрами жесткости эластичный 2011 L (Болгария) KZ.7700.02.01.00745587 / Действителен до 30.03.2026 / 0321022KZ022 / годен до 30.03.2026</v>
      </c>
    </row>
    <row r="191" spans="1:8" ht="12.75" x14ac:dyDescent="0.2">
      <c r="A191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191" s="1" t="str">
        <f ca="1">IFERROR(__xludf.DUMMYFUNCTION("""COMPUTED_VALUE"""),"KZ.7700.02.01.00745585")</f>
        <v>KZ.7700.02.01.00745585</v>
      </c>
      <c r="C191" s="1" t="str">
        <f ca="1">IFERROR(__xludf.DUMMYFUNCTION("""COMPUTED_VALUE"""),"Действителен до 30.03.2026")</f>
        <v>Действителен до 30.03.2026</v>
      </c>
      <c r="D191" s="8" t="str">
        <f ca="1">IFERROR(__xludf.DUMMYFUNCTION("""COMPUTED_VALUE"""),"0321022KZ022")</f>
        <v>0321022KZ022</v>
      </c>
      <c r="E191" s="1" t="str">
        <f ca="1">IFERROR(__xludf.DUMMYFUNCTION("""COMPUTED_VALUE"""),"годен до 30.03.2026")</f>
        <v>годен до 30.03.2026</v>
      </c>
      <c r="F191" s="1" t="str">
        <f ca="1">IFERROR(__xludf.DUMMYFUNCTION("""COMPUTED_VALUE"""),"Корректор осанки с ребрами жесткости эластичный 2011 M (Болгария) - 0321022KZ022")</f>
        <v>Корректор осанки с ребрами жесткости эластичный 2011 M (Болгария) - 0321022KZ022</v>
      </c>
      <c r="G191" s="1" t="str">
        <f ca="1">IFERROR(__xludf.DUMMYFUNCTION("""COMPUTED_VALUE"""),"KZ.7700.02.01.00745585 / Действителен до 30.03.2026 / 0321022KZ022 / годен до 30.03.2026")</f>
        <v>KZ.7700.02.01.00745585 / Действителен до 30.03.2026 / 0321022KZ022 / годен до 30.03.2026</v>
      </c>
      <c r="H191" s="1" t="str">
        <f ca="1">IFERROR(__xludf.DUMMYFUNCTION("""COMPUTED_VALUE"""),"Корректор осанки с ребрами жесткости эластичный 2011 M (Болгария) KZ.7700.02.01.00745585 / Действителен до 30.03.2026 / 0321022KZ022 / годен до 30.03.2026")</f>
        <v>Корректор осанки с ребрами жесткости эластичный 2011 M (Болгария) KZ.7700.02.01.00745585 / Действителен до 30.03.2026 / 0321022KZ022 / годен до 30.03.2026</v>
      </c>
    </row>
    <row r="192" spans="1:8" ht="12.75" x14ac:dyDescent="0.2">
      <c r="A192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192" s="1" t="str">
        <f ca="1">IFERROR(__xludf.DUMMYFUNCTION("""COMPUTED_VALUE"""),"KZ.7700.02.01.00745591")</f>
        <v>KZ.7700.02.01.00745591</v>
      </c>
      <c r="C192" s="1" t="str">
        <f ca="1">IFERROR(__xludf.DUMMYFUNCTION("""COMPUTED_VALUE"""),"Действителен до 30.03.2026")</f>
        <v>Действителен до 30.03.2026</v>
      </c>
      <c r="D192" s="8" t="str">
        <f ca="1">IFERROR(__xludf.DUMMYFUNCTION("""COMPUTED_VALUE"""),"0321022KZ022")</f>
        <v>0321022KZ022</v>
      </c>
      <c r="E192" s="1" t="str">
        <f ca="1">IFERROR(__xludf.DUMMYFUNCTION("""COMPUTED_VALUE"""),"годен до 30.03.2026")</f>
        <v>годен до 30.03.2026</v>
      </c>
      <c r="F192" s="1" t="str">
        <f ca="1">IFERROR(__xludf.DUMMYFUNCTION("""COMPUTED_VALUE"""),"Корректор осанки с ребрами жесткости эластичный 2011 S (Болгария) - 0321022KZ022")</f>
        <v>Корректор осанки с ребрами жесткости эластичный 2011 S (Болгария) - 0321022KZ022</v>
      </c>
      <c r="G192" s="1" t="str">
        <f ca="1">IFERROR(__xludf.DUMMYFUNCTION("""COMPUTED_VALUE"""),"KZ.7700.02.01.00745591 / Действителен до 30.03.2026 / 0321022KZ022 / годен до 30.03.2026")</f>
        <v>KZ.7700.02.01.00745591 / Действителен до 30.03.2026 / 0321022KZ022 / годен до 30.03.2026</v>
      </c>
      <c r="H192" s="1" t="str">
        <f ca="1">IFERROR(__xludf.DUMMYFUNCTION("""COMPUTED_VALUE"""),"Корректор осанки с ребрами жесткости эластичный 2011 S (Болгария) KZ.7700.02.01.00745591 / Действителен до 30.03.2026 / 0321022KZ022 / годен до 30.03.2026")</f>
        <v>Корректор осанки с ребрами жесткости эластичный 2011 S (Болгария) KZ.7700.02.01.00745591 / Действителен до 30.03.2026 / 0321022KZ022 / годен до 30.03.2026</v>
      </c>
    </row>
    <row r="193" spans="1:8" ht="12.75" x14ac:dyDescent="0.2">
      <c r="A193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193" s="1" t="str">
        <f ca="1">IFERROR(__xludf.DUMMYFUNCTION("""COMPUTED_VALUE"""),"KZ.7700.02.01.00745589")</f>
        <v>KZ.7700.02.01.00745589</v>
      </c>
      <c r="C193" s="1" t="str">
        <f ca="1">IFERROR(__xludf.DUMMYFUNCTION("""COMPUTED_VALUE"""),"Действителен до 30.03.2026")</f>
        <v>Действителен до 30.03.2026</v>
      </c>
      <c r="D193" s="8" t="str">
        <f ca="1">IFERROR(__xludf.DUMMYFUNCTION("""COMPUTED_VALUE"""),"0321022KZ022")</f>
        <v>0321022KZ022</v>
      </c>
      <c r="E193" s="1" t="str">
        <f ca="1">IFERROR(__xludf.DUMMYFUNCTION("""COMPUTED_VALUE"""),"годен до 30.03.2026")</f>
        <v>годен до 30.03.2026</v>
      </c>
      <c r="F193" s="1" t="str">
        <f ca="1">IFERROR(__xludf.DUMMYFUNCTION("""COMPUTED_VALUE"""),"Корректор осанки с ребрами жесткости эластичный 2011 XL (Болгария) - 0321022KZ022")</f>
        <v>Корректор осанки с ребрами жесткости эластичный 2011 XL (Болгария) - 0321022KZ022</v>
      </c>
      <c r="G193" s="1" t="str">
        <f ca="1">IFERROR(__xludf.DUMMYFUNCTION("""COMPUTED_VALUE"""),"KZ.7700.02.01.00745589 / Действителен до 30.03.2026 / 0321022KZ022 / годен до 30.03.2026")</f>
        <v>KZ.7700.02.01.00745589 / Действителен до 30.03.2026 / 0321022KZ022 / годен до 30.03.2026</v>
      </c>
      <c r="H193" s="1" t="str">
        <f ca="1">IFERROR(__xludf.DUMMYFUNCTION("""COMPUTED_VALUE"""),"Корректор осанки с ребрами жесткости эластичный 2011 XL (Болгария) KZ.7700.02.01.00745589 / Действителен до 30.03.2026 / 0321022KZ022 / годен до 30.03.2026")</f>
        <v>Корректор осанки с ребрами жесткости эластичный 2011 XL (Болгария) KZ.7700.02.01.00745589 / Действителен до 30.03.2026 / 0321022KZ022 / годен до 30.03.2026</v>
      </c>
    </row>
    <row r="194" spans="1:8" ht="12.75" x14ac:dyDescent="0.2">
      <c r="A194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194" s="1" t="str">
        <f ca="1">IFERROR(__xludf.DUMMYFUNCTION("""COMPUTED_VALUE"""),"KZ.7700.02.01.00745588")</f>
        <v>KZ.7700.02.01.00745588</v>
      </c>
      <c r="C194" s="1" t="str">
        <f ca="1">IFERROR(__xludf.DUMMYFUNCTION("""COMPUTED_VALUE"""),"Действителен до 30.03.2026")</f>
        <v>Действителен до 30.03.2026</v>
      </c>
      <c r="D194" s="8" t="str">
        <f ca="1">IFERROR(__xludf.DUMMYFUNCTION("""COMPUTED_VALUE"""),"0321022KZ022")</f>
        <v>0321022KZ022</v>
      </c>
      <c r="E194" s="1" t="str">
        <f ca="1">IFERROR(__xludf.DUMMYFUNCTION("""COMPUTED_VALUE"""),"годен до 30.03.2026")</f>
        <v>годен до 30.03.2026</v>
      </c>
      <c r="F194" s="1" t="str">
        <f ca="1">IFERROR(__xludf.DUMMYFUNCTION("""COMPUTED_VALUE"""),"Корректор осанки с ребрами жесткости эластичный 2011 XXL (Болгария) - 0321022KZ022")</f>
        <v>Корректор осанки с ребрами жесткости эластичный 2011 XXL (Болгария) - 0321022KZ022</v>
      </c>
      <c r="G194" s="1" t="str">
        <f ca="1">IFERROR(__xludf.DUMMYFUNCTION("""COMPUTED_VALUE"""),"KZ.7700.02.01.00745588 / Действителен до 30.03.2026 / 0321022KZ022 / годен до 30.03.2026")</f>
        <v>KZ.7700.02.01.00745588 / Действителен до 30.03.2026 / 0321022KZ022 / годен до 30.03.2026</v>
      </c>
      <c r="H194" s="1" t="str">
        <f ca="1">IFERROR(__xludf.DUMMYFUNCTION("""COMPUTED_VALUE"""),"Корректор осанки с ребрами жесткости эластичный 2011 XXL (Болгария) KZ.7700.02.01.00745588 / Действителен до 30.03.2026 / 0321022KZ022 / годен до 30.03.2026")</f>
        <v>Корректор осанки с ребрами жесткости эластичный 2011 XXL (Болгария) KZ.7700.02.01.00745588 / Действителен до 30.03.2026 / 0321022KZ022 / годен до 30.03.2026</v>
      </c>
    </row>
    <row r="195" spans="1:8" ht="12.75" x14ac:dyDescent="0.2">
      <c r="A195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195" s="1" t="str">
        <f ca="1">IFERROR(__xludf.DUMMYFUNCTION("""COMPUTED_VALUE"""),"KZ.7700.02.01.00745592")</f>
        <v>KZ.7700.02.01.00745592</v>
      </c>
      <c r="C195" s="1" t="str">
        <f ca="1">IFERROR(__xludf.DUMMYFUNCTION("""COMPUTED_VALUE"""),"Действителен до 30.03.2026")</f>
        <v>Действителен до 30.03.2026</v>
      </c>
      <c r="D195" s="8" t="str">
        <f ca="1">IFERROR(__xludf.DUMMYFUNCTION("""COMPUTED_VALUE"""),"0321022KZ022")</f>
        <v>0321022KZ022</v>
      </c>
      <c r="E195" s="1" t="str">
        <f ca="1">IFERROR(__xludf.DUMMYFUNCTION("""COMPUTED_VALUE"""),"годен до 30.03.2026")</f>
        <v>годен до 30.03.2026</v>
      </c>
      <c r="F195" s="1" t="str">
        <f ca="1">IFERROR(__xludf.DUMMYFUNCTION("""COMPUTED_VALUE"""),"Корректор лечебно-профилактический (с 4 ребрами жесткости) эластичный 3011 - L - 0321022KZ022")</f>
        <v>Корректор лечебно-профилактический (с 4 ребрами жесткости) эластичный 3011 - L - 0321022KZ022</v>
      </c>
      <c r="G195" s="1" t="str">
        <f ca="1">IFERROR(__xludf.DUMMYFUNCTION("""COMPUTED_VALUE"""),"KZ.7700.02.01.00745592 / Действителен до 30.03.2026 / 0321022KZ022 / годен до 30.03.2026")</f>
        <v>KZ.7700.02.01.00745592 / Действителен до 30.03.2026 / 0321022KZ022 / годен до 30.03.2026</v>
      </c>
      <c r="H195" s="1" t="str">
        <f ca="1">IFERROR(__xludf.DUMMYFUNCTION("""COMPUTED_VALUE"""),"Корректор лечебно-профилактический (с 4 ребрами жесткости) эластичный 3011 - L KZ.7700.02.01.00745592 / Действителен до 30.03.2026 / 0321022KZ022 / годен до 30.03.2026")</f>
        <v>Корректор лечебно-профилактический (с 4 ребрами жесткости) эластичный 3011 - L KZ.7700.02.01.00745592 / Действителен до 30.03.2026 / 0321022KZ022 / годен до 30.03.2026</v>
      </c>
    </row>
    <row r="196" spans="1:8" ht="12.75" x14ac:dyDescent="0.2">
      <c r="A196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196" s="1" t="str">
        <f ca="1">IFERROR(__xludf.DUMMYFUNCTION("""COMPUTED_VALUE"""),"KZ.7700.02.01.00745594")</f>
        <v>KZ.7700.02.01.00745594</v>
      </c>
      <c r="C196" s="1" t="str">
        <f ca="1">IFERROR(__xludf.DUMMYFUNCTION("""COMPUTED_VALUE"""),"Действителен до 30.03.2026")</f>
        <v>Действителен до 30.03.2026</v>
      </c>
      <c r="D196" s="8" t="str">
        <f ca="1">IFERROR(__xludf.DUMMYFUNCTION("""COMPUTED_VALUE"""),"0321022KZ022")</f>
        <v>0321022KZ022</v>
      </c>
      <c r="E196" s="1" t="str">
        <f ca="1">IFERROR(__xludf.DUMMYFUNCTION("""COMPUTED_VALUE"""),"годен до 30.03.2026")</f>
        <v>годен до 30.03.2026</v>
      </c>
      <c r="F196" s="1" t="str">
        <f ca="1">IFERROR(__xludf.DUMMYFUNCTION("""COMPUTED_VALUE"""),"Корректор лечебно-профилактический (с 4 ребрами жесткости) эластичный 3011 - М - 0321022KZ022")</f>
        <v>Корректор лечебно-профилактический (с 4 ребрами жесткости) эластичный 3011 - М - 0321022KZ022</v>
      </c>
      <c r="G196" s="1" t="str">
        <f ca="1">IFERROR(__xludf.DUMMYFUNCTION("""COMPUTED_VALUE"""),"KZ.7700.02.01.00745594 / Действителен до 30.03.2026 / 0321022KZ022 / годен до 30.03.2026")</f>
        <v>KZ.7700.02.01.00745594 / Действителен до 30.03.2026 / 0321022KZ022 / годен до 30.03.2026</v>
      </c>
      <c r="H196" s="1" t="str">
        <f ca="1">IFERROR(__xludf.DUMMYFUNCTION("""COMPUTED_VALUE"""),"Корректор лечебно-профилактический (с 4 ребрами жесткости) эластичный 3011 - М KZ.7700.02.01.00745594 / Действителен до 30.03.2026 / 0321022KZ022 / годен до 30.03.2026")</f>
        <v>Корректор лечебно-профилактический (с 4 ребрами жесткости) эластичный 3011 - М KZ.7700.02.01.00745594 / Действителен до 30.03.2026 / 0321022KZ022 / годен до 30.03.2026</v>
      </c>
    </row>
    <row r="197" spans="1:8" ht="12.75" x14ac:dyDescent="0.2">
      <c r="A197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197" s="1" t="str">
        <f ca="1">IFERROR(__xludf.DUMMYFUNCTION("""COMPUTED_VALUE"""),"KZ.7700.02.01.00745590")</f>
        <v>KZ.7700.02.01.00745590</v>
      </c>
      <c r="C197" s="1" t="str">
        <f ca="1">IFERROR(__xludf.DUMMYFUNCTION("""COMPUTED_VALUE"""),"Действителен до 30.03.2026")</f>
        <v>Действителен до 30.03.2026</v>
      </c>
      <c r="D197" s="8" t="str">
        <f ca="1">IFERROR(__xludf.DUMMYFUNCTION("""COMPUTED_VALUE"""),"0321022KZ022")</f>
        <v>0321022KZ022</v>
      </c>
      <c r="E197" s="1" t="str">
        <f ca="1">IFERROR(__xludf.DUMMYFUNCTION("""COMPUTED_VALUE"""),"годен до 30.03.2026")</f>
        <v>годен до 30.03.2026</v>
      </c>
      <c r="F197" s="1" t="str">
        <f ca="1">IFERROR(__xludf.DUMMYFUNCTION("""COMPUTED_VALUE"""),"Корректор лечебно-профилактический (с 4 ребрами жесткости) эластичный 3011- XL - 0321022KZ022")</f>
        <v>Корректор лечебно-профилактический (с 4 ребрами жесткости) эластичный 3011- XL - 0321022KZ022</v>
      </c>
      <c r="G197" s="1" t="str">
        <f ca="1">IFERROR(__xludf.DUMMYFUNCTION("""COMPUTED_VALUE"""),"KZ.7700.02.01.00745590 / Действителен до 30.03.2026 / 0321022KZ022 / годен до 30.03.2026")</f>
        <v>KZ.7700.02.01.00745590 / Действителен до 30.03.2026 / 0321022KZ022 / годен до 30.03.2026</v>
      </c>
      <c r="H197" s="1" t="str">
        <f ca="1">IFERROR(__xludf.DUMMYFUNCTION("""COMPUTED_VALUE"""),"Корректор лечебно-профилактический (с 4 ребрами жесткости) эластичный 3011- XL KZ.7700.02.01.00745590 / Действителен до 30.03.2026 / 0321022KZ022 / годен до 30.03.2026")</f>
        <v>Корректор лечебно-профилактический (с 4 ребрами жесткости) эластичный 3011- XL KZ.7700.02.01.00745590 / Действителен до 30.03.2026 / 0321022KZ022 / годен до 30.03.2026</v>
      </c>
    </row>
    <row r="198" spans="1:8" ht="12.75" x14ac:dyDescent="0.2">
      <c r="A198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198" s="1" t="str">
        <f ca="1">IFERROR(__xludf.DUMMYFUNCTION("""COMPUTED_VALUE"""),"KZ.7700.02.01.00745602")</f>
        <v>KZ.7700.02.01.00745602</v>
      </c>
      <c r="C198" s="1" t="str">
        <f ca="1">IFERROR(__xludf.DUMMYFUNCTION("""COMPUTED_VALUE"""),"Действителен до 30.03.2026")</f>
        <v>Действителен до 30.03.2026</v>
      </c>
      <c r="D198" s="8" t="str">
        <f ca="1">IFERROR(__xludf.DUMMYFUNCTION("""COMPUTED_VALUE"""),"0321022KZ022")</f>
        <v>0321022KZ022</v>
      </c>
      <c r="E198" s="1" t="str">
        <f ca="1">IFERROR(__xludf.DUMMYFUNCTION("""COMPUTED_VALUE"""),"годен до 30.03.2026")</f>
        <v>годен до 30.03.2026</v>
      </c>
      <c r="F198" s="1" t="str">
        <f ca="1">IFERROR(__xludf.DUMMYFUNCTION("""COMPUTED_VALUE"""),"Корректор лечебно-профилактический (с 4 ребрами жесткости) эластичный 3011- XXXL - 0321022KZ022")</f>
        <v>Корректор лечебно-профилактический (с 4 ребрами жесткости) эластичный 3011- XXXL - 0321022KZ022</v>
      </c>
      <c r="G198" s="1" t="str">
        <f ca="1">IFERROR(__xludf.DUMMYFUNCTION("""COMPUTED_VALUE"""),"KZ.7700.02.01.00745602 / Действителен до 30.03.2026 / 0321022KZ022 / годен до 30.03.2026")</f>
        <v>KZ.7700.02.01.00745602 / Действителен до 30.03.2026 / 0321022KZ022 / годен до 30.03.2026</v>
      </c>
      <c r="H198" s="1" t="str">
        <f ca="1">IFERROR(__xludf.DUMMYFUNCTION("""COMPUTED_VALUE"""),"Корректор лечебно-профилактический (с 4 ребрами жесткости) эластичный 3011- XXXL KZ.7700.02.01.00745602 / Действителен до 30.03.2026 / 0321022KZ022 / годен до 30.03.2026")</f>
        <v>Корректор лечебно-профилактический (с 4 ребрами жесткости) эластичный 3011- XXXL KZ.7700.02.01.00745602 / Действителен до 30.03.2026 / 0321022KZ022 / годен до 30.03.2026</v>
      </c>
    </row>
    <row r="199" spans="1:8" ht="12.75" x14ac:dyDescent="0.2">
      <c r="A199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199" s="1" t="str">
        <f ca="1">IFERROR(__xludf.DUMMYFUNCTION("""COMPUTED_VALUE"""),"KZ.7700.02.01.00745601")</f>
        <v>KZ.7700.02.01.00745601</v>
      </c>
      <c r="C199" s="1" t="str">
        <f ca="1">IFERROR(__xludf.DUMMYFUNCTION("""COMPUTED_VALUE"""),"Действителен до 30.03.2026")</f>
        <v>Действителен до 30.03.2026</v>
      </c>
      <c r="D199" s="8" t="str">
        <f ca="1">IFERROR(__xludf.DUMMYFUNCTION("""COMPUTED_VALUE"""),"0321022KZ022")</f>
        <v>0321022KZ022</v>
      </c>
      <c r="E199" s="1" t="str">
        <f ca="1">IFERROR(__xludf.DUMMYFUNCTION("""COMPUTED_VALUE"""),"годен до 30.03.2026")</f>
        <v>годен до 30.03.2026</v>
      </c>
      <c r="F199" s="1" t="str">
        <f ca="1">IFERROR(__xludf.DUMMYFUNCTION("""COMPUTED_VALUE"""),"Корректор лечебно-профилактический (с 4 ребрами жесткости) эластичный 3011 XXXXL - 0321022KZ022")</f>
        <v>Корректор лечебно-профилактический (с 4 ребрами жесткости) эластичный 3011 XXXXL - 0321022KZ022</v>
      </c>
      <c r="G199" s="1" t="str">
        <f ca="1">IFERROR(__xludf.DUMMYFUNCTION("""COMPUTED_VALUE"""),"KZ.7700.02.01.00745601 / Действителен до 30.03.2026 / 0321022KZ022 / годен до 30.03.2026")</f>
        <v>KZ.7700.02.01.00745601 / Действителен до 30.03.2026 / 0321022KZ022 / годен до 30.03.2026</v>
      </c>
      <c r="H199" s="1" t="str">
        <f ca="1">IFERROR(__xludf.DUMMYFUNCTION("""COMPUTED_VALUE"""),"Корректор лечебно-профилактический (с 4 ребрами жесткости) эластичный 3011 XXXXL KZ.7700.02.01.00745601 / Действителен до 30.03.2026 / 0321022KZ022 / годен до 30.03.2026")</f>
        <v>Корректор лечебно-профилактический (с 4 ребрами жесткости) эластичный 3011 XXXXL KZ.7700.02.01.00745601 / Действителен до 30.03.2026 / 0321022KZ022 / годен до 30.03.2026</v>
      </c>
    </row>
    <row r="200" spans="1:8" ht="12.75" x14ac:dyDescent="0.2">
      <c r="A200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200" s="1" t="str">
        <f ca="1">IFERROR(__xludf.DUMMYFUNCTION("""COMPUTED_VALUE"""),"KZ.7700.02.01.00745643")</f>
        <v>KZ.7700.02.01.00745643</v>
      </c>
      <c r="C200" s="1" t="str">
        <f ca="1">IFERROR(__xludf.DUMMYFUNCTION("""COMPUTED_VALUE"""),"Действителен до 30.03.2026")</f>
        <v>Действителен до 30.03.2026</v>
      </c>
      <c r="D200" s="8" t="str">
        <f ca="1">IFERROR(__xludf.DUMMYFUNCTION("""COMPUTED_VALUE"""),"0321022KZ022")</f>
        <v>0321022KZ022</v>
      </c>
      <c r="E200" s="1" t="str">
        <f ca="1">IFERROR(__xludf.DUMMYFUNCTION("""COMPUTED_VALUE"""),"годен до 30.03.2026")</f>
        <v>годен до 30.03.2026</v>
      </c>
      <c r="F200" s="1" t="str">
        <f ca="1">IFERROR(__xludf.DUMMYFUNCTION("""COMPUTED_VALUE"""),"Корсет ортопедический с ребрами жесткости согревающий 3041 M/L (Болгария) - 0321022KZ022")</f>
        <v>Корсет ортопедический с ребрами жесткости согревающий 3041 M/L (Болгария) - 0321022KZ022</v>
      </c>
      <c r="G200" s="1" t="str">
        <f ca="1">IFERROR(__xludf.DUMMYFUNCTION("""COMPUTED_VALUE"""),"KZ.7700.02.01.00745643 / Действителен до 30.03.2026 / 0321022KZ022 / годен до 30.03.2026")</f>
        <v>KZ.7700.02.01.00745643 / Действителен до 30.03.2026 / 0321022KZ022 / годен до 30.03.2026</v>
      </c>
      <c r="H200" s="1" t="str">
        <f ca="1">IFERROR(__xludf.DUMMYFUNCTION("""COMPUTED_VALUE"""),"Корсет ортопедический с ребрами жесткости согревающий 3041 M/L (Болгария) KZ.7700.02.01.00745643 / Действителен до 30.03.2026 / 0321022KZ022 / годен до 30.03.2026")</f>
        <v>Корсет ортопедический с ребрами жесткости согревающий 3041 M/L (Болгария) KZ.7700.02.01.00745643 / Действителен до 30.03.2026 / 0321022KZ022 / годен до 30.03.2026</v>
      </c>
    </row>
    <row r="201" spans="1:8" ht="12.75" x14ac:dyDescent="0.2">
      <c r="A201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201" s="1" t="str">
        <f ca="1">IFERROR(__xludf.DUMMYFUNCTION("""COMPUTED_VALUE"""),"KZ.7700.02.01.00745642")</f>
        <v>KZ.7700.02.01.00745642</v>
      </c>
      <c r="C201" s="1" t="str">
        <f ca="1">IFERROR(__xludf.DUMMYFUNCTION("""COMPUTED_VALUE"""),"Действителен до 30.03.2026")</f>
        <v>Действителен до 30.03.2026</v>
      </c>
      <c r="D201" s="8" t="str">
        <f ca="1">IFERROR(__xludf.DUMMYFUNCTION("""COMPUTED_VALUE"""),"0321022KZ022")</f>
        <v>0321022KZ022</v>
      </c>
      <c r="E201" s="1" t="str">
        <f ca="1">IFERROR(__xludf.DUMMYFUNCTION("""COMPUTED_VALUE"""),"годен до 30.03.2026")</f>
        <v>годен до 30.03.2026</v>
      </c>
      <c r="F201" s="1" t="str">
        <f ca="1">IFERROR(__xludf.DUMMYFUNCTION("""COMPUTED_VALUE"""),"Корсет ортопедический с ребрами жесткости согревающий 3041 XL/XXL (Болгария) - 0321022KZ022")</f>
        <v>Корсет ортопедический с ребрами жесткости согревающий 3041 XL/XXL (Болгария) - 0321022KZ022</v>
      </c>
      <c r="G201" s="1" t="str">
        <f ca="1">IFERROR(__xludf.DUMMYFUNCTION("""COMPUTED_VALUE"""),"KZ.7700.02.01.00745642 / Действителен до 30.03.2026 / 0321022KZ022 / годен до 30.03.2026")</f>
        <v>KZ.7700.02.01.00745642 / Действителен до 30.03.2026 / 0321022KZ022 / годен до 30.03.2026</v>
      </c>
      <c r="H201" s="1" t="str">
        <f ca="1">IFERROR(__xludf.DUMMYFUNCTION("""COMPUTED_VALUE"""),"Корсет ортопедический с ребрами жесткости согревающий 3041 XL/XXL (Болгария) KZ.7700.02.01.00745642 / Действителен до 30.03.2026 / 0321022KZ022 / годен до 30.03.2026")</f>
        <v>Корсет ортопедический с ребрами жесткости согревающий 3041 XL/XXL (Болгария) KZ.7700.02.01.00745642 / Действителен до 30.03.2026 / 0321022KZ022 / годен до 30.03.2026</v>
      </c>
    </row>
    <row r="202" spans="1:8" ht="12.75" x14ac:dyDescent="0.2">
      <c r="A202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202" s="1" t="str">
        <f ca="1">IFERROR(__xludf.DUMMYFUNCTION("""COMPUTED_VALUE"""),"KZ.7700.02.01.00745644")</f>
        <v>KZ.7700.02.01.00745644</v>
      </c>
      <c r="C202" s="1" t="str">
        <f ca="1">IFERROR(__xludf.DUMMYFUNCTION("""COMPUTED_VALUE"""),"Действителен до 30.03.2026")</f>
        <v>Действителен до 30.03.2026</v>
      </c>
      <c r="D202" s="8" t="str">
        <f ca="1">IFERROR(__xludf.DUMMYFUNCTION("""COMPUTED_VALUE"""),"0321022KZ022")</f>
        <v>0321022KZ022</v>
      </c>
      <c r="E202" s="1" t="str">
        <f ca="1">IFERROR(__xludf.DUMMYFUNCTION("""COMPUTED_VALUE"""),"годен до 30.03.2026")</f>
        <v>годен до 30.03.2026</v>
      </c>
      <c r="F202" s="1" t="str">
        <f ca="1">IFERROR(__xludf.DUMMYFUNCTION("""COMPUTED_VALUE"""),"Корсет ортопедический с ребрами жесткости согревающий 3041 XXXL/XXXXL (Болгария) - 0321022KZ022")</f>
        <v>Корсет ортопедический с ребрами жесткости согревающий 3041 XXXL/XXXXL (Болгария) - 0321022KZ022</v>
      </c>
      <c r="G202" s="1" t="str">
        <f ca="1">IFERROR(__xludf.DUMMYFUNCTION("""COMPUTED_VALUE"""),"KZ.7700.02.01.00745644 / Действителен до 30.03.2026 / 0321022KZ022 / годен до 30.03.2026")</f>
        <v>KZ.7700.02.01.00745644 / Действителен до 30.03.2026 / 0321022KZ022 / годен до 30.03.2026</v>
      </c>
      <c r="H202" s="1" t="str">
        <f ca="1">IFERROR(__xludf.DUMMYFUNCTION("""COMPUTED_VALUE"""),"Корсет ортопедический с ребрами жесткости согревающий 3041 XXXL/XXXXL (Болгария) KZ.7700.02.01.00745644 / Действителен до 30.03.2026 / 0321022KZ022 / годен до 30.03.2026")</f>
        <v>Корсет ортопедический с ребрами жесткости согревающий 3041 XXXL/XXXXL (Болгария) KZ.7700.02.01.00745644 / Действителен до 30.03.2026 / 0321022KZ022 / годен до 30.03.2026</v>
      </c>
    </row>
    <row r="203" spans="1:8" ht="12.75" x14ac:dyDescent="0.2">
      <c r="A203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203" s="1" t="str">
        <f ca="1">IFERROR(__xludf.DUMMYFUNCTION("""COMPUTED_VALUE"""),"KZ.7700.02.01.00745639")</f>
        <v>KZ.7700.02.01.00745639</v>
      </c>
      <c r="C203" s="1" t="str">
        <f ca="1">IFERROR(__xludf.DUMMYFUNCTION("""COMPUTED_VALUE"""),"Действителен до 30.03.2026")</f>
        <v>Действителен до 30.03.2026</v>
      </c>
      <c r="D203" s="8" t="str">
        <f ca="1">IFERROR(__xludf.DUMMYFUNCTION("""COMPUTED_VALUE"""),"0321022KZ022")</f>
        <v>0321022KZ022</v>
      </c>
      <c r="E203" s="1" t="str">
        <f ca="1">IFERROR(__xludf.DUMMYFUNCTION("""COMPUTED_VALUE"""),"годен до 30.03.2026")</f>
        <v>годен до 30.03.2026</v>
      </c>
      <c r="F203" s="1" t="str">
        <f ca="1">IFERROR(__xludf.DUMMYFUNCTION("""COMPUTED_VALUE"""),"Бандаж лечебно–профилактический (с тремя ребрами жесткости) 4001 L (Болгария) - 0321022KZ022")</f>
        <v>Бандаж лечебно–профилактический (с тремя ребрами жесткости) 4001 L (Болгария) - 0321022KZ022</v>
      </c>
      <c r="G203" s="1" t="str">
        <f ca="1">IFERROR(__xludf.DUMMYFUNCTION("""COMPUTED_VALUE"""),"KZ.7700.02.01.00745639 / Действителен до 30.03.2026 / 0321022KZ022 / годен до 30.03.2026")</f>
        <v>KZ.7700.02.01.00745639 / Действителен до 30.03.2026 / 0321022KZ022 / годен до 30.03.2026</v>
      </c>
      <c r="H203" s="1" t="str">
        <f ca="1">IFERROR(__xludf.DUMMYFUNCTION("""COMPUTED_VALUE"""),"Бандаж лечебно–профилактический (с тремя ребрами жесткости) 4001 L (Болгария) KZ.7700.02.01.00745639 / Действителен до 30.03.2026 / 0321022KZ022 / годен до 30.03.2026")</f>
        <v>Бандаж лечебно–профилактический (с тремя ребрами жесткости) 4001 L (Болгария) KZ.7700.02.01.00745639 / Действителен до 30.03.2026 / 0321022KZ022 / годен до 30.03.2026</v>
      </c>
    </row>
    <row r="204" spans="1:8" ht="12.75" x14ac:dyDescent="0.2">
      <c r="A204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204" s="1" t="str">
        <f ca="1">IFERROR(__xludf.DUMMYFUNCTION("""COMPUTED_VALUE"""),"KZ.7700.02.01.00745637")</f>
        <v>KZ.7700.02.01.00745637</v>
      </c>
      <c r="C204" s="1" t="str">
        <f ca="1">IFERROR(__xludf.DUMMYFUNCTION("""COMPUTED_VALUE"""),"Действителен до 30.03.2026")</f>
        <v>Действителен до 30.03.2026</v>
      </c>
      <c r="D204" s="8" t="str">
        <f ca="1">IFERROR(__xludf.DUMMYFUNCTION("""COMPUTED_VALUE"""),"0321022KZ022")</f>
        <v>0321022KZ022</v>
      </c>
      <c r="E204" s="1" t="str">
        <f ca="1">IFERROR(__xludf.DUMMYFUNCTION("""COMPUTED_VALUE"""),"годен до 30.03.2026")</f>
        <v>годен до 30.03.2026</v>
      </c>
      <c r="F204" s="1" t="str">
        <f ca="1">IFERROR(__xludf.DUMMYFUNCTION("""COMPUTED_VALUE"""),"Бандаж лечебно–профилактический (с тремя ребрами жесткости) 4001 M (Болгария) - 0321022KZ022")</f>
        <v>Бандаж лечебно–профилактический (с тремя ребрами жесткости) 4001 M (Болгария) - 0321022KZ022</v>
      </c>
      <c r="G204" s="1" t="str">
        <f ca="1">IFERROR(__xludf.DUMMYFUNCTION("""COMPUTED_VALUE"""),"KZ.7700.02.01.00745637 / Действителен до 30.03.2026 / 0321022KZ022 / годен до 30.03.2026")</f>
        <v>KZ.7700.02.01.00745637 / Действителен до 30.03.2026 / 0321022KZ022 / годен до 30.03.2026</v>
      </c>
      <c r="H204" s="1" t="str">
        <f ca="1">IFERROR(__xludf.DUMMYFUNCTION("""COMPUTED_VALUE"""),"Бандаж лечебно–профилактический (с тремя ребрами жесткости) 4001 M (Болгария) KZ.7700.02.01.00745637 / Действителен до 30.03.2026 / 0321022KZ022 / годен до 30.03.2026")</f>
        <v>Бандаж лечебно–профилактический (с тремя ребрами жесткости) 4001 M (Болгария) KZ.7700.02.01.00745637 / Действителен до 30.03.2026 / 0321022KZ022 / годен до 30.03.2026</v>
      </c>
    </row>
    <row r="205" spans="1:8" ht="12.75" x14ac:dyDescent="0.2">
      <c r="A205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205" s="1" t="str">
        <f ca="1">IFERROR(__xludf.DUMMYFUNCTION("""COMPUTED_VALUE"""),"KZ.7700.02.01.00745638")</f>
        <v>KZ.7700.02.01.00745638</v>
      </c>
      <c r="C205" s="1" t="str">
        <f ca="1">IFERROR(__xludf.DUMMYFUNCTION("""COMPUTED_VALUE"""),"Действителен до 30.03.2026")</f>
        <v>Действителен до 30.03.2026</v>
      </c>
      <c r="D205" s="8" t="str">
        <f ca="1">IFERROR(__xludf.DUMMYFUNCTION("""COMPUTED_VALUE"""),"0321022KZ022")</f>
        <v>0321022KZ022</v>
      </c>
      <c r="E205" s="1" t="str">
        <f ca="1">IFERROR(__xludf.DUMMYFUNCTION("""COMPUTED_VALUE"""),"годен до 30.03.2026")</f>
        <v>годен до 30.03.2026</v>
      </c>
      <c r="F205" s="1" t="str">
        <f ca="1">IFERROR(__xludf.DUMMYFUNCTION("""COMPUTED_VALUE"""),"Бандаж лечебно–профилактический (с тремя ребрами жесткости) 4001 S (Болгария) - 0321022KZ022")</f>
        <v>Бандаж лечебно–профилактический (с тремя ребрами жесткости) 4001 S (Болгария) - 0321022KZ022</v>
      </c>
      <c r="G205" s="1" t="str">
        <f ca="1">IFERROR(__xludf.DUMMYFUNCTION("""COMPUTED_VALUE"""),"KZ.7700.02.01.00745638 / Действителен до 30.03.2026 / 0321022KZ022 / годен до 30.03.2026")</f>
        <v>KZ.7700.02.01.00745638 / Действителен до 30.03.2026 / 0321022KZ022 / годен до 30.03.2026</v>
      </c>
      <c r="H205" s="1" t="str">
        <f ca="1">IFERROR(__xludf.DUMMYFUNCTION("""COMPUTED_VALUE"""),"Бандаж лечебно–профилактический (с тремя ребрами жесткости) 4001 S (Болгария) KZ.7700.02.01.00745638 / Действителен до 30.03.2026 / 0321022KZ022 / годен до 30.03.2026")</f>
        <v>Бандаж лечебно–профилактический (с тремя ребрами жесткости) 4001 S (Болгария) KZ.7700.02.01.00745638 / Действителен до 30.03.2026 / 0321022KZ022 / годен до 30.03.2026</v>
      </c>
    </row>
    <row r="206" spans="1:8" ht="12.75" x14ac:dyDescent="0.2">
      <c r="A206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206" s="1" t="str">
        <f ca="1">IFERROR(__xludf.DUMMYFUNCTION("""COMPUTED_VALUE"""),"KZ.7700.02.01.00745635")</f>
        <v>KZ.7700.02.01.00745635</v>
      </c>
      <c r="C206" s="1" t="str">
        <f ca="1">IFERROR(__xludf.DUMMYFUNCTION("""COMPUTED_VALUE"""),"Действителен до 30.03.2026")</f>
        <v>Действителен до 30.03.2026</v>
      </c>
      <c r="D206" s="8" t="str">
        <f ca="1">IFERROR(__xludf.DUMMYFUNCTION("""COMPUTED_VALUE"""),"0321022KZ022")</f>
        <v>0321022KZ022</v>
      </c>
      <c r="E206" s="1" t="str">
        <f ca="1">IFERROR(__xludf.DUMMYFUNCTION("""COMPUTED_VALUE"""),"годен до 30.03.2026")</f>
        <v>годен до 30.03.2026</v>
      </c>
      <c r="F206" s="1" t="str">
        <f ca="1">IFERROR(__xludf.DUMMYFUNCTION("""COMPUTED_VALUE"""),"Бандаж лечебно–профилактический (с тремя ребрами жесткости) 4001 XL (Болгария) - 0321022KZ022")</f>
        <v>Бандаж лечебно–профилактический (с тремя ребрами жесткости) 4001 XL (Болгария) - 0321022KZ022</v>
      </c>
      <c r="G206" s="1" t="str">
        <f ca="1">IFERROR(__xludf.DUMMYFUNCTION("""COMPUTED_VALUE"""),"KZ.7700.02.01.00745635 / Действителен до 30.03.2026 / 0321022KZ022 / годен до 30.03.2026")</f>
        <v>KZ.7700.02.01.00745635 / Действителен до 30.03.2026 / 0321022KZ022 / годен до 30.03.2026</v>
      </c>
      <c r="H206" s="1" t="str">
        <f ca="1">IFERROR(__xludf.DUMMYFUNCTION("""COMPUTED_VALUE"""),"Бандаж лечебно–профилактический (с тремя ребрами жесткости) 4001 XL (Болгария) KZ.7700.02.01.00745635 / Действителен до 30.03.2026 / 0321022KZ022 / годен до 30.03.2026")</f>
        <v>Бандаж лечебно–профилактический (с тремя ребрами жесткости) 4001 XL (Болгария) KZ.7700.02.01.00745635 / Действителен до 30.03.2026 / 0321022KZ022 / годен до 30.03.2026</v>
      </c>
    </row>
    <row r="207" spans="1:8" ht="12.75" x14ac:dyDescent="0.2">
      <c r="A207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207" s="1" t="str">
        <f ca="1">IFERROR(__xludf.DUMMYFUNCTION("""COMPUTED_VALUE"""),"KZ.7700.02.01.00745652")</f>
        <v>KZ.7700.02.01.00745652</v>
      </c>
      <c r="C207" s="1" t="str">
        <f ca="1">IFERROR(__xludf.DUMMYFUNCTION("""COMPUTED_VALUE"""),"Действителен до 30.03.2026")</f>
        <v>Действителен до 30.03.2026</v>
      </c>
      <c r="D207" s="8" t="str">
        <f ca="1">IFERROR(__xludf.DUMMYFUNCTION("""COMPUTED_VALUE"""),"0321022KZ022")</f>
        <v>0321022KZ022</v>
      </c>
      <c r="E207" s="1" t="str">
        <f ca="1">IFERROR(__xludf.DUMMYFUNCTION("""COMPUTED_VALUE"""),"годен до 30.03.2026")</f>
        <v>годен до 30.03.2026</v>
      </c>
      <c r="F207" s="1" t="str">
        <f ca="1">IFERROR(__xludf.DUMMYFUNCTION("""COMPUTED_VALUE"""),"Бандаж лечебно–профилактический (с тремя ребрами жесткости) 4001 XXL (Болгария) - 0321022KZ022")</f>
        <v>Бандаж лечебно–профилактический (с тремя ребрами жесткости) 4001 XXL (Болгария) - 0321022KZ022</v>
      </c>
      <c r="G207" s="1" t="str">
        <f ca="1">IFERROR(__xludf.DUMMYFUNCTION("""COMPUTED_VALUE"""),"KZ.7700.02.01.00745652 / Действителен до 30.03.2026 / 0321022KZ022 / годен до 30.03.2026")</f>
        <v>KZ.7700.02.01.00745652 / Действителен до 30.03.2026 / 0321022KZ022 / годен до 30.03.2026</v>
      </c>
      <c r="H207" s="1" t="str">
        <f ca="1">IFERROR(__xludf.DUMMYFUNCTION("""COMPUTED_VALUE"""),"Бандаж лечебно–профилактический (с тремя ребрами жесткости) 4001 XXL (Болгария) KZ.7700.02.01.00745652 / Действителен до 30.03.2026 / 0321022KZ022 / годен до 30.03.2026")</f>
        <v>Бандаж лечебно–профилактический (с тремя ребрами жесткости) 4001 XXL (Болгария) KZ.7700.02.01.00745652 / Действителен до 30.03.2026 / 0321022KZ022 / годен до 30.03.2026</v>
      </c>
    </row>
    <row r="208" spans="1:8" ht="12.75" x14ac:dyDescent="0.2">
      <c r="A208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208" s="1" t="str">
        <f ca="1">IFERROR(__xludf.DUMMYFUNCTION("""COMPUTED_VALUE"""),"KZ.7700.02.01.00745646")</f>
        <v>KZ.7700.02.01.00745646</v>
      </c>
      <c r="C208" s="1" t="str">
        <f ca="1">IFERROR(__xludf.DUMMYFUNCTION("""COMPUTED_VALUE"""),"Действителен до 30.03.2026")</f>
        <v>Действителен до 30.03.2026</v>
      </c>
      <c r="D208" s="8" t="str">
        <f ca="1">IFERROR(__xludf.DUMMYFUNCTION("""COMPUTED_VALUE"""),"0321022KZ022")</f>
        <v>0321022KZ022</v>
      </c>
      <c r="E208" s="1" t="str">
        <f ca="1">IFERROR(__xludf.DUMMYFUNCTION("""COMPUTED_VALUE"""),"годен до 30.03.2026")</f>
        <v>годен до 30.03.2026</v>
      </c>
      <c r="F208" s="1" t="str">
        <f ca="1">IFERROR(__xludf.DUMMYFUNCTION("""COMPUTED_VALUE"""),"Бандаж лечебно–профилактический (с тремя ребрами жесткости) 4001 XXXL(Болгария) - 0321022KZ022")</f>
        <v>Бандаж лечебно–профилактический (с тремя ребрами жесткости) 4001 XXXL(Болгария) - 0321022KZ022</v>
      </c>
      <c r="G208" s="1" t="str">
        <f ca="1">IFERROR(__xludf.DUMMYFUNCTION("""COMPUTED_VALUE"""),"KZ.7700.02.01.00745646 / Действителен до 30.03.2026 / 0321022KZ022 / годен до 30.03.2026")</f>
        <v>KZ.7700.02.01.00745646 / Действителен до 30.03.2026 / 0321022KZ022 / годен до 30.03.2026</v>
      </c>
      <c r="H208" s="1" t="str">
        <f ca="1">IFERROR(__xludf.DUMMYFUNCTION("""COMPUTED_VALUE"""),"Бандаж лечебно–профилактический (с тремя ребрами жесткости) 4001 XXXL(Болгария) KZ.7700.02.01.00745646 / Действителен до 30.03.2026 / 0321022KZ022 / годен до 30.03.2026")</f>
        <v>Бандаж лечебно–профилактический (с тремя ребрами жесткости) 4001 XXXL(Болгария) KZ.7700.02.01.00745646 / Действителен до 30.03.2026 / 0321022KZ022 / годен до 30.03.2026</v>
      </c>
    </row>
    <row r="209" spans="1:8" ht="12.75" x14ac:dyDescent="0.2">
      <c r="A209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209" s="1" t="str">
        <f ca="1">IFERROR(__xludf.DUMMYFUNCTION("""COMPUTED_VALUE"""),"KZ.7700.02.01.00745653")</f>
        <v>KZ.7700.02.01.00745653</v>
      </c>
      <c r="C209" s="1" t="str">
        <f ca="1">IFERROR(__xludf.DUMMYFUNCTION("""COMPUTED_VALUE"""),"Действителен до 30.03.2026")</f>
        <v>Действителен до 30.03.2026</v>
      </c>
      <c r="D209" s="8" t="str">
        <f ca="1">IFERROR(__xludf.DUMMYFUNCTION("""COMPUTED_VALUE"""),"0321022KZ022")</f>
        <v>0321022KZ022</v>
      </c>
      <c r="E209" s="1" t="str">
        <f ca="1">IFERROR(__xludf.DUMMYFUNCTION("""COMPUTED_VALUE"""),"годен до 30.03.2026")</f>
        <v>годен до 30.03.2026</v>
      </c>
      <c r="F209" s="1" t="str">
        <f ca="1">IFERROR(__xludf.DUMMYFUNCTION("""COMPUTED_VALUE"""),"Бандаж лечебно–профилактический (с тремя ребрами жесткости) 4001 XXXXL(Болгария) - 0321022KZ022")</f>
        <v>Бандаж лечебно–профилактический (с тремя ребрами жесткости) 4001 XXXXL(Болгария) - 0321022KZ022</v>
      </c>
      <c r="G209" s="1" t="str">
        <f ca="1">IFERROR(__xludf.DUMMYFUNCTION("""COMPUTED_VALUE"""),"KZ.7700.02.01.00745653 / Действителен до 30.03.2026 / 0321022KZ022 / годен до 30.03.2026")</f>
        <v>KZ.7700.02.01.00745653 / Действителен до 30.03.2026 / 0321022KZ022 / годен до 30.03.2026</v>
      </c>
      <c r="H209" s="1" t="str">
        <f ca="1">IFERROR(__xludf.DUMMYFUNCTION("""COMPUTED_VALUE"""),"Бандаж лечебно–профилактический (с тремя ребрами жесткости) 4001 XXXXL(Болгария) KZ.7700.02.01.00745653 / Действителен до 30.03.2026 / 0321022KZ022 / годен до 30.03.2026")</f>
        <v>Бандаж лечебно–профилактический (с тремя ребрами жесткости) 4001 XXXXL(Болгария) KZ.7700.02.01.00745653 / Действителен до 30.03.2026 / 0321022KZ022 / годен до 30.03.2026</v>
      </c>
    </row>
    <row r="210" spans="1:8" ht="12.75" x14ac:dyDescent="0.2">
      <c r="A210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210" s="1" t="str">
        <f ca="1">IFERROR(__xludf.DUMMYFUNCTION("""COMPUTED_VALUE"""),"KZ.7700.02.01.00745648")</f>
        <v>KZ.7700.02.01.00745648</v>
      </c>
      <c r="C210" s="1" t="str">
        <f ca="1">IFERROR(__xludf.DUMMYFUNCTION("""COMPUTED_VALUE"""),"Действителен до 30.03.2026")</f>
        <v>Действителен до 30.03.2026</v>
      </c>
      <c r="D210" s="8" t="str">
        <f ca="1">IFERROR(__xludf.DUMMYFUNCTION("""COMPUTED_VALUE"""),"0321022KZ022")</f>
        <v>0321022KZ022</v>
      </c>
      <c r="E210" s="1" t="str">
        <f ca="1">IFERROR(__xludf.DUMMYFUNCTION("""COMPUTED_VALUE"""),"годен до 30.03.2026")</f>
        <v>годен до 30.03.2026</v>
      </c>
      <c r="F210" s="1" t="str">
        <f ca="1">IFERROR(__xludf.DUMMYFUNCTION("""COMPUTED_VALUE"""),"Бандаж лечебно–профилактический эластичный 4002 L (Болгария) - 0321022KZ022")</f>
        <v>Бандаж лечебно–профилактический эластичный 4002 L (Болгария) - 0321022KZ022</v>
      </c>
      <c r="G210" s="1" t="str">
        <f ca="1">IFERROR(__xludf.DUMMYFUNCTION("""COMPUTED_VALUE"""),"KZ.7700.02.01.00745648 / Действителен до 30.03.2026 / 0321022KZ022 / годен до 30.03.2026")</f>
        <v>KZ.7700.02.01.00745648 / Действителен до 30.03.2026 / 0321022KZ022 / годен до 30.03.2026</v>
      </c>
      <c r="H210" s="1" t="str">
        <f ca="1">IFERROR(__xludf.DUMMYFUNCTION("""COMPUTED_VALUE"""),"Бандаж лечебно–профилактический эластичный 4002 L (Болгария) KZ.7700.02.01.00745648 / Действителен до 30.03.2026 / 0321022KZ022 / годен до 30.03.2026")</f>
        <v>Бандаж лечебно–профилактический эластичный 4002 L (Болгария) KZ.7700.02.01.00745648 / Действителен до 30.03.2026 / 0321022KZ022 / годен до 30.03.2026</v>
      </c>
    </row>
    <row r="211" spans="1:8" ht="12.75" x14ac:dyDescent="0.2">
      <c r="A211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211" s="1" t="str">
        <f ca="1">IFERROR(__xludf.DUMMYFUNCTION("""COMPUTED_VALUE"""),"KZ.7700.02.01.00745647")</f>
        <v>KZ.7700.02.01.00745647</v>
      </c>
      <c r="C211" s="1" t="str">
        <f ca="1">IFERROR(__xludf.DUMMYFUNCTION("""COMPUTED_VALUE"""),"Действителен до 30.03.2026")</f>
        <v>Действителен до 30.03.2026</v>
      </c>
      <c r="D211" s="8" t="str">
        <f ca="1">IFERROR(__xludf.DUMMYFUNCTION("""COMPUTED_VALUE"""),"0321022KZ022")</f>
        <v>0321022KZ022</v>
      </c>
      <c r="E211" s="1" t="str">
        <f ca="1">IFERROR(__xludf.DUMMYFUNCTION("""COMPUTED_VALUE"""),"годен до 30.03.2026")</f>
        <v>годен до 30.03.2026</v>
      </c>
      <c r="F211" s="1" t="str">
        <f ca="1">IFERROR(__xludf.DUMMYFUNCTION("""COMPUTED_VALUE"""),"Бандаж лечебно–профилактический эластичный 4002 M (Болгария) - 0321022KZ022")</f>
        <v>Бандаж лечебно–профилактический эластичный 4002 M (Болгария) - 0321022KZ022</v>
      </c>
      <c r="G211" s="1" t="str">
        <f ca="1">IFERROR(__xludf.DUMMYFUNCTION("""COMPUTED_VALUE"""),"KZ.7700.02.01.00745647 / Действителен до 30.03.2026 / 0321022KZ022 / годен до 30.03.2026")</f>
        <v>KZ.7700.02.01.00745647 / Действителен до 30.03.2026 / 0321022KZ022 / годен до 30.03.2026</v>
      </c>
      <c r="H211" s="1" t="str">
        <f ca="1">IFERROR(__xludf.DUMMYFUNCTION("""COMPUTED_VALUE"""),"Бандаж лечебно–профилактический эластичный 4002 M (Болгария) KZ.7700.02.01.00745647 / Действителен до 30.03.2026 / 0321022KZ022 / годен до 30.03.2026")</f>
        <v>Бандаж лечебно–профилактический эластичный 4002 M (Болгария) KZ.7700.02.01.00745647 / Действителен до 30.03.2026 / 0321022KZ022 / годен до 30.03.2026</v>
      </c>
    </row>
    <row r="212" spans="1:8" ht="12.75" x14ac:dyDescent="0.2">
      <c r="A212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212" s="1" t="str">
        <f ca="1">IFERROR(__xludf.DUMMYFUNCTION("""COMPUTED_VALUE"""),"KZ.7700.02.01.00745650")</f>
        <v>KZ.7700.02.01.00745650</v>
      </c>
      <c r="C212" s="1" t="str">
        <f ca="1">IFERROR(__xludf.DUMMYFUNCTION("""COMPUTED_VALUE"""),"Действителен до 30.03.2026")</f>
        <v>Действителен до 30.03.2026</v>
      </c>
      <c r="D212" s="8" t="str">
        <f ca="1">IFERROR(__xludf.DUMMYFUNCTION("""COMPUTED_VALUE"""),"0321022KZ022")</f>
        <v>0321022KZ022</v>
      </c>
      <c r="E212" s="1" t="str">
        <f ca="1">IFERROR(__xludf.DUMMYFUNCTION("""COMPUTED_VALUE"""),"годен до 30.03.2026")</f>
        <v>годен до 30.03.2026</v>
      </c>
      <c r="F212" s="1" t="str">
        <f ca="1">IFERROR(__xludf.DUMMYFUNCTION("""COMPUTED_VALUE"""),"Бандаж лечебно–профилактический эластичный 4002 S (Болгария) - 0321022KZ022")</f>
        <v>Бандаж лечебно–профилактический эластичный 4002 S (Болгария) - 0321022KZ022</v>
      </c>
      <c r="G212" s="1" t="str">
        <f ca="1">IFERROR(__xludf.DUMMYFUNCTION("""COMPUTED_VALUE"""),"KZ.7700.02.01.00745650 / Действителен до 30.03.2026 / 0321022KZ022 / годен до 30.03.2026")</f>
        <v>KZ.7700.02.01.00745650 / Действителен до 30.03.2026 / 0321022KZ022 / годен до 30.03.2026</v>
      </c>
      <c r="H212" s="1" t="str">
        <f ca="1">IFERROR(__xludf.DUMMYFUNCTION("""COMPUTED_VALUE"""),"Бандаж лечебно–профилактический эластичный 4002 S (Болгария) KZ.7700.02.01.00745650 / Действителен до 30.03.2026 / 0321022KZ022 / годен до 30.03.2026")</f>
        <v>Бандаж лечебно–профилактический эластичный 4002 S (Болгария) KZ.7700.02.01.00745650 / Действителен до 30.03.2026 / 0321022KZ022 / годен до 30.03.2026</v>
      </c>
    </row>
    <row r="213" spans="1:8" ht="12.75" x14ac:dyDescent="0.2">
      <c r="A213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213" s="1" t="str">
        <f ca="1">IFERROR(__xludf.DUMMYFUNCTION("""COMPUTED_VALUE"""),"KZ.7700.02.01.00745645")</f>
        <v>KZ.7700.02.01.00745645</v>
      </c>
      <c r="C213" s="1" t="str">
        <f ca="1">IFERROR(__xludf.DUMMYFUNCTION("""COMPUTED_VALUE"""),"Действителен до 30.03.2026")</f>
        <v>Действителен до 30.03.2026</v>
      </c>
      <c r="D213" s="8" t="str">
        <f ca="1">IFERROR(__xludf.DUMMYFUNCTION("""COMPUTED_VALUE"""),"0321022KZ022")</f>
        <v>0321022KZ022</v>
      </c>
      <c r="E213" s="1" t="str">
        <f ca="1">IFERROR(__xludf.DUMMYFUNCTION("""COMPUTED_VALUE"""),"годен до 30.03.2026")</f>
        <v>годен до 30.03.2026</v>
      </c>
      <c r="F213" s="1" t="str">
        <f ca="1">IFERROR(__xludf.DUMMYFUNCTION("""COMPUTED_VALUE"""),"Бандаж лечебно–профилактический эластичный 4002 XL (Болгария) - 0321022KZ022")</f>
        <v>Бандаж лечебно–профилактический эластичный 4002 XL (Болгария) - 0321022KZ022</v>
      </c>
      <c r="G213" s="1" t="str">
        <f ca="1">IFERROR(__xludf.DUMMYFUNCTION("""COMPUTED_VALUE"""),"KZ.7700.02.01.00745645 / Действителен до 30.03.2026 / 0321022KZ022 / годен до 30.03.2026")</f>
        <v>KZ.7700.02.01.00745645 / Действителен до 30.03.2026 / 0321022KZ022 / годен до 30.03.2026</v>
      </c>
      <c r="H213" s="1" t="str">
        <f ca="1">IFERROR(__xludf.DUMMYFUNCTION("""COMPUTED_VALUE"""),"Бандаж лечебно–профилактический эластичный 4002 XL (Болгария) KZ.7700.02.01.00745645 / Действителен до 30.03.2026 / 0321022KZ022 / годен до 30.03.2026")</f>
        <v>Бандаж лечебно–профилактический эластичный 4002 XL (Болгария) KZ.7700.02.01.00745645 / Действителен до 30.03.2026 / 0321022KZ022 / годен до 30.03.2026</v>
      </c>
    </row>
    <row r="214" spans="1:8" ht="12.75" x14ac:dyDescent="0.2">
      <c r="A214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214" s="1" t="str">
        <f ca="1">IFERROR(__xludf.DUMMYFUNCTION("""COMPUTED_VALUE"""),"KZ.7700.02.01.00745654")</f>
        <v>KZ.7700.02.01.00745654</v>
      </c>
      <c r="C214" s="1" t="str">
        <f ca="1">IFERROR(__xludf.DUMMYFUNCTION("""COMPUTED_VALUE"""),"Действителен до 30.03.2026")</f>
        <v>Действителен до 30.03.2026</v>
      </c>
      <c r="D214" s="8" t="str">
        <f ca="1">IFERROR(__xludf.DUMMYFUNCTION("""COMPUTED_VALUE"""),"0321022KZ022")</f>
        <v>0321022KZ022</v>
      </c>
      <c r="E214" s="1" t="str">
        <f ca="1">IFERROR(__xludf.DUMMYFUNCTION("""COMPUTED_VALUE"""),"годен до 30.03.2026")</f>
        <v>годен до 30.03.2026</v>
      </c>
      <c r="F214" s="1" t="str">
        <f ca="1">IFERROR(__xludf.DUMMYFUNCTION("""COMPUTED_VALUE"""),"Бандаж лечебно–профилактический эластичный 4002 XXL (Болгария) - 0321022KZ022")</f>
        <v>Бандаж лечебно–профилактический эластичный 4002 XXL (Болгария) - 0321022KZ022</v>
      </c>
      <c r="G214" s="1" t="str">
        <f ca="1">IFERROR(__xludf.DUMMYFUNCTION("""COMPUTED_VALUE"""),"KZ.7700.02.01.00745654 / Действителен до 30.03.2026 / 0321022KZ022 / годен до 30.03.2026")</f>
        <v>KZ.7700.02.01.00745654 / Действителен до 30.03.2026 / 0321022KZ022 / годен до 30.03.2026</v>
      </c>
      <c r="H214" s="1" t="str">
        <f ca="1">IFERROR(__xludf.DUMMYFUNCTION("""COMPUTED_VALUE"""),"Бандаж лечебно–профилактический эластичный 4002 XXL (Болгария) KZ.7700.02.01.00745654 / Действителен до 30.03.2026 / 0321022KZ022 / годен до 30.03.2026")</f>
        <v>Бандаж лечебно–профилактический эластичный 4002 XXL (Болгария) KZ.7700.02.01.00745654 / Действителен до 30.03.2026 / 0321022KZ022 / годен до 30.03.2026</v>
      </c>
    </row>
    <row r="215" spans="1:8" ht="12.75" x14ac:dyDescent="0.2">
      <c r="A215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215" s="1" t="str">
        <f ca="1">IFERROR(__xludf.DUMMYFUNCTION("""COMPUTED_VALUE"""),"KZ.7700.02.01.00745664")</f>
        <v>KZ.7700.02.01.00745664</v>
      </c>
      <c r="C215" s="1" t="str">
        <f ca="1">IFERROR(__xludf.DUMMYFUNCTION("""COMPUTED_VALUE"""),"Действителен до 30.03.2026")</f>
        <v>Действителен до 30.03.2026</v>
      </c>
      <c r="D215" s="8" t="str">
        <f ca="1">IFERROR(__xludf.DUMMYFUNCTION("""COMPUTED_VALUE"""),"0321022KZ022")</f>
        <v>0321022KZ022</v>
      </c>
      <c r="E215" s="1" t="str">
        <f ca="1">IFERROR(__xludf.DUMMYFUNCTION("""COMPUTED_VALUE"""),"годен до 30.03.2026")</f>
        <v>годен до 30.03.2026</v>
      </c>
      <c r="F215" s="1" t="str">
        <f ca="1">IFERROR(__xludf.DUMMYFUNCTION("""COMPUTED_VALUE"""),"Бандаж лечебно–профилактический эластичный 4002 XXXL (Болгария) - 0321022KZ022")</f>
        <v>Бандаж лечебно–профилактический эластичный 4002 XXXL (Болгария) - 0321022KZ022</v>
      </c>
      <c r="G215" s="1" t="str">
        <f ca="1">IFERROR(__xludf.DUMMYFUNCTION("""COMPUTED_VALUE"""),"KZ.7700.02.01.00745664 / Действителен до 30.03.2026 / 0321022KZ022 / годен до 30.03.2026")</f>
        <v>KZ.7700.02.01.00745664 / Действителен до 30.03.2026 / 0321022KZ022 / годен до 30.03.2026</v>
      </c>
      <c r="H215" s="1" t="str">
        <f ca="1">IFERROR(__xludf.DUMMYFUNCTION("""COMPUTED_VALUE"""),"Бандаж лечебно–профилактический эластичный 4002 XXXL (Болгария) KZ.7700.02.01.00745664 / Действителен до 30.03.2026 / 0321022KZ022 / годен до 30.03.2026")</f>
        <v>Бандаж лечебно–профилактический эластичный 4002 XXXL (Болгария) KZ.7700.02.01.00745664 / Действителен до 30.03.2026 / 0321022KZ022 / годен до 30.03.2026</v>
      </c>
    </row>
    <row r="216" spans="1:8" ht="12.75" x14ac:dyDescent="0.2">
      <c r="A216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216" s="1" t="str">
        <f ca="1">IFERROR(__xludf.DUMMYFUNCTION("""COMPUTED_VALUE"""),"KZ.7700.02.01.00745659")</f>
        <v>KZ.7700.02.01.00745659</v>
      </c>
      <c r="C216" s="1" t="str">
        <f ca="1">IFERROR(__xludf.DUMMYFUNCTION("""COMPUTED_VALUE"""),"Действителен до 30.03.2026")</f>
        <v>Действителен до 30.03.2026</v>
      </c>
      <c r="D216" s="8" t="str">
        <f ca="1">IFERROR(__xludf.DUMMYFUNCTION("""COMPUTED_VALUE"""),"0321022KZ022")</f>
        <v>0321022KZ022</v>
      </c>
      <c r="E216" s="1" t="str">
        <f ca="1">IFERROR(__xludf.DUMMYFUNCTION("""COMPUTED_VALUE"""),"годен до 30.03.2026")</f>
        <v>годен до 30.03.2026</v>
      </c>
      <c r="F216" s="1" t="str">
        <f ca="1">IFERROR(__xludf.DUMMYFUNCTION("""COMPUTED_VALUE"""),"Бандаж лечебно–профилактический эластичный 4002 XXXXL (Болгария) - 0321022KZ022")</f>
        <v>Бандаж лечебно–профилактический эластичный 4002 XXXXL (Болгария) - 0321022KZ022</v>
      </c>
      <c r="G216" s="1" t="str">
        <f ca="1">IFERROR(__xludf.DUMMYFUNCTION("""COMPUTED_VALUE"""),"KZ.7700.02.01.00745659 / Действителен до 30.03.2026 / 0321022KZ022 / годен до 30.03.2026")</f>
        <v>KZ.7700.02.01.00745659 / Действителен до 30.03.2026 / 0321022KZ022 / годен до 30.03.2026</v>
      </c>
      <c r="H216" s="1" t="str">
        <f ca="1">IFERROR(__xludf.DUMMYFUNCTION("""COMPUTED_VALUE"""),"Бандаж лечебно–профилактический эластичный 4002 XXXXL (Болгария) KZ.7700.02.01.00745659 / Действителен до 30.03.2026 / 0321022KZ022 / годен до 30.03.2026")</f>
        <v>Бандаж лечебно–профилактический эластичный 4002 XXXXL (Болгария) KZ.7700.02.01.00745659 / Действителен до 30.03.2026 / 0321022KZ022 / годен до 30.03.2026</v>
      </c>
    </row>
    <row r="217" spans="1:8" ht="12.75" x14ac:dyDescent="0.2">
      <c r="A217" s="1" t="str">
        <f ca="1">IFERROR(__xludf.DUMMYFUNCTION("""COMPUTED_VALUE"""),"Бандаж универсальный 4011 M/L (Болгария)")</f>
        <v>Бандаж универсальный 4011 M/L (Болгария)</v>
      </c>
      <c r="B217" s="1" t="str">
        <f ca="1">IFERROR(__xludf.DUMMYFUNCTION("""COMPUTED_VALUE"""),"KZ.7700.02.01.00745663")</f>
        <v>KZ.7700.02.01.00745663</v>
      </c>
      <c r="C217" s="1" t="str">
        <f ca="1">IFERROR(__xludf.DUMMYFUNCTION("""COMPUTED_VALUE"""),"Действителен до 30.03.2026")</f>
        <v>Действителен до 30.03.2026</v>
      </c>
      <c r="D217" s="8" t="str">
        <f ca="1">IFERROR(__xludf.DUMMYFUNCTION("""COMPUTED_VALUE"""),"0321022KZ022")</f>
        <v>0321022KZ022</v>
      </c>
      <c r="E217" s="1" t="str">
        <f ca="1">IFERROR(__xludf.DUMMYFUNCTION("""COMPUTED_VALUE"""),"годен до 30.03.2026")</f>
        <v>годен до 30.03.2026</v>
      </c>
      <c r="F217" s="1" t="str">
        <f ca="1">IFERROR(__xludf.DUMMYFUNCTION("""COMPUTED_VALUE"""),"Бандаж универсальный 4011 M/L (Болгария) - 0321022KZ022")</f>
        <v>Бандаж универсальный 4011 M/L (Болгария) - 0321022KZ022</v>
      </c>
      <c r="G217" s="1" t="str">
        <f ca="1">IFERROR(__xludf.DUMMYFUNCTION("""COMPUTED_VALUE"""),"KZ.7700.02.01.00745663 / Действителен до 30.03.2026 / 0321022KZ022 / годен до 30.03.2026")</f>
        <v>KZ.7700.02.01.00745663 / Действителен до 30.03.2026 / 0321022KZ022 / годен до 30.03.2026</v>
      </c>
      <c r="H217" s="1" t="str">
        <f ca="1">IFERROR(__xludf.DUMMYFUNCTION("""COMPUTED_VALUE"""),"Бандаж универсальный 4011 M/L (Болгария) KZ.7700.02.01.00745663 / Действителен до 30.03.2026 / 0321022KZ022 / годен до 30.03.2026")</f>
        <v>Бандаж универсальный 4011 M/L (Болгария) KZ.7700.02.01.00745663 / Действителен до 30.03.2026 / 0321022KZ022 / годен до 30.03.2026</v>
      </c>
    </row>
    <row r="218" spans="1:8" ht="12.75" x14ac:dyDescent="0.2">
      <c r="A218" s="1" t="str">
        <f ca="1">IFERROR(__xludf.DUMMYFUNCTION("""COMPUTED_VALUE"""),"Бандаж универсальный 4011 XL/XXL (Болгария)")</f>
        <v>Бандаж универсальный 4011 XL/XXL (Болгария)</v>
      </c>
      <c r="B218" s="1" t="str">
        <f ca="1">IFERROR(__xludf.DUMMYFUNCTION("""COMPUTED_VALUE"""),"KZ.7700.02.01.00745658")</f>
        <v>KZ.7700.02.01.00745658</v>
      </c>
      <c r="C218" s="1" t="str">
        <f ca="1">IFERROR(__xludf.DUMMYFUNCTION("""COMPUTED_VALUE"""),"Действителен до 30.03.2026")</f>
        <v>Действителен до 30.03.2026</v>
      </c>
      <c r="D218" s="8" t="str">
        <f ca="1">IFERROR(__xludf.DUMMYFUNCTION("""COMPUTED_VALUE"""),"0321022KZ022")</f>
        <v>0321022KZ022</v>
      </c>
      <c r="E218" s="1" t="str">
        <f ca="1">IFERROR(__xludf.DUMMYFUNCTION("""COMPUTED_VALUE"""),"годен до 30.03.2026")</f>
        <v>годен до 30.03.2026</v>
      </c>
      <c r="F218" s="1" t="str">
        <f ca="1">IFERROR(__xludf.DUMMYFUNCTION("""COMPUTED_VALUE"""),"Бандаж универсальный 4011 XL/XXL (Болгария) - 0321022KZ022")</f>
        <v>Бандаж универсальный 4011 XL/XXL (Болгария) - 0321022KZ022</v>
      </c>
      <c r="G218" s="1" t="str">
        <f ca="1">IFERROR(__xludf.DUMMYFUNCTION("""COMPUTED_VALUE"""),"KZ.7700.02.01.00745658 / Действителен до 30.03.2026 / 0321022KZ022 / годен до 30.03.2026")</f>
        <v>KZ.7700.02.01.00745658 / Действителен до 30.03.2026 / 0321022KZ022 / годен до 30.03.2026</v>
      </c>
      <c r="H218" s="1" t="str">
        <f ca="1">IFERROR(__xludf.DUMMYFUNCTION("""COMPUTED_VALUE"""),"Бандаж универсальный 4011 XL/XXL (Болгария) KZ.7700.02.01.00745658 / Действителен до 30.03.2026 / 0321022KZ022 / годен до 30.03.2026")</f>
        <v>Бандаж универсальный 4011 XL/XXL (Болгария) KZ.7700.02.01.00745658 / Действителен до 30.03.2026 / 0321022KZ022 / годен до 30.03.2026</v>
      </c>
    </row>
    <row r="219" spans="1:8" ht="12.75" x14ac:dyDescent="0.2">
      <c r="A219" s="1" t="str">
        <f ca="1">IFERROR(__xludf.DUMMYFUNCTION("""COMPUTED_VALUE"""),"Бандаж универсальный 4011 XS/S (Болгария)")</f>
        <v>Бандаж универсальный 4011 XS/S (Болгария)</v>
      </c>
      <c r="B219" s="1" t="str">
        <f ca="1">IFERROR(__xludf.DUMMYFUNCTION("""COMPUTED_VALUE"""),"KZ.7700.02.01.00745662")</f>
        <v>KZ.7700.02.01.00745662</v>
      </c>
      <c r="C219" s="1" t="str">
        <f ca="1">IFERROR(__xludf.DUMMYFUNCTION("""COMPUTED_VALUE"""),"Действителен до 30.03.2026")</f>
        <v>Действителен до 30.03.2026</v>
      </c>
      <c r="D219" s="8" t="str">
        <f ca="1">IFERROR(__xludf.DUMMYFUNCTION("""COMPUTED_VALUE"""),"0321022KZ022")</f>
        <v>0321022KZ022</v>
      </c>
      <c r="E219" s="1" t="str">
        <f ca="1">IFERROR(__xludf.DUMMYFUNCTION("""COMPUTED_VALUE"""),"годен до 30.03.2026")</f>
        <v>годен до 30.03.2026</v>
      </c>
      <c r="F219" s="1" t="str">
        <f ca="1">IFERROR(__xludf.DUMMYFUNCTION("""COMPUTED_VALUE"""),"Бандаж универсальный 4011 XS/S (Болгария) - 0321022KZ022")</f>
        <v>Бандаж универсальный 4011 XS/S (Болгария) - 0321022KZ022</v>
      </c>
      <c r="G219" s="1" t="str">
        <f ca="1">IFERROR(__xludf.DUMMYFUNCTION("""COMPUTED_VALUE"""),"KZ.7700.02.01.00745662 / Действителен до 30.03.2026 / 0321022KZ022 / годен до 30.03.2026")</f>
        <v>KZ.7700.02.01.00745662 / Действителен до 30.03.2026 / 0321022KZ022 / годен до 30.03.2026</v>
      </c>
      <c r="H219" s="1" t="str">
        <f ca="1">IFERROR(__xludf.DUMMYFUNCTION("""COMPUTED_VALUE"""),"Бандаж универсальный 4011 XS/S (Болгария) KZ.7700.02.01.00745662 / Действителен до 30.03.2026 / 0321022KZ022 / годен до 30.03.2026")</f>
        <v>Бандаж универсальный 4011 XS/S (Болгария) KZ.7700.02.01.00745662 / Действителен до 30.03.2026 / 0321022KZ022 / годен до 30.03.2026</v>
      </c>
    </row>
    <row r="220" spans="1:8" ht="12.75" x14ac:dyDescent="0.2">
      <c r="A220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220" s="1" t="str">
        <f ca="1">IFERROR(__xludf.DUMMYFUNCTION("""COMPUTED_VALUE"""),"KZ.7700.02.01.00745660")</f>
        <v>KZ.7700.02.01.00745660</v>
      </c>
      <c r="C220" s="1" t="str">
        <f ca="1">IFERROR(__xludf.DUMMYFUNCTION("""COMPUTED_VALUE"""),"Действителен до 30.03.2026")</f>
        <v>Действителен до 30.03.2026</v>
      </c>
      <c r="D220" s="8" t="str">
        <f ca="1">IFERROR(__xludf.DUMMYFUNCTION("""COMPUTED_VALUE"""),"0321022KZ022")</f>
        <v>0321022KZ022</v>
      </c>
      <c r="E220" s="1" t="str">
        <f ca="1">IFERROR(__xludf.DUMMYFUNCTION("""COMPUTED_VALUE"""),"годен до 30.03.2026")</f>
        <v>годен до 30.03.2026</v>
      </c>
      <c r="F220" s="1" t="str">
        <f ca="1">IFERROR(__xludf.DUMMYFUNCTION("""COMPUTED_VALUE"""),"Бандаж универсальный 4011 XXXL/XXXXL (Болгария) - 0321022KZ022")</f>
        <v>Бандаж универсальный 4011 XXXL/XXXXL (Болгария) - 0321022KZ022</v>
      </c>
      <c r="G220" s="1" t="str">
        <f ca="1">IFERROR(__xludf.DUMMYFUNCTION("""COMPUTED_VALUE"""),"KZ.7700.02.01.00745660 / Действителен до 30.03.2026 / 0321022KZ022 / годен до 30.03.2026")</f>
        <v>KZ.7700.02.01.00745660 / Действителен до 30.03.2026 / 0321022KZ022 / годен до 30.03.2026</v>
      </c>
      <c r="H220" s="1" t="str">
        <f ca="1">IFERROR(__xludf.DUMMYFUNCTION("""COMPUTED_VALUE"""),"Бандаж универсальный 4011 XXXL/XXXXL (Болгария) KZ.7700.02.01.00745660 / Действителен до 30.03.2026 / 0321022KZ022 / годен до 30.03.2026")</f>
        <v>Бандаж универсальный 4011 XXXL/XXXXL (Болгария) KZ.7700.02.01.00745660 / Действителен до 30.03.2026 / 0321022KZ022 / годен до 30.03.2026</v>
      </c>
    </row>
    <row r="221" spans="1:8" ht="12.75" x14ac:dyDescent="0.2">
      <c r="A221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221" s="1" t="str">
        <f ca="1">IFERROR(__xludf.DUMMYFUNCTION("""COMPUTED_VALUE"""),"KZ.7700.02.01.00745655")</f>
        <v>KZ.7700.02.01.00745655</v>
      </c>
      <c r="C221" s="1" t="str">
        <f ca="1">IFERROR(__xludf.DUMMYFUNCTION("""COMPUTED_VALUE"""),"Действителен до 30.03.2026")</f>
        <v>Действителен до 30.03.2026</v>
      </c>
      <c r="D221" s="8" t="str">
        <f ca="1">IFERROR(__xludf.DUMMYFUNCTION("""COMPUTED_VALUE"""),"0321022KZ022")</f>
        <v>0321022KZ022</v>
      </c>
      <c r="E221" s="1" t="str">
        <f ca="1">IFERROR(__xludf.DUMMYFUNCTION("""COMPUTED_VALUE"""),"годен до 30.03.2026")</f>
        <v>годен до 30.03.2026</v>
      </c>
      <c r="F221" s="1" t="str">
        <f ca="1">IFERROR(__xludf.DUMMYFUNCTION("""COMPUTED_VALUE"""),"Бандаж грыжевой лево-и правосторонний 5001 M/L (Болгария) - 0321022KZ022")</f>
        <v>Бандаж грыжевой лево-и правосторонний 5001 M/L (Болгария) - 0321022KZ022</v>
      </c>
      <c r="G221" s="1" t="str">
        <f ca="1">IFERROR(__xludf.DUMMYFUNCTION("""COMPUTED_VALUE"""),"KZ.7700.02.01.00745655 / Действителен до 30.03.2026 / 0321022KZ022 / годен до 30.03.2026")</f>
        <v>KZ.7700.02.01.00745655 / Действителен до 30.03.2026 / 0321022KZ022 / годен до 30.03.2026</v>
      </c>
      <c r="H221" s="1" t="str">
        <f ca="1">IFERROR(__xludf.DUMMYFUNCTION("""COMPUTED_VALUE"""),"Бандаж грыжевой лево-и правосторонний 5001 M/L (Болгария) KZ.7700.02.01.00745655 / Действителен до 30.03.2026 / 0321022KZ022 / годен до 30.03.2026")</f>
        <v>Бандаж грыжевой лево-и правосторонний 5001 M/L (Болгария) KZ.7700.02.01.00745655 / Действителен до 30.03.2026 / 0321022KZ022 / годен до 30.03.2026</v>
      </c>
    </row>
    <row r="222" spans="1:8" ht="12.75" x14ac:dyDescent="0.2">
      <c r="A222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222" s="1" t="str">
        <f ca="1">IFERROR(__xludf.DUMMYFUNCTION("""COMPUTED_VALUE"""),"KZ.7700.02.01.00745657")</f>
        <v>KZ.7700.02.01.00745657</v>
      </c>
      <c r="C222" s="1" t="str">
        <f ca="1">IFERROR(__xludf.DUMMYFUNCTION("""COMPUTED_VALUE"""),"Действителен до 30.03.2026")</f>
        <v>Действителен до 30.03.2026</v>
      </c>
      <c r="D222" s="8" t="str">
        <f ca="1">IFERROR(__xludf.DUMMYFUNCTION("""COMPUTED_VALUE"""),"0321022KZ022")</f>
        <v>0321022KZ022</v>
      </c>
      <c r="E222" s="1" t="str">
        <f ca="1">IFERROR(__xludf.DUMMYFUNCTION("""COMPUTED_VALUE"""),"годен до 30.03.2026")</f>
        <v>годен до 30.03.2026</v>
      </c>
      <c r="F222" s="1" t="str">
        <f ca="1">IFERROR(__xludf.DUMMYFUNCTION("""COMPUTED_VALUE"""),"Бандаж грыжевой лево-и правосторонний 5001 XL/XXL (Болгария) - 0321022KZ022")</f>
        <v>Бандаж грыжевой лево-и правосторонний 5001 XL/XXL (Болгария) - 0321022KZ022</v>
      </c>
      <c r="G222" s="1" t="str">
        <f ca="1">IFERROR(__xludf.DUMMYFUNCTION("""COMPUTED_VALUE"""),"KZ.7700.02.01.00745657 / Действителен до 30.03.2026 / 0321022KZ022 / годен до 30.03.2026")</f>
        <v>KZ.7700.02.01.00745657 / Действителен до 30.03.2026 / 0321022KZ022 / годен до 30.03.2026</v>
      </c>
      <c r="H222" s="1" t="str">
        <f ca="1">IFERROR(__xludf.DUMMYFUNCTION("""COMPUTED_VALUE"""),"Бандаж грыжевой лево-и правосторонний 5001 XL/XXL (Болгария) KZ.7700.02.01.00745657 / Действителен до 30.03.2026 / 0321022KZ022 / годен до 30.03.2026")</f>
        <v>Бандаж грыжевой лево-и правосторонний 5001 XL/XXL (Болгария) KZ.7700.02.01.00745657 / Действителен до 30.03.2026 / 0321022KZ022 / годен до 30.03.2026</v>
      </c>
    </row>
    <row r="223" spans="1:8" ht="12.75" x14ac:dyDescent="0.2">
      <c r="A223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223" s="1" t="str">
        <f ca="1">IFERROR(__xludf.DUMMYFUNCTION("""COMPUTED_VALUE"""),"KZ.7700.02.01.00745661")</f>
        <v>KZ.7700.02.01.00745661</v>
      </c>
      <c r="C223" s="1" t="str">
        <f ca="1">IFERROR(__xludf.DUMMYFUNCTION("""COMPUTED_VALUE"""),"Действителен до 30.03.2026")</f>
        <v>Действителен до 30.03.2026</v>
      </c>
      <c r="D223" s="8" t="str">
        <f ca="1">IFERROR(__xludf.DUMMYFUNCTION("""COMPUTED_VALUE"""),"0321022KZ022")</f>
        <v>0321022KZ022</v>
      </c>
      <c r="E223" s="1" t="str">
        <f ca="1">IFERROR(__xludf.DUMMYFUNCTION("""COMPUTED_VALUE"""),"годен до 30.03.2026")</f>
        <v>годен до 30.03.2026</v>
      </c>
      <c r="F223" s="1" t="str">
        <f ca="1">IFERROR(__xludf.DUMMYFUNCTION("""COMPUTED_VALUE"""),"Бандаж грыжевой лево-и правосторонний 5001 XS/S (Болгария) - 0321022KZ022")</f>
        <v>Бандаж грыжевой лево-и правосторонний 5001 XS/S (Болгария) - 0321022KZ022</v>
      </c>
      <c r="G223" s="1" t="str">
        <f ca="1">IFERROR(__xludf.DUMMYFUNCTION("""COMPUTED_VALUE"""),"KZ.7700.02.01.00745661 / Действителен до 30.03.2026 / 0321022KZ022 / годен до 30.03.2026")</f>
        <v>KZ.7700.02.01.00745661 / Действителен до 30.03.2026 / 0321022KZ022 / годен до 30.03.2026</v>
      </c>
      <c r="H223" s="1" t="str">
        <f ca="1">IFERROR(__xludf.DUMMYFUNCTION("""COMPUTED_VALUE"""),"Бандаж грыжевой лево-и правосторонний 5001 XS/S (Болгария) KZ.7700.02.01.00745661 / Действителен до 30.03.2026 / 0321022KZ022 / годен до 30.03.2026")</f>
        <v>Бандаж грыжевой лево-и правосторонний 5001 XS/S (Болгария) KZ.7700.02.01.00745661 / Действителен до 30.03.2026 / 0321022KZ022 / годен до 30.03.2026</v>
      </c>
    </row>
    <row r="224" spans="1:8" ht="12.75" x14ac:dyDescent="0.2">
      <c r="A224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224" s="1" t="str">
        <f ca="1">IFERROR(__xludf.DUMMYFUNCTION("""COMPUTED_VALUE"""),"KZ.7700.02.01.00745656")</f>
        <v>KZ.7700.02.01.00745656</v>
      </c>
      <c r="C224" s="1" t="str">
        <f ca="1">IFERROR(__xludf.DUMMYFUNCTION("""COMPUTED_VALUE"""),"Действителен до 30.03.2026")</f>
        <v>Действителен до 30.03.2026</v>
      </c>
      <c r="D224" s="8" t="str">
        <f ca="1">IFERROR(__xludf.DUMMYFUNCTION("""COMPUTED_VALUE"""),"0321022KZ022")</f>
        <v>0321022KZ022</v>
      </c>
      <c r="E224" s="1" t="str">
        <f ca="1">IFERROR(__xludf.DUMMYFUNCTION("""COMPUTED_VALUE"""),"годен до 30.03.2026")</f>
        <v>годен до 30.03.2026</v>
      </c>
      <c r="F224" s="1" t="str">
        <f ca="1">IFERROR(__xludf.DUMMYFUNCTION("""COMPUTED_VALUE"""),"Бандаж при пупочной грыже 5051 M/L (Болгария) - 0321022KZ022")</f>
        <v>Бандаж при пупочной грыже 5051 M/L (Болгария) - 0321022KZ022</v>
      </c>
      <c r="G224" s="1" t="str">
        <f ca="1">IFERROR(__xludf.DUMMYFUNCTION("""COMPUTED_VALUE"""),"KZ.7700.02.01.00745656 / Действителен до 30.03.2026 / 0321022KZ022 / годен до 30.03.2026")</f>
        <v>KZ.7700.02.01.00745656 / Действителен до 30.03.2026 / 0321022KZ022 / годен до 30.03.2026</v>
      </c>
      <c r="H224" s="1" t="str">
        <f ca="1">IFERROR(__xludf.DUMMYFUNCTION("""COMPUTED_VALUE"""),"Бандаж при пупочной грыже 5051 M/L (Болгария) KZ.7700.02.01.00745656 / Действителен до 30.03.2026 / 0321022KZ022 / годен до 30.03.2026")</f>
        <v>Бандаж при пупочной грыже 5051 M/L (Болгария) KZ.7700.02.01.00745656 / Действителен до 30.03.2026 / 0321022KZ022 / годен до 30.03.2026</v>
      </c>
    </row>
    <row r="225" spans="1:8" ht="12.75" x14ac:dyDescent="0.2">
      <c r="A225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225" s="1" t="str">
        <f ca="1">IFERROR(__xludf.DUMMYFUNCTION("""COMPUTED_VALUE"""),"KZ.7700.02.01.00745668")</f>
        <v>KZ.7700.02.01.00745668</v>
      </c>
      <c r="C225" s="1" t="str">
        <f ca="1">IFERROR(__xludf.DUMMYFUNCTION("""COMPUTED_VALUE"""),"Действителен до 30.03.2026")</f>
        <v>Действителен до 30.03.2026</v>
      </c>
      <c r="D225" s="8" t="str">
        <f ca="1">IFERROR(__xludf.DUMMYFUNCTION("""COMPUTED_VALUE"""),"0321022KZ022")</f>
        <v>0321022KZ022</v>
      </c>
      <c r="E225" s="1" t="str">
        <f ca="1">IFERROR(__xludf.DUMMYFUNCTION("""COMPUTED_VALUE"""),"годен до 30.03.2026")</f>
        <v>годен до 30.03.2026</v>
      </c>
      <c r="F225" s="1" t="str">
        <f ca="1">IFERROR(__xludf.DUMMYFUNCTION("""COMPUTED_VALUE"""),"Бандаж при пупочной грыже 5051 XL/XXL (Болгария) - 0321022KZ022")</f>
        <v>Бандаж при пупочной грыже 5051 XL/XXL (Болгария) - 0321022KZ022</v>
      </c>
      <c r="G225" s="1" t="str">
        <f ca="1">IFERROR(__xludf.DUMMYFUNCTION("""COMPUTED_VALUE"""),"KZ.7700.02.01.00745668 / Действителен до 30.03.2026 / 0321022KZ022 / годен до 30.03.2026")</f>
        <v>KZ.7700.02.01.00745668 / Действителен до 30.03.2026 / 0321022KZ022 / годен до 30.03.2026</v>
      </c>
      <c r="H225" s="1" t="str">
        <f ca="1">IFERROR(__xludf.DUMMYFUNCTION("""COMPUTED_VALUE"""),"Бандаж при пупочной грыже 5051 XL/XXL (Болгария) KZ.7700.02.01.00745668 / Действителен до 30.03.2026 / 0321022KZ022 / годен до 30.03.2026")</f>
        <v>Бандаж при пупочной грыже 5051 XL/XXL (Болгария) KZ.7700.02.01.00745668 / Действителен до 30.03.2026 / 0321022KZ022 / годен до 30.03.2026</v>
      </c>
    </row>
    <row r="226" spans="1:8" ht="12.75" x14ac:dyDescent="0.2">
      <c r="A226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226" s="1" t="str">
        <f ca="1">IFERROR(__xludf.DUMMYFUNCTION("""COMPUTED_VALUE"""),"KZ.7700.02.01.00745674")</f>
        <v>KZ.7700.02.01.00745674</v>
      </c>
      <c r="C226" s="1" t="str">
        <f ca="1">IFERROR(__xludf.DUMMYFUNCTION("""COMPUTED_VALUE"""),"Действителен до 30.03.2026")</f>
        <v>Действителен до 30.03.2026</v>
      </c>
      <c r="D226" s="8" t="str">
        <f ca="1">IFERROR(__xludf.DUMMYFUNCTION("""COMPUTED_VALUE"""),"0321022KZ022")</f>
        <v>0321022KZ022</v>
      </c>
      <c r="E226" s="1" t="str">
        <f ca="1">IFERROR(__xludf.DUMMYFUNCTION("""COMPUTED_VALUE"""),"годен до 30.03.2026")</f>
        <v>годен до 30.03.2026</v>
      </c>
      <c r="F226" s="1" t="str">
        <f ca="1">IFERROR(__xludf.DUMMYFUNCTION("""COMPUTED_VALUE"""),"Бандаж при пупочной грыже 5051 XXXL/XXXXL (Болгария) - 0321022KZ022")</f>
        <v>Бандаж при пупочной грыже 5051 XXXL/XXXXL (Болгария) - 0321022KZ022</v>
      </c>
      <c r="G226" s="1" t="str">
        <f ca="1">IFERROR(__xludf.DUMMYFUNCTION("""COMPUTED_VALUE"""),"KZ.7700.02.01.00745674 / Действителен до 30.03.2026 / 0321022KZ022 / годен до 30.03.2026")</f>
        <v>KZ.7700.02.01.00745674 / Действителен до 30.03.2026 / 0321022KZ022 / годен до 30.03.2026</v>
      </c>
      <c r="H226" s="1" t="str">
        <f ca="1">IFERROR(__xludf.DUMMYFUNCTION("""COMPUTED_VALUE"""),"Бандаж при пупочной грыже 5051 XXXL/XXXXL (Болгария) KZ.7700.02.01.00745674 / Действителен до 30.03.2026 / 0321022KZ022 / годен до 30.03.2026")</f>
        <v>Бандаж при пупочной грыже 5051 XXXL/XXXXL (Болгария) KZ.7700.02.01.00745674 / Действителен до 30.03.2026 / 0321022KZ022 / годен до 30.03.2026</v>
      </c>
    </row>
    <row r="227" spans="1:8" ht="12.75" x14ac:dyDescent="0.2">
      <c r="A227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227" s="1" t="str">
        <f ca="1">IFERROR(__xludf.DUMMYFUNCTION("""COMPUTED_VALUE"""),"KZ.7700.02.01.00745673")</f>
        <v>KZ.7700.02.01.00745673</v>
      </c>
      <c r="C227" s="1" t="str">
        <f ca="1">IFERROR(__xludf.DUMMYFUNCTION("""COMPUTED_VALUE"""),"Действителен до 30.03.2026")</f>
        <v>Действителен до 30.03.2026</v>
      </c>
      <c r="D227" s="8" t="str">
        <f ca="1">IFERROR(__xludf.DUMMYFUNCTION("""COMPUTED_VALUE"""),"0321022KZ022")</f>
        <v>0321022KZ022</v>
      </c>
      <c r="E227" s="1" t="str">
        <f ca="1">IFERROR(__xludf.DUMMYFUNCTION("""COMPUTED_VALUE"""),"годен до 30.03.2026")</f>
        <v>годен до 30.03.2026</v>
      </c>
      <c r="F227" s="1" t="str">
        <f ca="1">IFERROR(__xludf.DUMMYFUNCTION("""COMPUTED_VALUE"""),"Бандаж на коленный сустав эластичный 6040 L (Болгария) - 0321022KZ022")</f>
        <v>Бандаж на коленный сустав эластичный 6040 L (Болгария) - 0321022KZ022</v>
      </c>
      <c r="G227" s="1" t="str">
        <f ca="1">IFERROR(__xludf.DUMMYFUNCTION("""COMPUTED_VALUE"""),"KZ.7700.02.01.00745673 / Действителен до 30.03.2026 / 0321022KZ022 / годен до 30.03.2026")</f>
        <v>KZ.7700.02.01.00745673 / Действителен до 30.03.2026 / 0321022KZ022 / годен до 30.03.2026</v>
      </c>
      <c r="H227" s="1" t="str">
        <f ca="1">IFERROR(__xludf.DUMMYFUNCTION("""COMPUTED_VALUE"""),"Бандаж на коленный сустав эластичный 6040 L (Болгария) KZ.7700.02.01.00745673 / Действителен до 30.03.2026 / 0321022KZ022 / годен до 30.03.2026")</f>
        <v>Бандаж на коленный сустав эластичный 6040 L (Болгария) KZ.7700.02.01.00745673 / Действителен до 30.03.2026 / 0321022KZ022 / годен до 30.03.2026</v>
      </c>
    </row>
    <row r="228" spans="1:8" ht="12.75" x14ac:dyDescent="0.2">
      <c r="A228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228" s="1" t="str">
        <f ca="1">IFERROR(__xludf.DUMMYFUNCTION("""COMPUTED_VALUE"""),"KZ.7700.02.01.00745670")</f>
        <v>KZ.7700.02.01.00745670</v>
      </c>
      <c r="C228" s="1" t="str">
        <f ca="1">IFERROR(__xludf.DUMMYFUNCTION("""COMPUTED_VALUE"""),"Действителен до 30.03.2026")</f>
        <v>Действителен до 30.03.2026</v>
      </c>
      <c r="D228" s="8" t="str">
        <f ca="1">IFERROR(__xludf.DUMMYFUNCTION("""COMPUTED_VALUE"""),"0321022KZ022")</f>
        <v>0321022KZ022</v>
      </c>
      <c r="E228" s="1" t="str">
        <f ca="1">IFERROR(__xludf.DUMMYFUNCTION("""COMPUTED_VALUE"""),"годен до 30.03.2026")</f>
        <v>годен до 30.03.2026</v>
      </c>
      <c r="F228" s="1" t="str">
        <f ca="1">IFERROR(__xludf.DUMMYFUNCTION("""COMPUTED_VALUE"""),"Бандаж на коленный сустав эластичный 6040 M (Болгария) - 0321022KZ022")</f>
        <v>Бандаж на коленный сустав эластичный 6040 M (Болгария) - 0321022KZ022</v>
      </c>
      <c r="G228" s="1" t="str">
        <f ca="1">IFERROR(__xludf.DUMMYFUNCTION("""COMPUTED_VALUE"""),"KZ.7700.02.01.00745670 / Действителен до 30.03.2026 / 0321022KZ022 / годен до 30.03.2026")</f>
        <v>KZ.7700.02.01.00745670 / Действителен до 30.03.2026 / 0321022KZ022 / годен до 30.03.2026</v>
      </c>
      <c r="H228" s="1" t="str">
        <f ca="1">IFERROR(__xludf.DUMMYFUNCTION("""COMPUTED_VALUE"""),"Бандаж на коленный сустав эластичный 6040 M (Болгария) KZ.7700.02.01.00745670 / Действителен до 30.03.2026 / 0321022KZ022 / годен до 30.03.2026")</f>
        <v>Бандаж на коленный сустав эластичный 6040 M (Болгария) KZ.7700.02.01.00745670 / Действителен до 30.03.2026 / 0321022KZ022 / годен до 30.03.2026</v>
      </c>
    </row>
    <row r="229" spans="1:8" ht="12.75" x14ac:dyDescent="0.2">
      <c r="A229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229" s="1" t="str">
        <f ca="1">IFERROR(__xludf.DUMMYFUNCTION("""COMPUTED_VALUE"""),"KZ.7700.02.01.00745666")</f>
        <v>KZ.7700.02.01.00745666</v>
      </c>
      <c r="C229" s="1" t="str">
        <f ca="1">IFERROR(__xludf.DUMMYFUNCTION("""COMPUTED_VALUE"""),"Действителен до 30.03.2026")</f>
        <v>Действителен до 30.03.2026</v>
      </c>
      <c r="D229" s="8" t="str">
        <f ca="1">IFERROR(__xludf.DUMMYFUNCTION("""COMPUTED_VALUE"""),"0321022KZ022")</f>
        <v>0321022KZ022</v>
      </c>
      <c r="E229" s="1" t="str">
        <f ca="1">IFERROR(__xludf.DUMMYFUNCTION("""COMPUTED_VALUE"""),"годен до 30.03.2026")</f>
        <v>годен до 30.03.2026</v>
      </c>
      <c r="F229" s="1" t="str">
        <f ca="1">IFERROR(__xludf.DUMMYFUNCTION("""COMPUTED_VALUE"""),"Бандаж на коленный сустав эластичный 6040 S (Болгария) - 0321022KZ022")</f>
        <v>Бандаж на коленный сустав эластичный 6040 S (Болгария) - 0321022KZ022</v>
      </c>
      <c r="G229" s="1" t="str">
        <f ca="1">IFERROR(__xludf.DUMMYFUNCTION("""COMPUTED_VALUE"""),"KZ.7700.02.01.00745666 / Действителен до 30.03.2026 / 0321022KZ022 / годен до 30.03.2026")</f>
        <v>KZ.7700.02.01.00745666 / Действителен до 30.03.2026 / 0321022KZ022 / годен до 30.03.2026</v>
      </c>
      <c r="H229" s="1" t="str">
        <f ca="1">IFERROR(__xludf.DUMMYFUNCTION("""COMPUTED_VALUE"""),"Бандаж на коленный сустав эластичный 6040 S (Болгария) KZ.7700.02.01.00745666 / Действителен до 30.03.2026 / 0321022KZ022 / годен до 30.03.2026")</f>
        <v>Бандаж на коленный сустав эластичный 6040 S (Болгария) KZ.7700.02.01.00745666 / Действителен до 30.03.2026 / 0321022KZ022 / годен до 30.03.2026</v>
      </c>
    </row>
    <row r="230" spans="1:8" ht="12.75" x14ac:dyDescent="0.2">
      <c r="A230" s="1" t="str">
        <f ca="1">IFERROR(__xludf.DUMMYFUNCTION("""COMPUTED_VALUE"""),"DOLPHI 3 в 1 №3 Презервативы латексные")</f>
        <v>DOLPHI 3 в 1 №3 Презервативы латексные</v>
      </c>
      <c r="B230" s="1" t="str">
        <f ca="1">IFERROR(__xludf.DUMMYFUNCTION("""COMPUTED_VALUE"""),"KZ.7700.02.01.00746727")</f>
        <v>KZ.7700.02.01.00746727</v>
      </c>
      <c r="C230" s="1" t="str">
        <f ca="1">IFERROR(__xludf.DUMMYFUNCTION("""COMPUTED_VALUE"""),"Действителен до 01.12.2025")</f>
        <v>Действителен до 01.12.2025</v>
      </c>
      <c r="D230" s="8" t="str">
        <f ca="1">IFERROR(__xludf.DUMMYFUNCTION("""COMPUTED_VALUE"""),"2011TNI2671")</f>
        <v>2011TNI2671</v>
      </c>
      <c r="E230" s="1" t="str">
        <f ca="1">IFERROR(__xludf.DUMMYFUNCTION("""COMPUTED_VALUE"""),"годен до 11.2025")</f>
        <v>годен до 11.2025</v>
      </c>
      <c r="F230" s="1" t="str">
        <f ca="1">IFERROR(__xludf.DUMMYFUNCTION("""COMPUTED_VALUE"""),"DOLPHI 3 в 1 №3 Презервативы латексные - 2011TNI2671")</f>
        <v>DOLPHI 3 в 1 №3 Презервативы латексные - 2011TNI2671</v>
      </c>
      <c r="G230" s="1" t="str">
        <f ca="1">IFERROR(__xludf.DUMMYFUNCTION("""COMPUTED_VALUE"""),"KZ.7700.02.01.00746727 / Действителен до 01.12.2025 / 2011TNI2671 / годен до 11.2025")</f>
        <v>KZ.7700.02.01.00746727 / Действителен до 01.12.2025 / 2011TNI2671 / годен до 11.2025</v>
      </c>
      <c r="H230" s="1" t="str">
        <f ca="1">IFERROR(__xludf.DUMMYFUNCTION("""COMPUTED_VALUE"""),"DOLPHI 3 в 1 №3 Презервативы латексные KZ.7700.02.01.00746727 / Действителен до 01.12.2025 / 2011TNI2671 / годен до 11.2025")</f>
        <v>DOLPHI 3 в 1 №3 Презервативы латексные KZ.7700.02.01.00746727 / Действителен до 01.12.2025 / 2011TNI2671 / годен до 11.2025</v>
      </c>
    </row>
    <row r="231" spans="1:8" ht="12.75" x14ac:dyDescent="0.2">
      <c r="A231" s="1" t="str">
        <f ca="1">IFERROR(__xludf.DUMMYFUNCTION("""COMPUTED_VALUE"""),"DOLPHI 3 в 1 №12 Презервативы латексные")</f>
        <v>DOLPHI 3 в 1 №12 Презервативы латексные</v>
      </c>
      <c r="B231" s="1" t="str">
        <f ca="1">IFERROR(__xludf.DUMMYFUNCTION("""COMPUTED_VALUE"""),"KZ.7700.02.01.00746728")</f>
        <v>KZ.7700.02.01.00746728</v>
      </c>
      <c r="C231" s="1" t="str">
        <f ca="1">IFERROR(__xludf.DUMMYFUNCTION("""COMPUTED_VALUE"""),"Действителен до 01.12.2025")</f>
        <v>Действителен до 01.12.2025</v>
      </c>
      <c r="D231" s="8" t="str">
        <f ca="1">IFERROR(__xludf.DUMMYFUNCTION("""COMPUTED_VALUE"""),"2011TNI2671")</f>
        <v>2011TNI2671</v>
      </c>
      <c r="E231" s="1" t="str">
        <f ca="1">IFERROR(__xludf.DUMMYFUNCTION("""COMPUTED_VALUE"""),"годен до 11.2025")</f>
        <v>годен до 11.2025</v>
      </c>
      <c r="F231" s="1" t="str">
        <f ca="1">IFERROR(__xludf.DUMMYFUNCTION("""COMPUTED_VALUE"""),"DOLPHI 3 в 1 №12 Презервативы латексные - 2011TNI2671")</f>
        <v>DOLPHI 3 в 1 №12 Презервативы латексные - 2011TNI2671</v>
      </c>
      <c r="G231" s="1" t="str">
        <f ca="1">IFERROR(__xludf.DUMMYFUNCTION("""COMPUTED_VALUE"""),"KZ.7700.02.01.00746728 / Действителен до 01.12.2025 / 2011TNI2671 / годен до 11.2025")</f>
        <v>KZ.7700.02.01.00746728 / Действителен до 01.12.2025 / 2011TNI2671 / годен до 11.2025</v>
      </c>
      <c r="H231" s="1" t="str">
        <f ca="1">IFERROR(__xludf.DUMMYFUNCTION("""COMPUTED_VALUE"""),"DOLPHI 3 в 1 №12 Презервативы латексные KZ.7700.02.01.00746728 / Действителен до 01.12.2025 / 2011TNI2671 / годен до 11.2025")</f>
        <v>DOLPHI 3 в 1 №12 Презервативы латексные KZ.7700.02.01.00746728 / Действителен до 01.12.2025 / 2011TNI2671 / годен до 11.2025</v>
      </c>
    </row>
    <row r="232" spans="1:8" ht="12.75" x14ac:dyDescent="0.2">
      <c r="A232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32" s="1" t="str">
        <f ca="1">IFERROR(__xludf.DUMMYFUNCTION("""COMPUTED_VALUE"""),"KZ.7700.02.01.00746726")</f>
        <v>KZ.7700.02.01.00746726</v>
      </c>
      <c r="C232" s="1" t="str">
        <f ca="1">IFERROR(__xludf.DUMMYFUNCTION("""COMPUTED_VALUE"""),"Действителен до 01.11.2025")</f>
        <v>Действителен до 01.11.2025</v>
      </c>
      <c r="D232" s="8" t="str">
        <f ca="1">IFERROR(__xludf.DUMMYFUNCTION("""COMPUTED_VALUE"""),"2010TNI2508")</f>
        <v>2010TNI2508</v>
      </c>
      <c r="E232" s="1" t="str">
        <f ca="1">IFERROR(__xludf.DUMMYFUNCTION("""COMPUTED_VALUE"""),"годен до 10.2025")</f>
        <v>годен до 10.2025</v>
      </c>
      <c r="F232" s="1" t="str">
        <f ca="1">IFERROR(__xludf.DUMMYFUNCTION("""COMPUTED_VALUE"""),"DOLPHI анатомические ультратонкие Презервативы латексные, № 3 - 2010TNI2508")</f>
        <v>DOLPHI анатомические ультратонкие Презервативы латексные, № 3 - 2010TNI2508</v>
      </c>
      <c r="G232" s="1" t="str">
        <f ca="1">IFERROR(__xludf.DUMMYFUNCTION("""COMPUTED_VALUE"""),"KZ.7700.02.01.00746726 / Действителен до 01.11.2025 / 2010TNI2508 / годен до 10.2025")</f>
        <v>KZ.7700.02.01.00746726 / Действителен до 01.11.2025 / 2010TNI2508 / годен до 10.2025</v>
      </c>
      <c r="H232" s="1" t="str">
        <f ca="1">IFERROR(__xludf.DUMMYFUNCTION("""COMPUTED_VALUE"""),"DOLPHI анатомические ультратонкие Презервативы латексные, № 3 KZ.7700.02.01.00746726 / Действителен до 01.11.2025 / 2010TNI2508 / годен до 10.2025")</f>
        <v>DOLPHI анатомические ультратонкие Презервативы латексные, № 3 KZ.7700.02.01.00746726 / Действителен до 01.11.2025 / 2010TNI2508 / годен до 10.2025</v>
      </c>
    </row>
    <row r="233" spans="1:8" ht="12.75" x14ac:dyDescent="0.2">
      <c r="A233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233" s="1" t="str">
        <f ca="1">IFERROR(__xludf.DUMMYFUNCTION("""COMPUTED_VALUE"""),"KZ.7700.02.01.00746735")</f>
        <v>KZ.7700.02.01.00746735</v>
      </c>
      <c r="C233" s="1" t="str">
        <f ca="1">IFERROR(__xludf.DUMMYFUNCTION("""COMPUTED_VALUE"""),"Действителен до 01.11.2025")</f>
        <v>Действителен до 01.11.2025</v>
      </c>
      <c r="D233" s="8" t="str">
        <f ca="1">IFERROR(__xludf.DUMMYFUNCTION("""COMPUTED_VALUE"""),"2010TNI2508")</f>
        <v>2010TNI2508</v>
      </c>
      <c r="E233" s="1" t="str">
        <f ca="1">IFERROR(__xludf.DUMMYFUNCTION("""COMPUTED_VALUE"""),"годен до 10.2025")</f>
        <v>годен до 10.2025</v>
      </c>
      <c r="F233" s="1" t="str">
        <f ca="1">IFERROR(__xludf.DUMMYFUNCTION("""COMPUTED_VALUE"""),"DOLPHI анатомические ультратонкие, №12 Презервативы латексные - 2010TNI2508")</f>
        <v>DOLPHI анатомические ультратонкие, №12 Презервативы латексные - 2010TNI2508</v>
      </c>
      <c r="G233" s="1" t="str">
        <f ca="1">IFERROR(__xludf.DUMMYFUNCTION("""COMPUTED_VALUE"""),"KZ.7700.02.01.00746735 / Действителен до 01.11.2025 / 2010TNI2508 / годен до 10.2025")</f>
        <v>KZ.7700.02.01.00746735 / Действителен до 01.11.2025 / 2010TNI2508 / годен до 10.2025</v>
      </c>
      <c r="H233" s="1" t="str">
        <f ca="1">IFERROR(__xludf.DUMMYFUNCTION("""COMPUTED_VALUE"""),"DOLPHI анатомические ультратонкие, №12 Презервативы латексные KZ.7700.02.01.00746735 / Действителен до 01.11.2025 / 2010TNI2508 / годен до 10.2025")</f>
        <v>DOLPHI анатомические ультратонкие, №12 Презервативы латексные KZ.7700.02.01.00746735 / Действителен до 01.11.2025 / 2010TNI2508 / годен до 10.2025</v>
      </c>
    </row>
    <row r="234" spans="1:8" ht="12.75" x14ac:dyDescent="0.2">
      <c r="A234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234" s="1" t="str">
        <f ca="1">IFERROR(__xludf.DUMMYFUNCTION("""COMPUTED_VALUE"""),"KZ.7700.02.01.00746720")</f>
        <v>KZ.7700.02.01.00746720</v>
      </c>
      <c r="C234" s="1" t="str">
        <f ca="1">IFERROR(__xludf.DUMMYFUNCTION("""COMPUTED_VALUE"""),"Действителен до 01.12.2025")</f>
        <v>Действителен до 01.12.2025</v>
      </c>
      <c r="D234" s="8" t="str">
        <f ca="1">IFERROR(__xludf.DUMMYFUNCTION("""COMPUTED_VALUE"""),"2011TNI2491")</f>
        <v>2011TNI2491</v>
      </c>
      <c r="E234" s="1" t="str">
        <f ca="1">IFERROR(__xludf.DUMMYFUNCTION("""COMPUTED_VALUE"""),"годен до 11.2025")</f>
        <v>годен до 11.2025</v>
      </c>
      <c r="F234" s="1" t="str">
        <f ca="1">IFERROR(__xludf.DUMMYFUNCTION("""COMPUTED_VALUE"""),"DOLPHI Класические №3 Презервативы латексные - 2011TNI2491")</f>
        <v>DOLPHI Класические №3 Презервативы латексные - 2011TNI2491</v>
      </c>
      <c r="G234" s="1" t="str">
        <f ca="1">IFERROR(__xludf.DUMMYFUNCTION("""COMPUTED_VALUE"""),"KZ.7700.02.01.00746720 / Действителен до 01.12.2025 / 2011TNI2491 / годен до 11.2025")</f>
        <v>KZ.7700.02.01.00746720 / Действителен до 01.12.2025 / 2011TNI2491 / годен до 11.2025</v>
      </c>
      <c r="H234" s="1" t="str">
        <f ca="1">IFERROR(__xludf.DUMMYFUNCTION("""COMPUTED_VALUE"""),"DOLPHI Класические №3 Презервативы латексные KZ.7700.02.01.00746720 / Действителен до 01.12.2025 / 2011TNI2491 / годен до 11.2025")</f>
        <v>DOLPHI Класические №3 Презервативы латексные KZ.7700.02.01.00746720 / Действителен до 01.12.2025 / 2011TNI2491 / годен до 11.2025</v>
      </c>
    </row>
    <row r="235" spans="1:8" ht="12.75" x14ac:dyDescent="0.2">
      <c r="A235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235" s="1" t="str">
        <f ca="1">IFERROR(__xludf.DUMMYFUNCTION("""COMPUTED_VALUE"""),"KZ.7700.02.01.00746723")</f>
        <v>KZ.7700.02.01.00746723</v>
      </c>
      <c r="C235" s="1" t="str">
        <f ca="1">IFERROR(__xludf.DUMMYFUNCTION("""COMPUTED_VALUE"""),"Действителен до 01.01.2026")</f>
        <v>Действителен до 01.01.2026</v>
      </c>
      <c r="D235" s="8" t="str">
        <f ca="1">IFERROR(__xludf.DUMMYFUNCTION("""COMPUTED_VALUE"""),"2012TNI2652")</f>
        <v>2012TNI2652</v>
      </c>
      <c r="E235" s="1" t="str">
        <f ca="1">IFERROR(__xludf.DUMMYFUNCTION("""COMPUTED_VALUE"""),"годен до 12.2025")</f>
        <v>годен до 12.2025</v>
      </c>
      <c r="F235" s="1" t="str">
        <f ca="1">IFERROR(__xludf.DUMMYFUNCTION("""COMPUTED_VALUE"""),"DOLPHI классические, №12 Презервативы латексные - 2012TNI2652")</f>
        <v>DOLPHI классические, №12 Презервативы латексные - 2012TNI2652</v>
      </c>
      <c r="G235" s="1" t="str">
        <f ca="1">IFERROR(__xludf.DUMMYFUNCTION("""COMPUTED_VALUE"""),"KZ.7700.02.01.00746723 / Действителен до 01.01.2026 / 2012TNI2652 / годен до 12.2025")</f>
        <v>KZ.7700.02.01.00746723 / Действителен до 01.01.2026 / 2012TNI2652 / годен до 12.2025</v>
      </c>
      <c r="H235" s="1" t="str">
        <f ca="1">IFERROR(__xludf.DUMMYFUNCTION("""COMPUTED_VALUE"""),"DOLPHI классические, №12 Презервативы латексные KZ.7700.02.01.00746723 / Действителен до 01.01.2026 / 2012TNI2652 / годен до 12.2025")</f>
        <v>DOLPHI классические, №12 Презервативы латексные KZ.7700.02.01.00746723 / Действителен до 01.01.2026 / 2012TNI2652 / годен до 12.2025</v>
      </c>
    </row>
    <row r="236" spans="1:8" ht="12.75" x14ac:dyDescent="0.2">
      <c r="A236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36" s="1" t="str">
        <f ca="1">IFERROR(__xludf.DUMMYFUNCTION("""COMPUTED_VALUE"""),"KZ.7700.02.01.00746722")</f>
        <v>KZ.7700.02.01.00746722</v>
      </c>
      <c r="C236" s="1" t="str">
        <f ca="1">IFERROR(__xludf.DUMMYFUNCTION("""COMPUTED_VALUE"""),"Действителен до 01.02.2026")</f>
        <v>Действителен до 01.02.2026</v>
      </c>
      <c r="D236" s="8" t="str">
        <f ca="1">IFERROR(__xludf.DUMMYFUNCTION("""COMPUTED_VALUE"""),"2101TNI2821")</f>
        <v>2101TNI2821</v>
      </c>
      <c r="E236" s="1" t="str">
        <f ca="1">IFERROR(__xludf.DUMMYFUNCTION("""COMPUTED_VALUE"""),"годен до 01.2026")</f>
        <v>годен до 01.2026</v>
      </c>
      <c r="F236" s="1" t="str">
        <f ca="1">IFERROR(__xludf.DUMMYFUNCTION("""COMPUTED_VALUE"""),"DOLPHI ультратонкие №3 Презервативы латескные - 2101TNI2821")</f>
        <v>DOLPHI ультратонкие №3 Презервативы латескные - 2101TNI2821</v>
      </c>
      <c r="G236" s="1" t="str">
        <f ca="1">IFERROR(__xludf.DUMMYFUNCTION("""COMPUTED_VALUE"""),"KZ.7700.02.01.00746722 / Действителен до 01.02.2026 / 2101TNI2821 / годен до 01.2026")</f>
        <v>KZ.7700.02.01.00746722 / Действителен до 01.02.2026 / 2101TNI2821 / годен до 01.2026</v>
      </c>
      <c r="H236" s="1" t="str">
        <f ca="1">IFERROR(__xludf.DUMMYFUNCTION("""COMPUTED_VALUE"""),"DOLPHI ультратонкие №3 Презервативы латескные KZ.7700.02.01.00746722 / Действителен до 01.02.2026 / 2101TNI2821 / годен до 01.2026")</f>
        <v>DOLPHI ультратонкие №3 Презервативы латескные KZ.7700.02.01.00746722 / Действителен до 01.02.2026 / 2101TNI2821 / годен до 01.2026</v>
      </c>
    </row>
    <row r="237" spans="1:8" ht="12.75" x14ac:dyDescent="0.2">
      <c r="A237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37" s="1" t="str">
        <f ca="1">IFERROR(__xludf.DUMMYFUNCTION("""COMPUTED_VALUE"""),"KZ.7700.02.01.00746724")</f>
        <v>KZ.7700.02.01.00746724</v>
      </c>
      <c r="C237" s="1" t="str">
        <f ca="1">IFERROR(__xludf.DUMMYFUNCTION("""COMPUTED_VALUE"""),"Действителен до 01.02.2026")</f>
        <v>Действителен до 01.02.2026</v>
      </c>
      <c r="D237" s="8" t="str">
        <f ca="1">IFERROR(__xludf.DUMMYFUNCTION("""COMPUTED_VALUE"""),"2101TNI2821")</f>
        <v>2101TNI2821</v>
      </c>
      <c r="E237" s="1" t="str">
        <f ca="1">IFERROR(__xludf.DUMMYFUNCTION("""COMPUTED_VALUE"""),"годен до 01.2026")</f>
        <v>годен до 01.2026</v>
      </c>
      <c r="F237" s="1" t="str">
        <f ca="1">IFERROR(__xludf.DUMMYFUNCTION("""COMPUTED_VALUE"""),"DOLPHI ультратонкие №12 Презервативы латексные - 2101TNI2821")</f>
        <v>DOLPHI ультратонкие №12 Презервативы латексные - 2101TNI2821</v>
      </c>
      <c r="G237" s="1" t="str">
        <f ca="1">IFERROR(__xludf.DUMMYFUNCTION("""COMPUTED_VALUE"""),"KZ.7700.02.01.00746724 / Действителен до 01.02.2026 / 2101TNI2821 / годен до 01.2026")</f>
        <v>KZ.7700.02.01.00746724 / Действителен до 01.02.2026 / 2101TNI2821 / годен до 01.2026</v>
      </c>
      <c r="H237" s="1" t="str">
        <f ca="1">IFERROR(__xludf.DUMMYFUNCTION("""COMPUTED_VALUE"""),"DOLPHI ультратонкие №12 Презервативы латексные KZ.7700.02.01.00746724 / Действителен до 01.02.2026 / 2101TNI2821 / годен до 01.2026")</f>
        <v>DOLPHI ультратонкие №12 Презервативы латексные KZ.7700.02.01.00746724 / Действителен до 01.02.2026 / 2101TNI2821 / годен до 01.2026</v>
      </c>
    </row>
    <row r="238" spans="1:8" ht="12.75" x14ac:dyDescent="0.2">
      <c r="A238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238" s="1" t="str">
        <f ca="1">IFERROR(__xludf.DUMMYFUNCTION("""COMPUTED_VALUE"""),"KZ.7700.02.01.00746737")</f>
        <v>KZ.7700.02.01.00746737</v>
      </c>
      <c r="C238" s="1" t="str">
        <f ca="1">IFERROR(__xludf.DUMMYFUNCTION("""COMPUTED_VALUE"""),"Действителен до 01.02.2026")</f>
        <v>Действителен до 01.02.2026</v>
      </c>
      <c r="D238" s="8" t="str">
        <f ca="1">IFERROR(__xludf.DUMMYFUNCTION("""COMPUTED_VALUE"""),"2101TNI2653")</f>
        <v>2101TNI2653</v>
      </c>
      <c r="E238" s="1" t="str">
        <f ca="1">IFERROR(__xludf.DUMMYFUNCTION("""COMPUTED_VALUE"""),"годен до 01.2026")</f>
        <v>годен до 01.2026</v>
      </c>
      <c r="F238" s="1" t="str">
        <f ca="1">IFERROR(__xludf.DUMMYFUNCTION("""COMPUTED_VALUE"""),"Sexxxy классические №3 Презервативы латексные - 2101TNI2653")</f>
        <v>Sexxxy классические №3 Презервативы латексные - 2101TNI2653</v>
      </c>
      <c r="G238" s="1" t="str">
        <f ca="1">IFERROR(__xludf.DUMMYFUNCTION("""COMPUTED_VALUE"""),"KZ.7700.02.01.00746737 / Действителен до 01.02.2026 / 2101TNI2653 / годен до 01.2026")</f>
        <v>KZ.7700.02.01.00746737 / Действителен до 01.02.2026 / 2101TNI2653 / годен до 01.2026</v>
      </c>
      <c r="H238" s="1" t="str">
        <f ca="1">IFERROR(__xludf.DUMMYFUNCTION("""COMPUTED_VALUE"""),"Sexxxy классические №3 Презервативы латексные KZ.7700.02.01.00746737 / Действителен до 01.02.2026 / 2101TNI2653 / годен до 01.2026")</f>
        <v>Sexxxy классические №3 Презервативы латексные KZ.7700.02.01.00746737 / Действителен до 01.02.2026 / 2101TNI2653 / годен до 01.2026</v>
      </c>
    </row>
    <row r="239" spans="1:8" ht="12.75" x14ac:dyDescent="0.2">
      <c r="A239" s="1" t="str">
        <f ca="1">IFERROR(__xludf.DUMMYFUNCTION("""COMPUTED_VALUE"""),"DOLPHI 3 в 1 №3 Презервативы латексные")</f>
        <v>DOLPHI 3 в 1 №3 Презервативы латексные</v>
      </c>
      <c r="B239" s="1" t="str">
        <f ca="1">IFERROR(__xludf.DUMMYFUNCTION("""COMPUTED_VALUE"""),"KZ.7700.02.01.00713214")</f>
        <v>KZ.7700.02.01.00713214</v>
      </c>
      <c r="C239" s="1" t="str">
        <f ca="1">IFERROR(__xludf.DUMMYFUNCTION("""COMPUTED_VALUE"""),"Действителен до 01.11.2025")</f>
        <v>Действителен до 01.11.2025</v>
      </c>
      <c r="D239" s="8" t="str">
        <f ca="1">IFERROR(__xludf.DUMMYFUNCTION("""COMPUTED_VALUE"""),"2010TNI2670")</f>
        <v>2010TNI2670</v>
      </c>
      <c r="E239" s="1" t="str">
        <f ca="1">IFERROR(__xludf.DUMMYFUNCTION("""COMPUTED_VALUE"""),"годен до 10.2025 ")</f>
        <v xml:space="preserve">годен до 10.2025 </v>
      </c>
      <c r="F239" s="1" t="str">
        <f ca="1">IFERROR(__xludf.DUMMYFUNCTION("""COMPUTED_VALUE"""),"DOLPHI 3 в 1 №3 Презервативы латексные - 2010TNI2670")</f>
        <v>DOLPHI 3 в 1 №3 Презервативы латексные - 2010TNI2670</v>
      </c>
      <c r="G239" s="1" t="str">
        <f ca="1">IFERROR(__xludf.DUMMYFUNCTION("""COMPUTED_VALUE"""),"KZ.7700.02.01.00713214 / Действителен до 01.11.2025 / 2010TNI2670 / годен до 10.2025 ")</f>
        <v xml:space="preserve">KZ.7700.02.01.00713214 / Действителен до 01.11.2025 / 2010TNI2670 / годен до 10.2025 </v>
      </c>
      <c r="H239" s="1" t="str">
        <f ca="1">IFERROR(__xludf.DUMMYFUNCTION("""COMPUTED_VALUE"""),"DOLPHI 3 в 1 №3 Презервативы латексные KZ.7700.02.01.00713214 / Действителен до 01.11.2025 / 2010TNI2670 / годен до 10.2025 ")</f>
        <v xml:space="preserve">DOLPHI 3 в 1 №3 Презервативы латексные KZ.7700.02.01.00713214 / Действителен до 01.11.2025 / 2010TNI2670 / годен до 10.2025 </v>
      </c>
    </row>
    <row r="240" spans="1:8" ht="12.75" x14ac:dyDescent="0.2">
      <c r="A240" s="1" t="str">
        <f ca="1">IFERROR(__xludf.DUMMYFUNCTION("""COMPUTED_VALUE"""),"DOLPHI 3 в 1 №12 Презервативы латексные")</f>
        <v>DOLPHI 3 в 1 №12 Презервативы латексные</v>
      </c>
      <c r="B240" s="1" t="str">
        <f ca="1">IFERROR(__xludf.DUMMYFUNCTION("""COMPUTED_VALUE"""),"KZ.7700.02.01.00713210")</f>
        <v>KZ.7700.02.01.00713210</v>
      </c>
      <c r="C240" s="1" t="str">
        <f ca="1">IFERROR(__xludf.DUMMYFUNCTION("""COMPUTED_VALUE"""),"Действителен до 01.11.2025")</f>
        <v>Действителен до 01.11.2025</v>
      </c>
      <c r="D240" s="8" t="str">
        <f ca="1">IFERROR(__xludf.DUMMYFUNCTION("""COMPUTED_VALUE"""),"2010TNI2670")</f>
        <v>2010TNI2670</v>
      </c>
      <c r="E240" s="1" t="str">
        <f ca="1">IFERROR(__xludf.DUMMYFUNCTION("""COMPUTED_VALUE"""),"годен до 10.2025 ")</f>
        <v xml:space="preserve">годен до 10.2025 </v>
      </c>
      <c r="F240" s="1" t="str">
        <f ca="1">IFERROR(__xludf.DUMMYFUNCTION("""COMPUTED_VALUE"""),"DOLPHI 3 в 1 №12 Презервативы латексные - 2010TNI2670")</f>
        <v>DOLPHI 3 в 1 №12 Презервативы латексные - 2010TNI2670</v>
      </c>
      <c r="G240" s="1" t="str">
        <f ca="1">IFERROR(__xludf.DUMMYFUNCTION("""COMPUTED_VALUE"""),"KZ.7700.02.01.00713210 / Действителен до 01.11.2025 / 2010TNI2670 / годен до 10.2025 ")</f>
        <v xml:space="preserve">KZ.7700.02.01.00713210 / Действителен до 01.11.2025 / 2010TNI2670 / годен до 10.2025 </v>
      </c>
      <c r="H240" s="1" t="str">
        <f ca="1">IFERROR(__xludf.DUMMYFUNCTION("""COMPUTED_VALUE"""),"DOLPHI 3 в 1 №12 Презервативы латексные KZ.7700.02.01.00713210 / Действителен до 01.11.2025 / 2010TNI2670 / годен до 10.2025 ")</f>
        <v xml:space="preserve">DOLPHI 3 в 1 №12 Презервативы латексные KZ.7700.02.01.00713210 / Действителен до 01.11.2025 / 2010TNI2670 / годен до 10.2025 </v>
      </c>
    </row>
    <row r="241" spans="1:8" ht="12.75" x14ac:dyDescent="0.2">
      <c r="A241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41" s="1" t="str">
        <f ca="1">IFERROR(__xludf.DUMMYFUNCTION("""COMPUTED_VALUE"""),"KZ.7700.02.01.00713181")</f>
        <v>KZ.7700.02.01.00713181</v>
      </c>
      <c r="C241" s="1" t="str">
        <f ca="1">IFERROR(__xludf.DUMMYFUNCTION("""COMPUTED_VALUE"""),"Действителен до 01.11.2025")</f>
        <v>Действителен до 01.11.2025</v>
      </c>
      <c r="D241" s="8" t="str">
        <f ca="1">IFERROR(__xludf.DUMMYFUNCTION("""COMPUTED_VALUE"""),"2010TNI2508")</f>
        <v>2010TNI2508</v>
      </c>
      <c r="E241" s="1" t="str">
        <f ca="1">IFERROR(__xludf.DUMMYFUNCTION("""COMPUTED_VALUE"""),"годен до 10.2025")</f>
        <v>годен до 10.2025</v>
      </c>
      <c r="F241" s="1" t="str">
        <f ca="1">IFERROR(__xludf.DUMMYFUNCTION("""COMPUTED_VALUE"""),"DOLPHI анатомические ультратонкие Презервативы латексные, № 3 - 2010TNI2508")</f>
        <v>DOLPHI анатомические ультратонкие Презервативы латексные, № 3 - 2010TNI2508</v>
      </c>
      <c r="G241" s="1" t="str">
        <f ca="1">IFERROR(__xludf.DUMMYFUNCTION("""COMPUTED_VALUE"""),"KZ.7700.02.01.00713181 / Действителен до 01.11.2025 / 2010TNI2508 / годен до 10.2025")</f>
        <v>KZ.7700.02.01.00713181 / Действителен до 01.11.2025 / 2010TNI2508 / годен до 10.2025</v>
      </c>
      <c r="H241" s="1" t="str">
        <f ca="1">IFERROR(__xludf.DUMMYFUNCTION("""COMPUTED_VALUE"""),"DOLPHI анатомические ультратонкие Презервативы латексные, № 3 KZ.7700.02.01.00713181 / Действителен до 01.11.2025 / 2010TNI2508 / годен до 10.2025")</f>
        <v>DOLPHI анатомические ультратонкие Презервативы латексные, № 3 KZ.7700.02.01.00713181 / Действителен до 01.11.2025 / 2010TNI2508 / годен до 10.2025</v>
      </c>
    </row>
    <row r="242" spans="1:8" ht="12.75" x14ac:dyDescent="0.2">
      <c r="A242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242" s="1" t="str">
        <f ca="1">IFERROR(__xludf.DUMMYFUNCTION("""COMPUTED_VALUE"""),"KZ.7700.02.01.00713215")</f>
        <v>KZ.7700.02.01.00713215</v>
      </c>
      <c r="C242" s="1" t="str">
        <f ca="1">IFERROR(__xludf.DUMMYFUNCTION("""COMPUTED_VALUE"""),"Действителен до 01.11.2025")</f>
        <v>Действителен до 01.11.2025</v>
      </c>
      <c r="D242" s="8" t="str">
        <f ca="1">IFERROR(__xludf.DUMMYFUNCTION("""COMPUTED_VALUE"""),"2010TNI2508")</f>
        <v>2010TNI2508</v>
      </c>
      <c r="E242" s="1" t="str">
        <f ca="1">IFERROR(__xludf.DUMMYFUNCTION("""COMPUTED_VALUE"""),"годен до 10.2025")</f>
        <v>годен до 10.2025</v>
      </c>
      <c r="F242" s="1" t="str">
        <f ca="1">IFERROR(__xludf.DUMMYFUNCTION("""COMPUTED_VALUE"""),"DOLPHI анатомические ультратонкие, №12 Презервативы латексные - 2010TNI2508")</f>
        <v>DOLPHI анатомические ультратонкие, №12 Презервативы латексные - 2010TNI2508</v>
      </c>
      <c r="G242" s="1" t="str">
        <f ca="1">IFERROR(__xludf.DUMMYFUNCTION("""COMPUTED_VALUE"""),"KZ.7700.02.01.00713215 / Действителен до 01.11.2025 / 2010TNI2508 / годен до 10.2025")</f>
        <v>KZ.7700.02.01.00713215 / Действителен до 01.11.2025 / 2010TNI2508 / годен до 10.2025</v>
      </c>
      <c r="H242" s="1" t="str">
        <f ca="1">IFERROR(__xludf.DUMMYFUNCTION("""COMPUTED_VALUE"""),"DOLPHI анатомические ультратонкие, №12 Презервативы латексные KZ.7700.02.01.00713215 / Действителен до 01.11.2025 / 2010TNI2508 / годен до 10.2025")</f>
        <v>DOLPHI анатомические ультратонкие, №12 Презервативы латексные KZ.7700.02.01.00713215 / Действителен до 01.11.2025 / 2010TNI2508 / годен до 10.2025</v>
      </c>
    </row>
    <row r="243" spans="1:8" ht="12.75" x14ac:dyDescent="0.2">
      <c r="A243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243" s="1" t="str">
        <f ca="1">IFERROR(__xludf.DUMMYFUNCTION("""COMPUTED_VALUE"""),"KZ.7700.02.01.00713212")</f>
        <v>KZ.7700.02.01.00713212</v>
      </c>
      <c r="C243" s="1" t="str">
        <f ca="1">IFERROR(__xludf.DUMMYFUNCTION("""COMPUTED_VALUE"""),"Действителен до 01.11.2025")</f>
        <v>Действителен до 01.11.2025</v>
      </c>
      <c r="D243" s="8" t="str">
        <f ca="1">IFERROR(__xludf.DUMMYFUNCTION("""COMPUTED_VALUE"""),"2010TNI2490")</f>
        <v>2010TNI2490</v>
      </c>
      <c r="E243" s="1" t="str">
        <f ca="1">IFERROR(__xludf.DUMMYFUNCTION("""COMPUTED_VALUE"""),"годен до 10.2025")</f>
        <v>годен до 10.2025</v>
      </c>
      <c r="F243" s="1" t="str">
        <f ca="1">IFERROR(__xludf.DUMMYFUNCTION("""COMPUTED_VALUE"""),"DOLPHI Класические №3 Презервативы латексные - 2010TNI2490")</f>
        <v>DOLPHI Класические №3 Презервативы латексные - 2010TNI2490</v>
      </c>
      <c r="G243" s="1" t="str">
        <f ca="1">IFERROR(__xludf.DUMMYFUNCTION("""COMPUTED_VALUE"""),"KZ.7700.02.01.00713212 / Действителен до 01.11.2025 / 2010TNI2490 / годен до 10.2025")</f>
        <v>KZ.7700.02.01.00713212 / Действителен до 01.11.2025 / 2010TNI2490 / годен до 10.2025</v>
      </c>
      <c r="H243" s="1" t="str">
        <f ca="1">IFERROR(__xludf.DUMMYFUNCTION("""COMPUTED_VALUE"""),"DOLPHI Класические №3 Презервативы латексные KZ.7700.02.01.00713212 / Действителен до 01.11.2025 / 2010TNI2490 / годен до 10.2025")</f>
        <v>DOLPHI Класические №3 Презервативы латексные KZ.7700.02.01.00713212 / Действителен до 01.11.2025 / 2010TNI2490 / годен до 10.2025</v>
      </c>
    </row>
    <row r="244" spans="1:8" ht="12.75" x14ac:dyDescent="0.2">
      <c r="A244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244" s="1" t="str">
        <f ca="1">IFERROR(__xludf.DUMMYFUNCTION("""COMPUTED_VALUE"""),"KZ.7700.02.01.00713208")</f>
        <v>KZ.7700.02.01.00713208</v>
      </c>
      <c r="C244" s="1" t="str">
        <f ca="1">IFERROR(__xludf.DUMMYFUNCTION("""COMPUTED_VALUE"""),"Действителен до 01.11.2025")</f>
        <v>Действителен до 01.11.2025</v>
      </c>
      <c r="D244" s="8" t="str">
        <f ca="1">IFERROR(__xludf.DUMMYFUNCTION("""COMPUTED_VALUE"""),"2010TNI2490")</f>
        <v>2010TNI2490</v>
      </c>
      <c r="E244" s="1" t="str">
        <f ca="1">IFERROR(__xludf.DUMMYFUNCTION("""COMPUTED_VALUE"""),"годен до 10.2025")</f>
        <v>годен до 10.2025</v>
      </c>
      <c r="F244" s="1" t="str">
        <f ca="1">IFERROR(__xludf.DUMMYFUNCTION("""COMPUTED_VALUE"""),"DOLPHI классические, №12 Презервативы латексные - 2010TNI2490")</f>
        <v>DOLPHI классические, №12 Презервативы латексные - 2010TNI2490</v>
      </c>
      <c r="G244" s="1" t="str">
        <f ca="1">IFERROR(__xludf.DUMMYFUNCTION("""COMPUTED_VALUE"""),"KZ.7700.02.01.00713208 / Действителен до 01.11.2025 / 2010TNI2490 / годен до 10.2025")</f>
        <v>KZ.7700.02.01.00713208 / Действителен до 01.11.2025 / 2010TNI2490 / годен до 10.2025</v>
      </c>
      <c r="H244" s="1" t="str">
        <f ca="1">IFERROR(__xludf.DUMMYFUNCTION("""COMPUTED_VALUE"""),"DOLPHI классические, №12 Презервативы латексные KZ.7700.02.01.00713208 / Действителен до 01.11.2025 / 2010TNI2490 / годен до 10.2025")</f>
        <v>DOLPHI классические, №12 Презервативы латексные KZ.7700.02.01.00713208 / Действителен до 01.11.2025 / 2010TNI2490 / годен до 10.2025</v>
      </c>
    </row>
    <row r="245" spans="1:8" ht="12.75" x14ac:dyDescent="0.2">
      <c r="A245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45" s="1" t="str">
        <f ca="1">IFERROR(__xludf.DUMMYFUNCTION("""COMPUTED_VALUE"""),"KZ.7700.02.01.00713185")</f>
        <v>KZ.7700.02.01.00713185</v>
      </c>
      <c r="C245" s="1" t="str">
        <f ca="1">IFERROR(__xludf.DUMMYFUNCTION("""COMPUTED_VALUE"""),"Действителен до 01.11.2025")</f>
        <v>Действителен до 01.11.2025</v>
      </c>
      <c r="D245" s="8" t="str">
        <f ca="1">IFERROR(__xludf.DUMMYFUNCTION("""COMPUTED_VALUE"""),"2010TNI2666")</f>
        <v>2010TNI2666</v>
      </c>
      <c r="E245" s="1" t="str">
        <f ca="1">IFERROR(__xludf.DUMMYFUNCTION("""COMPUTED_VALUE"""),"годен до 10.2025")</f>
        <v>годен до 10.2025</v>
      </c>
      <c r="F245" s="1" t="str">
        <f ca="1">IFERROR(__xludf.DUMMYFUNCTION("""COMPUTED_VALUE"""),"DOLPHI ультратонкие №3 Презервативы латескные - 2010TNI2666")</f>
        <v>DOLPHI ультратонкие №3 Презервативы латескные - 2010TNI2666</v>
      </c>
      <c r="G245" s="1" t="str">
        <f ca="1">IFERROR(__xludf.DUMMYFUNCTION("""COMPUTED_VALUE"""),"KZ.7700.02.01.00713185 / Действителен до 01.11.2025 / 2010TNI2666 / годен до 10.2025")</f>
        <v>KZ.7700.02.01.00713185 / Действителен до 01.11.2025 / 2010TNI2666 / годен до 10.2025</v>
      </c>
      <c r="H245" s="1" t="str">
        <f ca="1">IFERROR(__xludf.DUMMYFUNCTION("""COMPUTED_VALUE"""),"DOLPHI ультратонкие №3 Презервативы латескные KZ.7700.02.01.00713185 / Действителен до 01.11.2025 / 2010TNI2666 / годен до 10.2025")</f>
        <v>DOLPHI ультратонкие №3 Презервативы латескные KZ.7700.02.01.00713185 / Действителен до 01.11.2025 / 2010TNI2666 / годен до 10.2025</v>
      </c>
    </row>
    <row r="246" spans="1:8" ht="12.75" x14ac:dyDescent="0.2">
      <c r="A246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46" s="1" t="str">
        <f ca="1">IFERROR(__xludf.DUMMYFUNCTION("""COMPUTED_VALUE"""),"KZ.7700.02.01.00713175")</f>
        <v>KZ.7700.02.01.00713175</v>
      </c>
      <c r="C246" s="1" t="str">
        <f ca="1">IFERROR(__xludf.DUMMYFUNCTION("""COMPUTED_VALUE"""),"Действителен до 01.11.2025")</f>
        <v>Действителен до 01.11.2025</v>
      </c>
      <c r="D246" s="8" t="str">
        <f ca="1">IFERROR(__xludf.DUMMYFUNCTION("""COMPUTED_VALUE"""),"2010TNI2666")</f>
        <v>2010TNI2666</v>
      </c>
      <c r="E246" s="1" t="str">
        <f ca="1">IFERROR(__xludf.DUMMYFUNCTION("""COMPUTED_VALUE"""),"годен до 10.2025")</f>
        <v>годен до 10.2025</v>
      </c>
      <c r="F246" s="1" t="str">
        <f ca="1">IFERROR(__xludf.DUMMYFUNCTION("""COMPUTED_VALUE"""),"DOLPHI ультратонкие №12 Презервативы латексные - 2010TNI2666")</f>
        <v>DOLPHI ультратонкие №12 Презервативы латексные - 2010TNI2666</v>
      </c>
      <c r="G246" s="1" t="str">
        <f ca="1">IFERROR(__xludf.DUMMYFUNCTION("""COMPUTED_VALUE"""),"KZ.7700.02.01.00713175 / Действителен до 01.11.2025 / 2010TNI2666 / годен до 10.2025")</f>
        <v>KZ.7700.02.01.00713175 / Действителен до 01.11.2025 / 2010TNI2666 / годен до 10.2025</v>
      </c>
      <c r="H246" s="1" t="str">
        <f ca="1">IFERROR(__xludf.DUMMYFUNCTION("""COMPUTED_VALUE"""),"DOLPHI ультратонкие №12 Презервативы латексные KZ.7700.02.01.00713175 / Действителен до 01.11.2025 / 2010TNI2666 / годен до 10.2025")</f>
        <v>DOLPHI ультратонкие №12 Презервативы латексные KZ.7700.02.01.00713175 / Действителен до 01.11.2025 / 2010TNI2666 / годен до 10.2025</v>
      </c>
    </row>
    <row r="247" spans="1:8" ht="12.75" x14ac:dyDescent="0.2">
      <c r="A247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247" s="1" t="str">
        <f ca="1">IFERROR(__xludf.DUMMYFUNCTION("""COMPUTED_VALUE"""),"KZ.7700.02.01.00713216")</f>
        <v>KZ.7700.02.01.00713216</v>
      </c>
      <c r="C247" s="1" t="str">
        <f ca="1">IFERROR(__xludf.DUMMYFUNCTION("""COMPUTED_VALUE"""),"Действителен до 01.09.2025")</f>
        <v>Действителен до 01.09.2025</v>
      </c>
      <c r="D247" s="8" t="str">
        <f ca="1">IFERROR(__xludf.DUMMYFUNCTION("""COMPUTED_VALUE"""),"2008TNI2512")</f>
        <v>2008TNI2512</v>
      </c>
      <c r="E247" s="1" t="str">
        <f ca="1">IFERROR(__xludf.DUMMYFUNCTION("""COMPUTED_VALUE"""),"годен до 08.2025")</f>
        <v>годен до 08.2025</v>
      </c>
      <c r="F247" s="1" t="str">
        <f ca="1">IFERROR(__xludf.DUMMYFUNCTION("""COMPUTED_VALUE"""),"Mister Ben С точечной структурой № 3 Презервативы латексные - 2008TNI2512")</f>
        <v>Mister Ben С точечной структурой № 3 Презервативы латексные - 2008TNI2512</v>
      </c>
      <c r="G247" s="1" t="str">
        <f ca="1">IFERROR(__xludf.DUMMYFUNCTION("""COMPUTED_VALUE"""),"KZ.7700.02.01.00713216 / Действителен до 01.09.2025 / 2008TNI2512 / годен до 08.2025")</f>
        <v>KZ.7700.02.01.00713216 / Действителен до 01.09.2025 / 2008TNI2512 / годен до 08.2025</v>
      </c>
      <c r="H247" s="1" t="str">
        <f ca="1">IFERROR(__xludf.DUMMYFUNCTION("""COMPUTED_VALUE"""),"Mister Ben С точечной структурой № 3 Презервативы латексные KZ.7700.02.01.00713216 / Действителен до 01.09.2025 / 2008TNI2512 / годен до 08.2025")</f>
        <v>Mister Ben С точечной структурой № 3 Презервативы латексные KZ.7700.02.01.00713216 / Действителен до 01.09.2025 / 2008TNI2512 / годен до 08.2025</v>
      </c>
    </row>
    <row r="248" spans="1:8" ht="12.75" x14ac:dyDescent="0.2">
      <c r="A248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248" s="1" t="str">
        <f ca="1">IFERROR(__xludf.DUMMYFUNCTION("""COMPUTED_VALUE"""),"KZ.7700.02.01.00713206")</f>
        <v>KZ.7700.02.01.00713206</v>
      </c>
      <c r="C248" s="1" t="str">
        <f ca="1">IFERROR(__xludf.DUMMYFUNCTION("""COMPUTED_VALUE"""),"Действителен до 01.10.2025")</f>
        <v>Действителен до 01.10.2025</v>
      </c>
      <c r="D248" s="8" t="str">
        <f ca="1">IFERROR(__xludf.DUMMYFUNCTION("""COMPUTED_VALUE"""),"2009TNI2489")</f>
        <v>2009TNI2489</v>
      </c>
      <c r="E248" s="1" t="str">
        <f ca="1">IFERROR(__xludf.DUMMYFUNCTION("""COMPUTED_VALUE"""),"годен до 09.2025")</f>
        <v>годен до 09.2025</v>
      </c>
      <c r="F248" s="1" t="str">
        <f ca="1">IFERROR(__xludf.DUMMYFUNCTION("""COMPUTED_VALUE"""),"Mister Ben классические № 3 Презервативы латексные - 2009TNI2489")</f>
        <v>Mister Ben классические № 3 Презервативы латексные - 2009TNI2489</v>
      </c>
      <c r="G248" s="1" t="str">
        <f ca="1">IFERROR(__xludf.DUMMYFUNCTION("""COMPUTED_VALUE"""),"KZ.7700.02.01.00713206 / Действителен до 01.10.2025 / 2009TNI2489 / годен до 09.2025")</f>
        <v>KZ.7700.02.01.00713206 / Действителен до 01.10.2025 / 2009TNI2489 / годен до 09.2025</v>
      </c>
      <c r="H248" s="1" t="str">
        <f ca="1">IFERROR(__xludf.DUMMYFUNCTION("""COMPUTED_VALUE"""),"Mister Ben классические № 3 Презервативы латексные KZ.7700.02.01.00713206 / Действителен до 01.10.2025 / 2009TNI2489 / годен до 09.2025")</f>
        <v>Mister Ben классические № 3 Презервативы латексные KZ.7700.02.01.00713206 / Действителен до 01.10.2025 / 2009TNI2489 / годен до 09.2025</v>
      </c>
    </row>
    <row r="249" spans="1:8" ht="12.75" x14ac:dyDescent="0.2">
      <c r="A249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249" s="1" t="str">
        <f ca="1">IFERROR(__xludf.DUMMYFUNCTION("""COMPUTED_VALUE"""),"KZ.7700.02.01.00713199")</f>
        <v>KZ.7700.02.01.00713199</v>
      </c>
      <c r="C249" s="1" t="str">
        <f ca="1">IFERROR(__xludf.DUMMYFUNCTION("""COMPUTED_VALUE"""),"Действителен до 01.05.2025")</f>
        <v>Действителен до 01.05.2025</v>
      </c>
      <c r="D249" s="8" t="str">
        <f ca="1">IFERROR(__xludf.DUMMYFUNCTION("""COMPUTED_VALUE"""),"2004TNI2513")</f>
        <v>2004TNI2513</v>
      </c>
      <c r="E249" s="1" t="str">
        <f ca="1">IFERROR(__xludf.DUMMYFUNCTION("""COMPUTED_VALUE"""),"годен до 04.2025")</f>
        <v>годен до 04.2025</v>
      </c>
      <c r="F249" s="1" t="str">
        <f ca="1">IFERROR(__xludf.DUMMYFUNCTION("""COMPUTED_VALUE"""),"Mister Ben Ребристые № 3 Презервативы латексные - 2004TNI2513")</f>
        <v>Mister Ben Ребристые № 3 Презервативы латексные - 2004TNI2513</v>
      </c>
      <c r="G249" s="1" t="str">
        <f ca="1">IFERROR(__xludf.DUMMYFUNCTION("""COMPUTED_VALUE"""),"KZ.7700.02.01.00713199 / Действителен до 01.05.2025 / 2004TNI2513 / годен до 04.2025")</f>
        <v>KZ.7700.02.01.00713199 / Действителен до 01.05.2025 / 2004TNI2513 / годен до 04.2025</v>
      </c>
      <c r="H249" s="1" t="str">
        <f ca="1">IFERROR(__xludf.DUMMYFUNCTION("""COMPUTED_VALUE"""),"Mister Ben Ребристые № 3 Презервативы латексные KZ.7700.02.01.00713199 / Действителен до 01.05.2025 / 2004TNI2513 / годен до 04.2025")</f>
        <v>Mister Ben Ребристые № 3 Презервативы латексные KZ.7700.02.01.00713199 / Действителен до 01.05.2025 / 2004TNI2513 / годен до 04.2025</v>
      </c>
    </row>
    <row r="250" spans="1:8" ht="12.75" x14ac:dyDescent="0.2">
      <c r="A250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250" s="1" t="str">
        <f ca="1">IFERROR(__xludf.DUMMYFUNCTION("""COMPUTED_VALUE"""),"KZ.7700.02.01.00713074")</f>
        <v>KZ.7700.02.01.00713074</v>
      </c>
      <c r="C250" s="1" t="str">
        <f ca="1">IFERROR(__xludf.DUMMYFUNCTION("""COMPUTED_VALUE"""),"Действителен до 01.11.2025")</f>
        <v>Действителен до 01.11.2025</v>
      </c>
      <c r="D250" s="8" t="str">
        <f ca="1">IFERROR(__xludf.DUMMYFUNCTION("""COMPUTED_VALUE"""),"2010TNI2500")</f>
        <v>2010TNI2500</v>
      </c>
      <c r="E250" s="1" t="str">
        <f ca="1">IFERROR(__xludf.DUMMYFUNCTION("""COMPUTED_VALUE"""),"годен до 10.2025")</f>
        <v>годен до 10.2025</v>
      </c>
      <c r="F250" s="1" t="str">
        <f ca="1">IFERROR(__xludf.DUMMYFUNCTION("""COMPUTED_VALUE"""),"Mister Ben Ультратонкие № 3 Презервативы латексные - 2010TNI2500")</f>
        <v>Mister Ben Ультратонкие № 3 Презервативы латексные - 2010TNI2500</v>
      </c>
      <c r="G250" s="1" t="str">
        <f ca="1">IFERROR(__xludf.DUMMYFUNCTION("""COMPUTED_VALUE"""),"KZ.7700.02.01.00713074 / Действителен до 01.11.2025 / 2010TNI2500 / годен до 10.2025")</f>
        <v>KZ.7700.02.01.00713074 / Действителен до 01.11.2025 / 2010TNI2500 / годен до 10.2025</v>
      </c>
      <c r="H250" s="1" t="str">
        <f ca="1">IFERROR(__xludf.DUMMYFUNCTION("""COMPUTED_VALUE"""),"Mister Ben Ультратонкие № 3 Презервативы латексные KZ.7700.02.01.00713074 / Действителен до 01.11.2025 / 2010TNI2500 / годен до 10.2025")</f>
        <v>Mister Ben Ультратонкие № 3 Презервативы латексные KZ.7700.02.01.00713074 / Действителен до 01.11.2025 / 2010TNI2500 / годен до 10.2025</v>
      </c>
    </row>
    <row r="251" spans="1:8" ht="12.75" x14ac:dyDescent="0.2">
      <c r="A251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251" s="1" t="str">
        <f ca="1">IFERROR(__xludf.DUMMYFUNCTION("""COMPUTED_VALUE"""),"KZ.7700.02.01.00713209")</f>
        <v>KZ.7700.02.01.00713209</v>
      </c>
      <c r="C251" s="1" t="str">
        <f ca="1">IFERROR(__xludf.DUMMYFUNCTION("""COMPUTED_VALUE"""),"Действителен до 01.08.2025")</f>
        <v>Действителен до 01.08.2025</v>
      </c>
      <c r="D251" s="8" t="str">
        <f ca="1">IFERROR(__xludf.DUMMYFUNCTION("""COMPUTED_VALUE"""),"2007TNI2488")</f>
        <v>2007TNI2488</v>
      </c>
      <c r="E251" s="1" t="str">
        <f ca="1">IFERROR(__xludf.DUMMYFUNCTION("""COMPUTED_VALUE"""),"годен до 07.2025")</f>
        <v>годен до 07.2025</v>
      </c>
      <c r="F251" s="1" t="str">
        <f ca="1">IFERROR(__xludf.DUMMYFUNCTION("""COMPUTED_VALUE"""),"Sexxxy классические №3 Презервативы латексные - 2007TNI2488")</f>
        <v>Sexxxy классические №3 Презервативы латексные - 2007TNI2488</v>
      </c>
      <c r="G251" s="1" t="str">
        <f ca="1">IFERROR(__xludf.DUMMYFUNCTION("""COMPUTED_VALUE"""),"KZ.7700.02.01.00713209 / Действителен до 01.08.2025 / 2007TNI2488 / годен до 07.2025")</f>
        <v>KZ.7700.02.01.00713209 / Действителен до 01.08.2025 / 2007TNI2488 / годен до 07.2025</v>
      </c>
      <c r="H251" s="1" t="str">
        <f ca="1">IFERROR(__xludf.DUMMYFUNCTION("""COMPUTED_VALUE"""),"Sexxxy классические №3 Презервативы латексные KZ.7700.02.01.00713209 / Действителен до 01.08.2025 / 2007TNI2488 / годен до 07.2025")</f>
        <v>Sexxxy классические №3 Презервативы латексные KZ.7700.02.01.00713209 / Действителен до 01.08.2025 / 2007TNI2488 / годен до 07.2025</v>
      </c>
    </row>
    <row r="252" spans="1:8" ht="12.75" x14ac:dyDescent="0.2">
      <c r="A252" s="1" t="str">
        <f ca="1">IFERROR(__xludf.DUMMYFUNCTION("""COMPUTED_VALUE"""),"DOLPHI 3 в 1 №3 Презервативы латексные")</f>
        <v>DOLPHI 3 в 1 №3 Презервативы латексные</v>
      </c>
      <c r="B252" s="1" t="str">
        <f ca="1">IFERROR(__xludf.DUMMYFUNCTION("""COMPUTED_VALUE"""),"KZ.7700.02.01.00693929")</f>
        <v>KZ.7700.02.01.00693929</v>
      </c>
      <c r="C252" s="1" t="str">
        <f ca="1">IFERROR(__xludf.DUMMYFUNCTION("""COMPUTED_VALUE"""),"Действителен до 01.07.2025")</f>
        <v>Действителен до 01.07.2025</v>
      </c>
      <c r="D252" s="8" t="str">
        <f ca="1">IFERROR(__xludf.DUMMYFUNCTION("""COMPUTED_VALUE"""),"2006TNI2504")</f>
        <v>2006TNI2504</v>
      </c>
      <c r="E252" s="1" t="str">
        <f ca="1">IFERROR(__xludf.DUMMYFUNCTION("""COMPUTED_VALUE"""),"годен до 06.2025")</f>
        <v>годен до 06.2025</v>
      </c>
      <c r="F252" s="1" t="str">
        <f ca="1">IFERROR(__xludf.DUMMYFUNCTION("""COMPUTED_VALUE"""),"DOLPHI 3 в 1 №3 Презервативы латексные - 2006TNI2504")</f>
        <v>DOLPHI 3 в 1 №3 Презервативы латексные - 2006TNI2504</v>
      </c>
      <c r="G252" s="1" t="str">
        <f ca="1">IFERROR(__xludf.DUMMYFUNCTION("""COMPUTED_VALUE"""),"KZ.7700.02.01.00693929 / Действителен до 01.07.2025 / 2006TNI2504 / годен до 06.2025")</f>
        <v>KZ.7700.02.01.00693929 / Действителен до 01.07.2025 / 2006TNI2504 / годен до 06.2025</v>
      </c>
      <c r="H252" s="1" t="str">
        <f ca="1">IFERROR(__xludf.DUMMYFUNCTION("""COMPUTED_VALUE"""),"DOLPHI 3 в 1 №3 Презервативы латексные KZ.7700.02.01.00693929 / Действителен до 01.07.2025 / 2006TNI2504 / годен до 06.2025")</f>
        <v>DOLPHI 3 в 1 №3 Презервативы латексные KZ.7700.02.01.00693929 / Действителен до 01.07.2025 / 2006TNI2504 / годен до 06.2025</v>
      </c>
    </row>
    <row r="253" spans="1:8" ht="12.75" x14ac:dyDescent="0.2">
      <c r="A253" s="1" t="str">
        <f ca="1">IFERROR(__xludf.DUMMYFUNCTION("""COMPUTED_VALUE"""),"DOLPHI 3 в 1 №12 Презервативы латексные")</f>
        <v>DOLPHI 3 в 1 №12 Презервативы латексные</v>
      </c>
      <c r="B253" s="1" t="str">
        <f ca="1">IFERROR(__xludf.DUMMYFUNCTION("""COMPUTED_VALUE"""),"KZ.7700.02.01.00693963")</f>
        <v>KZ.7700.02.01.00693963</v>
      </c>
      <c r="C253" s="1" t="str">
        <f ca="1">IFERROR(__xludf.DUMMYFUNCTION("""COMPUTED_VALUE"""),"Действителен до 01.07.2025")</f>
        <v>Действителен до 01.07.2025</v>
      </c>
      <c r="D253" s="8" t="str">
        <f ca="1">IFERROR(__xludf.DUMMYFUNCTION("""COMPUTED_VALUE"""),"2006TNI2504")</f>
        <v>2006TNI2504</v>
      </c>
      <c r="E253" s="1" t="str">
        <f ca="1">IFERROR(__xludf.DUMMYFUNCTION("""COMPUTED_VALUE"""),"годен до 06.2025")</f>
        <v>годен до 06.2025</v>
      </c>
      <c r="F253" s="1" t="str">
        <f ca="1">IFERROR(__xludf.DUMMYFUNCTION("""COMPUTED_VALUE"""),"DOLPHI 3 в 1 №12 Презервативы латексные - 2006TNI2504")</f>
        <v>DOLPHI 3 в 1 №12 Презервативы латексные - 2006TNI2504</v>
      </c>
      <c r="G253" s="1" t="str">
        <f ca="1">IFERROR(__xludf.DUMMYFUNCTION("""COMPUTED_VALUE"""),"KZ.7700.02.01.00693963 / Действителен до 01.07.2025 / 2006TNI2504 / годен до 06.2025")</f>
        <v>KZ.7700.02.01.00693963 / Действителен до 01.07.2025 / 2006TNI2504 / годен до 06.2025</v>
      </c>
      <c r="H253" s="1" t="str">
        <f ca="1">IFERROR(__xludf.DUMMYFUNCTION("""COMPUTED_VALUE"""),"DOLPHI 3 в 1 №12 Презервативы латексные KZ.7700.02.01.00693963 / Действителен до 01.07.2025 / 2006TNI2504 / годен до 06.2025")</f>
        <v>DOLPHI 3 в 1 №12 Презервативы латексные KZ.7700.02.01.00693963 / Действителен до 01.07.2025 / 2006TNI2504 / годен до 06.2025</v>
      </c>
    </row>
    <row r="254" spans="1:8" ht="12.75" x14ac:dyDescent="0.2">
      <c r="A254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54" s="1" t="str">
        <f ca="1">IFERROR(__xludf.DUMMYFUNCTION("""COMPUTED_VALUE"""),"KZ.7700.02.01.00693971")</f>
        <v>KZ.7700.02.01.00693971</v>
      </c>
      <c r="C254" s="1" t="str">
        <f ca="1">IFERROR(__xludf.DUMMYFUNCTION("""COMPUTED_VALUE"""),"Действителен до 01.05.2025")</f>
        <v>Действителен до 01.05.2025</v>
      </c>
      <c r="D254" s="8" t="str">
        <f ca="1">IFERROR(__xludf.DUMMYFUNCTION("""COMPUTED_VALUE"""),"2004TNI2507")</f>
        <v>2004TNI2507</v>
      </c>
      <c r="E254" s="1" t="str">
        <f ca="1">IFERROR(__xludf.DUMMYFUNCTION("""COMPUTED_VALUE"""),"годен до 04.2025")</f>
        <v>годен до 04.2025</v>
      </c>
      <c r="F254" s="1" t="str">
        <f ca="1">IFERROR(__xludf.DUMMYFUNCTION("""COMPUTED_VALUE"""),"DOLPHI анатомические ультратонкие Презервативы латексные, № 3 - 2004TNI2507")</f>
        <v>DOLPHI анатомические ультратонкие Презервативы латексные, № 3 - 2004TNI2507</v>
      </c>
      <c r="G254" s="1" t="str">
        <f ca="1">IFERROR(__xludf.DUMMYFUNCTION("""COMPUTED_VALUE"""),"KZ.7700.02.01.00693971 / Действителен до 01.05.2025 / 2004TNI2507 / годен до 04.2025")</f>
        <v>KZ.7700.02.01.00693971 / Действителен до 01.05.2025 / 2004TNI2507 / годен до 04.2025</v>
      </c>
      <c r="H254" s="1" t="str">
        <f ca="1">IFERROR(__xludf.DUMMYFUNCTION("""COMPUTED_VALUE"""),"DOLPHI анатомические ультратонкие Презервативы латексные, № 3 KZ.7700.02.01.00693971 / Действителен до 01.05.2025 / 2004TNI2507 / годен до 04.2025")</f>
        <v>DOLPHI анатомические ультратонкие Презервативы латексные, № 3 KZ.7700.02.01.00693971 / Действителен до 01.05.2025 / 2004TNI2507 / годен до 04.2025</v>
      </c>
    </row>
    <row r="255" spans="1:8" ht="12.75" x14ac:dyDescent="0.2">
      <c r="A255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255" s="1" t="str">
        <f ca="1">IFERROR(__xludf.DUMMYFUNCTION("""COMPUTED_VALUE"""),"KZ.7700.02.01.00693974")</f>
        <v>KZ.7700.02.01.00693974</v>
      </c>
      <c r="C255" s="1" t="str">
        <f ca="1">IFERROR(__xludf.DUMMYFUNCTION("""COMPUTED_VALUE"""),"Действителен до 01.05.2025")</f>
        <v>Действителен до 01.05.2025</v>
      </c>
      <c r="D255" s="8" t="str">
        <f ca="1">IFERROR(__xludf.DUMMYFUNCTION("""COMPUTED_VALUE"""),"2004TNI2507")</f>
        <v>2004TNI2507</v>
      </c>
      <c r="E255" s="1" t="str">
        <f ca="1">IFERROR(__xludf.DUMMYFUNCTION("""COMPUTED_VALUE"""),"годен до 04.2025")</f>
        <v>годен до 04.2025</v>
      </c>
      <c r="F255" s="1" t="str">
        <f ca="1">IFERROR(__xludf.DUMMYFUNCTION("""COMPUTED_VALUE"""),"DOLPHI анатомические ультратонкие, №12 Презервативы латексные - 2004TNI2507")</f>
        <v>DOLPHI анатомические ультратонкие, №12 Презервативы латексные - 2004TNI2507</v>
      </c>
      <c r="G255" s="1" t="str">
        <f ca="1">IFERROR(__xludf.DUMMYFUNCTION("""COMPUTED_VALUE"""),"KZ.7700.02.01.00693974 / Действителен до 01.05.2025 / 2004TNI2507 / годен до 04.2025")</f>
        <v>KZ.7700.02.01.00693974 / Действителен до 01.05.2025 / 2004TNI2507 / годен до 04.2025</v>
      </c>
      <c r="H255" s="1" t="str">
        <f ca="1">IFERROR(__xludf.DUMMYFUNCTION("""COMPUTED_VALUE"""),"DOLPHI анатомические ультратонкие, №12 Презервативы латексные KZ.7700.02.01.00693974 / Действителен до 01.05.2025 / 2004TNI2507 / годен до 04.2025")</f>
        <v>DOLPHI анатомические ультратонкие, №12 Презервативы латексные KZ.7700.02.01.00693974 / Действителен до 01.05.2025 / 2004TNI2507 / годен до 04.2025</v>
      </c>
    </row>
    <row r="256" spans="1:8" ht="12.75" x14ac:dyDescent="0.2">
      <c r="A256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256" s="1" t="str">
        <f ca="1">IFERROR(__xludf.DUMMYFUNCTION("""COMPUTED_VALUE"""),"KZ.7700.02.01.00693940")</f>
        <v>KZ.7700.02.01.00693940</v>
      </c>
      <c r="C256" s="1" t="str">
        <f ca="1">IFERROR(__xludf.DUMMYFUNCTION("""COMPUTED_VALUE"""),"Действителен до 01.09.2025")</f>
        <v>Действителен до 01.09.2025</v>
      </c>
      <c r="D256" s="8" t="str">
        <f ca="1">IFERROR(__xludf.DUMMYFUNCTION("""COMPUTED_VALUE"""),"2008TNI2488")</f>
        <v>2008TNI2488</v>
      </c>
      <c r="E256" s="1" t="str">
        <f ca="1">IFERROR(__xludf.DUMMYFUNCTION("""COMPUTED_VALUE"""),"годен до 08.2025")</f>
        <v>годен до 08.2025</v>
      </c>
      <c r="F256" s="1" t="str">
        <f ca="1">IFERROR(__xludf.DUMMYFUNCTION("""COMPUTED_VALUE"""),"DOLPHI Класические №3 Презервативы латексные - 2008TNI2488")</f>
        <v>DOLPHI Класические №3 Презервативы латексные - 2008TNI2488</v>
      </c>
      <c r="G256" s="1" t="str">
        <f ca="1">IFERROR(__xludf.DUMMYFUNCTION("""COMPUTED_VALUE"""),"KZ.7700.02.01.00693940 / Действителен до 01.09.2025 / 2008TNI2488 / годен до 08.2025")</f>
        <v>KZ.7700.02.01.00693940 / Действителен до 01.09.2025 / 2008TNI2488 / годен до 08.2025</v>
      </c>
      <c r="H256" s="1" t="str">
        <f ca="1">IFERROR(__xludf.DUMMYFUNCTION("""COMPUTED_VALUE"""),"DOLPHI Класические №3 Презервативы латексные KZ.7700.02.01.00693940 / Действителен до 01.09.2025 / 2008TNI2488 / годен до 08.2025")</f>
        <v>DOLPHI Класические №3 Презервативы латексные KZ.7700.02.01.00693940 / Действителен до 01.09.2025 / 2008TNI2488 / годен до 08.2025</v>
      </c>
    </row>
    <row r="257" spans="1:8" ht="12.75" x14ac:dyDescent="0.2">
      <c r="A257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257" s="1" t="str">
        <f ca="1">IFERROR(__xludf.DUMMYFUNCTION("""COMPUTED_VALUE"""),"KZ.7700.02.01.00693938")</f>
        <v>KZ.7700.02.01.00693938</v>
      </c>
      <c r="C257" s="1" t="str">
        <f ca="1">IFERROR(__xludf.DUMMYFUNCTION("""COMPUTED_VALUE"""),"Действителен до 01.09.2025")</f>
        <v>Действителен до 01.09.2025</v>
      </c>
      <c r="D257" s="8" t="str">
        <f ca="1">IFERROR(__xludf.DUMMYFUNCTION("""COMPUTED_VALUE"""),"2008TNI2488")</f>
        <v>2008TNI2488</v>
      </c>
      <c r="E257" s="1" t="str">
        <f ca="1">IFERROR(__xludf.DUMMYFUNCTION("""COMPUTED_VALUE"""),"годен до 08.2025")</f>
        <v>годен до 08.2025</v>
      </c>
      <c r="F257" s="1" t="str">
        <f ca="1">IFERROR(__xludf.DUMMYFUNCTION("""COMPUTED_VALUE"""),"DOLPHI классические, №12 Презервативы латексные - 2008TNI2488")</f>
        <v>DOLPHI классические, №12 Презервативы латексные - 2008TNI2488</v>
      </c>
      <c r="G257" s="1" t="str">
        <f ca="1">IFERROR(__xludf.DUMMYFUNCTION("""COMPUTED_VALUE"""),"KZ.7700.02.01.00693938 / Действителен до 01.09.2025 / 2008TNI2488 / годен до 08.2025")</f>
        <v>KZ.7700.02.01.00693938 / Действителен до 01.09.2025 / 2008TNI2488 / годен до 08.2025</v>
      </c>
      <c r="H257" s="1" t="str">
        <f ca="1">IFERROR(__xludf.DUMMYFUNCTION("""COMPUTED_VALUE"""),"DOLPHI классические, №12 Презервативы латексные KZ.7700.02.01.00693938 / Действителен до 01.09.2025 / 2008TNI2488 / годен до 08.2025")</f>
        <v>DOLPHI классические, №12 Презервативы латексные KZ.7700.02.01.00693938 / Действителен до 01.09.2025 / 2008TNI2488 / годен до 08.2025</v>
      </c>
    </row>
    <row r="258" spans="1:8" ht="12.75" x14ac:dyDescent="0.2">
      <c r="A258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58" s="1" t="str">
        <f ca="1">IFERROR(__xludf.DUMMYFUNCTION("""COMPUTED_VALUE"""),"KZ.7700.02.01.00693944")</f>
        <v>KZ.7700.02.01.00693944</v>
      </c>
      <c r="C258" s="1" t="str">
        <f ca="1">IFERROR(__xludf.DUMMYFUNCTION("""COMPUTED_VALUE"""),"Действителен до 01.09.2025")</f>
        <v>Действителен до 01.09.2025</v>
      </c>
      <c r="D258" s="8" t="str">
        <f ca="1">IFERROR(__xludf.DUMMYFUNCTION("""COMPUTED_VALUE"""),"2008TNI2663")</f>
        <v>2008TNI2663</v>
      </c>
      <c r="E258" s="1" t="str">
        <f ca="1">IFERROR(__xludf.DUMMYFUNCTION("""COMPUTED_VALUE"""),"годен до 08.2025")</f>
        <v>годен до 08.2025</v>
      </c>
      <c r="F258" s="1" t="str">
        <f ca="1">IFERROR(__xludf.DUMMYFUNCTION("""COMPUTED_VALUE"""),"DOLPHI ультратонкие №3 Презервативы латескные - 2008TNI2663")</f>
        <v>DOLPHI ультратонкие №3 Презервативы латескные - 2008TNI2663</v>
      </c>
      <c r="G258" s="1" t="str">
        <f ca="1">IFERROR(__xludf.DUMMYFUNCTION("""COMPUTED_VALUE"""),"KZ.7700.02.01.00693944 / Действителен до 01.09.2025 / 2008TNI2663 / годен до 08.2025")</f>
        <v>KZ.7700.02.01.00693944 / Действителен до 01.09.2025 / 2008TNI2663 / годен до 08.2025</v>
      </c>
      <c r="H258" s="1" t="str">
        <f ca="1">IFERROR(__xludf.DUMMYFUNCTION("""COMPUTED_VALUE"""),"DOLPHI ультратонкие №3 Презервативы латескные KZ.7700.02.01.00693944 / Действителен до 01.09.2025 / 2008TNI2663 / годен до 08.2025")</f>
        <v>DOLPHI ультратонкие №3 Презервативы латескные KZ.7700.02.01.00693944 / Действителен до 01.09.2025 / 2008TNI2663 / годен до 08.2025</v>
      </c>
    </row>
    <row r="259" spans="1:8" ht="12.75" x14ac:dyDescent="0.2">
      <c r="A259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59" s="1" t="str">
        <f ca="1">IFERROR(__xludf.DUMMYFUNCTION("""COMPUTED_VALUE"""),"KZ.7700.02.01.00693937")</f>
        <v>KZ.7700.02.01.00693937</v>
      </c>
      <c r="C259" s="1" t="str">
        <f ca="1">IFERROR(__xludf.DUMMYFUNCTION("""COMPUTED_VALUE"""),"Действителен до 01.08.2025")</f>
        <v>Действителен до 01.08.2025</v>
      </c>
      <c r="D259" s="8" t="str">
        <f ca="1">IFERROR(__xludf.DUMMYFUNCTION("""COMPUTED_VALUE"""),"2007TNI2661")</f>
        <v>2007TNI2661</v>
      </c>
      <c r="E259" s="1" t="str">
        <f ca="1">IFERROR(__xludf.DUMMYFUNCTION("""COMPUTED_VALUE"""),"годен до 07.2025")</f>
        <v>годен до 07.2025</v>
      </c>
      <c r="F259" s="1" t="str">
        <f ca="1">IFERROR(__xludf.DUMMYFUNCTION("""COMPUTED_VALUE"""),"DOLPHI ультратонкие №12 Презервативы латексные - 2007TNI2661")</f>
        <v>DOLPHI ультратонкие №12 Презервативы латексные - 2007TNI2661</v>
      </c>
      <c r="G259" s="1" t="str">
        <f ca="1">IFERROR(__xludf.DUMMYFUNCTION("""COMPUTED_VALUE"""),"KZ.7700.02.01.00693937 / Действителен до 01.08.2025 / 2007TNI2661 / годен до 07.2025")</f>
        <v>KZ.7700.02.01.00693937 / Действителен до 01.08.2025 / 2007TNI2661 / годен до 07.2025</v>
      </c>
      <c r="H259" s="1" t="str">
        <f ca="1">IFERROR(__xludf.DUMMYFUNCTION("""COMPUTED_VALUE"""),"DOLPHI ультратонкие №12 Презервативы латексные KZ.7700.02.01.00693937 / Действителен до 01.08.2025 / 2007TNI2661 / годен до 07.2025")</f>
        <v>DOLPHI ультратонкие №12 Презервативы латексные KZ.7700.02.01.00693937 / Действителен до 01.08.2025 / 2007TNI2661 / годен до 07.2025</v>
      </c>
    </row>
    <row r="260" spans="1:8" ht="12.75" x14ac:dyDescent="0.2">
      <c r="A260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60" s="1" t="str">
        <f ca="1">IFERROR(__xludf.DUMMYFUNCTION("""COMPUTED_VALUE"""),"KZ.7700.02.01.00693916")</f>
        <v>KZ.7700.02.01.00693916</v>
      </c>
      <c r="C260" s="1" t="str">
        <f ca="1">IFERROR(__xludf.DUMMYFUNCTION("""COMPUTED_VALUE"""),"Действителен до 01.09.2025")</f>
        <v>Действителен до 01.09.2025</v>
      </c>
      <c r="D260" s="8" t="str">
        <f ca="1">IFERROR(__xludf.DUMMYFUNCTION("""COMPUTED_VALUE"""),"2008TNI2663")</f>
        <v>2008TNI2663</v>
      </c>
      <c r="E260" s="1" t="str">
        <f ca="1">IFERROR(__xludf.DUMMYFUNCTION("""COMPUTED_VALUE"""),"годен до 08.2025")</f>
        <v>годен до 08.2025</v>
      </c>
      <c r="F260" s="1" t="str">
        <f ca="1">IFERROR(__xludf.DUMMYFUNCTION("""COMPUTED_VALUE"""),"DOLPHI ультратонкие №12 Презервативы латексные - 2008TNI2663")</f>
        <v>DOLPHI ультратонкие №12 Презервативы латексные - 2008TNI2663</v>
      </c>
      <c r="G260" s="1" t="str">
        <f ca="1">IFERROR(__xludf.DUMMYFUNCTION("""COMPUTED_VALUE"""),"KZ.7700.02.01.00693916 / Действителен до 01.09.2025 / 2008TNI2663 / годен до 08.2025")</f>
        <v>KZ.7700.02.01.00693916 / Действителен до 01.09.2025 / 2008TNI2663 / годен до 08.2025</v>
      </c>
      <c r="H260" s="1" t="str">
        <f ca="1">IFERROR(__xludf.DUMMYFUNCTION("""COMPUTED_VALUE"""),"DOLPHI ультратонкие №12 Презервативы латексные KZ.7700.02.01.00693916 / Действителен до 01.09.2025 / 2008TNI2663 / годен до 08.2025")</f>
        <v>DOLPHI ультратонкие №12 Презервативы латексные KZ.7700.02.01.00693916 / Действителен до 01.09.2025 / 2008TNI2663 / годен до 08.2025</v>
      </c>
    </row>
    <row r="261" spans="1:8" ht="12.75" x14ac:dyDescent="0.2">
      <c r="A261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261" s="1" t="str">
        <f ca="1">IFERROR(__xludf.DUMMYFUNCTION("""COMPUTED_VALUE"""),"KZ.7700.02.01.00693976")</f>
        <v>KZ.7700.02.01.00693976</v>
      </c>
      <c r="C261" s="1" t="str">
        <f ca="1">IFERROR(__xludf.DUMMYFUNCTION("""COMPUTED_VALUE"""),"Действителен до 01.01.2025")</f>
        <v>Действителен до 01.01.2025</v>
      </c>
      <c r="D261" s="8" t="str">
        <f ca="1">IFERROR(__xludf.DUMMYFUNCTION("""COMPUTED_VALUE"""),"1912TNI2379")</f>
        <v>1912TNI2379</v>
      </c>
      <c r="E261" s="1" t="str">
        <f ca="1">IFERROR(__xludf.DUMMYFUNCTION("""COMPUTED_VALUE"""),"годен до 12.2024")</f>
        <v>годен до 12.2024</v>
      </c>
      <c r="F261" s="1" t="str">
        <f ca="1">IFERROR(__xludf.DUMMYFUNCTION("""COMPUTED_VALUE"""),"Mister Ben классические № 3 Презервативы латексные - 1912TNI2379")</f>
        <v>Mister Ben классические № 3 Презервативы латексные - 1912TNI2379</v>
      </c>
      <c r="G261" s="1" t="str">
        <f ca="1">IFERROR(__xludf.DUMMYFUNCTION("""COMPUTED_VALUE"""),"KZ.7700.02.01.00693976 / Действителен до 01.01.2025 / 1912TNI2379 / годен до 12.2024")</f>
        <v>KZ.7700.02.01.00693976 / Действителен до 01.01.2025 / 1912TNI2379 / годен до 12.2024</v>
      </c>
      <c r="H261" s="1" t="str">
        <f ca="1">IFERROR(__xludf.DUMMYFUNCTION("""COMPUTED_VALUE"""),"Mister Ben классические № 3 Презервативы латексные KZ.7700.02.01.00693976 / Действителен до 01.01.2025 / 1912TNI2379 / годен до 12.2024")</f>
        <v>Mister Ben классические № 3 Презервативы латексные KZ.7700.02.01.00693976 / Действителен до 01.01.2025 / 1912TNI2379 / годен до 12.2024</v>
      </c>
    </row>
    <row r="262" spans="1:8" ht="12.75" x14ac:dyDescent="0.2">
      <c r="A262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262" s="1" t="str">
        <f ca="1">IFERROR(__xludf.DUMMYFUNCTION("""COMPUTED_VALUE"""),"KZ.7700.02.01.00693965")</f>
        <v>KZ.7700.02.01.00693965</v>
      </c>
      <c r="C262" s="1" t="str">
        <f ca="1">IFERROR(__xludf.DUMMYFUNCTION("""COMPUTED_VALUE"""),"Действителен до 01.01.2025")</f>
        <v>Действителен до 01.01.2025</v>
      </c>
      <c r="D262" s="8" t="str">
        <f ca="1">IFERROR(__xludf.DUMMYFUNCTION("""COMPUTED_VALUE"""),"1912TNI2390")</f>
        <v>1912TNI2390</v>
      </c>
      <c r="E262" s="1" t="str">
        <f ca="1">IFERROR(__xludf.DUMMYFUNCTION("""COMPUTED_VALUE"""),"годен до 12.2024")</f>
        <v>годен до 12.2024</v>
      </c>
      <c r="F262" s="1" t="str">
        <f ca="1">IFERROR(__xludf.DUMMYFUNCTION("""COMPUTED_VALUE"""),"Mister Ben Ребристые № 3 Презервативы латексные - 1912TNI2390")</f>
        <v>Mister Ben Ребристые № 3 Презервативы латексные - 1912TNI2390</v>
      </c>
      <c r="G262" s="1" t="str">
        <f ca="1">IFERROR(__xludf.DUMMYFUNCTION("""COMPUTED_VALUE"""),"KZ.7700.02.01.00693965 / Действителен до 01.01.2025 / 1912TNI2390 / годен до 12.2024")</f>
        <v>KZ.7700.02.01.00693965 / Действителен до 01.01.2025 / 1912TNI2390 / годен до 12.2024</v>
      </c>
      <c r="H262" s="1" t="str">
        <f ca="1">IFERROR(__xludf.DUMMYFUNCTION("""COMPUTED_VALUE"""),"Mister Ben Ребристые № 3 Презервативы латексные KZ.7700.02.01.00693965 / Действителен до 01.01.2025 / 1912TNI2390 / годен до 12.2024")</f>
        <v>Mister Ben Ребристые № 3 Презервативы латексные KZ.7700.02.01.00693965 / Действителен до 01.01.2025 / 1912TNI2390 / годен до 12.2024</v>
      </c>
    </row>
    <row r="263" spans="1:8" ht="12.75" x14ac:dyDescent="0.2">
      <c r="A263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263" s="1" t="str">
        <f ca="1">IFERROR(__xludf.DUMMYFUNCTION("""COMPUTED_VALUE"""),"KZ.7700.02.01.00693956")</f>
        <v>KZ.7700.02.01.00693956</v>
      </c>
      <c r="C263" s="1" t="str">
        <f ca="1">IFERROR(__xludf.DUMMYFUNCTION("""COMPUTED_VALUE"""),"Действителен до 01.08.2025")</f>
        <v>Действителен до 01.08.2025</v>
      </c>
      <c r="D263" s="8" t="str">
        <f ca="1">IFERROR(__xludf.DUMMYFUNCTION("""COMPUTED_VALUE"""),"2007TNI2488")</f>
        <v>2007TNI2488</v>
      </c>
      <c r="E263" s="1" t="str">
        <f ca="1">IFERROR(__xludf.DUMMYFUNCTION("""COMPUTED_VALUE"""),"годен до 07.2025")</f>
        <v>годен до 07.2025</v>
      </c>
      <c r="F263" s="1" t="str">
        <f ca="1">IFERROR(__xludf.DUMMYFUNCTION("""COMPUTED_VALUE"""),"Sexxxy классические №3 Презервативы латексные - 2007TNI2488")</f>
        <v>Sexxxy классические №3 Презервативы латексные - 2007TNI2488</v>
      </c>
      <c r="G263" s="1" t="str">
        <f ca="1">IFERROR(__xludf.DUMMYFUNCTION("""COMPUTED_VALUE"""),"KZ.7700.02.01.00693956 / Действителен до 01.08.2025 / 2007TNI2488 / годен до 07.2025")</f>
        <v>KZ.7700.02.01.00693956 / Действителен до 01.08.2025 / 2007TNI2488 / годен до 07.2025</v>
      </c>
      <c r="H263" s="1" t="str">
        <f ca="1">IFERROR(__xludf.DUMMYFUNCTION("""COMPUTED_VALUE"""),"Sexxxy классические №3 Презервативы латексные KZ.7700.02.01.00693956 / Действителен до 01.08.2025 / 2007TNI2488 / годен до 07.2025")</f>
        <v>Sexxxy классические №3 Презервативы латексные KZ.7700.02.01.00693956 / Действителен до 01.08.2025 / 2007TNI2488 / годен до 07.2025</v>
      </c>
    </row>
    <row r="264" spans="1:8" ht="12.75" x14ac:dyDescent="0.2">
      <c r="A264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264" s="1" t="str">
        <f ca="1">IFERROR(__xludf.DUMMYFUNCTION("""COMPUTED_VALUE"""),"KZ.7700.02.01.00693983")</f>
        <v>KZ.7700.02.01.00693983</v>
      </c>
      <c r="C264" s="1" t="str">
        <f ca="1">IFERROR(__xludf.DUMMYFUNCTION("""COMPUTED_VALUE"""),"Действителен до 01.09.2025")</f>
        <v>Действителен до 01.09.2025</v>
      </c>
      <c r="D264" s="8" t="str">
        <f ca="1">IFERROR(__xludf.DUMMYFUNCTION("""COMPUTED_VALUE"""),"2008TNI2512")</f>
        <v>2008TNI2512</v>
      </c>
      <c r="E264" s="1" t="str">
        <f ca="1">IFERROR(__xludf.DUMMYFUNCTION("""COMPUTED_VALUE"""),"годен до 08.2025")</f>
        <v>годен до 08.2025</v>
      </c>
      <c r="F264" s="1" t="str">
        <f ca="1">IFERROR(__xludf.DUMMYFUNCTION("""COMPUTED_VALUE"""),"Mister Ben С точечной структурой № 3 Презервативы латексные - 2008TNI2512")</f>
        <v>Mister Ben С точечной структурой № 3 Презервативы латексные - 2008TNI2512</v>
      </c>
      <c r="G264" s="1" t="str">
        <f ca="1">IFERROR(__xludf.DUMMYFUNCTION("""COMPUTED_VALUE"""),"KZ.7700.02.01.00693983 / Действителен до 01.09.2025 / 2008TNI2512 / годен до 08.2025")</f>
        <v>KZ.7700.02.01.00693983 / Действителен до 01.09.2025 / 2008TNI2512 / годен до 08.2025</v>
      </c>
      <c r="H264" s="1" t="str">
        <f ca="1">IFERROR(__xludf.DUMMYFUNCTION("""COMPUTED_VALUE"""),"Mister Ben С точечной структурой № 3 Презервативы латексные KZ.7700.02.01.00693983 / Действителен до 01.09.2025 / 2008TNI2512 / годен до 08.2025")</f>
        <v>Mister Ben С точечной структурой № 3 Презервативы латексные KZ.7700.02.01.00693983 / Действителен до 01.09.2025 / 2008TNI2512 / годен до 08.2025</v>
      </c>
    </row>
    <row r="265" spans="1:8" ht="12.75" x14ac:dyDescent="0.2">
      <c r="A265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265" s="1" t="str">
        <f ca="1">IFERROR(__xludf.DUMMYFUNCTION("""COMPUTED_VALUE"""),"KZ.7700.02.01.00693958")</f>
        <v>KZ.7700.02.01.00693958</v>
      </c>
      <c r="C265" s="1" t="str">
        <f ca="1">IFERROR(__xludf.DUMMYFUNCTION("""COMPUTED_VALUE"""),"Действителен до 01.09.2025")</f>
        <v>Действителен до 01.09.2025</v>
      </c>
      <c r="D265" s="8" t="str">
        <f ca="1">IFERROR(__xludf.DUMMYFUNCTION("""COMPUTED_VALUE"""),"2008TNI2663")</f>
        <v>2008TNI2663</v>
      </c>
      <c r="E265" s="1" t="str">
        <f ca="1">IFERROR(__xludf.DUMMYFUNCTION("""COMPUTED_VALUE"""),"годен до 08.2025")</f>
        <v>годен до 08.2025</v>
      </c>
      <c r="F265" s="1" t="str">
        <f ca="1">IFERROR(__xludf.DUMMYFUNCTION("""COMPUTED_VALUE"""),"Mister Ben Ультратонкие № 3 Презервативы латексные - 2008TNI2663")</f>
        <v>Mister Ben Ультратонкие № 3 Презервативы латексные - 2008TNI2663</v>
      </c>
      <c r="G265" s="1" t="str">
        <f ca="1">IFERROR(__xludf.DUMMYFUNCTION("""COMPUTED_VALUE"""),"KZ.7700.02.01.00693958 / Действителен до 01.09.2025 / 2008TNI2663 / годен до 08.2025")</f>
        <v>KZ.7700.02.01.00693958 / Действителен до 01.09.2025 / 2008TNI2663 / годен до 08.2025</v>
      </c>
      <c r="H265" s="1" t="str">
        <f ca="1">IFERROR(__xludf.DUMMYFUNCTION("""COMPUTED_VALUE"""),"Mister Ben Ультратонкие № 3 Презервативы латексные KZ.7700.02.01.00693958 / Действителен до 01.09.2025 / 2008TNI2663 / годен до 08.2025")</f>
        <v>Mister Ben Ультратонкие № 3 Презервативы латексные KZ.7700.02.01.00693958 / Действителен до 01.09.2025 / 2008TNI2663 / годен до 08.2025</v>
      </c>
    </row>
    <row r="266" spans="1:8" ht="12.75" x14ac:dyDescent="0.2">
      <c r="A266" s="1" t="str">
        <f ca="1">IFERROR(__xludf.DUMMYFUNCTION("""COMPUTED_VALUE"""),"DOLPHI 3 в 1 №3 Презервативы латексные")</f>
        <v>DOLPHI 3 в 1 №3 Презервативы латексные</v>
      </c>
      <c r="B266" s="1" t="str">
        <f ca="1">IFERROR(__xludf.DUMMYFUNCTION("""COMPUTED_VALUE"""),"KZ.7700.02.01.00679167")</f>
        <v>KZ.7700.02.01.00679167</v>
      </c>
      <c r="C266" s="1" t="str">
        <f ca="1">IFERROR(__xludf.DUMMYFUNCTION("""COMPUTED_VALUE"""),"Действителен до 01.07.2025")</f>
        <v>Действителен до 01.07.2025</v>
      </c>
      <c r="D266" s="8" t="str">
        <f ca="1">IFERROR(__xludf.DUMMYFUNCTION("""COMPUTED_VALUE"""),"2006TNI2503")</f>
        <v>2006TNI2503</v>
      </c>
      <c r="E266" s="1" t="str">
        <f ca="1">IFERROR(__xludf.DUMMYFUNCTION("""COMPUTED_VALUE"""),"годен до 06.2025")</f>
        <v>годен до 06.2025</v>
      </c>
      <c r="F266" s="1" t="str">
        <f ca="1">IFERROR(__xludf.DUMMYFUNCTION("""COMPUTED_VALUE"""),"DOLPHI 3 в 1 №3 Презервативы латексные - 2006TNI2503")</f>
        <v>DOLPHI 3 в 1 №3 Презервативы латексные - 2006TNI2503</v>
      </c>
      <c r="G266" s="1" t="str">
        <f ca="1">IFERROR(__xludf.DUMMYFUNCTION("""COMPUTED_VALUE"""),"KZ.7700.02.01.00679167 / Действителен до 01.07.2025 / 2006TNI2503 / годен до 06.2025")</f>
        <v>KZ.7700.02.01.00679167 / Действителен до 01.07.2025 / 2006TNI2503 / годен до 06.2025</v>
      </c>
      <c r="H266" s="1" t="str">
        <f ca="1">IFERROR(__xludf.DUMMYFUNCTION("""COMPUTED_VALUE"""),"DOLPHI 3 в 1 №3 Презервативы латексные KZ.7700.02.01.00679167 / Действителен до 01.07.2025 / 2006TNI2503 / годен до 06.2025")</f>
        <v>DOLPHI 3 в 1 №3 Презервативы латексные KZ.7700.02.01.00679167 / Действителен до 01.07.2025 / 2006TNI2503 / годен до 06.2025</v>
      </c>
    </row>
    <row r="267" spans="1:8" ht="12.75" x14ac:dyDescent="0.2">
      <c r="A267" s="1" t="str">
        <f ca="1">IFERROR(__xludf.DUMMYFUNCTION("""COMPUTED_VALUE"""),"DOLPHI 3 в 1 №12 Презервативы латексные")</f>
        <v>DOLPHI 3 в 1 №12 Презервативы латексные</v>
      </c>
      <c r="B267" s="1" t="str">
        <f ca="1">IFERROR(__xludf.DUMMYFUNCTION("""COMPUTED_VALUE"""),"KZ.7700.02.01.00679164")</f>
        <v>KZ.7700.02.01.00679164</v>
      </c>
      <c r="C267" s="1" t="str">
        <f ca="1">IFERROR(__xludf.DUMMYFUNCTION("""COMPUTED_VALUE"""),"Действителен до 01.07.2025")</f>
        <v>Действителен до 01.07.2025</v>
      </c>
      <c r="D267" s="8" t="str">
        <f ca="1">IFERROR(__xludf.DUMMYFUNCTION("""COMPUTED_VALUE"""),"2006TNI2503")</f>
        <v>2006TNI2503</v>
      </c>
      <c r="E267" s="1" t="str">
        <f ca="1">IFERROR(__xludf.DUMMYFUNCTION("""COMPUTED_VALUE"""),"годен до 06.2025")</f>
        <v>годен до 06.2025</v>
      </c>
      <c r="F267" s="1" t="str">
        <f ca="1">IFERROR(__xludf.DUMMYFUNCTION("""COMPUTED_VALUE"""),"DOLPHI 3 в 1 №12 Презервативы латексные - 2006TNI2503")</f>
        <v>DOLPHI 3 в 1 №12 Презервативы латексные - 2006TNI2503</v>
      </c>
      <c r="G267" s="1" t="str">
        <f ca="1">IFERROR(__xludf.DUMMYFUNCTION("""COMPUTED_VALUE"""),"KZ.7700.02.01.00679164 / Действителен до 01.07.2025 / 2006TNI2503 / годен до 06.2025")</f>
        <v>KZ.7700.02.01.00679164 / Действителен до 01.07.2025 / 2006TNI2503 / годен до 06.2025</v>
      </c>
      <c r="H267" s="1" t="str">
        <f ca="1">IFERROR(__xludf.DUMMYFUNCTION("""COMPUTED_VALUE"""),"DOLPHI 3 в 1 №12 Презервативы латексные KZ.7700.02.01.00679164 / Действителен до 01.07.2025 / 2006TNI2503 / годен до 06.2025")</f>
        <v>DOLPHI 3 в 1 №12 Презервативы латексные KZ.7700.02.01.00679164 / Действителен до 01.07.2025 / 2006TNI2503 / годен до 06.2025</v>
      </c>
    </row>
    <row r="268" spans="1:8" ht="12.75" x14ac:dyDescent="0.2">
      <c r="A268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68" s="1" t="str">
        <f ca="1">IFERROR(__xludf.DUMMYFUNCTION("""COMPUTED_VALUE"""),"KZ.7700.02.01.00679169")</f>
        <v>KZ.7700.02.01.00679169</v>
      </c>
      <c r="C268" s="1" t="str">
        <f ca="1">IFERROR(__xludf.DUMMYFUNCTION("""COMPUTED_VALUE"""),"Действителен до 01.05.2025")</f>
        <v>Действителен до 01.05.2025</v>
      </c>
      <c r="D268" s="8" t="str">
        <f ca="1">IFERROR(__xludf.DUMMYFUNCTION("""COMPUTED_VALUE"""),"2004TNI2507")</f>
        <v>2004TNI2507</v>
      </c>
      <c r="E268" s="1" t="str">
        <f ca="1">IFERROR(__xludf.DUMMYFUNCTION("""COMPUTED_VALUE"""),"годен до 04.2025")</f>
        <v>годен до 04.2025</v>
      </c>
      <c r="F268" s="1" t="str">
        <f ca="1">IFERROR(__xludf.DUMMYFUNCTION("""COMPUTED_VALUE"""),"DOLPHI анатомические ультратонкие Презервативы латексные, № 3 - 2004TNI2507")</f>
        <v>DOLPHI анатомические ультратонкие Презервативы латексные, № 3 - 2004TNI2507</v>
      </c>
      <c r="G268" s="1" t="str">
        <f ca="1">IFERROR(__xludf.DUMMYFUNCTION("""COMPUTED_VALUE"""),"KZ.7700.02.01.00679169 / Действителен до 01.05.2025 / 2004TNI2507 / годен до 04.2025")</f>
        <v>KZ.7700.02.01.00679169 / Действителен до 01.05.2025 / 2004TNI2507 / годен до 04.2025</v>
      </c>
      <c r="H268" s="1" t="str">
        <f ca="1">IFERROR(__xludf.DUMMYFUNCTION("""COMPUTED_VALUE"""),"DOLPHI анатомические ультратонкие Презервативы латексные, № 3 KZ.7700.02.01.00679169 / Действителен до 01.05.2025 / 2004TNI2507 / годен до 04.2025")</f>
        <v>DOLPHI анатомические ультратонкие Презервативы латексные, № 3 KZ.7700.02.01.00679169 / Действителен до 01.05.2025 / 2004TNI2507 / годен до 04.2025</v>
      </c>
    </row>
    <row r="269" spans="1:8" ht="12.75" x14ac:dyDescent="0.2">
      <c r="A269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269" s="1" t="str">
        <f ca="1">IFERROR(__xludf.DUMMYFUNCTION("""COMPUTED_VALUE"""),"KZ.7700.02.01.00679162")</f>
        <v>KZ.7700.02.01.00679162</v>
      </c>
      <c r="C269" s="1" t="str">
        <f ca="1">IFERROR(__xludf.DUMMYFUNCTION("""COMPUTED_VALUE"""),"Действителен до 01.05.2025")</f>
        <v>Действителен до 01.05.2025</v>
      </c>
      <c r="D269" s="8" t="str">
        <f ca="1">IFERROR(__xludf.DUMMYFUNCTION("""COMPUTED_VALUE"""),"2004TNI2507")</f>
        <v>2004TNI2507</v>
      </c>
      <c r="E269" s="1" t="str">
        <f ca="1">IFERROR(__xludf.DUMMYFUNCTION("""COMPUTED_VALUE"""),"годен до 04.2025")</f>
        <v>годен до 04.2025</v>
      </c>
      <c r="F269" s="1" t="str">
        <f ca="1">IFERROR(__xludf.DUMMYFUNCTION("""COMPUTED_VALUE"""),"DOLPHI анатомические ультратонкие, №12 Презервативы латексные - 2004TNI2507")</f>
        <v>DOLPHI анатомические ультратонкие, №12 Презервативы латексные - 2004TNI2507</v>
      </c>
      <c r="G269" s="1" t="str">
        <f ca="1">IFERROR(__xludf.DUMMYFUNCTION("""COMPUTED_VALUE"""),"KZ.7700.02.01.00679162 / Действителен до 01.05.2025 / 2004TNI2507 / годен до 04.2025")</f>
        <v>KZ.7700.02.01.00679162 / Действителен до 01.05.2025 / 2004TNI2507 / годен до 04.2025</v>
      </c>
      <c r="H269" s="1" t="str">
        <f ca="1">IFERROR(__xludf.DUMMYFUNCTION("""COMPUTED_VALUE"""),"DOLPHI анатомические ультратонкие, №12 Презервативы латексные KZ.7700.02.01.00679162 / Действителен до 01.05.2025 / 2004TNI2507 / годен до 04.2025")</f>
        <v>DOLPHI анатомические ультратонкие, №12 Презервативы латексные KZ.7700.02.01.00679162 / Действителен до 01.05.2025 / 2004TNI2507 / годен до 04.2025</v>
      </c>
    </row>
    <row r="270" spans="1:8" ht="12.75" x14ac:dyDescent="0.2">
      <c r="A270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270" s="1" t="str">
        <f ca="1">IFERROR(__xludf.DUMMYFUNCTION("""COMPUTED_VALUE"""),"KZ.7700.02.01.00679166")</f>
        <v>KZ.7700.02.01.00679166</v>
      </c>
      <c r="C270" s="1" t="str">
        <f ca="1">IFERROR(__xludf.DUMMYFUNCTION("""COMPUTED_VALUE"""),"Действителен до 01.06.2025")</f>
        <v>Действителен до 01.06.2025</v>
      </c>
      <c r="D270" s="8" t="str">
        <f ca="1">IFERROR(__xludf.DUMMYFUNCTION("""COMPUTED_VALUE"""),"2005TNI2487")</f>
        <v>2005TNI2487</v>
      </c>
      <c r="E270" s="1" t="str">
        <f ca="1">IFERROR(__xludf.DUMMYFUNCTION("""COMPUTED_VALUE"""),"годен до 05.2025")</f>
        <v>годен до 05.2025</v>
      </c>
      <c r="F270" s="1" t="str">
        <f ca="1">IFERROR(__xludf.DUMMYFUNCTION("""COMPUTED_VALUE"""),"DOLPHI Класические №3 Презервативы латексные - 2005TNI2487")</f>
        <v>DOLPHI Класические №3 Презервативы латексные - 2005TNI2487</v>
      </c>
      <c r="G270" s="1" t="str">
        <f ca="1">IFERROR(__xludf.DUMMYFUNCTION("""COMPUTED_VALUE"""),"KZ.7700.02.01.00679166 / Действителен до 01.06.2025 / 2005TNI2487 / годен до 05.2025")</f>
        <v>KZ.7700.02.01.00679166 / Действителен до 01.06.2025 / 2005TNI2487 / годен до 05.2025</v>
      </c>
      <c r="H270" s="1" t="str">
        <f ca="1">IFERROR(__xludf.DUMMYFUNCTION("""COMPUTED_VALUE"""),"DOLPHI Класические №3 Презервативы латексные KZ.7700.02.01.00679166 / Действителен до 01.06.2025 / 2005TNI2487 / годен до 05.2025")</f>
        <v>DOLPHI Класические №3 Презервативы латексные KZ.7700.02.01.00679166 / Действителен до 01.06.2025 / 2005TNI2487 / годен до 05.2025</v>
      </c>
    </row>
    <row r="271" spans="1:8" ht="12.75" x14ac:dyDescent="0.2">
      <c r="A271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271" s="1" t="str">
        <f ca="1">IFERROR(__xludf.DUMMYFUNCTION("""COMPUTED_VALUE"""),"KZ.7700.02.01.00679163")</f>
        <v>KZ.7700.02.01.00679163</v>
      </c>
      <c r="C271" s="1" t="str">
        <f ca="1">IFERROR(__xludf.DUMMYFUNCTION("""COMPUTED_VALUE"""),"Действителен до 01.06.2025")</f>
        <v>Действителен до 01.06.2025</v>
      </c>
      <c r="D271" s="8" t="str">
        <f ca="1">IFERROR(__xludf.DUMMYFUNCTION("""COMPUTED_VALUE"""),"2005TNI2487")</f>
        <v>2005TNI2487</v>
      </c>
      <c r="E271" s="1" t="str">
        <f ca="1">IFERROR(__xludf.DUMMYFUNCTION("""COMPUTED_VALUE"""),"годен до 05.2025")</f>
        <v>годен до 05.2025</v>
      </c>
      <c r="F271" s="1" t="str">
        <f ca="1">IFERROR(__xludf.DUMMYFUNCTION("""COMPUTED_VALUE"""),"DOLPHI классические, №12 Презервативы латексные - 2005TNI2487")</f>
        <v>DOLPHI классические, №12 Презервативы латексные - 2005TNI2487</v>
      </c>
      <c r="G271" s="1" t="str">
        <f ca="1">IFERROR(__xludf.DUMMYFUNCTION("""COMPUTED_VALUE"""),"KZ.7700.02.01.00679163 / Действителен до 01.06.2025 / 2005TNI2487 / годен до 05.2025")</f>
        <v>KZ.7700.02.01.00679163 / Действителен до 01.06.2025 / 2005TNI2487 / годен до 05.2025</v>
      </c>
      <c r="H271" s="1" t="str">
        <f ca="1">IFERROR(__xludf.DUMMYFUNCTION("""COMPUTED_VALUE"""),"DOLPHI классические, №12 Презервативы латексные KZ.7700.02.01.00679163 / Действителен до 01.06.2025 / 2005TNI2487 / годен до 05.2025")</f>
        <v>DOLPHI классические, №12 Презервативы латексные KZ.7700.02.01.00679163 / Действителен до 01.06.2025 / 2005TNI2487 / годен до 05.2025</v>
      </c>
    </row>
    <row r="272" spans="1:8" ht="12.75" x14ac:dyDescent="0.2">
      <c r="A272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72" s="1" t="str">
        <f ca="1">IFERROR(__xludf.DUMMYFUNCTION("""COMPUTED_VALUE"""),"KZ.7700.02.01.00679168")</f>
        <v>KZ.7700.02.01.00679168</v>
      </c>
      <c r="C272" s="1" t="str">
        <f ca="1">IFERROR(__xludf.DUMMYFUNCTION("""COMPUTED_VALUE"""),"Действителен до 01.08.2025")</f>
        <v>Действителен до 01.08.2025</v>
      </c>
      <c r="D272" s="8" t="str">
        <f ca="1">IFERROR(__xludf.DUMMYFUNCTION("""COMPUTED_VALUE"""),"2007TNI2669")</f>
        <v>2007TNI2669</v>
      </c>
      <c r="E272" s="1" t="str">
        <f ca="1">IFERROR(__xludf.DUMMYFUNCTION("""COMPUTED_VALUE"""),"годен до 07.2025")</f>
        <v>годен до 07.2025</v>
      </c>
      <c r="F272" s="1" t="str">
        <f ca="1">IFERROR(__xludf.DUMMYFUNCTION("""COMPUTED_VALUE"""),"DOLPHI ультратонкие №3 Презервативы латескные - 2007TNI2669")</f>
        <v>DOLPHI ультратонкие №3 Презервативы латескные - 2007TNI2669</v>
      </c>
      <c r="G272" s="1" t="str">
        <f ca="1">IFERROR(__xludf.DUMMYFUNCTION("""COMPUTED_VALUE"""),"KZ.7700.02.01.00679168 / Действителен до 01.08.2025 / 2007TNI2669 / годен до 07.2025")</f>
        <v>KZ.7700.02.01.00679168 / Действителен до 01.08.2025 / 2007TNI2669 / годен до 07.2025</v>
      </c>
      <c r="H272" s="1" t="str">
        <f ca="1">IFERROR(__xludf.DUMMYFUNCTION("""COMPUTED_VALUE"""),"DOLPHI ультратонкие №3 Презервативы латескные KZ.7700.02.01.00679168 / Действителен до 01.08.2025 / 2007TNI2669 / годен до 07.2025")</f>
        <v>DOLPHI ультратонкие №3 Презервативы латескные KZ.7700.02.01.00679168 / Действителен до 01.08.2025 / 2007TNI2669 / годен до 07.2025</v>
      </c>
    </row>
    <row r="273" spans="1:8" ht="12.75" x14ac:dyDescent="0.2">
      <c r="A273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73" s="1" t="str">
        <f ca="1">IFERROR(__xludf.DUMMYFUNCTION("""COMPUTED_VALUE"""),"KZ.7700.02.01.00679165")</f>
        <v>KZ.7700.02.01.00679165</v>
      </c>
      <c r="C273" s="1" t="str">
        <f ca="1">IFERROR(__xludf.DUMMYFUNCTION("""COMPUTED_VALUE"""),"Действителен до 01.08.2025")</f>
        <v>Действителен до 01.08.2025</v>
      </c>
      <c r="D273" s="8" t="str">
        <f ca="1">IFERROR(__xludf.DUMMYFUNCTION("""COMPUTED_VALUE"""),"2007TNI2659")</f>
        <v>2007TNI2659</v>
      </c>
      <c r="E273" s="1" t="str">
        <f ca="1">IFERROR(__xludf.DUMMYFUNCTION("""COMPUTED_VALUE"""),"годен до 07.2025")</f>
        <v>годен до 07.2025</v>
      </c>
      <c r="F273" s="1" t="str">
        <f ca="1">IFERROR(__xludf.DUMMYFUNCTION("""COMPUTED_VALUE"""),"DOLPHI ультратонкие №12 Презервативы латексные - 2007TNI2659")</f>
        <v>DOLPHI ультратонкие №12 Презервативы латексные - 2007TNI2659</v>
      </c>
      <c r="G273" s="1" t="str">
        <f ca="1">IFERROR(__xludf.DUMMYFUNCTION("""COMPUTED_VALUE"""),"KZ.7700.02.01.00679165 / Действителен до 01.08.2025 / 2007TNI2659 / годен до 07.2025")</f>
        <v>KZ.7700.02.01.00679165 / Действителен до 01.08.2025 / 2007TNI2659 / годен до 07.2025</v>
      </c>
      <c r="H273" s="1" t="str">
        <f ca="1">IFERROR(__xludf.DUMMYFUNCTION("""COMPUTED_VALUE"""),"DOLPHI ультратонкие №12 Презервативы латексные KZ.7700.02.01.00679165 / Действителен до 01.08.2025 / 2007TNI2659 / годен до 07.2025")</f>
        <v>DOLPHI ультратонкие №12 Презервативы латексные KZ.7700.02.01.00679165 / Действителен до 01.08.2025 / 2007TNI2659 / годен до 07.2025</v>
      </c>
    </row>
    <row r="274" spans="1:8" ht="12.75" x14ac:dyDescent="0.2">
      <c r="A274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274" s="1" t="str">
        <f ca="1">IFERROR(__xludf.DUMMYFUNCTION("""COMPUTED_VALUE"""),"KZ.7700.02.01.00679174")</f>
        <v>KZ.7700.02.01.00679174</v>
      </c>
      <c r="C274" s="1" t="str">
        <f ca="1">IFERROR(__xludf.DUMMYFUNCTION("""COMPUTED_VALUE"""),"Действителен до 01.07.2025")</f>
        <v>Действителен до 01.07.2025</v>
      </c>
      <c r="D274" s="8" t="str">
        <f ca="1">IFERROR(__xludf.DUMMYFUNCTION("""COMPUTED_VALUE"""),"2006TNI2488")</f>
        <v>2006TNI2488</v>
      </c>
      <c r="E274" s="1" t="str">
        <f ca="1">IFERROR(__xludf.DUMMYFUNCTION("""COMPUTED_VALUE"""),"годен до 06.2025")</f>
        <v>годен до 06.2025</v>
      </c>
      <c r="F274" s="1" t="str">
        <f ca="1">IFERROR(__xludf.DUMMYFUNCTION("""COMPUTED_VALUE"""),"Mister Ben классические № 3 Презервативы латексные - 2006TNI2488")</f>
        <v>Mister Ben классические № 3 Презервативы латексные - 2006TNI2488</v>
      </c>
      <c r="G274" s="1" t="str">
        <f ca="1">IFERROR(__xludf.DUMMYFUNCTION("""COMPUTED_VALUE"""),"KZ.7700.02.01.00679174 / Действителен до 01.07.2025 / 2006TNI2488 / годен до 06.2025")</f>
        <v>KZ.7700.02.01.00679174 / Действителен до 01.07.2025 / 2006TNI2488 / годен до 06.2025</v>
      </c>
      <c r="H274" s="1" t="str">
        <f ca="1">IFERROR(__xludf.DUMMYFUNCTION("""COMPUTED_VALUE"""),"Mister Ben классические № 3 Презервативы латексные KZ.7700.02.01.00679174 / Действителен до 01.07.2025 / 2006TNI2488 / годен до 06.2025")</f>
        <v>Mister Ben классические № 3 Презервативы латексные KZ.7700.02.01.00679174 / Действителен до 01.07.2025 / 2006TNI2488 / годен до 06.2025</v>
      </c>
    </row>
    <row r="275" spans="1:8" ht="12.75" x14ac:dyDescent="0.2">
      <c r="A275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275" s="1" t="str">
        <f ca="1">IFERROR(__xludf.DUMMYFUNCTION("""COMPUTED_VALUE"""),"KZ.7700.02.01.00679170")</f>
        <v>KZ.7700.02.01.00679170</v>
      </c>
      <c r="C275" s="1" t="str">
        <f ca="1">IFERROR(__xludf.DUMMYFUNCTION("""COMPUTED_VALUE"""),"Действителен до 01.07.2025")</f>
        <v>Действителен до 01.07.2025</v>
      </c>
      <c r="D275" s="8" t="str">
        <f ca="1">IFERROR(__xludf.DUMMYFUNCTION("""COMPUTED_VALUE"""),"2006TNI2487")</f>
        <v>2006TNI2487</v>
      </c>
      <c r="E275" s="1" t="str">
        <f ca="1">IFERROR(__xludf.DUMMYFUNCTION("""COMPUTED_VALUE"""),"годен до 06.2025")</f>
        <v>годен до 06.2025</v>
      </c>
      <c r="F275" s="1" t="str">
        <f ca="1">IFERROR(__xludf.DUMMYFUNCTION("""COMPUTED_VALUE"""),"Sexxxy классические №3 Презервативы латексные - 2006TNI2487")</f>
        <v>Sexxxy классические №3 Презервативы латексные - 2006TNI2487</v>
      </c>
      <c r="G275" s="1" t="str">
        <f ca="1">IFERROR(__xludf.DUMMYFUNCTION("""COMPUTED_VALUE"""),"KZ.7700.02.01.00679170 / Действителен до 01.07.2025 / 2006TNI2487 / годен до 06.2025")</f>
        <v>KZ.7700.02.01.00679170 / Действителен до 01.07.2025 / 2006TNI2487 / годен до 06.2025</v>
      </c>
      <c r="H275" s="1" t="str">
        <f ca="1">IFERROR(__xludf.DUMMYFUNCTION("""COMPUTED_VALUE"""),"Sexxxy классические №3 Презервативы латексные KZ.7700.02.01.00679170 / Действителен до 01.07.2025 / 2006TNI2487 / годен до 06.2025")</f>
        <v>Sexxxy классические №3 Презервативы латексные KZ.7700.02.01.00679170 / Действителен до 01.07.2025 / 2006TNI2487 / годен до 06.2025</v>
      </c>
    </row>
    <row r="276" spans="1:8" ht="12.75" x14ac:dyDescent="0.2">
      <c r="A276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276" s="1" t="str">
        <f ca="1">IFERROR(__xludf.DUMMYFUNCTION("""COMPUTED_VALUE"""),"KZ.7700.02.01.00679171")</f>
        <v>KZ.7700.02.01.00679171</v>
      </c>
      <c r="C276" s="1" t="str">
        <f ca="1">IFERROR(__xludf.DUMMYFUNCTION("""COMPUTED_VALUE"""),"Действителен до 01.05.2025")</f>
        <v>Действителен до 01.05.2025</v>
      </c>
      <c r="D276" s="8" t="str">
        <f ca="1">IFERROR(__xludf.DUMMYFUNCTION("""COMPUTED_VALUE"""),"2004TNI2513")</f>
        <v>2004TNI2513</v>
      </c>
      <c r="E276" s="1" t="str">
        <f ca="1">IFERROR(__xludf.DUMMYFUNCTION("""COMPUTED_VALUE"""),"годен до 04.2025")</f>
        <v>годен до 04.2025</v>
      </c>
      <c r="F276" s="1" t="str">
        <f ca="1">IFERROR(__xludf.DUMMYFUNCTION("""COMPUTED_VALUE"""),"Mister Ben Ребристые № 3 Презервативы латексные - 2004TNI2513")</f>
        <v>Mister Ben Ребристые № 3 Презервативы латексные - 2004TNI2513</v>
      </c>
      <c r="G276" s="1" t="str">
        <f ca="1">IFERROR(__xludf.DUMMYFUNCTION("""COMPUTED_VALUE"""),"KZ.7700.02.01.00679171 / Действителен до 01.05.2025 / 2004TNI2513 / годен до 04.2025")</f>
        <v>KZ.7700.02.01.00679171 / Действителен до 01.05.2025 / 2004TNI2513 / годен до 04.2025</v>
      </c>
      <c r="H276" s="1" t="str">
        <f ca="1">IFERROR(__xludf.DUMMYFUNCTION("""COMPUTED_VALUE"""),"Mister Ben Ребристые № 3 Презервативы латексные KZ.7700.02.01.00679171 / Действителен до 01.05.2025 / 2004TNI2513 / годен до 04.2025")</f>
        <v>Mister Ben Ребристые № 3 Презервативы латексные KZ.7700.02.01.00679171 / Действителен до 01.05.2025 / 2004TNI2513 / годен до 04.2025</v>
      </c>
    </row>
    <row r="277" spans="1:8" ht="12.75" x14ac:dyDescent="0.2">
      <c r="A277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277" s="1" t="str">
        <f ca="1">IFERROR(__xludf.DUMMYFUNCTION("""COMPUTED_VALUE"""),"KZ.7700.02.01.00679172")</f>
        <v>KZ.7700.02.01.00679172</v>
      </c>
      <c r="C277" s="1" t="str">
        <f ca="1">IFERROR(__xludf.DUMMYFUNCTION("""COMPUTED_VALUE"""),"Действителен до 01.05.2025")</f>
        <v>Действителен до 01.05.2025</v>
      </c>
      <c r="D277" s="8" t="str">
        <f ca="1">IFERROR(__xludf.DUMMYFUNCTION("""COMPUTED_VALUE"""),"2004TNI2256")</f>
        <v>2004TNI2256</v>
      </c>
      <c r="E277" s="1" t="str">
        <f ca="1">IFERROR(__xludf.DUMMYFUNCTION("""COMPUTED_VALUE"""),"годен до 04.2025")</f>
        <v>годен до 04.2025</v>
      </c>
      <c r="F277" s="1" t="str">
        <f ca="1">IFERROR(__xludf.DUMMYFUNCTION("""COMPUTED_VALUE"""),"Mister Ben С точечной структурой № 3 Презервативы латексные - 2004TNI2256")</f>
        <v>Mister Ben С точечной структурой № 3 Презервативы латексные - 2004TNI2256</v>
      </c>
      <c r="G277" s="1" t="str">
        <f ca="1">IFERROR(__xludf.DUMMYFUNCTION("""COMPUTED_VALUE"""),"KZ.7700.02.01.00679172 / Действителен до 01.05.2025 / 2004TNI2256 / годен до 04.2025")</f>
        <v>KZ.7700.02.01.00679172 / Действителен до 01.05.2025 / 2004TNI2256 / годен до 04.2025</v>
      </c>
      <c r="H277" s="1" t="str">
        <f ca="1">IFERROR(__xludf.DUMMYFUNCTION("""COMPUTED_VALUE"""),"Mister Ben С точечной структурой № 3 Презервативы латексные KZ.7700.02.01.00679172 / Действителен до 01.05.2025 / 2004TNI2256 / годен до 04.2025")</f>
        <v>Mister Ben С точечной структурой № 3 Презервативы латексные KZ.7700.02.01.00679172 / Действителен до 01.05.2025 / 2004TNI2256 / годен до 04.2025</v>
      </c>
    </row>
    <row r="278" spans="1:8" ht="12.75" x14ac:dyDescent="0.2">
      <c r="A278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278" s="1" t="str">
        <f ca="1">IFERROR(__xludf.DUMMYFUNCTION("""COMPUTED_VALUE"""),"KZ.7700.02.01.00679173")</f>
        <v>KZ.7700.02.01.00679173</v>
      </c>
      <c r="C278" s="1" t="str">
        <f ca="1">IFERROR(__xludf.DUMMYFUNCTION("""COMPUTED_VALUE"""),"Действителен до 01.08.2025")</f>
        <v>Действителен до 01.08.2025</v>
      </c>
      <c r="D278" s="8" t="str">
        <f ca="1">IFERROR(__xludf.DUMMYFUNCTION("""COMPUTED_VALUE"""),"2007TNI2669")</f>
        <v>2007TNI2669</v>
      </c>
      <c r="E278" s="1" t="str">
        <f ca="1">IFERROR(__xludf.DUMMYFUNCTION("""COMPUTED_VALUE"""),"годен до 07.2025")</f>
        <v>годен до 07.2025</v>
      </c>
      <c r="F278" s="1" t="str">
        <f ca="1">IFERROR(__xludf.DUMMYFUNCTION("""COMPUTED_VALUE"""),"Mister Ben Ультратонкие № 3 Презервативы латексные - 2007TNI2669")</f>
        <v>Mister Ben Ультратонкие № 3 Презервативы латексные - 2007TNI2669</v>
      </c>
      <c r="G278" s="1" t="str">
        <f ca="1">IFERROR(__xludf.DUMMYFUNCTION("""COMPUTED_VALUE"""),"KZ.7700.02.01.00679173 / Действителен до 01.08.2025 / 2007TNI2669 / годен до 07.2025")</f>
        <v>KZ.7700.02.01.00679173 / Действителен до 01.08.2025 / 2007TNI2669 / годен до 07.2025</v>
      </c>
      <c r="H278" s="1" t="str">
        <f ca="1">IFERROR(__xludf.DUMMYFUNCTION("""COMPUTED_VALUE"""),"Mister Ben Ультратонкие № 3 Презервативы латексные KZ.7700.02.01.00679173 / Действителен до 01.08.2025 / 2007TNI2669 / годен до 07.2025")</f>
        <v>Mister Ben Ультратонкие № 3 Презервативы латексные KZ.7700.02.01.00679173 / Действителен до 01.08.2025 / 2007TNI2669 / годен до 07.2025</v>
      </c>
    </row>
    <row r="279" spans="1:8" ht="12.75" x14ac:dyDescent="0.2">
      <c r="A279" s="1" t="str">
        <f ca="1">IFERROR(__xludf.DUMMYFUNCTION("""COMPUTED_VALUE"""),"DOLPHI 3 в 1 №3 Презервативы латексные")</f>
        <v>DOLPHI 3 в 1 №3 Презервативы латексные</v>
      </c>
      <c r="B279" s="1" t="str">
        <f ca="1">IFERROR(__xludf.DUMMYFUNCTION("""COMPUTED_VALUE"""),"KZ.7700.02.01.00662834")</f>
        <v>KZ.7700.02.01.00662834</v>
      </c>
      <c r="C279" s="1" t="str">
        <f ca="1">IFERROR(__xludf.DUMMYFUNCTION("""COMPUTED_VALUE"""),"Действителен до 01.04.2025")</f>
        <v>Действителен до 01.04.2025</v>
      </c>
      <c r="D279" s="8" t="str">
        <f ca="1">IFERROR(__xludf.DUMMYFUNCTION("""COMPUTED_VALUE"""),"2003TNI2502")</f>
        <v>2003TNI2502</v>
      </c>
      <c r="E279" s="1" t="str">
        <f ca="1">IFERROR(__xludf.DUMMYFUNCTION("""COMPUTED_VALUE"""),"годен до 03.2025")</f>
        <v>годен до 03.2025</v>
      </c>
      <c r="F279" s="1" t="str">
        <f ca="1">IFERROR(__xludf.DUMMYFUNCTION("""COMPUTED_VALUE"""),"DOLPHI 3 в 1 №3 Презервативы латексные - 2003TNI2502")</f>
        <v>DOLPHI 3 в 1 №3 Презервативы латексные - 2003TNI2502</v>
      </c>
      <c r="G279" s="1" t="str">
        <f ca="1">IFERROR(__xludf.DUMMYFUNCTION("""COMPUTED_VALUE"""),"KZ.7700.02.01.00662834 / Действителен до 01.04.2025 / 2003TNI2502 / годен до 03.2025")</f>
        <v>KZ.7700.02.01.00662834 / Действителен до 01.04.2025 / 2003TNI2502 / годен до 03.2025</v>
      </c>
      <c r="H279" s="1" t="str">
        <f ca="1">IFERROR(__xludf.DUMMYFUNCTION("""COMPUTED_VALUE"""),"DOLPHI 3 в 1 №3 Презервативы латексные KZ.7700.02.01.00662834 / Действителен до 01.04.2025 / 2003TNI2502 / годен до 03.2025")</f>
        <v>DOLPHI 3 в 1 №3 Презервативы латексные KZ.7700.02.01.00662834 / Действителен до 01.04.2025 / 2003TNI2502 / годен до 03.2025</v>
      </c>
    </row>
    <row r="280" spans="1:8" ht="12.75" x14ac:dyDescent="0.2">
      <c r="A280" s="1" t="str">
        <f ca="1">IFERROR(__xludf.DUMMYFUNCTION("""COMPUTED_VALUE"""),"DOLPHI 3 в 1 №12 Презервативы латексные")</f>
        <v>DOLPHI 3 в 1 №12 Презервативы латексные</v>
      </c>
      <c r="B280" s="1" t="str">
        <f ca="1">IFERROR(__xludf.DUMMYFUNCTION("""COMPUTED_VALUE"""),"KZ.7700.02.01.00662829")</f>
        <v>KZ.7700.02.01.00662829</v>
      </c>
      <c r="C280" s="1" t="str">
        <f ca="1">IFERROR(__xludf.DUMMYFUNCTION("""COMPUTED_VALUE"""),"Действителен до 01.04.2025")</f>
        <v>Действителен до 01.04.2025</v>
      </c>
      <c r="D280" s="8" t="str">
        <f ca="1">IFERROR(__xludf.DUMMYFUNCTION("""COMPUTED_VALUE"""),"2003TNI2502")</f>
        <v>2003TNI2502</v>
      </c>
      <c r="E280" s="1" t="str">
        <f ca="1">IFERROR(__xludf.DUMMYFUNCTION("""COMPUTED_VALUE"""),"годен до 03.2025")</f>
        <v>годен до 03.2025</v>
      </c>
      <c r="F280" s="1" t="str">
        <f ca="1">IFERROR(__xludf.DUMMYFUNCTION("""COMPUTED_VALUE"""),"DOLPHI 3 в 1 №12 Презервативы латексные - 2003TNI2502")</f>
        <v>DOLPHI 3 в 1 №12 Презервативы латексные - 2003TNI2502</v>
      </c>
      <c r="G280" s="1" t="str">
        <f ca="1">IFERROR(__xludf.DUMMYFUNCTION("""COMPUTED_VALUE"""),"KZ.7700.02.01.00662829 / Действителен до 01.04.2025 / 2003TNI2502 / годен до 03.2025")</f>
        <v>KZ.7700.02.01.00662829 / Действителен до 01.04.2025 / 2003TNI2502 / годен до 03.2025</v>
      </c>
      <c r="H280" s="1" t="str">
        <f ca="1">IFERROR(__xludf.DUMMYFUNCTION("""COMPUTED_VALUE"""),"DOLPHI 3 в 1 №12 Презервативы латексные KZ.7700.02.01.00662829 / Действителен до 01.04.2025 / 2003TNI2502 / годен до 03.2025")</f>
        <v>DOLPHI 3 в 1 №12 Презервативы латексные KZ.7700.02.01.00662829 / Действителен до 01.04.2025 / 2003TNI2502 / годен до 03.2025</v>
      </c>
    </row>
    <row r="281" spans="1:8" ht="12.75" x14ac:dyDescent="0.2">
      <c r="A281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81" s="1" t="str">
        <f ca="1">IFERROR(__xludf.DUMMYFUNCTION("""COMPUTED_VALUE"""),"KZ.7700.02.001.00662833")</f>
        <v>KZ.7700.02.001.00662833</v>
      </c>
      <c r="C281" s="1" t="str">
        <f ca="1">IFERROR(__xludf.DUMMYFUNCTION("""COMPUTED_VALUE"""),"Действителен до 01.04.2025")</f>
        <v>Действителен до 01.04.2025</v>
      </c>
      <c r="D281" s="8" t="str">
        <f ca="1">IFERROR(__xludf.DUMMYFUNCTION("""COMPUTED_VALUE"""),"2003TNI2509")</f>
        <v>2003TNI2509</v>
      </c>
      <c r="E281" s="1" t="str">
        <f ca="1">IFERROR(__xludf.DUMMYFUNCTION("""COMPUTED_VALUE"""),"годен до 03.2025")</f>
        <v>годен до 03.2025</v>
      </c>
      <c r="F281" s="1" t="str">
        <f ca="1">IFERROR(__xludf.DUMMYFUNCTION("""COMPUTED_VALUE"""),"DOLPHI анатомические ультратонкие Презервативы латексные, № 3 - 2003TNI2509")</f>
        <v>DOLPHI анатомические ультратонкие Презервативы латексные, № 3 - 2003TNI2509</v>
      </c>
      <c r="G281" s="1" t="str">
        <f ca="1">IFERROR(__xludf.DUMMYFUNCTION("""COMPUTED_VALUE"""),"KZ.7700.02.001.00662833 / Действителен до 01.04.2025 / 2003TNI2509 / годен до 03.2025")</f>
        <v>KZ.7700.02.001.00662833 / Действителен до 01.04.2025 / 2003TNI2509 / годен до 03.2025</v>
      </c>
      <c r="H281" s="1" t="str">
        <f ca="1">IFERROR(__xludf.DUMMYFUNCTION("""COMPUTED_VALUE"""),"DOLPHI анатомические ультратонкие Презервативы латексные, № 3 KZ.7700.02.001.00662833 / Действителен до 01.04.2025 / 2003TNI2509 / годен до 03.2025")</f>
        <v>DOLPHI анатомические ультратонкие Презервативы латексные, № 3 KZ.7700.02.001.00662833 / Действителен до 01.04.2025 / 2003TNI2509 / годен до 03.2025</v>
      </c>
    </row>
    <row r="282" spans="1:8" ht="12.75" x14ac:dyDescent="0.2">
      <c r="A282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282" s="1" t="str">
        <f ca="1">IFERROR(__xludf.DUMMYFUNCTION("""COMPUTED_VALUE"""),"KZ.7700.02.001.00662825")</f>
        <v>KZ.7700.02.001.00662825</v>
      </c>
      <c r="C282" s="1" t="str">
        <f ca="1">IFERROR(__xludf.DUMMYFUNCTION("""COMPUTED_VALUE"""),"Действителен до 01.04.2025")</f>
        <v>Действителен до 01.04.2025</v>
      </c>
      <c r="D282" s="8" t="str">
        <f ca="1">IFERROR(__xludf.DUMMYFUNCTION("""COMPUTED_VALUE"""),"2003TNI2509")</f>
        <v>2003TNI2509</v>
      </c>
      <c r="E282" s="1" t="str">
        <f ca="1">IFERROR(__xludf.DUMMYFUNCTION("""COMPUTED_VALUE"""),"годен до 03.2025")</f>
        <v>годен до 03.2025</v>
      </c>
      <c r="F282" s="1" t="str">
        <f ca="1">IFERROR(__xludf.DUMMYFUNCTION("""COMPUTED_VALUE"""),"DOLPHI анатомические ультратонкие, №12 Презервативы латексные - 2003TNI2509")</f>
        <v>DOLPHI анатомические ультратонкие, №12 Презервативы латексные - 2003TNI2509</v>
      </c>
      <c r="G282" s="1" t="str">
        <f ca="1">IFERROR(__xludf.DUMMYFUNCTION("""COMPUTED_VALUE"""),"KZ.7700.02.001.00662825 / Действителен до 01.04.2025 / 2003TNI2509 / годен до 03.2025")</f>
        <v>KZ.7700.02.001.00662825 / Действителен до 01.04.2025 / 2003TNI2509 / годен до 03.2025</v>
      </c>
      <c r="H282" s="1" t="str">
        <f ca="1">IFERROR(__xludf.DUMMYFUNCTION("""COMPUTED_VALUE"""),"DOLPHI анатомические ультратонкие, №12 Презервативы латексные KZ.7700.02.001.00662825 / Действителен до 01.04.2025 / 2003TNI2509 / годен до 03.2025")</f>
        <v>DOLPHI анатомические ультратонкие, №12 Презервативы латексные KZ.7700.02.001.00662825 / Действителен до 01.04.2025 / 2003TNI2509 / годен до 03.2025</v>
      </c>
    </row>
    <row r="283" spans="1:8" ht="12.75" x14ac:dyDescent="0.2">
      <c r="A283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283" s="1" t="str">
        <f ca="1">IFERROR(__xludf.DUMMYFUNCTION("""COMPUTED_VALUE"""),"KZ.7700.02.001.00662832")</f>
        <v>KZ.7700.02.001.00662832</v>
      </c>
      <c r="C283" s="1" t="str">
        <f ca="1">IFERROR(__xludf.DUMMYFUNCTION("""COMPUTED_VALUE"""),"Действителен до 01.05.2025")</f>
        <v>Действителен до 01.05.2025</v>
      </c>
      <c r="D283" s="8" t="str">
        <f ca="1">IFERROR(__xludf.DUMMYFUNCTION("""COMPUTED_VALUE"""),"2004TNI2486")</f>
        <v>2004TNI2486</v>
      </c>
      <c r="E283" s="1" t="str">
        <f ca="1">IFERROR(__xludf.DUMMYFUNCTION("""COMPUTED_VALUE"""),"годен до 04.2025")</f>
        <v>годен до 04.2025</v>
      </c>
      <c r="F283" s="1" t="str">
        <f ca="1">IFERROR(__xludf.DUMMYFUNCTION("""COMPUTED_VALUE"""),"DOLPHI Класические №3 Презервативы латексные - 2004TNI2486")</f>
        <v>DOLPHI Класические №3 Презервативы латексные - 2004TNI2486</v>
      </c>
      <c r="G283" s="1" t="str">
        <f ca="1">IFERROR(__xludf.DUMMYFUNCTION("""COMPUTED_VALUE"""),"KZ.7700.02.001.00662832 / Действителен до 01.05.2025 / 2004TNI2486 / годен до 04.2025")</f>
        <v>KZ.7700.02.001.00662832 / Действителен до 01.05.2025 / 2004TNI2486 / годен до 04.2025</v>
      </c>
      <c r="H283" s="1" t="str">
        <f ca="1">IFERROR(__xludf.DUMMYFUNCTION("""COMPUTED_VALUE"""),"DOLPHI Класические №3 Презервативы латексные KZ.7700.02.001.00662832 / Действителен до 01.05.2025 / 2004TNI2486 / годен до 04.2025")</f>
        <v>DOLPHI Класические №3 Презервативы латексные KZ.7700.02.001.00662832 / Действителен до 01.05.2025 / 2004TNI2486 / годен до 04.2025</v>
      </c>
    </row>
    <row r="284" spans="1:8" ht="12.75" x14ac:dyDescent="0.2">
      <c r="A284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284" s="1" t="str">
        <f ca="1">IFERROR(__xludf.DUMMYFUNCTION("""COMPUTED_VALUE"""),"KZ.7700.02.001.00662827")</f>
        <v>KZ.7700.02.001.00662827</v>
      </c>
      <c r="C284" s="1" t="str">
        <f ca="1">IFERROR(__xludf.DUMMYFUNCTION("""COMPUTED_VALUE"""),"Действителен до 01.05.2025")</f>
        <v>Действителен до 01.05.2025</v>
      </c>
      <c r="D284" s="8" t="str">
        <f ca="1">IFERROR(__xludf.DUMMYFUNCTION("""COMPUTED_VALUE"""),"2004TNI2486")</f>
        <v>2004TNI2486</v>
      </c>
      <c r="E284" s="1" t="str">
        <f ca="1">IFERROR(__xludf.DUMMYFUNCTION("""COMPUTED_VALUE"""),"годен до 04.2025")</f>
        <v>годен до 04.2025</v>
      </c>
      <c r="F284" s="1" t="str">
        <f ca="1">IFERROR(__xludf.DUMMYFUNCTION("""COMPUTED_VALUE"""),"DOLPHI классические, №12 Презервативы латексные - 2004TNI2486")</f>
        <v>DOLPHI классические, №12 Презервативы латексные - 2004TNI2486</v>
      </c>
      <c r="G284" s="1" t="str">
        <f ca="1">IFERROR(__xludf.DUMMYFUNCTION("""COMPUTED_VALUE"""),"KZ.7700.02.001.00662827 / Действителен до 01.05.2025 / 2004TNI2486 / годен до 04.2025")</f>
        <v>KZ.7700.02.001.00662827 / Действителен до 01.05.2025 / 2004TNI2486 / годен до 04.2025</v>
      </c>
      <c r="H284" s="1" t="str">
        <f ca="1">IFERROR(__xludf.DUMMYFUNCTION("""COMPUTED_VALUE"""),"DOLPHI классические, №12 Презервативы латексные KZ.7700.02.001.00662827 / Действителен до 01.05.2025 / 2004TNI2486 / годен до 04.2025")</f>
        <v>DOLPHI классические, №12 Презервативы латексные KZ.7700.02.001.00662827 / Действителен до 01.05.2025 / 2004TNI2486 / годен до 04.2025</v>
      </c>
    </row>
    <row r="285" spans="1:8" ht="12.75" x14ac:dyDescent="0.2">
      <c r="A285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85" s="1" t="str">
        <f ca="1">IFERROR(__xludf.DUMMYFUNCTION("""COMPUTED_VALUE"""),"KZ.7700.02.001.00662835")</f>
        <v>KZ.7700.02.001.00662835</v>
      </c>
      <c r="C285" s="1" t="str">
        <f ca="1">IFERROR(__xludf.DUMMYFUNCTION("""COMPUTED_VALUE"""),"Действителен до 01.04.2025")</f>
        <v>Действителен до 01.04.2025</v>
      </c>
      <c r="D285" s="8" t="str">
        <f ca="1">IFERROR(__xludf.DUMMYFUNCTION("""COMPUTED_VALUE"""),"2003TNI2496")</f>
        <v>2003TNI2496</v>
      </c>
      <c r="E285" s="1" t="str">
        <f ca="1">IFERROR(__xludf.DUMMYFUNCTION("""COMPUTED_VALUE"""),"годен до 03.2025")</f>
        <v>годен до 03.2025</v>
      </c>
      <c r="F285" s="1" t="str">
        <f ca="1">IFERROR(__xludf.DUMMYFUNCTION("""COMPUTED_VALUE"""),"DOLPHI ультратонкие №3 Презервативы латескные - 2003TNI2496")</f>
        <v>DOLPHI ультратонкие №3 Презервативы латескные - 2003TNI2496</v>
      </c>
      <c r="G285" s="1" t="str">
        <f ca="1">IFERROR(__xludf.DUMMYFUNCTION("""COMPUTED_VALUE"""),"KZ.7700.02.001.00662835 / Действителен до 01.04.2025 / 2003TNI2496 / годен до 03.2025")</f>
        <v>KZ.7700.02.001.00662835 / Действителен до 01.04.2025 / 2003TNI2496 / годен до 03.2025</v>
      </c>
      <c r="H285" s="1" t="str">
        <f ca="1">IFERROR(__xludf.DUMMYFUNCTION("""COMPUTED_VALUE"""),"DOLPHI ультратонкие №3 Презервативы латескные KZ.7700.02.001.00662835 / Действителен до 01.04.2025 / 2003TNI2496 / годен до 03.2025")</f>
        <v>DOLPHI ультратонкие №3 Презервативы латескные KZ.7700.02.001.00662835 / Действителен до 01.04.2025 / 2003TNI2496 / годен до 03.2025</v>
      </c>
    </row>
    <row r="286" spans="1:8" ht="12.75" x14ac:dyDescent="0.2">
      <c r="A286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86" s="1" t="str">
        <f ca="1">IFERROR(__xludf.DUMMYFUNCTION("""COMPUTED_VALUE"""),"KZ.7700.02.001.00662831")</f>
        <v>KZ.7700.02.001.00662831</v>
      </c>
      <c r="C286" s="1" t="str">
        <f ca="1">IFERROR(__xludf.DUMMYFUNCTION("""COMPUTED_VALUE"""),"Действителен до 01.04.2025")</f>
        <v>Действителен до 01.04.2025</v>
      </c>
      <c r="D286" s="8" t="str">
        <f ca="1">IFERROR(__xludf.DUMMYFUNCTION("""COMPUTED_VALUE"""),"2003TNI2496")</f>
        <v>2003TNI2496</v>
      </c>
      <c r="E286" s="1" t="str">
        <f ca="1">IFERROR(__xludf.DUMMYFUNCTION("""COMPUTED_VALUE"""),"годен до 03.2025")</f>
        <v>годен до 03.2025</v>
      </c>
      <c r="F286" s="1" t="str">
        <f ca="1">IFERROR(__xludf.DUMMYFUNCTION("""COMPUTED_VALUE"""),"DOLPHI ультратонкие №12 Презервативы латексные - 2003TNI2496")</f>
        <v>DOLPHI ультратонкие №12 Презервативы латексные - 2003TNI2496</v>
      </c>
      <c r="G286" s="1" t="str">
        <f ca="1">IFERROR(__xludf.DUMMYFUNCTION("""COMPUTED_VALUE"""),"KZ.7700.02.001.00662831 / Действителен до 01.04.2025 / 2003TNI2496 / годен до 03.2025")</f>
        <v>KZ.7700.02.001.00662831 / Действителен до 01.04.2025 / 2003TNI2496 / годен до 03.2025</v>
      </c>
      <c r="H286" s="1" t="str">
        <f ca="1">IFERROR(__xludf.DUMMYFUNCTION("""COMPUTED_VALUE"""),"DOLPHI ультратонкие №12 Презервативы латексные KZ.7700.02.001.00662831 / Действителен до 01.04.2025 / 2003TNI2496 / годен до 03.2025")</f>
        <v>DOLPHI ультратонкие №12 Презервативы латексные KZ.7700.02.001.00662831 / Действителен до 01.04.2025 / 2003TNI2496 / годен до 03.2025</v>
      </c>
    </row>
    <row r="287" spans="1:8" ht="12.75" x14ac:dyDescent="0.2">
      <c r="A287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287" s="1" t="str">
        <f ca="1">IFERROR(__xludf.DUMMYFUNCTION("""COMPUTED_VALUE"""),"KZ.7700.02.001.00662836")</f>
        <v>KZ.7700.02.001.00662836</v>
      </c>
      <c r="C287" s="1" t="str">
        <f ca="1">IFERROR(__xludf.DUMMYFUNCTION("""COMPUTED_VALUE"""),"Действителен до 01.05.2025")</f>
        <v>Действителен до 01.05.2025</v>
      </c>
      <c r="D287" s="8" t="str">
        <f ca="1">IFERROR(__xludf.DUMMYFUNCTION("""COMPUTED_VALUE"""),"2004TNI2486")</f>
        <v>2004TNI2486</v>
      </c>
      <c r="E287" s="1" t="str">
        <f ca="1">IFERROR(__xludf.DUMMYFUNCTION("""COMPUTED_VALUE"""),"годен до 04.2025")</f>
        <v>годен до 04.2025</v>
      </c>
      <c r="F287" s="1" t="str">
        <f ca="1">IFERROR(__xludf.DUMMYFUNCTION("""COMPUTED_VALUE"""),"Sexxxy классические №3 Презервативы латексные - 2004TNI2486")</f>
        <v>Sexxxy классические №3 Презервативы латексные - 2004TNI2486</v>
      </c>
      <c r="G287" s="1" t="str">
        <f ca="1">IFERROR(__xludf.DUMMYFUNCTION("""COMPUTED_VALUE"""),"KZ.7700.02.001.00662836 / Действителен до 01.05.2025 / 2004TNI2486 / годен до 04.2025")</f>
        <v>KZ.7700.02.001.00662836 / Действителен до 01.05.2025 / 2004TNI2486 / годен до 04.2025</v>
      </c>
      <c r="H287" s="1" t="str">
        <f ca="1">IFERROR(__xludf.DUMMYFUNCTION("""COMPUTED_VALUE"""),"Sexxxy классические №3 Презервативы латексные KZ.7700.02.001.00662836 / Действителен до 01.05.2025 / 2004TNI2486 / годен до 04.2025")</f>
        <v>Sexxxy классические №3 Презервативы латексные KZ.7700.02.001.00662836 / Действителен до 01.05.2025 / 2004TNI2486 / годен до 04.2025</v>
      </c>
    </row>
    <row r="288" spans="1:8" ht="12.75" x14ac:dyDescent="0.2">
      <c r="A288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288" s="1" t="str">
        <f ca="1">IFERROR(__xludf.DUMMYFUNCTION("""COMPUTED_VALUE"""),"KZ.7700.02.001.00662840")</f>
        <v>KZ.7700.02.001.00662840</v>
      </c>
      <c r="C288" s="1" t="str">
        <f ca="1">IFERROR(__xludf.DUMMYFUNCTION("""COMPUTED_VALUE"""),"Действителен до 01.05.2025")</f>
        <v>Действителен до 01.05.2025</v>
      </c>
      <c r="D288" s="8" t="str">
        <f ca="1">IFERROR(__xludf.DUMMYFUNCTION("""COMPUTED_VALUE"""),"2004TNI2486")</f>
        <v>2004TNI2486</v>
      </c>
      <c r="E288" s="1" t="str">
        <f ca="1">IFERROR(__xludf.DUMMYFUNCTION("""COMPUTED_VALUE"""),"годен до 04.2025")</f>
        <v>годен до 04.2025</v>
      </c>
      <c r="F288" s="1" t="str">
        <f ca="1">IFERROR(__xludf.DUMMYFUNCTION("""COMPUTED_VALUE"""),"Mister Ben классические № 3 Презервативы латексные - 2004TNI2486")</f>
        <v>Mister Ben классические № 3 Презервативы латексные - 2004TNI2486</v>
      </c>
      <c r="G288" s="1" t="str">
        <f ca="1">IFERROR(__xludf.DUMMYFUNCTION("""COMPUTED_VALUE"""),"KZ.7700.02.001.00662840 / Действителен до 01.05.2025 / 2004TNI2486 / годен до 04.2025")</f>
        <v>KZ.7700.02.001.00662840 / Действителен до 01.05.2025 / 2004TNI2486 / годен до 04.2025</v>
      </c>
      <c r="H288" s="1" t="str">
        <f ca="1">IFERROR(__xludf.DUMMYFUNCTION("""COMPUTED_VALUE"""),"Mister Ben классические № 3 Презервативы латексные KZ.7700.02.001.00662840 / Действителен до 01.05.2025 / 2004TNI2486 / годен до 04.2025")</f>
        <v>Mister Ben классические № 3 Презервативы латексные KZ.7700.02.001.00662840 / Действителен до 01.05.2025 / 2004TNI2486 / годен до 04.2025</v>
      </c>
    </row>
    <row r="289" spans="1:8" ht="12.75" x14ac:dyDescent="0.2">
      <c r="A289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289" s="1" t="str">
        <f ca="1">IFERROR(__xludf.DUMMYFUNCTION("""COMPUTED_VALUE"""),"KZ.7700.02.001.00662837")</f>
        <v>KZ.7700.02.001.00662837</v>
      </c>
      <c r="C289" s="1" t="str">
        <f ca="1">IFERROR(__xludf.DUMMYFUNCTION("""COMPUTED_VALUE"""),"Действителен до 01.05.2025")</f>
        <v>Действителен до 01.05.2025</v>
      </c>
      <c r="D289" s="8" t="str">
        <f ca="1">IFERROR(__xludf.DUMMYFUNCTION("""COMPUTED_VALUE"""),"2004TNI2513")</f>
        <v>2004TNI2513</v>
      </c>
      <c r="E289" s="1" t="str">
        <f ca="1">IFERROR(__xludf.DUMMYFUNCTION("""COMPUTED_VALUE"""),"годен до 04.2025")</f>
        <v>годен до 04.2025</v>
      </c>
      <c r="F289" s="1" t="str">
        <f ca="1">IFERROR(__xludf.DUMMYFUNCTION("""COMPUTED_VALUE"""),"Mister Ben Ребристые № 3 Презервативы латексные - 2004TNI2513")</f>
        <v>Mister Ben Ребристые № 3 Презервативы латексные - 2004TNI2513</v>
      </c>
      <c r="G289" s="1" t="str">
        <f ca="1">IFERROR(__xludf.DUMMYFUNCTION("""COMPUTED_VALUE"""),"KZ.7700.02.001.00662837 / Действителен до 01.05.2025 / 2004TNI2513 / годен до 04.2025")</f>
        <v>KZ.7700.02.001.00662837 / Действителен до 01.05.2025 / 2004TNI2513 / годен до 04.2025</v>
      </c>
      <c r="H289" s="1" t="str">
        <f ca="1">IFERROR(__xludf.DUMMYFUNCTION("""COMPUTED_VALUE"""),"Mister Ben Ребристые № 3 Презервативы латексные KZ.7700.02.001.00662837 / Действителен до 01.05.2025 / 2004TNI2513 / годен до 04.2025")</f>
        <v>Mister Ben Ребристые № 3 Презервативы латексные KZ.7700.02.001.00662837 / Действителен до 01.05.2025 / 2004TNI2513 / годен до 04.2025</v>
      </c>
    </row>
    <row r="290" spans="1:8" ht="12.75" x14ac:dyDescent="0.2">
      <c r="A290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290" s="1" t="str">
        <f ca="1">IFERROR(__xludf.DUMMYFUNCTION("""COMPUTED_VALUE"""),"KZ.7700.02.001.00662838")</f>
        <v>KZ.7700.02.001.00662838</v>
      </c>
      <c r="C290" s="1" t="str">
        <f ca="1">IFERROR(__xludf.DUMMYFUNCTION("""COMPUTED_VALUE"""),"Действителен до 01.05.2025")</f>
        <v>Действителен до 01.05.2025</v>
      </c>
      <c r="D290" s="8" t="str">
        <f ca="1">IFERROR(__xludf.DUMMYFUNCTION("""COMPUTED_VALUE"""),"2004TNI2256")</f>
        <v>2004TNI2256</v>
      </c>
      <c r="E290" s="1" t="str">
        <f ca="1">IFERROR(__xludf.DUMMYFUNCTION("""COMPUTED_VALUE"""),"годен до 04.2025")</f>
        <v>годен до 04.2025</v>
      </c>
      <c r="F290" s="1" t="str">
        <f ca="1">IFERROR(__xludf.DUMMYFUNCTION("""COMPUTED_VALUE"""),"Mister Ben С точечной структурой № 3 Презервативы латексные - 2004TNI2256")</f>
        <v>Mister Ben С точечной структурой № 3 Презервативы латексные - 2004TNI2256</v>
      </c>
      <c r="G290" s="1" t="str">
        <f ca="1">IFERROR(__xludf.DUMMYFUNCTION("""COMPUTED_VALUE"""),"KZ.7700.02.001.00662838 / Действителен до 01.05.2025 / 2004TNI2256 / годен до 04.2025")</f>
        <v>KZ.7700.02.001.00662838 / Действителен до 01.05.2025 / 2004TNI2256 / годен до 04.2025</v>
      </c>
      <c r="H290" s="1" t="str">
        <f ca="1">IFERROR(__xludf.DUMMYFUNCTION("""COMPUTED_VALUE"""),"Mister Ben С точечной структурой № 3 Презервативы латексные KZ.7700.02.001.00662838 / Действителен до 01.05.2025 / 2004TNI2256 / годен до 04.2025")</f>
        <v>Mister Ben С точечной структурой № 3 Презервативы латексные KZ.7700.02.001.00662838 / Действителен до 01.05.2025 / 2004TNI2256 / годен до 04.2025</v>
      </c>
    </row>
    <row r="291" spans="1:8" ht="12.75" x14ac:dyDescent="0.2">
      <c r="A291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291" s="1" t="str">
        <f ca="1">IFERROR(__xludf.DUMMYFUNCTION("""COMPUTED_VALUE"""),"KZ.7700.02.001.00662839")</f>
        <v>KZ.7700.02.001.00662839</v>
      </c>
      <c r="C291" s="1" t="str">
        <f ca="1">IFERROR(__xludf.DUMMYFUNCTION("""COMPUTED_VALUE"""),"Действителен до 01.05.2025")</f>
        <v>Действителен до 01.05.2025</v>
      </c>
      <c r="D291" s="8" t="str">
        <f ca="1">IFERROR(__xludf.DUMMYFUNCTION("""COMPUTED_VALUE"""),"2004TNI2497")</f>
        <v>2004TNI2497</v>
      </c>
      <c r="E291" s="1" t="str">
        <f ca="1">IFERROR(__xludf.DUMMYFUNCTION("""COMPUTED_VALUE"""),"годен до 04.2025")</f>
        <v>годен до 04.2025</v>
      </c>
      <c r="F291" s="1" t="str">
        <f ca="1">IFERROR(__xludf.DUMMYFUNCTION("""COMPUTED_VALUE"""),"Mister Ben Ультратонкие № 3 Презервативы латексные - 2004TNI2497")</f>
        <v>Mister Ben Ультратонкие № 3 Презервативы латексные - 2004TNI2497</v>
      </c>
      <c r="G291" s="1" t="str">
        <f ca="1">IFERROR(__xludf.DUMMYFUNCTION("""COMPUTED_VALUE"""),"KZ.7700.02.001.00662839 / Действителен до 01.05.2025 / 2004TNI2497 / годен до 04.2025")</f>
        <v>KZ.7700.02.001.00662839 / Действителен до 01.05.2025 / 2004TNI2497 / годен до 04.2025</v>
      </c>
      <c r="H291" s="1" t="str">
        <f ca="1">IFERROR(__xludf.DUMMYFUNCTION("""COMPUTED_VALUE"""),"Mister Ben Ультратонкие № 3 Презервативы латексные KZ.7700.02.001.00662839 / Действителен до 01.05.2025 / 2004TNI2497 / годен до 04.2025")</f>
        <v>Mister Ben Ультратонкие № 3 Презервативы латексные KZ.7700.02.001.00662839 / Действителен до 01.05.2025 / 2004TNI2497 / годен до 04.2025</v>
      </c>
    </row>
    <row r="292" spans="1:8" ht="12.75" x14ac:dyDescent="0.2">
      <c r="A292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92" s="1" t="str">
        <f ca="1">IFERROR(__xludf.DUMMYFUNCTION("""COMPUTED_VALUE"""),"KZ.7700.02.01.00636955")</f>
        <v>KZ.7700.02.01.00636955</v>
      </c>
      <c r="C292" s="1" t="str">
        <f ca="1">IFERROR(__xludf.DUMMYFUNCTION("""COMPUTED_VALUE"""),"Действителен до 01.12.2024")</f>
        <v>Действителен до 01.12.2024</v>
      </c>
      <c r="D292" s="8" t="str">
        <f ca="1">IFERROR(__xludf.DUMMYFUNCTION("""COMPUTED_VALUE"""),"1911TNI2391")</f>
        <v>1911TNI2391</v>
      </c>
      <c r="E292" s="1" t="str">
        <f ca="1">IFERROR(__xludf.DUMMYFUNCTION("""COMPUTED_VALUE"""),"годен до 11.2024")</f>
        <v>годен до 11.2024</v>
      </c>
      <c r="F292" s="1" t="str">
        <f ca="1">IFERROR(__xludf.DUMMYFUNCTION("""COMPUTED_VALUE"""),"DOLPHI анатомические ультратонкие Презервативы латексные, № 3 - 1911TNI2391")</f>
        <v>DOLPHI анатомические ультратонкие Презервативы латексные, № 3 - 1911TNI2391</v>
      </c>
      <c r="G292" s="1" t="str">
        <f ca="1">IFERROR(__xludf.DUMMYFUNCTION("""COMPUTED_VALUE"""),"KZ.7700.02.01.00636955 / Действителен до 01.12.2024 / 1911TNI2391 / годен до 11.2024")</f>
        <v>KZ.7700.02.01.00636955 / Действителен до 01.12.2024 / 1911TNI2391 / годен до 11.2024</v>
      </c>
      <c r="H292" s="1" t="str">
        <f ca="1">IFERROR(__xludf.DUMMYFUNCTION("""COMPUTED_VALUE"""),"DOLPHI анатомические ультратонкие Презервативы латексные, № 3 KZ.7700.02.01.00636955 / Действителен до 01.12.2024 / 1911TNI2391 / годен до 11.2024")</f>
        <v>DOLPHI анатомические ультратонкие Презервативы латексные, № 3 KZ.7700.02.01.00636955 / Действителен до 01.12.2024 / 1911TNI2391 / годен до 11.2024</v>
      </c>
    </row>
    <row r="293" spans="1:8" ht="12.75" x14ac:dyDescent="0.2">
      <c r="A293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293" s="1" t="str">
        <f ca="1">IFERROR(__xludf.DUMMYFUNCTION("""COMPUTED_VALUE"""),"KZ.7700.02.01.00636956")</f>
        <v>KZ.7700.02.01.00636956</v>
      </c>
      <c r="C293" s="1" t="str">
        <f ca="1">IFERROR(__xludf.DUMMYFUNCTION("""COMPUTED_VALUE"""),"Действителен до 01.12.2024")</f>
        <v>Действителен до 01.12.2024</v>
      </c>
      <c r="D293" s="8" t="str">
        <f ca="1">IFERROR(__xludf.DUMMYFUNCTION("""COMPUTED_VALUE"""),"1911TNI2391")</f>
        <v>1911TNI2391</v>
      </c>
      <c r="E293" s="1" t="str">
        <f ca="1">IFERROR(__xludf.DUMMYFUNCTION("""COMPUTED_VALUE"""),"годен до 11.2024")</f>
        <v>годен до 11.2024</v>
      </c>
      <c r="F293" s="1" t="str">
        <f ca="1">IFERROR(__xludf.DUMMYFUNCTION("""COMPUTED_VALUE"""),"DOLPHI анатомические ультратонкие, №12 Презервативы латексные - 1911TNI2391")</f>
        <v>DOLPHI анатомические ультратонкие, №12 Презервативы латексные - 1911TNI2391</v>
      </c>
      <c r="G293" s="1" t="str">
        <f ca="1">IFERROR(__xludf.DUMMYFUNCTION("""COMPUTED_VALUE"""),"KZ.7700.02.01.00636956 / Действителен до 01.12.2024 / 1911TNI2391 / годен до 11.2024")</f>
        <v>KZ.7700.02.01.00636956 / Действителен до 01.12.2024 / 1911TNI2391 / годен до 11.2024</v>
      </c>
      <c r="H293" s="1" t="str">
        <f ca="1">IFERROR(__xludf.DUMMYFUNCTION("""COMPUTED_VALUE"""),"DOLPHI анатомические ультратонкие, №12 Презервативы латексные KZ.7700.02.01.00636956 / Действителен до 01.12.2024 / 1911TNI2391 / годен до 11.2024")</f>
        <v>DOLPHI анатомические ультратонкие, №12 Презервативы латексные KZ.7700.02.01.00636956 / Действителен до 01.12.2024 / 1911TNI2391 / годен до 11.2024</v>
      </c>
    </row>
    <row r="294" spans="1:8" ht="12.75" x14ac:dyDescent="0.2">
      <c r="A294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94" s="1" t="str">
        <f ca="1">IFERROR(__xludf.DUMMYFUNCTION("""COMPUTED_VALUE"""),"KZ.7700.02.01.00636959")</f>
        <v>KZ.7700.02.01.00636959</v>
      </c>
      <c r="C294" s="1" t="str">
        <f ca="1">IFERROR(__xludf.DUMMYFUNCTION("""COMPUTED_VALUE"""),"Действителен до 01.02.2025")</f>
        <v>Действителен до 01.02.2025</v>
      </c>
      <c r="D294" s="8" t="str">
        <f ca="1">IFERROR(__xludf.DUMMYFUNCTION("""COMPUTED_VALUE"""),"2001TNI2386")</f>
        <v>2001TNI2386</v>
      </c>
      <c r="E294" s="1" t="str">
        <f ca="1">IFERROR(__xludf.DUMMYFUNCTION("""COMPUTED_VALUE"""),"годен до 01.2025")</f>
        <v>годен до 01.2025</v>
      </c>
      <c r="F294" s="1" t="str">
        <f ca="1">IFERROR(__xludf.DUMMYFUNCTION("""COMPUTED_VALUE"""),"DOLPHI ультратонкие №3 Презервативы латескные - 2001TNI2386")</f>
        <v>DOLPHI ультратонкие №3 Презервативы латескные - 2001TNI2386</v>
      </c>
      <c r="G294" s="1" t="str">
        <f ca="1">IFERROR(__xludf.DUMMYFUNCTION("""COMPUTED_VALUE"""),"KZ.7700.02.01.00636959 / Действителен до 01.02.2025 / 2001TNI2386 / годен до 01.2025")</f>
        <v>KZ.7700.02.01.00636959 / Действителен до 01.02.2025 / 2001TNI2386 / годен до 01.2025</v>
      </c>
      <c r="H294" s="1" t="str">
        <f ca="1">IFERROR(__xludf.DUMMYFUNCTION("""COMPUTED_VALUE"""),"DOLPHI ультратонкие №3 Презервативы латескные KZ.7700.02.01.00636959 / Действителен до 01.02.2025 / 2001TNI2386 / годен до 01.2025")</f>
        <v>DOLPHI ультратонкие №3 Презервативы латескные KZ.7700.02.01.00636959 / Действителен до 01.02.2025 / 2001TNI2386 / годен до 01.2025</v>
      </c>
    </row>
    <row r="295" spans="1:8" ht="12.75" x14ac:dyDescent="0.2">
      <c r="A295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95" s="1" t="str">
        <f ca="1">IFERROR(__xludf.DUMMYFUNCTION("""COMPUTED_VALUE"""),"KZ.7700.02.01.00636960")</f>
        <v>KZ.7700.02.01.00636960</v>
      </c>
      <c r="C295" s="1" t="str">
        <f ca="1">IFERROR(__xludf.DUMMYFUNCTION("""COMPUTED_VALUE"""),"Действителен до 01.02.2025")</f>
        <v>Действителен до 01.02.2025</v>
      </c>
      <c r="D295" s="8" t="str">
        <f ca="1">IFERROR(__xludf.DUMMYFUNCTION("""COMPUTED_VALUE"""),"2001TNI2386")</f>
        <v>2001TNI2386</v>
      </c>
      <c r="E295" s="1" t="str">
        <f ca="1">IFERROR(__xludf.DUMMYFUNCTION("""COMPUTED_VALUE"""),"годен до 01.2025")</f>
        <v>годен до 01.2025</v>
      </c>
      <c r="F295" s="1" t="str">
        <f ca="1">IFERROR(__xludf.DUMMYFUNCTION("""COMPUTED_VALUE"""),"DOLPHI ультратонкие №12 Презервативы латексные - 2001TNI2386")</f>
        <v>DOLPHI ультратонкие №12 Презервативы латексные - 2001TNI2386</v>
      </c>
      <c r="G295" s="1" t="str">
        <f ca="1">IFERROR(__xludf.DUMMYFUNCTION("""COMPUTED_VALUE"""),"KZ.7700.02.01.00636960 / Действителен до 01.02.2025 / 2001TNI2386 / годен до 01.2025")</f>
        <v>KZ.7700.02.01.00636960 / Действителен до 01.02.2025 / 2001TNI2386 / годен до 01.2025</v>
      </c>
      <c r="H295" s="1" t="str">
        <f ca="1">IFERROR(__xludf.DUMMYFUNCTION("""COMPUTED_VALUE"""),"DOLPHI ультратонкие №12 Презервативы латексные KZ.7700.02.01.00636960 / Действителен до 01.02.2025 / 2001TNI2386 / годен до 01.2025")</f>
        <v>DOLPHI ультратонкие №12 Презервативы латексные KZ.7700.02.01.00636960 / Действителен до 01.02.2025 / 2001TNI2386 / годен до 01.2025</v>
      </c>
    </row>
    <row r="296" spans="1:8" ht="12.75" x14ac:dyDescent="0.2">
      <c r="A296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296" s="1" t="str">
        <f ca="1">IFERROR(__xludf.DUMMYFUNCTION("""COMPUTED_VALUE"""),"KZ.7700.02.01.00636954")</f>
        <v>KZ.7700.02.01.00636954</v>
      </c>
      <c r="C296" s="1" t="str">
        <f ca="1">IFERROR(__xludf.DUMMYFUNCTION("""COMPUTED_VALUE"""),"Действителен до 01.01.2025")</f>
        <v>Действителен до 01.01.2025</v>
      </c>
      <c r="D296" s="8" t="str">
        <f ca="1">IFERROR(__xludf.DUMMYFUNCTION("""COMPUTED_VALUE"""),"1912TNI2379")</f>
        <v>1912TNI2379</v>
      </c>
      <c r="E296" s="1" t="str">
        <f ca="1">IFERROR(__xludf.DUMMYFUNCTION("""COMPUTED_VALUE"""),"годен до 12.2024")</f>
        <v>годен до 12.2024</v>
      </c>
      <c r="F296" s="1" t="str">
        <f ca="1">IFERROR(__xludf.DUMMYFUNCTION("""COMPUTED_VALUE"""),"DOLPHI Класические №3 Презервативы латексные - 1912TNI2379")</f>
        <v>DOLPHI Класические №3 Презервативы латексные - 1912TNI2379</v>
      </c>
      <c r="G296" s="1" t="str">
        <f ca="1">IFERROR(__xludf.DUMMYFUNCTION("""COMPUTED_VALUE"""),"KZ.7700.02.01.00636954 / Действителен до 01.01.2025 / 1912TNI2379 / годен до 12.2024")</f>
        <v>KZ.7700.02.01.00636954 / Действителен до 01.01.2025 / 1912TNI2379 / годен до 12.2024</v>
      </c>
      <c r="H296" s="1" t="str">
        <f ca="1">IFERROR(__xludf.DUMMYFUNCTION("""COMPUTED_VALUE"""),"DOLPHI Класические №3 Презервативы латексные KZ.7700.02.01.00636954 / Действителен до 01.01.2025 / 1912TNI2379 / годен до 12.2024")</f>
        <v>DOLPHI Класические №3 Презервативы латексные KZ.7700.02.01.00636954 / Действителен до 01.01.2025 / 1912TNI2379 / годен до 12.2024</v>
      </c>
    </row>
    <row r="297" spans="1:8" ht="12.75" x14ac:dyDescent="0.2">
      <c r="A297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297" s="1" t="str">
        <f ca="1">IFERROR(__xludf.DUMMYFUNCTION("""COMPUTED_VALUE"""),"KZ.7700.02.01.00636953")</f>
        <v>KZ.7700.02.01.00636953</v>
      </c>
      <c r="C297" s="1" t="str">
        <f ca="1">IFERROR(__xludf.DUMMYFUNCTION("""COMPUTED_VALUE"""),"Действителен до 01.01.2025")</f>
        <v>Действителен до 01.01.2025</v>
      </c>
      <c r="D297" s="8" t="str">
        <f ca="1">IFERROR(__xludf.DUMMYFUNCTION("""COMPUTED_VALUE"""),"1912TNI2379")</f>
        <v>1912TNI2379</v>
      </c>
      <c r="E297" s="1" t="str">
        <f ca="1">IFERROR(__xludf.DUMMYFUNCTION("""COMPUTED_VALUE"""),"годен до 12.2024")</f>
        <v>годен до 12.2024</v>
      </c>
      <c r="F297" s="1" t="str">
        <f ca="1">IFERROR(__xludf.DUMMYFUNCTION("""COMPUTED_VALUE"""),"DOLPHI классические, №12 Презервативы латексные - 1912TNI2379")</f>
        <v>DOLPHI классические, №12 Презервативы латексные - 1912TNI2379</v>
      </c>
      <c r="G297" s="1" t="str">
        <f ca="1">IFERROR(__xludf.DUMMYFUNCTION("""COMPUTED_VALUE"""),"KZ.7700.02.01.00636953 / Действителен до 01.01.2025 / 1912TNI2379 / годен до 12.2024")</f>
        <v>KZ.7700.02.01.00636953 / Действителен до 01.01.2025 / 1912TNI2379 / годен до 12.2024</v>
      </c>
      <c r="H297" s="1" t="str">
        <f ca="1">IFERROR(__xludf.DUMMYFUNCTION("""COMPUTED_VALUE"""),"DOLPHI классические, №12 Презервативы латексные KZ.7700.02.01.00636953 / Действителен до 01.01.2025 / 1912TNI2379 / годен до 12.2024")</f>
        <v>DOLPHI классические, №12 Презервативы латексные KZ.7700.02.01.00636953 / Действителен до 01.01.2025 / 1912TNI2379 / годен до 12.2024</v>
      </c>
    </row>
    <row r="298" spans="1:8" ht="12.75" x14ac:dyDescent="0.2">
      <c r="A298" s="1" t="str">
        <f ca="1">IFERROR(__xludf.DUMMYFUNCTION("""COMPUTED_VALUE"""),"DOLPHI 3 в 1 №3 Презервативы латексные")</f>
        <v>DOLPHI 3 в 1 №3 Презервативы латексные</v>
      </c>
      <c r="B298" s="1" t="str">
        <f ca="1">IFERROR(__xludf.DUMMYFUNCTION("""COMPUTED_VALUE"""),"KZ.7700.02.01.00636958")</f>
        <v>KZ.7700.02.01.00636958</v>
      </c>
      <c r="C298" s="1" t="str">
        <f ca="1">IFERROR(__xludf.DUMMYFUNCTION("""COMPUTED_VALUE"""),"Действителен до 01.01.2025")</f>
        <v>Действителен до 01.01.2025</v>
      </c>
      <c r="D298" s="8" t="str">
        <f ca="1">IFERROR(__xludf.DUMMYFUNCTION("""COMPUTED_VALUE"""),"1912TNI2388")</f>
        <v>1912TNI2388</v>
      </c>
      <c r="E298" s="1" t="str">
        <f ca="1">IFERROR(__xludf.DUMMYFUNCTION("""COMPUTED_VALUE"""),"годен до 12.2024 ")</f>
        <v xml:space="preserve">годен до 12.2024 </v>
      </c>
      <c r="F298" s="1" t="str">
        <f ca="1">IFERROR(__xludf.DUMMYFUNCTION("""COMPUTED_VALUE"""),"DOLPHI 3 в 1 №3 Презервативы латексные - 1912TNI2388")</f>
        <v>DOLPHI 3 в 1 №3 Презервативы латексные - 1912TNI2388</v>
      </c>
      <c r="G298" s="1" t="str">
        <f ca="1">IFERROR(__xludf.DUMMYFUNCTION("""COMPUTED_VALUE"""),"KZ.7700.02.01.00636958 / Действителен до 01.01.2025 / 1912TNI2388 / годен до 12.2024 ")</f>
        <v xml:space="preserve">KZ.7700.02.01.00636958 / Действителен до 01.01.2025 / 1912TNI2388 / годен до 12.2024 </v>
      </c>
      <c r="H298" s="1" t="str">
        <f ca="1">IFERROR(__xludf.DUMMYFUNCTION("""COMPUTED_VALUE"""),"DOLPHI 3 в 1 №3 Презервативы латексные KZ.7700.02.01.00636958 / Действителен до 01.01.2025 / 1912TNI2388 / годен до 12.2024 ")</f>
        <v xml:space="preserve">DOLPHI 3 в 1 №3 Презервативы латексные KZ.7700.02.01.00636958 / Действителен до 01.01.2025 / 1912TNI2388 / годен до 12.2024 </v>
      </c>
    </row>
    <row r="299" spans="1:8" ht="12.75" x14ac:dyDescent="0.2">
      <c r="A299" s="1" t="str">
        <f ca="1">IFERROR(__xludf.DUMMYFUNCTION("""COMPUTED_VALUE"""),"DOLPHI 3 в 1 №12 Презервативы латексные")</f>
        <v>DOLPHI 3 в 1 №12 Презервативы латексные</v>
      </c>
      <c r="B299" s="1" t="str">
        <f ca="1">IFERROR(__xludf.DUMMYFUNCTION("""COMPUTED_VALUE"""),"KZ.7700.02.01.00636957")</f>
        <v>KZ.7700.02.01.00636957</v>
      </c>
      <c r="C299" s="1" t="str">
        <f ca="1">IFERROR(__xludf.DUMMYFUNCTION("""COMPUTED_VALUE"""),"Действителен до 01.01.2025")</f>
        <v>Действителен до 01.01.2025</v>
      </c>
      <c r="D299" s="8" t="str">
        <f ca="1">IFERROR(__xludf.DUMMYFUNCTION("""COMPUTED_VALUE"""),"1912TNI2388")</f>
        <v>1912TNI2388</v>
      </c>
      <c r="E299" s="1" t="str">
        <f ca="1">IFERROR(__xludf.DUMMYFUNCTION("""COMPUTED_VALUE"""),"годен до 12.2024 ")</f>
        <v xml:space="preserve">годен до 12.2024 </v>
      </c>
      <c r="F299" s="1" t="str">
        <f ca="1">IFERROR(__xludf.DUMMYFUNCTION("""COMPUTED_VALUE"""),"DOLPHI 3 в 1 №12 Презервативы латексные - 1912TNI2388")</f>
        <v>DOLPHI 3 в 1 №12 Презервативы латексные - 1912TNI2388</v>
      </c>
      <c r="G299" s="1" t="str">
        <f ca="1">IFERROR(__xludf.DUMMYFUNCTION("""COMPUTED_VALUE"""),"KZ.7700.02.01.00636957 / Действителен до 01.01.2025 / 1912TNI2388 / годен до 12.2024 ")</f>
        <v xml:space="preserve">KZ.7700.02.01.00636957 / Действителен до 01.01.2025 / 1912TNI2388 / годен до 12.2024 </v>
      </c>
      <c r="H299" s="1" t="str">
        <f ca="1">IFERROR(__xludf.DUMMYFUNCTION("""COMPUTED_VALUE"""),"DOLPHI 3 в 1 №12 Презервативы латексные KZ.7700.02.01.00636957 / Действителен до 01.01.2025 / 1912TNI2388 / годен до 12.2024 ")</f>
        <v xml:space="preserve">DOLPHI 3 в 1 №12 Презервативы латексные KZ.7700.02.01.00636957 / Действителен до 01.01.2025 / 1912TNI2388 / годен до 12.2024 </v>
      </c>
    </row>
    <row r="300" spans="1:8" ht="12.75" x14ac:dyDescent="0.2">
      <c r="A300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300" s="1" t="str">
        <f ca="1">IFERROR(__xludf.DUMMYFUNCTION("""COMPUTED_VALUE"""),"KZ.7700.02.01.00636961")</f>
        <v>KZ.7700.02.01.00636961</v>
      </c>
      <c r="C300" s="1" t="str">
        <f ca="1">IFERROR(__xludf.DUMMYFUNCTION("""COMPUTED_VALUE"""),"Действителен до 01.01.2025")</f>
        <v>Действителен до 01.01.2025</v>
      </c>
      <c r="D300" s="8" t="str">
        <f ca="1">IFERROR(__xludf.DUMMYFUNCTION("""COMPUTED_VALUE"""),"1912TNI2379")</f>
        <v>1912TNI2379</v>
      </c>
      <c r="E300" s="1" t="str">
        <f ca="1">IFERROR(__xludf.DUMMYFUNCTION("""COMPUTED_VALUE"""),"годен до 12.2024")</f>
        <v>годен до 12.2024</v>
      </c>
      <c r="F300" s="1" t="str">
        <f ca="1">IFERROR(__xludf.DUMMYFUNCTION("""COMPUTED_VALUE"""),"Mister Ben классические № 3 Презервативы латексные - 1912TNI2379")</f>
        <v>Mister Ben классические № 3 Презервативы латексные - 1912TNI2379</v>
      </c>
      <c r="G300" s="1" t="str">
        <f ca="1">IFERROR(__xludf.DUMMYFUNCTION("""COMPUTED_VALUE"""),"KZ.7700.02.01.00636961 / Действителен до 01.01.2025 / 1912TNI2379 / годен до 12.2024")</f>
        <v>KZ.7700.02.01.00636961 / Действителен до 01.01.2025 / 1912TNI2379 / годен до 12.2024</v>
      </c>
      <c r="H300" s="1" t="str">
        <f ca="1">IFERROR(__xludf.DUMMYFUNCTION("""COMPUTED_VALUE"""),"Mister Ben классические № 3 Презервативы латексные KZ.7700.02.01.00636961 / Действителен до 01.01.2025 / 1912TNI2379 / годен до 12.2024")</f>
        <v>Mister Ben классические № 3 Презервативы латексные KZ.7700.02.01.00636961 / Действителен до 01.01.2025 / 1912TNI2379 / годен до 12.2024</v>
      </c>
    </row>
    <row r="301" spans="1:8" ht="12.75" x14ac:dyDescent="0.2">
      <c r="A301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301" s="1" t="str">
        <f ca="1">IFERROR(__xludf.DUMMYFUNCTION("""COMPUTED_VALUE"""),"KZ.7700.02.01.00636962")</f>
        <v>KZ.7700.02.01.00636962</v>
      </c>
      <c r="C301" s="1" t="str">
        <f ca="1">IFERROR(__xludf.DUMMYFUNCTION("""COMPUTED_VALUE"""),"Действителен до 01.01.2025")</f>
        <v>Действителен до 01.01.2025</v>
      </c>
      <c r="D301" s="8" t="str">
        <f ca="1">IFERROR(__xludf.DUMMYFUNCTION("""COMPUTED_VALUE"""),"1912TNI2390")</f>
        <v>1912TNI2390</v>
      </c>
      <c r="E301" s="1" t="str">
        <f ca="1">IFERROR(__xludf.DUMMYFUNCTION("""COMPUTED_VALUE"""),"годен до 12.2024")</f>
        <v>годен до 12.2024</v>
      </c>
      <c r="F301" s="1" t="str">
        <f ca="1">IFERROR(__xludf.DUMMYFUNCTION("""COMPUTED_VALUE"""),"Mister Ben Ребристые № 3 Презервативы латексные - 1912TNI2390")</f>
        <v>Mister Ben Ребристые № 3 Презервативы латексные - 1912TNI2390</v>
      </c>
      <c r="G301" s="1" t="str">
        <f ca="1">IFERROR(__xludf.DUMMYFUNCTION("""COMPUTED_VALUE"""),"KZ.7700.02.01.00636962 / Действителен до 01.01.2025 / 1912TNI2390 / годен до 12.2024")</f>
        <v>KZ.7700.02.01.00636962 / Действителен до 01.01.2025 / 1912TNI2390 / годен до 12.2024</v>
      </c>
      <c r="H301" s="1" t="str">
        <f ca="1">IFERROR(__xludf.DUMMYFUNCTION("""COMPUTED_VALUE"""),"Mister Ben Ребристые № 3 Презервативы латексные KZ.7700.02.01.00636962 / Действителен до 01.01.2025 / 1912TNI2390 / годен до 12.2024")</f>
        <v>Mister Ben Ребристые № 3 Презервативы латексные KZ.7700.02.01.00636962 / Действителен до 01.01.2025 / 1912TNI2390 / годен до 12.2024</v>
      </c>
    </row>
    <row r="302" spans="1:8" ht="12.75" x14ac:dyDescent="0.2">
      <c r="A302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302" s="1" t="str">
        <f ca="1">IFERROR(__xludf.DUMMYFUNCTION("""COMPUTED_VALUE"""),"KZ.7700.02.01.00636963")</f>
        <v>KZ.7700.02.01.00636963</v>
      </c>
      <c r="C302" s="1" t="str">
        <f ca="1">IFERROR(__xludf.DUMMYFUNCTION("""COMPUTED_VALUE"""),"Действителен до 01.10.2024")</f>
        <v>Действителен до 01.10.2024</v>
      </c>
      <c r="D302" s="8" t="str">
        <f ca="1">IFERROR(__xludf.DUMMYFUNCTION("""COMPUTED_VALUE"""),"1909TNI2256")</f>
        <v>1909TNI2256</v>
      </c>
      <c r="E302" s="1" t="str">
        <f ca="1">IFERROR(__xludf.DUMMYFUNCTION("""COMPUTED_VALUE"""),"годен до 09.2024")</f>
        <v>годен до 09.2024</v>
      </c>
      <c r="F302" s="1" t="str">
        <f ca="1">IFERROR(__xludf.DUMMYFUNCTION("""COMPUTED_VALUE"""),"Mister Ben С точечной структурой № 3 Презервативы латексные - 1909TNI2256")</f>
        <v>Mister Ben С точечной структурой № 3 Презервативы латексные - 1909TNI2256</v>
      </c>
      <c r="G302" s="1" t="str">
        <f ca="1">IFERROR(__xludf.DUMMYFUNCTION("""COMPUTED_VALUE"""),"KZ.7700.02.01.00636963 / Действителен до 01.10.2024 / 1909TNI2256 / годен до 09.2024")</f>
        <v>KZ.7700.02.01.00636963 / Действителен до 01.10.2024 / 1909TNI2256 / годен до 09.2024</v>
      </c>
      <c r="H302" s="1" t="str">
        <f ca="1">IFERROR(__xludf.DUMMYFUNCTION("""COMPUTED_VALUE"""),"Mister Ben С точечной структурой № 3 Презервативы латексные KZ.7700.02.01.00636963 / Действителен до 01.10.2024 / 1909TNI2256 / годен до 09.2024")</f>
        <v>Mister Ben С точечной структурой № 3 Презервативы латексные KZ.7700.02.01.00636963 / Действителен до 01.10.2024 / 1909TNI2256 / годен до 09.2024</v>
      </c>
    </row>
    <row r="303" spans="1:8" ht="12.75" x14ac:dyDescent="0.2">
      <c r="A303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303" s="1" t="str">
        <f ca="1">IFERROR(__xludf.DUMMYFUNCTION("""COMPUTED_VALUE"""),"KZ.7700.02.01.00636964")</f>
        <v>KZ.7700.02.01.00636964</v>
      </c>
      <c r="C303" s="1" t="str">
        <f ca="1">IFERROR(__xludf.DUMMYFUNCTION("""COMPUTED_VALUE"""),"Действителен до 01.09.2024")</f>
        <v>Действителен до 01.09.2024</v>
      </c>
      <c r="D303" s="8" t="str">
        <f ca="1">IFERROR(__xludf.DUMMYFUNCTION("""COMPUTED_VALUE"""),"1908TNI1936")</f>
        <v>1908TNI1936</v>
      </c>
      <c r="E303" s="1" t="str">
        <f ca="1">IFERROR(__xludf.DUMMYFUNCTION("""COMPUTED_VALUE"""),"годен до 08.2024")</f>
        <v>годен до 08.2024</v>
      </c>
      <c r="F303" s="1" t="str">
        <f ca="1">IFERROR(__xludf.DUMMYFUNCTION("""COMPUTED_VALUE"""),"Sexxxy классические №3 Презервативы латексные - 1908TNI1936")</f>
        <v>Sexxxy классические №3 Презервативы латексные - 1908TNI1936</v>
      </c>
      <c r="G303" s="1" t="str">
        <f ca="1">IFERROR(__xludf.DUMMYFUNCTION("""COMPUTED_VALUE"""),"KZ.7700.02.01.00636964 / Действителен до 01.09.2024 / 1908TNI1936 / годен до 08.2024")</f>
        <v>KZ.7700.02.01.00636964 / Действителен до 01.09.2024 / 1908TNI1936 / годен до 08.2024</v>
      </c>
      <c r="H303" s="1" t="str">
        <f ca="1">IFERROR(__xludf.DUMMYFUNCTION("""COMPUTED_VALUE"""),"Sexxxy классические №3 Презервативы латексные KZ.7700.02.01.00636964 / Действителен до 01.09.2024 / 1908TNI1936 / годен до 08.2024")</f>
        <v>Sexxxy классические №3 Презервативы латексные KZ.7700.02.01.00636964 / Действителен до 01.09.2024 / 1908TNI1936 / годен до 08.2024</v>
      </c>
    </row>
    <row r="304" spans="1:8" ht="12.75" x14ac:dyDescent="0.2">
      <c r="A304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304" s="1" t="str">
        <f ca="1">IFERROR(__xludf.DUMMYFUNCTION("""COMPUTED_VALUE"""),"KZ.7700.02.01.00636965")</f>
        <v>KZ.7700.02.01.00636965</v>
      </c>
      <c r="C304" s="1" t="str">
        <f ca="1">IFERROR(__xludf.DUMMYFUNCTION("""COMPUTED_VALUE"""),"Действителен до 01.02.2025")</f>
        <v>Действителен до 01.02.2025</v>
      </c>
      <c r="D304" s="8" t="str">
        <f ca="1">IFERROR(__xludf.DUMMYFUNCTION("""COMPUTED_VALUE"""),"2001TNI2379")</f>
        <v>2001TNI2379</v>
      </c>
      <c r="E304" s="1" t="str">
        <f ca="1">IFERROR(__xludf.DUMMYFUNCTION("""COMPUTED_VALUE"""),"годен до 01.2025")</f>
        <v>годен до 01.2025</v>
      </c>
      <c r="F304" s="1" t="str">
        <f ca="1">IFERROR(__xludf.DUMMYFUNCTION("""COMPUTED_VALUE"""),"Sexxxy классические №3 Презервативы латексные - 2001TNI2379")</f>
        <v>Sexxxy классические №3 Презервативы латексные - 2001TNI2379</v>
      </c>
      <c r="G304" s="1" t="str">
        <f ca="1">IFERROR(__xludf.DUMMYFUNCTION("""COMPUTED_VALUE"""),"KZ.7700.02.01.00636965 / Действителен до 01.02.2025 / 2001TNI2379 / годен до 01.2025")</f>
        <v>KZ.7700.02.01.00636965 / Действителен до 01.02.2025 / 2001TNI2379 / годен до 01.2025</v>
      </c>
      <c r="H304" s="1" t="str">
        <f ca="1">IFERROR(__xludf.DUMMYFUNCTION("""COMPUTED_VALUE"""),"Sexxxy классические №3 Презервативы латексные KZ.7700.02.01.00636965 / Действителен до 01.02.2025 / 2001TNI2379 / годен до 01.2025")</f>
        <v>Sexxxy классические №3 Презервативы латексные KZ.7700.02.01.00636965 / Действителен до 01.02.2025 / 2001TNI2379 / годен до 01.2025</v>
      </c>
    </row>
    <row r="305" spans="1:8" ht="12.75" x14ac:dyDescent="0.2">
      <c r="A305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305" s="1" t="str">
        <f ca="1">IFERROR(__xludf.DUMMYFUNCTION("""COMPUTED_VALUE"""),"KZ.7700.02.01.00745672")</f>
        <v>KZ.7700.02.01.00745672</v>
      </c>
      <c r="C305" s="1" t="str">
        <f ca="1">IFERROR(__xludf.DUMMYFUNCTION("""COMPUTED_VALUE"""),"Действителен до 30.03.2026")</f>
        <v>Действителен до 30.03.2026</v>
      </c>
      <c r="D305" s="8" t="str">
        <f ca="1">IFERROR(__xludf.DUMMYFUNCTION("""COMPUTED_VALUE"""),"0321022KZ022")</f>
        <v>0321022KZ022</v>
      </c>
      <c r="E305" s="1" t="str">
        <f ca="1">IFERROR(__xludf.DUMMYFUNCTION("""COMPUTED_VALUE"""),"годен до 30.03.2026")</f>
        <v>годен до 30.03.2026</v>
      </c>
      <c r="F305" s="1" t="str">
        <f ca="1">IFERROR(__xludf.DUMMYFUNCTION("""COMPUTED_VALUE"""),"Бандаж на коленный сустав эластичный 6040 XL (Болгария) - 0321022KZ022")</f>
        <v>Бандаж на коленный сустав эластичный 6040 XL (Болгария) - 0321022KZ022</v>
      </c>
      <c r="G305" s="1" t="str">
        <f ca="1">IFERROR(__xludf.DUMMYFUNCTION("""COMPUTED_VALUE"""),"KZ.7700.02.01.00745672 / Действителен до 30.03.2026 / 0321022KZ022 / годен до 30.03.2026")</f>
        <v>KZ.7700.02.01.00745672 / Действителен до 30.03.2026 / 0321022KZ022 / годен до 30.03.2026</v>
      </c>
      <c r="H305" s="1" t="str">
        <f ca="1">IFERROR(__xludf.DUMMYFUNCTION("""COMPUTED_VALUE"""),"Бандаж на коленный сустав эластичный 6040 XL (Болгария) KZ.7700.02.01.00745672 / Действителен до 30.03.2026 / 0321022KZ022 / годен до 30.03.2026")</f>
        <v>Бандаж на коленный сустав эластичный 6040 XL (Болгария) KZ.7700.02.01.00745672 / Действителен до 30.03.2026 / 0321022KZ022 / годен до 30.03.2026</v>
      </c>
    </row>
    <row r="306" spans="1:8" ht="12.75" x14ac:dyDescent="0.2">
      <c r="A306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306" s="1" t="str">
        <f ca="1">IFERROR(__xludf.DUMMYFUNCTION("""COMPUTED_VALUE"""),"KZ.7700.02.01.00745671")</f>
        <v>KZ.7700.02.01.00745671</v>
      </c>
      <c r="C306" s="1" t="str">
        <f ca="1">IFERROR(__xludf.DUMMYFUNCTION("""COMPUTED_VALUE"""),"Действителен до 30.03.2026")</f>
        <v>Действителен до 30.03.2026</v>
      </c>
      <c r="D306" s="8" t="str">
        <f ca="1">IFERROR(__xludf.DUMMYFUNCTION("""COMPUTED_VALUE"""),"0321022KZ022")</f>
        <v>0321022KZ022</v>
      </c>
      <c r="E306" s="1" t="str">
        <f ca="1">IFERROR(__xludf.DUMMYFUNCTION("""COMPUTED_VALUE"""),"годен до 30.03.2026")</f>
        <v>годен до 30.03.2026</v>
      </c>
      <c r="F306" s="1" t="str">
        <f ca="1">IFERROR(__xludf.DUMMYFUNCTION("""COMPUTED_VALUE"""),"Бандаж на коленный сустав разъемный 6058 L\XL (Болгария) - 0321022KZ022")</f>
        <v>Бандаж на коленный сустав разъемный 6058 L\XL (Болгария) - 0321022KZ022</v>
      </c>
      <c r="G306" s="1" t="str">
        <f ca="1">IFERROR(__xludf.DUMMYFUNCTION("""COMPUTED_VALUE"""),"KZ.7700.02.01.00745671 / Действителен до 30.03.2026 / 0321022KZ022 / годен до 30.03.2026")</f>
        <v>KZ.7700.02.01.00745671 / Действителен до 30.03.2026 / 0321022KZ022 / годен до 30.03.2026</v>
      </c>
      <c r="H306" s="1" t="str">
        <f ca="1">IFERROR(__xludf.DUMMYFUNCTION("""COMPUTED_VALUE"""),"Бандаж на коленный сустав разъемный 6058 L\XL (Болгария) KZ.7700.02.01.00745671 / Действителен до 30.03.2026 / 0321022KZ022 / годен до 30.03.2026")</f>
        <v>Бандаж на коленный сустав разъемный 6058 L\XL (Болгария) KZ.7700.02.01.00745671 / Действителен до 30.03.2026 / 0321022KZ022 / годен до 30.03.2026</v>
      </c>
    </row>
    <row r="307" spans="1:8" ht="12.75" x14ac:dyDescent="0.2">
      <c r="A307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307" s="1" t="str">
        <f ca="1">IFERROR(__xludf.DUMMYFUNCTION("""COMPUTED_VALUE"""),"KZ.7700.02.01.00745669")</f>
        <v>KZ.7700.02.01.00745669</v>
      </c>
      <c r="C307" s="1" t="str">
        <f ca="1">IFERROR(__xludf.DUMMYFUNCTION("""COMPUTED_VALUE"""),"Действителен до 30.03.2026")</f>
        <v>Действителен до 30.03.2026</v>
      </c>
      <c r="D307" s="8" t="str">
        <f ca="1">IFERROR(__xludf.DUMMYFUNCTION("""COMPUTED_VALUE"""),"0321022KZ022")</f>
        <v>0321022KZ022</v>
      </c>
      <c r="E307" s="1" t="str">
        <f ca="1">IFERROR(__xludf.DUMMYFUNCTION("""COMPUTED_VALUE"""),"годен до 30.03.2026")</f>
        <v>годен до 30.03.2026</v>
      </c>
      <c r="F307" s="1" t="str">
        <f ca="1">IFERROR(__xludf.DUMMYFUNCTION("""COMPUTED_VALUE"""),"Бандаж на коленный сустав разъемный 6058 S\M (Болгария) - 0321022KZ022")</f>
        <v>Бандаж на коленный сустав разъемный 6058 S\M (Болгария) - 0321022KZ022</v>
      </c>
      <c r="G307" s="1" t="str">
        <f ca="1">IFERROR(__xludf.DUMMYFUNCTION("""COMPUTED_VALUE"""),"KZ.7700.02.01.00745669 / Действителен до 30.03.2026 / 0321022KZ022 / годен до 30.03.2026")</f>
        <v>KZ.7700.02.01.00745669 / Действителен до 30.03.2026 / 0321022KZ022 / годен до 30.03.2026</v>
      </c>
      <c r="H307" s="1" t="str">
        <f ca="1">IFERROR(__xludf.DUMMYFUNCTION("""COMPUTED_VALUE"""),"Бандаж на коленный сустав разъемный 6058 S\M (Болгария) KZ.7700.02.01.00745669 / Действителен до 30.03.2026 / 0321022KZ022 / годен до 30.03.2026")</f>
        <v>Бандаж на коленный сустав разъемный 6058 S\M (Болгария) KZ.7700.02.01.00745669 / Действителен до 30.03.2026 / 0321022KZ022 / годен до 30.03.2026</v>
      </c>
    </row>
    <row r="308" spans="1:8" ht="12.75" x14ac:dyDescent="0.2">
      <c r="A308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308" s="1" t="str">
        <f ca="1">IFERROR(__xludf.DUMMYFUNCTION("""COMPUTED_VALUE"""),"KZ.7700.02.01.00745665")</f>
        <v>KZ.7700.02.01.00745665</v>
      </c>
      <c r="C308" s="1" t="str">
        <f ca="1">IFERROR(__xludf.DUMMYFUNCTION("""COMPUTED_VALUE"""),"Действителен до 30.03.2026")</f>
        <v>Действителен до 30.03.2026</v>
      </c>
      <c r="D308" s="8" t="str">
        <f ca="1">IFERROR(__xludf.DUMMYFUNCTION("""COMPUTED_VALUE"""),"0321022KZ022")</f>
        <v>0321022KZ022</v>
      </c>
      <c r="E308" s="1" t="str">
        <f ca="1">IFERROR(__xludf.DUMMYFUNCTION("""COMPUTED_VALUE"""),"годен до 30.03.2026")</f>
        <v>годен до 30.03.2026</v>
      </c>
      <c r="F308" s="1" t="str">
        <f ca="1">IFERROR(__xludf.DUMMYFUNCTION("""COMPUTED_VALUE"""),"Бандаж на коленный сустав разъемный 6058 XXL (Болгария) - 0321022KZ022")</f>
        <v>Бандаж на коленный сустав разъемный 6058 XXL (Болгария) - 0321022KZ022</v>
      </c>
      <c r="G308" s="1" t="str">
        <f ca="1">IFERROR(__xludf.DUMMYFUNCTION("""COMPUTED_VALUE"""),"KZ.7700.02.01.00745665 / Действителен до 30.03.2026 / 0321022KZ022 / годен до 30.03.2026")</f>
        <v>KZ.7700.02.01.00745665 / Действителен до 30.03.2026 / 0321022KZ022 / годен до 30.03.2026</v>
      </c>
      <c r="H308" s="1" t="str">
        <f ca="1">IFERROR(__xludf.DUMMYFUNCTION("""COMPUTED_VALUE"""),"Бандаж на коленный сустав разъемный 6058 XXL (Болгария) KZ.7700.02.01.00745665 / Действителен до 30.03.2026 / 0321022KZ022 / годен до 30.03.2026")</f>
        <v>Бандаж на коленный сустав разъемный 6058 XXL (Болгария) KZ.7700.02.01.00745665 / Действителен до 30.03.2026 / 0321022KZ022 / годен до 30.03.2026</v>
      </c>
    </row>
    <row r="309" spans="1:8" ht="12.75" x14ac:dyDescent="0.2">
      <c r="A309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309" s="1" t="str">
        <f ca="1">IFERROR(__xludf.DUMMYFUNCTION("""COMPUTED_VALUE"""),"KZ.7700.02.01.00746746")</f>
        <v>KZ.7700.02.01.00746746</v>
      </c>
      <c r="C309" s="1" t="str">
        <f ca="1">IFERROR(__xludf.DUMMYFUNCTION("""COMPUTED_VALUE"""),"Действителен до 30.03.2026")</f>
        <v>Действителен до 30.03.2026</v>
      </c>
      <c r="D309" s="8" t="str">
        <f ca="1">IFERROR(__xludf.DUMMYFUNCTION("""COMPUTED_VALUE"""),"0321022KZ022")</f>
        <v>0321022KZ022</v>
      </c>
      <c r="E309" s="1" t="str">
        <f ca="1">IFERROR(__xludf.DUMMYFUNCTION("""COMPUTED_VALUE"""),"годен до 30.03.2026")</f>
        <v>годен до 30.03.2026</v>
      </c>
      <c r="F309" s="1" t="str">
        <f ca="1">IFERROR(__xludf.DUMMYFUNCTION("""COMPUTED_VALUE"""),"Бандаж на голеностопный сустав легкой фиксации 7034 L (бежевый) (Болгария) - 0321022KZ022")</f>
        <v>Бандаж на голеностопный сустав легкой фиксации 7034 L (бежевый) (Болгария) - 0321022KZ022</v>
      </c>
      <c r="G309" s="1" t="str">
        <f ca="1">IFERROR(__xludf.DUMMYFUNCTION("""COMPUTED_VALUE"""),"KZ.7700.02.01.00746746 / Действителен до 30.03.2026 / 0321022KZ022 / годен до 30.03.2026")</f>
        <v>KZ.7700.02.01.00746746 / Действителен до 30.03.2026 / 0321022KZ022 / годен до 30.03.2026</v>
      </c>
      <c r="H309" s="1" t="str">
        <f ca="1">IFERROR(__xludf.DUMMYFUNCTION("""COMPUTED_VALUE"""),"Бандаж на голеностопный сустав легкой фиксации 7034 L (бежевый) (Болгария) KZ.7700.02.01.00746746 / Действителен до 30.03.2026 / 0321022KZ022 / годен до 30.03.2026")</f>
        <v>Бандаж на голеностопный сустав легкой фиксации 7034 L (бежевый) (Болгария) KZ.7700.02.01.00746746 / Действителен до 30.03.2026 / 0321022KZ022 / годен до 30.03.2026</v>
      </c>
    </row>
    <row r="310" spans="1:8" ht="12.75" x14ac:dyDescent="0.2">
      <c r="A310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310" s="1" t="str">
        <f ca="1">IFERROR(__xludf.DUMMYFUNCTION("""COMPUTED_VALUE"""),"KZ.7700.02.01.00746747")</f>
        <v>KZ.7700.02.01.00746747</v>
      </c>
      <c r="C310" s="1" t="str">
        <f ca="1">IFERROR(__xludf.DUMMYFUNCTION("""COMPUTED_VALUE"""),"Действителен до 30.03.2026")</f>
        <v>Действителен до 30.03.2026</v>
      </c>
      <c r="D310" s="8" t="str">
        <f ca="1">IFERROR(__xludf.DUMMYFUNCTION("""COMPUTED_VALUE"""),"0321022KZ022")</f>
        <v>0321022KZ022</v>
      </c>
      <c r="E310" s="1" t="str">
        <f ca="1">IFERROR(__xludf.DUMMYFUNCTION("""COMPUTED_VALUE"""),"годен до 30.03.2026")</f>
        <v>годен до 30.03.2026</v>
      </c>
      <c r="F310" s="1" t="str">
        <f ca="1">IFERROR(__xludf.DUMMYFUNCTION("""COMPUTED_VALUE"""),"Бандаж на голеностопный сустав легкой фиксации 7034 M (бежевый) (Болгария) - 0321022KZ022")</f>
        <v>Бандаж на голеностопный сустав легкой фиксации 7034 M (бежевый) (Болгария) - 0321022KZ022</v>
      </c>
      <c r="G310" s="1" t="str">
        <f ca="1">IFERROR(__xludf.DUMMYFUNCTION("""COMPUTED_VALUE"""),"KZ.7700.02.01.00746747 / Действителен до 30.03.2026 / 0321022KZ022 / годен до 30.03.2026")</f>
        <v>KZ.7700.02.01.00746747 / Действителен до 30.03.2026 / 0321022KZ022 / годен до 30.03.2026</v>
      </c>
      <c r="H310" s="1" t="str">
        <f ca="1">IFERROR(__xludf.DUMMYFUNCTION("""COMPUTED_VALUE"""),"Бандаж на голеностопный сустав легкой фиксации 7034 M (бежевый) (Болгария) KZ.7700.02.01.00746747 / Действителен до 30.03.2026 / 0321022KZ022 / годен до 30.03.2026")</f>
        <v>Бандаж на голеностопный сустав легкой фиксации 7034 M (бежевый) (Болгария) KZ.7700.02.01.00746747 / Действителен до 30.03.2026 / 0321022KZ022 / годен до 30.03.2026</v>
      </c>
    </row>
    <row r="311" spans="1:8" ht="12.75" x14ac:dyDescent="0.2">
      <c r="A311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311" s="1" t="str">
        <f ca="1">IFERROR(__xludf.DUMMYFUNCTION("""COMPUTED_VALUE"""),"KZ.7700.02.01.00746748")</f>
        <v>KZ.7700.02.01.00746748</v>
      </c>
      <c r="C311" s="1" t="str">
        <f ca="1">IFERROR(__xludf.DUMMYFUNCTION("""COMPUTED_VALUE"""),"Действителен до 30.03.2026")</f>
        <v>Действителен до 30.03.2026</v>
      </c>
      <c r="D311" s="8" t="str">
        <f ca="1">IFERROR(__xludf.DUMMYFUNCTION("""COMPUTED_VALUE"""),"0321022KZ022")</f>
        <v>0321022KZ022</v>
      </c>
      <c r="E311" s="1" t="str">
        <f ca="1">IFERROR(__xludf.DUMMYFUNCTION("""COMPUTED_VALUE"""),"годен до 30.03.2026")</f>
        <v>годен до 30.03.2026</v>
      </c>
      <c r="F311" s="1" t="str">
        <f ca="1">IFERROR(__xludf.DUMMYFUNCTION("""COMPUTED_VALUE"""),"Бандаж на голеностопный сустав легкой фиксации 7034 XL (бежевый) (Болгария) - 0321022KZ022")</f>
        <v>Бандаж на голеностопный сустав легкой фиксации 7034 XL (бежевый) (Болгария) - 0321022KZ022</v>
      </c>
      <c r="G311" s="1" t="str">
        <f ca="1">IFERROR(__xludf.DUMMYFUNCTION("""COMPUTED_VALUE"""),"KZ.7700.02.01.00746748 / Действителен до 30.03.2026 / 0321022KZ022 / годен до 30.03.2026")</f>
        <v>KZ.7700.02.01.00746748 / Действителен до 30.03.2026 / 0321022KZ022 / годен до 30.03.2026</v>
      </c>
      <c r="H311" s="1" t="str">
        <f ca="1">IFERROR(__xludf.DUMMYFUNCTION("""COMPUTED_VALUE"""),"Бандаж на голеностопный сустав легкой фиксации 7034 XL (бежевый) (Болгария) KZ.7700.02.01.00746748 / Действителен до 30.03.2026 / 0321022KZ022 / годен до 30.03.2026")</f>
        <v>Бандаж на голеностопный сустав легкой фиксации 7034 XL (бежевый) (Болгария) KZ.7700.02.01.00746748 / Действителен до 30.03.2026 / 0321022KZ022 / годен до 30.03.2026</v>
      </c>
    </row>
    <row r="312" spans="1:8" ht="12.75" x14ac:dyDescent="0.2">
      <c r="A312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312" s="1" t="str">
        <f ca="1">IFERROR(__xludf.DUMMYFUNCTION("""COMPUTED_VALUE"""),"KZ.7700.02.01.00746743")</f>
        <v>KZ.7700.02.01.00746743</v>
      </c>
      <c r="C312" s="1" t="str">
        <f ca="1">IFERROR(__xludf.DUMMYFUNCTION("""COMPUTED_VALUE"""),"Действителен до 30.03.2026")</f>
        <v>Действителен до 30.03.2026</v>
      </c>
      <c r="D312" s="8" t="str">
        <f ca="1">IFERROR(__xludf.DUMMYFUNCTION("""COMPUTED_VALUE"""),"0321022KZ022")</f>
        <v>0321022KZ022</v>
      </c>
      <c r="E312" s="1" t="str">
        <f ca="1">IFERROR(__xludf.DUMMYFUNCTION("""COMPUTED_VALUE"""),"годен до 30.03.2026")</f>
        <v>годен до 30.03.2026</v>
      </c>
      <c r="F312" s="1" t="str">
        <f ca="1">IFERROR(__xludf.DUMMYFUNCTION("""COMPUTED_VALUE"""),"Бандаж на голеностопный сустав эластичный 7035 L (Болгария) - 0321022KZ022")</f>
        <v>Бандаж на голеностопный сустав эластичный 7035 L (Болгария) - 0321022KZ022</v>
      </c>
      <c r="G312" s="1" t="str">
        <f ca="1">IFERROR(__xludf.DUMMYFUNCTION("""COMPUTED_VALUE"""),"KZ.7700.02.01.00746743 / Действителен до 30.03.2026 / 0321022KZ022 / годен до 30.03.2026")</f>
        <v>KZ.7700.02.01.00746743 / Действителен до 30.03.2026 / 0321022KZ022 / годен до 30.03.2026</v>
      </c>
      <c r="H312" s="1" t="str">
        <f ca="1">IFERROR(__xludf.DUMMYFUNCTION("""COMPUTED_VALUE"""),"Бандаж на голеностопный сустав эластичный 7035 L (Болгария) KZ.7700.02.01.00746743 / Действителен до 30.03.2026 / 0321022KZ022 / годен до 30.03.2026")</f>
        <v>Бандаж на голеностопный сустав эластичный 7035 L (Болгария) KZ.7700.02.01.00746743 / Действителен до 30.03.2026 / 0321022KZ022 / годен до 30.03.2026</v>
      </c>
    </row>
    <row r="313" spans="1:8" ht="12.75" x14ac:dyDescent="0.2">
      <c r="A313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313" s="1" t="str">
        <f ca="1">IFERROR(__xludf.DUMMYFUNCTION("""COMPUTED_VALUE"""),"KZ.7700.02.01.00746745")</f>
        <v>KZ.7700.02.01.00746745</v>
      </c>
      <c r="C313" s="1" t="str">
        <f ca="1">IFERROR(__xludf.DUMMYFUNCTION("""COMPUTED_VALUE"""),"Действителен до 30.03.2026")</f>
        <v>Действителен до 30.03.2026</v>
      </c>
      <c r="D313" s="8" t="str">
        <f ca="1">IFERROR(__xludf.DUMMYFUNCTION("""COMPUTED_VALUE"""),"0321022KZ022")</f>
        <v>0321022KZ022</v>
      </c>
      <c r="E313" s="1" t="str">
        <f ca="1">IFERROR(__xludf.DUMMYFUNCTION("""COMPUTED_VALUE"""),"годен до 30.03.2026")</f>
        <v>годен до 30.03.2026</v>
      </c>
      <c r="F313" s="1" t="str">
        <f ca="1">IFERROR(__xludf.DUMMYFUNCTION("""COMPUTED_VALUE"""),"Бандаж на голеностопный сустав эластичный 7035 M (Болгария) - 0321022KZ022")</f>
        <v>Бандаж на голеностопный сустав эластичный 7035 M (Болгария) - 0321022KZ022</v>
      </c>
      <c r="G313" s="1" t="str">
        <f ca="1">IFERROR(__xludf.DUMMYFUNCTION("""COMPUTED_VALUE"""),"KZ.7700.02.01.00746745 / Действителен до 30.03.2026 / 0321022KZ022 / годен до 30.03.2026")</f>
        <v>KZ.7700.02.01.00746745 / Действителен до 30.03.2026 / 0321022KZ022 / годен до 30.03.2026</v>
      </c>
      <c r="H313" s="1" t="str">
        <f ca="1">IFERROR(__xludf.DUMMYFUNCTION("""COMPUTED_VALUE"""),"Бандаж на голеностопный сустав эластичный 7035 M (Болгария) KZ.7700.02.01.00746745 / Действителен до 30.03.2026 / 0321022KZ022 / годен до 30.03.2026")</f>
        <v>Бандаж на голеностопный сустав эластичный 7035 M (Болгария) KZ.7700.02.01.00746745 / Действителен до 30.03.2026 / 0321022KZ022 / годен до 30.03.2026</v>
      </c>
    </row>
    <row r="314" spans="1:8" ht="12.75" x14ac:dyDescent="0.2">
      <c r="A314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314" s="1" t="str">
        <f ca="1">IFERROR(__xludf.DUMMYFUNCTION("""COMPUTED_VALUE"""),"KZ.7700.02.01.00746749")</f>
        <v>KZ.7700.02.01.00746749</v>
      </c>
      <c r="C314" s="1" t="str">
        <f ca="1">IFERROR(__xludf.DUMMYFUNCTION("""COMPUTED_VALUE"""),"Действителен до 30.03.2026")</f>
        <v>Действителен до 30.03.2026</v>
      </c>
      <c r="D314" s="8" t="str">
        <f ca="1">IFERROR(__xludf.DUMMYFUNCTION("""COMPUTED_VALUE"""),"0321022KZ022")</f>
        <v>0321022KZ022</v>
      </c>
      <c r="E314" s="1" t="str">
        <f ca="1">IFERROR(__xludf.DUMMYFUNCTION("""COMPUTED_VALUE"""),"годен до 30.03.2026")</f>
        <v>годен до 30.03.2026</v>
      </c>
      <c r="F314" s="1" t="str">
        <f ca="1">IFERROR(__xludf.DUMMYFUNCTION("""COMPUTED_VALUE"""),"Бандаж на голеностопный сустав эластичный 7035 S (Болгария) - 0321022KZ022")</f>
        <v>Бандаж на голеностопный сустав эластичный 7035 S (Болгария) - 0321022KZ022</v>
      </c>
      <c r="G314" s="1" t="str">
        <f ca="1">IFERROR(__xludf.DUMMYFUNCTION("""COMPUTED_VALUE"""),"KZ.7700.02.01.00746749 / Действителен до 30.03.2026 / 0321022KZ022 / годен до 30.03.2026")</f>
        <v>KZ.7700.02.01.00746749 / Действителен до 30.03.2026 / 0321022KZ022 / годен до 30.03.2026</v>
      </c>
      <c r="H314" s="1" t="str">
        <f ca="1">IFERROR(__xludf.DUMMYFUNCTION("""COMPUTED_VALUE"""),"Бандаж на голеностопный сустав эластичный 7035 S (Болгария) KZ.7700.02.01.00746749 / Действителен до 30.03.2026 / 0321022KZ022 / годен до 30.03.2026")</f>
        <v>Бандаж на голеностопный сустав эластичный 7035 S (Болгария) KZ.7700.02.01.00746749 / Действителен до 30.03.2026 / 0321022KZ022 / годен до 30.03.2026</v>
      </c>
    </row>
    <row r="315" spans="1:8" ht="12.75" x14ac:dyDescent="0.2">
      <c r="A315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315" s="1" t="str">
        <f ca="1">IFERROR(__xludf.DUMMYFUNCTION("""COMPUTED_VALUE"""),"KZ.7700.02.01.00746740")</f>
        <v>KZ.7700.02.01.00746740</v>
      </c>
      <c r="C315" s="1" t="str">
        <f ca="1">IFERROR(__xludf.DUMMYFUNCTION("""COMPUTED_VALUE"""),"Действителен до 30.03.2026")</f>
        <v>Действителен до 30.03.2026</v>
      </c>
      <c r="D315" s="8" t="str">
        <f ca="1">IFERROR(__xludf.DUMMYFUNCTION("""COMPUTED_VALUE"""),"0321022KZ022")</f>
        <v>0321022KZ022</v>
      </c>
      <c r="E315" s="1" t="str">
        <f ca="1">IFERROR(__xludf.DUMMYFUNCTION("""COMPUTED_VALUE"""),"годен до 30.03.2026")</f>
        <v>годен до 30.03.2026</v>
      </c>
      <c r="F315" s="1" t="str">
        <f ca="1">IFERROR(__xludf.DUMMYFUNCTION("""COMPUTED_VALUE"""),"Бандаж на голеностопный сустав эластичный 7035 XL (Болгария) - 0321022KZ022")</f>
        <v>Бандаж на голеностопный сустав эластичный 7035 XL (Болгария) - 0321022KZ022</v>
      </c>
      <c r="G315" s="1" t="str">
        <f ca="1">IFERROR(__xludf.DUMMYFUNCTION("""COMPUTED_VALUE"""),"KZ.7700.02.01.00746740 / Действителен до 30.03.2026 / 0321022KZ022 / годен до 30.03.2026")</f>
        <v>KZ.7700.02.01.00746740 / Действителен до 30.03.2026 / 0321022KZ022 / годен до 30.03.2026</v>
      </c>
      <c r="H315" s="1" t="str">
        <f ca="1">IFERROR(__xludf.DUMMYFUNCTION("""COMPUTED_VALUE"""),"Бандаж на голеностопный сустав эластичный 7035 XL (Болгария) KZ.7700.02.01.00746740 / Действителен до 30.03.2026 / 0321022KZ022 / годен до 30.03.2026")</f>
        <v>Бандаж на голеностопный сустав эластичный 7035 XL (Болгария) KZ.7700.02.01.00746740 / Действителен до 30.03.2026 / 0321022KZ022 / годен до 30.03.2026</v>
      </c>
    </row>
    <row r="316" spans="1:8" ht="12.75" x14ac:dyDescent="0.2">
      <c r="A316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316" s="1" t="str">
        <f ca="1">IFERROR(__xludf.DUMMYFUNCTION("""COMPUTED_VALUE"""),"KZ.7700.02.01.00746759")</f>
        <v>KZ.7700.02.01.00746759</v>
      </c>
      <c r="C316" s="1" t="str">
        <f ca="1">IFERROR(__xludf.DUMMYFUNCTION("""COMPUTED_VALUE"""),"Действителен до 30.03.2026")</f>
        <v>Действителен до 30.03.2026</v>
      </c>
      <c r="D316" s="8" t="str">
        <f ca="1">IFERROR(__xludf.DUMMYFUNCTION("""COMPUTED_VALUE"""),"0321022KZ022")</f>
        <v>0321022KZ022</v>
      </c>
      <c r="E316" s="1" t="str">
        <f ca="1">IFERROR(__xludf.DUMMYFUNCTION("""COMPUTED_VALUE"""),"годен до 30.03.2026")</f>
        <v>годен до 30.03.2026</v>
      </c>
      <c r="F316" s="1" t="str">
        <f ca="1">IFERROR(__xludf.DUMMYFUNCTION("""COMPUTED_VALUE"""),"Бандаж на локтевой сустав эластичный 8317 L (Болгария) - 0321022KZ022")</f>
        <v>Бандаж на локтевой сустав эластичный 8317 L (Болгария) - 0321022KZ022</v>
      </c>
      <c r="G316" s="1" t="str">
        <f ca="1">IFERROR(__xludf.DUMMYFUNCTION("""COMPUTED_VALUE"""),"KZ.7700.02.01.00746759 / Действителен до 30.03.2026 / 0321022KZ022 / годен до 30.03.2026")</f>
        <v>KZ.7700.02.01.00746759 / Действителен до 30.03.2026 / 0321022KZ022 / годен до 30.03.2026</v>
      </c>
      <c r="H316" s="1" t="str">
        <f ca="1">IFERROR(__xludf.DUMMYFUNCTION("""COMPUTED_VALUE"""),"Бандаж на локтевой сустав эластичный 8317 L (Болгария) KZ.7700.02.01.00746759 / Действителен до 30.03.2026 / 0321022KZ022 / годен до 30.03.2026")</f>
        <v>Бандаж на локтевой сустав эластичный 8317 L (Болгария) KZ.7700.02.01.00746759 / Действителен до 30.03.2026 / 0321022KZ022 / годен до 30.03.2026</v>
      </c>
    </row>
    <row r="317" spans="1:8" ht="12.75" x14ac:dyDescent="0.2">
      <c r="A317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317" s="1" t="str">
        <f ca="1">IFERROR(__xludf.DUMMYFUNCTION("""COMPUTED_VALUE"""),"KZ.7700.02.01.00746757")</f>
        <v>KZ.7700.02.01.00746757</v>
      </c>
      <c r="C317" s="1" t="str">
        <f ca="1">IFERROR(__xludf.DUMMYFUNCTION("""COMPUTED_VALUE"""),"Действителен до 30.03.2026")</f>
        <v>Действителен до 30.03.2026</v>
      </c>
      <c r="D317" s="8" t="str">
        <f ca="1">IFERROR(__xludf.DUMMYFUNCTION("""COMPUTED_VALUE"""),"0321022KZ022")</f>
        <v>0321022KZ022</v>
      </c>
      <c r="E317" s="1" t="str">
        <f ca="1">IFERROR(__xludf.DUMMYFUNCTION("""COMPUTED_VALUE"""),"годен до 30.03.2026")</f>
        <v>годен до 30.03.2026</v>
      </c>
      <c r="F317" s="1" t="str">
        <f ca="1">IFERROR(__xludf.DUMMYFUNCTION("""COMPUTED_VALUE"""),"Бандаж на локтевой сустав эластичный 8317 M (Болгария) - 0321022KZ022")</f>
        <v>Бандаж на локтевой сустав эластичный 8317 M (Болгария) - 0321022KZ022</v>
      </c>
      <c r="G317" s="1" t="str">
        <f ca="1">IFERROR(__xludf.DUMMYFUNCTION("""COMPUTED_VALUE"""),"KZ.7700.02.01.00746757 / Действителен до 30.03.2026 / 0321022KZ022 / годен до 30.03.2026")</f>
        <v>KZ.7700.02.01.00746757 / Действителен до 30.03.2026 / 0321022KZ022 / годен до 30.03.2026</v>
      </c>
      <c r="H317" s="1" t="str">
        <f ca="1">IFERROR(__xludf.DUMMYFUNCTION("""COMPUTED_VALUE"""),"Бандаж на локтевой сустав эластичный 8317 M (Болгария) KZ.7700.02.01.00746757 / Действителен до 30.03.2026 / 0321022KZ022 / годен до 30.03.2026")</f>
        <v>Бандаж на локтевой сустав эластичный 8317 M (Болгария) KZ.7700.02.01.00746757 / Действителен до 30.03.2026 / 0321022KZ022 / годен до 30.03.2026</v>
      </c>
    </row>
    <row r="318" spans="1:8" ht="12.75" x14ac:dyDescent="0.2">
      <c r="A318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318" s="1" t="str">
        <f ca="1">IFERROR(__xludf.DUMMYFUNCTION("""COMPUTED_VALUE"""),"KZ.7700.02.01.00746742")</f>
        <v>KZ.7700.02.01.00746742</v>
      </c>
      <c r="C318" s="1" t="str">
        <f ca="1">IFERROR(__xludf.DUMMYFUNCTION("""COMPUTED_VALUE"""),"Действителен до 30.03.2026")</f>
        <v>Действителен до 30.03.2026</v>
      </c>
      <c r="D318" s="8" t="str">
        <f ca="1">IFERROR(__xludf.DUMMYFUNCTION("""COMPUTED_VALUE"""),"0321022KZ022")</f>
        <v>0321022KZ022</v>
      </c>
      <c r="E318" s="1" t="str">
        <f ca="1">IFERROR(__xludf.DUMMYFUNCTION("""COMPUTED_VALUE"""),"годен до 30.03.2026")</f>
        <v>годен до 30.03.2026</v>
      </c>
      <c r="F318" s="1" t="str">
        <f ca="1">IFERROR(__xludf.DUMMYFUNCTION("""COMPUTED_VALUE"""),"Бандаж на локтевой сустав эластичный 8317 S (Болгария) - 0321022KZ022")</f>
        <v>Бандаж на локтевой сустав эластичный 8317 S (Болгария) - 0321022KZ022</v>
      </c>
      <c r="G318" s="1" t="str">
        <f ca="1">IFERROR(__xludf.DUMMYFUNCTION("""COMPUTED_VALUE"""),"KZ.7700.02.01.00746742 / Действителен до 30.03.2026 / 0321022KZ022 / годен до 30.03.2026")</f>
        <v>KZ.7700.02.01.00746742 / Действителен до 30.03.2026 / 0321022KZ022 / годен до 30.03.2026</v>
      </c>
      <c r="H318" s="1" t="str">
        <f ca="1">IFERROR(__xludf.DUMMYFUNCTION("""COMPUTED_VALUE"""),"Бандаж на локтевой сустав эластичный 8317 S (Болгария) KZ.7700.02.01.00746742 / Действителен до 30.03.2026 / 0321022KZ022 / годен до 30.03.2026")</f>
        <v>Бандаж на локтевой сустав эластичный 8317 S (Болгария) KZ.7700.02.01.00746742 / Действителен до 30.03.2026 / 0321022KZ022 / годен до 30.03.2026</v>
      </c>
    </row>
    <row r="319" spans="1:8" ht="12.75" x14ac:dyDescent="0.2">
      <c r="A319" s="1" t="str">
        <f ca="1">IFERROR(__xludf.DUMMYFUNCTION("""COMPUTED_VALUE"""),"Бандаж на локтевой сустав эластичный 8317 XL (Болгария)")</f>
        <v>Бандаж на локтевой сустав эластичный 8317 XL (Болгария)</v>
      </c>
      <c r="B319" s="1" t="str">
        <f ca="1">IFERROR(__xludf.DUMMYFUNCTION("""COMPUTED_VALUE"""),"KZ.7700.02.01.00746752")</f>
        <v>KZ.7700.02.01.00746752</v>
      </c>
      <c r="C319" s="1" t="str">
        <f ca="1">IFERROR(__xludf.DUMMYFUNCTION("""COMPUTED_VALUE"""),"Действителен до 30.03.2026")</f>
        <v>Действителен до 30.03.2026</v>
      </c>
      <c r="D319" s="8" t="str">
        <f ca="1">IFERROR(__xludf.DUMMYFUNCTION("""COMPUTED_VALUE"""),"0321022KZ022")</f>
        <v>0321022KZ022</v>
      </c>
      <c r="E319" s="1" t="str">
        <f ca="1">IFERROR(__xludf.DUMMYFUNCTION("""COMPUTED_VALUE"""),"годен до 30.03.2026")</f>
        <v>годен до 30.03.2026</v>
      </c>
      <c r="F319" s="1" t="str">
        <f ca="1">IFERROR(__xludf.DUMMYFUNCTION("""COMPUTED_VALUE"""),"Бандаж на локтевой сустав эластичный 8317 XL (Болгария) - 0321022KZ022")</f>
        <v>Бандаж на локтевой сустав эластичный 8317 XL (Болгария) - 0321022KZ022</v>
      </c>
      <c r="G319" s="1" t="str">
        <f ca="1">IFERROR(__xludf.DUMMYFUNCTION("""COMPUTED_VALUE"""),"KZ.7700.02.01.00746752 / Действителен до 30.03.2026 / 0321022KZ022 / годен до 30.03.2026")</f>
        <v>KZ.7700.02.01.00746752 / Действителен до 30.03.2026 / 0321022KZ022 / годен до 30.03.2026</v>
      </c>
      <c r="H319" s="1" t="str">
        <f ca="1">IFERROR(__xludf.DUMMYFUNCTION("""COMPUTED_VALUE"""),"Бандаж на локтевой сустав эластичный 8317 XL (Болгария) KZ.7700.02.01.00746752 / Действителен до 30.03.2026 / 0321022KZ022 / годен до 30.03.2026")</f>
        <v>Бандаж на локтевой сустав эластичный 8317 XL (Болгария) KZ.7700.02.01.00746752 / Действителен до 30.03.2026 / 0321022KZ022 / годен до 30.03.2026</v>
      </c>
    </row>
    <row r="320" spans="1:8" ht="12.75" x14ac:dyDescent="0.2">
      <c r="A320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320" s="1" t="str">
        <f ca="1">IFERROR(__xludf.DUMMYFUNCTION("""COMPUTED_VALUE"""),"KZ.7700.02.01.00746751")</f>
        <v>KZ.7700.02.01.00746751</v>
      </c>
      <c r="C320" s="1" t="str">
        <f ca="1">IFERROR(__xludf.DUMMYFUNCTION("""COMPUTED_VALUE"""),"Действителен до 30.03.2026")</f>
        <v>Действителен до 30.03.2026</v>
      </c>
      <c r="D320" s="8" t="str">
        <f ca="1">IFERROR(__xludf.DUMMYFUNCTION("""COMPUTED_VALUE"""),"0321022KZ022")</f>
        <v>0321022KZ022</v>
      </c>
      <c r="E320" s="1" t="str">
        <f ca="1">IFERROR(__xludf.DUMMYFUNCTION("""COMPUTED_VALUE"""),"годен до 30.03.2026")</f>
        <v>годен до 30.03.2026</v>
      </c>
      <c r="F320" s="1" t="str">
        <f ca="1">IFERROR(__xludf.DUMMYFUNCTION("""COMPUTED_VALUE"""),"Бандаж на лучезапястный сустав эластичный 8503 L (Болгария) - 0321022KZ022")</f>
        <v>Бандаж на лучезапястный сустав эластичный 8503 L (Болгария) - 0321022KZ022</v>
      </c>
      <c r="G320" s="1" t="str">
        <f ca="1">IFERROR(__xludf.DUMMYFUNCTION("""COMPUTED_VALUE"""),"KZ.7700.02.01.00746751 / Действителен до 30.03.2026 / 0321022KZ022 / годен до 30.03.2026")</f>
        <v>KZ.7700.02.01.00746751 / Действителен до 30.03.2026 / 0321022KZ022 / годен до 30.03.2026</v>
      </c>
      <c r="H320" s="1" t="str">
        <f ca="1">IFERROR(__xludf.DUMMYFUNCTION("""COMPUTED_VALUE"""),"Бандаж на лучезапястный сустав эластичный 8503 L (Болгария) KZ.7700.02.01.00746751 / Действителен до 30.03.2026 / 0321022KZ022 / годен до 30.03.2026")</f>
        <v>Бандаж на лучезапястный сустав эластичный 8503 L (Болгария) KZ.7700.02.01.00746751 / Действителен до 30.03.2026 / 0321022KZ022 / годен до 30.03.2026</v>
      </c>
    </row>
    <row r="321" spans="1:8" ht="12.75" x14ac:dyDescent="0.2">
      <c r="A321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321" s="1" t="str">
        <f ca="1">IFERROR(__xludf.DUMMYFUNCTION("""COMPUTED_VALUE"""),"KZ.7700.02.01.00746756")</f>
        <v>KZ.7700.02.01.00746756</v>
      </c>
      <c r="C321" s="1" t="str">
        <f ca="1">IFERROR(__xludf.DUMMYFUNCTION("""COMPUTED_VALUE"""),"Действителен до 30.03.2026")</f>
        <v>Действителен до 30.03.2026</v>
      </c>
      <c r="D321" s="8" t="str">
        <f ca="1">IFERROR(__xludf.DUMMYFUNCTION("""COMPUTED_VALUE"""),"0321022KZ022")</f>
        <v>0321022KZ022</v>
      </c>
      <c r="E321" s="1" t="str">
        <f ca="1">IFERROR(__xludf.DUMMYFUNCTION("""COMPUTED_VALUE"""),"годен до 30.03.2026")</f>
        <v>годен до 30.03.2026</v>
      </c>
      <c r="F321" s="1" t="str">
        <f ca="1">IFERROR(__xludf.DUMMYFUNCTION("""COMPUTED_VALUE"""),"Бандаж на лучезапястный сустав эластичный 8503 M (Болгария) - 0321022KZ022")</f>
        <v>Бандаж на лучезапястный сустав эластичный 8503 M (Болгария) - 0321022KZ022</v>
      </c>
      <c r="G321" s="1" t="str">
        <f ca="1">IFERROR(__xludf.DUMMYFUNCTION("""COMPUTED_VALUE"""),"KZ.7700.02.01.00746756 / Действителен до 30.03.2026 / 0321022KZ022 / годен до 30.03.2026")</f>
        <v>KZ.7700.02.01.00746756 / Действителен до 30.03.2026 / 0321022KZ022 / годен до 30.03.2026</v>
      </c>
      <c r="H321" s="1" t="str">
        <f ca="1">IFERROR(__xludf.DUMMYFUNCTION("""COMPUTED_VALUE"""),"Бандаж на лучезапястный сустав эластичный 8503 M (Болгария) KZ.7700.02.01.00746756 / Действителен до 30.03.2026 / 0321022KZ022 / годен до 30.03.2026")</f>
        <v>Бандаж на лучезапястный сустав эластичный 8503 M (Болгария) KZ.7700.02.01.00746756 / Действителен до 30.03.2026 / 0321022KZ022 / годен до 30.03.2026</v>
      </c>
    </row>
    <row r="322" spans="1:8" ht="12.75" x14ac:dyDescent="0.2">
      <c r="A322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322" s="1" t="str">
        <f ca="1">IFERROR(__xludf.DUMMYFUNCTION("""COMPUTED_VALUE"""),"KZ.7700.02.01.00746750")</f>
        <v>KZ.7700.02.01.00746750</v>
      </c>
      <c r="C322" s="1" t="str">
        <f ca="1">IFERROR(__xludf.DUMMYFUNCTION("""COMPUTED_VALUE"""),"Действителен до 30.03.2026")</f>
        <v>Действителен до 30.03.2026</v>
      </c>
      <c r="D322" s="8" t="str">
        <f ca="1">IFERROR(__xludf.DUMMYFUNCTION("""COMPUTED_VALUE"""),"0321022KZ022")</f>
        <v>0321022KZ022</v>
      </c>
      <c r="E322" s="1" t="str">
        <f ca="1">IFERROR(__xludf.DUMMYFUNCTION("""COMPUTED_VALUE"""),"годен до 30.03.2026")</f>
        <v>годен до 30.03.2026</v>
      </c>
      <c r="F322" s="1" t="str">
        <f ca="1">IFERROR(__xludf.DUMMYFUNCTION("""COMPUTED_VALUE"""),"Бандаж на лучезапястный сустав эластичный 8503 S (Болгария) - 0321022KZ022")</f>
        <v>Бандаж на лучезапястный сустав эластичный 8503 S (Болгария) - 0321022KZ022</v>
      </c>
      <c r="G322" s="1" t="str">
        <f ca="1">IFERROR(__xludf.DUMMYFUNCTION("""COMPUTED_VALUE"""),"KZ.7700.02.01.00746750 / Действителен до 30.03.2026 / 0321022KZ022 / годен до 30.03.2026")</f>
        <v>KZ.7700.02.01.00746750 / Действителен до 30.03.2026 / 0321022KZ022 / годен до 30.03.2026</v>
      </c>
      <c r="H322" s="1" t="str">
        <f ca="1">IFERROR(__xludf.DUMMYFUNCTION("""COMPUTED_VALUE"""),"Бандаж на лучезапястный сустав эластичный 8503 S (Болгария) KZ.7700.02.01.00746750 / Действителен до 30.03.2026 / 0321022KZ022 / годен до 30.03.2026")</f>
        <v>Бандаж на лучезапястный сустав эластичный 8503 S (Болгария) KZ.7700.02.01.00746750 / Действителен до 30.03.2026 / 0321022KZ022 / годен до 30.03.2026</v>
      </c>
    </row>
    <row r="323" spans="1:8" ht="12.75" x14ac:dyDescent="0.2">
      <c r="A323" s="1" t="str">
        <f ca="1">IFERROR(__xludf.DUMMYFUNCTION("""COMPUTED_VALUE"""),"Бандаж на лучезапястный сустав эластичный 8503 XL (Болгария)")</f>
        <v>Бандаж на лучезапястный сустав эластичный 8503 XL (Болгария)</v>
      </c>
      <c r="B323" s="1" t="str">
        <f ca="1">IFERROR(__xludf.DUMMYFUNCTION("""COMPUTED_VALUE"""),"KZ.7700.02.01.00746755")</f>
        <v>KZ.7700.02.01.00746755</v>
      </c>
      <c r="C323" s="1" t="str">
        <f ca="1">IFERROR(__xludf.DUMMYFUNCTION("""COMPUTED_VALUE"""),"Действителен до 30.03.2026")</f>
        <v>Действителен до 30.03.2026</v>
      </c>
      <c r="D323" s="8" t="str">
        <f ca="1">IFERROR(__xludf.DUMMYFUNCTION("""COMPUTED_VALUE"""),"0321022KZ022")</f>
        <v>0321022KZ022</v>
      </c>
      <c r="E323" s="1" t="str">
        <f ca="1">IFERROR(__xludf.DUMMYFUNCTION("""COMPUTED_VALUE"""),"годен до 30.03.2026")</f>
        <v>годен до 30.03.2026</v>
      </c>
      <c r="F323" s="1" t="str">
        <f ca="1">IFERROR(__xludf.DUMMYFUNCTION("""COMPUTED_VALUE"""),"Бандаж на лучезапястный сустав эластичный 8503 XL (Болгария) - 0321022KZ022")</f>
        <v>Бандаж на лучезапястный сустав эластичный 8503 XL (Болгария) - 0321022KZ022</v>
      </c>
      <c r="G323" s="1" t="str">
        <f ca="1">IFERROR(__xludf.DUMMYFUNCTION("""COMPUTED_VALUE"""),"KZ.7700.02.01.00746755 / Действителен до 30.03.2026 / 0321022KZ022 / годен до 30.03.2026")</f>
        <v>KZ.7700.02.01.00746755 / Действителен до 30.03.2026 / 0321022KZ022 / годен до 30.03.2026</v>
      </c>
      <c r="H323" s="1" t="str">
        <f ca="1">IFERROR(__xludf.DUMMYFUNCTION("""COMPUTED_VALUE"""),"Бандаж на лучезапястный сустав эластичный 8503 XL (Болгария) KZ.7700.02.01.00746755 / Действителен до 30.03.2026 / 0321022KZ022 / годен до 30.03.2026")</f>
        <v>Бандаж на лучезапястный сустав эластичный 8503 XL (Болгария) KZ.7700.02.01.00746755 / Действителен до 30.03.2026 / 0321022KZ022 / годен до 30.03.2026</v>
      </c>
    </row>
    <row r="324" spans="1:8" ht="12.75" x14ac:dyDescent="0.2">
      <c r="A324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324" s="1" t="str">
        <f ca="1">IFERROR(__xludf.DUMMYFUNCTION("""COMPUTED_VALUE"""),"KZ.7700.02.01.00746753")</f>
        <v>KZ.7700.02.01.00746753</v>
      </c>
      <c r="C324" s="1" t="str">
        <f ca="1">IFERROR(__xludf.DUMMYFUNCTION("""COMPUTED_VALUE"""),"Действителен до 30.03.2026")</f>
        <v>Действителен до 30.03.2026</v>
      </c>
      <c r="D324" s="8" t="str">
        <f ca="1">IFERROR(__xludf.DUMMYFUNCTION("""COMPUTED_VALUE"""),"0321022KZ022")</f>
        <v>0321022KZ022</v>
      </c>
      <c r="E324" s="1" t="str">
        <f ca="1">IFERROR(__xludf.DUMMYFUNCTION("""COMPUTED_VALUE"""),"годен до 30.03.2026")</f>
        <v>годен до 30.03.2026</v>
      </c>
      <c r="F324" s="1" t="str">
        <f ca="1">IFERROR(__xludf.DUMMYFUNCTION("""COMPUTED_VALUE"""),"Бандаж на лучезапястный сустав легкой фиксации 8505 L/XL (Бежевый) (Болгария) - 0321022KZ022")</f>
        <v>Бандаж на лучезапястный сустав легкой фиксации 8505 L/XL (Бежевый) (Болгария) - 0321022KZ022</v>
      </c>
      <c r="G324" s="1" t="str">
        <f ca="1">IFERROR(__xludf.DUMMYFUNCTION("""COMPUTED_VALUE"""),"KZ.7700.02.01.00746753 / Действителен до 30.03.2026 / 0321022KZ022 / годен до 30.03.2026")</f>
        <v>KZ.7700.02.01.00746753 / Действителен до 30.03.2026 / 0321022KZ022 / годен до 30.03.2026</v>
      </c>
      <c r="H324" s="1" t="str">
        <f ca="1">IFERROR(__xludf.DUMMYFUNCTION("""COMPUTED_VALUE"""),"Бандаж на лучезапястный сустав легкой фиксации 8505 L/XL (Бежевый) (Болгария) KZ.7700.02.01.00746753 / Действителен до 30.03.2026 / 0321022KZ022 / годен до 30.03.2026")</f>
        <v>Бандаж на лучезапястный сустав легкой фиксации 8505 L/XL (Бежевый) (Болгария) KZ.7700.02.01.00746753 / Действителен до 30.03.2026 / 0321022KZ022 / годен до 30.03.2026</v>
      </c>
    </row>
    <row r="325" spans="1:8" ht="12.75" x14ac:dyDescent="0.2">
      <c r="A325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325" s="1" t="str">
        <f ca="1">IFERROR(__xludf.DUMMYFUNCTION("""COMPUTED_VALUE"""),"KZ.7700.02.01.00746758")</f>
        <v>KZ.7700.02.01.00746758</v>
      </c>
      <c r="C325" s="1" t="str">
        <f ca="1">IFERROR(__xludf.DUMMYFUNCTION("""COMPUTED_VALUE"""),"Действителен до 30.03.2026")</f>
        <v>Действителен до 30.03.2026</v>
      </c>
      <c r="D325" s="8" t="str">
        <f ca="1">IFERROR(__xludf.DUMMYFUNCTION("""COMPUTED_VALUE"""),"0321022KZ022")</f>
        <v>0321022KZ022</v>
      </c>
      <c r="E325" s="1" t="str">
        <f ca="1">IFERROR(__xludf.DUMMYFUNCTION("""COMPUTED_VALUE"""),"годен до 30.03.2026")</f>
        <v>годен до 30.03.2026</v>
      </c>
      <c r="F325" s="1" t="str">
        <f ca="1">IFERROR(__xludf.DUMMYFUNCTION("""COMPUTED_VALUE"""),"Бандаж на лучезапястный сустав легкой фиксации 8505 S/M (Бежевый) (Болгария) - 0321022KZ022")</f>
        <v>Бандаж на лучезапястный сустав легкой фиксации 8505 S/M (Бежевый) (Болгария) - 0321022KZ022</v>
      </c>
      <c r="G325" s="1" t="str">
        <f ca="1">IFERROR(__xludf.DUMMYFUNCTION("""COMPUTED_VALUE"""),"KZ.7700.02.01.00746758 / Действителен до 30.03.2026 / 0321022KZ022 / годен до 30.03.2026")</f>
        <v>KZ.7700.02.01.00746758 / Действителен до 30.03.2026 / 0321022KZ022 / годен до 30.03.2026</v>
      </c>
      <c r="H325" s="1" t="str">
        <f ca="1">IFERROR(__xludf.DUMMYFUNCTION("""COMPUTED_VALUE"""),"Бандаж на лучезапястный сустав легкой фиксации 8505 S/M (Бежевый) (Болгария) KZ.7700.02.01.00746758 / Действителен до 30.03.2026 / 0321022KZ022 / годен до 30.03.2026")</f>
        <v>Бандаж на лучезапястный сустав легкой фиксации 8505 S/M (Бежевый) (Болгария) KZ.7700.02.01.00746758 / Действителен до 30.03.2026 / 0321022KZ022 / годен до 30.03.2026</v>
      </c>
    </row>
    <row r="326" spans="1:8" ht="12.75" x14ac:dyDescent="0.2">
      <c r="A326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326" s="1" t="str">
        <f ca="1">IFERROR(__xludf.DUMMYFUNCTION("""COMPUTED_VALUE"""),"KZ.7700.02.01.00746765")</f>
        <v>KZ.7700.02.01.00746765</v>
      </c>
      <c r="C326" s="1" t="str">
        <f ca="1">IFERROR(__xludf.DUMMYFUNCTION("""COMPUTED_VALUE"""),"Действителен до 30.03.2026")</f>
        <v>Действителен до 30.03.2026</v>
      </c>
      <c r="D326" s="8" t="str">
        <f ca="1">IFERROR(__xludf.DUMMYFUNCTION("""COMPUTED_VALUE"""),"0321022KZ022")</f>
        <v>0321022KZ022</v>
      </c>
      <c r="E326" s="1" t="str">
        <f ca="1">IFERROR(__xludf.DUMMYFUNCTION("""COMPUTED_VALUE"""),"годен до 30.03.2026")</f>
        <v>годен до 30.03.2026</v>
      </c>
      <c r="F326" s="1" t="str">
        <f ca="1">IFERROR(__xludf.DUMMYFUNCTION("""COMPUTED_VALUE"""),"Бандаж на лучезапястный сустав с фиксацией пальца 8552 L\XL (Болгария) - 0321022KZ022")</f>
        <v>Бандаж на лучезапястный сустав с фиксацией пальца 8552 L\XL (Болгария) - 0321022KZ022</v>
      </c>
      <c r="G326" s="1" t="str">
        <f ca="1">IFERROR(__xludf.DUMMYFUNCTION("""COMPUTED_VALUE"""),"KZ.7700.02.01.00746765 / Действителен до 30.03.2026 / 0321022KZ022 / годен до 30.03.2026")</f>
        <v>KZ.7700.02.01.00746765 / Действителен до 30.03.2026 / 0321022KZ022 / годен до 30.03.2026</v>
      </c>
      <c r="H326" s="1" t="str">
        <f ca="1">IFERROR(__xludf.DUMMYFUNCTION("""COMPUTED_VALUE"""),"Бандаж на лучезапястный сустав с фиксацией пальца 8552 L\XL (Болгария) KZ.7700.02.01.00746765 / Действителен до 30.03.2026 / 0321022KZ022 / годен до 30.03.2026")</f>
        <v>Бандаж на лучезапястный сустав с фиксацией пальца 8552 L\XL (Болгария) KZ.7700.02.01.00746765 / Действителен до 30.03.2026 / 0321022KZ022 / годен до 30.03.2026</v>
      </c>
    </row>
    <row r="327" spans="1:8" ht="12.75" x14ac:dyDescent="0.2">
      <c r="A327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327" s="1" t="str">
        <f ca="1">IFERROR(__xludf.DUMMYFUNCTION("""COMPUTED_VALUE"""),"KZ.7700.02.01.00746766")</f>
        <v>KZ.7700.02.01.00746766</v>
      </c>
      <c r="C327" s="1" t="str">
        <f ca="1">IFERROR(__xludf.DUMMYFUNCTION("""COMPUTED_VALUE"""),"Действителен до 30.03.2026")</f>
        <v>Действителен до 30.03.2026</v>
      </c>
      <c r="D327" s="8" t="str">
        <f ca="1">IFERROR(__xludf.DUMMYFUNCTION("""COMPUTED_VALUE"""),"0321022KZ022")</f>
        <v>0321022KZ022</v>
      </c>
      <c r="E327" s="1" t="str">
        <f ca="1">IFERROR(__xludf.DUMMYFUNCTION("""COMPUTED_VALUE"""),"годен до 30.03.2026")</f>
        <v>годен до 30.03.2026</v>
      </c>
      <c r="F327" s="1" t="str">
        <f ca="1">IFERROR(__xludf.DUMMYFUNCTION("""COMPUTED_VALUE"""),"Бандаж на лучезапястный сустав с фиксацией пальца 8552 S\M (Болгария) - 0321022KZ022")</f>
        <v>Бандаж на лучезапястный сустав с фиксацией пальца 8552 S\M (Болгария) - 0321022KZ022</v>
      </c>
      <c r="G327" s="1" t="str">
        <f ca="1">IFERROR(__xludf.DUMMYFUNCTION("""COMPUTED_VALUE"""),"KZ.7700.02.01.00746766 / Действителен до 30.03.2026 / 0321022KZ022 / годен до 30.03.2026")</f>
        <v>KZ.7700.02.01.00746766 / Действителен до 30.03.2026 / 0321022KZ022 / годен до 30.03.2026</v>
      </c>
      <c r="H327" s="1" t="str">
        <f ca="1">IFERROR(__xludf.DUMMYFUNCTION("""COMPUTED_VALUE"""),"Бандаж на лучезапястный сустав с фиксацией пальца 8552 S\M (Болгария) KZ.7700.02.01.00746766 / Действителен до 30.03.2026 / 0321022KZ022 / годен до 30.03.2026")</f>
        <v>Бандаж на лучезапястный сустав с фиксацией пальца 8552 S\M (Болгария) KZ.7700.02.01.00746766 / Действителен до 30.03.2026 / 0321022KZ022 / годен до 30.03.2026</v>
      </c>
    </row>
    <row r="328" spans="1:8" ht="12.75" x14ac:dyDescent="0.2">
      <c r="A328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328" s="1" t="str">
        <f ca="1">IFERROR(__xludf.DUMMYFUNCTION("""COMPUTED_VALUE"""),"KZ.7700.02.01.00746768")</f>
        <v>KZ.7700.02.01.00746768</v>
      </c>
      <c r="C328" s="1" t="str">
        <f ca="1">IFERROR(__xludf.DUMMYFUNCTION("""COMPUTED_VALUE"""),"Действителен до 30.03.2026")</f>
        <v>Действителен до 30.03.2026</v>
      </c>
      <c r="D328" s="8" t="str">
        <f ca="1">IFERROR(__xludf.DUMMYFUNCTION("""COMPUTED_VALUE"""),"0321022KZ022")</f>
        <v>0321022KZ022</v>
      </c>
      <c r="E328" s="1" t="str">
        <f ca="1">IFERROR(__xludf.DUMMYFUNCTION("""COMPUTED_VALUE"""),"годен до 30.03.2026")</f>
        <v>годен до 30.03.2026</v>
      </c>
      <c r="F328" s="1" t="str">
        <f ca="1">IFERROR(__xludf.DUMMYFUNCTION("""COMPUTED_VALUE"""),"Бандаж для руки поддерживающий облегченный (косынка) 9912 L (белый) (Болгария) - 0321022KZ022")</f>
        <v>Бандаж для руки поддерживающий облегченный (косынка) 9912 L (белый) (Болгария) - 0321022KZ022</v>
      </c>
      <c r="G328" s="1" t="str">
        <f ca="1">IFERROR(__xludf.DUMMYFUNCTION("""COMPUTED_VALUE"""),"KZ.7700.02.01.00746768 / Действителен до 30.03.2026 / 0321022KZ022 / годен до 30.03.2026")</f>
        <v>KZ.7700.02.01.00746768 / Действителен до 30.03.2026 / 0321022KZ022 / годен до 30.03.2026</v>
      </c>
      <c r="H328" s="1" t="str">
        <f ca="1">IFERROR(__xludf.DUMMYFUNCTION("""COMPUTED_VALUE"""),"Бандаж для руки поддерживающий облегченный (косынка) 9912 L (белый) (Болгария) KZ.7700.02.01.00746768 / Действителен до 30.03.2026 / 0321022KZ022 / годен до 30.03.2026")</f>
        <v>Бандаж для руки поддерживающий облегченный (косынка) 9912 L (белый) (Болгария) KZ.7700.02.01.00746768 / Действителен до 30.03.2026 / 0321022KZ022 / годен до 30.03.2026</v>
      </c>
    </row>
    <row r="329" spans="1:8" ht="12.75" x14ac:dyDescent="0.2">
      <c r="A329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329" s="1" t="str">
        <f ca="1">IFERROR(__xludf.DUMMYFUNCTION("""COMPUTED_VALUE"""),"KZ.7700.02.01.00746760")</f>
        <v>KZ.7700.02.01.00746760</v>
      </c>
      <c r="C329" s="1" t="str">
        <f ca="1">IFERROR(__xludf.DUMMYFUNCTION("""COMPUTED_VALUE"""),"Действителен до 30.03.2026")</f>
        <v>Действителен до 30.03.2026</v>
      </c>
      <c r="D329" s="8" t="str">
        <f ca="1">IFERROR(__xludf.DUMMYFUNCTION("""COMPUTED_VALUE"""),"0321022KZ022")</f>
        <v>0321022KZ022</v>
      </c>
      <c r="E329" s="1" t="str">
        <f ca="1">IFERROR(__xludf.DUMMYFUNCTION("""COMPUTED_VALUE"""),"годен до 30.03.2026")</f>
        <v>годен до 30.03.2026</v>
      </c>
      <c r="F329" s="1" t="str">
        <f ca="1">IFERROR(__xludf.DUMMYFUNCTION("""COMPUTED_VALUE"""),"Бандаж для руки поддерживающий облегченный (косынка) 9912 L (черный) (Болгария) - 0321022KZ022")</f>
        <v>Бандаж для руки поддерживающий облегченный (косынка) 9912 L (черный) (Болгария) - 0321022KZ022</v>
      </c>
      <c r="G329" s="1" t="str">
        <f ca="1">IFERROR(__xludf.DUMMYFUNCTION("""COMPUTED_VALUE"""),"KZ.7700.02.01.00746760 / Действителен до 30.03.2026 / 0321022KZ022 / годен до 30.03.2026")</f>
        <v>KZ.7700.02.01.00746760 / Действителен до 30.03.2026 / 0321022KZ022 / годен до 30.03.2026</v>
      </c>
      <c r="H329" s="1" t="str">
        <f ca="1">IFERROR(__xludf.DUMMYFUNCTION("""COMPUTED_VALUE"""),"Бандаж для руки поддерживающий облегченный (косынка) 9912 L (черный) (Болгария) KZ.7700.02.01.00746760 / Действителен до 30.03.2026 / 0321022KZ022 / годен до 30.03.2026")</f>
        <v>Бандаж для руки поддерживающий облегченный (косынка) 9912 L (черный) (Болгария) KZ.7700.02.01.00746760 / Действителен до 30.03.2026 / 0321022KZ022 / годен до 30.03.2026</v>
      </c>
    </row>
    <row r="330" spans="1:8" ht="12.75" x14ac:dyDescent="0.2">
      <c r="A330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330" s="1" t="str">
        <f ca="1">IFERROR(__xludf.DUMMYFUNCTION("""COMPUTED_VALUE"""),"KZ.7700.02.01.00746762")</f>
        <v>KZ.7700.02.01.00746762</v>
      </c>
      <c r="C330" s="1" t="str">
        <f ca="1">IFERROR(__xludf.DUMMYFUNCTION("""COMPUTED_VALUE"""),"Действителен до 30.03.2026")</f>
        <v>Действителен до 30.03.2026</v>
      </c>
      <c r="D330" s="8" t="str">
        <f ca="1">IFERROR(__xludf.DUMMYFUNCTION("""COMPUTED_VALUE"""),"0321022KZ022")</f>
        <v>0321022KZ022</v>
      </c>
      <c r="E330" s="1" t="str">
        <f ca="1">IFERROR(__xludf.DUMMYFUNCTION("""COMPUTED_VALUE"""),"годен до 30.03.2026")</f>
        <v>годен до 30.03.2026</v>
      </c>
      <c r="F330" s="1" t="str">
        <f ca="1">IFERROR(__xludf.DUMMYFUNCTION("""COMPUTED_VALUE"""),"Бандаж для руки поддерживающий облегченный (косынка) 9912 M (черный) (Болгария) - 0321022KZ022")</f>
        <v>Бандаж для руки поддерживающий облегченный (косынка) 9912 M (черный) (Болгария) - 0321022KZ022</v>
      </c>
      <c r="G330" s="1" t="str">
        <f ca="1">IFERROR(__xludf.DUMMYFUNCTION("""COMPUTED_VALUE"""),"KZ.7700.02.01.00746762 / Действителен до 30.03.2026 / 0321022KZ022 / годен до 30.03.2026")</f>
        <v>KZ.7700.02.01.00746762 / Действителен до 30.03.2026 / 0321022KZ022 / годен до 30.03.2026</v>
      </c>
      <c r="H330" s="1" t="str">
        <f ca="1">IFERROR(__xludf.DUMMYFUNCTION("""COMPUTED_VALUE"""),"Бандаж для руки поддерживающий облегченный (косынка) 9912 M (черный) (Болгария) KZ.7700.02.01.00746762 / Действителен до 30.03.2026 / 0321022KZ022 / годен до 30.03.2026")</f>
        <v>Бандаж для руки поддерживающий облегченный (косынка) 9912 M (черный) (Болгария) KZ.7700.02.01.00746762 / Действителен до 30.03.2026 / 0321022KZ022 / годен до 30.03.2026</v>
      </c>
    </row>
    <row r="331" spans="1:8" ht="12.75" x14ac:dyDescent="0.2">
      <c r="A331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331" s="1" t="str">
        <f ca="1">IFERROR(__xludf.DUMMYFUNCTION("""COMPUTED_VALUE"""),"KZ.7700.02.01.00746761")</f>
        <v>KZ.7700.02.01.00746761</v>
      </c>
      <c r="C331" s="1" t="str">
        <f ca="1">IFERROR(__xludf.DUMMYFUNCTION("""COMPUTED_VALUE"""),"Действителен до 30.03.2026")</f>
        <v>Действителен до 30.03.2026</v>
      </c>
      <c r="D331" s="8" t="str">
        <f ca="1">IFERROR(__xludf.DUMMYFUNCTION("""COMPUTED_VALUE"""),"0321022KZ022")</f>
        <v>0321022KZ022</v>
      </c>
      <c r="E331" s="1" t="str">
        <f ca="1">IFERROR(__xludf.DUMMYFUNCTION("""COMPUTED_VALUE"""),"годен до 30.03.2026")</f>
        <v>годен до 30.03.2026</v>
      </c>
      <c r="F331" s="1" t="str">
        <f ca="1">IFERROR(__xludf.DUMMYFUNCTION("""COMPUTED_VALUE"""),"Бандаж для руки поддерживающий облегченный (косынка) 9912 S (черный) (Болгария) - 0321022KZ022")</f>
        <v>Бандаж для руки поддерживающий облегченный (косынка) 9912 S (черный) (Болгария) - 0321022KZ022</v>
      </c>
      <c r="G331" s="1" t="str">
        <f ca="1">IFERROR(__xludf.DUMMYFUNCTION("""COMPUTED_VALUE"""),"KZ.7700.02.01.00746761 / Действителен до 30.03.2026 / 0321022KZ022 / годен до 30.03.2026")</f>
        <v>KZ.7700.02.01.00746761 / Действителен до 30.03.2026 / 0321022KZ022 / годен до 30.03.2026</v>
      </c>
      <c r="H331" s="1" t="str">
        <f ca="1">IFERROR(__xludf.DUMMYFUNCTION("""COMPUTED_VALUE"""),"Бандаж для руки поддерживающий облегченный (косынка) 9912 S (черный) (Болгария) KZ.7700.02.01.00746761 / Действителен до 30.03.2026 / 0321022KZ022 / годен до 30.03.2026")</f>
        <v>Бандаж для руки поддерживающий облегченный (косынка) 9912 S (черный) (Болгария) KZ.7700.02.01.00746761 / Действителен до 30.03.2026 / 0321022KZ022 / годен до 30.03.2026</v>
      </c>
    </row>
    <row r="332" spans="1:8" ht="12.75" x14ac:dyDescent="0.2">
      <c r="A332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B332" s="1" t="str">
        <f ca="1">IFERROR(__xludf.DUMMYFUNCTION("""COMPUTED_VALUE"""),"KZ.7700.02.01.00746769")</f>
        <v>KZ.7700.02.01.00746769</v>
      </c>
      <c r="C332" s="1" t="str">
        <f ca="1">IFERROR(__xludf.DUMMYFUNCTION("""COMPUTED_VALUE"""),"Действителен до 30.03.2026")</f>
        <v>Действителен до 30.03.2026</v>
      </c>
      <c r="D332" s="8" t="str">
        <f ca="1">IFERROR(__xludf.DUMMYFUNCTION("""COMPUTED_VALUE"""),"0321022KZ022")</f>
        <v>0321022KZ022</v>
      </c>
      <c r="E332" s="1" t="str">
        <f ca="1">IFERROR(__xludf.DUMMYFUNCTION("""COMPUTED_VALUE"""),"годен до 30.03.2026")</f>
        <v>годен до 30.03.2026</v>
      </c>
      <c r="F332" s="1" t="str">
        <f ca="1">IFERROR(__xludf.DUMMYFUNCTION("""COMPUTED_VALUE"""),"Бандаж для руки поддерживающий облегченный (косынка) 9912 XL (белый) (Болгария) - 0321022KZ022")</f>
        <v>Бандаж для руки поддерживающий облегченный (косынка) 9912 XL (белый) (Болгария) - 0321022KZ022</v>
      </c>
      <c r="G332" s="1" t="str">
        <f ca="1">IFERROR(__xludf.DUMMYFUNCTION("""COMPUTED_VALUE"""),"KZ.7700.02.01.00746769 / Действителен до 30.03.2026 / 0321022KZ022 / годен до 30.03.2026")</f>
        <v>KZ.7700.02.01.00746769 / Действителен до 30.03.2026 / 0321022KZ022 / годен до 30.03.2026</v>
      </c>
      <c r="H332" s="1" t="str">
        <f ca="1">IFERROR(__xludf.DUMMYFUNCTION("""COMPUTED_VALUE"""),"Бандаж для руки поддерживающий облегченный (косынка) 9912 XL (белый) (Болгария) KZ.7700.02.01.00746769 / Действителен до 30.03.2026 / 0321022KZ022 / годен до 30.03.2026")</f>
        <v>Бандаж для руки поддерживающий облегченный (косынка) 9912 XL (белый) (Болгария) KZ.7700.02.01.00746769 / Действителен до 30.03.2026 / 0321022KZ022 / годен до 30.03.2026</v>
      </c>
    </row>
    <row r="333" spans="1:8" ht="12.75" x14ac:dyDescent="0.2">
      <c r="A333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333" s="1" t="str">
        <f ca="1">IFERROR(__xludf.DUMMYFUNCTION("""COMPUTED_VALUE"""),"KZ.7700.02.01.00713158")</f>
        <v>KZ.7700.02.01.00713158</v>
      </c>
      <c r="C333" s="1" t="str">
        <f ca="1">IFERROR(__xludf.DUMMYFUNCTION("""COMPUTED_VALUE"""),"Действителен до 21.12.2025")</f>
        <v>Действителен до 21.12.2025</v>
      </c>
      <c r="D333" s="8" t="str">
        <f ca="1">IFERROR(__xludf.DUMMYFUNCTION("""COMPUTED_VALUE"""),"1220125KZ125")</f>
        <v>1220125KZ125</v>
      </c>
      <c r="E333" s="1" t="str">
        <f ca="1">IFERROR(__xludf.DUMMYFUNCTION("""COMPUTED_VALUE"""),"годен до 21.12.2025")</f>
        <v>годен до 21.12.2025</v>
      </c>
      <c r="F333" s="1" t="str">
        <f ca="1">IFERROR(__xludf.DUMMYFUNCTION("""COMPUTED_VALUE"""),"Бинт эластичный медицинский средней растяжимости (ширина 80 мм) 02х80х1 - 1220125KZ125")</f>
        <v>Бинт эластичный медицинский средней растяжимости (ширина 80 мм) 02х80х1 - 1220125KZ125</v>
      </c>
      <c r="G333" s="1" t="str">
        <f ca="1">IFERROR(__xludf.DUMMYFUNCTION("""COMPUTED_VALUE"""),"KZ.7700.02.01.00713158 / Действителен до 21.12.2025 / 1220125KZ125 / годен до 21.12.2025")</f>
        <v>KZ.7700.02.01.00713158 / Действителен до 21.12.2025 / 1220125KZ125 / годен до 21.12.2025</v>
      </c>
      <c r="H333" s="1" t="str">
        <f ca="1">IFERROR(__xludf.DUMMYFUNCTION("""COMPUTED_VALUE"""),"Бинт эластичный медицинский средней растяжимости (ширина 80 мм) 02х80х1 KZ.7700.02.01.00713158 / Действителен до 21.12.2025 / 1220125KZ125 / годен до 21.12.2025")</f>
        <v>Бинт эластичный медицинский средней растяжимости (ширина 80 мм) 02х80х1 KZ.7700.02.01.00713158 / Действителен до 21.12.2025 / 1220125KZ125 / годен до 21.12.2025</v>
      </c>
    </row>
    <row r="334" spans="1:8" ht="12.75" x14ac:dyDescent="0.2">
      <c r="A334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334" s="1" t="str">
        <f ca="1">IFERROR(__xludf.DUMMYFUNCTION("""COMPUTED_VALUE"""),"KZ.7700.02.01.00713148")</f>
        <v>KZ.7700.02.01.00713148</v>
      </c>
      <c r="C334" s="1" t="str">
        <f ca="1">IFERROR(__xludf.DUMMYFUNCTION("""COMPUTED_VALUE"""),"Действителен до 21.12.2025")</f>
        <v>Действителен до 21.12.2025</v>
      </c>
      <c r="D334" s="8" t="str">
        <f ca="1">IFERROR(__xludf.DUMMYFUNCTION("""COMPUTED_VALUE"""),"1220125KZ125")</f>
        <v>1220125KZ125</v>
      </c>
      <c r="E334" s="1" t="str">
        <f ca="1">IFERROR(__xludf.DUMMYFUNCTION("""COMPUTED_VALUE"""),"годен до 21.12.2025")</f>
        <v>годен до 21.12.2025</v>
      </c>
      <c r="F334" s="1" t="str">
        <f ca="1">IFERROR(__xludf.DUMMYFUNCTION("""COMPUTED_VALUE"""),"Бинт эластичный медицинский средней растяжимости (ширина 80 мм) 02х80х1.5 - 1220125KZ125")</f>
        <v>Бинт эластичный медицинский средней растяжимости (ширина 80 мм) 02х80х1.5 - 1220125KZ125</v>
      </c>
      <c r="G334" s="1" t="str">
        <f ca="1">IFERROR(__xludf.DUMMYFUNCTION("""COMPUTED_VALUE"""),"KZ.7700.02.01.00713148 / Действителен до 21.12.2025 / 1220125KZ125 / годен до 21.12.2025")</f>
        <v>KZ.7700.02.01.00713148 / Действителен до 21.12.2025 / 1220125KZ125 / годен до 21.12.2025</v>
      </c>
      <c r="H334" s="1" t="str">
        <f ca="1">IFERROR(__xludf.DUMMYFUNCTION("""COMPUTED_VALUE"""),"Бинт эластичный медицинский средней растяжимости (ширина 80 мм) 02х80х1.5 KZ.7700.02.01.00713148 / Действителен до 21.12.2025 / 1220125KZ125 / годен до 21.12.2025")</f>
        <v>Бинт эластичный медицинский средней растяжимости (ширина 80 мм) 02х80х1.5 KZ.7700.02.01.00713148 / Действителен до 21.12.2025 / 1220125KZ125 / годен до 21.12.2025</v>
      </c>
    </row>
    <row r="335" spans="1:8" ht="12.75" x14ac:dyDescent="0.2">
      <c r="A335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335" s="1" t="str">
        <f ca="1">IFERROR(__xludf.DUMMYFUNCTION("""COMPUTED_VALUE"""),"KZ.7700.02.01.00713125")</f>
        <v>KZ.7700.02.01.00713125</v>
      </c>
      <c r="C335" s="1" t="str">
        <f ca="1">IFERROR(__xludf.DUMMYFUNCTION("""COMPUTED_VALUE"""),"Действителен до 21.12.2025")</f>
        <v>Действителен до 21.12.2025</v>
      </c>
      <c r="D335" s="8" t="str">
        <f ca="1">IFERROR(__xludf.DUMMYFUNCTION("""COMPUTED_VALUE"""),"1220125KZ125")</f>
        <v>1220125KZ125</v>
      </c>
      <c r="E335" s="1" t="str">
        <f ca="1">IFERROR(__xludf.DUMMYFUNCTION("""COMPUTED_VALUE"""),"годен до 21.12.2025")</f>
        <v>годен до 21.12.2025</v>
      </c>
      <c r="F335" s="1" t="str">
        <f ca="1">IFERROR(__xludf.DUMMYFUNCTION("""COMPUTED_VALUE"""),"Бинт эластичный медицинский средней растяжимости (ширина 80 мм) 02х80х2 - 1220125KZ125")</f>
        <v>Бинт эластичный медицинский средней растяжимости (ширина 80 мм) 02х80х2 - 1220125KZ125</v>
      </c>
      <c r="G335" s="1" t="str">
        <f ca="1">IFERROR(__xludf.DUMMYFUNCTION("""COMPUTED_VALUE"""),"KZ.7700.02.01.00713125 / Действителен до 21.12.2025 / 1220125KZ125 / годен до 21.12.2025")</f>
        <v>KZ.7700.02.01.00713125 / Действителен до 21.12.2025 / 1220125KZ125 / годен до 21.12.2025</v>
      </c>
      <c r="H335" s="1" t="str">
        <f ca="1">IFERROR(__xludf.DUMMYFUNCTION("""COMPUTED_VALUE"""),"Бинт эластичный медицинский средней растяжимости (ширина 80 мм) 02х80х2 KZ.7700.02.01.00713125 / Действителен до 21.12.2025 / 1220125KZ125 / годен до 21.12.2025")</f>
        <v>Бинт эластичный медицинский средней растяжимости (ширина 80 мм) 02х80х2 KZ.7700.02.01.00713125 / Действителен до 21.12.2025 / 1220125KZ125 / годен до 21.12.2025</v>
      </c>
    </row>
    <row r="336" spans="1:8" ht="12.75" x14ac:dyDescent="0.2">
      <c r="A336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336" s="1" t="str">
        <f ca="1">IFERROR(__xludf.DUMMYFUNCTION("""COMPUTED_VALUE"""),"KZ.7700.02.01.00713165")</f>
        <v>KZ.7700.02.01.00713165</v>
      </c>
      <c r="C336" s="1" t="str">
        <f ca="1">IFERROR(__xludf.DUMMYFUNCTION("""COMPUTED_VALUE"""),"Действителен до 21.12.2025")</f>
        <v>Действителен до 21.12.2025</v>
      </c>
      <c r="D336" s="8" t="str">
        <f ca="1">IFERROR(__xludf.DUMMYFUNCTION("""COMPUTED_VALUE"""),"1220125KZ125")</f>
        <v>1220125KZ125</v>
      </c>
      <c r="E336" s="1" t="str">
        <f ca="1">IFERROR(__xludf.DUMMYFUNCTION("""COMPUTED_VALUE"""),"годен до 21.12.2025")</f>
        <v>годен до 21.12.2025</v>
      </c>
      <c r="F336" s="1" t="str">
        <f ca="1">IFERROR(__xludf.DUMMYFUNCTION("""COMPUTED_VALUE"""),"Бинт эластичный медицинский средней растяжимости (ширина 80 мм) 02х80х2.5 - 1220125KZ125")</f>
        <v>Бинт эластичный медицинский средней растяжимости (ширина 80 мм) 02х80х2.5 - 1220125KZ125</v>
      </c>
      <c r="G336" s="1" t="str">
        <f ca="1">IFERROR(__xludf.DUMMYFUNCTION("""COMPUTED_VALUE"""),"KZ.7700.02.01.00713165 / Действителен до 21.12.2025 / 1220125KZ125 / годен до 21.12.2025")</f>
        <v>KZ.7700.02.01.00713165 / Действителен до 21.12.2025 / 1220125KZ125 / годен до 21.12.2025</v>
      </c>
      <c r="H336" s="1" t="str">
        <f ca="1">IFERROR(__xludf.DUMMYFUNCTION("""COMPUTED_VALUE"""),"Бинт эластичный медицинский средней растяжимости (ширина 80 мм) 02х80х2.5 KZ.7700.02.01.00713165 / Действителен до 21.12.2025 / 1220125KZ125 / годен до 21.12.2025")</f>
        <v>Бинт эластичный медицинский средней растяжимости (ширина 80 мм) 02х80х2.5 KZ.7700.02.01.00713165 / Действителен до 21.12.2025 / 1220125KZ125 / годен до 21.12.2025</v>
      </c>
    </row>
    <row r="337" spans="1:8" ht="12.75" x14ac:dyDescent="0.2">
      <c r="A337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337" s="1" t="str">
        <f ca="1">IFERROR(__xludf.DUMMYFUNCTION("""COMPUTED_VALUE"""),"KZ.7700.02.01.00713147")</f>
        <v>KZ.7700.02.01.00713147</v>
      </c>
      <c r="C337" s="1" t="str">
        <f ca="1">IFERROR(__xludf.DUMMYFUNCTION("""COMPUTED_VALUE"""),"Действителен до 21.12.2025")</f>
        <v>Действителен до 21.12.2025</v>
      </c>
      <c r="D337" s="8" t="str">
        <f ca="1">IFERROR(__xludf.DUMMYFUNCTION("""COMPUTED_VALUE"""),"1220125KZ125")</f>
        <v>1220125KZ125</v>
      </c>
      <c r="E337" s="1" t="str">
        <f ca="1">IFERROR(__xludf.DUMMYFUNCTION("""COMPUTED_VALUE"""),"годен до 21.12.2025")</f>
        <v>годен до 21.12.2025</v>
      </c>
      <c r="F337" s="1" t="str">
        <f ca="1">IFERROR(__xludf.DUMMYFUNCTION("""COMPUTED_VALUE"""),"Бинт эластичный медицинский средней растяжимости (ширина 80 мм) 02х80х3 - 1220125KZ125")</f>
        <v>Бинт эластичный медицинский средней растяжимости (ширина 80 мм) 02х80х3 - 1220125KZ125</v>
      </c>
      <c r="G337" s="1" t="str">
        <f ca="1">IFERROR(__xludf.DUMMYFUNCTION("""COMPUTED_VALUE"""),"KZ.7700.02.01.00713147 / Действителен до 21.12.2025 / 1220125KZ125 / годен до 21.12.2025")</f>
        <v>KZ.7700.02.01.00713147 / Действителен до 21.12.2025 / 1220125KZ125 / годен до 21.12.2025</v>
      </c>
      <c r="H337" s="1" t="str">
        <f ca="1">IFERROR(__xludf.DUMMYFUNCTION("""COMPUTED_VALUE"""),"Бинт эластичный медицинский средней растяжимости (ширина 80 мм) 02х80х3 KZ.7700.02.01.00713147 / Действителен до 21.12.2025 / 1220125KZ125 / годен до 21.12.2025")</f>
        <v>Бинт эластичный медицинский средней растяжимости (ширина 80 мм) 02х80х3 KZ.7700.02.01.00713147 / Действителен до 21.12.2025 / 1220125KZ125 / годен до 21.12.2025</v>
      </c>
    </row>
    <row r="338" spans="1:8" ht="12.75" x14ac:dyDescent="0.2">
      <c r="A338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338" s="1" t="str">
        <f ca="1">IFERROR(__xludf.DUMMYFUNCTION("""COMPUTED_VALUE"""),"KZ.7700.02.01.00713171")</f>
        <v>KZ.7700.02.01.00713171</v>
      </c>
      <c r="C338" s="1" t="str">
        <f ca="1">IFERROR(__xludf.DUMMYFUNCTION("""COMPUTED_VALUE"""),"Действителен до 21.12.2025")</f>
        <v>Действителен до 21.12.2025</v>
      </c>
      <c r="D338" s="8" t="str">
        <f ca="1">IFERROR(__xludf.DUMMYFUNCTION("""COMPUTED_VALUE"""),"1220125KZ125")</f>
        <v>1220125KZ125</v>
      </c>
      <c r="E338" s="1" t="str">
        <f ca="1">IFERROR(__xludf.DUMMYFUNCTION("""COMPUTED_VALUE"""),"годен до 21.12.2025")</f>
        <v>годен до 21.12.2025</v>
      </c>
      <c r="F338" s="1" t="str">
        <f ca="1">IFERROR(__xludf.DUMMYFUNCTION("""COMPUTED_VALUE"""),"Бинт эластичный медицинский средней растяжимости (ширина 80 мм) 02х80х3.5 - 1220125KZ125")</f>
        <v>Бинт эластичный медицинский средней растяжимости (ширина 80 мм) 02х80х3.5 - 1220125KZ125</v>
      </c>
      <c r="G338" s="1" t="str">
        <f ca="1">IFERROR(__xludf.DUMMYFUNCTION("""COMPUTED_VALUE"""),"KZ.7700.02.01.00713171 / Действителен до 21.12.2025 / 1220125KZ125 / годен до 21.12.2025")</f>
        <v>KZ.7700.02.01.00713171 / Действителен до 21.12.2025 / 1220125KZ125 / годен до 21.12.2025</v>
      </c>
      <c r="H338" s="1" t="str">
        <f ca="1">IFERROR(__xludf.DUMMYFUNCTION("""COMPUTED_VALUE"""),"Бинт эластичный медицинский средней растяжимости (ширина 80 мм) 02х80х3.5 KZ.7700.02.01.00713171 / Действителен до 21.12.2025 / 1220125KZ125 / годен до 21.12.2025")</f>
        <v>Бинт эластичный медицинский средней растяжимости (ширина 80 мм) 02х80х3.5 KZ.7700.02.01.00713171 / Действителен до 21.12.2025 / 1220125KZ125 / годен до 21.12.2025</v>
      </c>
    </row>
    <row r="339" spans="1:8" ht="12.75" x14ac:dyDescent="0.2">
      <c r="A339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339" s="1" t="str">
        <f ca="1">IFERROR(__xludf.DUMMYFUNCTION("""COMPUTED_VALUE"""),"KZ.7700.02.01.00713145")</f>
        <v>KZ.7700.02.01.00713145</v>
      </c>
      <c r="C339" s="1" t="str">
        <f ca="1">IFERROR(__xludf.DUMMYFUNCTION("""COMPUTED_VALUE"""),"Действителен до 21.12.2025")</f>
        <v>Действителен до 21.12.2025</v>
      </c>
      <c r="D339" s="8" t="str">
        <f ca="1">IFERROR(__xludf.DUMMYFUNCTION("""COMPUTED_VALUE"""),"1220125KZ125")</f>
        <v>1220125KZ125</v>
      </c>
      <c r="E339" s="1" t="str">
        <f ca="1">IFERROR(__xludf.DUMMYFUNCTION("""COMPUTED_VALUE"""),"годен до 21.12.2025")</f>
        <v>годен до 21.12.2025</v>
      </c>
      <c r="F339" s="1" t="str">
        <f ca="1">IFERROR(__xludf.DUMMYFUNCTION("""COMPUTED_VALUE"""),"Бинт эластичный медицинский средней растяжимости (ширина 80 мм) 02х80х4 - 1220125KZ125")</f>
        <v>Бинт эластичный медицинский средней растяжимости (ширина 80 мм) 02х80х4 - 1220125KZ125</v>
      </c>
      <c r="G339" s="1" t="str">
        <f ca="1">IFERROR(__xludf.DUMMYFUNCTION("""COMPUTED_VALUE"""),"KZ.7700.02.01.00713145 / Действителен до 21.12.2025 / 1220125KZ125 / годен до 21.12.2025")</f>
        <v>KZ.7700.02.01.00713145 / Действителен до 21.12.2025 / 1220125KZ125 / годен до 21.12.2025</v>
      </c>
      <c r="H339" s="1" t="str">
        <f ca="1">IFERROR(__xludf.DUMMYFUNCTION("""COMPUTED_VALUE"""),"Бинт эластичный медицинский средней растяжимости (ширина 80 мм) 02х80х4 KZ.7700.02.01.00713145 / Действителен до 21.12.2025 / 1220125KZ125 / годен до 21.12.2025")</f>
        <v>Бинт эластичный медицинский средней растяжимости (ширина 80 мм) 02х80х4 KZ.7700.02.01.00713145 / Действителен до 21.12.2025 / 1220125KZ125 / годен до 21.12.2025</v>
      </c>
    </row>
    <row r="340" spans="1:8" ht="12.75" x14ac:dyDescent="0.2">
      <c r="A340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340" s="1" t="str">
        <f ca="1">IFERROR(__xludf.DUMMYFUNCTION("""COMPUTED_VALUE"""),"KZ.7700.02.01.00713159")</f>
        <v>KZ.7700.02.01.00713159</v>
      </c>
      <c r="C340" s="1" t="str">
        <f ca="1">IFERROR(__xludf.DUMMYFUNCTION("""COMPUTED_VALUE"""),"Действителен до 21.12.2025")</f>
        <v>Действителен до 21.12.2025</v>
      </c>
      <c r="D340" s="8" t="str">
        <f ca="1">IFERROR(__xludf.DUMMYFUNCTION("""COMPUTED_VALUE"""),"1220125KZ125")</f>
        <v>1220125KZ125</v>
      </c>
      <c r="E340" s="1" t="str">
        <f ca="1">IFERROR(__xludf.DUMMYFUNCTION("""COMPUTED_VALUE"""),"годен до 21.12.2025")</f>
        <v>годен до 21.12.2025</v>
      </c>
      <c r="F340" s="1" t="str">
        <f ca="1">IFERROR(__xludf.DUMMYFUNCTION("""COMPUTED_VALUE"""),"Бинт эластичный медицинский средней растяжимости (ширина 80 мм) 02х80х5 - 1220125KZ125")</f>
        <v>Бинт эластичный медицинский средней растяжимости (ширина 80 мм) 02х80х5 - 1220125KZ125</v>
      </c>
      <c r="G340" s="1" t="str">
        <f ca="1">IFERROR(__xludf.DUMMYFUNCTION("""COMPUTED_VALUE"""),"KZ.7700.02.01.00713159 / Действителен до 21.12.2025 / 1220125KZ125 / годен до 21.12.2025")</f>
        <v>KZ.7700.02.01.00713159 / Действителен до 21.12.2025 / 1220125KZ125 / годен до 21.12.2025</v>
      </c>
      <c r="H340" s="1" t="str">
        <f ca="1">IFERROR(__xludf.DUMMYFUNCTION("""COMPUTED_VALUE"""),"Бинт эластичный медицинский средней растяжимости (ширина 80 мм) 02х80х5 KZ.7700.02.01.00713159 / Действителен до 21.12.2025 / 1220125KZ125 / годен до 21.12.2025")</f>
        <v>Бинт эластичный медицинский средней растяжимости (ширина 80 мм) 02х80х5 KZ.7700.02.01.00713159 / Действителен до 21.12.2025 / 1220125KZ125 / годен до 21.12.2025</v>
      </c>
    </row>
    <row r="341" spans="1:8" ht="12.75" x14ac:dyDescent="0.2">
      <c r="A341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341" s="1" t="str">
        <f ca="1">IFERROR(__xludf.DUMMYFUNCTION("""COMPUTED_VALUE"""),"KZ.7700.02.01.00713096")</f>
        <v>KZ.7700.02.01.00713096</v>
      </c>
      <c r="C341" s="1" t="str">
        <f ca="1">IFERROR(__xludf.DUMMYFUNCTION("""COMPUTED_VALUE"""),"Действителен до 21.12.2025")</f>
        <v>Действителен до 21.12.2025</v>
      </c>
      <c r="D341" s="8" t="str">
        <f ca="1">IFERROR(__xludf.DUMMYFUNCTION("""COMPUTED_VALUE"""),"1220125KZ125")</f>
        <v>1220125KZ125</v>
      </c>
      <c r="E341" s="1" t="str">
        <f ca="1">IFERROR(__xludf.DUMMYFUNCTION("""COMPUTED_VALUE"""),"годен до 21.12.2025")</f>
        <v>годен до 21.12.2025</v>
      </c>
      <c r="F341" s="1" t="str">
        <f ca="1">IFERROR(__xludf.DUMMYFUNCTION("""COMPUTED_VALUE"""),"Бандаж на шейный отдел позвоночника мягкой фиксацией 1001 I(S) (Болгария) - 1220125KZ125")</f>
        <v>Бандаж на шейный отдел позвоночника мягкой фиксацией 1001 I(S) (Болгария) - 1220125KZ125</v>
      </c>
      <c r="G341" s="1" t="str">
        <f ca="1">IFERROR(__xludf.DUMMYFUNCTION("""COMPUTED_VALUE"""),"KZ.7700.02.01.00713096 / Действителен до 21.12.2025 / 1220125KZ125 / годен до 21.12.2025")</f>
        <v>KZ.7700.02.01.00713096 / Действителен до 21.12.2025 / 1220125KZ125 / годен до 21.12.2025</v>
      </c>
      <c r="H341" s="1" t="str">
        <f ca="1">IFERROR(__xludf.DUMMYFUNCTION("""COMPUTED_VALUE"""),"Бандаж на шейный отдел позвоночника мягкой фиксацией 1001 I(S) (Болгария) KZ.7700.02.01.00713096 / Действителен до 21.12.2025 / 1220125KZ125 / годен до 21.12.2025")</f>
        <v>Бандаж на шейный отдел позвоночника мягкой фиксацией 1001 I(S) (Болгария) KZ.7700.02.01.00713096 / Действителен до 21.12.2025 / 1220125KZ125 / годен до 21.12.2025</v>
      </c>
    </row>
    <row r="342" spans="1:8" ht="12.75" x14ac:dyDescent="0.2">
      <c r="A342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342" s="1" t="str">
        <f ca="1">IFERROR(__xludf.DUMMYFUNCTION("""COMPUTED_VALUE"""),"KZ.7700.02.01.00713117")</f>
        <v>KZ.7700.02.01.00713117</v>
      </c>
      <c r="C342" s="1" t="str">
        <f ca="1">IFERROR(__xludf.DUMMYFUNCTION("""COMPUTED_VALUE"""),"Действителен до 21.12.2025")</f>
        <v>Действителен до 21.12.2025</v>
      </c>
      <c r="D342" s="8" t="str">
        <f ca="1">IFERROR(__xludf.DUMMYFUNCTION("""COMPUTED_VALUE"""),"1220125KZ125")</f>
        <v>1220125KZ125</v>
      </c>
      <c r="E342" s="1" t="str">
        <f ca="1">IFERROR(__xludf.DUMMYFUNCTION("""COMPUTED_VALUE"""),"годен до 21.12.2025")</f>
        <v>годен до 21.12.2025</v>
      </c>
      <c r="F342" s="1" t="str">
        <f ca="1">IFERROR(__xludf.DUMMYFUNCTION("""COMPUTED_VALUE"""),"Бандаж на шейный отдел позвоночника мягкой фиксацией 1001 II(M) (Болгария) - 1220125KZ125")</f>
        <v>Бандаж на шейный отдел позвоночника мягкой фиксацией 1001 II(M) (Болгария) - 1220125KZ125</v>
      </c>
      <c r="G342" s="1" t="str">
        <f ca="1">IFERROR(__xludf.DUMMYFUNCTION("""COMPUTED_VALUE"""),"KZ.7700.02.01.00713117 / Действителен до 21.12.2025 / 1220125KZ125 / годен до 21.12.2025")</f>
        <v>KZ.7700.02.01.00713117 / Действителен до 21.12.2025 / 1220125KZ125 / годен до 21.12.2025</v>
      </c>
      <c r="H342" s="1" t="str">
        <f ca="1">IFERROR(__xludf.DUMMYFUNCTION("""COMPUTED_VALUE"""),"Бандаж на шейный отдел позвоночника мягкой фиксацией 1001 II(M) (Болгария) KZ.7700.02.01.00713117 / Действителен до 21.12.2025 / 1220125KZ125 / годен до 21.12.2025")</f>
        <v>Бандаж на шейный отдел позвоночника мягкой фиксацией 1001 II(M) (Болгария) KZ.7700.02.01.00713117 / Действителен до 21.12.2025 / 1220125KZ125 / годен до 21.12.2025</v>
      </c>
    </row>
    <row r="343" spans="1:8" ht="12.75" x14ac:dyDescent="0.2">
      <c r="A343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343" s="1" t="str">
        <f ca="1">IFERROR(__xludf.DUMMYFUNCTION("""COMPUTED_VALUE"""),"KZ.7700.02.01.00713105")</f>
        <v>KZ.7700.02.01.00713105</v>
      </c>
      <c r="C343" s="1" t="str">
        <f ca="1">IFERROR(__xludf.DUMMYFUNCTION("""COMPUTED_VALUE"""),"Действителен до 21.12.2025")</f>
        <v>Действителен до 21.12.2025</v>
      </c>
      <c r="D343" s="8" t="str">
        <f ca="1">IFERROR(__xludf.DUMMYFUNCTION("""COMPUTED_VALUE"""),"1220125KZ125")</f>
        <v>1220125KZ125</v>
      </c>
      <c r="E343" s="1" t="str">
        <f ca="1">IFERROR(__xludf.DUMMYFUNCTION("""COMPUTED_VALUE"""),"годен до 21.12.2025")</f>
        <v>годен до 21.12.2025</v>
      </c>
      <c r="F343" s="1" t="str">
        <f ca="1">IFERROR(__xludf.DUMMYFUNCTION("""COMPUTED_VALUE"""),"Бандаж на шейный отдел позвоночника мягкой фиксацией 1001 III(L) (Болгария) - 1220125KZ125")</f>
        <v>Бандаж на шейный отдел позвоночника мягкой фиксацией 1001 III(L) (Болгария) - 1220125KZ125</v>
      </c>
      <c r="G343" s="1" t="str">
        <f ca="1">IFERROR(__xludf.DUMMYFUNCTION("""COMPUTED_VALUE"""),"KZ.7700.02.01.00713105 / Действителен до 21.12.2025 / 1220125KZ125 / годен до 21.12.2025")</f>
        <v>KZ.7700.02.01.00713105 / Действителен до 21.12.2025 / 1220125KZ125 / годен до 21.12.2025</v>
      </c>
      <c r="H343" s="1" t="str">
        <f ca="1">IFERROR(__xludf.DUMMYFUNCTION("""COMPUTED_VALUE"""),"Бандаж на шейный отдел позвоночника мягкой фиксацией 1001 III(L) (Болгария) KZ.7700.02.01.00713105 / Действителен до 21.12.2025 / 1220125KZ125 / годен до 21.12.2025")</f>
        <v>Бандаж на шейный отдел позвоночника мягкой фиксацией 1001 III(L) (Болгария) KZ.7700.02.01.00713105 / Действителен до 21.12.2025 / 1220125KZ125 / годен до 21.12.2025</v>
      </c>
    </row>
    <row r="344" spans="1:8" ht="12.75" x14ac:dyDescent="0.2">
      <c r="A344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344" s="1" t="str">
        <f ca="1">IFERROR(__xludf.DUMMYFUNCTION("""COMPUTED_VALUE"""),"KZ.7700.02.01.00713109")</f>
        <v>KZ.7700.02.01.00713109</v>
      </c>
      <c r="C344" s="1" t="str">
        <f ca="1">IFERROR(__xludf.DUMMYFUNCTION("""COMPUTED_VALUE"""),"Действителен до 21.12.2025")</f>
        <v>Действителен до 21.12.2025</v>
      </c>
      <c r="D344" s="8" t="str">
        <f ca="1">IFERROR(__xludf.DUMMYFUNCTION("""COMPUTED_VALUE"""),"1220125KZ125")</f>
        <v>1220125KZ125</v>
      </c>
      <c r="E344" s="1" t="str">
        <f ca="1">IFERROR(__xludf.DUMMYFUNCTION("""COMPUTED_VALUE"""),"годен до 21.12.2025")</f>
        <v>годен до 21.12.2025</v>
      </c>
      <c r="F344" s="1" t="str">
        <f ca="1">IFERROR(__xludf.DUMMYFUNCTION("""COMPUTED_VALUE"""),"Реклинатор (корректор осанки) детский 2005 L (Болгария) - 1220125KZ125")</f>
        <v>Реклинатор (корректор осанки) детский 2005 L (Болгария) - 1220125KZ125</v>
      </c>
      <c r="G344" s="1" t="str">
        <f ca="1">IFERROR(__xludf.DUMMYFUNCTION("""COMPUTED_VALUE"""),"KZ.7700.02.01.00713109 / Действителен до 21.12.2025 / 1220125KZ125 / годен до 21.12.2025")</f>
        <v>KZ.7700.02.01.00713109 / Действителен до 21.12.2025 / 1220125KZ125 / годен до 21.12.2025</v>
      </c>
      <c r="H344" s="1" t="str">
        <f ca="1">IFERROR(__xludf.DUMMYFUNCTION("""COMPUTED_VALUE"""),"Реклинатор (корректор осанки) детский 2005 L (Болгария) KZ.7700.02.01.00713109 / Действителен до 21.12.2025 / 1220125KZ125 / годен до 21.12.2025")</f>
        <v>Реклинатор (корректор осанки) детский 2005 L (Болгария) KZ.7700.02.01.00713109 / Действителен до 21.12.2025 / 1220125KZ125 / годен до 21.12.2025</v>
      </c>
    </row>
    <row r="345" spans="1:8" ht="12.75" x14ac:dyDescent="0.2">
      <c r="A345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345" s="1" t="str">
        <f ca="1">IFERROR(__xludf.DUMMYFUNCTION("""COMPUTED_VALUE"""),"KZ.7700.02.01.00713084")</f>
        <v>KZ.7700.02.01.00713084</v>
      </c>
      <c r="C345" s="1" t="str">
        <f ca="1">IFERROR(__xludf.DUMMYFUNCTION("""COMPUTED_VALUE"""),"Действителен до 21.12.2025")</f>
        <v>Действителен до 21.12.2025</v>
      </c>
      <c r="D345" s="8" t="str">
        <f ca="1">IFERROR(__xludf.DUMMYFUNCTION("""COMPUTED_VALUE"""),"1220125KZ125")</f>
        <v>1220125KZ125</v>
      </c>
      <c r="E345" s="1" t="str">
        <f ca="1">IFERROR(__xludf.DUMMYFUNCTION("""COMPUTED_VALUE"""),"годен до 21.12.2025")</f>
        <v>годен до 21.12.2025</v>
      </c>
      <c r="F345" s="1" t="str">
        <f ca="1">IFERROR(__xludf.DUMMYFUNCTION("""COMPUTED_VALUE"""),"Реклинатор (корректор осанки) детский 2005 M (Болгария) - 1220125KZ125")</f>
        <v>Реклинатор (корректор осанки) детский 2005 M (Болгария) - 1220125KZ125</v>
      </c>
      <c r="G345" s="1" t="str">
        <f ca="1">IFERROR(__xludf.DUMMYFUNCTION("""COMPUTED_VALUE"""),"KZ.7700.02.01.00713084 / Действителен до 21.12.2025 / 1220125KZ125 / годен до 21.12.2025")</f>
        <v>KZ.7700.02.01.00713084 / Действителен до 21.12.2025 / 1220125KZ125 / годен до 21.12.2025</v>
      </c>
      <c r="H345" s="1" t="str">
        <f ca="1">IFERROR(__xludf.DUMMYFUNCTION("""COMPUTED_VALUE"""),"Реклинатор (корректор осанки) детский 2005 M (Болгария) KZ.7700.02.01.00713084 / Действителен до 21.12.2025 / 1220125KZ125 / годен до 21.12.2025")</f>
        <v>Реклинатор (корректор осанки) детский 2005 M (Болгария) KZ.7700.02.01.00713084 / Действителен до 21.12.2025 / 1220125KZ125 / годен до 21.12.2025</v>
      </c>
    </row>
    <row r="346" spans="1:8" ht="12.75" x14ac:dyDescent="0.2">
      <c r="A346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346" s="1" t="str">
        <f ca="1">IFERROR(__xludf.DUMMYFUNCTION("""COMPUTED_VALUE"""),"KZ.7700.02.01.00713093")</f>
        <v>KZ.7700.02.01.00713093</v>
      </c>
      <c r="C346" s="1" t="str">
        <f ca="1">IFERROR(__xludf.DUMMYFUNCTION("""COMPUTED_VALUE"""),"Действителен до 21.12.2025")</f>
        <v>Действителен до 21.12.2025</v>
      </c>
      <c r="D346" s="8" t="str">
        <f ca="1">IFERROR(__xludf.DUMMYFUNCTION("""COMPUTED_VALUE"""),"1220125KZ125")</f>
        <v>1220125KZ125</v>
      </c>
      <c r="E346" s="1" t="str">
        <f ca="1">IFERROR(__xludf.DUMMYFUNCTION("""COMPUTED_VALUE"""),"годен до 21.12.2025")</f>
        <v>годен до 21.12.2025</v>
      </c>
      <c r="F346" s="1" t="str">
        <f ca="1">IFERROR(__xludf.DUMMYFUNCTION("""COMPUTED_VALUE"""),"Реклинатор (корректор осанки) детский 2005 S (Болгария) - 1220125KZ125")</f>
        <v>Реклинатор (корректор осанки) детский 2005 S (Болгария) - 1220125KZ125</v>
      </c>
      <c r="G346" s="1" t="str">
        <f ca="1">IFERROR(__xludf.DUMMYFUNCTION("""COMPUTED_VALUE"""),"KZ.7700.02.01.00713093 / Действителен до 21.12.2025 / 1220125KZ125 / годен до 21.12.2025")</f>
        <v>KZ.7700.02.01.00713093 / Действителен до 21.12.2025 / 1220125KZ125 / годен до 21.12.2025</v>
      </c>
      <c r="H346" s="1" t="str">
        <f ca="1">IFERROR(__xludf.DUMMYFUNCTION("""COMPUTED_VALUE"""),"Реклинатор (корректор осанки) детский 2005 S (Болгария) KZ.7700.02.01.00713093 / Действителен до 21.12.2025 / 1220125KZ125 / годен до 21.12.2025")</f>
        <v>Реклинатор (корректор осанки) детский 2005 S (Болгария) KZ.7700.02.01.00713093 / Действителен до 21.12.2025 / 1220125KZ125 / годен до 21.12.2025</v>
      </c>
    </row>
    <row r="347" spans="1:8" ht="12.75" x14ac:dyDescent="0.2">
      <c r="A347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347" s="1" t="str">
        <f ca="1">IFERROR(__xludf.DUMMYFUNCTION("""COMPUTED_VALUE"""),"KZ.7700.02.01.00713077")</f>
        <v>KZ.7700.02.01.00713077</v>
      </c>
      <c r="C347" s="1" t="str">
        <f ca="1">IFERROR(__xludf.DUMMYFUNCTION("""COMPUTED_VALUE"""),"Действителен до 21.12.2025")</f>
        <v>Действителен до 21.12.2025</v>
      </c>
      <c r="D347" s="8" t="str">
        <f ca="1">IFERROR(__xludf.DUMMYFUNCTION("""COMPUTED_VALUE"""),"1220125KZ125")</f>
        <v>1220125KZ125</v>
      </c>
      <c r="E347" s="1" t="str">
        <f ca="1">IFERROR(__xludf.DUMMYFUNCTION("""COMPUTED_VALUE"""),"годен до 21.12.2025")</f>
        <v>годен до 21.12.2025</v>
      </c>
      <c r="F347" s="1" t="str">
        <f ca="1">IFERROR(__xludf.DUMMYFUNCTION("""COMPUTED_VALUE"""),"Корректор осанки с ребрами жесткости эластичный 2011 L (Болгария) - 1220125KZ125")</f>
        <v>Корректор осанки с ребрами жесткости эластичный 2011 L (Болгария) - 1220125KZ125</v>
      </c>
      <c r="G347" s="1" t="str">
        <f ca="1">IFERROR(__xludf.DUMMYFUNCTION("""COMPUTED_VALUE"""),"KZ.7700.02.01.00713077 / Действителен до 21.12.2025 / 1220125KZ125 / годен до 21.12.2025")</f>
        <v>KZ.7700.02.01.00713077 / Действителен до 21.12.2025 / 1220125KZ125 / годен до 21.12.2025</v>
      </c>
      <c r="H347" s="1" t="str">
        <f ca="1">IFERROR(__xludf.DUMMYFUNCTION("""COMPUTED_VALUE"""),"Корректор осанки с ребрами жесткости эластичный 2011 L (Болгария) KZ.7700.02.01.00713077 / Действителен до 21.12.2025 / 1220125KZ125 / годен до 21.12.2025")</f>
        <v>Корректор осанки с ребрами жесткости эластичный 2011 L (Болгария) KZ.7700.02.01.00713077 / Действителен до 21.12.2025 / 1220125KZ125 / годен до 21.12.2025</v>
      </c>
    </row>
    <row r="348" spans="1:8" ht="12.75" x14ac:dyDescent="0.2">
      <c r="A348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348" s="1" t="str">
        <f ca="1">IFERROR(__xludf.DUMMYFUNCTION("""COMPUTED_VALUE"""),"KZ.7700.02.01.00713088")</f>
        <v>KZ.7700.02.01.00713088</v>
      </c>
      <c r="C348" s="1" t="str">
        <f ca="1">IFERROR(__xludf.DUMMYFUNCTION("""COMPUTED_VALUE"""),"Действителен до 21.12.2025")</f>
        <v>Действителен до 21.12.2025</v>
      </c>
      <c r="D348" s="8" t="str">
        <f ca="1">IFERROR(__xludf.DUMMYFUNCTION("""COMPUTED_VALUE"""),"1220125KZ125")</f>
        <v>1220125KZ125</v>
      </c>
      <c r="E348" s="1" t="str">
        <f ca="1">IFERROR(__xludf.DUMMYFUNCTION("""COMPUTED_VALUE"""),"годен до 21.12.2025")</f>
        <v>годен до 21.12.2025</v>
      </c>
      <c r="F348" s="1" t="str">
        <f ca="1">IFERROR(__xludf.DUMMYFUNCTION("""COMPUTED_VALUE"""),"Корректор осанки с ребрами жесткости эластичный 2011 M (Болгария) - 1220125KZ125")</f>
        <v>Корректор осанки с ребрами жесткости эластичный 2011 M (Болгария) - 1220125KZ125</v>
      </c>
      <c r="G348" s="1" t="str">
        <f ca="1">IFERROR(__xludf.DUMMYFUNCTION("""COMPUTED_VALUE"""),"KZ.7700.02.01.00713088 / Действителен до 21.12.2025 / 1220125KZ125 / годен до 21.12.2025")</f>
        <v>KZ.7700.02.01.00713088 / Действителен до 21.12.2025 / 1220125KZ125 / годен до 21.12.2025</v>
      </c>
      <c r="H348" s="1" t="str">
        <f ca="1">IFERROR(__xludf.DUMMYFUNCTION("""COMPUTED_VALUE"""),"Корректор осанки с ребрами жесткости эластичный 2011 M (Болгария) KZ.7700.02.01.00713088 / Действителен до 21.12.2025 / 1220125KZ125 / годен до 21.12.2025")</f>
        <v>Корректор осанки с ребрами жесткости эластичный 2011 M (Болгария) KZ.7700.02.01.00713088 / Действителен до 21.12.2025 / 1220125KZ125 / годен до 21.12.2025</v>
      </c>
    </row>
    <row r="349" spans="1:8" ht="12.75" x14ac:dyDescent="0.2">
      <c r="A349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349" s="1" t="str">
        <f ca="1">IFERROR(__xludf.DUMMYFUNCTION("""COMPUTED_VALUE"""),"KZ.7700.02.01.00713082")</f>
        <v>KZ.7700.02.01.00713082</v>
      </c>
      <c r="C349" s="1" t="str">
        <f ca="1">IFERROR(__xludf.DUMMYFUNCTION("""COMPUTED_VALUE"""),"Действителен до 21.12.2025")</f>
        <v>Действителен до 21.12.2025</v>
      </c>
      <c r="D349" s="8" t="str">
        <f ca="1">IFERROR(__xludf.DUMMYFUNCTION("""COMPUTED_VALUE"""),"1220125KZ125")</f>
        <v>1220125KZ125</v>
      </c>
      <c r="E349" s="1" t="str">
        <f ca="1">IFERROR(__xludf.DUMMYFUNCTION("""COMPUTED_VALUE"""),"годен до 21.12.2025")</f>
        <v>годен до 21.12.2025</v>
      </c>
      <c r="F349" s="1" t="str">
        <f ca="1">IFERROR(__xludf.DUMMYFUNCTION("""COMPUTED_VALUE"""),"Корректор осанки с ребрами жесткости эластичный 2011 S (Болгария) - 1220125KZ125")</f>
        <v>Корректор осанки с ребрами жесткости эластичный 2011 S (Болгария) - 1220125KZ125</v>
      </c>
      <c r="G349" s="1" t="str">
        <f ca="1">IFERROR(__xludf.DUMMYFUNCTION("""COMPUTED_VALUE"""),"KZ.7700.02.01.00713082 / Действителен до 21.12.2025 / 1220125KZ125 / годен до 21.12.2025")</f>
        <v>KZ.7700.02.01.00713082 / Действителен до 21.12.2025 / 1220125KZ125 / годен до 21.12.2025</v>
      </c>
      <c r="H349" s="1" t="str">
        <f ca="1">IFERROR(__xludf.DUMMYFUNCTION("""COMPUTED_VALUE"""),"Корректор осанки с ребрами жесткости эластичный 2011 S (Болгария) KZ.7700.02.01.00713082 / Действителен до 21.12.2025 / 1220125KZ125 / годен до 21.12.2025")</f>
        <v>Корректор осанки с ребрами жесткости эластичный 2011 S (Болгария) KZ.7700.02.01.00713082 / Действителен до 21.12.2025 / 1220125KZ125 / годен до 21.12.2025</v>
      </c>
    </row>
    <row r="350" spans="1:8" ht="12.75" x14ac:dyDescent="0.2">
      <c r="A350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350" s="1" t="str">
        <f ca="1">IFERROR(__xludf.DUMMYFUNCTION("""COMPUTED_VALUE"""),"KZ.7700.02.01.00614260")</f>
        <v>KZ.7700.02.01.00614260</v>
      </c>
      <c r="C350" s="1" t="str">
        <f ca="1">IFERROR(__xludf.DUMMYFUNCTION("""COMPUTED_VALUE"""),"Действителен до 01.12.2024")</f>
        <v>Действителен до 01.12.2024</v>
      </c>
      <c r="D350" s="8" t="str">
        <f ca="1">IFERROR(__xludf.DUMMYFUNCTION("""COMPUTED_VALUE"""),"1911TNI2391")</f>
        <v>1911TNI2391</v>
      </c>
      <c r="E350" s="1" t="str">
        <f ca="1">IFERROR(__xludf.DUMMYFUNCTION("""COMPUTED_VALUE"""),"годен до 11.2024")</f>
        <v>годен до 11.2024</v>
      </c>
      <c r="F350" s="1" t="str">
        <f ca="1">IFERROR(__xludf.DUMMYFUNCTION("""COMPUTED_VALUE"""),"DOLPHI анатомические ультратонкие Презервативы латексные, № 3 - 1911TNI2391")</f>
        <v>DOLPHI анатомические ультратонкие Презервативы латексные, № 3 - 1911TNI2391</v>
      </c>
      <c r="G350" s="1" t="str">
        <f ca="1">IFERROR(__xludf.DUMMYFUNCTION("""COMPUTED_VALUE"""),"KZ.7700.02.01.00614260 / Действителен до 01.12.2024 / 1911TNI2391 / годен до 11.2024")</f>
        <v>KZ.7700.02.01.00614260 / Действителен до 01.12.2024 / 1911TNI2391 / годен до 11.2024</v>
      </c>
      <c r="H350" s="1" t="str">
        <f ca="1">IFERROR(__xludf.DUMMYFUNCTION("""COMPUTED_VALUE"""),"DOLPHI анатомические ультратонкие Презервативы латексные, № 3 KZ.7700.02.01.00614260 / Действителен до 01.12.2024 / 1911TNI2391 / годен до 11.2024")</f>
        <v>DOLPHI анатомические ультратонкие Презервативы латексные, № 3 KZ.7700.02.01.00614260 / Действителен до 01.12.2024 / 1911TNI2391 / годен до 11.2024</v>
      </c>
    </row>
    <row r="351" spans="1:8" ht="12.75" x14ac:dyDescent="0.2">
      <c r="A351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351" s="1" t="str">
        <f ca="1">IFERROR(__xludf.DUMMYFUNCTION("""COMPUTED_VALUE"""),"KZ.7700.02.01.00614261")</f>
        <v>KZ.7700.02.01.00614261</v>
      </c>
      <c r="C351" s="1" t="str">
        <f ca="1">IFERROR(__xludf.DUMMYFUNCTION("""COMPUTED_VALUE"""),"Действителен до 01.12.2024")</f>
        <v>Действителен до 01.12.2024</v>
      </c>
      <c r="D351" s="8" t="str">
        <f ca="1">IFERROR(__xludf.DUMMYFUNCTION("""COMPUTED_VALUE"""),"1911TNI2391")</f>
        <v>1911TNI2391</v>
      </c>
      <c r="E351" s="1" t="str">
        <f ca="1">IFERROR(__xludf.DUMMYFUNCTION("""COMPUTED_VALUE"""),"годен до 11.2024")</f>
        <v>годен до 11.2024</v>
      </c>
      <c r="F351" s="1" t="str">
        <f ca="1">IFERROR(__xludf.DUMMYFUNCTION("""COMPUTED_VALUE"""),"DOLPHI анатомические ультратонкие, №12 Презервативы латексные - 1911TNI2391")</f>
        <v>DOLPHI анатомические ультратонкие, №12 Презервативы латексные - 1911TNI2391</v>
      </c>
      <c r="G351" s="1" t="str">
        <f ca="1">IFERROR(__xludf.DUMMYFUNCTION("""COMPUTED_VALUE"""),"KZ.7700.02.01.00614261 / Действителен до 01.12.2024 / 1911TNI2391 / годен до 11.2024")</f>
        <v>KZ.7700.02.01.00614261 / Действителен до 01.12.2024 / 1911TNI2391 / годен до 11.2024</v>
      </c>
      <c r="H351" s="1" t="str">
        <f ca="1">IFERROR(__xludf.DUMMYFUNCTION("""COMPUTED_VALUE"""),"DOLPHI анатомические ультратонкие, №12 Презервативы латексные KZ.7700.02.01.00614261 / Действителен до 01.12.2024 / 1911TNI2391 / годен до 11.2024")</f>
        <v>DOLPHI анатомические ультратонкие, №12 Презервативы латексные KZ.7700.02.01.00614261 / Действителен до 01.12.2024 / 1911TNI2391 / годен до 11.2024</v>
      </c>
    </row>
    <row r="352" spans="1:8" ht="12.75" x14ac:dyDescent="0.2">
      <c r="A352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352" s="1" t="str">
        <f ca="1">IFERROR(__xludf.DUMMYFUNCTION("""COMPUTED_VALUE"""),"KZ.7700.02.01.00614271")</f>
        <v>KZ.7700.02.01.00614271</v>
      </c>
      <c r="C352" s="1" t="str">
        <f ca="1">IFERROR(__xludf.DUMMYFUNCTION("""COMPUTED_VALUE"""),"Действителен до 01.12.2024")</f>
        <v>Действителен до 01.12.2024</v>
      </c>
      <c r="D352" s="8" t="str">
        <f ca="1">IFERROR(__xludf.DUMMYFUNCTION("""COMPUTED_VALUE"""),"1911TNI2382")</f>
        <v>1911TNI2382</v>
      </c>
      <c r="E352" s="1" t="str">
        <f ca="1">IFERROR(__xludf.DUMMYFUNCTION("""COMPUTED_VALUE"""),"годен до 11.2024")</f>
        <v>годен до 11.2024</v>
      </c>
      <c r="F352" s="1" t="str">
        <f ca="1">IFERROR(__xludf.DUMMYFUNCTION("""COMPUTED_VALUE"""),"DOLPHI ультратонкие №3 Презервативы латескные - 1911TNI2382")</f>
        <v>DOLPHI ультратонкие №3 Презервативы латескные - 1911TNI2382</v>
      </c>
      <c r="G352" s="1" t="str">
        <f ca="1">IFERROR(__xludf.DUMMYFUNCTION("""COMPUTED_VALUE"""),"KZ.7700.02.01.00614271 / Действителен до 01.12.2024 / 1911TNI2382 / годен до 11.2024")</f>
        <v>KZ.7700.02.01.00614271 / Действителен до 01.12.2024 / 1911TNI2382 / годен до 11.2024</v>
      </c>
      <c r="H352" s="1" t="str">
        <f ca="1">IFERROR(__xludf.DUMMYFUNCTION("""COMPUTED_VALUE"""),"DOLPHI ультратонкие №3 Презервативы латескные KZ.7700.02.01.00614271 / Действителен до 01.12.2024 / 1911TNI2382 / годен до 11.2024")</f>
        <v>DOLPHI ультратонкие №3 Презервативы латескные KZ.7700.02.01.00614271 / Действителен до 01.12.2024 / 1911TNI2382 / годен до 11.2024</v>
      </c>
    </row>
    <row r="353" spans="1:8" ht="12.75" x14ac:dyDescent="0.2">
      <c r="A353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353" s="1" t="str">
        <f ca="1">IFERROR(__xludf.DUMMYFUNCTION("""COMPUTED_VALUE"""),"KZ.7700.02.01.00614274")</f>
        <v>KZ.7700.02.01.00614274</v>
      </c>
      <c r="C353" s="1" t="str">
        <f ca="1">IFERROR(__xludf.DUMMYFUNCTION("""COMPUTED_VALUE"""),"Действителен до 01.12.2024")</f>
        <v>Действителен до 01.12.2024</v>
      </c>
      <c r="D353" s="8" t="str">
        <f ca="1">IFERROR(__xludf.DUMMYFUNCTION("""COMPUTED_VALUE"""),"1911TNI2382")</f>
        <v>1911TNI2382</v>
      </c>
      <c r="E353" s="1" t="str">
        <f ca="1">IFERROR(__xludf.DUMMYFUNCTION("""COMPUTED_VALUE"""),"годен до 11.2024")</f>
        <v>годен до 11.2024</v>
      </c>
      <c r="F353" s="1" t="str">
        <f ca="1">IFERROR(__xludf.DUMMYFUNCTION("""COMPUTED_VALUE"""),"DOLPHI ультратонкие №12 Презервативы латексные - 1911TNI2382")</f>
        <v>DOLPHI ультратонкие №12 Презервативы латексные - 1911TNI2382</v>
      </c>
      <c r="G353" s="1" t="str">
        <f ca="1">IFERROR(__xludf.DUMMYFUNCTION("""COMPUTED_VALUE"""),"KZ.7700.02.01.00614274 / Действителен до 01.12.2024 / 1911TNI2382 / годен до 11.2024")</f>
        <v>KZ.7700.02.01.00614274 / Действителен до 01.12.2024 / 1911TNI2382 / годен до 11.2024</v>
      </c>
      <c r="H353" s="1" t="str">
        <f ca="1">IFERROR(__xludf.DUMMYFUNCTION("""COMPUTED_VALUE"""),"DOLPHI ультратонкие №12 Презервативы латексные KZ.7700.02.01.00614274 / Действителен до 01.12.2024 / 1911TNI2382 / годен до 11.2024")</f>
        <v>DOLPHI ультратонкие №12 Презервативы латексные KZ.7700.02.01.00614274 / Действителен до 01.12.2024 / 1911TNI2382 / годен до 11.2024</v>
      </c>
    </row>
    <row r="354" spans="1:8" ht="12.75" x14ac:dyDescent="0.2">
      <c r="A354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354" s="1" t="str">
        <f ca="1">IFERROR(__xludf.DUMMYFUNCTION("""COMPUTED_VALUE"""),"KZ.7700.02.01.00614275")</f>
        <v>KZ.7700.02.01.00614275</v>
      </c>
      <c r="C354" s="1" t="str">
        <f ca="1">IFERROR(__xludf.DUMMYFUNCTION("""COMPUTED_VALUE"""),"Действителен до 01.10.2024")</f>
        <v>Действителен до 01.10.2024</v>
      </c>
      <c r="D354" s="8" t="str">
        <f ca="1">IFERROR(__xludf.DUMMYFUNCTION("""COMPUTED_VALUE"""),"1909TNI2248")</f>
        <v>1909TNI2248</v>
      </c>
      <c r="E354" s="1" t="str">
        <f ca="1">IFERROR(__xludf.DUMMYFUNCTION("""COMPUTED_VALUE"""),"годен до 09.2024")</f>
        <v>годен до 09.2024</v>
      </c>
      <c r="F354" s="1" t="str">
        <f ca="1">IFERROR(__xludf.DUMMYFUNCTION("""COMPUTED_VALUE"""),"DOLPHI Класические №3 Презервативы латексные - 1909TNI2248")</f>
        <v>DOLPHI Класические №3 Презервативы латексные - 1909TNI2248</v>
      </c>
      <c r="G354" s="1" t="str">
        <f ca="1">IFERROR(__xludf.DUMMYFUNCTION("""COMPUTED_VALUE"""),"KZ.7700.02.01.00614275 / Действителен до 01.10.2024 / 1909TNI2248 / годен до 09.2024")</f>
        <v>KZ.7700.02.01.00614275 / Действителен до 01.10.2024 / 1909TNI2248 / годен до 09.2024</v>
      </c>
      <c r="H354" s="1" t="str">
        <f ca="1">IFERROR(__xludf.DUMMYFUNCTION("""COMPUTED_VALUE"""),"DOLPHI Класические №3 Презервативы латексные KZ.7700.02.01.00614275 / Действителен до 01.10.2024 / 1909TNI2248 / годен до 09.2024")</f>
        <v>DOLPHI Класические №3 Презервативы латексные KZ.7700.02.01.00614275 / Действителен до 01.10.2024 / 1909TNI2248 / годен до 09.2024</v>
      </c>
    </row>
    <row r="355" spans="1:8" ht="12.75" x14ac:dyDescent="0.2">
      <c r="A355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355" s="1" t="str">
        <f ca="1">IFERROR(__xludf.DUMMYFUNCTION("""COMPUTED_VALUE"""),"KZ.7700.02.01.00614276")</f>
        <v>KZ.7700.02.01.00614276</v>
      </c>
      <c r="C355" s="1" t="str">
        <f ca="1">IFERROR(__xludf.DUMMYFUNCTION("""COMPUTED_VALUE"""),"Действителен до 01.10.2024")</f>
        <v>Действителен до 01.10.2024</v>
      </c>
      <c r="D355" s="8" t="str">
        <f ca="1">IFERROR(__xludf.DUMMYFUNCTION("""COMPUTED_VALUE"""),"1909TNI2248")</f>
        <v>1909TNI2248</v>
      </c>
      <c r="E355" s="1" t="str">
        <f ca="1">IFERROR(__xludf.DUMMYFUNCTION("""COMPUTED_VALUE"""),"годен до 09.2024")</f>
        <v>годен до 09.2024</v>
      </c>
      <c r="F355" s="1" t="str">
        <f ca="1">IFERROR(__xludf.DUMMYFUNCTION("""COMPUTED_VALUE"""),"DOLPHI классические, №12 Презервативы латексные - 1909TNI2248")</f>
        <v>DOLPHI классические, №12 Презервативы латексные - 1909TNI2248</v>
      </c>
      <c r="G355" s="1" t="str">
        <f ca="1">IFERROR(__xludf.DUMMYFUNCTION("""COMPUTED_VALUE"""),"KZ.7700.02.01.00614276 / Действителен до 01.10.2024 / 1909TNI2248 / годен до 09.2024")</f>
        <v>KZ.7700.02.01.00614276 / Действителен до 01.10.2024 / 1909TNI2248 / годен до 09.2024</v>
      </c>
      <c r="H355" s="1" t="str">
        <f ca="1">IFERROR(__xludf.DUMMYFUNCTION("""COMPUTED_VALUE"""),"DOLPHI классические, №12 Презервативы латексные KZ.7700.02.01.00614276 / Действителен до 01.10.2024 / 1909TNI2248 / годен до 09.2024")</f>
        <v>DOLPHI классические, №12 Презервативы латексные KZ.7700.02.01.00614276 / Действителен до 01.10.2024 / 1909TNI2248 / годен до 09.2024</v>
      </c>
    </row>
    <row r="356" spans="1:8" ht="12.75" x14ac:dyDescent="0.2">
      <c r="A356" s="1" t="str">
        <f ca="1">IFERROR(__xludf.DUMMYFUNCTION("""COMPUTED_VALUE"""),"DOLPHI 3 в 1 №3 Презервативы латексные")</f>
        <v>DOLPHI 3 в 1 №3 Презервативы латексные</v>
      </c>
      <c r="B356" s="1" t="str">
        <f ca="1">IFERROR(__xludf.DUMMYFUNCTION("""COMPUTED_VALUE"""),"KZ.7700.02.01.00614277")</f>
        <v>KZ.7700.02.01.00614277</v>
      </c>
      <c r="C356" s="1" t="str">
        <f ca="1">IFERROR(__xludf.DUMMYFUNCTION("""COMPUTED_VALUE"""),"Действителен до 01.12.2024")</f>
        <v>Действителен до 01.12.2024</v>
      </c>
      <c r="D356" s="8" t="str">
        <f ca="1">IFERROR(__xludf.DUMMYFUNCTION("""COMPUTED_VALUE"""),"1911TNI2389")</f>
        <v>1911TNI2389</v>
      </c>
      <c r="E356" s="1" t="str">
        <f ca="1">IFERROR(__xludf.DUMMYFUNCTION("""COMPUTED_VALUE"""),"годен до 11.2024 ")</f>
        <v xml:space="preserve">годен до 11.2024 </v>
      </c>
      <c r="F356" s="1" t="str">
        <f ca="1">IFERROR(__xludf.DUMMYFUNCTION("""COMPUTED_VALUE"""),"DOLPHI 3 в 1 №3 Презервативы латексные - 1911TNI2389")</f>
        <v>DOLPHI 3 в 1 №3 Презервативы латексные - 1911TNI2389</v>
      </c>
      <c r="G356" s="1" t="str">
        <f ca="1">IFERROR(__xludf.DUMMYFUNCTION("""COMPUTED_VALUE"""),"KZ.7700.02.01.00614277 / Действителен до 01.12.2024 / 1911TNI2389 / годен до 11.2024 ")</f>
        <v xml:space="preserve">KZ.7700.02.01.00614277 / Действителен до 01.12.2024 / 1911TNI2389 / годен до 11.2024 </v>
      </c>
      <c r="H356" s="1" t="str">
        <f ca="1">IFERROR(__xludf.DUMMYFUNCTION("""COMPUTED_VALUE"""),"DOLPHI 3 в 1 №3 Презервативы латексные KZ.7700.02.01.00614277 / Действителен до 01.12.2024 / 1911TNI2389 / годен до 11.2024 ")</f>
        <v xml:space="preserve">DOLPHI 3 в 1 №3 Презервативы латексные KZ.7700.02.01.00614277 / Действителен до 01.12.2024 / 1911TNI2389 / годен до 11.2024 </v>
      </c>
    </row>
    <row r="357" spans="1:8" ht="12.75" x14ac:dyDescent="0.2">
      <c r="A357" s="1" t="str">
        <f ca="1">IFERROR(__xludf.DUMMYFUNCTION("""COMPUTED_VALUE"""),"DOLPHI 3 в 1 №12 Презервативы латексные")</f>
        <v>DOLPHI 3 в 1 №12 Презервативы латексные</v>
      </c>
      <c r="B357" s="1" t="str">
        <f ca="1">IFERROR(__xludf.DUMMYFUNCTION("""COMPUTED_VALUE"""),"KZ.7700.02.01.00614278")</f>
        <v>KZ.7700.02.01.00614278</v>
      </c>
      <c r="C357" s="1" t="str">
        <f ca="1">IFERROR(__xludf.DUMMYFUNCTION("""COMPUTED_VALUE"""),"Действителен до 01.12.2024")</f>
        <v>Действителен до 01.12.2024</v>
      </c>
      <c r="D357" s="8" t="str">
        <f ca="1">IFERROR(__xludf.DUMMYFUNCTION("""COMPUTED_VALUE"""),"1911TNI2389")</f>
        <v>1911TNI2389</v>
      </c>
      <c r="E357" s="1" t="str">
        <f ca="1">IFERROR(__xludf.DUMMYFUNCTION("""COMPUTED_VALUE"""),"годен до 11.2024 ")</f>
        <v xml:space="preserve">годен до 11.2024 </v>
      </c>
      <c r="F357" s="1" t="str">
        <f ca="1">IFERROR(__xludf.DUMMYFUNCTION("""COMPUTED_VALUE"""),"DOLPHI 3 в 1 №12 Презервативы латексные - 1911TNI2389")</f>
        <v>DOLPHI 3 в 1 №12 Презервативы латексные - 1911TNI2389</v>
      </c>
      <c r="G357" s="1" t="str">
        <f ca="1">IFERROR(__xludf.DUMMYFUNCTION("""COMPUTED_VALUE"""),"KZ.7700.02.01.00614278 / Действителен до 01.12.2024 / 1911TNI2389 / годен до 11.2024 ")</f>
        <v xml:space="preserve">KZ.7700.02.01.00614278 / Действителен до 01.12.2024 / 1911TNI2389 / годен до 11.2024 </v>
      </c>
      <c r="H357" s="1" t="str">
        <f ca="1">IFERROR(__xludf.DUMMYFUNCTION("""COMPUTED_VALUE"""),"DOLPHI 3 в 1 №12 Презервативы латексные KZ.7700.02.01.00614278 / Действителен до 01.12.2024 / 1911TNI2389 / годен до 11.2024 ")</f>
        <v xml:space="preserve">DOLPHI 3 в 1 №12 Презервативы латексные KZ.7700.02.01.00614278 / Действителен до 01.12.2024 / 1911TNI2389 / годен до 11.2024 </v>
      </c>
    </row>
    <row r="358" spans="1:8" ht="12.75" x14ac:dyDescent="0.2">
      <c r="A358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358" s="1" t="str">
        <f ca="1">IFERROR(__xludf.DUMMYFUNCTION("""COMPUTED_VALUE"""),"KZ.7700.02.01.00614279")</f>
        <v>KZ.7700.02.01.00614279</v>
      </c>
      <c r="C358" s="1" t="str">
        <f ca="1">IFERROR(__xludf.DUMMYFUNCTION("""COMPUTED_VALUE"""),"Действителен до 01.10.2024")</f>
        <v>Действителен до 01.10.2024</v>
      </c>
      <c r="D358" s="8" t="str">
        <f ca="1">IFERROR(__xludf.DUMMYFUNCTION("""COMPUTED_VALUE"""),"1909Kar2186")</f>
        <v>1909Kar2186</v>
      </c>
      <c r="E358" s="1" t="str">
        <f ca="1">IFERROR(__xludf.DUMMYFUNCTION("""COMPUTED_VALUE"""),"годен до 09.2024")</f>
        <v>годен до 09.2024</v>
      </c>
      <c r="F358" s="1" t="str">
        <f ca="1">IFERROR(__xludf.DUMMYFUNCTION("""COMPUTED_VALUE"""),"Mister Ben классические № 3 Презервативы латексные - 1909Kar2186")</f>
        <v>Mister Ben классические № 3 Презервативы латексные - 1909Kar2186</v>
      </c>
      <c r="G358" s="1" t="str">
        <f ca="1">IFERROR(__xludf.DUMMYFUNCTION("""COMPUTED_VALUE"""),"KZ.7700.02.01.00614279 / Действителен до 01.10.2024 / 1909Kar2186 / годен до 09.2024")</f>
        <v>KZ.7700.02.01.00614279 / Действителен до 01.10.2024 / 1909Kar2186 / годен до 09.2024</v>
      </c>
      <c r="H358" s="1" t="str">
        <f ca="1">IFERROR(__xludf.DUMMYFUNCTION("""COMPUTED_VALUE"""),"Mister Ben классические № 3 Презервативы латексные KZ.7700.02.01.00614279 / Действителен до 01.10.2024 / 1909Kar2186 / годен до 09.2024")</f>
        <v>Mister Ben классические № 3 Презервативы латексные KZ.7700.02.01.00614279 / Действителен до 01.10.2024 / 1909Kar2186 / годен до 09.2024</v>
      </c>
    </row>
    <row r="359" spans="1:8" ht="12.75" x14ac:dyDescent="0.2">
      <c r="A359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359" s="1" t="str">
        <f ca="1">IFERROR(__xludf.DUMMYFUNCTION("""COMPUTED_VALUE"""),"KZ.7700.02.01.00614280")</f>
        <v>KZ.7700.02.01.00614280</v>
      </c>
      <c r="C359" s="1" t="str">
        <f ca="1">IFERROR(__xludf.DUMMYFUNCTION("""COMPUTED_VALUE"""),"Действителен до 01.10.2024")</f>
        <v>Действителен до 01.10.2024</v>
      </c>
      <c r="D359" s="8" t="str">
        <f ca="1">IFERROR(__xludf.DUMMYFUNCTION("""COMPUTED_VALUE"""),"1909TNI2260")</f>
        <v>1909TNI2260</v>
      </c>
      <c r="E359" s="1" t="str">
        <f ca="1">IFERROR(__xludf.DUMMYFUNCTION("""COMPUTED_VALUE"""),"годен до 09.2024")</f>
        <v>годен до 09.2024</v>
      </c>
      <c r="F359" s="1" t="str">
        <f ca="1">IFERROR(__xludf.DUMMYFUNCTION("""COMPUTED_VALUE"""),"Mister Ben Ребристые № 3 Презервативы латексные - 1909TNI2260")</f>
        <v>Mister Ben Ребристые № 3 Презервативы латексные - 1909TNI2260</v>
      </c>
      <c r="G359" s="1" t="str">
        <f ca="1">IFERROR(__xludf.DUMMYFUNCTION("""COMPUTED_VALUE"""),"KZ.7700.02.01.00614280 / Действителен до 01.10.2024 / 1909TNI2260 / годен до 09.2024")</f>
        <v>KZ.7700.02.01.00614280 / Действителен до 01.10.2024 / 1909TNI2260 / годен до 09.2024</v>
      </c>
      <c r="H359" s="1" t="str">
        <f ca="1">IFERROR(__xludf.DUMMYFUNCTION("""COMPUTED_VALUE"""),"Mister Ben Ребристые № 3 Презервативы латексные KZ.7700.02.01.00614280 / Действителен до 01.10.2024 / 1909TNI2260 / годен до 09.2024")</f>
        <v>Mister Ben Ребристые № 3 Презервативы латексные KZ.7700.02.01.00614280 / Действителен до 01.10.2024 / 1909TNI2260 / годен до 09.2024</v>
      </c>
    </row>
    <row r="360" spans="1:8" ht="12.75" x14ac:dyDescent="0.2">
      <c r="A360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360" s="1" t="str">
        <f ca="1">IFERROR(__xludf.DUMMYFUNCTION("""COMPUTED_VALUE"""),"KZ.7700.02.01.00614281")</f>
        <v>KZ.7700.02.01.00614281</v>
      </c>
      <c r="C360" s="1" t="str">
        <f ca="1">IFERROR(__xludf.DUMMYFUNCTION("""COMPUTED_VALUE"""),"Действителен до 01.11.2024")</f>
        <v>Действителен до 01.11.2024</v>
      </c>
      <c r="D360" s="8" t="str">
        <f ca="1">IFERROR(__xludf.DUMMYFUNCTION("""COMPUTED_VALUE"""),"1910TNI2380")</f>
        <v>1910TNI2380</v>
      </c>
      <c r="E360" s="1" t="str">
        <f ca="1">IFERROR(__xludf.DUMMYFUNCTION("""COMPUTED_VALUE"""),"годен до 10.2024")</f>
        <v>годен до 10.2024</v>
      </c>
      <c r="F360" s="1" t="str">
        <f ca="1">IFERROR(__xludf.DUMMYFUNCTION("""COMPUTED_VALUE"""),"Mister Ben Ультратонкие № 3 Презервативы латексные - 1910TNI2380")</f>
        <v>Mister Ben Ультратонкие № 3 Презервативы латексные - 1910TNI2380</v>
      </c>
      <c r="G360" s="1" t="str">
        <f ca="1">IFERROR(__xludf.DUMMYFUNCTION("""COMPUTED_VALUE"""),"KZ.7700.02.01.00614281 / Действителен до 01.11.2024 / 1910TNI2380 / годен до 10.2024")</f>
        <v>KZ.7700.02.01.00614281 / Действителен до 01.11.2024 / 1910TNI2380 / годен до 10.2024</v>
      </c>
      <c r="H360" s="1" t="str">
        <f ca="1">IFERROR(__xludf.DUMMYFUNCTION("""COMPUTED_VALUE"""),"Mister Ben Ультратонкие № 3 Презервативы латексные KZ.7700.02.01.00614281 / Действителен до 01.11.2024 / 1910TNI2380 / годен до 10.2024")</f>
        <v>Mister Ben Ультратонкие № 3 Презервативы латексные KZ.7700.02.01.00614281 / Действителен до 01.11.2024 / 1910TNI2380 / годен до 10.2024</v>
      </c>
    </row>
    <row r="361" spans="1:8" ht="12.75" x14ac:dyDescent="0.2">
      <c r="A361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361" s="1" t="str">
        <f ca="1">IFERROR(__xludf.DUMMYFUNCTION("""COMPUTED_VALUE"""),"KZ.7700.02.01.00614282")</f>
        <v>KZ.7700.02.01.00614282</v>
      </c>
      <c r="C361" s="1" t="str">
        <f ca="1">IFERROR(__xludf.DUMMYFUNCTION("""COMPUTED_VALUE"""),"Действителен до 01.10.2024")</f>
        <v>Действителен до 01.10.2024</v>
      </c>
      <c r="D361" s="8" t="str">
        <f ca="1">IFERROR(__xludf.DUMMYFUNCTION("""COMPUTED_VALUE"""),"1909TNI2256")</f>
        <v>1909TNI2256</v>
      </c>
      <c r="E361" s="1" t="str">
        <f ca="1">IFERROR(__xludf.DUMMYFUNCTION("""COMPUTED_VALUE"""),"годен до 09.2024")</f>
        <v>годен до 09.2024</v>
      </c>
      <c r="F361" s="1" t="str">
        <f ca="1">IFERROR(__xludf.DUMMYFUNCTION("""COMPUTED_VALUE"""),"Mister Ben С точечной структурой № 3 Презервативы латексные - 1909TNI2256")</f>
        <v>Mister Ben С точечной структурой № 3 Презервативы латексные - 1909TNI2256</v>
      </c>
      <c r="G361" s="1" t="str">
        <f ca="1">IFERROR(__xludf.DUMMYFUNCTION("""COMPUTED_VALUE"""),"KZ.7700.02.01.00614282 / Действителен до 01.10.2024 / 1909TNI2256 / годен до 09.2024")</f>
        <v>KZ.7700.02.01.00614282 / Действителен до 01.10.2024 / 1909TNI2256 / годен до 09.2024</v>
      </c>
      <c r="H361" s="1" t="str">
        <f ca="1">IFERROR(__xludf.DUMMYFUNCTION("""COMPUTED_VALUE"""),"Mister Ben С точечной структурой № 3 Презервативы латексные KZ.7700.02.01.00614282 / Действителен до 01.10.2024 / 1909TNI2256 / годен до 09.2024")</f>
        <v>Mister Ben С точечной структурой № 3 Презервативы латексные KZ.7700.02.01.00614282 / Действителен до 01.10.2024 / 1909TNI2256 / годен до 09.2024</v>
      </c>
    </row>
    <row r="362" spans="1:8" ht="12.75" x14ac:dyDescent="0.2">
      <c r="A362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362" s="1" t="str">
        <f ca="1">IFERROR(__xludf.DUMMYFUNCTION("""COMPUTED_VALUE"""),"KZ.7700.02.01.00614283")</f>
        <v>KZ.7700.02.01.00614283</v>
      </c>
      <c r="C362" s="1" t="str">
        <f ca="1">IFERROR(__xludf.DUMMYFUNCTION("""COMPUTED_VALUE"""),"Действителен до 01.10.2024")</f>
        <v>Действителен до 01.10.2024</v>
      </c>
      <c r="D362" s="8" t="str">
        <f ca="1">IFERROR(__xludf.DUMMYFUNCTION("""COMPUTED_VALUE"""),"1909Kar2186")</f>
        <v>1909Kar2186</v>
      </c>
      <c r="E362" s="1" t="str">
        <f ca="1">IFERROR(__xludf.DUMMYFUNCTION("""COMPUTED_VALUE"""),"годен до 09.2024")</f>
        <v>годен до 09.2024</v>
      </c>
      <c r="F362" s="1" t="str">
        <f ca="1">IFERROR(__xludf.DUMMYFUNCTION("""COMPUTED_VALUE"""),"Sexxxy классические №3 Презервативы латексные - 1909Kar2186")</f>
        <v>Sexxxy классические №3 Презервативы латексные - 1909Kar2186</v>
      </c>
      <c r="G362" s="1" t="str">
        <f ca="1">IFERROR(__xludf.DUMMYFUNCTION("""COMPUTED_VALUE"""),"KZ.7700.02.01.00614283 / Действителен до 01.10.2024 / 1909Kar2186 / годен до 09.2024")</f>
        <v>KZ.7700.02.01.00614283 / Действителен до 01.10.2024 / 1909Kar2186 / годен до 09.2024</v>
      </c>
      <c r="H362" s="1" t="str">
        <f ca="1">IFERROR(__xludf.DUMMYFUNCTION("""COMPUTED_VALUE"""),"Sexxxy классические №3 Презервативы латексные KZ.7700.02.01.00614283 / Действителен до 01.10.2024 / 1909Kar2186 / годен до 09.2024")</f>
        <v>Sexxxy классические №3 Презервативы латексные KZ.7700.02.01.00614283 / Действителен до 01.10.2024 / 1909Kar2186 / годен до 09.2024</v>
      </c>
    </row>
    <row r="363" spans="1:8" ht="12.75" x14ac:dyDescent="0.2">
      <c r="A363" s="1" t="str">
        <f ca="1">IFERROR(__xludf.DUMMYFUNCTION("""COMPUTED_VALUE"""),"DOLPHI 3 в 1 №3 Презервативы латексные")</f>
        <v>DOLPHI 3 в 1 №3 Презервативы латексные</v>
      </c>
      <c r="B363" s="1" t="str">
        <f ca="1">IFERROR(__xludf.DUMMYFUNCTION("""COMPUTED_VALUE"""),"KZ.7700.02.01.00606383")</f>
        <v>KZ.7700.02.01.00606383</v>
      </c>
      <c r="C363" s="1" t="str">
        <f ca="1">IFERROR(__xludf.DUMMYFUNCTION("""COMPUTED_VALUE"""),"Действителен до 01.09.2024")</f>
        <v>Действителен до 01.09.2024</v>
      </c>
      <c r="D363" s="8" t="str">
        <f ca="1">IFERROR(__xludf.DUMMYFUNCTION("""COMPUTED_VALUE"""),"1908TNI2257")</f>
        <v>1908TNI2257</v>
      </c>
      <c r="E363" s="1" t="str">
        <f ca="1">IFERROR(__xludf.DUMMYFUNCTION("""COMPUTED_VALUE"""),"годен до 08.2024 ")</f>
        <v xml:space="preserve">годен до 08.2024 </v>
      </c>
      <c r="F363" s="1" t="str">
        <f ca="1">IFERROR(__xludf.DUMMYFUNCTION("""COMPUTED_VALUE"""),"DOLPHI 3 в 1 №3 Презервативы латексные - 1908TNI2257")</f>
        <v>DOLPHI 3 в 1 №3 Презервативы латексные - 1908TNI2257</v>
      </c>
      <c r="G363" s="1" t="str">
        <f ca="1">IFERROR(__xludf.DUMMYFUNCTION("""COMPUTED_VALUE"""),"KZ.7700.02.01.00606383 / Действителен до 01.09.2024 / 1908TNI2257 / годен до 08.2024 ")</f>
        <v xml:space="preserve">KZ.7700.02.01.00606383 / Действителен до 01.09.2024 / 1908TNI2257 / годен до 08.2024 </v>
      </c>
      <c r="H363" s="1" t="str">
        <f ca="1">IFERROR(__xludf.DUMMYFUNCTION("""COMPUTED_VALUE"""),"DOLPHI 3 в 1 №3 Презервативы латексные KZ.7700.02.01.00606383 / Действителен до 01.09.2024 / 1908TNI2257 / годен до 08.2024 ")</f>
        <v xml:space="preserve">DOLPHI 3 в 1 №3 Презервативы латексные KZ.7700.02.01.00606383 / Действителен до 01.09.2024 / 1908TNI2257 / годен до 08.2024 </v>
      </c>
    </row>
    <row r="364" spans="1:8" ht="12.75" x14ac:dyDescent="0.2">
      <c r="A364" s="1" t="str">
        <f ca="1">IFERROR(__xludf.DUMMYFUNCTION("""COMPUTED_VALUE"""),"DOLPHI 3 в 1 №12 Презервативы латексные")</f>
        <v>DOLPHI 3 в 1 №12 Презервативы латексные</v>
      </c>
      <c r="B364" s="1" t="str">
        <f ca="1">IFERROR(__xludf.DUMMYFUNCTION("""COMPUTED_VALUE"""),"KZ.7700.02.01.00606384")</f>
        <v>KZ.7700.02.01.00606384</v>
      </c>
      <c r="C364" s="1" t="str">
        <f ca="1">IFERROR(__xludf.DUMMYFUNCTION("""COMPUTED_VALUE"""),"Действителен до 01.09.2024")</f>
        <v>Действителен до 01.09.2024</v>
      </c>
      <c r="D364" s="8" t="str">
        <f ca="1">IFERROR(__xludf.DUMMYFUNCTION("""COMPUTED_VALUE"""),"1908TNI2257")</f>
        <v>1908TNI2257</v>
      </c>
      <c r="E364" s="1" t="str">
        <f ca="1">IFERROR(__xludf.DUMMYFUNCTION("""COMPUTED_VALUE"""),"годен до 08.2024 ")</f>
        <v xml:space="preserve">годен до 08.2024 </v>
      </c>
      <c r="F364" s="1" t="str">
        <f ca="1">IFERROR(__xludf.DUMMYFUNCTION("""COMPUTED_VALUE"""),"DOLPHI 3 в 1 №12 Презервативы латексные - 1908TNI2257")</f>
        <v>DOLPHI 3 в 1 №12 Презервативы латексные - 1908TNI2257</v>
      </c>
      <c r="G364" s="1" t="str">
        <f ca="1">IFERROR(__xludf.DUMMYFUNCTION("""COMPUTED_VALUE"""),"KZ.7700.02.01.00606384 / Действителен до 01.09.2024 / 1908TNI2257 / годен до 08.2024 ")</f>
        <v xml:space="preserve">KZ.7700.02.01.00606384 / Действителен до 01.09.2024 / 1908TNI2257 / годен до 08.2024 </v>
      </c>
      <c r="H364" s="1" t="str">
        <f ca="1">IFERROR(__xludf.DUMMYFUNCTION("""COMPUTED_VALUE"""),"DOLPHI 3 в 1 №12 Презервативы латексные KZ.7700.02.01.00606384 / Действителен до 01.09.2024 / 1908TNI2257 / годен до 08.2024 ")</f>
        <v xml:space="preserve">DOLPHI 3 в 1 №12 Презервативы латексные KZ.7700.02.01.00606384 / Действителен до 01.09.2024 / 1908TNI2257 / годен до 08.2024 </v>
      </c>
    </row>
    <row r="365" spans="1:8" ht="12.75" x14ac:dyDescent="0.2">
      <c r="A365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365" s="1" t="str">
        <f ca="1">IFERROR(__xludf.DUMMYFUNCTION("""COMPUTED_VALUE"""),"KZ.7700.02.01.00606378")</f>
        <v>KZ.7700.02.01.00606378</v>
      </c>
      <c r="C365" s="1" t="str">
        <f ca="1">IFERROR(__xludf.DUMMYFUNCTION("""COMPUTED_VALUE"""),"Действителен до 01.09.2024")</f>
        <v>Действителен до 01.09.2024</v>
      </c>
      <c r="D365" s="8" t="str">
        <f ca="1">IFERROR(__xludf.DUMMYFUNCTION("""COMPUTED_VALUE"""),"1908Каr2188")</f>
        <v>1908Каr2188</v>
      </c>
      <c r="E365" s="1" t="str">
        <f ca="1">IFERROR(__xludf.DUMMYFUNCTION("""COMPUTED_VALUE"""),"годен до 08.2024 ")</f>
        <v xml:space="preserve">годен до 08.2024 </v>
      </c>
      <c r="F365" s="1" t="str">
        <f ca="1">IFERROR(__xludf.DUMMYFUNCTION("""COMPUTED_VALUE"""),"DOLPHI анатомические ультратонкие Презервативы латексные, № 3 - 1908Каr2188")</f>
        <v>DOLPHI анатомические ультратонкие Презервативы латексные, № 3 - 1908Каr2188</v>
      </c>
      <c r="G365" s="1" t="str">
        <f ca="1">IFERROR(__xludf.DUMMYFUNCTION("""COMPUTED_VALUE"""),"KZ.7700.02.01.00606378 / Действителен до 01.09.2024 / 1908Каr2188 / годен до 08.2024 ")</f>
        <v xml:space="preserve">KZ.7700.02.01.00606378 / Действителен до 01.09.2024 / 1908Каr2188 / годен до 08.2024 </v>
      </c>
      <c r="H365" s="1" t="str">
        <f ca="1">IFERROR(__xludf.DUMMYFUNCTION("""COMPUTED_VALUE"""),"DOLPHI анатомические ультратонкие Презервативы латексные, № 3 KZ.7700.02.01.00606378 / Действителен до 01.09.2024 / 1908Каr2188 / годен до 08.2024 ")</f>
        <v xml:space="preserve">DOLPHI анатомические ультратонкие Презервативы латексные, № 3 KZ.7700.02.01.00606378 / Действителен до 01.09.2024 / 1908Каr2188 / годен до 08.2024 </v>
      </c>
    </row>
    <row r="366" spans="1:8" ht="12.75" x14ac:dyDescent="0.2">
      <c r="A366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366" s="1" t="str">
        <f ca="1">IFERROR(__xludf.DUMMYFUNCTION("""COMPUTED_VALUE"""),"KZ.7700.02.01.00606380")</f>
        <v>KZ.7700.02.01.00606380</v>
      </c>
      <c r="C366" s="1" t="str">
        <f ca="1">IFERROR(__xludf.DUMMYFUNCTION("""COMPUTED_VALUE"""),"Действителен до 01.09.2024")</f>
        <v>Действителен до 01.09.2024</v>
      </c>
      <c r="D366" s="8" t="str">
        <f ca="1">IFERROR(__xludf.DUMMYFUNCTION("""COMPUTED_VALUE"""),"1908Каr2188")</f>
        <v>1908Каr2188</v>
      </c>
      <c r="E366" s="1" t="str">
        <f ca="1">IFERROR(__xludf.DUMMYFUNCTION("""COMPUTED_VALUE"""),"годен до 08.2024 ")</f>
        <v xml:space="preserve">годен до 08.2024 </v>
      </c>
      <c r="F366" s="1" t="str">
        <f ca="1">IFERROR(__xludf.DUMMYFUNCTION("""COMPUTED_VALUE"""),"DOLPHI анатомические ультратонкие, №12 Презервативы латексные - 1908Каr2188")</f>
        <v>DOLPHI анатомические ультратонкие, №12 Презервативы латексные - 1908Каr2188</v>
      </c>
      <c r="G366" s="1" t="str">
        <f ca="1">IFERROR(__xludf.DUMMYFUNCTION("""COMPUTED_VALUE"""),"KZ.7700.02.01.00606380 / Действителен до 01.09.2024 / 1908Каr2188 / годен до 08.2024 ")</f>
        <v xml:space="preserve">KZ.7700.02.01.00606380 / Действителен до 01.09.2024 / 1908Каr2188 / годен до 08.2024 </v>
      </c>
      <c r="H366" s="1" t="str">
        <f ca="1">IFERROR(__xludf.DUMMYFUNCTION("""COMPUTED_VALUE"""),"DOLPHI анатомические ультратонкие, №12 Презервативы латексные KZ.7700.02.01.00606380 / Действителен до 01.09.2024 / 1908Каr2188 / годен до 08.2024 ")</f>
        <v xml:space="preserve">DOLPHI анатомические ультратонкие, №12 Презервативы латексные KZ.7700.02.01.00606380 / Действителен до 01.09.2024 / 1908Каr2188 / годен до 08.2024 </v>
      </c>
    </row>
    <row r="367" spans="1:8" ht="12.75" x14ac:dyDescent="0.2">
      <c r="A367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367" s="1" t="str">
        <f ca="1">IFERROR(__xludf.DUMMYFUNCTION("""COMPUTED_VALUE"""),"KZ.7700.02.01.00606381")</f>
        <v>KZ.7700.02.01.00606381</v>
      </c>
      <c r="C367" s="1" t="str">
        <f ca="1">IFERROR(__xludf.DUMMYFUNCTION("""COMPUTED_VALUE"""),"Действителен до 01.10.2024")</f>
        <v>Действителен до 01.10.2024</v>
      </c>
      <c r="D367" s="8" t="str">
        <f ca="1">IFERROR(__xludf.DUMMYFUNCTION("""COMPUTED_VALUE"""),"1909Каr2187")</f>
        <v>1909Каr2187</v>
      </c>
      <c r="E367" s="1" t="str">
        <f ca="1">IFERROR(__xludf.DUMMYFUNCTION("""COMPUTED_VALUE"""),"годен до 09.2024")</f>
        <v>годен до 09.2024</v>
      </c>
      <c r="F367" s="1" t="str">
        <f ca="1">IFERROR(__xludf.DUMMYFUNCTION("""COMPUTED_VALUE"""),"DOLPHI Класические №3 Презервативы латексные - 1909Каr2187")</f>
        <v>DOLPHI Класические №3 Презервативы латексные - 1909Каr2187</v>
      </c>
      <c r="G367" s="1" t="str">
        <f ca="1">IFERROR(__xludf.DUMMYFUNCTION("""COMPUTED_VALUE"""),"KZ.7700.02.01.00606381 / Действителен до 01.10.2024 / 1909Каr2187 / годен до 09.2024")</f>
        <v>KZ.7700.02.01.00606381 / Действителен до 01.10.2024 / 1909Каr2187 / годен до 09.2024</v>
      </c>
      <c r="H367" s="1" t="str">
        <f ca="1">IFERROR(__xludf.DUMMYFUNCTION("""COMPUTED_VALUE"""),"DOLPHI Класические №3 Презервативы латексные KZ.7700.02.01.00606381 / Действителен до 01.10.2024 / 1909Каr2187 / годен до 09.2024")</f>
        <v>DOLPHI Класические №3 Презервативы латексные KZ.7700.02.01.00606381 / Действителен до 01.10.2024 / 1909Каr2187 / годен до 09.2024</v>
      </c>
    </row>
    <row r="368" spans="1:8" ht="12.75" x14ac:dyDescent="0.2">
      <c r="A368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368" s="1" t="str">
        <f ca="1">IFERROR(__xludf.DUMMYFUNCTION("""COMPUTED_VALUE"""),"KZ.7700.02.01.00606382")</f>
        <v>KZ.7700.02.01.00606382</v>
      </c>
      <c r="C368" s="1" t="str">
        <f ca="1">IFERROR(__xludf.DUMMYFUNCTION("""COMPUTED_VALUE"""),"Действителен до 01.10.2024")</f>
        <v>Действителен до 01.10.2024</v>
      </c>
      <c r="D368" s="8" t="str">
        <f ca="1">IFERROR(__xludf.DUMMYFUNCTION("""COMPUTED_VALUE"""),"1909Каr2187")</f>
        <v>1909Каr2187</v>
      </c>
      <c r="E368" s="1" t="str">
        <f ca="1">IFERROR(__xludf.DUMMYFUNCTION("""COMPUTED_VALUE"""),"годен до 09.2024")</f>
        <v>годен до 09.2024</v>
      </c>
      <c r="F368" s="1" t="str">
        <f ca="1">IFERROR(__xludf.DUMMYFUNCTION("""COMPUTED_VALUE"""),"DOLPHI классические, №12 Презервативы латексные - 1909Каr2187")</f>
        <v>DOLPHI классические, №12 Презервативы латексные - 1909Каr2187</v>
      </c>
      <c r="G368" s="1" t="str">
        <f ca="1">IFERROR(__xludf.DUMMYFUNCTION("""COMPUTED_VALUE"""),"KZ.7700.02.01.00606382 / Действителен до 01.10.2024 / 1909Каr2187 / годен до 09.2024")</f>
        <v>KZ.7700.02.01.00606382 / Действителен до 01.10.2024 / 1909Каr2187 / годен до 09.2024</v>
      </c>
      <c r="H368" s="1" t="str">
        <f ca="1">IFERROR(__xludf.DUMMYFUNCTION("""COMPUTED_VALUE"""),"DOLPHI классические, №12 Презервативы латексные KZ.7700.02.01.00606382 / Действителен до 01.10.2024 / 1909Каr2187 / годен до 09.2024")</f>
        <v>DOLPHI классические, №12 Презервативы латексные KZ.7700.02.01.00606382 / Действителен до 01.10.2024 / 1909Каr2187 / годен до 09.2024</v>
      </c>
    </row>
    <row r="369" spans="1:8" ht="12.75" x14ac:dyDescent="0.2">
      <c r="A369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369" s="1" t="str">
        <f ca="1">IFERROR(__xludf.DUMMYFUNCTION("""COMPUTED_VALUE"""),"KZ.7700.02.01.00606385")</f>
        <v>KZ.7700.02.01.00606385</v>
      </c>
      <c r="C369" s="1" t="str">
        <f ca="1">IFERROR(__xludf.DUMMYFUNCTION("""COMPUTED_VALUE"""),"Действителен до 01.10.2024")</f>
        <v>Действителен до 01.10.2024</v>
      </c>
      <c r="D369" s="8" t="str">
        <f ca="1">IFERROR(__xludf.DUMMYFUNCTION("""COMPUTED_VALUE"""),"1909Каr2186")</f>
        <v>1909Каr2186</v>
      </c>
      <c r="E369" s="1" t="str">
        <f ca="1">IFERROR(__xludf.DUMMYFUNCTION("""COMPUTED_VALUE"""),"годен до 09.2024")</f>
        <v>годен до 09.2024</v>
      </c>
      <c r="F369" s="1" t="str">
        <f ca="1">IFERROR(__xludf.DUMMYFUNCTION("""COMPUTED_VALUE"""),"Mister Ben классические № 3 Презервативы латексные - 1909Каr2186")</f>
        <v>Mister Ben классические № 3 Презервативы латексные - 1909Каr2186</v>
      </c>
      <c r="G369" s="1" t="str">
        <f ca="1">IFERROR(__xludf.DUMMYFUNCTION("""COMPUTED_VALUE"""),"KZ.7700.02.01.00606385 / Действителен до 01.10.2024 / 1909Каr2186 / годен до 09.2024")</f>
        <v>KZ.7700.02.01.00606385 / Действителен до 01.10.2024 / 1909Каr2186 / годен до 09.2024</v>
      </c>
      <c r="H369" s="1" t="str">
        <f ca="1">IFERROR(__xludf.DUMMYFUNCTION("""COMPUTED_VALUE"""),"Mister Ben классические № 3 Презервативы латексные KZ.7700.02.01.00606385 / Действителен до 01.10.2024 / 1909Каr2186 / годен до 09.2024")</f>
        <v>Mister Ben классические № 3 Презервативы латексные KZ.7700.02.01.00606385 / Действителен до 01.10.2024 / 1909Каr2186 / годен до 09.2024</v>
      </c>
    </row>
    <row r="370" spans="1:8" ht="12.75" x14ac:dyDescent="0.2">
      <c r="A370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370" s="1" t="str">
        <f ca="1">IFERROR(__xludf.DUMMYFUNCTION("""COMPUTED_VALUE"""),"KZ.7700.02.01.00606377")</f>
        <v>KZ.7700.02.01.00606377</v>
      </c>
      <c r="C370" s="1" t="str">
        <f ca="1">IFERROR(__xludf.DUMMYFUNCTION("""COMPUTED_VALUE"""),"Действителен до 01.10.2024")</f>
        <v>Действителен до 01.10.2024</v>
      </c>
      <c r="D370" s="8" t="str">
        <f ca="1">IFERROR(__xludf.DUMMYFUNCTION("""COMPUTED_VALUE"""),"1909TNI2260")</f>
        <v>1909TNI2260</v>
      </c>
      <c r="E370" s="1" t="str">
        <f ca="1">IFERROR(__xludf.DUMMYFUNCTION("""COMPUTED_VALUE"""),"годен до 09.2024")</f>
        <v>годен до 09.2024</v>
      </c>
      <c r="F370" s="1" t="str">
        <f ca="1">IFERROR(__xludf.DUMMYFUNCTION("""COMPUTED_VALUE"""),"Mister Ben Ребристые № 3 Презервативы латексные - 1909TNI2260")</f>
        <v>Mister Ben Ребристые № 3 Презервативы латексные - 1909TNI2260</v>
      </c>
      <c r="G370" s="1" t="str">
        <f ca="1">IFERROR(__xludf.DUMMYFUNCTION("""COMPUTED_VALUE"""),"KZ.7700.02.01.00606377 / Действителен до 01.10.2024 / 1909TNI2260 / годен до 09.2024")</f>
        <v>KZ.7700.02.01.00606377 / Действителен до 01.10.2024 / 1909TNI2260 / годен до 09.2024</v>
      </c>
      <c r="H370" s="1" t="str">
        <f ca="1">IFERROR(__xludf.DUMMYFUNCTION("""COMPUTED_VALUE"""),"Mister Ben Ребристые № 3 Презервативы латексные KZ.7700.02.01.00606377 / Действителен до 01.10.2024 / 1909TNI2260 / годен до 09.2024")</f>
        <v>Mister Ben Ребристые № 3 Презервативы латексные KZ.7700.02.01.00606377 / Действителен до 01.10.2024 / 1909TNI2260 / годен до 09.2024</v>
      </c>
    </row>
    <row r="371" spans="1:8" ht="12.75" x14ac:dyDescent="0.2">
      <c r="A371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371" s="1" t="str">
        <f ca="1">IFERROR(__xludf.DUMMYFUNCTION("""COMPUTED_VALUE"""),"KZ.7700.02.01.00606376")</f>
        <v>KZ.7700.02.01.00606376</v>
      </c>
      <c r="C371" s="1" t="str">
        <f ca="1">IFERROR(__xludf.DUMMYFUNCTION("""COMPUTED_VALUE"""),"Действителен до 01.10.2024")</f>
        <v>Действителен до 01.10.2024</v>
      </c>
      <c r="D371" s="8" t="str">
        <f ca="1">IFERROR(__xludf.DUMMYFUNCTION("""COMPUTED_VALUE"""),"1909TNI2256")</f>
        <v>1909TNI2256</v>
      </c>
      <c r="E371" s="1" t="str">
        <f ca="1">IFERROR(__xludf.DUMMYFUNCTION("""COMPUTED_VALUE"""),"годен до 09.2024")</f>
        <v>годен до 09.2024</v>
      </c>
      <c r="F371" s="1" t="str">
        <f ca="1">IFERROR(__xludf.DUMMYFUNCTION("""COMPUTED_VALUE"""),"Mister Ben С точечной структурой № 3 Презервативы латексные - 1909TNI2256")</f>
        <v>Mister Ben С точечной структурой № 3 Презервативы латексные - 1909TNI2256</v>
      </c>
      <c r="G371" s="1" t="str">
        <f ca="1">IFERROR(__xludf.DUMMYFUNCTION("""COMPUTED_VALUE"""),"KZ.7700.02.01.00606376 / Действителен до 01.10.2024 / 1909TNI2256 / годен до 09.2024")</f>
        <v>KZ.7700.02.01.00606376 / Действителен до 01.10.2024 / 1909TNI2256 / годен до 09.2024</v>
      </c>
      <c r="H371" s="1" t="str">
        <f ca="1">IFERROR(__xludf.DUMMYFUNCTION("""COMPUTED_VALUE"""),"Mister Ben С точечной структурой № 3 Презервативы латексные KZ.7700.02.01.00606376 / Действителен до 01.10.2024 / 1909TNI2256 / годен до 09.2024")</f>
        <v>Mister Ben С точечной структурой № 3 Презервативы латексные KZ.7700.02.01.00606376 / Действителен до 01.10.2024 / 1909TNI2256 / годен до 09.2024</v>
      </c>
    </row>
    <row r="372" spans="1:8" ht="12.75" x14ac:dyDescent="0.2">
      <c r="A372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372" s="1" t="str">
        <f ca="1">IFERROR(__xludf.DUMMYFUNCTION("""COMPUTED_VALUE"""),"KZ.7700.02.01.00606386")</f>
        <v>KZ.7700.02.01.00606386</v>
      </c>
      <c r="C372" s="1" t="str">
        <f ca="1">IFERROR(__xludf.DUMMYFUNCTION("""COMPUTED_VALUE"""),"Действителен до 01.10.2024")</f>
        <v>Действителен до 01.10.2024</v>
      </c>
      <c r="D372" s="8" t="str">
        <f ca="1">IFERROR(__xludf.DUMMYFUNCTION("""COMPUTED_VALUE"""),"1909Каr2186")</f>
        <v>1909Каr2186</v>
      </c>
      <c r="E372" s="1" t="str">
        <f ca="1">IFERROR(__xludf.DUMMYFUNCTION("""COMPUTED_VALUE"""),"годен до 09.2024")</f>
        <v>годен до 09.2024</v>
      </c>
      <c r="F372" s="1" t="str">
        <f ca="1">IFERROR(__xludf.DUMMYFUNCTION("""COMPUTED_VALUE"""),"Sexxxy классические №3 Презервативы латексные - 1909Каr2186")</f>
        <v>Sexxxy классические №3 Презервативы латексные - 1909Каr2186</v>
      </c>
      <c r="G372" s="1" t="str">
        <f ca="1">IFERROR(__xludf.DUMMYFUNCTION("""COMPUTED_VALUE"""),"KZ.7700.02.01.00606386 / Действителен до 01.10.2024 / 1909Каr2186 / годен до 09.2024")</f>
        <v>KZ.7700.02.01.00606386 / Действителен до 01.10.2024 / 1909Каr2186 / годен до 09.2024</v>
      </c>
      <c r="H372" s="1" t="str">
        <f ca="1">IFERROR(__xludf.DUMMYFUNCTION("""COMPUTED_VALUE"""),"Sexxxy классические №3 Презервативы латексные KZ.7700.02.01.00606386 / Действителен до 01.10.2024 / 1909Каr2186 / годен до 09.2024")</f>
        <v>Sexxxy классические №3 Презервативы латексные KZ.7700.02.01.00606386 / Действителен до 01.10.2024 / 1909Каr2186 / годен до 09.2024</v>
      </c>
    </row>
    <row r="373" spans="1:8" ht="12.75" x14ac:dyDescent="0.2">
      <c r="A373" s="1" t="str">
        <f ca="1">IFERROR(__xludf.DUMMYFUNCTION("""COMPUTED_VALUE"""),"DOLPHI 3 в 1 №3 Презервативы латексные")</f>
        <v>DOLPHI 3 в 1 №3 Презервативы латексные</v>
      </c>
      <c r="B373" s="1" t="str">
        <f ca="1">IFERROR(__xludf.DUMMYFUNCTION("""COMPUTED_VALUE"""),"KZ.7700.02.01.00580622")</f>
        <v>KZ.7700.02.01.00580622</v>
      </c>
      <c r="C373" s="1" t="str">
        <f ca="1">IFERROR(__xludf.DUMMYFUNCTION("""COMPUTED_VALUE"""),"Действителен до 01.11.2023")</f>
        <v>Действителен до 01.11.2023</v>
      </c>
      <c r="D373" s="8" t="str">
        <f ca="1">IFERROR(__xludf.DUMMYFUNCTION("""COMPUTED_VALUE"""),"1810TNI1944")</f>
        <v>1810TNI1944</v>
      </c>
      <c r="E373" s="1" t="str">
        <f ca="1">IFERROR(__xludf.DUMMYFUNCTION("""COMPUTED_VALUE"""),"годен до 10.2023 ")</f>
        <v xml:space="preserve">годен до 10.2023 </v>
      </c>
      <c r="F373" s="1" t="str">
        <f ca="1">IFERROR(__xludf.DUMMYFUNCTION("""COMPUTED_VALUE"""),"DOLPHI 3 в 1 №3 Презервативы латексные - 1810TNI1944")</f>
        <v>DOLPHI 3 в 1 №3 Презервативы латексные - 1810TNI1944</v>
      </c>
      <c r="G373" s="1" t="str">
        <f ca="1">IFERROR(__xludf.DUMMYFUNCTION("""COMPUTED_VALUE"""),"KZ.7700.02.01.00580622 / Действителен до 01.11.2023 / 1810TNI1944 / годен до 10.2023 ")</f>
        <v xml:space="preserve">KZ.7700.02.01.00580622 / Действителен до 01.11.2023 / 1810TNI1944 / годен до 10.2023 </v>
      </c>
      <c r="H373" s="1" t="str">
        <f ca="1">IFERROR(__xludf.DUMMYFUNCTION("""COMPUTED_VALUE"""),"DOLPHI 3 в 1 №3 Презервативы латексные KZ.7700.02.01.00580622 / Действителен до 01.11.2023 / 1810TNI1944 / годен до 10.2023 ")</f>
        <v xml:space="preserve">DOLPHI 3 в 1 №3 Презервативы латексные KZ.7700.02.01.00580622 / Действителен до 01.11.2023 / 1810TNI1944 / годен до 10.2023 </v>
      </c>
    </row>
    <row r="374" spans="1:8" ht="12.75" x14ac:dyDescent="0.2">
      <c r="A374" s="1" t="str">
        <f ca="1">IFERROR(__xludf.DUMMYFUNCTION("""COMPUTED_VALUE"""),"DOLPHI 3 в 1 №12 Презервативы латексные")</f>
        <v>DOLPHI 3 в 1 №12 Презервативы латексные</v>
      </c>
      <c r="B374" s="1" t="str">
        <f ca="1">IFERROR(__xludf.DUMMYFUNCTION("""COMPUTED_VALUE"""),"KZ.7700.02.01.00580623")</f>
        <v>KZ.7700.02.01.00580623</v>
      </c>
      <c r="C374" s="1" t="str">
        <f ca="1">IFERROR(__xludf.DUMMYFUNCTION("""COMPUTED_VALUE"""),"Действителен до 01.11.2023")</f>
        <v>Действителен до 01.11.2023</v>
      </c>
      <c r="D374" s="8" t="str">
        <f ca="1">IFERROR(__xludf.DUMMYFUNCTION("""COMPUTED_VALUE"""),"1810TNI1944")</f>
        <v>1810TNI1944</v>
      </c>
      <c r="E374" s="1" t="str">
        <f ca="1">IFERROR(__xludf.DUMMYFUNCTION("""COMPUTED_VALUE"""),"годен до 10.2023 ")</f>
        <v xml:space="preserve">годен до 10.2023 </v>
      </c>
      <c r="F374" s="1" t="str">
        <f ca="1">IFERROR(__xludf.DUMMYFUNCTION("""COMPUTED_VALUE"""),"DOLPHI 3 в 1 №12 Презервативы латексные - 1810TNI1944")</f>
        <v>DOLPHI 3 в 1 №12 Презервативы латексные - 1810TNI1944</v>
      </c>
      <c r="G374" s="1" t="str">
        <f ca="1">IFERROR(__xludf.DUMMYFUNCTION("""COMPUTED_VALUE"""),"KZ.7700.02.01.00580623 / Действителен до 01.11.2023 / 1810TNI1944 / годен до 10.2023 ")</f>
        <v xml:space="preserve">KZ.7700.02.01.00580623 / Действителен до 01.11.2023 / 1810TNI1944 / годен до 10.2023 </v>
      </c>
      <c r="H374" s="1" t="str">
        <f ca="1">IFERROR(__xludf.DUMMYFUNCTION("""COMPUTED_VALUE"""),"DOLPHI 3 в 1 №12 Презервативы латексные KZ.7700.02.01.00580623 / Действителен до 01.11.2023 / 1810TNI1944 / годен до 10.2023 ")</f>
        <v xml:space="preserve">DOLPHI 3 в 1 №12 Презервативы латексные KZ.7700.02.01.00580623 / Действителен до 01.11.2023 / 1810TNI1944 / годен до 10.2023 </v>
      </c>
    </row>
    <row r="375" spans="1:8" ht="12.75" x14ac:dyDescent="0.2">
      <c r="A375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375" s="1" t="str">
        <f ca="1">IFERROR(__xludf.DUMMYFUNCTION("""COMPUTED_VALUE"""),"KZ.7700.02.01.00580618")</f>
        <v>KZ.7700.02.01.00580618</v>
      </c>
      <c r="C375" s="1" t="str">
        <f ca="1">IFERROR(__xludf.DUMMYFUNCTION("""COMPUTED_VALUE"""),"Действителен до 01.02.2023")</f>
        <v>Действителен до 01.02.2023</v>
      </c>
      <c r="D375" s="8" t="str">
        <f ca="1">IFERROR(__xludf.DUMMYFUNCTION("""COMPUTED_VALUE"""),"1901TNI1939")</f>
        <v>1901TNI1939</v>
      </c>
      <c r="E375" s="1" t="str">
        <f ca="1">IFERROR(__xludf.DUMMYFUNCTION("""COMPUTED_VALUE"""),"годен до 01.2024")</f>
        <v>годен до 01.2024</v>
      </c>
      <c r="F375" s="1" t="str">
        <f ca="1">IFERROR(__xludf.DUMMYFUNCTION("""COMPUTED_VALUE"""),"DOLPHI анатомические ультратонкие, №12 Презервативы латексные - 1901TNI1939")</f>
        <v>DOLPHI анатомические ультратонкие, №12 Презервативы латексные - 1901TNI1939</v>
      </c>
      <c r="G375" s="1" t="str">
        <f ca="1">IFERROR(__xludf.DUMMYFUNCTION("""COMPUTED_VALUE"""),"KZ.7700.02.01.00580618 / Действителен до 01.02.2023 / 1901TNI1939 / годен до 01.2024")</f>
        <v>KZ.7700.02.01.00580618 / Действителен до 01.02.2023 / 1901TNI1939 / годен до 01.2024</v>
      </c>
      <c r="H375" s="1" t="str">
        <f ca="1">IFERROR(__xludf.DUMMYFUNCTION("""COMPUTED_VALUE"""),"DOLPHI анатомические ультратонкие, №12 Презервативы латексные KZ.7700.02.01.00580618 / Действителен до 01.02.2023 / 1901TNI1939 / годен до 01.2024")</f>
        <v>DOLPHI анатомические ультратонкие, №12 Презервативы латексные KZ.7700.02.01.00580618 / Действителен до 01.02.2023 / 1901TNI1939 / годен до 01.2024</v>
      </c>
    </row>
    <row r="376" spans="1:8" ht="12.75" x14ac:dyDescent="0.2">
      <c r="A376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376" s="1" t="str">
        <f ca="1">IFERROR(__xludf.DUMMYFUNCTION("""COMPUTED_VALUE"""),"KZ.7700.02.01.00580617")</f>
        <v>KZ.7700.02.01.00580617</v>
      </c>
      <c r="C376" s="1" t="str">
        <f ca="1">IFERROR(__xludf.DUMMYFUNCTION("""COMPUTED_VALUE"""),"Действителен до 01.02.2023")</f>
        <v>Действителен до 01.02.2023</v>
      </c>
      <c r="D376" s="8" t="str">
        <f ca="1">IFERROR(__xludf.DUMMYFUNCTION("""COMPUTED_VALUE"""),"1901TNI1933")</f>
        <v>1901TNI1933</v>
      </c>
      <c r="E376" s="1" t="str">
        <f ca="1">IFERROR(__xludf.DUMMYFUNCTION("""COMPUTED_VALUE"""),"годен до 01.2024")</f>
        <v>годен до 01.2024</v>
      </c>
      <c r="F376" s="1" t="str">
        <f ca="1">IFERROR(__xludf.DUMMYFUNCTION("""COMPUTED_VALUE"""),"DOLPHI Класические №3 Презервативы латексные - 1901TNI1933")</f>
        <v>DOLPHI Класические №3 Презервативы латексные - 1901TNI1933</v>
      </c>
      <c r="G376" s="1" t="str">
        <f ca="1">IFERROR(__xludf.DUMMYFUNCTION("""COMPUTED_VALUE"""),"KZ.7700.02.01.00580617 / Действителен до 01.02.2023 / 1901TNI1933 / годен до 01.2024")</f>
        <v>KZ.7700.02.01.00580617 / Действителен до 01.02.2023 / 1901TNI1933 / годен до 01.2024</v>
      </c>
      <c r="H376" s="1" t="str">
        <f ca="1">IFERROR(__xludf.DUMMYFUNCTION("""COMPUTED_VALUE"""),"DOLPHI Класические №3 Презервативы латексные KZ.7700.02.01.00580617 / Действителен до 01.02.2023 / 1901TNI1933 / годен до 01.2024")</f>
        <v>DOLPHI Класические №3 Презервативы латексные KZ.7700.02.01.00580617 / Действителен до 01.02.2023 / 1901TNI1933 / годен до 01.2024</v>
      </c>
    </row>
    <row r="377" spans="1:8" ht="12.75" x14ac:dyDescent="0.2">
      <c r="A377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377" s="1" t="str">
        <f ca="1">IFERROR(__xludf.DUMMYFUNCTION("""COMPUTED_VALUE"""),"KZ.7700.02.01.00580616")</f>
        <v>KZ.7700.02.01.00580616</v>
      </c>
      <c r="C377" s="1" t="str">
        <f ca="1">IFERROR(__xludf.DUMMYFUNCTION("""COMPUTED_VALUE"""),"Действителен до 01.02.2023")</f>
        <v>Действителен до 01.02.2023</v>
      </c>
      <c r="D377" s="8" t="str">
        <f ca="1">IFERROR(__xludf.DUMMYFUNCTION("""COMPUTED_VALUE"""),"1901TNI1933")</f>
        <v>1901TNI1933</v>
      </c>
      <c r="E377" s="1" t="str">
        <f ca="1">IFERROR(__xludf.DUMMYFUNCTION("""COMPUTED_VALUE"""),"годен до 01.2024")</f>
        <v>годен до 01.2024</v>
      </c>
      <c r="F377" s="1" t="str">
        <f ca="1">IFERROR(__xludf.DUMMYFUNCTION("""COMPUTED_VALUE"""),"DOLPHI классические, №12 Презервативы латексные - 1901TNI1933")</f>
        <v>DOLPHI классические, №12 Презервативы латексные - 1901TNI1933</v>
      </c>
      <c r="G377" s="1" t="str">
        <f ca="1">IFERROR(__xludf.DUMMYFUNCTION("""COMPUTED_VALUE"""),"KZ.7700.02.01.00580616 / Действителен до 01.02.2023 / 1901TNI1933 / годен до 01.2024")</f>
        <v>KZ.7700.02.01.00580616 / Действителен до 01.02.2023 / 1901TNI1933 / годен до 01.2024</v>
      </c>
      <c r="H377" s="1" t="str">
        <f ca="1">IFERROR(__xludf.DUMMYFUNCTION("""COMPUTED_VALUE"""),"DOLPHI классические, №12 Презервативы латексные KZ.7700.02.01.00580616 / Действителен до 01.02.2023 / 1901TNI1933 / годен до 01.2024")</f>
        <v>DOLPHI классические, №12 Презервативы латексные KZ.7700.02.01.00580616 / Действителен до 01.02.2023 / 1901TNI1933 / годен до 01.2024</v>
      </c>
    </row>
    <row r="378" spans="1:8" ht="12.75" x14ac:dyDescent="0.2">
      <c r="A378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378" s="1" t="str">
        <f ca="1">IFERROR(__xludf.DUMMYFUNCTION("""COMPUTED_VALUE"""),"KZ.7700.02.01.00580620")</f>
        <v>KZ.7700.02.01.00580620</v>
      </c>
      <c r="C378" s="1" t="str">
        <f ca="1">IFERROR(__xludf.DUMMYFUNCTION("""COMPUTED_VALUE"""),"Действителен до 01.02.2023")</f>
        <v>Действителен до 01.02.2023</v>
      </c>
      <c r="D378" s="8" t="str">
        <f ca="1">IFERROR(__xludf.DUMMYFUNCTION("""COMPUTED_VALUE"""),"1812TNI1939")</f>
        <v>1812TNI1939</v>
      </c>
      <c r="E378" s="1" t="str">
        <f ca="1">IFERROR(__xludf.DUMMYFUNCTION("""COMPUTED_VALUE"""),"годен до 01.2024")</f>
        <v>годен до 01.2024</v>
      </c>
      <c r="F378" s="1" t="str">
        <f ca="1">IFERROR(__xludf.DUMMYFUNCTION("""COMPUTED_VALUE"""),"DOLPHI ультратонкие №3 Презервативы латескные - 1812TNI1939")</f>
        <v>DOLPHI ультратонкие №3 Презервативы латескные - 1812TNI1939</v>
      </c>
      <c r="G378" s="1" t="str">
        <f ca="1">IFERROR(__xludf.DUMMYFUNCTION("""COMPUTED_VALUE"""),"KZ.7700.02.01.00580620 / Действителен до 01.02.2023 / 1812TNI1939 / годен до 01.2024")</f>
        <v>KZ.7700.02.01.00580620 / Действителен до 01.02.2023 / 1812TNI1939 / годен до 01.2024</v>
      </c>
      <c r="H378" s="1" t="str">
        <f ca="1">IFERROR(__xludf.DUMMYFUNCTION("""COMPUTED_VALUE"""),"DOLPHI ультратонкие №3 Презервативы латескные KZ.7700.02.01.00580620 / Действителен до 01.02.2023 / 1812TNI1939 / годен до 01.2024")</f>
        <v>DOLPHI ультратонкие №3 Презервативы латескные KZ.7700.02.01.00580620 / Действителен до 01.02.2023 / 1812TNI1939 / годен до 01.2024</v>
      </c>
    </row>
    <row r="379" spans="1:8" ht="12.75" x14ac:dyDescent="0.2">
      <c r="A379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379" s="1" t="str">
        <f ca="1">IFERROR(__xludf.DUMMYFUNCTION("""COMPUTED_VALUE"""),"KZ.7700.02.01.00580619")</f>
        <v>KZ.7700.02.01.00580619</v>
      </c>
      <c r="C379" s="1" t="str">
        <f ca="1">IFERROR(__xludf.DUMMYFUNCTION("""COMPUTED_VALUE"""),"Действителен до 01.02.2023")</f>
        <v>Действителен до 01.02.2023</v>
      </c>
      <c r="D379" s="8" t="str">
        <f ca="1">IFERROR(__xludf.DUMMYFUNCTION("""COMPUTED_VALUE"""),"1812TNI1939")</f>
        <v>1812TNI1939</v>
      </c>
      <c r="E379" s="1" t="str">
        <f ca="1">IFERROR(__xludf.DUMMYFUNCTION("""COMPUTED_VALUE"""),"годен до 01.2024")</f>
        <v>годен до 01.2024</v>
      </c>
      <c r="F379" s="1" t="str">
        <f ca="1">IFERROR(__xludf.DUMMYFUNCTION("""COMPUTED_VALUE"""),"DOLPHI ультратонкие №12 Презервативы латексные - 1812TNI1939")</f>
        <v>DOLPHI ультратонкие №12 Презервативы латексные - 1812TNI1939</v>
      </c>
      <c r="G379" s="1" t="str">
        <f ca="1">IFERROR(__xludf.DUMMYFUNCTION("""COMPUTED_VALUE"""),"KZ.7700.02.01.00580619 / Действителен до 01.02.2023 / 1812TNI1939 / годен до 01.2024")</f>
        <v>KZ.7700.02.01.00580619 / Действителен до 01.02.2023 / 1812TNI1939 / годен до 01.2024</v>
      </c>
      <c r="H379" s="1" t="str">
        <f ca="1">IFERROR(__xludf.DUMMYFUNCTION("""COMPUTED_VALUE"""),"DOLPHI ультратонкие №12 Презервативы латексные KZ.7700.02.01.00580619 / Действителен до 01.02.2023 / 1812TNI1939 / годен до 01.2024")</f>
        <v>DOLPHI ультратонкие №12 Презервативы латексные KZ.7700.02.01.00580619 / Действителен до 01.02.2023 / 1812TNI1939 / годен до 01.2024</v>
      </c>
    </row>
    <row r="380" spans="1:8" ht="12.75" x14ac:dyDescent="0.2">
      <c r="A380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380" s="1" t="str">
        <f ca="1">IFERROR(__xludf.DUMMYFUNCTION("""COMPUTED_VALUE"""),"KZ.7700.02.01.00580624")</f>
        <v>KZ.7700.02.01.00580624</v>
      </c>
      <c r="C380" s="1" t="str">
        <f ca="1">IFERROR(__xludf.DUMMYFUNCTION("""COMPUTED_VALUE"""),"Действителен до 01.02.2023")</f>
        <v>Действителен до 01.02.2023</v>
      </c>
      <c r="D380" s="8" t="str">
        <f ca="1">IFERROR(__xludf.DUMMYFUNCTION("""COMPUTED_VALUE"""),"1810Kar2194")</f>
        <v>1810Kar2194</v>
      </c>
      <c r="E380" s="1" t="str">
        <f ca="1">IFERROR(__xludf.DUMMYFUNCTION("""COMPUTED_VALUE"""),"годен до 01.2024")</f>
        <v>годен до 01.2024</v>
      </c>
      <c r="F380" s="1" t="str">
        <f ca="1">IFERROR(__xludf.DUMMYFUNCTION("""COMPUTED_VALUE"""),"Mister Ben Ультратонкие № 3 Презервативы латексные - 1810Kar2194")</f>
        <v>Mister Ben Ультратонкие № 3 Презервативы латексные - 1810Kar2194</v>
      </c>
      <c r="G380" s="1" t="str">
        <f ca="1">IFERROR(__xludf.DUMMYFUNCTION("""COMPUTED_VALUE"""),"KZ.7700.02.01.00580624 / Действителен до 01.02.2023 / 1810Kar2194 / годен до 01.2024")</f>
        <v>KZ.7700.02.01.00580624 / Действителен до 01.02.2023 / 1810Kar2194 / годен до 01.2024</v>
      </c>
      <c r="H380" s="1" t="str">
        <f ca="1">IFERROR(__xludf.DUMMYFUNCTION("""COMPUTED_VALUE"""),"Mister Ben Ультратонкие № 3 Презервативы латексные KZ.7700.02.01.00580624 / Действителен до 01.02.2023 / 1810Kar2194 / годен до 01.2024")</f>
        <v>Mister Ben Ультратонкие № 3 Презервативы латексные KZ.7700.02.01.00580624 / Действителен до 01.02.2023 / 1810Kar2194 / годен до 01.2024</v>
      </c>
    </row>
    <row r="381" spans="1:8" ht="12.75" x14ac:dyDescent="0.2">
      <c r="A381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381" s="1" t="str">
        <f ca="1">IFERROR(__xludf.DUMMYFUNCTION("""COMPUTED_VALUE"""),"KZ.7700.02.01.00580615")</f>
        <v>KZ.7700.02.01.00580615</v>
      </c>
      <c r="C381" s="1" t="str">
        <f ca="1">IFERROR(__xludf.DUMMYFUNCTION("""COMPUTED_VALUE"""),"Действителен до 01.10.2023")</f>
        <v>Действителен до 01.10.2023</v>
      </c>
      <c r="D381" s="8" t="str">
        <f ca="1">IFERROR(__xludf.DUMMYFUNCTION("""COMPUTED_VALUE"""),"1810TNI1934")</f>
        <v>1810TNI1934</v>
      </c>
      <c r="E381" s="1" t="str">
        <f ca="1">IFERROR(__xludf.DUMMYFUNCTION("""COMPUTED_VALUE"""),"годен до 10.2023")</f>
        <v>годен до 10.2023</v>
      </c>
      <c r="F381" s="1" t="str">
        <f ca="1">IFERROR(__xludf.DUMMYFUNCTION("""COMPUTED_VALUE"""),"Mister Ben классические № 3 Презервативы латексные - 1810TNI1934")</f>
        <v>Mister Ben классические № 3 Презервативы латексные - 1810TNI1934</v>
      </c>
      <c r="G381" s="1" t="str">
        <f ca="1">IFERROR(__xludf.DUMMYFUNCTION("""COMPUTED_VALUE"""),"KZ.7700.02.01.00580615 / Действителен до 01.10.2023 / 1810TNI1934 / годен до 10.2023")</f>
        <v>KZ.7700.02.01.00580615 / Действителен до 01.10.2023 / 1810TNI1934 / годен до 10.2023</v>
      </c>
      <c r="H381" s="1" t="str">
        <f ca="1">IFERROR(__xludf.DUMMYFUNCTION("""COMPUTED_VALUE"""),"Mister Ben классические № 3 Презервативы латексные KZ.7700.02.01.00580615 / Действителен до 01.10.2023 / 1810TNI1934 / годен до 10.2023")</f>
        <v>Mister Ben классические № 3 Презервативы латексные KZ.7700.02.01.00580615 / Действителен до 01.10.2023 / 1810TNI1934 / годен до 10.2023</v>
      </c>
    </row>
    <row r="382" spans="1:8" ht="12.75" x14ac:dyDescent="0.2">
      <c r="A382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382" s="1" t="str">
        <f ca="1">IFERROR(__xludf.DUMMYFUNCTION("""COMPUTED_VALUE"""),"KZ.7700.02.01.00580613")</f>
        <v>KZ.7700.02.01.00580613</v>
      </c>
      <c r="C382" s="1" t="str">
        <f ca="1">IFERROR(__xludf.DUMMYFUNCTION("""COMPUTED_VALUE"""),"Действителен до 01.02.2023")</f>
        <v>Действителен до 01.02.2023</v>
      </c>
      <c r="D382" s="8" t="str">
        <f ca="1">IFERROR(__xludf.DUMMYFUNCTION("""COMPUTED_VALUE"""),"1811TNI1902")</f>
        <v>1811TNI1902</v>
      </c>
      <c r="E382" s="1" t="str">
        <f ca="1">IFERROR(__xludf.DUMMYFUNCTION("""COMPUTED_VALUE"""),"годен до 01.2024")</f>
        <v>годен до 01.2024</v>
      </c>
      <c r="F382" s="1" t="str">
        <f ca="1">IFERROR(__xludf.DUMMYFUNCTION("""COMPUTED_VALUE"""),"Sexxxy классические №3 Презервативы латексные - 1811TNI1902")</f>
        <v>Sexxxy классические №3 Презервативы латексные - 1811TNI1902</v>
      </c>
      <c r="G382" s="1" t="str">
        <f ca="1">IFERROR(__xludf.DUMMYFUNCTION("""COMPUTED_VALUE"""),"KZ.7700.02.01.00580613 / Действителен до 01.02.2023 / 1811TNI1902 / годен до 01.2024")</f>
        <v>KZ.7700.02.01.00580613 / Действителен до 01.02.2023 / 1811TNI1902 / годен до 01.2024</v>
      </c>
      <c r="H382" s="1" t="str">
        <f ca="1">IFERROR(__xludf.DUMMYFUNCTION("""COMPUTED_VALUE"""),"Sexxxy классические №3 Презервативы латексные KZ.7700.02.01.00580613 / Действителен до 01.02.2023 / 1811TNI1902 / годен до 01.2024")</f>
        <v>Sexxxy классические №3 Презервативы латексные KZ.7700.02.01.00580613 / Действителен до 01.02.2023 / 1811TNI1902 / годен до 01.2024</v>
      </c>
    </row>
    <row r="383" spans="1:8" ht="12.75" x14ac:dyDescent="0.2">
      <c r="A383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383" s="1" t="str">
        <f ca="1">IFERROR(__xludf.DUMMYFUNCTION("""COMPUTED_VALUE"""),"KZ.7700.02.01.00583097")</f>
        <v>KZ.7700.02.01.00583097</v>
      </c>
      <c r="C383" s="1" t="str">
        <f ca="1">IFERROR(__xludf.DUMMYFUNCTION("""COMPUTED_VALUE"""),"Действителен до 01.05.2023")</f>
        <v>Действителен до 01.05.2023</v>
      </c>
      <c r="D383" s="8" t="str">
        <f ca="1">IFERROR(__xludf.DUMMYFUNCTION("""COMPUTED_VALUE"""),"1804CPR1842")</f>
        <v>1804CPR1842</v>
      </c>
      <c r="E383" s="1" t="str">
        <f ca="1">IFERROR(__xludf.DUMMYFUNCTION("""COMPUTED_VALUE"""),"годен до 04.2023")</f>
        <v>годен до 04.2023</v>
      </c>
      <c r="F383" s="1" t="str">
        <f ca="1">IFERROR(__xludf.DUMMYFUNCTION("""COMPUTED_VALUE"""),"DOLPHI анатомические ультратонкие Презервативы латексные, № 3 - 1804CPR1842")</f>
        <v>DOLPHI анатомические ультратонкие Презервативы латексные, № 3 - 1804CPR1842</v>
      </c>
      <c r="G383" s="1" t="str">
        <f ca="1">IFERROR(__xludf.DUMMYFUNCTION("""COMPUTED_VALUE"""),"KZ.7700.02.01.00583097 / Действителен до 01.05.2023 / 1804CPR1842 / годен до 04.2023")</f>
        <v>KZ.7700.02.01.00583097 / Действителен до 01.05.2023 / 1804CPR1842 / годен до 04.2023</v>
      </c>
      <c r="H383" s="1" t="str">
        <f ca="1">IFERROR(__xludf.DUMMYFUNCTION("""COMPUTED_VALUE"""),"DOLPHI анатомические ультратонкие Презервативы латексные, № 3 KZ.7700.02.01.00583097 / Действителен до 01.05.2023 / 1804CPR1842 / годен до 04.2023")</f>
        <v>DOLPHI анатомические ультратонкие Презервативы латексные, № 3 KZ.7700.02.01.00583097 / Действителен до 01.05.2023 / 1804CPR1842 / годен до 04.2023</v>
      </c>
    </row>
    <row r="384" spans="1:8" ht="12.75" x14ac:dyDescent="0.2">
      <c r="A384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384" s="1" t="str">
        <f ca="1">IFERROR(__xludf.DUMMYFUNCTION("""COMPUTED_VALUE"""),"KZ.7700.02.01.00583080")</f>
        <v>KZ.7700.02.01.00583080</v>
      </c>
      <c r="C384" s="1" t="str">
        <f ca="1">IFERROR(__xludf.DUMMYFUNCTION("""COMPUTED_VALUE"""),"Действителен до 01.07.2023")</f>
        <v>Действителен до 01.07.2023</v>
      </c>
      <c r="D384" s="8" t="str">
        <f ca="1">IFERROR(__xludf.DUMMYFUNCTION("""COMPUTED_VALUE"""),"1806CPR1841")</f>
        <v>1806CPR1841</v>
      </c>
      <c r="E384" s="1" t="str">
        <f ca="1">IFERROR(__xludf.DUMMYFUNCTION("""COMPUTED_VALUE"""),"годен до 06.2023")</f>
        <v>годен до 06.2023</v>
      </c>
      <c r="F384" s="1" t="str">
        <f ca="1">IFERROR(__xludf.DUMMYFUNCTION("""COMPUTED_VALUE"""),"DOLPHI анатомические ультратонкие, №12 Презервативы латексные - 1806CPR1841")</f>
        <v>DOLPHI анатомические ультратонкие, №12 Презервативы латексные - 1806CPR1841</v>
      </c>
      <c r="G384" s="1" t="str">
        <f ca="1">IFERROR(__xludf.DUMMYFUNCTION("""COMPUTED_VALUE"""),"KZ.7700.02.01.00583080 / Действителен до 01.07.2023 / 1806CPR1841 / годен до 06.2023")</f>
        <v>KZ.7700.02.01.00583080 / Действителен до 01.07.2023 / 1806CPR1841 / годен до 06.2023</v>
      </c>
      <c r="H384" s="1" t="str">
        <f ca="1">IFERROR(__xludf.DUMMYFUNCTION("""COMPUTED_VALUE"""),"DOLPHI анатомические ультратонкие, №12 Презервативы латексные KZ.7700.02.01.00583080 / Действителен до 01.07.2023 / 1806CPR1841 / годен до 06.2023")</f>
        <v>DOLPHI анатомические ультратонкие, №12 Презервативы латексные KZ.7700.02.01.00583080 / Действителен до 01.07.2023 / 1806CPR1841 / годен до 06.2023</v>
      </c>
    </row>
    <row r="385" spans="1:8" ht="12.75" x14ac:dyDescent="0.2">
      <c r="A385" s="1" t="str">
        <f ca="1">IFERROR(__xludf.DUMMYFUNCTION("""COMPUTED_VALUE"""),"DOLPHI 3 в 1 №3 Презервативы латексные")</f>
        <v>DOLPHI 3 в 1 №3 Презервативы латексные</v>
      </c>
      <c r="B385" s="1" t="str">
        <f ca="1">IFERROR(__xludf.DUMMYFUNCTION("""COMPUTED_VALUE"""),"KZ.7700.02.01.00583083")</f>
        <v>KZ.7700.02.01.00583083</v>
      </c>
      <c r="C385" s="1" t="str">
        <f ca="1">IFERROR(__xludf.DUMMYFUNCTION("""COMPUTED_VALUE"""),"Действителен до 01.08.2023")</f>
        <v>Действителен до 01.08.2023</v>
      </c>
      <c r="D385" s="8" t="str">
        <f ca="1">IFERROR(__xludf.DUMMYFUNCTION("""COMPUTED_VALUE"""),"1807TNI1910")</f>
        <v>1807TNI1910</v>
      </c>
      <c r="E385" s="1" t="str">
        <f ca="1">IFERROR(__xludf.DUMMYFUNCTION("""COMPUTED_VALUE"""),"годен до 07.2023")</f>
        <v>годен до 07.2023</v>
      </c>
      <c r="F385" s="1" t="str">
        <f ca="1">IFERROR(__xludf.DUMMYFUNCTION("""COMPUTED_VALUE"""),"DOLPHI 3 в 1 №3 Презервативы латексные - 1807TNI1910")</f>
        <v>DOLPHI 3 в 1 №3 Презервативы латексные - 1807TNI1910</v>
      </c>
      <c r="G385" s="1" t="str">
        <f ca="1">IFERROR(__xludf.DUMMYFUNCTION("""COMPUTED_VALUE"""),"KZ.7700.02.01.00583083 / Действителен до 01.08.2023 / 1807TNI1910 / годен до 07.2023")</f>
        <v>KZ.7700.02.01.00583083 / Действителен до 01.08.2023 / 1807TNI1910 / годен до 07.2023</v>
      </c>
      <c r="H385" s="1" t="str">
        <f ca="1">IFERROR(__xludf.DUMMYFUNCTION("""COMPUTED_VALUE"""),"DOLPHI 3 в 1 №3 Презервативы латексные KZ.7700.02.01.00583083 / Действителен до 01.08.2023 / 1807TNI1910 / годен до 07.2023")</f>
        <v>DOLPHI 3 в 1 №3 Презервативы латексные KZ.7700.02.01.00583083 / Действителен до 01.08.2023 / 1807TNI1910 / годен до 07.2023</v>
      </c>
    </row>
    <row r="386" spans="1:8" ht="12.75" x14ac:dyDescent="0.2">
      <c r="A386" s="1" t="str">
        <f ca="1">IFERROR(__xludf.DUMMYFUNCTION("""COMPUTED_VALUE"""),"DOLPHI 3 в 1 №3 Презервативы латексные")</f>
        <v>DOLPHI 3 в 1 №3 Презервативы латексные</v>
      </c>
      <c r="B386" s="1" t="str">
        <f ca="1">IFERROR(__xludf.DUMMYFUNCTION("""COMPUTED_VALUE"""),"KZ.7700.02.01.00583098")</f>
        <v>KZ.7700.02.01.00583098</v>
      </c>
      <c r="C386" s="1" t="str">
        <f ca="1">IFERROR(__xludf.DUMMYFUNCTION("""COMPUTED_VALUE"""),"Действителен до 01.06.2023")</f>
        <v>Действителен до 01.06.2023</v>
      </c>
      <c r="D386" s="8" t="str">
        <f ca="1">IFERROR(__xludf.DUMMYFUNCTION("""COMPUTED_VALUE"""),"1805CPR1844")</f>
        <v>1805CPR1844</v>
      </c>
      <c r="E386" s="1" t="str">
        <f ca="1">IFERROR(__xludf.DUMMYFUNCTION("""COMPUTED_VALUE"""),"годен до 05.2023")</f>
        <v>годен до 05.2023</v>
      </c>
      <c r="F386" s="1" t="str">
        <f ca="1">IFERROR(__xludf.DUMMYFUNCTION("""COMPUTED_VALUE"""),"DOLPHI 3 в 1 №3 Презервативы латексные - 1805CPR1844")</f>
        <v>DOLPHI 3 в 1 №3 Презервативы латексные - 1805CPR1844</v>
      </c>
      <c r="G386" s="1" t="str">
        <f ca="1">IFERROR(__xludf.DUMMYFUNCTION("""COMPUTED_VALUE"""),"KZ.7700.02.01.00583098 / Действителен до 01.06.2023 / 1805CPR1844 / годен до 05.2023")</f>
        <v>KZ.7700.02.01.00583098 / Действителен до 01.06.2023 / 1805CPR1844 / годен до 05.2023</v>
      </c>
      <c r="H386" s="1" t="str">
        <f ca="1">IFERROR(__xludf.DUMMYFUNCTION("""COMPUTED_VALUE"""),"DOLPHI 3 в 1 №3 Презервативы латексные KZ.7700.02.01.00583098 / Действителен до 01.06.2023 / 1805CPR1844 / годен до 05.2023")</f>
        <v>DOLPHI 3 в 1 №3 Презервативы латексные KZ.7700.02.01.00583098 / Действителен до 01.06.2023 / 1805CPR1844 / годен до 05.2023</v>
      </c>
    </row>
    <row r="387" spans="1:8" ht="12.75" x14ac:dyDescent="0.2">
      <c r="A387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387" s="1" t="str">
        <f ca="1">IFERROR(__xludf.DUMMYFUNCTION("""COMPUTED_VALUE"""),"KZ.7700.02.01.00583091")</f>
        <v>KZ.7700.02.01.00583091</v>
      </c>
      <c r="C387" s="1" t="str">
        <f ca="1">IFERROR(__xludf.DUMMYFUNCTION("""COMPUTED_VALUE"""),"Действителен до 01.10.2023")</f>
        <v>Действителен до 01.10.2023</v>
      </c>
      <c r="D387" s="8" t="str">
        <f ca="1">IFERROR(__xludf.DUMMYFUNCTION("""COMPUTED_VALUE"""),"1809CPR1715")</f>
        <v>1809CPR1715</v>
      </c>
      <c r="E387" s="1" t="str">
        <f ca="1">IFERROR(__xludf.DUMMYFUNCTION("""COMPUTED_VALUE"""),"годен до 09.2023")</f>
        <v>годен до 09.2023</v>
      </c>
      <c r="F387" s="1" t="str">
        <f ca="1">IFERROR(__xludf.DUMMYFUNCTION("""COMPUTED_VALUE"""),"Mister Ben Ребристые № 3 Презервативы латексные - 1809CPR1715")</f>
        <v>Mister Ben Ребристые № 3 Презервативы латексные - 1809CPR1715</v>
      </c>
      <c r="G387" s="1" t="str">
        <f ca="1">IFERROR(__xludf.DUMMYFUNCTION("""COMPUTED_VALUE"""),"KZ.7700.02.01.00583091 / Действителен до 01.10.2023 / 1809CPR1715 / годен до 09.2023")</f>
        <v>KZ.7700.02.01.00583091 / Действителен до 01.10.2023 / 1809CPR1715 / годен до 09.2023</v>
      </c>
      <c r="H387" s="1" t="str">
        <f ca="1">IFERROR(__xludf.DUMMYFUNCTION("""COMPUTED_VALUE"""),"Mister Ben Ребристые № 3 Презервативы латексные KZ.7700.02.01.00583091 / Действителен до 01.10.2023 / 1809CPR1715 / годен до 09.2023")</f>
        <v>Mister Ben Ребристые № 3 Презервативы латексные KZ.7700.02.01.00583091 / Действителен до 01.10.2023 / 1809CPR1715 / годен до 09.2023</v>
      </c>
    </row>
    <row r="388" spans="1:8" ht="12.75" x14ac:dyDescent="0.2">
      <c r="A388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388" s="1" t="str">
        <f ca="1">IFERROR(__xludf.DUMMYFUNCTION("""COMPUTED_VALUE"""),"KZ.7700.02.01.00583104")</f>
        <v>KZ.7700.02.01.00583104</v>
      </c>
      <c r="C388" s="1" t="str">
        <f ca="1">IFERROR(__xludf.DUMMYFUNCTION("""COMPUTED_VALUE"""),"Действителен до 01.06.2023")</f>
        <v>Действителен до 01.06.2023</v>
      </c>
      <c r="D388" s="8" t="str">
        <f ca="1">IFERROR(__xludf.DUMMYFUNCTION("""COMPUTED_VALUE"""),"1805CPR1715")</f>
        <v>1805CPR1715</v>
      </c>
      <c r="E388" s="1" t="str">
        <f ca="1">IFERROR(__xludf.DUMMYFUNCTION("""COMPUTED_VALUE"""),"годен до 05.2023")</f>
        <v>годен до 05.2023</v>
      </c>
      <c r="F388" s="1" t="str">
        <f ca="1">IFERROR(__xludf.DUMMYFUNCTION("""COMPUTED_VALUE"""),"Mister Ben Ребристые № 3 Презервативы латексные - 1805CPR1715")</f>
        <v>Mister Ben Ребристые № 3 Презервативы латексные - 1805CPR1715</v>
      </c>
      <c r="G388" s="1" t="str">
        <f ca="1">IFERROR(__xludf.DUMMYFUNCTION("""COMPUTED_VALUE"""),"KZ.7700.02.01.00583104 / Действителен до 01.06.2023 / 1805CPR1715 / годен до 05.2023")</f>
        <v>KZ.7700.02.01.00583104 / Действителен до 01.06.2023 / 1805CPR1715 / годен до 05.2023</v>
      </c>
      <c r="H388" s="1" t="str">
        <f ca="1">IFERROR(__xludf.DUMMYFUNCTION("""COMPUTED_VALUE"""),"Mister Ben Ребристые № 3 Презервативы латексные KZ.7700.02.01.00583104 / Действителен до 01.06.2023 / 1805CPR1715 / годен до 05.2023")</f>
        <v>Mister Ben Ребристые № 3 Презервативы латексные KZ.7700.02.01.00583104 / Действителен до 01.06.2023 / 1805CPR1715 / годен до 05.2023</v>
      </c>
    </row>
    <row r="389" spans="1:8" ht="12.75" x14ac:dyDescent="0.2">
      <c r="A389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389" s="1" t="str">
        <f ca="1">IFERROR(__xludf.DUMMYFUNCTION("""COMPUTED_VALUE"""),"KZ.7700.02.01.00583102")</f>
        <v>KZ.7700.02.01.00583102</v>
      </c>
      <c r="C389" s="1" t="str">
        <f ca="1">IFERROR(__xludf.DUMMYFUNCTION("""COMPUTED_VALUE"""),"Действителен до 01.10.2023")</f>
        <v>Действителен до 01.10.2023</v>
      </c>
      <c r="D389" s="8" t="str">
        <f ca="1">IFERROR(__xludf.DUMMYFUNCTION("""COMPUTED_VALUE"""),"1809Kar1436")</f>
        <v>1809Kar1436</v>
      </c>
      <c r="E389" s="1" t="str">
        <f ca="1">IFERROR(__xludf.DUMMYFUNCTION("""COMPUTED_VALUE"""),"годен до 09.2023")</f>
        <v>годен до 09.2023</v>
      </c>
      <c r="F389" s="1" t="str">
        <f ca="1">IFERROR(__xludf.DUMMYFUNCTION("""COMPUTED_VALUE"""),"Mister Ben С точечной структурой № 3 Презервативы латексные - 1809Kar1436")</f>
        <v>Mister Ben С точечной структурой № 3 Презервативы латексные - 1809Kar1436</v>
      </c>
      <c r="G389" s="1" t="str">
        <f ca="1">IFERROR(__xludf.DUMMYFUNCTION("""COMPUTED_VALUE"""),"KZ.7700.02.01.00583102 / Действителен до 01.10.2023 / 1809Kar1436 / годен до 09.2023")</f>
        <v>KZ.7700.02.01.00583102 / Действителен до 01.10.2023 / 1809Kar1436 / годен до 09.2023</v>
      </c>
      <c r="H389" s="1" t="str">
        <f ca="1">IFERROR(__xludf.DUMMYFUNCTION("""COMPUTED_VALUE"""),"Mister Ben С точечной структурой № 3 Презервативы латексные KZ.7700.02.01.00583102 / Действителен до 01.10.2023 / 1809Kar1436 / годен до 09.2023")</f>
        <v>Mister Ben С точечной структурой № 3 Презервативы латексные KZ.7700.02.01.00583102 / Действителен до 01.10.2023 / 1809Kar1436 / годен до 09.2023</v>
      </c>
    </row>
    <row r="390" spans="1:8" ht="12.75" x14ac:dyDescent="0.2">
      <c r="A390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390" s="1" t="str">
        <f ca="1">IFERROR(__xludf.DUMMYFUNCTION("""COMPUTED_VALUE"""),"KZ.7700.02.01.00583090")</f>
        <v>KZ.7700.02.01.00583090</v>
      </c>
      <c r="C390" s="1" t="str">
        <f ca="1">IFERROR(__xludf.DUMMYFUNCTION("""COMPUTED_VALUE"""),"Действителен до 01.01.2023")</f>
        <v>Действителен до 01.01.2023</v>
      </c>
      <c r="D390" s="8" t="str">
        <f ca="1">IFERROR(__xludf.DUMMYFUNCTION("""COMPUTED_VALUE"""),"1712Kar1096")</f>
        <v>1712Kar1096</v>
      </c>
      <c r="E390" s="1" t="str">
        <f ca="1">IFERROR(__xludf.DUMMYFUNCTION("""COMPUTED_VALUE"""),"годен до 12.2022")</f>
        <v>годен до 12.2022</v>
      </c>
      <c r="F390" s="1" t="str">
        <f ca="1">IFERROR(__xludf.DUMMYFUNCTION("""COMPUTED_VALUE"""),"Mister Ben С точечной структурой № 3 Презервативы латексные - 1712Kar1096")</f>
        <v>Mister Ben С точечной структурой № 3 Презервативы латексные - 1712Kar1096</v>
      </c>
      <c r="G390" s="1" t="str">
        <f ca="1">IFERROR(__xludf.DUMMYFUNCTION("""COMPUTED_VALUE"""),"KZ.7700.02.01.00583090 / Действителен до 01.01.2023 / 1712Kar1096 / годен до 12.2022")</f>
        <v>KZ.7700.02.01.00583090 / Действителен до 01.01.2023 / 1712Kar1096 / годен до 12.2022</v>
      </c>
      <c r="H390" s="1" t="str">
        <f ca="1">IFERROR(__xludf.DUMMYFUNCTION("""COMPUTED_VALUE"""),"Mister Ben С точечной структурой № 3 Презервативы латексные KZ.7700.02.01.00583090 / Действителен до 01.01.2023 / 1712Kar1096 / годен до 12.2022")</f>
        <v>Mister Ben С точечной структурой № 3 Презервативы латексные KZ.7700.02.01.00583090 / Действителен до 01.01.2023 / 1712Kar1096 / годен до 12.2022</v>
      </c>
    </row>
    <row r="391" spans="1:8" ht="12.75" x14ac:dyDescent="0.2">
      <c r="A391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391" s="1" t="str">
        <f ca="1">IFERROR(__xludf.DUMMYFUNCTION("""COMPUTED_VALUE"""),"KZ.7700.02.01.00583078")</f>
        <v>KZ.7700.02.01.00583078</v>
      </c>
      <c r="C391" s="1" t="str">
        <f ca="1">IFERROR(__xludf.DUMMYFUNCTION("""COMPUTED_VALUE"""),"Действителен до 01.10.2023")</f>
        <v>Действителен до 01.10.2023</v>
      </c>
      <c r="D391" s="8" t="str">
        <f ca="1">IFERROR(__xludf.DUMMYFUNCTION("""COMPUTED_VALUE"""),"1809TNI1905")</f>
        <v>1809TNI1905</v>
      </c>
      <c r="E391" s="1" t="str">
        <f ca="1">IFERROR(__xludf.DUMMYFUNCTION("""COMPUTED_VALUE"""),"годен до 09.2023")</f>
        <v>годен до 09.2023</v>
      </c>
      <c r="F391" s="1" t="str">
        <f ca="1">IFERROR(__xludf.DUMMYFUNCTION("""COMPUTED_VALUE"""),"Mister Ben Ультратонкие № 3 Презервативы латексные - 1809TNI1905")</f>
        <v>Mister Ben Ультратонкие № 3 Презервативы латексные - 1809TNI1905</v>
      </c>
      <c r="G391" s="1" t="str">
        <f ca="1">IFERROR(__xludf.DUMMYFUNCTION("""COMPUTED_VALUE"""),"KZ.7700.02.01.00583078 / Действителен до 01.10.2023 / 1809TNI1905 / годен до 09.2023")</f>
        <v>KZ.7700.02.01.00583078 / Действителен до 01.10.2023 / 1809TNI1905 / годен до 09.2023</v>
      </c>
      <c r="H391" s="1" t="str">
        <f ca="1">IFERROR(__xludf.DUMMYFUNCTION("""COMPUTED_VALUE"""),"Mister Ben Ультратонкие № 3 Презервативы латексные KZ.7700.02.01.00583078 / Действителен до 01.10.2023 / 1809TNI1905 / годен до 09.2023")</f>
        <v>Mister Ben Ультратонкие № 3 Презервативы латексные KZ.7700.02.01.00583078 / Действителен до 01.10.2023 / 1809TNI1905 / годен до 09.2023</v>
      </c>
    </row>
    <row r="392" spans="1:8" ht="12.75" x14ac:dyDescent="0.2">
      <c r="A392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392" s="1" t="str">
        <f ca="1">IFERROR(__xludf.DUMMYFUNCTION("""COMPUTED_VALUE"""),"KZ.7700.02.01.00583099")</f>
        <v>KZ.7700.02.01.00583099</v>
      </c>
      <c r="C392" s="1" t="str">
        <f ca="1">IFERROR(__xludf.DUMMYFUNCTION("""COMPUTED_VALUE"""),"Действителен до 01.10.2023")</f>
        <v>Действителен до 01.10.2023</v>
      </c>
      <c r="D392" s="8" t="str">
        <f ca="1">IFERROR(__xludf.DUMMYFUNCTION("""COMPUTED_VALUE"""),"1805CPR1838")</f>
        <v>1805CPR1838</v>
      </c>
      <c r="E392" s="1" t="str">
        <f ca="1">IFERROR(__xludf.DUMMYFUNCTION("""COMPUTED_VALUE"""),"годен до 05.2023")</f>
        <v>годен до 05.2023</v>
      </c>
      <c r="F392" s="1" t="str">
        <f ca="1">IFERROR(__xludf.DUMMYFUNCTION("""COMPUTED_VALUE"""),"Mister Ben Ультратонкие № 3 Презервативы латексные - 1805CPR1838")</f>
        <v>Mister Ben Ультратонкие № 3 Презервативы латексные - 1805CPR1838</v>
      </c>
      <c r="G392" s="1" t="str">
        <f ca="1">IFERROR(__xludf.DUMMYFUNCTION("""COMPUTED_VALUE"""),"KZ.7700.02.01.00583099 / Действителен до 01.10.2023 / 1805CPR1838 / годен до 05.2023")</f>
        <v>KZ.7700.02.01.00583099 / Действителен до 01.10.2023 / 1805CPR1838 / годен до 05.2023</v>
      </c>
      <c r="H392" s="1" t="str">
        <f ca="1">IFERROR(__xludf.DUMMYFUNCTION("""COMPUTED_VALUE"""),"Mister Ben Ультратонкие № 3 Презервативы латексные KZ.7700.02.01.00583099 / Действителен до 01.10.2023 / 1805CPR1838 / годен до 05.2023")</f>
        <v>Mister Ben Ультратонкие № 3 Презервативы латексные KZ.7700.02.01.00583099 / Действителен до 01.10.2023 / 1805CPR1838 / годен до 05.2023</v>
      </c>
    </row>
    <row r="393" spans="1:8" ht="12.75" x14ac:dyDescent="0.2">
      <c r="A393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393" s="1" t="str">
        <f ca="1">IFERROR(__xludf.DUMMYFUNCTION("""COMPUTED_VALUE"""),"KZ.7700.02.01.00583105")</f>
        <v>KZ.7700.02.01.00583105</v>
      </c>
      <c r="C393" s="1" t="str">
        <f ca="1">IFERROR(__xludf.DUMMYFUNCTION("""COMPUTED_VALUE"""),"Действителен до 01.01.2023")</f>
        <v>Действителен до 01.01.2023</v>
      </c>
      <c r="D393" s="8" t="str">
        <f ca="1">IFERROR(__xludf.DUMMYFUNCTION("""COMPUTED_VALUE"""),"1809TNI1904")</f>
        <v>1809TNI1904</v>
      </c>
      <c r="E393" s="1" t="str">
        <f ca="1">IFERROR(__xludf.DUMMYFUNCTION("""COMPUTED_VALUE"""),"годен до 09.2023")</f>
        <v>годен до 09.2023</v>
      </c>
      <c r="F393" s="1" t="str">
        <f ca="1">IFERROR(__xludf.DUMMYFUNCTION("""COMPUTED_VALUE"""),"Mister Ben Ультратонкие № 3 Презервативы латексные - 1809TNI1904")</f>
        <v>Mister Ben Ультратонкие № 3 Презервативы латексные - 1809TNI1904</v>
      </c>
      <c r="G393" s="1" t="str">
        <f ca="1">IFERROR(__xludf.DUMMYFUNCTION("""COMPUTED_VALUE"""),"KZ.7700.02.01.00583105 / Действителен до 01.01.2023 / 1809TNI1904 / годен до 09.2023")</f>
        <v>KZ.7700.02.01.00583105 / Действителен до 01.01.2023 / 1809TNI1904 / годен до 09.2023</v>
      </c>
      <c r="H393" s="1" t="str">
        <f ca="1">IFERROR(__xludf.DUMMYFUNCTION("""COMPUTED_VALUE"""),"Mister Ben Ультратонкие № 3 Презервативы латексные KZ.7700.02.01.00583105 / Действителен до 01.01.2023 / 1809TNI1904 / годен до 09.2023")</f>
        <v>Mister Ben Ультратонкие № 3 Презервативы латексные KZ.7700.02.01.00583105 / Действителен до 01.01.2023 / 1809TNI1904 / годен до 09.2023</v>
      </c>
    </row>
    <row r="394" spans="1:8" ht="12.75" x14ac:dyDescent="0.2">
      <c r="A394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394" s="1" t="str">
        <f ca="1">IFERROR(__xludf.DUMMYFUNCTION("""COMPUTED_VALUE"""),"KZ.7700.02.01.00548240")</f>
        <v>KZ.7700.02.01.00548240</v>
      </c>
      <c r="C394" s="1" t="str">
        <f ca="1">IFERROR(__xludf.DUMMYFUNCTION("""COMPUTED_VALUE"""),"Действителен до 01.07.2023")</f>
        <v>Действителен до 01.07.2023</v>
      </c>
      <c r="D394" s="8" t="str">
        <f ca="1">IFERROR(__xludf.DUMMYFUNCTION("""COMPUTED_VALUE"""),"1806CPR1841")</f>
        <v>1806CPR1841</v>
      </c>
      <c r="E394" s="1" t="str">
        <f ca="1">IFERROR(__xludf.DUMMYFUNCTION("""COMPUTED_VALUE"""),"годен до 06.2023")</f>
        <v>годен до 06.2023</v>
      </c>
      <c r="F394" s="1" t="str">
        <f ca="1">IFERROR(__xludf.DUMMYFUNCTION("""COMPUTED_VALUE"""),"DOLPHI анатомические ультратонкие Презервативы латексные, № 3 - 1806CPR1841")</f>
        <v>DOLPHI анатомические ультратонкие Презервативы латексные, № 3 - 1806CPR1841</v>
      </c>
      <c r="G394" s="1" t="str">
        <f ca="1">IFERROR(__xludf.DUMMYFUNCTION("""COMPUTED_VALUE"""),"KZ.7700.02.01.00548240 / Действителен до 01.07.2023 / 1806CPR1841 / годен до 06.2023")</f>
        <v>KZ.7700.02.01.00548240 / Действителен до 01.07.2023 / 1806CPR1841 / годен до 06.2023</v>
      </c>
      <c r="H394" s="1" t="str">
        <f ca="1">IFERROR(__xludf.DUMMYFUNCTION("""COMPUTED_VALUE"""),"DOLPHI анатомические ультратонкие Презервативы латексные, № 3 KZ.7700.02.01.00548240 / Действителен до 01.07.2023 / 1806CPR1841 / годен до 06.2023")</f>
        <v>DOLPHI анатомические ультратонкие Презервативы латексные, № 3 KZ.7700.02.01.00548240 / Действителен до 01.07.2023 / 1806CPR1841 / годен до 06.2023</v>
      </c>
    </row>
    <row r="395" spans="1:8" ht="12.75" x14ac:dyDescent="0.2">
      <c r="A395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395" s="1" t="str">
        <f ca="1">IFERROR(__xludf.DUMMYFUNCTION("""COMPUTED_VALUE"""),"KZ.7700.02.01.00548241")</f>
        <v>KZ.7700.02.01.00548241</v>
      </c>
      <c r="C395" s="1" t="str">
        <f ca="1">IFERROR(__xludf.DUMMYFUNCTION("""COMPUTED_VALUE"""),"Действителен до 01.07.2023")</f>
        <v>Действителен до 01.07.2023</v>
      </c>
      <c r="D395" s="8" t="str">
        <f ca="1">IFERROR(__xludf.DUMMYFUNCTION("""COMPUTED_VALUE"""),"1806CPR1841")</f>
        <v>1806CPR1841</v>
      </c>
      <c r="E395" s="1" t="str">
        <f ca="1">IFERROR(__xludf.DUMMYFUNCTION("""COMPUTED_VALUE"""),"годен до 06.2023")</f>
        <v>годен до 06.2023</v>
      </c>
      <c r="F395" s="1" t="str">
        <f ca="1">IFERROR(__xludf.DUMMYFUNCTION("""COMPUTED_VALUE"""),"DOLPHI анатомические ультратонкие, №12 Презервативы латексные - 1806CPR1841")</f>
        <v>DOLPHI анатомические ультратонкие, №12 Презервативы латексные - 1806CPR1841</v>
      </c>
      <c r="G395" s="1" t="str">
        <f ca="1">IFERROR(__xludf.DUMMYFUNCTION("""COMPUTED_VALUE"""),"KZ.7700.02.01.00548241 / Действителен до 01.07.2023 / 1806CPR1841 / годен до 06.2023")</f>
        <v>KZ.7700.02.01.00548241 / Действителен до 01.07.2023 / 1806CPR1841 / годен до 06.2023</v>
      </c>
      <c r="H395" s="1" t="str">
        <f ca="1">IFERROR(__xludf.DUMMYFUNCTION("""COMPUTED_VALUE"""),"DOLPHI анатомические ультратонкие, №12 Презервативы латексные KZ.7700.02.01.00548241 / Действителен до 01.07.2023 / 1806CPR1841 / годен до 06.2023")</f>
        <v>DOLPHI анатомические ультратонкие, №12 Презервативы латексные KZ.7700.02.01.00548241 / Действителен до 01.07.2023 / 1806CPR1841 / годен до 06.2023</v>
      </c>
    </row>
    <row r="396" spans="1:8" ht="12.75" x14ac:dyDescent="0.2">
      <c r="A396" s="1" t="str">
        <f ca="1">IFERROR(__xludf.DUMMYFUNCTION("""COMPUTED_VALUE"""),"DOLPHI 3 в 1 №3 Презервативы латексные")</f>
        <v>DOLPHI 3 в 1 №3 Презервативы латексные</v>
      </c>
      <c r="B396" s="1" t="str">
        <f ca="1">IFERROR(__xludf.DUMMYFUNCTION("""COMPUTED_VALUE"""),"KZ.7700.02.01.00548236")</f>
        <v>KZ.7700.02.01.00548236</v>
      </c>
      <c r="C396" s="1" t="str">
        <f ca="1">IFERROR(__xludf.DUMMYFUNCTION("""COMPUTED_VALUE"""),"Действителен до 01.11.2023")</f>
        <v>Действителен до 01.11.2023</v>
      </c>
      <c r="D396" s="8" t="str">
        <f ca="1">IFERROR(__xludf.DUMMYFUNCTION("""COMPUTED_VALUE"""),"1810TNI1942")</f>
        <v>1810TNI1942</v>
      </c>
      <c r="E396" s="1" t="str">
        <f ca="1">IFERROR(__xludf.DUMMYFUNCTION("""COMPUTED_VALUE"""),"годен до 10.2023")</f>
        <v>годен до 10.2023</v>
      </c>
      <c r="F396" s="1" t="str">
        <f ca="1">IFERROR(__xludf.DUMMYFUNCTION("""COMPUTED_VALUE"""),"DOLPHI 3 в 1 №3 Презервативы латексные - 1810TNI1942")</f>
        <v>DOLPHI 3 в 1 №3 Презервативы латексные - 1810TNI1942</v>
      </c>
      <c r="G396" s="1" t="str">
        <f ca="1">IFERROR(__xludf.DUMMYFUNCTION("""COMPUTED_VALUE"""),"KZ.7700.02.01.00548236 / Действителен до 01.11.2023 / 1810TNI1942 / годен до 10.2023")</f>
        <v>KZ.7700.02.01.00548236 / Действителен до 01.11.2023 / 1810TNI1942 / годен до 10.2023</v>
      </c>
      <c r="H396" s="1" t="str">
        <f ca="1">IFERROR(__xludf.DUMMYFUNCTION("""COMPUTED_VALUE"""),"DOLPHI 3 в 1 №3 Презервативы латексные KZ.7700.02.01.00548236 / Действителен до 01.11.2023 / 1810TNI1942 / годен до 10.2023")</f>
        <v>DOLPHI 3 в 1 №3 Презервативы латексные KZ.7700.02.01.00548236 / Действителен до 01.11.2023 / 1810TNI1942 / годен до 10.2023</v>
      </c>
    </row>
    <row r="397" spans="1:8" ht="12.75" x14ac:dyDescent="0.2">
      <c r="A397" s="1" t="str">
        <f ca="1">IFERROR(__xludf.DUMMYFUNCTION("""COMPUTED_VALUE"""),"DOLPHI 3 в 1 №12 Презервативы латексные")</f>
        <v>DOLPHI 3 в 1 №12 Презервативы латексные</v>
      </c>
      <c r="B397" s="1" t="str">
        <f ca="1">IFERROR(__xludf.DUMMYFUNCTION("""COMPUTED_VALUE"""),"KZ.7700.02.01.00548237")</f>
        <v>KZ.7700.02.01.00548237</v>
      </c>
      <c r="C397" s="1" t="str">
        <f ca="1">IFERROR(__xludf.DUMMYFUNCTION("""COMPUTED_VALUE"""),"Действителен до 01.11.2023")</f>
        <v>Действителен до 01.11.2023</v>
      </c>
      <c r="D397" s="8" t="str">
        <f ca="1">IFERROR(__xludf.DUMMYFUNCTION("""COMPUTED_VALUE"""),"1810TNI1942")</f>
        <v>1810TNI1942</v>
      </c>
      <c r="E397" s="1" t="str">
        <f ca="1">IFERROR(__xludf.DUMMYFUNCTION("""COMPUTED_VALUE"""),"годен до 10.2023")</f>
        <v>годен до 10.2023</v>
      </c>
      <c r="F397" s="1" t="str">
        <f ca="1">IFERROR(__xludf.DUMMYFUNCTION("""COMPUTED_VALUE"""),"DOLPHI 3 в 1 №12 Презервативы латексные - 1810TNI1942")</f>
        <v>DOLPHI 3 в 1 №12 Презервативы латексные - 1810TNI1942</v>
      </c>
      <c r="G397" s="1" t="str">
        <f ca="1">IFERROR(__xludf.DUMMYFUNCTION("""COMPUTED_VALUE"""),"KZ.7700.02.01.00548237 / Действителен до 01.11.2023 / 1810TNI1942 / годен до 10.2023")</f>
        <v>KZ.7700.02.01.00548237 / Действителен до 01.11.2023 / 1810TNI1942 / годен до 10.2023</v>
      </c>
      <c r="H397" s="1" t="str">
        <f ca="1">IFERROR(__xludf.DUMMYFUNCTION("""COMPUTED_VALUE"""),"DOLPHI 3 в 1 №12 Презервативы латексные KZ.7700.02.01.00548237 / Действителен до 01.11.2023 / 1810TNI1942 / годен до 10.2023")</f>
        <v>DOLPHI 3 в 1 №12 Презервативы латексные KZ.7700.02.01.00548237 / Действителен до 01.11.2023 / 1810TNI1942 / годен до 10.2023</v>
      </c>
    </row>
    <row r="398" spans="1:8" ht="12.75" x14ac:dyDescent="0.2">
      <c r="A398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398" s="1" t="str">
        <f ca="1">IFERROR(__xludf.DUMMYFUNCTION("""COMPUTED_VALUE"""),"KZ.7700.02.01.00548234")</f>
        <v>KZ.7700.02.01.00548234</v>
      </c>
      <c r="C398" s="1" t="str">
        <f ca="1">IFERROR(__xludf.DUMMYFUNCTION("""COMPUTED_VALUE"""),"Действителен до 01.10.2023")</f>
        <v>Действителен до 01.10.2023</v>
      </c>
      <c r="D398" s="8" t="str">
        <f ca="1">IFERROR(__xludf.DUMMYFUNCTION("""COMPUTED_VALUE"""),"1809TNI1900")</f>
        <v>1809TNI1900</v>
      </c>
      <c r="E398" s="1" t="str">
        <f ca="1">IFERROR(__xludf.DUMMYFUNCTION("""COMPUTED_VALUE"""),"годен до 09.2023")</f>
        <v>годен до 09.2023</v>
      </c>
      <c r="F398" s="1" t="str">
        <f ca="1">IFERROR(__xludf.DUMMYFUNCTION("""COMPUTED_VALUE"""),"DOLPHI классические, №12 Презервативы латексные - 1809TNI1900")</f>
        <v>DOLPHI классические, №12 Презервативы латексные - 1809TNI1900</v>
      </c>
      <c r="G398" s="1" t="str">
        <f ca="1">IFERROR(__xludf.DUMMYFUNCTION("""COMPUTED_VALUE"""),"KZ.7700.02.01.00548234 / Действителен до 01.10.2023 / 1809TNI1900 / годен до 09.2023")</f>
        <v>KZ.7700.02.01.00548234 / Действителен до 01.10.2023 / 1809TNI1900 / годен до 09.2023</v>
      </c>
      <c r="H398" s="1" t="str">
        <f ca="1">IFERROR(__xludf.DUMMYFUNCTION("""COMPUTED_VALUE"""),"DOLPHI классические, №12 Презервативы латексные KZ.7700.02.01.00548234 / Действителен до 01.10.2023 / 1809TNI1900 / годен до 09.2023")</f>
        <v>DOLPHI классические, №12 Презервативы латексные KZ.7700.02.01.00548234 / Действителен до 01.10.2023 / 1809TNI1900 / годен до 09.2023</v>
      </c>
    </row>
    <row r="399" spans="1:8" ht="12.75" x14ac:dyDescent="0.2">
      <c r="A399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399" s="1" t="str">
        <f ca="1">IFERROR(__xludf.DUMMYFUNCTION("""COMPUTED_VALUE"""),"KZ.7700.02.01.00548235")</f>
        <v>KZ.7700.02.01.00548235</v>
      </c>
      <c r="C399" s="1" t="str">
        <f ca="1">IFERROR(__xludf.DUMMYFUNCTION("""COMPUTED_VALUE"""),"Действителен до 01.12.2023")</f>
        <v>Действителен до 01.12.2023</v>
      </c>
      <c r="D399" s="8" t="str">
        <f ca="1">IFERROR(__xludf.DUMMYFUNCTION("""COMPUTED_VALUE"""),"1811TNI1902")</f>
        <v>1811TNI1902</v>
      </c>
      <c r="E399" s="1" t="str">
        <f ca="1">IFERROR(__xludf.DUMMYFUNCTION("""COMPUTED_VALUE"""),"годен до 11.2023")</f>
        <v>годен до 11.2023</v>
      </c>
      <c r="F399" s="1" t="str">
        <f ca="1">IFERROR(__xludf.DUMMYFUNCTION("""COMPUTED_VALUE"""),"DOLPHI Класические №3 Презервативы латексные - 1811TNI1902")</f>
        <v>DOLPHI Класические №3 Презервативы латексные - 1811TNI1902</v>
      </c>
      <c r="G399" s="1" t="str">
        <f ca="1">IFERROR(__xludf.DUMMYFUNCTION("""COMPUTED_VALUE"""),"KZ.7700.02.01.00548235 / Действителен до 01.12.2023 / 1811TNI1902 / годен до 11.2023")</f>
        <v>KZ.7700.02.01.00548235 / Действителен до 01.12.2023 / 1811TNI1902 / годен до 11.2023</v>
      </c>
      <c r="H399" s="1" t="str">
        <f ca="1">IFERROR(__xludf.DUMMYFUNCTION("""COMPUTED_VALUE"""),"DOLPHI Класические №3 Презервативы латексные KZ.7700.02.01.00548235 / Действителен до 01.12.2023 / 1811TNI1902 / годен до 11.2023")</f>
        <v>DOLPHI Класические №3 Презервативы латексные KZ.7700.02.01.00548235 / Действителен до 01.12.2023 / 1811TNI1902 / годен до 11.2023</v>
      </c>
    </row>
    <row r="400" spans="1:8" ht="12.75" x14ac:dyDescent="0.2">
      <c r="A400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00" s="1" t="str">
        <f ca="1">IFERROR(__xludf.DUMMYFUNCTION("""COMPUTED_VALUE"""),"KZ.7700.02.01.00548238")</f>
        <v>KZ.7700.02.01.00548238</v>
      </c>
      <c r="C400" s="1" t="str">
        <f ca="1">IFERROR(__xludf.DUMMYFUNCTION("""COMPUTED_VALUE"""),"Действителен до 01.01.2024")</f>
        <v>Действителен до 01.01.2024</v>
      </c>
      <c r="D400" s="8" t="str">
        <f ca="1">IFERROR(__xludf.DUMMYFUNCTION("""COMPUTED_VALUE"""),"1812TNI1939")</f>
        <v>1812TNI1939</v>
      </c>
      <c r="E400" s="1" t="str">
        <f ca="1">IFERROR(__xludf.DUMMYFUNCTION("""COMPUTED_VALUE"""),"годен до 12.2023")</f>
        <v>годен до 12.2023</v>
      </c>
      <c r="F400" s="1" t="str">
        <f ca="1">IFERROR(__xludf.DUMMYFUNCTION("""COMPUTED_VALUE"""),"DOLPHI ультратонкие №3 Презервативы латескные - 1812TNI1939")</f>
        <v>DOLPHI ультратонкие №3 Презервативы латескные - 1812TNI1939</v>
      </c>
      <c r="G400" s="1" t="str">
        <f ca="1">IFERROR(__xludf.DUMMYFUNCTION("""COMPUTED_VALUE"""),"KZ.7700.02.01.00548238 / Действителен до 01.01.2024 / 1812TNI1939 / годен до 12.2023")</f>
        <v>KZ.7700.02.01.00548238 / Действителен до 01.01.2024 / 1812TNI1939 / годен до 12.2023</v>
      </c>
      <c r="H400" s="1" t="str">
        <f ca="1">IFERROR(__xludf.DUMMYFUNCTION("""COMPUTED_VALUE"""),"DOLPHI ультратонкие №3 Презервативы латескные KZ.7700.02.01.00548238 / Действителен до 01.01.2024 / 1812TNI1939 / годен до 12.2023")</f>
        <v>DOLPHI ультратонкие №3 Презервативы латескные KZ.7700.02.01.00548238 / Действителен до 01.01.2024 / 1812TNI1939 / годен до 12.2023</v>
      </c>
    </row>
    <row r="401" spans="1:8" ht="12.75" x14ac:dyDescent="0.2">
      <c r="A401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01" s="1" t="str">
        <f ca="1">IFERROR(__xludf.DUMMYFUNCTION("""COMPUTED_VALUE"""),"KZ.7700.02.01.00548239")</f>
        <v>KZ.7700.02.01.00548239</v>
      </c>
      <c r="C401" s="1" t="str">
        <f ca="1">IFERROR(__xludf.DUMMYFUNCTION("""COMPUTED_VALUE"""),"Действителен до 01.01.2024")</f>
        <v>Действителен до 01.01.2024</v>
      </c>
      <c r="D401" s="8" t="str">
        <f ca="1">IFERROR(__xludf.DUMMYFUNCTION("""COMPUTED_VALUE"""),"1812TNI1939")</f>
        <v>1812TNI1939</v>
      </c>
      <c r="E401" s="1" t="str">
        <f ca="1">IFERROR(__xludf.DUMMYFUNCTION("""COMPUTED_VALUE"""),"годен до 12.2023")</f>
        <v>годен до 12.2023</v>
      </c>
      <c r="F401" s="1" t="str">
        <f ca="1">IFERROR(__xludf.DUMMYFUNCTION("""COMPUTED_VALUE"""),"DOLPHI ультратонкие №12 Презервативы латексные - 1812TNI1939")</f>
        <v>DOLPHI ультратонкие №12 Презервативы латексные - 1812TNI1939</v>
      </c>
      <c r="G401" s="1" t="str">
        <f ca="1">IFERROR(__xludf.DUMMYFUNCTION("""COMPUTED_VALUE"""),"KZ.7700.02.01.00548239 / Действителен до 01.01.2024 / 1812TNI1939 / годен до 12.2023")</f>
        <v>KZ.7700.02.01.00548239 / Действителен до 01.01.2024 / 1812TNI1939 / годен до 12.2023</v>
      </c>
      <c r="H401" s="1" t="str">
        <f ca="1">IFERROR(__xludf.DUMMYFUNCTION("""COMPUTED_VALUE"""),"DOLPHI ультратонкие №12 Презервативы латексные KZ.7700.02.01.00548239 / Действителен до 01.01.2024 / 1812TNI1939 / годен до 12.2023")</f>
        <v>DOLPHI ультратонкие №12 Презервативы латексные KZ.7700.02.01.00548239 / Действителен до 01.01.2024 / 1812TNI1939 / годен до 12.2023</v>
      </c>
    </row>
    <row r="402" spans="1:8" ht="12.75" x14ac:dyDescent="0.2">
      <c r="A402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402" s="1" t="str">
        <f ca="1">IFERROR(__xludf.DUMMYFUNCTION("""COMPUTED_VALUE"""),"KZ.7700.02.01.00548246")</f>
        <v>KZ.7700.02.01.00548246</v>
      </c>
      <c r="C402" s="1" t="str">
        <f ca="1">IFERROR(__xludf.DUMMYFUNCTION("""COMPUTED_VALUE"""),"Действителен до 01.12.2023")</f>
        <v>Действителен до 01.12.2023</v>
      </c>
      <c r="D402" s="8" t="str">
        <f ca="1">IFERROR(__xludf.DUMMYFUNCTION("""COMPUTED_VALUE"""),"1811TNI1902")</f>
        <v>1811TNI1902</v>
      </c>
      <c r="E402" s="1" t="str">
        <f ca="1">IFERROR(__xludf.DUMMYFUNCTION("""COMPUTED_VALUE"""),"годен до 11.2023")</f>
        <v>годен до 11.2023</v>
      </c>
      <c r="F402" s="1" t="str">
        <f ca="1">IFERROR(__xludf.DUMMYFUNCTION("""COMPUTED_VALUE"""),"Sexxxy классические №3 Презервативы латексные - 1811TNI1902")</f>
        <v>Sexxxy классические №3 Презервативы латексные - 1811TNI1902</v>
      </c>
      <c r="G402" s="1" t="str">
        <f ca="1">IFERROR(__xludf.DUMMYFUNCTION("""COMPUTED_VALUE"""),"KZ.7700.02.01.00548246 / Действителен до 01.12.2023 / 1811TNI1902 / годен до 11.2023")</f>
        <v>KZ.7700.02.01.00548246 / Действителен до 01.12.2023 / 1811TNI1902 / годен до 11.2023</v>
      </c>
      <c r="H402" s="1" t="str">
        <f ca="1">IFERROR(__xludf.DUMMYFUNCTION("""COMPUTED_VALUE"""),"Sexxxy классические №3 Презервативы латексные KZ.7700.02.01.00548246 / Действителен до 01.12.2023 / 1811TNI1902 / годен до 11.2023")</f>
        <v>Sexxxy классические №3 Презервативы латексные KZ.7700.02.01.00548246 / Действителен до 01.12.2023 / 1811TNI1902 / годен до 11.2023</v>
      </c>
    </row>
    <row r="403" spans="1:8" ht="12.75" x14ac:dyDescent="0.2">
      <c r="A403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403" s="1" t="str">
        <f ca="1">IFERROR(__xludf.DUMMYFUNCTION("""COMPUTED_VALUE"""),"KZ.7700.02.01.00548247")</f>
        <v>KZ.7700.02.01.00548247</v>
      </c>
      <c r="C403" s="1" t="str">
        <f ca="1">IFERROR(__xludf.DUMMYFUNCTION("""COMPUTED_VALUE"""),"Действителен до 01.11.2023")</f>
        <v>Действителен до 01.11.2023</v>
      </c>
      <c r="D403" s="8" t="str">
        <f ca="1">IFERROR(__xludf.DUMMYFUNCTION("""COMPUTED_VALUE"""),"1810TNI1901")</f>
        <v>1810TNI1901</v>
      </c>
      <c r="E403" s="1" t="str">
        <f ca="1">IFERROR(__xludf.DUMMYFUNCTION("""COMPUTED_VALUE"""),"годен до 10.2023")</f>
        <v>годен до 10.2023</v>
      </c>
      <c r="F403" s="1" t="str">
        <f ca="1">IFERROR(__xludf.DUMMYFUNCTION("""COMPUTED_VALUE"""),"Mister Ben классические № 3 Презервативы латексные - 1810TNI1901")</f>
        <v>Mister Ben классические № 3 Презервативы латексные - 1810TNI1901</v>
      </c>
      <c r="G403" s="1" t="str">
        <f ca="1">IFERROR(__xludf.DUMMYFUNCTION("""COMPUTED_VALUE"""),"KZ.7700.02.01.00548247 / Действителен до 01.11.2023 / 1810TNI1901 / годен до 10.2023")</f>
        <v>KZ.7700.02.01.00548247 / Действителен до 01.11.2023 / 1810TNI1901 / годен до 10.2023</v>
      </c>
      <c r="H403" s="1" t="str">
        <f ca="1">IFERROR(__xludf.DUMMYFUNCTION("""COMPUTED_VALUE"""),"Mister Ben классические № 3 Презервативы латексные KZ.7700.02.01.00548247 / Действителен до 01.11.2023 / 1810TNI1901 / годен до 10.2023")</f>
        <v>Mister Ben классические № 3 Презервативы латексные KZ.7700.02.01.00548247 / Действителен до 01.11.2023 / 1810TNI1901 / годен до 10.2023</v>
      </c>
    </row>
    <row r="404" spans="1:8" ht="12.75" x14ac:dyDescent="0.2">
      <c r="A404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404" s="1" t="str">
        <f ca="1">IFERROR(__xludf.DUMMYFUNCTION("""COMPUTED_VALUE"""),"KZ.7700.02.01.00548245")</f>
        <v>KZ.7700.02.01.00548245</v>
      </c>
      <c r="C404" s="1" t="str">
        <f ca="1">IFERROR(__xludf.DUMMYFUNCTION("""COMPUTED_VALUE"""),"Действителен до 01.11.2023")</f>
        <v>Действителен до 01.11.2023</v>
      </c>
      <c r="D404" s="8" t="str">
        <f ca="1">IFERROR(__xludf.DUMMYFUNCTION("""COMPUTED_VALUE"""),"1810TNI1773")</f>
        <v>1810TNI1773</v>
      </c>
      <c r="E404" s="1" t="str">
        <f ca="1">IFERROR(__xludf.DUMMYFUNCTION("""COMPUTED_VALUE"""),"годен до 10.2023")</f>
        <v>годен до 10.2023</v>
      </c>
      <c r="F404" s="1" t="str">
        <f ca="1">IFERROR(__xludf.DUMMYFUNCTION("""COMPUTED_VALUE"""),"Mister Ben Ребристые № 3 Презервативы латексные - 1810TNI1773")</f>
        <v>Mister Ben Ребристые № 3 Презервативы латексные - 1810TNI1773</v>
      </c>
      <c r="G404" s="1" t="str">
        <f ca="1">IFERROR(__xludf.DUMMYFUNCTION("""COMPUTED_VALUE"""),"KZ.7700.02.01.00548245 / Действителен до 01.11.2023 / 1810TNI1773 / годен до 10.2023")</f>
        <v>KZ.7700.02.01.00548245 / Действителен до 01.11.2023 / 1810TNI1773 / годен до 10.2023</v>
      </c>
      <c r="H404" s="1" t="str">
        <f ca="1">IFERROR(__xludf.DUMMYFUNCTION("""COMPUTED_VALUE"""),"Mister Ben Ребристые № 3 Презервативы латексные KZ.7700.02.01.00548245 / Действителен до 01.11.2023 / 1810TNI1773 / годен до 10.2023")</f>
        <v>Mister Ben Ребристые № 3 Презервативы латексные KZ.7700.02.01.00548245 / Действителен до 01.11.2023 / 1810TNI1773 / годен до 10.2023</v>
      </c>
    </row>
    <row r="405" spans="1:8" ht="12.75" x14ac:dyDescent="0.2">
      <c r="A405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405" s="1" t="str">
        <f ca="1">IFERROR(__xludf.DUMMYFUNCTION("""COMPUTED_VALUE"""),"KZ.7700.02.01.00548244")</f>
        <v>KZ.7700.02.01.00548244</v>
      </c>
      <c r="C405" s="1" t="str">
        <f ca="1">IFERROR(__xludf.DUMMYFUNCTION("""COMPUTED_VALUE"""),"Действителен до 01.10.2023")</f>
        <v>Действителен до 01.10.2023</v>
      </c>
      <c r="D405" s="8" t="str">
        <f ca="1">IFERROR(__xludf.DUMMYFUNCTION("""COMPUTED_VALUE"""),"1810CPR1717")</f>
        <v>1810CPR1717</v>
      </c>
      <c r="E405" s="1" t="str">
        <f ca="1">IFERROR(__xludf.DUMMYFUNCTION("""COMPUTED_VALUE"""),"годен до 10.2023")</f>
        <v>годен до 10.2023</v>
      </c>
      <c r="F405" s="1" t="str">
        <f ca="1">IFERROR(__xludf.DUMMYFUNCTION("""COMPUTED_VALUE"""),"Mister Ben С точечной структурой № 3 Презервативы латексные - 1810CPR1717")</f>
        <v>Mister Ben С точечной структурой № 3 Презервативы латексные - 1810CPR1717</v>
      </c>
      <c r="G405" s="1" t="str">
        <f ca="1">IFERROR(__xludf.DUMMYFUNCTION("""COMPUTED_VALUE"""),"KZ.7700.02.01.00548244 / Действителен до 01.10.2023 / 1810CPR1717 / годен до 10.2023")</f>
        <v>KZ.7700.02.01.00548244 / Действителен до 01.10.2023 / 1810CPR1717 / годен до 10.2023</v>
      </c>
      <c r="H405" s="1" t="str">
        <f ca="1">IFERROR(__xludf.DUMMYFUNCTION("""COMPUTED_VALUE"""),"Mister Ben С точечной структурой № 3 Презервативы латексные KZ.7700.02.01.00548244 / Действителен до 01.10.2023 / 1810CPR1717 / годен до 10.2023")</f>
        <v>Mister Ben С точечной структурой № 3 Презервативы латексные KZ.7700.02.01.00548244 / Действителен до 01.10.2023 / 1810CPR1717 / годен до 10.2023</v>
      </c>
    </row>
    <row r="406" spans="1:8" ht="12.75" x14ac:dyDescent="0.2">
      <c r="A406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406" s="1" t="str">
        <f ca="1">IFERROR(__xludf.DUMMYFUNCTION("""COMPUTED_VALUE"""),"KZ.7700.02.01.00548243")</f>
        <v>KZ.7700.02.01.00548243</v>
      </c>
      <c r="C406" s="1" t="str">
        <f ca="1">IFERROR(__xludf.DUMMYFUNCTION("""COMPUTED_VALUE"""),"Действителен до 01.10.2023")</f>
        <v>Действителен до 01.10.2023</v>
      </c>
      <c r="D406" s="8" t="str">
        <f ca="1">IFERROR(__xludf.DUMMYFUNCTION("""COMPUTED_VALUE"""),"1810TNI1907")</f>
        <v>1810TNI1907</v>
      </c>
      <c r="E406" s="1" t="str">
        <f ca="1">IFERROR(__xludf.DUMMYFUNCTION("""COMPUTED_VALUE"""),"годен до 10.2023")</f>
        <v>годен до 10.2023</v>
      </c>
      <c r="F406" s="1" t="str">
        <f ca="1">IFERROR(__xludf.DUMMYFUNCTION("""COMPUTED_VALUE"""),"Mister Ben Ультратонкие № 3 Презервативы латексные - 1810TNI1907")</f>
        <v>Mister Ben Ультратонкие № 3 Презервативы латексные - 1810TNI1907</v>
      </c>
      <c r="G406" s="1" t="str">
        <f ca="1">IFERROR(__xludf.DUMMYFUNCTION("""COMPUTED_VALUE"""),"KZ.7700.02.01.00548243 / Действителен до 01.10.2023 / 1810TNI1907 / годен до 10.2023")</f>
        <v>KZ.7700.02.01.00548243 / Действителен до 01.10.2023 / 1810TNI1907 / годен до 10.2023</v>
      </c>
      <c r="H406" s="1" t="str">
        <f ca="1">IFERROR(__xludf.DUMMYFUNCTION("""COMPUTED_VALUE"""),"Mister Ben Ультратонкие № 3 Презервативы латексные KZ.7700.02.01.00548243 / Действителен до 01.10.2023 / 1810TNI1907 / годен до 10.2023")</f>
        <v>Mister Ben Ультратонкие № 3 Презервативы латексные KZ.7700.02.01.00548243 / Действителен до 01.10.2023 / 1810TNI1907 / годен до 10.2023</v>
      </c>
    </row>
    <row r="407" spans="1:8" ht="12.75" x14ac:dyDescent="0.2">
      <c r="A407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407" s="1" t="str">
        <f ca="1">IFERROR(__xludf.DUMMYFUNCTION("""COMPUTED_VALUE"""),"KZ.7700.02.01.00538435")</f>
        <v>KZ.7700.02.01.00538435</v>
      </c>
      <c r="C407" s="1" t="str">
        <f ca="1">IFERROR(__xludf.DUMMYFUNCTION("""COMPUTED_VALUE"""),"Действителен до 01.10.2023")</f>
        <v>Действителен до 01.10.2023</v>
      </c>
      <c r="D407" s="8" t="str">
        <f ca="1">IFERROR(__xludf.DUMMYFUNCTION("""COMPUTED_VALUE"""),"1809tni1904")</f>
        <v>1809tni1904</v>
      </c>
      <c r="E407" s="1" t="str">
        <f ca="1">IFERROR(__xludf.DUMMYFUNCTION("""COMPUTED_VALUE"""),"годен до 09.2023")</f>
        <v>годен до 09.2023</v>
      </c>
      <c r="F407" s="1" t="str">
        <f ca="1">IFERROR(__xludf.DUMMYFUNCTION("""COMPUTED_VALUE"""),"Mister Ben Ультратонкие № 3 Презервативы латексные - 1809tni1904")</f>
        <v>Mister Ben Ультратонкие № 3 Презервативы латексные - 1809tni1904</v>
      </c>
      <c r="G407" s="1" t="str">
        <f ca="1">IFERROR(__xludf.DUMMYFUNCTION("""COMPUTED_VALUE"""),"KZ.7700.02.01.00538435 / Действителен до 01.10.2023 / 1809tni1904 / годен до 09.2023")</f>
        <v>KZ.7700.02.01.00538435 / Действителен до 01.10.2023 / 1809tni1904 / годен до 09.2023</v>
      </c>
      <c r="H407" s="1" t="str">
        <f ca="1">IFERROR(__xludf.DUMMYFUNCTION("""COMPUTED_VALUE"""),"Mister Ben Ультратонкие № 3 Презервативы латексные KZ.7700.02.01.00538435 / Действителен до 01.10.2023 / 1809tni1904 / годен до 09.2023")</f>
        <v>Mister Ben Ультратонкие № 3 Презервативы латексные KZ.7700.02.01.00538435 / Действителен до 01.10.2023 / 1809tni1904 / годен до 09.2023</v>
      </c>
    </row>
    <row r="408" spans="1:8" ht="12.75" x14ac:dyDescent="0.2">
      <c r="A408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408" s="1" t="str">
        <f ca="1">IFERROR(__xludf.DUMMYFUNCTION("""COMPUTED_VALUE"""),"KZ.7700.02.01.00538476")</f>
        <v>KZ.7700.02.01.00538476</v>
      </c>
      <c r="C408" s="1" t="str">
        <f ca="1">IFERROR(__xludf.DUMMYFUNCTION("""COMPUTED_VALUE"""),"Действителен до 01.10.2023")</f>
        <v>Действителен до 01.10.2023</v>
      </c>
      <c r="D408" s="8" t="str">
        <f ca="1">IFERROR(__xludf.DUMMYFUNCTION("""COMPUTED_VALUE"""),"1809KAR1436")</f>
        <v>1809KAR1436</v>
      </c>
      <c r="E408" s="1" t="str">
        <f ca="1">IFERROR(__xludf.DUMMYFUNCTION("""COMPUTED_VALUE"""),"годен до 09.2023")</f>
        <v>годен до 09.2023</v>
      </c>
      <c r="F408" s="1" t="str">
        <f ca="1">IFERROR(__xludf.DUMMYFUNCTION("""COMPUTED_VALUE"""),"Mister Ben С точечной структурой № 3 Презервативы латексные - 1809KAR1436")</f>
        <v>Mister Ben С точечной структурой № 3 Презервативы латексные - 1809KAR1436</v>
      </c>
      <c r="G408" s="1" t="str">
        <f ca="1">IFERROR(__xludf.DUMMYFUNCTION("""COMPUTED_VALUE"""),"KZ.7700.02.01.00538476 / Действителен до 01.10.2023 / 1809KAR1436 / годен до 09.2023")</f>
        <v>KZ.7700.02.01.00538476 / Действителен до 01.10.2023 / 1809KAR1436 / годен до 09.2023</v>
      </c>
      <c r="H408" s="1" t="str">
        <f ca="1">IFERROR(__xludf.DUMMYFUNCTION("""COMPUTED_VALUE"""),"Mister Ben С точечной структурой № 3 Презервативы латексные KZ.7700.02.01.00538476 / Действителен до 01.10.2023 / 1809KAR1436 / годен до 09.2023")</f>
        <v>Mister Ben С точечной структурой № 3 Презервативы латексные KZ.7700.02.01.00538476 / Действителен до 01.10.2023 / 1809KAR1436 / годен до 09.2023</v>
      </c>
    </row>
    <row r="409" spans="1:8" ht="12.75" x14ac:dyDescent="0.2">
      <c r="A409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409" s="1" t="str">
        <f ca="1">IFERROR(__xludf.DUMMYFUNCTION("""COMPUTED_VALUE"""),"KZ.7700.02.01.00538479")</f>
        <v>KZ.7700.02.01.00538479</v>
      </c>
      <c r="C409" s="1" t="str">
        <f ca="1">IFERROR(__xludf.DUMMYFUNCTION("""COMPUTED_VALUE"""),"Действителен до 01.10.2023")</f>
        <v>Действителен до 01.10.2023</v>
      </c>
      <c r="D409" s="8" t="str">
        <f ca="1">IFERROR(__xludf.DUMMYFUNCTION("""COMPUTED_VALUE"""),"1808CPR1715")</f>
        <v>1808CPR1715</v>
      </c>
      <c r="E409" s="1" t="str">
        <f ca="1">IFERROR(__xludf.DUMMYFUNCTION("""COMPUTED_VALUE"""),"годен до 09.2023")</f>
        <v>годен до 09.2023</v>
      </c>
      <c r="F409" s="1" t="str">
        <f ca="1">IFERROR(__xludf.DUMMYFUNCTION("""COMPUTED_VALUE"""),"Mister Ben Ребристые № 3 Презервативы латексные - 1808CPR1715")</f>
        <v>Mister Ben Ребристые № 3 Презервативы латексные - 1808CPR1715</v>
      </c>
      <c r="G409" s="1" t="str">
        <f ca="1">IFERROR(__xludf.DUMMYFUNCTION("""COMPUTED_VALUE"""),"KZ.7700.02.01.00538479 / Действителен до 01.10.2023 / 1808CPR1715 / годен до 09.2023")</f>
        <v>KZ.7700.02.01.00538479 / Действителен до 01.10.2023 / 1808CPR1715 / годен до 09.2023</v>
      </c>
      <c r="H409" s="1" t="str">
        <f ca="1">IFERROR(__xludf.DUMMYFUNCTION("""COMPUTED_VALUE"""),"Mister Ben Ребристые № 3 Презервативы латексные KZ.7700.02.01.00538479 / Действителен до 01.10.2023 / 1808CPR1715 / годен до 09.2023")</f>
        <v>Mister Ben Ребристые № 3 Презервативы латексные KZ.7700.02.01.00538479 / Действителен до 01.10.2023 / 1808CPR1715 / годен до 09.2023</v>
      </c>
    </row>
    <row r="410" spans="1:8" ht="12.75" x14ac:dyDescent="0.2">
      <c r="A410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410" s="1" t="str">
        <f ca="1">IFERROR(__xludf.DUMMYFUNCTION("""COMPUTED_VALUE"""),"KZ.7700.02.01.00538436")</f>
        <v>KZ.7700.02.01.00538436</v>
      </c>
      <c r="C410" s="1" t="str">
        <f ca="1">IFERROR(__xludf.DUMMYFUNCTION("""COMPUTED_VALUE"""),"Действителен до 01.10.2023")</f>
        <v>Действителен до 01.10.2023</v>
      </c>
      <c r="D410" s="8" t="str">
        <f ca="1">IFERROR(__xludf.DUMMYFUNCTION("""COMPUTED_VALUE"""),"1809tni1900")</f>
        <v>1809tni1900</v>
      </c>
      <c r="E410" s="1" t="str">
        <f ca="1">IFERROR(__xludf.DUMMYFUNCTION("""COMPUTED_VALUE"""),"годен до 09.2023")</f>
        <v>годен до 09.2023</v>
      </c>
      <c r="F410" s="1" t="str">
        <f ca="1">IFERROR(__xludf.DUMMYFUNCTION("""COMPUTED_VALUE"""),"Mister Ben классические № 3 Презервативы латексные - 1809tni1900")</f>
        <v>Mister Ben классические № 3 Презервативы латексные - 1809tni1900</v>
      </c>
      <c r="G410" s="1" t="str">
        <f ca="1">IFERROR(__xludf.DUMMYFUNCTION("""COMPUTED_VALUE"""),"KZ.7700.02.01.00538436 / Действителен до 01.10.2023 / 1809tni1900 / годен до 09.2023")</f>
        <v>KZ.7700.02.01.00538436 / Действителен до 01.10.2023 / 1809tni1900 / годен до 09.2023</v>
      </c>
      <c r="H410" s="1" t="str">
        <f ca="1">IFERROR(__xludf.DUMMYFUNCTION("""COMPUTED_VALUE"""),"Mister Ben классические № 3 Презервативы латексные KZ.7700.02.01.00538436 / Действителен до 01.10.2023 / 1809tni1900 / годен до 09.2023")</f>
        <v>Mister Ben классические № 3 Презервативы латексные KZ.7700.02.01.00538436 / Действителен до 01.10.2023 / 1809tni1900 / годен до 09.2023</v>
      </c>
    </row>
    <row r="411" spans="1:8" ht="12.75" x14ac:dyDescent="0.2">
      <c r="A411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411" s="1" t="str">
        <f ca="1">IFERROR(__xludf.DUMMYFUNCTION("""COMPUTED_VALUE"""),"KZ.7700.02.01.00538436")</f>
        <v>KZ.7700.02.01.00538436</v>
      </c>
      <c r="C411" s="1" t="str">
        <f ca="1">IFERROR(__xludf.DUMMYFUNCTION("""COMPUTED_VALUE"""),"Действителен до 01.10.2023")</f>
        <v>Действителен до 01.10.2023</v>
      </c>
      <c r="D411" s="8" t="str">
        <f ca="1">IFERROR(__xludf.DUMMYFUNCTION("""COMPUTED_VALUE"""),"1809tni1900")</f>
        <v>1809tni1900</v>
      </c>
      <c r="E411" s="1" t="str">
        <f ca="1">IFERROR(__xludf.DUMMYFUNCTION("""COMPUTED_VALUE"""),"годен до 09.2023")</f>
        <v>годен до 09.2023</v>
      </c>
      <c r="F411" s="1" t="str">
        <f ca="1">IFERROR(__xludf.DUMMYFUNCTION("""COMPUTED_VALUE"""),"Sexxxy классические №3 Презервативы латексные - 1809tni1900")</f>
        <v>Sexxxy классические №3 Презервативы латексные - 1809tni1900</v>
      </c>
      <c r="G411" s="1" t="str">
        <f ca="1">IFERROR(__xludf.DUMMYFUNCTION("""COMPUTED_VALUE"""),"KZ.7700.02.01.00538436 / Действителен до 01.10.2023 / 1809tni1900 / годен до 09.2023")</f>
        <v>KZ.7700.02.01.00538436 / Действителен до 01.10.2023 / 1809tni1900 / годен до 09.2023</v>
      </c>
      <c r="H411" s="1" t="str">
        <f ca="1">IFERROR(__xludf.DUMMYFUNCTION("""COMPUTED_VALUE"""),"Sexxxy классические №3 Презервативы латексные KZ.7700.02.01.00538436 / Действителен до 01.10.2023 / 1809tni1900 / годен до 09.2023")</f>
        <v>Sexxxy классические №3 Презервативы латексные KZ.7700.02.01.00538436 / Действителен до 01.10.2023 / 1809tni1900 / годен до 09.2023</v>
      </c>
    </row>
    <row r="412" spans="1:8" ht="12.75" x14ac:dyDescent="0.2">
      <c r="A412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12" s="1" t="str">
        <f ca="1">IFERROR(__xludf.DUMMYFUNCTION("""COMPUTED_VALUE"""),"KZ.7700.02.01.00538455")</f>
        <v>KZ.7700.02.01.00538455</v>
      </c>
      <c r="C412" s="1" t="str">
        <f ca="1">IFERROR(__xludf.DUMMYFUNCTION("""COMPUTED_VALUE"""),"Действителен до 01.07.2023")</f>
        <v>Действителен до 01.07.2023</v>
      </c>
      <c r="D412" s="8" t="str">
        <f ca="1">IFERROR(__xludf.DUMMYFUNCTION("""COMPUTED_VALUE"""),"1806tni1770")</f>
        <v>1806tni1770</v>
      </c>
      <c r="E412" s="1" t="str">
        <f ca="1">IFERROR(__xludf.DUMMYFUNCTION("""COMPUTED_VALUE"""),"годен до 06.2023")</f>
        <v>годен до 06.2023</v>
      </c>
      <c r="F412" s="1" t="str">
        <f ca="1">IFERROR(__xludf.DUMMYFUNCTION("""COMPUTED_VALUE"""),"DOLPHI ультратонкие №3 Презервативы латескные - 1806tni1770")</f>
        <v>DOLPHI ультратонкие №3 Презервативы латескные - 1806tni1770</v>
      </c>
      <c r="G412" s="1" t="str">
        <f ca="1">IFERROR(__xludf.DUMMYFUNCTION("""COMPUTED_VALUE"""),"KZ.7700.02.01.00538455 / Действителен до 01.07.2023 / 1806tni1770 / годен до 06.2023")</f>
        <v>KZ.7700.02.01.00538455 / Действителен до 01.07.2023 / 1806tni1770 / годен до 06.2023</v>
      </c>
      <c r="H412" s="1" t="str">
        <f ca="1">IFERROR(__xludf.DUMMYFUNCTION("""COMPUTED_VALUE"""),"DOLPHI ультратонкие №3 Презервативы латескные KZ.7700.02.01.00538455 / Действителен до 01.07.2023 / 1806tni1770 / годен до 06.2023")</f>
        <v>DOLPHI ультратонкие №3 Презервативы латескные KZ.7700.02.01.00538455 / Действителен до 01.07.2023 / 1806tni1770 / годен до 06.2023</v>
      </c>
    </row>
    <row r="413" spans="1:8" ht="12.75" x14ac:dyDescent="0.2">
      <c r="A413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13" s="1" t="str">
        <f ca="1">IFERROR(__xludf.DUMMYFUNCTION("""COMPUTED_VALUE"""),"KZ.7700.02.01.00538454")</f>
        <v>KZ.7700.02.01.00538454</v>
      </c>
      <c r="C413" s="1" t="str">
        <f ca="1">IFERROR(__xludf.DUMMYFUNCTION("""COMPUTED_VALUE"""),"Действителен до 01.07.2023")</f>
        <v>Действителен до 01.07.2023</v>
      </c>
      <c r="D413" s="8" t="str">
        <f ca="1">IFERROR(__xludf.DUMMYFUNCTION("""COMPUTED_VALUE"""),"1806tni1770")</f>
        <v>1806tni1770</v>
      </c>
      <c r="E413" s="1" t="str">
        <f ca="1">IFERROR(__xludf.DUMMYFUNCTION("""COMPUTED_VALUE"""),"годен до 06.2023")</f>
        <v>годен до 06.2023</v>
      </c>
      <c r="F413" s="1" t="str">
        <f ca="1">IFERROR(__xludf.DUMMYFUNCTION("""COMPUTED_VALUE"""),"DOLPHI ультратонкие №12 Презервативы латексные - 1806tni1770")</f>
        <v>DOLPHI ультратонкие №12 Презервативы латексные - 1806tni1770</v>
      </c>
      <c r="G413" s="1" t="str">
        <f ca="1">IFERROR(__xludf.DUMMYFUNCTION("""COMPUTED_VALUE"""),"KZ.7700.02.01.00538454 / Действителен до 01.07.2023 / 1806tni1770 / годен до 06.2023")</f>
        <v>KZ.7700.02.01.00538454 / Действителен до 01.07.2023 / 1806tni1770 / годен до 06.2023</v>
      </c>
      <c r="H413" s="1" t="str">
        <f ca="1">IFERROR(__xludf.DUMMYFUNCTION("""COMPUTED_VALUE"""),"DOLPHI ультратонкие №12 Презервативы латексные KZ.7700.02.01.00538454 / Действителен до 01.07.2023 / 1806tni1770 / годен до 06.2023")</f>
        <v>DOLPHI ультратонкие №12 Презервативы латексные KZ.7700.02.01.00538454 / Действителен до 01.07.2023 / 1806tni1770 / годен до 06.2023</v>
      </c>
    </row>
    <row r="414" spans="1:8" ht="12.75" x14ac:dyDescent="0.2">
      <c r="A414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414" s="1" t="str">
        <f ca="1">IFERROR(__xludf.DUMMYFUNCTION("""COMPUTED_VALUE"""),"KZ.7700.02.01.00538469")</f>
        <v>KZ.7700.02.01.00538469</v>
      </c>
      <c r="C414" s="1" t="str">
        <f ca="1">IFERROR(__xludf.DUMMYFUNCTION("""COMPUTED_VALUE"""),"Действителен до 01.09.2023")</f>
        <v>Действителен до 01.09.2023</v>
      </c>
      <c r="D414" s="8" t="str">
        <f ca="1">IFERROR(__xludf.DUMMYFUNCTION("""COMPUTED_VALUE"""),"1808CPR1836")</f>
        <v>1808CPR1836</v>
      </c>
      <c r="E414" s="1" t="str">
        <f ca="1">IFERROR(__xludf.DUMMYFUNCTION("""COMPUTED_VALUE"""),"годен до 08.2023")</f>
        <v>годен до 08.2023</v>
      </c>
      <c r="F414" s="1" t="str">
        <f ca="1">IFERROR(__xludf.DUMMYFUNCTION("""COMPUTED_VALUE"""),"DOLPHI Класические №3 Презервативы латексные - 1808CPR1836")</f>
        <v>DOLPHI Класические №3 Презервативы латексные - 1808CPR1836</v>
      </c>
      <c r="G414" s="1" t="str">
        <f ca="1">IFERROR(__xludf.DUMMYFUNCTION("""COMPUTED_VALUE"""),"KZ.7700.02.01.00538469 / Действителен до 01.09.2023 / 1808CPR1836 / годен до 08.2023")</f>
        <v>KZ.7700.02.01.00538469 / Действителен до 01.09.2023 / 1808CPR1836 / годен до 08.2023</v>
      </c>
      <c r="H414" s="1" t="str">
        <f ca="1">IFERROR(__xludf.DUMMYFUNCTION("""COMPUTED_VALUE"""),"DOLPHI Класические №3 Презервативы латексные KZ.7700.02.01.00538469 / Действителен до 01.09.2023 / 1808CPR1836 / годен до 08.2023")</f>
        <v>DOLPHI Класические №3 Презервативы латексные KZ.7700.02.01.00538469 / Действителен до 01.09.2023 / 1808CPR1836 / годен до 08.2023</v>
      </c>
    </row>
    <row r="415" spans="1:8" ht="12.75" x14ac:dyDescent="0.2">
      <c r="A415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415" s="1" t="str">
        <f ca="1">IFERROR(__xludf.DUMMYFUNCTION("""COMPUTED_VALUE"""),"KZ.7700.02.01.00538470")</f>
        <v>KZ.7700.02.01.00538470</v>
      </c>
      <c r="C415" s="1" t="str">
        <f ca="1">IFERROR(__xludf.DUMMYFUNCTION("""COMPUTED_VALUE"""),"Действителен до 01.07.2023")</f>
        <v>Действителен до 01.07.2023</v>
      </c>
      <c r="D415" s="8" t="str">
        <f ca="1">IFERROR(__xludf.DUMMYFUNCTION("""COMPUTED_VALUE"""),"1805CPR1837")</f>
        <v>1805CPR1837</v>
      </c>
      <c r="E415" s="1" t="str">
        <f ca="1">IFERROR(__xludf.DUMMYFUNCTION("""COMPUTED_VALUE"""),"годен до 06.2023")</f>
        <v>годен до 06.2023</v>
      </c>
      <c r="F415" s="1" t="str">
        <f ca="1">IFERROR(__xludf.DUMMYFUNCTION("""COMPUTED_VALUE"""),"DOLPHI классические, №12 Презервативы латексные - 1805CPR1837")</f>
        <v>DOLPHI классические, №12 Презервативы латексные - 1805CPR1837</v>
      </c>
      <c r="G415" s="1" t="str">
        <f ca="1">IFERROR(__xludf.DUMMYFUNCTION("""COMPUTED_VALUE"""),"KZ.7700.02.01.00538470 / Действителен до 01.07.2023 / 1805CPR1837 / годен до 06.2023")</f>
        <v>KZ.7700.02.01.00538470 / Действителен до 01.07.2023 / 1805CPR1837 / годен до 06.2023</v>
      </c>
      <c r="H415" s="1" t="str">
        <f ca="1">IFERROR(__xludf.DUMMYFUNCTION("""COMPUTED_VALUE"""),"DOLPHI классические, №12 Презервативы латексные KZ.7700.02.01.00538470 / Действителен до 01.07.2023 / 1805CPR1837 / годен до 06.2023")</f>
        <v>DOLPHI классические, №12 Презервативы латексные KZ.7700.02.01.00538470 / Действителен до 01.07.2023 / 1805CPR1837 / годен до 06.2023</v>
      </c>
    </row>
    <row r="416" spans="1:8" ht="12.75" x14ac:dyDescent="0.2">
      <c r="A416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16" s="1" t="str">
        <f ca="1">IFERROR(__xludf.DUMMYFUNCTION("""COMPUTED_VALUE"""),"KZ.7700.02.01.00538451")</f>
        <v>KZ.7700.02.01.00538451</v>
      </c>
      <c r="C416" s="1" t="str">
        <f ca="1">IFERROR(__xludf.DUMMYFUNCTION("""COMPUTED_VALUE"""),"Действителен до 01.06.2023")</f>
        <v>Действителен до 01.06.2023</v>
      </c>
      <c r="D416" s="8" t="str">
        <f ca="1">IFERROR(__xludf.DUMMYFUNCTION("""COMPUTED_VALUE"""),"1804CPR1842")</f>
        <v>1804CPR1842</v>
      </c>
      <c r="E416" s="1" t="str">
        <f ca="1">IFERROR(__xludf.DUMMYFUNCTION("""COMPUTED_VALUE"""),"годен до 05.2023")</f>
        <v>годен до 05.2023</v>
      </c>
      <c r="F416" s="1" t="str">
        <f ca="1">IFERROR(__xludf.DUMMYFUNCTION("""COMPUTED_VALUE"""),"DOLPHI анатомические ультратонкие Презервативы латексные, № 3 - 1804CPR1842")</f>
        <v>DOLPHI анатомические ультратонкие Презервативы латексные, № 3 - 1804CPR1842</v>
      </c>
      <c r="G416" s="1" t="str">
        <f ca="1">IFERROR(__xludf.DUMMYFUNCTION("""COMPUTED_VALUE"""),"KZ.7700.02.01.00538451 / Действителен до 01.06.2023 / 1804CPR1842 / годен до 05.2023")</f>
        <v>KZ.7700.02.01.00538451 / Действителен до 01.06.2023 / 1804CPR1842 / годен до 05.2023</v>
      </c>
      <c r="H416" s="1" t="str">
        <f ca="1">IFERROR(__xludf.DUMMYFUNCTION("""COMPUTED_VALUE"""),"DOLPHI анатомические ультратонкие Презервативы латексные, № 3 KZ.7700.02.01.00538451 / Действителен до 01.06.2023 / 1804CPR1842 / годен до 05.2023")</f>
        <v>DOLPHI анатомические ультратонкие Презервативы латексные, № 3 KZ.7700.02.01.00538451 / Действителен до 01.06.2023 / 1804CPR1842 / годен до 05.2023</v>
      </c>
    </row>
    <row r="417" spans="1:8" ht="12.75" x14ac:dyDescent="0.2">
      <c r="A417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17" s="1" t="str">
        <f ca="1">IFERROR(__xludf.DUMMYFUNCTION("""COMPUTED_VALUE"""),"KZ.7700.02.01.00538605")</f>
        <v>KZ.7700.02.01.00538605</v>
      </c>
      <c r="C417" s="1" t="str">
        <f ca="1">IFERROR(__xludf.DUMMYFUNCTION("""COMPUTED_VALUE"""),"Действителен до 01.07.2023")</f>
        <v>Действителен до 01.07.2023</v>
      </c>
      <c r="D417" s="8" t="str">
        <f ca="1">IFERROR(__xludf.DUMMYFUNCTION("""COMPUTED_VALUE"""),"1806CPR1841")</f>
        <v>1806CPR1841</v>
      </c>
      <c r="E417" s="1" t="str">
        <f ca="1">IFERROR(__xludf.DUMMYFUNCTION("""COMPUTED_VALUE"""),"годен до 06.2023")</f>
        <v>годен до 06.2023</v>
      </c>
      <c r="F417" s="1" t="str">
        <f ca="1">IFERROR(__xludf.DUMMYFUNCTION("""COMPUTED_VALUE"""),"DOLPHI анатомические ультратонкие, №12 Презервативы латексные - 1806CPR1841")</f>
        <v>DOLPHI анатомические ультратонкие, №12 Презервативы латексные - 1806CPR1841</v>
      </c>
      <c r="G417" s="1" t="str">
        <f ca="1">IFERROR(__xludf.DUMMYFUNCTION("""COMPUTED_VALUE"""),"KZ.7700.02.01.00538605 / Действителен до 01.07.2023 / 1806CPR1841 / годен до 06.2023")</f>
        <v>KZ.7700.02.01.00538605 / Действителен до 01.07.2023 / 1806CPR1841 / годен до 06.2023</v>
      </c>
      <c r="H417" s="1" t="str">
        <f ca="1">IFERROR(__xludf.DUMMYFUNCTION("""COMPUTED_VALUE"""),"DOLPHI анатомические ультратонкие, №12 Презервативы латексные KZ.7700.02.01.00538605 / Действителен до 01.07.2023 / 1806CPR1841 / годен до 06.2023")</f>
        <v>DOLPHI анатомические ультратонкие, №12 Презервативы латексные KZ.7700.02.01.00538605 / Действителен до 01.07.2023 / 1806CPR1841 / годен до 06.2023</v>
      </c>
    </row>
    <row r="418" spans="1:8" ht="12.75" x14ac:dyDescent="0.2">
      <c r="A418" s="1" t="str">
        <f ca="1">IFERROR(__xludf.DUMMYFUNCTION("""COMPUTED_VALUE"""),"DOLPHI 3 в 1 №3 Презервативы латексные")</f>
        <v>DOLPHI 3 в 1 №3 Презервативы латексные</v>
      </c>
      <c r="B418" s="1" t="str">
        <f ca="1">IFERROR(__xludf.DUMMYFUNCTION("""COMPUTED_VALUE"""),"KZ.7700.02.01.00538604")</f>
        <v>KZ.7700.02.01.00538604</v>
      </c>
      <c r="C418" s="1" t="str">
        <f ca="1">IFERROR(__xludf.DUMMYFUNCTION("""COMPUTED_VALUE"""),"Действителен до 01.09.2023")</f>
        <v>Действителен до 01.09.2023</v>
      </c>
      <c r="D418" s="8" t="str">
        <f ca="1">IFERROR(__xludf.DUMMYFUNCTION("""COMPUTED_VALUE"""),"1807tni1910")</f>
        <v>1807tni1910</v>
      </c>
      <c r="E418" s="1" t="str">
        <f ca="1">IFERROR(__xludf.DUMMYFUNCTION("""COMPUTED_VALUE"""),"годен до 08.2023")</f>
        <v>годен до 08.2023</v>
      </c>
      <c r="F418" s="1" t="str">
        <f ca="1">IFERROR(__xludf.DUMMYFUNCTION("""COMPUTED_VALUE"""),"DOLPHI 3 в 1 №3 Презервативы латексные - 1807tni1910")</f>
        <v>DOLPHI 3 в 1 №3 Презервативы латексные - 1807tni1910</v>
      </c>
      <c r="G418" s="1" t="str">
        <f ca="1">IFERROR(__xludf.DUMMYFUNCTION("""COMPUTED_VALUE"""),"KZ.7700.02.01.00538604 / Действителен до 01.09.2023 / 1807tni1910 / годен до 08.2023")</f>
        <v>KZ.7700.02.01.00538604 / Действителен до 01.09.2023 / 1807tni1910 / годен до 08.2023</v>
      </c>
      <c r="H418" s="1" t="str">
        <f ca="1">IFERROR(__xludf.DUMMYFUNCTION("""COMPUTED_VALUE"""),"DOLPHI 3 в 1 №3 Презервативы латексные KZ.7700.02.01.00538604 / Действителен до 01.09.2023 / 1807tni1910 / годен до 08.2023")</f>
        <v>DOLPHI 3 в 1 №3 Презервативы латексные KZ.7700.02.01.00538604 / Действителен до 01.09.2023 / 1807tni1910 / годен до 08.2023</v>
      </c>
    </row>
    <row r="419" spans="1:8" ht="12.75" x14ac:dyDescent="0.2">
      <c r="A419" s="1" t="str">
        <f ca="1">IFERROR(__xludf.DUMMYFUNCTION("""COMPUTED_VALUE"""),"DOLPHI 3 в 1 №12 Презервативы латексные")</f>
        <v>DOLPHI 3 в 1 №12 Презервативы латексные</v>
      </c>
      <c r="B419" s="1" t="str">
        <f ca="1">IFERROR(__xludf.DUMMYFUNCTION("""COMPUTED_VALUE"""),"KZ.7700.02.01.00538602")</f>
        <v>KZ.7700.02.01.00538602</v>
      </c>
      <c r="C419" s="1" t="str">
        <f ca="1">IFERROR(__xludf.DUMMYFUNCTION("""COMPUTED_VALUE"""),"Действителен до 01.08.2023")</f>
        <v>Действителен до 01.08.2023</v>
      </c>
      <c r="D419" s="8" t="str">
        <f ca="1">IFERROR(__xludf.DUMMYFUNCTION("""COMPUTED_VALUE"""),"1807tni1910")</f>
        <v>1807tni1910</v>
      </c>
      <c r="E419" s="1" t="str">
        <f ca="1">IFERROR(__xludf.DUMMYFUNCTION("""COMPUTED_VALUE"""),"годен до 07.2023")</f>
        <v>годен до 07.2023</v>
      </c>
      <c r="F419" s="1" t="str">
        <f ca="1">IFERROR(__xludf.DUMMYFUNCTION("""COMPUTED_VALUE"""),"DOLPHI 3 в 1 №12 Презервативы латексные - 1807tni1910")</f>
        <v>DOLPHI 3 в 1 №12 Презервативы латексные - 1807tni1910</v>
      </c>
      <c r="G419" s="1" t="str">
        <f ca="1">IFERROR(__xludf.DUMMYFUNCTION("""COMPUTED_VALUE"""),"KZ.7700.02.01.00538602 / Действителен до 01.08.2023 / 1807tni1910 / годен до 07.2023")</f>
        <v>KZ.7700.02.01.00538602 / Действителен до 01.08.2023 / 1807tni1910 / годен до 07.2023</v>
      </c>
      <c r="H419" s="1" t="str">
        <f ca="1">IFERROR(__xludf.DUMMYFUNCTION("""COMPUTED_VALUE"""),"DOLPHI 3 в 1 №12 Презервативы латексные KZ.7700.02.01.00538602 / Действителен до 01.08.2023 / 1807tni1910 / годен до 07.2023")</f>
        <v>DOLPHI 3 в 1 №12 Презервативы латексные KZ.7700.02.01.00538602 / Действителен до 01.08.2023 / 1807tni1910 / годен до 07.2023</v>
      </c>
    </row>
    <row r="420" spans="1:8" ht="12.75" x14ac:dyDescent="0.2">
      <c r="A420" s="1" t="str">
        <f ca="1">IFERROR(__xludf.DUMMYFUNCTION("""COMPUTED_VALUE"""),"DOLPHI 3 в 1 №12 Презервативы латексные")</f>
        <v>DOLPHI 3 в 1 №12 Презервативы латексные</v>
      </c>
      <c r="B420" s="1" t="str">
        <f ca="1">IFERROR(__xludf.DUMMYFUNCTION("""COMPUTED_VALUE"""),"KZ.7700.02.01.00538601")</f>
        <v>KZ.7700.02.01.00538601</v>
      </c>
      <c r="C420" s="1" t="str">
        <f ca="1">IFERROR(__xludf.DUMMYFUNCTION("""COMPUTED_VALUE"""),"Действителен до 01.08.2023")</f>
        <v>Действителен до 01.08.2023</v>
      </c>
      <c r="D420" s="8" t="str">
        <f ca="1">IFERROR(__xludf.DUMMYFUNCTION("""COMPUTED_VALUE"""),"1807tni1910")</f>
        <v>1807tni1910</v>
      </c>
      <c r="E420" s="1" t="str">
        <f ca="1">IFERROR(__xludf.DUMMYFUNCTION("""COMPUTED_VALUE"""),"годен до 07.2023")</f>
        <v>годен до 07.2023</v>
      </c>
      <c r="F420" s="1" t="str">
        <f ca="1">IFERROR(__xludf.DUMMYFUNCTION("""COMPUTED_VALUE"""),"DOLPHI 3 в 1 №12 Презервативы латексные - 1807tni1910")</f>
        <v>DOLPHI 3 в 1 №12 Презервативы латексные - 1807tni1910</v>
      </c>
      <c r="G420" s="1" t="str">
        <f ca="1">IFERROR(__xludf.DUMMYFUNCTION("""COMPUTED_VALUE"""),"KZ.7700.02.01.00538601 / Действителен до 01.08.2023 / 1807tni1910 / годен до 07.2023")</f>
        <v>KZ.7700.02.01.00538601 / Действителен до 01.08.2023 / 1807tni1910 / годен до 07.2023</v>
      </c>
      <c r="H420" s="1" t="str">
        <f ca="1">IFERROR(__xludf.DUMMYFUNCTION("""COMPUTED_VALUE"""),"DOLPHI 3 в 1 №12 Презервативы латексные KZ.7700.02.01.00538601 / Действителен до 01.08.2023 / 1807tni1910 / годен до 07.2023")</f>
        <v>DOLPHI 3 в 1 №12 Презервативы латексные KZ.7700.02.01.00538601 / Действителен до 01.08.2023 / 1807tni1910 / годен до 07.2023</v>
      </c>
    </row>
    <row r="421" spans="1:8" ht="12.75" x14ac:dyDescent="0.2">
      <c r="A421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21" s="1" t="str">
        <f ca="1">IFERROR(__xludf.DUMMYFUNCTION("""COMPUTED_VALUE"""),"KZ.7700.02.01.520221")</f>
        <v>KZ.7700.02.01.520221</v>
      </c>
      <c r="C421" s="1" t="str">
        <f ca="1">IFERROR(__xludf.DUMMYFUNCTION("""COMPUTED_VALUE"""),"Действителен до 01.03.2023")</f>
        <v>Действителен до 01.03.2023</v>
      </c>
      <c r="D421" s="8" t="str">
        <f ca="1">IFERROR(__xludf.DUMMYFUNCTION("""COMPUTED_VALUE"""),"1802tni1771")</f>
        <v>1802tni1771</v>
      </c>
      <c r="E421" s="1" t="str">
        <f ca="1">IFERROR(__xludf.DUMMYFUNCTION("""COMPUTED_VALUE"""),"годен до 02.2023")</f>
        <v>годен до 02.2023</v>
      </c>
      <c r="F421" s="1" t="str">
        <f ca="1">IFERROR(__xludf.DUMMYFUNCTION("""COMPUTED_VALUE"""),"DOLPHI анатомические ультратонкие Презервативы латексные, № 3 - 1802tni1771")</f>
        <v>DOLPHI анатомические ультратонкие Презервативы латексные, № 3 - 1802tni1771</v>
      </c>
      <c r="G421" s="1" t="str">
        <f ca="1">IFERROR(__xludf.DUMMYFUNCTION("""COMPUTED_VALUE"""),"KZ.7700.02.01.520221 / Действителен до 01.03.2023 / 1802tni1771 / годен до 02.2023")</f>
        <v>KZ.7700.02.01.520221 / Действителен до 01.03.2023 / 1802tni1771 / годен до 02.2023</v>
      </c>
      <c r="H421" s="1" t="str">
        <f ca="1">IFERROR(__xludf.DUMMYFUNCTION("""COMPUTED_VALUE"""),"DOLPHI анатомические ультратонкие Презервативы латексные, № 3 KZ.7700.02.01.520221 / Действителен до 01.03.2023 / 1802tni1771 / годен до 02.2023")</f>
        <v>DOLPHI анатомические ультратонкие Презервативы латексные, № 3 KZ.7700.02.01.520221 / Действителен до 01.03.2023 / 1802tni1771 / годен до 02.2023</v>
      </c>
    </row>
    <row r="422" spans="1:8" ht="12.75" x14ac:dyDescent="0.2">
      <c r="A422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22" s="1" t="str">
        <f ca="1">IFERROR(__xludf.DUMMYFUNCTION("""COMPUTED_VALUE"""),"KZ.7700.02.01.520220")</f>
        <v>KZ.7700.02.01.520220</v>
      </c>
      <c r="C422" s="1" t="str">
        <f ca="1">IFERROR(__xludf.DUMMYFUNCTION("""COMPUTED_VALUE"""),"Действителен до 01.04.2023")</f>
        <v>Действителен до 01.04.2023</v>
      </c>
      <c r="D422" s="8" t="str">
        <f ca="1">IFERROR(__xludf.DUMMYFUNCTION("""COMPUTED_VALUE"""),"1803CPR1713")</f>
        <v>1803CPR1713</v>
      </c>
      <c r="E422" s="1" t="str">
        <f ca="1">IFERROR(__xludf.DUMMYFUNCTION("""COMPUTED_VALUE"""),"годен до 03.2023")</f>
        <v>годен до 03.2023</v>
      </c>
      <c r="F422" s="1" t="str">
        <f ca="1">IFERROR(__xludf.DUMMYFUNCTION("""COMPUTED_VALUE"""),"DOLPHI анатомические ультратонкие, №12 Презервативы латексные - 1803CPR1713")</f>
        <v>DOLPHI анатомические ультратонкие, №12 Презервативы латексные - 1803CPR1713</v>
      </c>
      <c r="G422" s="1" t="str">
        <f ca="1">IFERROR(__xludf.DUMMYFUNCTION("""COMPUTED_VALUE"""),"KZ.7700.02.01.520220 / Действителен до 01.04.2023 / 1803CPR1713 / годен до 03.2023")</f>
        <v>KZ.7700.02.01.520220 / Действителен до 01.04.2023 / 1803CPR1713 / годен до 03.2023</v>
      </c>
      <c r="H422" s="1" t="str">
        <f ca="1">IFERROR(__xludf.DUMMYFUNCTION("""COMPUTED_VALUE"""),"DOLPHI анатомические ультратонкие, №12 Презервативы латексные KZ.7700.02.01.520220 / Действителен до 01.04.2023 / 1803CPR1713 / годен до 03.2023")</f>
        <v>DOLPHI анатомические ультратонкие, №12 Презервативы латексные KZ.7700.02.01.520220 / Действителен до 01.04.2023 / 1803CPR1713 / годен до 03.2023</v>
      </c>
    </row>
    <row r="423" spans="1:8" ht="12.75" x14ac:dyDescent="0.2">
      <c r="A423" s="1" t="str">
        <f ca="1">IFERROR(__xludf.DUMMYFUNCTION("""COMPUTED_VALUE"""),"DOLPHI 3 в 1 №3 Презервативы латексные")</f>
        <v>DOLPHI 3 в 1 №3 Презервативы латексные</v>
      </c>
      <c r="B423" s="1" t="str">
        <f ca="1">IFERROR(__xludf.DUMMYFUNCTION("""COMPUTED_VALUE"""),"KZ.7700.02.01.520220")</f>
        <v>KZ.7700.02.01.520220</v>
      </c>
      <c r="C423" s="1" t="str">
        <f ca="1">IFERROR(__xludf.DUMMYFUNCTION("""COMPUTED_VALUE"""),"Действителен до 01.04.2023")</f>
        <v>Действителен до 01.04.2023</v>
      </c>
      <c r="D423" s="8" t="str">
        <f ca="1">IFERROR(__xludf.DUMMYFUNCTION("""COMPUTED_VALUE"""),"1804CPR1843")</f>
        <v>1804CPR1843</v>
      </c>
      <c r="E423" s="1" t="str">
        <f ca="1">IFERROR(__xludf.DUMMYFUNCTION("""COMPUTED_VALUE"""),"годен до 04.2023")</f>
        <v>годен до 04.2023</v>
      </c>
      <c r="F423" s="1" t="str">
        <f ca="1">IFERROR(__xludf.DUMMYFUNCTION("""COMPUTED_VALUE"""),"DOLPHI 3 в 1 №3 Презервативы латексные - 1804CPR1843")</f>
        <v>DOLPHI 3 в 1 №3 Презервативы латексные - 1804CPR1843</v>
      </c>
      <c r="G423" s="1" t="str">
        <f ca="1">IFERROR(__xludf.DUMMYFUNCTION("""COMPUTED_VALUE"""),"KZ.7700.02.01.520220 / Действителен до 01.04.2023 / 1804CPR1843 / годен до 04.2023")</f>
        <v>KZ.7700.02.01.520220 / Действителен до 01.04.2023 / 1804CPR1843 / годен до 04.2023</v>
      </c>
      <c r="H423" s="1" t="str">
        <f ca="1">IFERROR(__xludf.DUMMYFUNCTION("""COMPUTED_VALUE"""),"DOLPHI 3 в 1 №3 Презервативы латексные KZ.7700.02.01.520220 / Действителен до 01.04.2023 / 1804CPR1843 / годен до 04.2023")</f>
        <v>DOLPHI 3 в 1 №3 Презервативы латексные KZ.7700.02.01.520220 / Действителен до 01.04.2023 / 1804CPR1843 / годен до 04.2023</v>
      </c>
    </row>
    <row r="424" spans="1:8" ht="12.75" x14ac:dyDescent="0.2">
      <c r="A424" s="1" t="str">
        <f ca="1">IFERROR(__xludf.DUMMYFUNCTION("""COMPUTED_VALUE"""),"DOLPHI 3 в 1 №12 Презервативы латексные")</f>
        <v>DOLPHI 3 в 1 №12 Презервативы латексные</v>
      </c>
      <c r="B424" s="1" t="str">
        <f ca="1">IFERROR(__xludf.DUMMYFUNCTION("""COMPUTED_VALUE"""),"KZ.7700.02.01.520218")</f>
        <v>KZ.7700.02.01.520218</v>
      </c>
      <c r="C424" s="1" t="str">
        <f ca="1">IFERROR(__xludf.DUMMYFUNCTION("""COMPUTED_VALUE"""),"Действителен до 01.05.2023")</f>
        <v>Действителен до 01.05.2023</v>
      </c>
      <c r="D424" s="8" t="str">
        <f ca="1">IFERROR(__xludf.DUMMYFUNCTION("""COMPUTED_VALUE"""),"1804CPR1843")</f>
        <v>1804CPR1843</v>
      </c>
      <c r="E424" s="1" t="str">
        <f ca="1">IFERROR(__xludf.DUMMYFUNCTION("""COMPUTED_VALUE"""),"годен до 04.2023")</f>
        <v>годен до 04.2023</v>
      </c>
      <c r="F424" s="1" t="str">
        <f ca="1">IFERROR(__xludf.DUMMYFUNCTION("""COMPUTED_VALUE"""),"DOLPHI 3 в 1 №12 Презервативы латексные - 1804CPR1843")</f>
        <v>DOLPHI 3 в 1 №12 Презервативы латексные - 1804CPR1843</v>
      </c>
      <c r="G424" s="1" t="str">
        <f ca="1">IFERROR(__xludf.DUMMYFUNCTION("""COMPUTED_VALUE"""),"KZ.7700.02.01.520218 / Действителен до 01.05.2023 / 1804CPR1843 / годен до 04.2023")</f>
        <v>KZ.7700.02.01.520218 / Действителен до 01.05.2023 / 1804CPR1843 / годен до 04.2023</v>
      </c>
      <c r="H424" s="1" t="str">
        <f ca="1">IFERROR(__xludf.DUMMYFUNCTION("""COMPUTED_VALUE"""),"DOLPHI 3 в 1 №12 Презервативы латексные KZ.7700.02.01.520218 / Действителен до 01.05.2023 / 1804CPR1843 / годен до 04.2023")</f>
        <v>DOLPHI 3 в 1 №12 Презервативы латексные KZ.7700.02.01.520218 / Действителен до 01.05.2023 / 1804CPR1843 / годен до 04.2023</v>
      </c>
    </row>
    <row r="425" spans="1:8" ht="12.75" x14ac:dyDescent="0.2">
      <c r="A425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25" s="1" t="str">
        <f ca="1">IFERROR(__xludf.DUMMYFUNCTION("""COMPUTED_VALUE"""),"KZ.7700.02.01.520225")</f>
        <v>KZ.7700.02.01.520225</v>
      </c>
      <c r="C425" s="1" t="str">
        <f ca="1">IFERROR(__xludf.DUMMYFUNCTION("""COMPUTED_VALUE"""),"Действителен до 01.03.2023")</f>
        <v>Действителен до 01.03.2023</v>
      </c>
      <c r="D425" s="8" t="str">
        <f ca="1">IFERROR(__xludf.DUMMYFUNCTION("""COMPUTED_VALUE"""),"1802TNI1766")</f>
        <v>1802TNI1766</v>
      </c>
      <c r="E425" s="1" t="str">
        <f ca="1">IFERROR(__xludf.DUMMYFUNCTION("""COMPUTED_VALUE"""),"годен до 02.2023")</f>
        <v>годен до 02.2023</v>
      </c>
      <c r="F425" s="1" t="str">
        <f ca="1">IFERROR(__xludf.DUMMYFUNCTION("""COMPUTED_VALUE"""),"DOLPHI ультратонкие №3 Презервативы латескные - 1802TNI1766")</f>
        <v>DOLPHI ультратонкие №3 Презервативы латескные - 1802TNI1766</v>
      </c>
      <c r="G425" s="1" t="str">
        <f ca="1">IFERROR(__xludf.DUMMYFUNCTION("""COMPUTED_VALUE"""),"KZ.7700.02.01.520225 / Действителен до 01.03.2023 / 1802TNI1766 / годен до 02.2023")</f>
        <v>KZ.7700.02.01.520225 / Действителен до 01.03.2023 / 1802TNI1766 / годен до 02.2023</v>
      </c>
      <c r="H425" s="1" t="str">
        <f ca="1">IFERROR(__xludf.DUMMYFUNCTION("""COMPUTED_VALUE"""),"DOLPHI ультратонкие №3 Презервативы латескные KZ.7700.02.01.520225 / Действителен до 01.03.2023 / 1802TNI1766 / годен до 02.2023")</f>
        <v>DOLPHI ультратонкие №3 Презервативы латескные KZ.7700.02.01.520225 / Действителен до 01.03.2023 / 1802TNI1766 / годен до 02.2023</v>
      </c>
    </row>
    <row r="426" spans="1:8" ht="12.75" x14ac:dyDescent="0.2">
      <c r="A426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26" s="1" t="str">
        <f ca="1">IFERROR(__xludf.DUMMYFUNCTION("""COMPUTED_VALUE"""),"KZ.7700.02.01.520224")</f>
        <v>KZ.7700.02.01.520224</v>
      </c>
      <c r="C426" s="1" t="str">
        <f ca="1">IFERROR(__xludf.DUMMYFUNCTION("""COMPUTED_VALUE"""),"Действителен до 01.05.2023")</f>
        <v>Действителен до 01.05.2023</v>
      </c>
      <c r="D426" s="8" t="str">
        <f ca="1">IFERROR(__xludf.DUMMYFUNCTION("""COMPUTED_VALUE"""),"1804TNI1768")</f>
        <v>1804TNI1768</v>
      </c>
      <c r="E426" s="1" t="str">
        <f ca="1">IFERROR(__xludf.DUMMYFUNCTION("""COMPUTED_VALUE"""),"годен до 04.2023")</f>
        <v>годен до 04.2023</v>
      </c>
      <c r="F426" s="1" t="str">
        <f ca="1">IFERROR(__xludf.DUMMYFUNCTION("""COMPUTED_VALUE"""),"DOLPHI ультратонкие №12 Презервативы латексные - 1804TNI1768")</f>
        <v>DOLPHI ультратонкие №12 Презервативы латексные - 1804TNI1768</v>
      </c>
      <c r="G426" s="1" t="str">
        <f ca="1">IFERROR(__xludf.DUMMYFUNCTION("""COMPUTED_VALUE"""),"KZ.7700.02.01.520224 / Действителен до 01.05.2023 / 1804TNI1768 / годен до 04.2023")</f>
        <v>KZ.7700.02.01.520224 / Действителен до 01.05.2023 / 1804TNI1768 / годен до 04.2023</v>
      </c>
      <c r="H426" s="1" t="str">
        <f ca="1">IFERROR(__xludf.DUMMYFUNCTION("""COMPUTED_VALUE"""),"DOLPHI ультратонкие №12 Презервативы латексные KZ.7700.02.01.520224 / Действителен до 01.05.2023 / 1804TNI1768 / годен до 04.2023")</f>
        <v>DOLPHI ультратонкие №12 Презервативы латексные KZ.7700.02.01.520224 / Действителен до 01.05.2023 / 1804TNI1768 / годен до 04.2023</v>
      </c>
    </row>
    <row r="427" spans="1:8" ht="12.75" x14ac:dyDescent="0.2">
      <c r="A427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427" s="1" t="str">
        <f ca="1">IFERROR(__xludf.DUMMYFUNCTION("""COMPUTED_VALUE"""),"KZ.7700.02.01.520222")</f>
        <v>KZ.7700.02.01.520222</v>
      </c>
      <c r="C427" s="1" t="str">
        <f ca="1">IFERROR(__xludf.DUMMYFUNCTION("""COMPUTED_VALUE"""),"Действителен до 01.04.2023")</f>
        <v>Действителен до 01.04.2023</v>
      </c>
      <c r="D427" s="8" t="str">
        <f ca="1">IFERROR(__xludf.DUMMYFUNCTION("""COMPUTED_VALUE"""),"1803TNI1764")</f>
        <v>1803TNI1764</v>
      </c>
      <c r="E427" s="1" t="str">
        <f ca="1">IFERROR(__xludf.DUMMYFUNCTION("""COMPUTED_VALUE"""),"годен до 03.2023")</f>
        <v>годен до 03.2023</v>
      </c>
      <c r="F427" s="1" t="str">
        <f ca="1">IFERROR(__xludf.DUMMYFUNCTION("""COMPUTED_VALUE"""),"DOLPHI Класические №3 Презервативы латексные - 1803TNI1764")</f>
        <v>DOLPHI Класические №3 Презервативы латексные - 1803TNI1764</v>
      </c>
      <c r="G427" s="1" t="str">
        <f ca="1">IFERROR(__xludf.DUMMYFUNCTION("""COMPUTED_VALUE"""),"KZ.7700.02.01.520222 / Действителен до 01.04.2023 / 1803TNI1764 / годен до 03.2023")</f>
        <v>KZ.7700.02.01.520222 / Действителен до 01.04.2023 / 1803TNI1764 / годен до 03.2023</v>
      </c>
      <c r="H427" s="1" t="str">
        <f ca="1">IFERROR(__xludf.DUMMYFUNCTION("""COMPUTED_VALUE"""),"DOLPHI Класические №3 Презервативы латексные KZ.7700.02.01.520222 / Действителен до 01.04.2023 / 1803TNI1764 / годен до 03.2023")</f>
        <v>DOLPHI Класические №3 Презервативы латексные KZ.7700.02.01.520222 / Действителен до 01.04.2023 / 1803TNI1764 / годен до 03.2023</v>
      </c>
    </row>
    <row r="428" spans="1:8" ht="12.75" x14ac:dyDescent="0.2">
      <c r="A428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428" s="1" t="str">
        <f ca="1">IFERROR(__xludf.DUMMYFUNCTION("""COMPUTED_VALUE"""),"KZ.7700.02.01.520223")</f>
        <v>KZ.7700.02.01.520223</v>
      </c>
      <c r="C428" s="1" t="str">
        <f ca="1">IFERROR(__xludf.DUMMYFUNCTION("""COMPUTED_VALUE"""),"Действителен до 01.03.2023")</f>
        <v>Действителен до 01.03.2023</v>
      </c>
      <c r="D428" s="8" t="str">
        <f ca="1">IFERROR(__xludf.DUMMYFUNCTION("""COMPUTED_VALUE"""),"1802TNI1763")</f>
        <v>1802TNI1763</v>
      </c>
      <c r="E428" s="1" t="str">
        <f ca="1">IFERROR(__xludf.DUMMYFUNCTION("""COMPUTED_VALUE"""),"годен до 02.2023")</f>
        <v>годен до 02.2023</v>
      </c>
      <c r="F428" s="1" t="str">
        <f ca="1">IFERROR(__xludf.DUMMYFUNCTION("""COMPUTED_VALUE"""),"DOLPHI классические, №12 Презервативы латексные - 1802TNI1763")</f>
        <v>DOLPHI классические, №12 Презервативы латексные - 1802TNI1763</v>
      </c>
      <c r="G428" s="1" t="str">
        <f ca="1">IFERROR(__xludf.DUMMYFUNCTION("""COMPUTED_VALUE"""),"KZ.7700.02.01.520223 / Действителен до 01.03.2023 / 1802TNI1763 / годен до 02.2023")</f>
        <v>KZ.7700.02.01.520223 / Действителен до 01.03.2023 / 1802TNI1763 / годен до 02.2023</v>
      </c>
      <c r="H428" s="1" t="str">
        <f ca="1">IFERROR(__xludf.DUMMYFUNCTION("""COMPUTED_VALUE"""),"DOLPHI классические, №12 Презервативы латексные KZ.7700.02.01.520223 / Действителен до 01.03.2023 / 1802TNI1763 / годен до 02.2023")</f>
        <v>DOLPHI классические, №12 Презервативы латексные KZ.7700.02.01.520223 / Действителен до 01.03.2023 / 1802TNI1763 / годен до 02.2023</v>
      </c>
    </row>
    <row r="429" spans="1:8" ht="12.75" x14ac:dyDescent="0.2">
      <c r="A429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429" s="1" t="str">
        <f ca="1">IFERROR(__xludf.DUMMYFUNCTION("""COMPUTED_VALUE"""),"KZ.7700.02.01.520226")</f>
        <v>KZ.7700.02.01.520226</v>
      </c>
      <c r="C429" s="1" t="str">
        <f ca="1">IFERROR(__xludf.DUMMYFUNCTION("""COMPUTED_VALUE"""),"Действителен до 01.03.2023")</f>
        <v>Действителен до 01.03.2023</v>
      </c>
      <c r="D429" s="8" t="str">
        <f ca="1">IFERROR(__xludf.DUMMYFUNCTION("""COMPUTED_VALUE"""),"1802TNI1763")</f>
        <v>1802TNI1763</v>
      </c>
      <c r="E429" s="1" t="str">
        <f ca="1">IFERROR(__xludf.DUMMYFUNCTION("""COMPUTED_VALUE"""),"годен до 02.2023")</f>
        <v>годен до 02.2023</v>
      </c>
      <c r="F429" s="1" t="str">
        <f ca="1">IFERROR(__xludf.DUMMYFUNCTION("""COMPUTED_VALUE"""),"Mister Ben классические № 3 Презервативы латексные - 1802TNI1763")</f>
        <v>Mister Ben классические № 3 Презервативы латексные - 1802TNI1763</v>
      </c>
      <c r="G429" s="1" t="str">
        <f ca="1">IFERROR(__xludf.DUMMYFUNCTION("""COMPUTED_VALUE"""),"KZ.7700.02.01.520226 / Действителен до 01.03.2023 / 1802TNI1763 / годен до 02.2023")</f>
        <v>KZ.7700.02.01.520226 / Действителен до 01.03.2023 / 1802TNI1763 / годен до 02.2023</v>
      </c>
      <c r="H429" s="1" t="str">
        <f ca="1">IFERROR(__xludf.DUMMYFUNCTION("""COMPUTED_VALUE"""),"Mister Ben классические № 3 Презервативы латексные KZ.7700.02.01.520226 / Действителен до 01.03.2023 / 1802TNI1763 / годен до 02.2023")</f>
        <v>Mister Ben классические № 3 Презервативы латексные KZ.7700.02.01.520226 / Действителен до 01.03.2023 / 1802TNI1763 / годен до 02.2023</v>
      </c>
    </row>
    <row r="430" spans="1:8" ht="12.75" x14ac:dyDescent="0.2">
      <c r="A430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430" s="1" t="str">
        <f ca="1">IFERROR(__xludf.DUMMYFUNCTION("""COMPUTED_VALUE"""),"KZ.7700.02.01.520230")</f>
        <v>KZ.7700.02.01.520230</v>
      </c>
      <c r="C430" s="1" t="str">
        <f ca="1">IFERROR(__xludf.DUMMYFUNCTION("""COMPUTED_VALUE"""),"Действителен до 01.03.2023")</f>
        <v>Действителен до 01.03.2023</v>
      </c>
      <c r="D430" s="8" t="str">
        <f ca="1">IFERROR(__xludf.DUMMYFUNCTION("""COMPUTED_VALUE"""),"1802TNI1716")</f>
        <v>1802TNI1716</v>
      </c>
      <c r="E430" s="1" t="str">
        <f ca="1">IFERROR(__xludf.DUMMYFUNCTION("""COMPUTED_VALUE"""),"годен до 02.2023")</f>
        <v>годен до 02.2023</v>
      </c>
      <c r="F430" s="1" t="str">
        <f ca="1">IFERROR(__xludf.DUMMYFUNCTION("""COMPUTED_VALUE"""),"Mister Ben Ребристые № 3 Презервативы латексные - 1802TNI1716")</f>
        <v>Mister Ben Ребристые № 3 Презервативы латексные - 1802TNI1716</v>
      </c>
      <c r="G430" s="1" t="str">
        <f ca="1">IFERROR(__xludf.DUMMYFUNCTION("""COMPUTED_VALUE"""),"KZ.7700.02.01.520230 / Действителен до 01.03.2023 / 1802TNI1716 / годен до 02.2023")</f>
        <v>KZ.7700.02.01.520230 / Действителен до 01.03.2023 / 1802TNI1716 / годен до 02.2023</v>
      </c>
      <c r="H430" s="1" t="str">
        <f ca="1">IFERROR(__xludf.DUMMYFUNCTION("""COMPUTED_VALUE"""),"Mister Ben Ребристые № 3 Презервативы латексные KZ.7700.02.01.520230 / Действителен до 01.03.2023 / 1802TNI1716 / годен до 02.2023")</f>
        <v>Mister Ben Ребристые № 3 Презервативы латексные KZ.7700.02.01.520230 / Действителен до 01.03.2023 / 1802TNI1716 / годен до 02.2023</v>
      </c>
    </row>
    <row r="431" spans="1:8" ht="12.75" x14ac:dyDescent="0.2">
      <c r="A431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431" s="1" t="str">
        <f ca="1">IFERROR(__xludf.DUMMYFUNCTION("""COMPUTED_VALUE"""),"KZ.7700.02.01.520231")</f>
        <v>KZ.7700.02.01.520231</v>
      </c>
      <c r="C431" s="1" t="str">
        <f ca="1">IFERROR(__xludf.DUMMYFUNCTION("""COMPUTED_VALUE"""),"Действителен до 01.01.2023")</f>
        <v>Действителен до 01.01.2023</v>
      </c>
      <c r="D431" s="8" t="str">
        <f ca="1">IFERROR(__xludf.DUMMYFUNCTION("""COMPUTED_VALUE"""),"1712KAR1096")</f>
        <v>1712KAR1096</v>
      </c>
      <c r="E431" s="1" t="str">
        <f ca="1">IFERROR(__xludf.DUMMYFUNCTION("""COMPUTED_VALUE"""),"годен до 12.2022")</f>
        <v>годен до 12.2022</v>
      </c>
      <c r="F431" s="1" t="str">
        <f ca="1">IFERROR(__xludf.DUMMYFUNCTION("""COMPUTED_VALUE"""),"Mister Ben С точечной структурой № 3 Презервативы латексные - 1712KAR1096")</f>
        <v>Mister Ben С точечной структурой № 3 Презервативы латексные - 1712KAR1096</v>
      </c>
      <c r="G431" s="1" t="str">
        <f ca="1">IFERROR(__xludf.DUMMYFUNCTION("""COMPUTED_VALUE"""),"KZ.7700.02.01.520231 / Действителен до 01.01.2023 / 1712KAR1096 / годен до 12.2022")</f>
        <v>KZ.7700.02.01.520231 / Действителен до 01.01.2023 / 1712KAR1096 / годен до 12.2022</v>
      </c>
      <c r="H431" s="1" t="str">
        <f ca="1">IFERROR(__xludf.DUMMYFUNCTION("""COMPUTED_VALUE"""),"Mister Ben С точечной структурой № 3 Презервативы латексные KZ.7700.02.01.520231 / Действителен до 01.01.2023 / 1712KAR1096 / годен до 12.2022")</f>
        <v>Mister Ben С точечной структурой № 3 Презервативы латексные KZ.7700.02.01.520231 / Действителен до 01.01.2023 / 1712KAR1096 / годен до 12.2022</v>
      </c>
    </row>
    <row r="432" spans="1:8" ht="12.75" x14ac:dyDescent="0.2">
      <c r="A432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432" s="1" t="str">
        <f ca="1">IFERROR(__xludf.DUMMYFUNCTION("""COMPUTED_VALUE"""),"KZ.7700.02.01.520232")</f>
        <v>KZ.7700.02.01.520232</v>
      </c>
      <c r="C432" s="1" t="str">
        <f ca="1">IFERROR(__xludf.DUMMYFUNCTION("""COMPUTED_VALUE"""),"Действителен до 01.03.2023")</f>
        <v>Действителен до 01.03.2023</v>
      </c>
      <c r="D432" s="8" t="str">
        <f ca="1">IFERROR(__xludf.DUMMYFUNCTION("""COMPUTED_VALUE"""),"1802TNI1766")</f>
        <v>1802TNI1766</v>
      </c>
      <c r="E432" s="1" t="str">
        <f ca="1">IFERROR(__xludf.DUMMYFUNCTION("""COMPUTED_VALUE"""),"годен до 02.2023")</f>
        <v>годен до 02.2023</v>
      </c>
      <c r="F432" s="1" t="str">
        <f ca="1">IFERROR(__xludf.DUMMYFUNCTION("""COMPUTED_VALUE"""),"Mister Ben Ультратонкие № 3 Презервативы латексные - 1802TNI1766")</f>
        <v>Mister Ben Ультратонкие № 3 Презервативы латексные - 1802TNI1766</v>
      </c>
      <c r="G432" s="1" t="str">
        <f ca="1">IFERROR(__xludf.DUMMYFUNCTION("""COMPUTED_VALUE"""),"KZ.7700.02.01.520232 / Действителен до 01.03.2023 / 1802TNI1766 / годен до 02.2023")</f>
        <v>KZ.7700.02.01.520232 / Действителен до 01.03.2023 / 1802TNI1766 / годен до 02.2023</v>
      </c>
      <c r="H432" s="1" t="str">
        <f ca="1">IFERROR(__xludf.DUMMYFUNCTION("""COMPUTED_VALUE"""),"Mister Ben Ультратонкие № 3 Презервативы латексные KZ.7700.02.01.520232 / Действителен до 01.03.2023 / 1802TNI1766 / годен до 02.2023")</f>
        <v>Mister Ben Ультратонкие № 3 Презервативы латексные KZ.7700.02.01.520232 / Действителен до 01.03.2023 / 1802TNI1766 / годен до 02.2023</v>
      </c>
    </row>
    <row r="433" spans="1:8" ht="12.75" x14ac:dyDescent="0.2">
      <c r="A433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433" s="1" t="str">
        <f ca="1">IFERROR(__xludf.DUMMYFUNCTION("""COMPUTED_VALUE"""),"KZ.7700.02.01.520229")</f>
        <v>KZ.7700.02.01.520229</v>
      </c>
      <c r="C433" s="1" t="str">
        <f ca="1">IFERROR(__xludf.DUMMYFUNCTION("""COMPUTED_VALUE"""),"Действителен до 01.05.2023")</f>
        <v>Действителен до 01.05.2023</v>
      </c>
      <c r="D433" s="8" t="str">
        <f ca="1">IFERROR(__xludf.DUMMYFUNCTION("""COMPUTED_VALUE"""),"1804CPR1836")</f>
        <v>1804CPR1836</v>
      </c>
      <c r="E433" s="1" t="str">
        <f ca="1">IFERROR(__xludf.DUMMYFUNCTION("""COMPUTED_VALUE"""),"годен до 04.2023")</f>
        <v>годен до 04.2023</v>
      </c>
      <c r="F433" s="1" t="str">
        <f ca="1">IFERROR(__xludf.DUMMYFUNCTION("""COMPUTED_VALUE"""),"Sexxxy классические №3 Презервативы латексные - 1804CPR1836")</f>
        <v>Sexxxy классические №3 Презервативы латексные - 1804CPR1836</v>
      </c>
      <c r="G433" s="1" t="str">
        <f ca="1">IFERROR(__xludf.DUMMYFUNCTION("""COMPUTED_VALUE"""),"KZ.7700.02.01.520229 / Действителен до 01.05.2023 / 1804CPR1836 / годен до 04.2023")</f>
        <v>KZ.7700.02.01.520229 / Действителен до 01.05.2023 / 1804CPR1836 / годен до 04.2023</v>
      </c>
      <c r="H433" s="1" t="str">
        <f ca="1">IFERROR(__xludf.DUMMYFUNCTION("""COMPUTED_VALUE"""),"Sexxxy классические №3 Презервативы латексные KZ.7700.02.01.520229 / Действителен до 01.05.2023 / 1804CPR1836 / годен до 04.2023")</f>
        <v>Sexxxy классические №3 Презервативы латексные KZ.7700.02.01.520229 / Действителен до 01.05.2023 / 1804CPR1836 / годен до 04.2023</v>
      </c>
    </row>
    <row r="434" spans="1:8" ht="12.75" x14ac:dyDescent="0.2">
      <c r="A434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434" s="1" t="str">
        <f ca="1">IFERROR(__xludf.DUMMYFUNCTION("""COMPUTED_VALUE"""),"KZ.7700.02.01.520228")</f>
        <v>KZ.7700.02.01.520228</v>
      </c>
      <c r="C434" s="1" t="str">
        <f ca="1">IFERROR(__xludf.DUMMYFUNCTION("""COMPUTED_VALUE"""),"Действителен до 01.03.2023")</f>
        <v>Действителен до 01.03.2023</v>
      </c>
      <c r="D434" s="8" t="str">
        <f ca="1">IFERROR(__xludf.DUMMYFUNCTION("""COMPUTED_VALUE"""),"1802TNI1763")</f>
        <v>1802TNI1763</v>
      </c>
      <c r="E434" s="1" t="str">
        <f ca="1">IFERROR(__xludf.DUMMYFUNCTION("""COMPUTED_VALUE"""),"годен до 02.2023")</f>
        <v>годен до 02.2023</v>
      </c>
      <c r="F434" s="1" t="str">
        <f ca="1">IFERROR(__xludf.DUMMYFUNCTION("""COMPUTED_VALUE"""),"Sexxxy классические №3 Презервативы латексные - 1802TNI1763")</f>
        <v>Sexxxy классические №3 Презервативы латексные - 1802TNI1763</v>
      </c>
      <c r="G434" s="1" t="str">
        <f ca="1">IFERROR(__xludf.DUMMYFUNCTION("""COMPUTED_VALUE"""),"KZ.7700.02.01.520228 / Действителен до 01.03.2023 / 1802TNI1763 / годен до 02.2023")</f>
        <v>KZ.7700.02.01.520228 / Действителен до 01.03.2023 / 1802TNI1763 / годен до 02.2023</v>
      </c>
      <c r="H434" s="1" t="str">
        <f ca="1">IFERROR(__xludf.DUMMYFUNCTION("""COMPUTED_VALUE"""),"Sexxxy классические №3 Презервативы латексные KZ.7700.02.01.520228 / Действителен до 01.03.2023 / 1802TNI1763 / годен до 02.2023")</f>
        <v>Sexxxy классические №3 Презервативы латексные KZ.7700.02.01.520228 / Действителен до 01.03.2023 / 1802TNI1763 / годен до 02.2023</v>
      </c>
    </row>
    <row r="435" spans="1:8" ht="12.75" x14ac:dyDescent="0.2">
      <c r="A435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35" s="1" t="str">
        <f ca="1">IFERROR(__xludf.DUMMYFUNCTION("""COMPUTED_VALUE"""),"KZ.7700.02.01.00504788")</f>
        <v>KZ.7700.02.01.00504788</v>
      </c>
      <c r="C435" s="1" t="str">
        <f ca="1">IFERROR(__xludf.DUMMYFUNCTION("""COMPUTED_VALUE"""),"Действителен до 31.12.2022")</f>
        <v>Действителен до 31.12.2022</v>
      </c>
      <c r="D435" s="8" t="str">
        <f ca="1">IFERROR(__xludf.DUMMYFUNCTION("""COMPUTED_VALUE"""),"1712KAR0862")</f>
        <v>1712KAR0862</v>
      </c>
      <c r="E435" s="1" t="str">
        <f ca="1">IFERROR(__xludf.DUMMYFUNCTION("""COMPUTED_VALUE"""),"годен до 10.2022")</f>
        <v>годен до 10.2022</v>
      </c>
      <c r="F435" s="1" t="str">
        <f ca="1">IFERROR(__xludf.DUMMYFUNCTION("""COMPUTED_VALUE"""),"DOLPHI анатомические ультратонкие, №12 Презервативы латексные - 1712KAR0862")</f>
        <v>DOLPHI анатомические ультратонкие, №12 Презервативы латексные - 1712KAR0862</v>
      </c>
      <c r="G435" s="1" t="str">
        <f ca="1">IFERROR(__xludf.DUMMYFUNCTION("""COMPUTED_VALUE"""),"KZ.7700.02.01.00504788 / Действителен до 31.12.2022 / 1712KAR0862 / годен до 10.2022")</f>
        <v>KZ.7700.02.01.00504788 / Действителен до 31.12.2022 / 1712KAR0862 / годен до 10.2022</v>
      </c>
      <c r="H435" s="1" t="str">
        <f ca="1">IFERROR(__xludf.DUMMYFUNCTION("""COMPUTED_VALUE"""),"DOLPHI анатомические ультратонкие, №12 Презервативы латексные KZ.7700.02.01.00504788 / Действителен до 31.12.2022 / 1712KAR0862 / годен до 10.2022")</f>
        <v>DOLPHI анатомические ультратонкие, №12 Презервативы латексные KZ.7700.02.01.00504788 / Действителен до 31.12.2022 / 1712KAR0862 / годен до 10.2022</v>
      </c>
    </row>
    <row r="436" spans="1:8" ht="12.75" x14ac:dyDescent="0.2">
      <c r="A436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36" s="1" t="str">
        <f ca="1">IFERROR(__xludf.DUMMYFUNCTION("""COMPUTED_VALUE"""),"KZ.7700.02.01.00504694")</f>
        <v>KZ.7700.02.01.00504694</v>
      </c>
      <c r="C436" s="1" t="str">
        <f ca="1">IFERROR(__xludf.DUMMYFUNCTION("""COMPUTED_VALUE"""),"Действителен до 28.02.2023")</f>
        <v>Действителен до 28.02.2023</v>
      </c>
      <c r="D436" s="8" t="str">
        <f ca="1">IFERROR(__xludf.DUMMYFUNCTION("""COMPUTED_VALUE"""),"1801kar0858")</f>
        <v>1801kar0858</v>
      </c>
      <c r="E436" s="1" t="str">
        <f ca="1">IFERROR(__xludf.DUMMYFUNCTION("""COMPUTED_VALUE"""),"годен до 02.2023")</f>
        <v>годен до 02.2023</v>
      </c>
      <c r="F436" s="1" t="str">
        <f ca="1">IFERROR(__xludf.DUMMYFUNCTION("""COMPUTED_VALUE"""),"DOLPHI анатомические ультратонкие, №12 Презервативы латексные - 1801kar0858")</f>
        <v>DOLPHI анатомические ультратонкие, №12 Презервативы латексные - 1801kar0858</v>
      </c>
      <c r="G436" s="1" t="str">
        <f ca="1">IFERROR(__xludf.DUMMYFUNCTION("""COMPUTED_VALUE"""),"KZ.7700.02.01.00504694 / Действителен до 28.02.2023 / 1801kar0858 / годен до 02.2023")</f>
        <v>KZ.7700.02.01.00504694 / Действителен до 28.02.2023 / 1801kar0858 / годен до 02.2023</v>
      </c>
      <c r="H436" s="1" t="str">
        <f ca="1">IFERROR(__xludf.DUMMYFUNCTION("""COMPUTED_VALUE"""),"DOLPHI анатомические ультратонкие, №12 Презервативы латексные KZ.7700.02.01.00504694 / Действителен до 28.02.2023 / 1801kar0858 / годен до 02.2023")</f>
        <v>DOLPHI анатомические ультратонкие, №12 Презервативы латексные KZ.7700.02.01.00504694 / Действителен до 28.02.2023 / 1801kar0858 / годен до 02.2023</v>
      </c>
    </row>
    <row r="437" spans="1:8" ht="12.75" x14ac:dyDescent="0.2">
      <c r="A437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37" s="1" t="str">
        <f ca="1">IFERROR(__xludf.DUMMYFUNCTION("""COMPUTED_VALUE"""),"KZ.7700.02.01.00504719")</f>
        <v>KZ.7700.02.01.00504719</v>
      </c>
      <c r="C437" s="1" t="str">
        <f ca="1">IFERROR(__xludf.DUMMYFUNCTION("""COMPUTED_VALUE"""),"Действителен до 31.01.2023")</f>
        <v>Действителен до 31.01.2023</v>
      </c>
      <c r="D437" s="8" t="str">
        <f ca="1">IFERROR(__xludf.DUMMYFUNCTION("""COMPUTED_VALUE"""),"1801kar0858")</f>
        <v>1801kar0858</v>
      </c>
      <c r="E437" s="1" t="str">
        <f ca="1">IFERROR(__xludf.DUMMYFUNCTION("""COMPUTED_VALUE"""),"годен до 01.2023")</f>
        <v>годен до 01.2023</v>
      </c>
      <c r="F437" s="1" t="str">
        <f ca="1">IFERROR(__xludf.DUMMYFUNCTION("""COMPUTED_VALUE"""),"DOLPHI анатомические ультратонкие, №12 Презервативы латексные - 1801kar0858")</f>
        <v>DOLPHI анатомические ультратонкие, №12 Презервативы латексные - 1801kar0858</v>
      </c>
      <c r="G437" s="1" t="str">
        <f ca="1">IFERROR(__xludf.DUMMYFUNCTION("""COMPUTED_VALUE"""),"KZ.7700.02.01.00504719 / Действителен до 31.01.2023 / 1801kar0858 / годен до 01.2023")</f>
        <v>KZ.7700.02.01.00504719 / Действителен до 31.01.2023 / 1801kar0858 / годен до 01.2023</v>
      </c>
      <c r="H437" s="1" t="str">
        <f ca="1">IFERROR(__xludf.DUMMYFUNCTION("""COMPUTED_VALUE"""),"DOLPHI анатомические ультратонкие, №12 Презервативы латексные KZ.7700.02.01.00504719 / Действителен до 31.01.2023 / 1801kar0858 / годен до 01.2023")</f>
        <v>DOLPHI анатомические ультратонкие, №12 Презервативы латексные KZ.7700.02.01.00504719 / Действителен до 31.01.2023 / 1801kar0858 / годен до 01.2023</v>
      </c>
    </row>
    <row r="438" spans="1:8" ht="12.75" x14ac:dyDescent="0.2">
      <c r="A438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38" s="1" t="str">
        <f ca="1">IFERROR(__xludf.DUMMYFUNCTION("""COMPUTED_VALUE"""),"KZ.7700.02.01.00504743")</f>
        <v>KZ.7700.02.01.00504743</v>
      </c>
      <c r="C438" s="1" t="str">
        <f ca="1">IFERROR(__xludf.DUMMYFUNCTION("""COMPUTED_VALUE"""),"Действителен до 31.12.2022")</f>
        <v>Действителен до 31.12.2022</v>
      </c>
      <c r="D438" s="8" t="str">
        <f ca="1">IFERROR(__xludf.DUMMYFUNCTION("""COMPUTED_VALUE"""),"1712KAR0862")</f>
        <v>1712KAR0862</v>
      </c>
      <c r="E438" s="1" t="str">
        <f ca="1">IFERROR(__xludf.DUMMYFUNCTION("""COMPUTED_VALUE"""),"годен до 10.2022")</f>
        <v>годен до 10.2022</v>
      </c>
      <c r="F438" s="1" t="str">
        <f ca="1">IFERROR(__xludf.DUMMYFUNCTION("""COMPUTED_VALUE"""),"DOLPHI анатомические ультратонкие, №12 Презервативы латексные - 1712KAR0862")</f>
        <v>DOLPHI анатомические ультратонкие, №12 Презервативы латексные - 1712KAR0862</v>
      </c>
      <c r="G438" s="1" t="str">
        <f ca="1">IFERROR(__xludf.DUMMYFUNCTION("""COMPUTED_VALUE"""),"KZ.7700.02.01.00504743 / Действителен до 31.12.2022 / 1712KAR0862 / годен до 10.2022")</f>
        <v>KZ.7700.02.01.00504743 / Действителен до 31.12.2022 / 1712KAR0862 / годен до 10.2022</v>
      </c>
      <c r="H438" s="1" t="str">
        <f ca="1">IFERROR(__xludf.DUMMYFUNCTION("""COMPUTED_VALUE"""),"DOLPHI анатомические ультратонкие, №12 Презервативы латексные KZ.7700.02.01.00504743 / Действителен до 31.12.2022 / 1712KAR0862 / годен до 10.2022")</f>
        <v>DOLPHI анатомические ультратонкие, №12 Презервативы латексные KZ.7700.02.01.00504743 / Действителен до 31.12.2022 / 1712KAR0862 / годен до 10.2022</v>
      </c>
    </row>
    <row r="439" spans="1:8" ht="12.75" x14ac:dyDescent="0.2">
      <c r="A439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39" s="1" t="str">
        <f ca="1">IFERROR(__xludf.DUMMYFUNCTION("""COMPUTED_VALUE"""),"KZ.7700.02.01.00504766")</f>
        <v>KZ.7700.02.01.00504766</v>
      </c>
      <c r="C439" s="1" t="str">
        <f ca="1">IFERROR(__xludf.DUMMYFUNCTION("""COMPUTED_VALUE"""),"Действителен до 30.10.2022")</f>
        <v>Действителен до 30.10.2022</v>
      </c>
      <c r="D439" s="8" t="str">
        <f ca="1">IFERROR(__xludf.DUMMYFUNCTION("""COMPUTED_VALUE"""),"1711kar0862")</f>
        <v>1711kar0862</v>
      </c>
      <c r="E439" s="1" t="str">
        <f ca="1">IFERROR(__xludf.DUMMYFUNCTION("""COMPUTED_VALUE"""),"годен до 11.2022")</f>
        <v>годен до 11.2022</v>
      </c>
      <c r="F439" s="1" t="str">
        <f ca="1">IFERROR(__xludf.DUMMYFUNCTION("""COMPUTED_VALUE"""),"DOLPHI анатомические ультратонкие, №12 Презервативы латексные - 1711kar0862")</f>
        <v>DOLPHI анатомические ультратонкие, №12 Презервативы латексные - 1711kar0862</v>
      </c>
      <c r="G439" s="1" t="str">
        <f ca="1">IFERROR(__xludf.DUMMYFUNCTION("""COMPUTED_VALUE"""),"KZ.7700.02.01.00504766 / Действителен до 30.10.2022 / 1711kar0862 / годен до 11.2022")</f>
        <v>KZ.7700.02.01.00504766 / Действителен до 30.10.2022 / 1711kar0862 / годен до 11.2022</v>
      </c>
      <c r="H439" s="1" t="str">
        <f ca="1">IFERROR(__xludf.DUMMYFUNCTION("""COMPUTED_VALUE"""),"DOLPHI анатомические ультратонкие, №12 Презервативы латексные KZ.7700.02.01.00504766 / Действителен до 30.10.2022 / 1711kar0862 / годен до 11.2022")</f>
        <v>DOLPHI анатомические ультратонкие, №12 Презервативы латексные KZ.7700.02.01.00504766 / Действителен до 30.10.2022 / 1711kar0862 / годен до 11.2022</v>
      </c>
    </row>
    <row r="440" spans="1:8" ht="12.75" x14ac:dyDescent="0.2">
      <c r="A440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40" s="1" t="str">
        <f ca="1">IFERROR(__xludf.DUMMYFUNCTION("""COMPUTED_VALUE"""),"KZ.7700.02.01.00504871")</f>
        <v>KZ.7700.02.01.00504871</v>
      </c>
      <c r="C440" s="1" t="str">
        <f ca="1">IFERROR(__xludf.DUMMYFUNCTION("""COMPUTED_VALUE"""),"Действителен до 30.10.2022")</f>
        <v>Действителен до 30.10.2022</v>
      </c>
      <c r="D440" s="8" t="str">
        <f ca="1">IFERROR(__xludf.DUMMYFUNCTION("""COMPUTED_VALUE"""),"1711kar0862")</f>
        <v>1711kar0862</v>
      </c>
      <c r="E440" s="1" t="str">
        <f ca="1">IFERROR(__xludf.DUMMYFUNCTION("""COMPUTED_VALUE"""),"годен до 11.2022")</f>
        <v>годен до 11.2022</v>
      </c>
      <c r="F440" s="1" t="str">
        <f ca="1">IFERROR(__xludf.DUMMYFUNCTION("""COMPUTED_VALUE"""),"DOLPHI анатомические ультратонкие Презервативы латексные, № 3 - 1711kar0862")</f>
        <v>DOLPHI анатомические ультратонкие Презервативы латексные, № 3 - 1711kar0862</v>
      </c>
      <c r="G440" s="1" t="str">
        <f ca="1">IFERROR(__xludf.DUMMYFUNCTION("""COMPUTED_VALUE"""),"KZ.7700.02.01.00504871 / Действителен до 30.10.2022 / 1711kar0862 / годен до 11.2022")</f>
        <v>KZ.7700.02.01.00504871 / Действителен до 30.10.2022 / 1711kar0862 / годен до 11.2022</v>
      </c>
      <c r="H440" s="1" t="str">
        <f ca="1">IFERROR(__xludf.DUMMYFUNCTION("""COMPUTED_VALUE"""),"DOLPHI анатомические ультратонкие Презервативы латексные, № 3 KZ.7700.02.01.00504871 / Действителен до 30.10.2022 / 1711kar0862 / годен до 11.2022")</f>
        <v>DOLPHI анатомические ультратонкие Презервативы латексные, № 3 KZ.7700.02.01.00504871 / Действителен до 30.10.2022 / 1711kar0862 / годен до 11.2022</v>
      </c>
    </row>
    <row r="441" spans="1:8" ht="12.75" x14ac:dyDescent="0.2">
      <c r="A441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41" s="1" t="str">
        <f ca="1">IFERROR(__xludf.DUMMYFUNCTION("""COMPUTED_VALUE"""),"KZ.7700.02.01.00504814")</f>
        <v>KZ.7700.02.01.00504814</v>
      </c>
      <c r="C441" s="1" t="str">
        <f ca="1">IFERROR(__xludf.DUMMYFUNCTION("""COMPUTED_VALUE"""),"Действителен до 30.12.2022")</f>
        <v>Действителен до 30.12.2022</v>
      </c>
      <c r="D441" s="8" t="str">
        <f ca="1">IFERROR(__xludf.DUMMYFUNCTION("""COMPUTED_VALUE"""),"1711kar0862")</f>
        <v>1711kar0862</v>
      </c>
      <c r="E441" s="1" t="str">
        <f ca="1">IFERROR(__xludf.DUMMYFUNCTION("""COMPUTED_VALUE"""),"годен до 12.2022")</f>
        <v>годен до 12.2022</v>
      </c>
      <c r="F441" s="1" t="str">
        <f ca="1">IFERROR(__xludf.DUMMYFUNCTION("""COMPUTED_VALUE"""),"DOLPHI анатомические ультратонкие Презервативы латексные, № 3 - 1711kar0862")</f>
        <v>DOLPHI анатомические ультратонкие Презервативы латексные, № 3 - 1711kar0862</v>
      </c>
      <c r="G441" s="1" t="str">
        <f ca="1">IFERROR(__xludf.DUMMYFUNCTION("""COMPUTED_VALUE"""),"KZ.7700.02.01.00504814 / Действителен до 30.12.2022 / 1711kar0862 / годен до 12.2022")</f>
        <v>KZ.7700.02.01.00504814 / Действителен до 30.12.2022 / 1711kar0862 / годен до 12.2022</v>
      </c>
      <c r="H441" s="1" t="str">
        <f ca="1">IFERROR(__xludf.DUMMYFUNCTION("""COMPUTED_VALUE"""),"DOLPHI анатомические ультратонкие Презервативы латексные, № 3 KZ.7700.02.01.00504814 / Действителен до 30.12.2022 / 1711kar0862 / годен до 12.2022")</f>
        <v>DOLPHI анатомические ультратонкие Презервативы латексные, № 3 KZ.7700.02.01.00504814 / Действителен до 30.12.2022 / 1711kar0862 / годен до 12.2022</v>
      </c>
    </row>
    <row r="442" spans="1:8" ht="12.75" x14ac:dyDescent="0.2">
      <c r="A442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42" s="1" t="str">
        <f ca="1">IFERROR(__xludf.DUMMYFUNCTION("""COMPUTED_VALUE"""),"KZ.7700.02.01.00504834")</f>
        <v>KZ.7700.02.01.00504834</v>
      </c>
      <c r="C442" s="1" t="str">
        <f ca="1">IFERROR(__xludf.DUMMYFUNCTION("""COMPUTED_VALUE"""),"Действителен до 31.01.2023")</f>
        <v>Действителен до 31.01.2023</v>
      </c>
      <c r="D442" s="8" t="str">
        <f ca="1">IFERROR(__xludf.DUMMYFUNCTION("""COMPUTED_VALUE"""),"1801kar0858")</f>
        <v>1801kar0858</v>
      </c>
      <c r="E442" s="1" t="str">
        <f ca="1">IFERROR(__xludf.DUMMYFUNCTION("""COMPUTED_VALUE"""),"годен до 01.2023")</f>
        <v>годен до 01.2023</v>
      </c>
      <c r="F442" s="1" t="str">
        <f ca="1">IFERROR(__xludf.DUMMYFUNCTION("""COMPUTED_VALUE"""),"DOLPHI анатомические ультратонкие Презервативы латексные, № 3 - 1801kar0858")</f>
        <v>DOLPHI анатомические ультратонкие Презервативы латексные, № 3 - 1801kar0858</v>
      </c>
      <c r="G442" s="1" t="str">
        <f ca="1">IFERROR(__xludf.DUMMYFUNCTION("""COMPUTED_VALUE"""),"KZ.7700.02.01.00504834 / Действителен до 31.01.2023 / 1801kar0858 / годен до 01.2023")</f>
        <v>KZ.7700.02.01.00504834 / Действителен до 31.01.2023 / 1801kar0858 / годен до 01.2023</v>
      </c>
      <c r="H442" s="1" t="str">
        <f ca="1">IFERROR(__xludf.DUMMYFUNCTION("""COMPUTED_VALUE"""),"DOLPHI анатомические ультратонкие Презервативы латексные, № 3 KZ.7700.02.01.00504834 / Действителен до 31.01.2023 / 1801kar0858 / годен до 01.2023")</f>
        <v>DOLPHI анатомические ультратонкие Презервативы латексные, № 3 KZ.7700.02.01.00504834 / Действителен до 31.01.2023 / 1801kar0858 / годен до 01.2023</v>
      </c>
    </row>
    <row r="443" spans="1:8" ht="12.75" x14ac:dyDescent="0.2">
      <c r="A443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43" s="1" t="str">
        <f ca="1">IFERROR(__xludf.DUMMYFUNCTION("""COMPUTED_VALUE"""),"KZ.7700.02.01.0050888")</f>
        <v>KZ.7700.02.01.0050888</v>
      </c>
      <c r="C443" s="1" t="str">
        <f ca="1">IFERROR(__xludf.DUMMYFUNCTION("""COMPUTED_VALUE"""),"Действителен до 31.12.2022")</f>
        <v>Действителен до 31.12.2022</v>
      </c>
      <c r="D443" s="8" t="str">
        <f ca="1">IFERROR(__xludf.DUMMYFUNCTION("""COMPUTED_VALUE"""),"1712kar0862")</f>
        <v>1712kar0862</v>
      </c>
      <c r="E443" s="1" t="str">
        <f ca="1">IFERROR(__xludf.DUMMYFUNCTION("""COMPUTED_VALUE"""),"годен до 12.2022")</f>
        <v>годен до 12.2022</v>
      </c>
      <c r="F443" s="1" t="str">
        <f ca="1">IFERROR(__xludf.DUMMYFUNCTION("""COMPUTED_VALUE"""),"DOLPHI анатомические ультратонкие Презервативы латексные, № 3 - 1712kar0862")</f>
        <v>DOLPHI анатомические ультратонкие Презервативы латексные, № 3 - 1712kar0862</v>
      </c>
      <c r="G443" s="1" t="str">
        <f ca="1">IFERROR(__xludf.DUMMYFUNCTION("""COMPUTED_VALUE"""),"KZ.7700.02.01.0050888 / Действителен до 31.12.2022 / 1712kar0862 / годен до 12.2022")</f>
        <v>KZ.7700.02.01.0050888 / Действителен до 31.12.2022 / 1712kar0862 / годен до 12.2022</v>
      </c>
      <c r="H443" s="1" t="str">
        <f ca="1">IFERROR(__xludf.DUMMYFUNCTION("""COMPUTED_VALUE"""),"DOLPHI анатомические ультратонкие Презервативы латексные, № 3 KZ.7700.02.01.0050888 / Действителен до 31.12.2022 / 1712kar0862 / годен до 12.2022")</f>
        <v>DOLPHI анатомические ультратонкие Презервативы латексные, № 3 KZ.7700.02.01.0050888 / Действителен до 31.12.2022 / 1712kar0862 / годен до 12.2022</v>
      </c>
    </row>
    <row r="444" spans="1:8" ht="12.75" x14ac:dyDescent="0.2">
      <c r="A444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44" s="1" t="str">
        <f ca="1">IFERROR(__xludf.DUMMYFUNCTION("""COMPUTED_VALUE"""),"KZ.7700.02.01.00504853")</f>
        <v>KZ.7700.02.01.00504853</v>
      </c>
      <c r="C444" s="1" t="str">
        <f ca="1">IFERROR(__xludf.DUMMYFUNCTION("""COMPUTED_VALUE"""),"Действителен до 31.10.2022")</f>
        <v>Действителен до 31.10.2022</v>
      </c>
      <c r="D444" s="8" t="str">
        <f ca="1">IFERROR(__xludf.DUMMYFUNCTION("""COMPUTED_VALUE"""),"1710kar0955")</f>
        <v>1710kar0955</v>
      </c>
      <c r="E444" s="1" t="str">
        <f ca="1">IFERROR(__xludf.DUMMYFUNCTION("""COMPUTED_VALUE"""),"годен до 10.2022")</f>
        <v>годен до 10.2022</v>
      </c>
      <c r="F444" s="1" t="str">
        <f ca="1">IFERROR(__xludf.DUMMYFUNCTION("""COMPUTED_VALUE"""),"DOLPHI анатомические ультратонкие Презервативы латексные, № 3 - 1710kar0955")</f>
        <v>DOLPHI анатомические ультратонкие Презервативы латексные, № 3 - 1710kar0955</v>
      </c>
      <c r="G444" s="1" t="str">
        <f ca="1">IFERROR(__xludf.DUMMYFUNCTION("""COMPUTED_VALUE"""),"KZ.7700.02.01.00504853 / Действителен до 31.10.2022 / 1710kar0955 / годен до 10.2022")</f>
        <v>KZ.7700.02.01.00504853 / Действителен до 31.10.2022 / 1710kar0955 / годен до 10.2022</v>
      </c>
      <c r="H444" s="1" t="str">
        <f ca="1">IFERROR(__xludf.DUMMYFUNCTION("""COMPUTED_VALUE"""),"DOLPHI анатомические ультратонкие Презервативы латексные, № 3 KZ.7700.02.01.00504853 / Действителен до 31.10.2022 / 1710kar0955 / годен до 10.2022")</f>
        <v>DOLPHI анатомические ультратонкие Презервативы латексные, № 3 KZ.7700.02.01.00504853 / Действителен до 31.10.2022 / 1710kar0955 / годен до 10.2022</v>
      </c>
    </row>
    <row r="445" spans="1:8" ht="12.75" x14ac:dyDescent="0.2">
      <c r="A445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445" s="1" t="str">
        <f ca="1">IFERROR(__xludf.DUMMYFUNCTION("""COMPUTED_VALUE"""),"KZ.7700.02.01.00504899")</f>
        <v>KZ.7700.02.01.00504899</v>
      </c>
      <c r="C445" s="1" t="str">
        <f ca="1">IFERROR(__xludf.DUMMYFUNCTION("""COMPUTED_VALUE"""),"Действителен до 28.02.2023")</f>
        <v>Действителен до 28.02.2023</v>
      </c>
      <c r="D445" s="8" t="str">
        <f ca="1">IFERROR(__xludf.DUMMYFUNCTION("""COMPUTED_VALUE"""),"1802tni1763")</f>
        <v>1802tni1763</v>
      </c>
      <c r="E445" s="1" t="str">
        <f ca="1">IFERROR(__xludf.DUMMYFUNCTION("""COMPUTED_VALUE"""),"годен до 02.2023")</f>
        <v>годен до 02.2023</v>
      </c>
      <c r="F445" s="1" t="str">
        <f ca="1">IFERROR(__xludf.DUMMYFUNCTION("""COMPUTED_VALUE"""),"DOLPHI классические, №12 Презервативы латексные - 1802tni1763")</f>
        <v>DOLPHI классические, №12 Презервативы латексные - 1802tni1763</v>
      </c>
      <c r="G445" s="1" t="str">
        <f ca="1">IFERROR(__xludf.DUMMYFUNCTION("""COMPUTED_VALUE"""),"KZ.7700.02.01.00504899 / Действителен до 28.02.2023 / 1802tni1763 / годен до 02.2023")</f>
        <v>KZ.7700.02.01.00504899 / Действителен до 28.02.2023 / 1802tni1763 / годен до 02.2023</v>
      </c>
      <c r="H445" s="1" t="str">
        <f ca="1">IFERROR(__xludf.DUMMYFUNCTION("""COMPUTED_VALUE"""),"DOLPHI классические, №12 Презервативы латексные KZ.7700.02.01.00504899 / Действителен до 28.02.2023 / 1802tni1763 / годен до 02.2023")</f>
        <v>DOLPHI классические, №12 Презервативы латексные KZ.7700.02.01.00504899 / Действителен до 28.02.2023 / 1802tni1763 / годен до 02.2023</v>
      </c>
    </row>
    <row r="446" spans="1:8" ht="12.75" x14ac:dyDescent="0.2">
      <c r="A446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446" s="1" t="str">
        <f ca="1">IFERROR(__xludf.DUMMYFUNCTION("""COMPUTED_VALUE"""),"KZ.7700.02.01.00504914")</f>
        <v>KZ.7700.02.01.00504914</v>
      </c>
      <c r="C446" s="1" t="str">
        <f ca="1">IFERROR(__xludf.DUMMYFUNCTION("""COMPUTED_VALUE"""),"Действителен до 28.02.2023")</f>
        <v>Действителен до 28.02.2023</v>
      </c>
      <c r="D446" s="8" t="str">
        <f ca="1">IFERROR(__xludf.DUMMYFUNCTION("""COMPUTED_VALUE"""),"1802cpr1763")</f>
        <v>1802cpr1763</v>
      </c>
      <c r="E446" s="1" t="str">
        <f ca="1">IFERROR(__xludf.DUMMYFUNCTION("""COMPUTED_VALUE"""),"годен до 02.2023")</f>
        <v>годен до 02.2023</v>
      </c>
      <c r="F446" s="1" t="str">
        <f ca="1">IFERROR(__xludf.DUMMYFUNCTION("""COMPUTED_VALUE"""),"DOLPHI классические, №12 Презервативы латексные - 1802cpr1763")</f>
        <v>DOLPHI классические, №12 Презервативы латексные - 1802cpr1763</v>
      </c>
      <c r="G446" s="1" t="str">
        <f ca="1">IFERROR(__xludf.DUMMYFUNCTION("""COMPUTED_VALUE"""),"KZ.7700.02.01.00504914 / Действителен до 28.02.2023 / 1802cpr1763 / годен до 02.2023")</f>
        <v>KZ.7700.02.01.00504914 / Действителен до 28.02.2023 / 1802cpr1763 / годен до 02.2023</v>
      </c>
      <c r="H446" s="1" t="str">
        <f ca="1">IFERROR(__xludf.DUMMYFUNCTION("""COMPUTED_VALUE"""),"DOLPHI классические, №12 Презервативы латексные KZ.7700.02.01.00504914 / Действителен до 28.02.2023 / 1802cpr1763 / годен до 02.2023")</f>
        <v>DOLPHI классические, №12 Презервативы латексные KZ.7700.02.01.00504914 / Действителен до 28.02.2023 / 1802cpr1763 / годен до 02.2023</v>
      </c>
    </row>
    <row r="447" spans="1:8" ht="12.75" x14ac:dyDescent="0.2">
      <c r="A447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447" s="1" t="str">
        <f ca="1">IFERROR(__xludf.DUMMYFUNCTION("""COMPUTED_VALUE"""),"KZ.7700.02.01.00504931")</f>
        <v>KZ.7700.02.01.00504931</v>
      </c>
      <c r="C447" s="1" t="str">
        <f ca="1">IFERROR(__xludf.DUMMYFUNCTION("""COMPUTED_VALUE"""),"Действителен до 28.02.2023")</f>
        <v>Действителен до 28.02.2023</v>
      </c>
      <c r="D447" s="8" t="str">
        <f ca="1">IFERROR(__xludf.DUMMYFUNCTION("""COMPUTED_VALUE"""),"1802tni1763")</f>
        <v>1802tni1763</v>
      </c>
      <c r="E447" s="1" t="str">
        <f ca="1">IFERROR(__xludf.DUMMYFUNCTION("""COMPUTED_VALUE"""),"годен до 02.2023")</f>
        <v>годен до 02.2023</v>
      </c>
      <c r="F447" s="1" t="str">
        <f ca="1">IFERROR(__xludf.DUMMYFUNCTION("""COMPUTED_VALUE"""),"DOLPHI Класические №3 Презервативы латексные - 1802tni1763")</f>
        <v>DOLPHI Класические №3 Презервативы латексные - 1802tni1763</v>
      </c>
      <c r="G447" s="1" t="str">
        <f ca="1">IFERROR(__xludf.DUMMYFUNCTION("""COMPUTED_VALUE"""),"KZ.7700.02.01.00504931 / Действителен до 28.02.2023 / 1802tni1763 / годен до 02.2023")</f>
        <v>KZ.7700.02.01.00504931 / Действителен до 28.02.2023 / 1802tni1763 / годен до 02.2023</v>
      </c>
      <c r="H447" s="1" t="str">
        <f ca="1">IFERROR(__xludf.DUMMYFUNCTION("""COMPUTED_VALUE"""),"DOLPHI Класические №3 Презервативы латексные KZ.7700.02.01.00504931 / Действителен до 28.02.2023 / 1802tni1763 / годен до 02.2023")</f>
        <v>DOLPHI Класические №3 Презервативы латексные KZ.7700.02.01.00504931 / Действителен до 28.02.2023 / 1802tni1763 / годен до 02.2023</v>
      </c>
    </row>
    <row r="448" spans="1:8" ht="12.75" x14ac:dyDescent="0.2">
      <c r="A448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448" s="1" t="str">
        <f ca="1">IFERROR(__xludf.DUMMYFUNCTION("""COMPUTED_VALUE"""),"KZ.7700.02.01.00504078")</f>
        <v>KZ.7700.02.01.00504078</v>
      </c>
      <c r="C448" s="1" t="str">
        <f ca="1">IFERROR(__xludf.DUMMYFUNCTION("""COMPUTED_VALUE"""),"Действителен до 31.01.2023")</f>
        <v>Действителен до 31.01.2023</v>
      </c>
      <c r="D448" s="8" t="str">
        <f ca="1">IFERROR(__xludf.DUMMYFUNCTION("""COMPUTED_VALUE"""),"1802tni1763")</f>
        <v>1802tni1763</v>
      </c>
      <c r="E448" s="1" t="str">
        <f ca="1">IFERROR(__xludf.DUMMYFUNCTION("""COMPUTED_VALUE"""),"годен до 02.2023")</f>
        <v>годен до 02.2023</v>
      </c>
      <c r="F448" s="1" t="str">
        <f ca="1">IFERROR(__xludf.DUMMYFUNCTION("""COMPUTED_VALUE"""),"DOLPHI Класические №3 Презервативы латексные - 1802tni1763")</f>
        <v>DOLPHI Класические №3 Презервативы латексные - 1802tni1763</v>
      </c>
      <c r="G448" s="1" t="str">
        <f ca="1">IFERROR(__xludf.DUMMYFUNCTION("""COMPUTED_VALUE"""),"KZ.7700.02.01.00504078 / Действителен до 31.01.2023 / 1802tni1763 / годен до 02.2023")</f>
        <v>KZ.7700.02.01.00504078 / Действителен до 31.01.2023 / 1802tni1763 / годен до 02.2023</v>
      </c>
      <c r="H448" s="1" t="str">
        <f ca="1">IFERROR(__xludf.DUMMYFUNCTION("""COMPUTED_VALUE"""),"DOLPHI Класические №3 Презервативы латексные KZ.7700.02.01.00504078 / Действителен до 31.01.2023 / 1802tni1763 / годен до 02.2023")</f>
        <v>DOLPHI Класические №3 Презервативы латексные KZ.7700.02.01.00504078 / Действителен до 31.01.2023 / 1802tni1763 / годен до 02.2023</v>
      </c>
    </row>
    <row r="449" spans="1:8" ht="12.75" x14ac:dyDescent="0.2">
      <c r="A449" s="1" t="str">
        <f ca="1">IFERROR(__xludf.DUMMYFUNCTION("""COMPUTED_VALUE"""),"DOLPHI 3 в 1 №12 Презервативы латексные")</f>
        <v>DOLPHI 3 в 1 №12 Презервативы латексные</v>
      </c>
      <c r="B449" s="1" t="str">
        <f ca="1">IFERROR(__xludf.DUMMYFUNCTION("""COMPUTED_VALUE"""),"KZ.7700.02.01.00504078")</f>
        <v>KZ.7700.02.01.00504078</v>
      </c>
      <c r="C449" s="1" t="str">
        <f ca="1">IFERROR(__xludf.DUMMYFUNCTION("""COMPUTED_VALUE"""),"Действителен до 31.01.2023")</f>
        <v>Действителен до 31.01.2023</v>
      </c>
      <c r="D449" s="8" t="str">
        <f ca="1">IFERROR(__xludf.DUMMYFUNCTION("""COMPUTED_VALUE"""),"1801KAR1537")</f>
        <v>1801KAR1537</v>
      </c>
      <c r="E449" s="1" t="str">
        <f ca="1">IFERROR(__xludf.DUMMYFUNCTION("""COMPUTED_VALUE"""),"годен до 01.2023")</f>
        <v>годен до 01.2023</v>
      </c>
      <c r="F449" s="1" t="str">
        <f ca="1">IFERROR(__xludf.DUMMYFUNCTION("""COMPUTED_VALUE"""),"DOLPHI 3 в 1 №12 Презервативы латексные - 1801KAR1537")</f>
        <v>DOLPHI 3 в 1 №12 Презервативы латексные - 1801KAR1537</v>
      </c>
      <c r="G449" s="1" t="str">
        <f ca="1">IFERROR(__xludf.DUMMYFUNCTION("""COMPUTED_VALUE"""),"KZ.7700.02.01.00504078 / Действителен до 31.01.2023 / 1801KAR1537 / годен до 01.2023")</f>
        <v>KZ.7700.02.01.00504078 / Действителен до 31.01.2023 / 1801KAR1537 / годен до 01.2023</v>
      </c>
      <c r="H449" s="1" t="str">
        <f ca="1">IFERROR(__xludf.DUMMYFUNCTION("""COMPUTED_VALUE"""),"DOLPHI 3 в 1 №12 Презервативы латексные KZ.7700.02.01.00504078 / Действителен до 31.01.2023 / 1801KAR1537 / годен до 01.2023")</f>
        <v>DOLPHI 3 в 1 №12 Презервативы латексные KZ.7700.02.01.00504078 / Действителен до 31.01.2023 / 1801KAR1537 / годен до 01.2023</v>
      </c>
    </row>
    <row r="450" spans="1:8" ht="12.75" x14ac:dyDescent="0.2">
      <c r="A450" s="1" t="str">
        <f ca="1">IFERROR(__xludf.DUMMYFUNCTION("""COMPUTED_VALUE"""),"DOLPHI 3 в 1 №12 Презервативы латексные")</f>
        <v>DOLPHI 3 в 1 №12 Презервативы латексные</v>
      </c>
      <c r="B450" s="1" t="str">
        <f ca="1">IFERROR(__xludf.DUMMYFUNCTION("""COMPUTED_VALUE"""),"KZ.7700.02.01.00504402")</f>
        <v>KZ.7700.02.01.00504402</v>
      </c>
      <c r="C450" s="1" t="str">
        <f ca="1">IFERROR(__xludf.DUMMYFUNCTION("""COMPUTED_VALUE"""),"Действителен до 30.09.2022")</f>
        <v>Действителен до 30.09.2022</v>
      </c>
      <c r="D450" s="8" t="str">
        <f ca="1">IFERROR(__xludf.DUMMYFUNCTION("""COMPUTED_VALUE"""),"1709cpr1536")</f>
        <v>1709cpr1536</v>
      </c>
      <c r="E450" s="1" t="str">
        <f ca="1">IFERROR(__xludf.DUMMYFUNCTION("""COMPUTED_VALUE"""),"годен до 09.2022")</f>
        <v>годен до 09.2022</v>
      </c>
      <c r="F450" s="1" t="str">
        <f ca="1">IFERROR(__xludf.DUMMYFUNCTION("""COMPUTED_VALUE"""),"DOLPHI 3 в 1 №12 Презервативы латексные - 1709cpr1536")</f>
        <v>DOLPHI 3 в 1 №12 Презервативы латексные - 1709cpr1536</v>
      </c>
      <c r="G450" s="1" t="str">
        <f ca="1">IFERROR(__xludf.DUMMYFUNCTION("""COMPUTED_VALUE"""),"KZ.7700.02.01.00504402 / Действителен до 30.09.2022 / 1709cpr1536 / годен до 09.2022")</f>
        <v>KZ.7700.02.01.00504402 / Действителен до 30.09.2022 / 1709cpr1536 / годен до 09.2022</v>
      </c>
      <c r="H450" s="1" t="str">
        <f ca="1">IFERROR(__xludf.DUMMYFUNCTION("""COMPUTED_VALUE"""),"DOLPHI 3 в 1 №12 Презервативы латексные KZ.7700.02.01.00504402 / Действителен до 30.09.2022 / 1709cpr1536 / годен до 09.2022")</f>
        <v>DOLPHI 3 в 1 №12 Презервативы латексные KZ.7700.02.01.00504402 / Действителен до 30.09.2022 / 1709cpr1536 / годен до 09.2022</v>
      </c>
    </row>
    <row r="451" spans="1:8" ht="12.75" x14ac:dyDescent="0.2">
      <c r="A451" s="1" t="str">
        <f ca="1">IFERROR(__xludf.DUMMYFUNCTION("""COMPUTED_VALUE"""),"DOLPHI 3 в 1 №12 Презервативы латексные")</f>
        <v>DOLPHI 3 в 1 №12 Презервативы латексные</v>
      </c>
      <c r="B451" s="1" t="str">
        <f ca="1">IFERROR(__xludf.DUMMYFUNCTION("""COMPUTED_VALUE"""),"KZ.7700.02.01.00504044")</f>
        <v>KZ.7700.02.01.00504044</v>
      </c>
      <c r="C451" s="1" t="str">
        <f ca="1">IFERROR(__xludf.DUMMYFUNCTION("""COMPUTED_VALUE"""),"Действителен до 31.12.2022")</f>
        <v>Действителен до 31.12.2022</v>
      </c>
      <c r="D451" s="8" t="str">
        <f ca="1">IFERROR(__xludf.DUMMYFUNCTION("""COMPUTED_VALUE"""),"1711cpr1637")</f>
        <v>1711cpr1637</v>
      </c>
      <c r="E451" s="1" t="str">
        <f ca="1">IFERROR(__xludf.DUMMYFUNCTION("""COMPUTED_VALUE"""),"годен до 12.2022")</f>
        <v>годен до 12.2022</v>
      </c>
      <c r="F451" s="1" t="str">
        <f ca="1">IFERROR(__xludf.DUMMYFUNCTION("""COMPUTED_VALUE"""),"DOLPHI 3 в 1 №12 Презервативы латексные - 1711cpr1637")</f>
        <v>DOLPHI 3 в 1 №12 Презервативы латексные - 1711cpr1637</v>
      </c>
      <c r="G451" s="1" t="str">
        <f ca="1">IFERROR(__xludf.DUMMYFUNCTION("""COMPUTED_VALUE"""),"KZ.7700.02.01.00504044 / Действителен до 31.12.2022 / 1711cpr1637 / годен до 12.2022")</f>
        <v>KZ.7700.02.01.00504044 / Действителен до 31.12.2022 / 1711cpr1637 / годен до 12.2022</v>
      </c>
      <c r="H451" s="1" t="str">
        <f ca="1">IFERROR(__xludf.DUMMYFUNCTION("""COMPUTED_VALUE"""),"DOLPHI 3 в 1 №12 Презервативы латексные KZ.7700.02.01.00504044 / Действителен до 31.12.2022 / 1711cpr1637 / годен до 12.2022")</f>
        <v>DOLPHI 3 в 1 №12 Презервативы латексные KZ.7700.02.01.00504044 / Действителен до 31.12.2022 / 1711cpr1637 / годен до 12.2022</v>
      </c>
    </row>
    <row r="452" spans="1:8" ht="12.75" x14ac:dyDescent="0.2">
      <c r="A452" s="1" t="str">
        <f ca="1">IFERROR(__xludf.DUMMYFUNCTION("""COMPUTED_VALUE"""),"DOLPHI 3 в 1 №12 Презервативы латексные")</f>
        <v>DOLPHI 3 в 1 №12 Презервативы латексные</v>
      </c>
      <c r="B452" s="1" t="str">
        <f ca="1">IFERROR(__xludf.DUMMYFUNCTION("""COMPUTED_VALUE"""),"KZ.7700.02.01.00504009")</f>
        <v>KZ.7700.02.01.00504009</v>
      </c>
      <c r="C452" s="1" t="str">
        <f ca="1">IFERROR(__xludf.DUMMYFUNCTION("""COMPUTED_VALUE"""),"Действителен до 31.10.2022")</f>
        <v>Действителен до 31.10.2022</v>
      </c>
      <c r="D452" s="8" t="str">
        <f ca="1">IFERROR(__xludf.DUMMYFUNCTION("""COMPUTED_VALUE"""),"1710KAR1440")</f>
        <v>1710KAR1440</v>
      </c>
      <c r="E452" s="1" t="str">
        <f ca="1">IFERROR(__xludf.DUMMYFUNCTION("""COMPUTED_VALUE"""),"годен до 10.2022")</f>
        <v>годен до 10.2022</v>
      </c>
      <c r="F452" s="1" t="str">
        <f ca="1">IFERROR(__xludf.DUMMYFUNCTION("""COMPUTED_VALUE"""),"DOLPHI 3 в 1 №12 Презервативы латексные - 1710KAR1440")</f>
        <v>DOLPHI 3 в 1 №12 Презервативы латексные - 1710KAR1440</v>
      </c>
      <c r="G452" s="1" t="str">
        <f ca="1">IFERROR(__xludf.DUMMYFUNCTION("""COMPUTED_VALUE"""),"KZ.7700.02.01.00504009 / Действителен до 31.10.2022 / 1710KAR1440 / годен до 10.2022")</f>
        <v>KZ.7700.02.01.00504009 / Действителен до 31.10.2022 / 1710KAR1440 / годен до 10.2022</v>
      </c>
      <c r="H452" s="1" t="str">
        <f ca="1">IFERROR(__xludf.DUMMYFUNCTION("""COMPUTED_VALUE"""),"DOLPHI 3 в 1 №12 Презервативы латексные KZ.7700.02.01.00504009 / Действителен до 31.10.2022 / 1710KAR1440 / годен до 10.2022")</f>
        <v>DOLPHI 3 в 1 №12 Презервативы латексные KZ.7700.02.01.00504009 / Действителен до 31.10.2022 / 1710KAR1440 / годен до 10.2022</v>
      </c>
    </row>
    <row r="453" spans="1:8" ht="12.75" x14ac:dyDescent="0.2">
      <c r="A453" s="1" t="str">
        <f ca="1">IFERROR(__xludf.DUMMYFUNCTION("""COMPUTED_VALUE"""),"DOLPHI 3 в 1 №12 Презервативы латексные")</f>
        <v>DOLPHI 3 в 1 №12 Презервативы латексные</v>
      </c>
      <c r="B453" s="1" t="str">
        <f ca="1">IFERROR(__xludf.DUMMYFUNCTION("""COMPUTED_VALUE"""),"KZ.7700.02.01.00504475")</f>
        <v>KZ.7700.02.01.00504475</v>
      </c>
      <c r="C453" s="1" t="str">
        <f ca="1">IFERROR(__xludf.DUMMYFUNCTION("""COMPUTED_VALUE"""),"Действителен до 31.10.2022")</f>
        <v>Действителен до 31.10.2022</v>
      </c>
      <c r="D453" s="8" t="str">
        <f ca="1">IFERROR(__xludf.DUMMYFUNCTION("""COMPUTED_VALUE"""),"1710cpr1536")</f>
        <v>1710cpr1536</v>
      </c>
      <c r="E453" s="1" t="str">
        <f ca="1">IFERROR(__xludf.DUMMYFUNCTION("""COMPUTED_VALUE"""),"годен до 10.2022")</f>
        <v>годен до 10.2022</v>
      </c>
      <c r="F453" s="1" t="str">
        <f ca="1">IFERROR(__xludf.DUMMYFUNCTION("""COMPUTED_VALUE"""),"DOLPHI 3 в 1 №12 Презервативы латексные - 1710cpr1536")</f>
        <v>DOLPHI 3 в 1 №12 Презервативы латексные - 1710cpr1536</v>
      </c>
      <c r="G453" s="1" t="str">
        <f ca="1">IFERROR(__xludf.DUMMYFUNCTION("""COMPUTED_VALUE"""),"KZ.7700.02.01.00504475 / Действителен до 31.10.2022 / 1710cpr1536 / годен до 10.2022")</f>
        <v>KZ.7700.02.01.00504475 / Действителен до 31.10.2022 / 1710cpr1536 / годен до 10.2022</v>
      </c>
      <c r="H453" s="1" t="str">
        <f ca="1">IFERROR(__xludf.DUMMYFUNCTION("""COMPUTED_VALUE"""),"DOLPHI 3 в 1 №12 Презервативы латексные KZ.7700.02.01.00504475 / Действителен до 31.10.2022 / 1710cpr1536 / годен до 10.2022")</f>
        <v>DOLPHI 3 в 1 №12 Презервативы латексные KZ.7700.02.01.00504475 / Действителен до 31.10.2022 / 1710cpr1536 / годен до 10.2022</v>
      </c>
    </row>
    <row r="454" spans="1:8" ht="12.75" x14ac:dyDescent="0.2">
      <c r="A454" s="1" t="str">
        <f ca="1">IFERROR(__xludf.DUMMYFUNCTION("""COMPUTED_VALUE"""),"DOLPHI 3 в 1 №3 Презервативы латексные")</f>
        <v>DOLPHI 3 в 1 №3 Презервативы латексные</v>
      </c>
      <c r="B454" s="1" t="str">
        <f ca="1">IFERROR(__xludf.DUMMYFUNCTION("""COMPUTED_VALUE"""),"KZ.7700.02.01.00504576")</f>
        <v>KZ.7700.02.01.00504576</v>
      </c>
      <c r="C454" s="1" t="str">
        <f ca="1">IFERROR(__xludf.DUMMYFUNCTION("""COMPUTED_VALUE"""),"Действителен до 31.10.2022")</f>
        <v>Действителен до 31.10.2022</v>
      </c>
      <c r="D454" s="8" t="str">
        <f ca="1">IFERROR(__xludf.DUMMYFUNCTION("""COMPUTED_VALUE"""),"1710KAR1440")</f>
        <v>1710KAR1440</v>
      </c>
      <c r="E454" s="1" t="str">
        <f ca="1">IFERROR(__xludf.DUMMYFUNCTION("""COMPUTED_VALUE"""),"годен до 10.2022")</f>
        <v>годен до 10.2022</v>
      </c>
      <c r="F454" s="1" t="str">
        <f ca="1">IFERROR(__xludf.DUMMYFUNCTION("""COMPUTED_VALUE"""),"DOLPHI 3 в 1 №3 Презервативы латексные - 1710KAR1440")</f>
        <v>DOLPHI 3 в 1 №3 Презервативы латексные - 1710KAR1440</v>
      </c>
      <c r="G454" s="1" t="str">
        <f ca="1">IFERROR(__xludf.DUMMYFUNCTION("""COMPUTED_VALUE"""),"KZ.7700.02.01.00504576 / Действителен до 31.10.2022 / 1710KAR1440 / годен до 10.2022")</f>
        <v>KZ.7700.02.01.00504576 / Действителен до 31.10.2022 / 1710KAR1440 / годен до 10.2022</v>
      </c>
      <c r="H454" s="1" t="str">
        <f ca="1">IFERROR(__xludf.DUMMYFUNCTION("""COMPUTED_VALUE"""),"DOLPHI 3 в 1 №3 Презервативы латексные KZ.7700.02.01.00504576 / Действителен до 31.10.2022 / 1710KAR1440 / годен до 10.2022")</f>
        <v>DOLPHI 3 в 1 №3 Презервативы латексные KZ.7700.02.01.00504576 / Действителен до 31.10.2022 / 1710KAR1440 / годен до 10.2022</v>
      </c>
    </row>
    <row r="455" spans="1:8" ht="12.75" x14ac:dyDescent="0.2">
      <c r="A455" s="1" t="str">
        <f ca="1">IFERROR(__xludf.DUMMYFUNCTION("""COMPUTED_VALUE"""),"DOLPHI 3 в 1 №3 Презервативы латексные")</f>
        <v>DOLPHI 3 в 1 №3 Презервативы латексные</v>
      </c>
      <c r="B455" s="1" t="str">
        <f ca="1">IFERROR(__xludf.DUMMYFUNCTION("""COMPUTED_VALUE"""),"KZ.7700.02.01.00504533")</f>
        <v>KZ.7700.02.01.00504533</v>
      </c>
      <c r="C455" s="1" t="str">
        <f ca="1">IFERROR(__xludf.DUMMYFUNCTION("""COMPUTED_VALUE"""),"Действителен до 31.10.2022")</f>
        <v>Действителен до 31.10.2022</v>
      </c>
      <c r="D455" s="8" t="str">
        <f ca="1">IFERROR(__xludf.DUMMYFUNCTION("""COMPUTED_VALUE"""),"1711cpr1537")</f>
        <v>1711cpr1537</v>
      </c>
      <c r="E455" s="1" t="str">
        <f ca="1">IFERROR(__xludf.DUMMYFUNCTION("""COMPUTED_VALUE"""),"годен до 11.2022")</f>
        <v>годен до 11.2022</v>
      </c>
      <c r="F455" s="1" t="str">
        <f ca="1">IFERROR(__xludf.DUMMYFUNCTION("""COMPUTED_VALUE"""),"DOLPHI 3 в 1 №3 Презервативы латексные - 1711cpr1537")</f>
        <v>DOLPHI 3 в 1 №3 Презервативы латексные - 1711cpr1537</v>
      </c>
      <c r="G455" s="1" t="str">
        <f ca="1">IFERROR(__xludf.DUMMYFUNCTION("""COMPUTED_VALUE"""),"KZ.7700.02.01.00504533 / Действителен до 31.10.2022 / 1711cpr1537 / годен до 11.2022")</f>
        <v>KZ.7700.02.01.00504533 / Действителен до 31.10.2022 / 1711cpr1537 / годен до 11.2022</v>
      </c>
      <c r="H455" s="1" t="str">
        <f ca="1">IFERROR(__xludf.DUMMYFUNCTION("""COMPUTED_VALUE"""),"DOLPHI 3 в 1 №3 Презервативы латексные KZ.7700.02.01.00504533 / Действителен до 31.10.2022 / 1711cpr1537 / годен до 11.2022")</f>
        <v>DOLPHI 3 в 1 №3 Презервативы латексные KZ.7700.02.01.00504533 / Действителен до 31.10.2022 / 1711cpr1537 / годен до 11.2022</v>
      </c>
    </row>
    <row r="456" spans="1:8" ht="12.75" x14ac:dyDescent="0.2">
      <c r="A456" s="1" t="str">
        <f ca="1">IFERROR(__xludf.DUMMYFUNCTION("""COMPUTED_VALUE"""),"DOLPHI 3 в 1 №3 Презервативы латексные")</f>
        <v>DOLPHI 3 в 1 №3 Презервативы латексные</v>
      </c>
      <c r="B456" s="1" t="str">
        <f ca="1">IFERROR(__xludf.DUMMYFUNCTION("""COMPUTED_VALUE"""),"KZ.7700.02.01.00504661")</f>
        <v>KZ.7700.02.01.00504661</v>
      </c>
      <c r="C456" s="1" t="str">
        <f ca="1">IFERROR(__xludf.DUMMYFUNCTION("""COMPUTED_VALUE"""),"Действителен до 30.09.2022")</f>
        <v>Действителен до 30.09.2022</v>
      </c>
      <c r="D456" s="8" t="str">
        <f ca="1">IFERROR(__xludf.DUMMYFUNCTION("""COMPUTED_VALUE"""),"1709cpr1536")</f>
        <v>1709cpr1536</v>
      </c>
      <c r="E456" s="1" t="str">
        <f ca="1">IFERROR(__xludf.DUMMYFUNCTION("""COMPUTED_VALUE"""),"годен до 09.2022")</f>
        <v>годен до 09.2022</v>
      </c>
      <c r="F456" s="1" t="str">
        <f ca="1">IFERROR(__xludf.DUMMYFUNCTION("""COMPUTED_VALUE"""),"DOLPHI 3 в 1 №3 Презервативы латексные - 1709cpr1536")</f>
        <v>DOLPHI 3 в 1 №3 Презервативы латексные - 1709cpr1536</v>
      </c>
      <c r="G456" s="1" t="str">
        <f ca="1">IFERROR(__xludf.DUMMYFUNCTION("""COMPUTED_VALUE"""),"KZ.7700.02.01.00504661 / Действителен до 30.09.2022 / 1709cpr1536 / годен до 09.2022")</f>
        <v>KZ.7700.02.01.00504661 / Действителен до 30.09.2022 / 1709cpr1536 / годен до 09.2022</v>
      </c>
      <c r="H456" s="1" t="str">
        <f ca="1">IFERROR(__xludf.DUMMYFUNCTION("""COMPUTED_VALUE"""),"DOLPHI 3 в 1 №3 Презервативы латексные KZ.7700.02.01.00504661 / Действителен до 30.09.2022 / 1709cpr1536 / годен до 09.2022")</f>
        <v>DOLPHI 3 в 1 №3 Презервативы латексные KZ.7700.02.01.00504661 / Действителен до 30.09.2022 / 1709cpr1536 / годен до 09.2022</v>
      </c>
    </row>
    <row r="457" spans="1:8" ht="12.75" x14ac:dyDescent="0.2">
      <c r="A457" s="1" t="str">
        <f ca="1">IFERROR(__xludf.DUMMYFUNCTION("""COMPUTED_VALUE"""),"DOLPHI 3 в 1 №3 Презервативы латексные")</f>
        <v>DOLPHI 3 в 1 №3 Презервативы латексные</v>
      </c>
      <c r="B457" s="1" t="str">
        <f ca="1">IFERROR(__xludf.DUMMYFUNCTION("""COMPUTED_VALUE"""),"KZ.7700.02.01.00504546")</f>
        <v>KZ.7700.02.01.00504546</v>
      </c>
      <c r="C457" s="1" t="str">
        <f ca="1">IFERROR(__xludf.DUMMYFUNCTION("""COMPUTED_VALUE"""),"Действителен до 31.01.2023")</f>
        <v>Действителен до 31.01.2023</v>
      </c>
      <c r="D457" s="8" t="str">
        <f ca="1">IFERROR(__xludf.DUMMYFUNCTION("""COMPUTED_VALUE"""),"1801cpr1537")</f>
        <v>1801cpr1537</v>
      </c>
      <c r="E457" s="1" t="str">
        <f ca="1">IFERROR(__xludf.DUMMYFUNCTION("""COMPUTED_VALUE"""),"годен до 12.2023")</f>
        <v>годен до 12.2023</v>
      </c>
      <c r="F457" s="1" t="str">
        <f ca="1">IFERROR(__xludf.DUMMYFUNCTION("""COMPUTED_VALUE"""),"DOLPHI 3 в 1 №3 Презервативы латексные - 1801cpr1537")</f>
        <v>DOLPHI 3 в 1 №3 Презервативы латексные - 1801cpr1537</v>
      </c>
      <c r="G457" s="1" t="str">
        <f ca="1">IFERROR(__xludf.DUMMYFUNCTION("""COMPUTED_VALUE"""),"KZ.7700.02.01.00504546 / Действителен до 31.01.2023 / 1801cpr1537 / годен до 12.2023")</f>
        <v>KZ.7700.02.01.00504546 / Действителен до 31.01.2023 / 1801cpr1537 / годен до 12.2023</v>
      </c>
      <c r="H457" s="1" t="str">
        <f ca="1">IFERROR(__xludf.DUMMYFUNCTION("""COMPUTED_VALUE"""),"DOLPHI 3 в 1 №3 Презервативы латексные KZ.7700.02.01.00504546 / Действителен до 31.01.2023 / 1801cpr1537 / годен до 12.2023")</f>
        <v>DOLPHI 3 в 1 №3 Презервативы латексные KZ.7700.02.01.00504546 / Действителен до 31.01.2023 / 1801cpr1537 / годен до 12.2023</v>
      </c>
    </row>
    <row r="458" spans="1:8" ht="12.75" x14ac:dyDescent="0.2">
      <c r="A458" s="1" t="str">
        <f ca="1">IFERROR(__xludf.DUMMYFUNCTION("""COMPUTED_VALUE"""),"DOLPHI 3 в 1 №3 Презервативы латексные")</f>
        <v>DOLPHI 3 в 1 №3 Презервативы латексные</v>
      </c>
      <c r="B458" s="1" t="str">
        <f ca="1">IFERROR(__xludf.DUMMYFUNCTION("""COMPUTED_VALUE"""),"KZ.7700.02.01.00504688")</f>
        <v>KZ.7700.02.01.00504688</v>
      </c>
      <c r="C458" s="1" t="str">
        <f ca="1">IFERROR(__xludf.DUMMYFUNCTION("""COMPUTED_VALUE"""),"Действителен до 31.10.2022")</f>
        <v>Действителен до 31.10.2022</v>
      </c>
      <c r="D458" s="8" t="str">
        <f ca="1">IFERROR(__xludf.DUMMYFUNCTION("""COMPUTED_VALUE"""),"1710cpr1536")</f>
        <v>1710cpr1536</v>
      </c>
      <c r="E458" s="1" t="str">
        <f ca="1">IFERROR(__xludf.DUMMYFUNCTION("""COMPUTED_VALUE"""),"годен до 10.2022")</f>
        <v>годен до 10.2022</v>
      </c>
      <c r="F458" s="1" t="str">
        <f ca="1">IFERROR(__xludf.DUMMYFUNCTION("""COMPUTED_VALUE"""),"DOLPHI 3 в 1 №3 Презервативы латексные - 1710cpr1536")</f>
        <v>DOLPHI 3 в 1 №3 Презервативы латексные - 1710cpr1536</v>
      </c>
      <c r="G458" s="1" t="str">
        <f ca="1">IFERROR(__xludf.DUMMYFUNCTION("""COMPUTED_VALUE"""),"KZ.7700.02.01.00504688 / Действителен до 31.10.2022 / 1710cpr1536 / годен до 10.2022")</f>
        <v>KZ.7700.02.01.00504688 / Действителен до 31.10.2022 / 1710cpr1536 / годен до 10.2022</v>
      </c>
      <c r="H458" s="1" t="str">
        <f ca="1">IFERROR(__xludf.DUMMYFUNCTION("""COMPUTED_VALUE"""),"DOLPHI 3 в 1 №3 Презервативы латексные KZ.7700.02.01.00504688 / Действителен до 31.10.2022 / 1710cpr1536 / годен до 10.2022")</f>
        <v>DOLPHI 3 в 1 №3 Презервативы латексные KZ.7700.02.01.00504688 / Действителен до 31.10.2022 / 1710cpr1536 / годен до 10.2022</v>
      </c>
    </row>
    <row r="459" spans="1:8" ht="12.75" x14ac:dyDescent="0.2">
      <c r="A459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59" s="1" t="str">
        <f ca="1">IFERROR(__xludf.DUMMYFUNCTION("""COMPUTED_VALUE"""),"KZ.7700.02.01.00504974")</f>
        <v>KZ.7700.02.01.00504974</v>
      </c>
      <c r="C459" s="1" t="str">
        <f ca="1">IFERROR(__xludf.DUMMYFUNCTION("""COMPUTED_VALUE"""),"Действителен до 31.01.2023")</f>
        <v>Действителен до 31.01.2023</v>
      </c>
      <c r="D459" s="8" t="str">
        <f ca="1">IFERROR(__xludf.DUMMYFUNCTION("""COMPUTED_VALUE"""),"1801tni1765")</f>
        <v>1801tni1765</v>
      </c>
      <c r="E459" s="1" t="str">
        <f ca="1">IFERROR(__xludf.DUMMYFUNCTION("""COMPUTED_VALUE"""),"годен до 10.2022")</f>
        <v>годен до 10.2022</v>
      </c>
      <c r="F459" s="1" t="str">
        <f ca="1">IFERROR(__xludf.DUMMYFUNCTION("""COMPUTED_VALUE"""),"DOLPHI ультратонкие №12 Презервативы латексные - 1801tni1765")</f>
        <v>DOLPHI ультратонкие №12 Презервативы латексные - 1801tni1765</v>
      </c>
      <c r="G459" s="1" t="str">
        <f ca="1">IFERROR(__xludf.DUMMYFUNCTION("""COMPUTED_VALUE"""),"KZ.7700.02.01.00504974 / Действителен до 31.01.2023 / 1801tni1765 / годен до 10.2022")</f>
        <v>KZ.7700.02.01.00504974 / Действителен до 31.01.2023 / 1801tni1765 / годен до 10.2022</v>
      </c>
      <c r="H459" s="1" t="str">
        <f ca="1">IFERROR(__xludf.DUMMYFUNCTION("""COMPUTED_VALUE"""),"DOLPHI ультратонкие №12 Презервативы латексные KZ.7700.02.01.00504974 / Действителен до 31.01.2023 / 1801tni1765 / годен до 10.2022")</f>
        <v>DOLPHI ультратонкие №12 Презервативы латексные KZ.7700.02.01.00504974 / Действителен до 31.01.2023 / 1801tni1765 / годен до 10.2022</v>
      </c>
    </row>
    <row r="460" spans="1:8" ht="12.75" x14ac:dyDescent="0.2">
      <c r="A460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60" s="1" t="str">
        <f ca="1">IFERROR(__xludf.DUMMYFUNCTION("""COMPUTED_VALUE"""),"KZ.7700.02.01.00504964")</f>
        <v>KZ.7700.02.01.00504964</v>
      </c>
      <c r="C460" s="1" t="str">
        <f ca="1">IFERROR(__xludf.DUMMYFUNCTION("""COMPUTED_VALUE"""),"Действителен до 31.01.2023")</f>
        <v>Действителен до 31.01.2023</v>
      </c>
      <c r="D460" s="8" t="str">
        <f ca="1">IFERROR(__xludf.DUMMYFUNCTION("""COMPUTED_VALUE"""),"1801cpr1765")</f>
        <v>1801cpr1765</v>
      </c>
      <c r="E460" s="1" t="str">
        <f ca="1">IFERROR(__xludf.DUMMYFUNCTION("""COMPUTED_VALUE"""),"годен до 01.2023")</f>
        <v>годен до 01.2023</v>
      </c>
      <c r="F460" s="1" t="str">
        <f ca="1">IFERROR(__xludf.DUMMYFUNCTION("""COMPUTED_VALUE"""),"DOLPHI ультратонкие №12 Презервативы латексные - 1801cpr1765")</f>
        <v>DOLPHI ультратонкие №12 Презервативы латексные - 1801cpr1765</v>
      </c>
      <c r="G460" s="1" t="str">
        <f ca="1">IFERROR(__xludf.DUMMYFUNCTION("""COMPUTED_VALUE"""),"KZ.7700.02.01.00504964 / Действителен до 31.01.2023 / 1801cpr1765 / годен до 01.2023")</f>
        <v>KZ.7700.02.01.00504964 / Действителен до 31.01.2023 / 1801cpr1765 / годен до 01.2023</v>
      </c>
      <c r="H460" s="1" t="str">
        <f ca="1">IFERROR(__xludf.DUMMYFUNCTION("""COMPUTED_VALUE"""),"DOLPHI ультратонкие №12 Презервативы латексные KZ.7700.02.01.00504964 / Действителен до 31.01.2023 / 1801cpr1765 / годен до 01.2023")</f>
        <v>DOLPHI ультратонкие №12 Презервативы латексные KZ.7700.02.01.00504964 / Действителен до 31.01.2023 / 1801cpr1765 / годен до 01.2023</v>
      </c>
    </row>
    <row r="461" spans="1:8" ht="12.75" x14ac:dyDescent="0.2">
      <c r="A461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61" s="1" t="str">
        <f ca="1">IFERROR(__xludf.DUMMYFUNCTION("""COMPUTED_VALUE"""),"KZ.7700.02.01.00504953")</f>
        <v>KZ.7700.02.01.00504953</v>
      </c>
      <c r="C461" s="1" t="str">
        <f ca="1">IFERROR(__xludf.DUMMYFUNCTION("""COMPUTED_VALUE"""),"Действителен до 31.12.2022")</f>
        <v>Действителен до 31.12.2022</v>
      </c>
      <c r="D461" s="8" t="str">
        <f ca="1">IFERROR(__xludf.DUMMYFUNCTION("""COMPUTED_VALUE"""),"1712cpr1711")</f>
        <v>1712cpr1711</v>
      </c>
      <c r="E461" s="1" t="str">
        <f ca="1">IFERROR(__xludf.DUMMYFUNCTION("""COMPUTED_VALUE"""),"годен до 12.2022")</f>
        <v>годен до 12.2022</v>
      </c>
      <c r="F461" s="1" t="str">
        <f ca="1">IFERROR(__xludf.DUMMYFUNCTION("""COMPUTED_VALUE"""),"DOLPHI ультратонкие №12 Презервативы латексные - 1712cpr1711")</f>
        <v>DOLPHI ультратонкие №12 Презервативы латексные - 1712cpr1711</v>
      </c>
      <c r="G461" s="1" t="str">
        <f ca="1">IFERROR(__xludf.DUMMYFUNCTION("""COMPUTED_VALUE"""),"KZ.7700.02.01.00504953 / Действителен до 31.12.2022 / 1712cpr1711 / годен до 12.2022")</f>
        <v>KZ.7700.02.01.00504953 / Действителен до 31.12.2022 / 1712cpr1711 / годен до 12.2022</v>
      </c>
      <c r="H461" s="1" t="str">
        <f ca="1">IFERROR(__xludf.DUMMYFUNCTION("""COMPUTED_VALUE"""),"DOLPHI ультратонкие №12 Презервативы латексные KZ.7700.02.01.00504953 / Действителен до 31.12.2022 / 1712cpr1711 / годен до 12.2022")</f>
        <v>DOLPHI ультратонкие №12 Презервативы латексные KZ.7700.02.01.00504953 / Действителен до 31.12.2022 / 1712cpr1711 / годен до 12.2022</v>
      </c>
    </row>
    <row r="462" spans="1:8" ht="12.75" x14ac:dyDescent="0.2">
      <c r="A462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62" s="1" t="str">
        <f ca="1">IFERROR(__xludf.DUMMYFUNCTION("""COMPUTED_VALUE"""),"KZ.7700.02.01.00505006")</f>
        <v>KZ.7700.02.01.00505006</v>
      </c>
      <c r="C462" s="1" t="str">
        <f ca="1">IFERROR(__xludf.DUMMYFUNCTION("""COMPUTED_VALUE"""),"Действителен до 31.01.2023")</f>
        <v>Действителен до 31.01.2023</v>
      </c>
      <c r="D462" s="8" t="str">
        <f ca="1">IFERROR(__xludf.DUMMYFUNCTION("""COMPUTED_VALUE"""),"1801cpr1765")</f>
        <v>1801cpr1765</v>
      </c>
      <c r="E462" s="1" t="str">
        <f ca="1">IFERROR(__xludf.DUMMYFUNCTION("""COMPUTED_VALUE"""),"годен до 01.2023")</f>
        <v>годен до 01.2023</v>
      </c>
      <c r="F462" s="1" t="str">
        <f ca="1">IFERROR(__xludf.DUMMYFUNCTION("""COMPUTED_VALUE"""),"DOLPHI ультратонкие №3 Презервативы латескные - 1801cpr1765")</f>
        <v>DOLPHI ультратонкие №3 Презервативы латескные - 1801cpr1765</v>
      </c>
      <c r="G462" s="1" t="str">
        <f ca="1">IFERROR(__xludf.DUMMYFUNCTION("""COMPUTED_VALUE"""),"KZ.7700.02.01.00505006 / Действителен до 31.01.2023 / 1801cpr1765 / годен до 01.2023")</f>
        <v>KZ.7700.02.01.00505006 / Действителен до 31.01.2023 / 1801cpr1765 / годен до 01.2023</v>
      </c>
      <c r="H462" s="1" t="str">
        <f ca="1">IFERROR(__xludf.DUMMYFUNCTION("""COMPUTED_VALUE"""),"DOLPHI ультратонкие №3 Презервативы латескные KZ.7700.02.01.00505006 / Действителен до 31.01.2023 / 1801cpr1765 / годен до 01.2023")</f>
        <v>DOLPHI ультратонкие №3 Презервативы латескные KZ.7700.02.01.00505006 / Действителен до 31.01.2023 / 1801cpr1765 / годен до 01.2023</v>
      </c>
    </row>
    <row r="463" spans="1:8" ht="12.75" x14ac:dyDescent="0.2">
      <c r="A463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63" s="1" t="str">
        <f ca="1">IFERROR(__xludf.DUMMYFUNCTION("""COMPUTED_VALUE"""),"KZ.7700.02.01.00504999")</f>
        <v>KZ.7700.02.01.00504999</v>
      </c>
      <c r="C463" s="1" t="str">
        <f ca="1">IFERROR(__xludf.DUMMYFUNCTION("""COMPUTED_VALUE"""),"Действителен до 01.12.2022")</f>
        <v>Действителен до 01.12.2022</v>
      </c>
      <c r="D463" s="8" t="str">
        <f ca="1">IFERROR(__xludf.DUMMYFUNCTION("""COMPUTED_VALUE"""),"1712cpr1711")</f>
        <v>1712cpr1711</v>
      </c>
      <c r="E463" s="1" t="str">
        <f ca="1">IFERROR(__xludf.DUMMYFUNCTION("""COMPUTED_VALUE"""),"годен до 12.2022")</f>
        <v>годен до 12.2022</v>
      </c>
      <c r="F463" s="1" t="str">
        <f ca="1">IFERROR(__xludf.DUMMYFUNCTION("""COMPUTED_VALUE"""),"DOLPHI ультратонкие №3 Презервативы латескные - 1712cpr1711")</f>
        <v>DOLPHI ультратонкие №3 Презервативы латескные - 1712cpr1711</v>
      </c>
      <c r="G463" s="1" t="str">
        <f ca="1">IFERROR(__xludf.DUMMYFUNCTION("""COMPUTED_VALUE"""),"KZ.7700.02.01.00504999 / Действителен до 01.12.2022 / 1712cpr1711 / годен до 12.2022")</f>
        <v>KZ.7700.02.01.00504999 / Действителен до 01.12.2022 / 1712cpr1711 / годен до 12.2022</v>
      </c>
      <c r="H463" s="1" t="str">
        <f ca="1">IFERROR(__xludf.DUMMYFUNCTION("""COMPUTED_VALUE"""),"DOLPHI ультратонкие №3 Презервативы латескные KZ.7700.02.01.00504999 / Действителен до 01.12.2022 / 1712cpr1711 / годен до 12.2022")</f>
        <v>DOLPHI ультратонкие №3 Презервативы латескные KZ.7700.02.01.00504999 / Действителен до 01.12.2022 / 1712cpr1711 / годен до 12.2022</v>
      </c>
    </row>
    <row r="464" spans="1:8" ht="12.75" x14ac:dyDescent="0.2">
      <c r="A464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64" s="1" t="str">
        <f ca="1">IFERROR(__xludf.DUMMYFUNCTION("""COMPUTED_VALUE"""),"KZ.7700.02.01.00504991")</f>
        <v>KZ.7700.02.01.00504991</v>
      </c>
      <c r="C464" s="1" t="str">
        <f ca="1">IFERROR(__xludf.DUMMYFUNCTION("""COMPUTED_VALUE"""),"Действителен до 31.01.2023")</f>
        <v>Действителен до 31.01.2023</v>
      </c>
      <c r="D464" s="8" t="str">
        <f ca="1">IFERROR(__xludf.DUMMYFUNCTION("""COMPUTED_VALUE"""),"1801tni1765")</f>
        <v>1801tni1765</v>
      </c>
      <c r="E464" s="1" t="str">
        <f ca="1">IFERROR(__xludf.DUMMYFUNCTION("""COMPUTED_VALUE"""),"годен до 01.2023")</f>
        <v>годен до 01.2023</v>
      </c>
      <c r="F464" s="1" t="str">
        <f ca="1">IFERROR(__xludf.DUMMYFUNCTION("""COMPUTED_VALUE"""),"DOLPHI ультратонкие №3 Презервативы латескные - 1801tni1765")</f>
        <v>DOLPHI ультратонкие №3 Презервативы латескные - 1801tni1765</v>
      </c>
      <c r="G464" s="1" t="str">
        <f ca="1">IFERROR(__xludf.DUMMYFUNCTION("""COMPUTED_VALUE"""),"KZ.7700.02.01.00504991 / Действителен до 31.01.2023 / 1801tni1765 / годен до 01.2023")</f>
        <v>KZ.7700.02.01.00504991 / Действителен до 31.01.2023 / 1801tni1765 / годен до 01.2023</v>
      </c>
      <c r="H464" s="1" t="str">
        <f ca="1">IFERROR(__xludf.DUMMYFUNCTION("""COMPUTED_VALUE"""),"DOLPHI ультратонкие №3 Презервативы латескные KZ.7700.02.01.00504991 / Действителен до 31.01.2023 / 1801tni1765 / годен до 01.2023")</f>
        <v>DOLPHI ультратонкие №3 Презервативы латескные KZ.7700.02.01.00504991 / Действителен до 31.01.2023 / 1801tni1765 / годен до 01.2023</v>
      </c>
    </row>
    <row r="465" spans="1:8" ht="12.75" x14ac:dyDescent="0.2">
      <c r="A465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465" s="1" t="str">
        <f ca="1">IFERROR(__xludf.DUMMYFUNCTION("""COMPUTED_VALUE"""),"KZ.7700.02.01.00505035")</f>
        <v>KZ.7700.02.01.00505035</v>
      </c>
      <c r="C465" s="1" t="str">
        <f ca="1">IFERROR(__xludf.DUMMYFUNCTION("""COMPUTED_VALUE"""),"Действителен до 28.02.2023")</f>
        <v>Действителен до 28.02.2023</v>
      </c>
      <c r="D465" s="8" t="str">
        <f ca="1">IFERROR(__xludf.DUMMYFUNCTION("""COMPUTED_VALUE"""),"1802tni1763")</f>
        <v>1802tni1763</v>
      </c>
      <c r="E465" s="1" t="str">
        <f ca="1">IFERROR(__xludf.DUMMYFUNCTION("""COMPUTED_VALUE"""),"годен до 02.2023")</f>
        <v>годен до 02.2023</v>
      </c>
      <c r="F465" s="1" t="str">
        <f ca="1">IFERROR(__xludf.DUMMYFUNCTION("""COMPUTED_VALUE"""),"Sexxxy классические №3 Презервативы латексные - 1802tni1763")</f>
        <v>Sexxxy классические №3 Презервативы латексные - 1802tni1763</v>
      </c>
      <c r="G465" s="1" t="str">
        <f ca="1">IFERROR(__xludf.DUMMYFUNCTION("""COMPUTED_VALUE"""),"KZ.7700.02.01.00505035 / Действителен до 28.02.2023 / 1802tni1763 / годен до 02.2023")</f>
        <v>KZ.7700.02.01.00505035 / Действителен до 28.02.2023 / 1802tni1763 / годен до 02.2023</v>
      </c>
      <c r="H465" s="1" t="str">
        <f ca="1">IFERROR(__xludf.DUMMYFUNCTION("""COMPUTED_VALUE"""),"Sexxxy классические №3 Презервативы латексные KZ.7700.02.01.00505035 / Действителен до 28.02.2023 / 1802tni1763 / годен до 02.2023")</f>
        <v>Sexxxy классические №3 Презервативы латексные KZ.7700.02.01.00505035 / Действителен до 28.02.2023 / 1802tni1763 / годен до 02.2023</v>
      </c>
    </row>
    <row r="466" spans="1:8" ht="12.75" x14ac:dyDescent="0.2">
      <c r="A466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466" s="1" t="str">
        <f ca="1">IFERROR(__xludf.DUMMYFUNCTION("""COMPUTED_VALUE"""),"KZ.7700.02.01.00505032")</f>
        <v>KZ.7700.02.01.00505032</v>
      </c>
      <c r="C466" s="1" t="str">
        <f ca="1">IFERROR(__xludf.DUMMYFUNCTION("""COMPUTED_VALUE"""),"Действителен до 31.01.2023")</f>
        <v>Действителен до 31.01.2023</v>
      </c>
      <c r="D466" s="8" t="str">
        <f ca="1">IFERROR(__xludf.DUMMYFUNCTION("""COMPUTED_VALUE"""),"1801tni1761")</f>
        <v>1801tni1761</v>
      </c>
      <c r="E466" s="1" t="str">
        <f ca="1">IFERROR(__xludf.DUMMYFUNCTION("""COMPUTED_VALUE"""),"годен до 01.2023")</f>
        <v>годен до 01.2023</v>
      </c>
      <c r="F466" s="1" t="str">
        <f ca="1">IFERROR(__xludf.DUMMYFUNCTION("""COMPUTED_VALUE"""),"Sexxxy классические №3 Презервативы латексные - 1801tni1761")</f>
        <v>Sexxxy классические №3 Презервативы латексные - 1801tni1761</v>
      </c>
      <c r="G466" s="1" t="str">
        <f ca="1">IFERROR(__xludf.DUMMYFUNCTION("""COMPUTED_VALUE"""),"KZ.7700.02.01.00505032 / Действителен до 31.01.2023 / 1801tni1761 / годен до 01.2023")</f>
        <v>KZ.7700.02.01.00505032 / Действителен до 31.01.2023 / 1801tni1761 / годен до 01.2023</v>
      </c>
      <c r="H466" s="1" t="str">
        <f ca="1">IFERROR(__xludf.DUMMYFUNCTION("""COMPUTED_VALUE"""),"Sexxxy классические №3 Презервативы латексные KZ.7700.02.01.00505032 / Действителен до 31.01.2023 / 1801tni1761 / годен до 01.2023")</f>
        <v>Sexxxy классические №3 Презервативы латексные KZ.7700.02.01.00505032 / Действителен до 31.01.2023 / 1801tni1761 / годен до 01.2023</v>
      </c>
    </row>
    <row r="467" spans="1:8" ht="12.75" x14ac:dyDescent="0.2">
      <c r="A467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467" s="1" t="str">
        <f ca="1">IFERROR(__xludf.DUMMYFUNCTION("""COMPUTED_VALUE"""),"KZ.7700.02.01.00505022")</f>
        <v>KZ.7700.02.01.00505022</v>
      </c>
      <c r="C467" s="1" t="str">
        <f ca="1">IFERROR(__xludf.DUMMYFUNCTION("""COMPUTED_VALUE"""),"Действителен до 28.02.2023")</f>
        <v>Действителен до 28.02.2023</v>
      </c>
      <c r="D467" s="8" t="str">
        <f ca="1">IFERROR(__xludf.DUMMYFUNCTION("""COMPUTED_VALUE"""),"1802tni1763")</f>
        <v>1802tni1763</v>
      </c>
      <c r="E467" s="1" t="str">
        <f ca="1">IFERROR(__xludf.DUMMYFUNCTION("""COMPUTED_VALUE"""),"годен до 02.2023")</f>
        <v>годен до 02.2023</v>
      </c>
      <c r="F467" s="1" t="str">
        <f ca="1">IFERROR(__xludf.DUMMYFUNCTION("""COMPUTED_VALUE"""),"Mister Ben классические № 3 Презервативы латексные - 1802tni1763")</f>
        <v>Mister Ben классические № 3 Презервативы латексные - 1802tni1763</v>
      </c>
      <c r="G467" s="1" t="str">
        <f ca="1">IFERROR(__xludf.DUMMYFUNCTION("""COMPUTED_VALUE"""),"KZ.7700.02.01.00505022 / Действителен до 28.02.2023 / 1802tni1763 / годен до 02.2023")</f>
        <v>KZ.7700.02.01.00505022 / Действителен до 28.02.2023 / 1802tni1763 / годен до 02.2023</v>
      </c>
      <c r="H467" s="1" t="str">
        <f ca="1">IFERROR(__xludf.DUMMYFUNCTION("""COMPUTED_VALUE"""),"Mister Ben классические № 3 Презервативы латексные KZ.7700.02.01.00505022 / Действителен до 28.02.2023 / 1802tni1763 / годен до 02.2023")</f>
        <v>Mister Ben классические № 3 Презервативы латексные KZ.7700.02.01.00505022 / Действителен до 28.02.2023 / 1802tni1763 / годен до 02.2023</v>
      </c>
    </row>
    <row r="468" spans="1:8" ht="12.75" x14ac:dyDescent="0.2">
      <c r="A468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468" s="1" t="str">
        <f ca="1">IFERROR(__xludf.DUMMYFUNCTION("""COMPUTED_VALUE"""),"KZ.7700.02.01.00505027")</f>
        <v>KZ.7700.02.01.00505027</v>
      </c>
      <c r="C468" s="1" t="str">
        <f ca="1">IFERROR(__xludf.DUMMYFUNCTION("""COMPUTED_VALUE"""),"Действителен до 28.02.2023")</f>
        <v>Действителен до 28.02.2023</v>
      </c>
      <c r="D468" s="8" t="str">
        <f ca="1">IFERROR(__xludf.DUMMYFUNCTION("""COMPUTED_VALUE"""),"1802cpr1763")</f>
        <v>1802cpr1763</v>
      </c>
      <c r="E468" s="1" t="str">
        <f ca="1">IFERROR(__xludf.DUMMYFUNCTION("""COMPUTED_VALUE"""),"годен до 02.2023")</f>
        <v>годен до 02.2023</v>
      </c>
      <c r="F468" s="1" t="str">
        <f ca="1">IFERROR(__xludf.DUMMYFUNCTION("""COMPUTED_VALUE"""),"Mister Ben классические № 3 Презервативы латексные - 1802cpr1763")</f>
        <v>Mister Ben классические № 3 Презервативы латексные - 1802cpr1763</v>
      </c>
      <c r="G468" s="1" t="str">
        <f ca="1">IFERROR(__xludf.DUMMYFUNCTION("""COMPUTED_VALUE"""),"KZ.7700.02.01.00505027 / Действителен до 28.02.2023 / 1802cpr1763 / годен до 02.2023")</f>
        <v>KZ.7700.02.01.00505027 / Действителен до 28.02.2023 / 1802cpr1763 / годен до 02.2023</v>
      </c>
      <c r="H468" s="1" t="str">
        <f ca="1">IFERROR(__xludf.DUMMYFUNCTION("""COMPUTED_VALUE"""),"Mister Ben классические № 3 Презервативы латексные KZ.7700.02.01.00505027 / Действителен до 28.02.2023 / 1802cpr1763 / годен до 02.2023")</f>
        <v>Mister Ben классические № 3 Презервативы латексные KZ.7700.02.01.00505027 / Действителен до 28.02.2023 / 1802cpr1763 / годен до 02.2023</v>
      </c>
    </row>
    <row r="469" spans="1:8" ht="12.75" x14ac:dyDescent="0.2">
      <c r="A469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469" s="1" t="str">
        <f ca="1">IFERROR(__xludf.DUMMYFUNCTION("""COMPUTED_VALUE"""),"KZ.7700.02.01.00505036")</f>
        <v>KZ.7700.02.01.00505036</v>
      </c>
      <c r="C469" s="1" t="str">
        <f ca="1">IFERROR(__xludf.DUMMYFUNCTION("""COMPUTED_VALUE"""),"Действителен до 28.02.2023")</f>
        <v>Действителен до 28.02.2023</v>
      </c>
      <c r="D469" s="8" t="str">
        <f ca="1">IFERROR(__xludf.DUMMYFUNCTION("""COMPUTED_VALUE"""),"1802cpr1716")</f>
        <v>1802cpr1716</v>
      </c>
      <c r="E469" s="1" t="str">
        <f ca="1">IFERROR(__xludf.DUMMYFUNCTION("""COMPUTED_VALUE"""),"годен до 02.2023")</f>
        <v>годен до 02.2023</v>
      </c>
      <c r="F469" s="1" t="str">
        <f ca="1">IFERROR(__xludf.DUMMYFUNCTION("""COMPUTED_VALUE"""),"Mister Ben Ребристые № 3 Презервативы латексные - 1802cpr1716")</f>
        <v>Mister Ben Ребристые № 3 Презервативы латексные - 1802cpr1716</v>
      </c>
      <c r="G469" s="1" t="str">
        <f ca="1">IFERROR(__xludf.DUMMYFUNCTION("""COMPUTED_VALUE"""),"KZ.7700.02.01.00505036 / Действителен до 28.02.2023 / 1802cpr1716 / годен до 02.2023")</f>
        <v>KZ.7700.02.01.00505036 / Действителен до 28.02.2023 / 1802cpr1716 / годен до 02.2023</v>
      </c>
      <c r="H469" s="1" t="str">
        <f ca="1">IFERROR(__xludf.DUMMYFUNCTION("""COMPUTED_VALUE"""),"Mister Ben Ребристые № 3 Презервативы латексные KZ.7700.02.01.00505036 / Действителен до 28.02.2023 / 1802cpr1716 / годен до 02.2023")</f>
        <v>Mister Ben Ребристые № 3 Презервативы латексные KZ.7700.02.01.00505036 / Действителен до 28.02.2023 / 1802cpr1716 / годен до 02.2023</v>
      </c>
    </row>
    <row r="470" spans="1:8" ht="12.75" x14ac:dyDescent="0.2">
      <c r="A470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470" s="1" t="str">
        <f ca="1">IFERROR(__xludf.DUMMYFUNCTION("""COMPUTED_VALUE"""),"KZ.7700.02.01.00503730")</f>
        <v>KZ.7700.02.01.00503730</v>
      </c>
      <c r="C470" s="1" t="str">
        <f ca="1">IFERROR(__xludf.DUMMYFUNCTION("""COMPUTED_VALUE"""),"Действителен до 31.12.2022")</f>
        <v>Действителен до 31.12.2022</v>
      </c>
      <c r="D470" s="8" t="str">
        <f ca="1">IFERROR(__xludf.DUMMYFUNCTION("""COMPUTED_VALUE"""),"1712kar1096")</f>
        <v>1712kar1096</v>
      </c>
      <c r="E470" s="1" t="str">
        <f ca="1">IFERROR(__xludf.DUMMYFUNCTION("""COMPUTED_VALUE"""),"годен до 12.2022")</f>
        <v>годен до 12.2022</v>
      </c>
      <c r="F470" s="1" t="str">
        <f ca="1">IFERROR(__xludf.DUMMYFUNCTION("""COMPUTED_VALUE"""),"Mister Ben С точечной структурой № 3 Презервативы латексные - 1712kar1096")</f>
        <v>Mister Ben С точечной структурой № 3 Презервативы латексные - 1712kar1096</v>
      </c>
      <c r="G470" s="1" t="str">
        <f ca="1">IFERROR(__xludf.DUMMYFUNCTION("""COMPUTED_VALUE"""),"KZ.7700.02.01.00503730 / Действителен до 31.12.2022 / 1712kar1096 / годен до 12.2022")</f>
        <v>KZ.7700.02.01.00503730 / Действителен до 31.12.2022 / 1712kar1096 / годен до 12.2022</v>
      </c>
      <c r="H470" s="1" t="str">
        <f ca="1">IFERROR(__xludf.DUMMYFUNCTION("""COMPUTED_VALUE"""),"Mister Ben С точечной структурой № 3 Презервативы латексные KZ.7700.02.01.00503730 / Действителен до 31.12.2022 / 1712kar1096 / годен до 12.2022")</f>
        <v>Mister Ben С точечной структурой № 3 Презервативы латексные KZ.7700.02.01.00503730 / Действителен до 31.12.2022 / 1712kar1096 / годен до 12.2022</v>
      </c>
    </row>
    <row r="471" spans="1:8" ht="12.75" x14ac:dyDescent="0.2">
      <c r="A471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471" s="1" t="str">
        <f ca="1">IFERROR(__xludf.DUMMYFUNCTION("""COMPUTED_VALUE"""),"KZ.7700.02.01.00503459")</f>
        <v>KZ.7700.02.01.00503459</v>
      </c>
      <c r="C471" s="1" t="str">
        <f ca="1">IFERROR(__xludf.DUMMYFUNCTION("""COMPUTED_VALUE"""),"Действителен до 28.02.2023")</f>
        <v>Действителен до 28.02.2023</v>
      </c>
      <c r="D471" s="8" t="str">
        <f ca="1">IFERROR(__xludf.DUMMYFUNCTION("""COMPUTED_VALUE"""),"1802tni1766")</f>
        <v>1802tni1766</v>
      </c>
      <c r="E471" s="1" t="str">
        <f ca="1">IFERROR(__xludf.DUMMYFUNCTION("""COMPUTED_VALUE"""),"годен до 02.2023")</f>
        <v>годен до 02.2023</v>
      </c>
      <c r="F471" s="1" t="str">
        <f ca="1">IFERROR(__xludf.DUMMYFUNCTION("""COMPUTED_VALUE"""),"Mister Ben Ультратонкие № 3 Презервативы латексные - 1802tni1766")</f>
        <v>Mister Ben Ультратонкие № 3 Презервативы латексные - 1802tni1766</v>
      </c>
      <c r="G471" s="1" t="str">
        <f ca="1">IFERROR(__xludf.DUMMYFUNCTION("""COMPUTED_VALUE"""),"KZ.7700.02.01.00503459 / Действителен до 28.02.2023 / 1802tni1766 / годен до 02.2023")</f>
        <v>KZ.7700.02.01.00503459 / Действителен до 28.02.2023 / 1802tni1766 / годен до 02.2023</v>
      </c>
      <c r="H471" s="1" t="str">
        <f ca="1">IFERROR(__xludf.DUMMYFUNCTION("""COMPUTED_VALUE"""),"Mister Ben Ультратонкие № 3 Презервативы латексные KZ.7700.02.01.00503459 / Действителен до 28.02.2023 / 1802tni1766 / годен до 02.2023")</f>
        <v>Mister Ben Ультратонкие № 3 Презервативы латексные KZ.7700.02.01.00503459 / Действителен до 28.02.2023 / 1802tni1766 / годен до 02.2023</v>
      </c>
    </row>
    <row r="472" spans="1:8" ht="12.75" x14ac:dyDescent="0.2">
      <c r="A472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72" s="1" t="str">
        <f ca="1">IFERROR(__xludf.DUMMYFUNCTION("""COMPUTED_VALUE"""),"KZ.7100.01.01.00505716")</f>
        <v>KZ.7100.01.01.00505716</v>
      </c>
      <c r="C472" s="1" t="str">
        <f ca="1">IFERROR(__xludf.DUMMYFUNCTION("""COMPUTED_VALUE"""),"Действителен до 01.11.2022")</f>
        <v>Действителен до 01.11.2022</v>
      </c>
      <c r="D472" s="8" t="str">
        <f ca="1">IFERROR(__xludf.DUMMYFUNCTION("""COMPUTED_VALUE"""),"1710KAR0955")</f>
        <v>1710KAR0955</v>
      </c>
      <c r="E472" s="1" t="str">
        <f ca="1">IFERROR(__xludf.DUMMYFUNCTION("""COMPUTED_VALUE"""),"годен до 10.2022")</f>
        <v>годен до 10.2022</v>
      </c>
      <c r="F472" s="1" t="str">
        <f ca="1">IFERROR(__xludf.DUMMYFUNCTION("""COMPUTED_VALUE"""),"DOLPHI анатомические ультратонкие, №12 Презервативы латексные - 1710KAR0955")</f>
        <v>DOLPHI анатомические ультратонкие, №12 Презервативы латексные - 1710KAR0955</v>
      </c>
      <c r="G472" s="1" t="str">
        <f ca="1">IFERROR(__xludf.DUMMYFUNCTION("""COMPUTED_VALUE"""),"KZ.7100.01.01.00505716 / Действителен до 01.11.2022 / 1710KAR0955 / годен до 10.2022")</f>
        <v>KZ.7100.01.01.00505716 / Действителен до 01.11.2022 / 1710KAR0955 / годен до 10.2022</v>
      </c>
      <c r="H472" s="1" t="str">
        <f ca="1">IFERROR(__xludf.DUMMYFUNCTION("""COMPUTED_VALUE"""),"DOLPHI анатомические ультратонкие, №12 Презервативы латексные KZ.7100.01.01.00505716 / Действителен до 01.11.2022 / 1710KAR0955 / годен до 10.2022")</f>
        <v>DOLPHI анатомические ультратонкие, №12 Презервативы латексные KZ.7100.01.01.00505716 / Действителен до 01.11.2022 / 1710KAR0955 / годен до 10.2022</v>
      </c>
    </row>
    <row r="473" spans="1:8" ht="12.75" x14ac:dyDescent="0.2">
      <c r="A473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73" s="1" t="str">
        <f ca="1">IFERROR(__xludf.DUMMYFUNCTION("""COMPUTED_VALUE"""),"KZ.7100.01.01.00505717")</f>
        <v>KZ.7100.01.01.00505717</v>
      </c>
      <c r="C473" s="1" t="str">
        <f ca="1">IFERROR(__xludf.DUMMYFUNCTION("""COMPUTED_VALUE"""),"Действителен до 01.10.2020")</f>
        <v>Действителен до 01.10.2020</v>
      </c>
      <c r="D473" s="8" t="str">
        <f ca="1">IFERROR(__xludf.DUMMYFUNCTION("""COMPUTED_VALUE"""),"1709KAR0862")</f>
        <v>1709KAR0862</v>
      </c>
      <c r="E473" s="1" t="str">
        <f ca="1">IFERROR(__xludf.DUMMYFUNCTION("""COMPUTED_VALUE"""),"годен до 09.2022")</f>
        <v>годен до 09.2022</v>
      </c>
      <c r="F473" s="1" t="str">
        <f ca="1">IFERROR(__xludf.DUMMYFUNCTION("""COMPUTED_VALUE"""),"DOLPHI анатомические ультратонкие, №12 Презервативы латексные - 1709KAR0862")</f>
        <v>DOLPHI анатомические ультратонкие, №12 Презервативы латексные - 1709KAR0862</v>
      </c>
      <c r="G473" s="1" t="str">
        <f ca="1">IFERROR(__xludf.DUMMYFUNCTION("""COMPUTED_VALUE"""),"KZ.7100.01.01.00505717 / Действителен до 01.10.2020 / 1709KAR0862 / годен до 09.2022")</f>
        <v>KZ.7100.01.01.00505717 / Действителен до 01.10.2020 / 1709KAR0862 / годен до 09.2022</v>
      </c>
      <c r="H473" s="1" t="str">
        <f ca="1">IFERROR(__xludf.DUMMYFUNCTION("""COMPUTED_VALUE"""),"DOLPHI анатомические ультратонкие, №12 Презервативы латексные KZ.7100.01.01.00505717 / Действителен до 01.10.2020 / 1709KAR0862 / годен до 09.2022")</f>
        <v>DOLPHI анатомические ультратонкие, №12 Презервативы латексные KZ.7100.01.01.00505717 / Действителен до 01.10.2020 / 1709KAR0862 / годен до 09.2022</v>
      </c>
    </row>
    <row r="474" spans="1:8" ht="12.75" x14ac:dyDescent="0.2">
      <c r="A474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74" s="1" t="str">
        <f ca="1">IFERROR(__xludf.DUMMYFUNCTION("""COMPUTED_VALUE"""),"KZ.7100.01.01.00505718")</f>
        <v>KZ.7100.01.01.00505718</v>
      </c>
      <c r="C474" s="1" t="str">
        <f ca="1">IFERROR(__xludf.DUMMYFUNCTION("""COMPUTED_VALUE"""),"Действителен до 01.11.2022")</f>
        <v>Действителен до 01.11.2022</v>
      </c>
      <c r="D474" s="8" t="str">
        <f ca="1">IFERROR(__xludf.DUMMYFUNCTION("""COMPUTED_VALUE"""),"1710KAR0955")</f>
        <v>1710KAR0955</v>
      </c>
      <c r="E474" s="1" t="str">
        <f ca="1">IFERROR(__xludf.DUMMYFUNCTION("""COMPUTED_VALUE"""),"годен до 10.2022")</f>
        <v>годен до 10.2022</v>
      </c>
      <c r="F474" s="1" t="str">
        <f ca="1">IFERROR(__xludf.DUMMYFUNCTION("""COMPUTED_VALUE"""),"DOLPHI анатомические ультратонкие Презервативы латексные, № 3 - 1710KAR0955")</f>
        <v>DOLPHI анатомические ультратонкие Презервативы латексные, № 3 - 1710KAR0955</v>
      </c>
      <c r="G474" s="1" t="str">
        <f ca="1">IFERROR(__xludf.DUMMYFUNCTION("""COMPUTED_VALUE"""),"KZ.7100.01.01.00505718 / Действителен до 01.11.2022 / 1710KAR0955 / годен до 10.2022")</f>
        <v>KZ.7100.01.01.00505718 / Действителен до 01.11.2022 / 1710KAR0955 / годен до 10.2022</v>
      </c>
      <c r="H474" s="1" t="str">
        <f ca="1">IFERROR(__xludf.DUMMYFUNCTION("""COMPUTED_VALUE"""),"DOLPHI анатомические ультратонкие Презервативы латексные, № 3 KZ.7100.01.01.00505718 / Действителен до 01.11.2022 / 1710KAR0955 / годен до 10.2022")</f>
        <v>DOLPHI анатомические ультратонкие Презервативы латексные, № 3 KZ.7100.01.01.00505718 / Действителен до 01.11.2022 / 1710KAR0955 / годен до 10.2022</v>
      </c>
    </row>
    <row r="475" spans="1:8" ht="12.75" x14ac:dyDescent="0.2">
      <c r="A475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75" s="1" t="str">
        <f ca="1">IFERROR(__xludf.DUMMYFUNCTION("""COMPUTED_VALUE"""),"KZ.7100.01.01.00505719")</f>
        <v>KZ.7100.01.01.00505719</v>
      </c>
      <c r="C475" s="1" t="str">
        <f ca="1">IFERROR(__xludf.DUMMYFUNCTION("""COMPUTED_VALUE"""),"Действителен до 01.12.2022")</f>
        <v>Действителен до 01.12.2022</v>
      </c>
      <c r="D475" s="8" t="str">
        <f ca="1">IFERROR(__xludf.DUMMYFUNCTION("""COMPUTED_VALUE"""),"1711CPR1708")</f>
        <v>1711CPR1708</v>
      </c>
      <c r="E475" s="1" t="str">
        <f ca="1">IFERROR(__xludf.DUMMYFUNCTION("""COMPUTED_VALUE"""),"годен до 11.2022")</f>
        <v>годен до 11.2022</v>
      </c>
      <c r="F475" s="1" t="str">
        <f ca="1">IFERROR(__xludf.DUMMYFUNCTION("""COMPUTED_VALUE"""),"DOLPHI ультратонкие №12 Презервативы латексные - 1711CPR1708")</f>
        <v>DOLPHI ультратонкие №12 Презервативы латексные - 1711CPR1708</v>
      </c>
      <c r="G475" s="1" t="str">
        <f ca="1">IFERROR(__xludf.DUMMYFUNCTION("""COMPUTED_VALUE"""),"KZ.7100.01.01.00505719 / Действителен до 01.12.2022 / 1711CPR1708 / годен до 11.2022")</f>
        <v>KZ.7100.01.01.00505719 / Действителен до 01.12.2022 / 1711CPR1708 / годен до 11.2022</v>
      </c>
      <c r="H475" s="1" t="str">
        <f ca="1">IFERROR(__xludf.DUMMYFUNCTION("""COMPUTED_VALUE"""),"DOLPHI ультратонкие №12 Презервативы латексные KZ.7100.01.01.00505719 / Действителен до 01.12.2022 / 1711CPR1708 / годен до 11.2022")</f>
        <v>DOLPHI ультратонкие №12 Презервативы латексные KZ.7100.01.01.00505719 / Действителен до 01.12.2022 / 1711CPR1708 / годен до 11.2022</v>
      </c>
    </row>
    <row r="476" spans="1:8" ht="12.75" x14ac:dyDescent="0.2">
      <c r="A476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76" s="1" t="str">
        <f ca="1">IFERROR(__xludf.DUMMYFUNCTION("""COMPUTED_VALUE"""),"KZ.7100.01.01.00505720")</f>
        <v>KZ.7100.01.01.00505720</v>
      </c>
      <c r="C476" s="1" t="str">
        <f ca="1">IFERROR(__xludf.DUMMYFUNCTION("""COMPUTED_VALUE"""),"Действителен до 01.12.2022")</f>
        <v>Действителен до 01.12.2022</v>
      </c>
      <c r="D476" s="8" t="str">
        <f ca="1">IFERROR(__xludf.DUMMYFUNCTION("""COMPUTED_VALUE"""),"1711CPR1708")</f>
        <v>1711CPR1708</v>
      </c>
      <c r="E476" s="1" t="str">
        <f ca="1">IFERROR(__xludf.DUMMYFUNCTION("""COMPUTED_VALUE"""),"годен до 11.2022")</f>
        <v>годен до 11.2022</v>
      </c>
      <c r="F476" s="1" t="str">
        <f ca="1">IFERROR(__xludf.DUMMYFUNCTION("""COMPUTED_VALUE"""),"DOLPHI ультратонкие №3 Презервативы латескные - 1711CPR1708")</f>
        <v>DOLPHI ультратонкие №3 Презервативы латескные - 1711CPR1708</v>
      </c>
      <c r="G476" s="1" t="str">
        <f ca="1">IFERROR(__xludf.DUMMYFUNCTION("""COMPUTED_VALUE"""),"KZ.7100.01.01.00505720 / Действителен до 01.12.2022 / 1711CPR1708 / годен до 11.2022")</f>
        <v>KZ.7100.01.01.00505720 / Действителен до 01.12.2022 / 1711CPR1708 / годен до 11.2022</v>
      </c>
      <c r="H476" s="1" t="str">
        <f ca="1">IFERROR(__xludf.DUMMYFUNCTION("""COMPUTED_VALUE"""),"DOLPHI ультратонкие №3 Презервативы латескные KZ.7100.01.01.00505720 / Действителен до 01.12.2022 / 1711CPR1708 / годен до 11.2022")</f>
        <v>DOLPHI ультратонкие №3 Презервативы латескные KZ.7100.01.01.00505720 / Действителен до 01.12.2022 / 1711CPR1708 / годен до 11.2022</v>
      </c>
    </row>
    <row r="477" spans="1:8" ht="12.75" x14ac:dyDescent="0.2">
      <c r="A477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477" s="1" t="str">
        <f ca="1">IFERROR(__xludf.DUMMYFUNCTION("""COMPUTED_VALUE"""),"KZ.7100.01.01.00505721")</f>
        <v>KZ.7100.01.01.00505721</v>
      </c>
      <c r="C477" s="1" t="str">
        <f ca="1">IFERROR(__xludf.DUMMYFUNCTION("""COMPUTED_VALUE"""),"Действителен до 01.12.2022")</f>
        <v>Действителен до 01.12.2022</v>
      </c>
      <c r="D477" s="8" t="str">
        <f ca="1">IFERROR(__xludf.DUMMYFUNCTION("""COMPUTED_VALUE"""),"1711CPR1705")</f>
        <v>1711CPR1705</v>
      </c>
      <c r="E477" s="1" t="str">
        <f ca="1">IFERROR(__xludf.DUMMYFUNCTION("""COMPUTED_VALUE"""),"годен до 11.2022")</f>
        <v>годен до 11.2022</v>
      </c>
      <c r="F477" s="1" t="str">
        <f ca="1">IFERROR(__xludf.DUMMYFUNCTION("""COMPUTED_VALUE"""),"DOLPHI классические, №12 Презервативы латексные - 1711CPR1705")</f>
        <v>DOLPHI классические, №12 Презервативы латексные - 1711CPR1705</v>
      </c>
      <c r="G477" s="1" t="str">
        <f ca="1">IFERROR(__xludf.DUMMYFUNCTION("""COMPUTED_VALUE"""),"KZ.7100.01.01.00505721 / Действителен до 01.12.2022 / 1711CPR1705 / годен до 11.2022")</f>
        <v>KZ.7100.01.01.00505721 / Действителен до 01.12.2022 / 1711CPR1705 / годен до 11.2022</v>
      </c>
      <c r="H477" s="1" t="str">
        <f ca="1">IFERROR(__xludf.DUMMYFUNCTION("""COMPUTED_VALUE"""),"DOLPHI классические, №12 Презервативы латексные KZ.7100.01.01.00505721 / Действителен до 01.12.2022 / 1711CPR1705 / годен до 11.2022")</f>
        <v>DOLPHI классические, №12 Презервативы латексные KZ.7100.01.01.00505721 / Действителен до 01.12.2022 / 1711CPR1705 / годен до 11.2022</v>
      </c>
    </row>
    <row r="478" spans="1:8" ht="12.75" x14ac:dyDescent="0.2">
      <c r="A478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478" s="1" t="str">
        <f ca="1">IFERROR(__xludf.DUMMYFUNCTION("""COMPUTED_VALUE"""),"KZ.7100.01.01.00505722")</f>
        <v>KZ.7100.01.01.00505722</v>
      </c>
      <c r="C478" s="1" t="str">
        <f ca="1">IFERROR(__xludf.DUMMYFUNCTION("""COMPUTED_VALUE"""),"Действителен до 01.11.2022")</f>
        <v>Действителен до 01.11.2022</v>
      </c>
      <c r="D478" s="8" t="str">
        <f ca="1">IFERROR(__xludf.DUMMYFUNCTION("""COMPUTED_VALUE"""),"1710CPR1704")</f>
        <v>1710CPR1704</v>
      </c>
      <c r="E478" s="1" t="str">
        <f ca="1">IFERROR(__xludf.DUMMYFUNCTION("""COMPUTED_VALUE"""),"годен до 10.2022")</f>
        <v>годен до 10.2022</v>
      </c>
      <c r="F478" s="1" t="str">
        <f ca="1">IFERROR(__xludf.DUMMYFUNCTION("""COMPUTED_VALUE"""),"DOLPHI Класические №3 Презервативы латексные - 1710CPR1704")</f>
        <v>DOLPHI Класические №3 Презервативы латексные - 1710CPR1704</v>
      </c>
      <c r="G478" s="1" t="str">
        <f ca="1">IFERROR(__xludf.DUMMYFUNCTION("""COMPUTED_VALUE"""),"KZ.7100.01.01.00505722 / Действителен до 01.11.2022 / 1710CPR1704 / годен до 10.2022")</f>
        <v>KZ.7100.01.01.00505722 / Действителен до 01.11.2022 / 1710CPR1704 / годен до 10.2022</v>
      </c>
      <c r="H478" s="1" t="str">
        <f ca="1">IFERROR(__xludf.DUMMYFUNCTION("""COMPUTED_VALUE"""),"DOLPHI Класические №3 Презервативы латексные KZ.7100.01.01.00505722 / Действителен до 01.11.2022 / 1710CPR1704 / годен до 10.2022")</f>
        <v>DOLPHI Класические №3 Презервативы латексные KZ.7100.01.01.00505722 / Действителен до 01.11.2022 / 1710CPR1704 / годен до 10.2022</v>
      </c>
    </row>
    <row r="479" spans="1:8" ht="12.75" x14ac:dyDescent="0.2">
      <c r="A479" s="1" t="str">
        <f ca="1">IFERROR(__xludf.DUMMYFUNCTION("""COMPUTED_VALUE"""),"DOLPHI 3 в 1 №12 Презервативы латексные")</f>
        <v>DOLPHI 3 в 1 №12 Презервативы латексные</v>
      </c>
      <c r="B479" s="1" t="str">
        <f ca="1">IFERROR(__xludf.DUMMYFUNCTION("""COMPUTED_VALUE"""),"KZ.7100.01.01.00505724")</f>
        <v>KZ.7100.01.01.00505724</v>
      </c>
      <c r="C479" s="1" t="str">
        <f ca="1">IFERROR(__xludf.DUMMYFUNCTION("""COMPUTED_VALUE"""),"Действителен до 01.11.2022")</f>
        <v>Действителен до 01.11.2022</v>
      </c>
      <c r="D479" s="8" t="str">
        <f ca="1">IFERROR(__xludf.DUMMYFUNCTION("""COMPUTED_VALUE"""),"1710CPR1536")</f>
        <v>1710CPR1536</v>
      </c>
      <c r="E479" s="1" t="str">
        <f ca="1">IFERROR(__xludf.DUMMYFUNCTION("""COMPUTED_VALUE"""),"годен до 10.2022")</f>
        <v>годен до 10.2022</v>
      </c>
      <c r="F479" s="1" t="str">
        <f ca="1">IFERROR(__xludf.DUMMYFUNCTION("""COMPUTED_VALUE"""),"DOLPHI 3 в 1 №12 Презервативы латексные - 1710CPR1536")</f>
        <v>DOLPHI 3 в 1 №12 Презервативы латексные - 1710CPR1536</v>
      </c>
      <c r="G479" s="1" t="str">
        <f ca="1">IFERROR(__xludf.DUMMYFUNCTION("""COMPUTED_VALUE"""),"KZ.7100.01.01.00505724 / Действителен до 01.11.2022 / 1710CPR1536 / годен до 10.2022")</f>
        <v>KZ.7100.01.01.00505724 / Действителен до 01.11.2022 / 1710CPR1536 / годен до 10.2022</v>
      </c>
      <c r="H479" s="1" t="str">
        <f ca="1">IFERROR(__xludf.DUMMYFUNCTION("""COMPUTED_VALUE"""),"DOLPHI 3 в 1 №12 Презервативы латексные KZ.7100.01.01.00505724 / Действителен до 01.11.2022 / 1710CPR1536 / годен до 10.2022")</f>
        <v>DOLPHI 3 в 1 №12 Презервативы латексные KZ.7100.01.01.00505724 / Действителен до 01.11.2022 / 1710CPR1536 / годен до 10.2022</v>
      </c>
    </row>
    <row r="480" spans="1:8" ht="12.75" x14ac:dyDescent="0.2">
      <c r="A480" s="1" t="str">
        <f ca="1">IFERROR(__xludf.DUMMYFUNCTION("""COMPUTED_VALUE"""),"DOLPHI 3 в 1 №3 Презервативы латексные")</f>
        <v>DOLPHI 3 в 1 №3 Презервативы латексные</v>
      </c>
      <c r="B480" s="1" t="str">
        <f ca="1">IFERROR(__xludf.DUMMYFUNCTION("""COMPUTED_VALUE"""),"KZ.7100.01.01.00505725")</f>
        <v>KZ.7100.01.01.00505725</v>
      </c>
      <c r="C480" s="1" t="str">
        <f ca="1">IFERROR(__xludf.DUMMYFUNCTION("""COMPUTED_VALUE"""),"Действителен до 01.12.2022")</f>
        <v>Действителен до 01.12.2022</v>
      </c>
      <c r="D480" s="8" t="str">
        <f ca="1">IFERROR(__xludf.DUMMYFUNCTION("""COMPUTED_VALUE"""),"1711CPR1536")</f>
        <v>1711CPR1536</v>
      </c>
      <c r="E480" s="1" t="str">
        <f ca="1">IFERROR(__xludf.DUMMYFUNCTION("""COMPUTED_VALUE"""),"годен до 11.2022")</f>
        <v>годен до 11.2022</v>
      </c>
      <c r="F480" s="1" t="str">
        <f ca="1">IFERROR(__xludf.DUMMYFUNCTION("""COMPUTED_VALUE"""),"DOLPHI 3 в 1 №3 Презервативы латексные - 1711CPR1536")</f>
        <v>DOLPHI 3 в 1 №3 Презервативы латексные - 1711CPR1536</v>
      </c>
      <c r="G480" s="1" t="str">
        <f ca="1">IFERROR(__xludf.DUMMYFUNCTION("""COMPUTED_VALUE"""),"KZ.7100.01.01.00505725 / Действителен до 01.12.2022 / 1711CPR1536 / годен до 11.2022")</f>
        <v>KZ.7100.01.01.00505725 / Действителен до 01.12.2022 / 1711CPR1536 / годен до 11.2022</v>
      </c>
      <c r="H480" s="1" t="str">
        <f ca="1">IFERROR(__xludf.DUMMYFUNCTION("""COMPUTED_VALUE"""),"DOLPHI 3 в 1 №3 Презервативы латексные KZ.7100.01.01.00505725 / Действителен до 01.12.2022 / 1711CPR1536 / годен до 11.2022")</f>
        <v>DOLPHI 3 в 1 №3 Презервативы латексные KZ.7100.01.01.00505725 / Действителен до 01.12.2022 / 1711CPR1536 / годен до 11.2022</v>
      </c>
    </row>
    <row r="481" spans="1:8" ht="12.75" x14ac:dyDescent="0.2">
      <c r="A481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481" s="1" t="str">
        <f ca="1">IFERROR(__xludf.DUMMYFUNCTION("""COMPUTED_VALUE"""),"KZ.7100.01.01.00505723")</f>
        <v>KZ.7100.01.01.00505723</v>
      </c>
      <c r="C481" s="1" t="str">
        <f ca="1">IFERROR(__xludf.DUMMYFUNCTION("""COMPUTED_VALUE"""),"Действителен до 01.12.2022")</f>
        <v>Действителен до 01.12.2022</v>
      </c>
      <c r="D481" s="8" t="str">
        <f ca="1">IFERROR(__xludf.DUMMYFUNCTION("""COMPUTED_VALUE"""),"1711CPR1705")</f>
        <v>1711CPR1705</v>
      </c>
      <c r="E481" s="1" t="str">
        <f ca="1">IFERROR(__xludf.DUMMYFUNCTION("""COMPUTED_VALUE"""),"годен до 11.2022")</f>
        <v>годен до 11.2022</v>
      </c>
      <c r="F481" s="1" t="str">
        <f ca="1">IFERROR(__xludf.DUMMYFUNCTION("""COMPUTED_VALUE"""),"Sexxxy классические №3 Презервативы латексные - 1711CPR1705")</f>
        <v>Sexxxy классические №3 Презервативы латексные - 1711CPR1705</v>
      </c>
      <c r="G481" s="1" t="str">
        <f ca="1">IFERROR(__xludf.DUMMYFUNCTION("""COMPUTED_VALUE"""),"KZ.7100.01.01.00505723 / Действителен до 01.12.2022 / 1711CPR1705 / годен до 11.2022")</f>
        <v>KZ.7100.01.01.00505723 / Действителен до 01.12.2022 / 1711CPR1705 / годен до 11.2022</v>
      </c>
      <c r="H481" s="1" t="str">
        <f ca="1">IFERROR(__xludf.DUMMYFUNCTION("""COMPUTED_VALUE"""),"Sexxxy классические №3 Презервативы латексные KZ.7100.01.01.00505723 / Действителен до 01.12.2022 / 1711CPR1705 / годен до 11.2022")</f>
        <v>Sexxxy классические №3 Презервативы латексные KZ.7100.01.01.00505723 / Действителен до 01.12.2022 / 1711CPR1705 / годен до 11.2022</v>
      </c>
    </row>
    <row r="482" spans="1:8" ht="12.75" x14ac:dyDescent="0.2">
      <c r="A482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482" s="1" t="str">
        <f ca="1">IFERROR(__xludf.DUMMYFUNCTION("""COMPUTED_VALUE"""),"KZ.7100.01.01.00505726")</f>
        <v>KZ.7100.01.01.00505726</v>
      </c>
      <c r="C482" s="1" t="str">
        <f ca="1">IFERROR(__xludf.DUMMYFUNCTION("""COMPUTED_VALUE"""),"Действителен до 01.12.2022")</f>
        <v>Действителен до 01.12.2022</v>
      </c>
      <c r="D482" s="8" t="str">
        <f ca="1">IFERROR(__xludf.DUMMYFUNCTION("""COMPUTED_VALUE"""),"1711CPR1705")</f>
        <v>1711CPR1705</v>
      </c>
      <c r="E482" s="1" t="str">
        <f ca="1">IFERROR(__xludf.DUMMYFUNCTION("""COMPUTED_VALUE"""),"годен до 11.2022")</f>
        <v>годен до 11.2022</v>
      </c>
      <c r="F482" s="1" t="str">
        <f ca="1">IFERROR(__xludf.DUMMYFUNCTION("""COMPUTED_VALUE"""),"Mister Ben классические № 3 Презервативы латексные - 1711CPR1705")</f>
        <v>Mister Ben классические № 3 Презервативы латексные - 1711CPR1705</v>
      </c>
      <c r="G482" s="1" t="str">
        <f ca="1">IFERROR(__xludf.DUMMYFUNCTION("""COMPUTED_VALUE"""),"KZ.7100.01.01.00505726 / Действителен до 01.12.2022 / 1711CPR1705 / годен до 11.2022")</f>
        <v>KZ.7100.01.01.00505726 / Действителен до 01.12.2022 / 1711CPR1705 / годен до 11.2022</v>
      </c>
      <c r="H482" s="1" t="str">
        <f ca="1">IFERROR(__xludf.DUMMYFUNCTION("""COMPUTED_VALUE"""),"Mister Ben классические № 3 Презервативы латексные KZ.7100.01.01.00505726 / Действителен до 01.12.2022 / 1711CPR1705 / годен до 11.2022")</f>
        <v>Mister Ben классические № 3 Презервативы латексные KZ.7100.01.01.00505726 / Действителен до 01.12.2022 / 1711CPR1705 / годен до 11.2022</v>
      </c>
    </row>
    <row r="483" spans="1:8" ht="12.75" x14ac:dyDescent="0.2">
      <c r="A483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483" s="1" t="str">
        <f ca="1">IFERROR(__xludf.DUMMYFUNCTION("""COMPUTED_VALUE"""),"KZ.7100.01.01.00505727")</f>
        <v>KZ.7100.01.01.00505727</v>
      </c>
      <c r="C483" s="1" t="str">
        <f ca="1">IFERROR(__xludf.DUMMYFUNCTION("""COMPUTED_VALUE"""),"Действителен до 01.12.2022")</f>
        <v>Действителен до 01.12.2022</v>
      </c>
      <c r="D483" s="8" t="str">
        <f ca="1">IFERROR(__xludf.DUMMYFUNCTION("""COMPUTED_VALUE"""),"1711CPR1540")</f>
        <v>1711CPR1540</v>
      </c>
      <c r="E483" s="1" t="str">
        <f ca="1">IFERROR(__xludf.DUMMYFUNCTION("""COMPUTED_VALUE"""),"годен до 11.2022")</f>
        <v>годен до 11.2022</v>
      </c>
      <c r="F483" s="1" t="str">
        <f ca="1">IFERROR(__xludf.DUMMYFUNCTION("""COMPUTED_VALUE"""),"Mister Ben Ребристые № 3 Презервативы латексные - 1711CPR1540")</f>
        <v>Mister Ben Ребристые № 3 Презервативы латексные - 1711CPR1540</v>
      </c>
      <c r="G483" s="1" t="str">
        <f ca="1">IFERROR(__xludf.DUMMYFUNCTION("""COMPUTED_VALUE"""),"KZ.7100.01.01.00505727 / Действителен до 01.12.2022 / 1711CPR1540 / годен до 11.2022")</f>
        <v>KZ.7100.01.01.00505727 / Действителен до 01.12.2022 / 1711CPR1540 / годен до 11.2022</v>
      </c>
      <c r="H483" s="1" t="str">
        <f ca="1">IFERROR(__xludf.DUMMYFUNCTION("""COMPUTED_VALUE"""),"Mister Ben Ребристые № 3 Презервативы латексные KZ.7100.01.01.00505727 / Действителен до 01.12.2022 / 1711CPR1540 / годен до 11.2022")</f>
        <v>Mister Ben Ребристые № 3 Презервативы латексные KZ.7100.01.01.00505727 / Действителен до 01.12.2022 / 1711CPR1540 / годен до 11.2022</v>
      </c>
    </row>
    <row r="484" spans="1:8" ht="12.75" x14ac:dyDescent="0.2">
      <c r="A484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484" s="1" t="str">
        <f ca="1">IFERROR(__xludf.DUMMYFUNCTION("""COMPUTED_VALUE"""),"KZ.7100.01.01.00505729")</f>
        <v>KZ.7100.01.01.00505729</v>
      </c>
      <c r="C484" s="1" t="str">
        <f ca="1">IFERROR(__xludf.DUMMYFUNCTION("""COMPUTED_VALUE"""),"Действителен до 01.08.2022")</f>
        <v>Действителен до 01.08.2022</v>
      </c>
      <c r="D484" s="8" t="str">
        <f ca="1">IFERROR(__xludf.DUMMYFUNCTION("""COMPUTED_VALUE"""),"1707KAR1218")</f>
        <v>1707KAR1218</v>
      </c>
      <c r="E484" s="1" t="str">
        <f ca="1">IFERROR(__xludf.DUMMYFUNCTION("""COMPUTED_VALUE"""),"годен до 07.2022")</f>
        <v>годен до 07.2022</v>
      </c>
      <c r="F484" s="1" t="str">
        <f ca="1">IFERROR(__xludf.DUMMYFUNCTION("""COMPUTED_VALUE"""),"Mister Ben С точечной структурой № 3 Презервативы латексные - 1707KAR1218")</f>
        <v>Mister Ben С точечной структурой № 3 Презервативы латексные - 1707KAR1218</v>
      </c>
      <c r="G484" s="1" t="str">
        <f ca="1">IFERROR(__xludf.DUMMYFUNCTION("""COMPUTED_VALUE"""),"KZ.7100.01.01.00505729 / Действителен до 01.08.2022 / 1707KAR1218 / годен до 07.2022")</f>
        <v>KZ.7100.01.01.00505729 / Действителен до 01.08.2022 / 1707KAR1218 / годен до 07.2022</v>
      </c>
      <c r="H484" s="1" t="str">
        <f ca="1">IFERROR(__xludf.DUMMYFUNCTION("""COMPUTED_VALUE"""),"Mister Ben С точечной структурой № 3 Презервативы латексные KZ.7100.01.01.00505729 / Действителен до 01.08.2022 / 1707KAR1218 / годен до 07.2022")</f>
        <v>Mister Ben С точечной структурой № 3 Презервативы латексные KZ.7100.01.01.00505729 / Действителен до 01.08.2022 / 1707KAR1218 / годен до 07.2022</v>
      </c>
    </row>
    <row r="485" spans="1:8" ht="12.75" x14ac:dyDescent="0.2">
      <c r="A485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485" s="1" t="str">
        <f ca="1">IFERROR(__xludf.DUMMYFUNCTION("""COMPUTED_VALUE"""),"KZ.7100.01.01.00505728")</f>
        <v>KZ.7100.01.01.00505728</v>
      </c>
      <c r="C485" s="1" t="str">
        <f ca="1">IFERROR(__xludf.DUMMYFUNCTION("""COMPUTED_VALUE"""),"Действителен до 01.06.2022")</f>
        <v>Действителен до 01.06.2022</v>
      </c>
      <c r="D485" s="8" t="str">
        <f ca="1">IFERROR(__xludf.DUMMYFUNCTION("""COMPUTED_VALUE"""),"1705CPR1533")</f>
        <v>1705CPR1533</v>
      </c>
      <c r="E485" s="1" t="str">
        <f ca="1">IFERROR(__xludf.DUMMYFUNCTION("""COMPUTED_VALUE"""),"годен до 05.2022")</f>
        <v>годен до 05.2022</v>
      </c>
      <c r="F485" s="1" t="str">
        <f ca="1">IFERROR(__xludf.DUMMYFUNCTION("""COMPUTED_VALUE"""),"Mister Ben Ультратонкие № 3 Презервативы латексные - 1705CPR1533")</f>
        <v>Mister Ben Ультратонкие № 3 Презервативы латексные - 1705CPR1533</v>
      </c>
      <c r="G485" s="1" t="str">
        <f ca="1">IFERROR(__xludf.DUMMYFUNCTION("""COMPUTED_VALUE"""),"KZ.7100.01.01.00505728 / Действителен до 01.06.2022 / 1705CPR1533 / годен до 05.2022")</f>
        <v>KZ.7100.01.01.00505728 / Действителен до 01.06.2022 / 1705CPR1533 / годен до 05.2022</v>
      </c>
      <c r="H485" s="1" t="str">
        <f ca="1">IFERROR(__xludf.DUMMYFUNCTION("""COMPUTED_VALUE"""),"Mister Ben Ультратонкие № 3 Презервативы латексные KZ.7100.01.01.00505728 / Действителен до 01.06.2022 / 1705CPR1533 / годен до 05.2022")</f>
        <v>Mister Ben Ультратонкие № 3 Презервативы латексные KZ.7100.01.01.00505728 / Действителен до 01.06.2022 / 1705CPR1533 / годен до 05.2022</v>
      </c>
    </row>
    <row r="486" spans="1:8" ht="12.75" x14ac:dyDescent="0.2">
      <c r="A486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86" s="1" t="str">
        <f ca="1">IFERROR(__xludf.DUMMYFUNCTION("""COMPUTED_VALUE"""),"KZ.7100.01.01.00502784")</f>
        <v>KZ.7100.01.01.00502784</v>
      </c>
      <c r="C486" s="1" t="str">
        <f ca="1">IFERROR(__xludf.DUMMYFUNCTION("""COMPUTED_VALUE"""),"Действителен до 01.05.2021")</f>
        <v>Действителен до 01.05.2021</v>
      </c>
      <c r="D486" s="8" t="str">
        <f ca="1">IFERROR(__xludf.DUMMYFUNCTION("""COMPUTED_VALUE"""),"140922Kar0859")</f>
        <v>140922Kar0859</v>
      </c>
      <c r="E486" s="1" t="str">
        <f ca="1">IFERROR(__xludf.DUMMYFUNCTION("""COMPUTED_VALUE"""),"годен до 04.2021")</f>
        <v>годен до 04.2021</v>
      </c>
      <c r="F486" s="1" t="str">
        <f ca="1">IFERROR(__xludf.DUMMYFUNCTION("""COMPUTED_VALUE"""),"DOLPHI анатомические ультратонкие Презервативы латексные, № 3 - 140922Kar0859")</f>
        <v>DOLPHI анатомические ультратонкие Презервативы латексные, № 3 - 140922Kar0859</v>
      </c>
      <c r="G486" s="1" t="str">
        <f ca="1">IFERROR(__xludf.DUMMYFUNCTION("""COMPUTED_VALUE"""),"KZ.7100.01.01.00502784 / Действителен до 01.05.2021 / 140922Kar0859 / годен до 04.2021")</f>
        <v>KZ.7100.01.01.00502784 / Действителен до 01.05.2021 / 140922Kar0859 / годен до 04.2021</v>
      </c>
      <c r="H486" s="1" t="str">
        <f ca="1">IFERROR(__xludf.DUMMYFUNCTION("""COMPUTED_VALUE"""),"DOLPHI анатомические ультратонкие Презервативы латексные, № 3 KZ.7100.01.01.00502784 / Действителен до 01.05.2021 / 140922Kar0859 / годен до 04.2021")</f>
        <v>DOLPHI анатомические ультратонкие Презервативы латексные, № 3 KZ.7100.01.01.00502784 / Действителен до 01.05.2021 / 140922Kar0859 / годен до 04.2021</v>
      </c>
    </row>
    <row r="487" spans="1:8" ht="12.75" x14ac:dyDescent="0.2">
      <c r="A487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87" s="1" t="str">
        <f ca="1">IFERROR(__xludf.DUMMYFUNCTION("""COMPUTED_VALUE"""),"KZ.7100.01.01.00502784")</f>
        <v>KZ.7100.01.01.00502784</v>
      </c>
      <c r="C487" s="1" t="str">
        <f ca="1">IFERROR(__xludf.DUMMYFUNCTION("""COMPUTED_VALUE"""),"Действителен до 01.05.2021")</f>
        <v>Действителен до 01.05.2021</v>
      </c>
      <c r="D487" s="8" t="str">
        <f ca="1">IFERROR(__xludf.DUMMYFUNCTION("""COMPUTED_VALUE"""),"140922Kar0859")</f>
        <v>140922Kar0859</v>
      </c>
      <c r="E487" s="1" t="str">
        <f ca="1">IFERROR(__xludf.DUMMYFUNCTION("""COMPUTED_VALUE"""),"годен до 04.2021")</f>
        <v>годен до 04.2021</v>
      </c>
      <c r="F487" s="1" t="str">
        <f ca="1">IFERROR(__xludf.DUMMYFUNCTION("""COMPUTED_VALUE"""),"DOLPHI анатомические ультратонкие, №12 Презервативы латексные - 140922Kar0859")</f>
        <v>DOLPHI анатомические ультратонкие, №12 Презервативы латексные - 140922Kar0859</v>
      </c>
      <c r="G487" s="1" t="str">
        <f ca="1">IFERROR(__xludf.DUMMYFUNCTION("""COMPUTED_VALUE"""),"KZ.7100.01.01.00502784 / Действителен до 01.05.2021 / 140922Kar0859 / годен до 04.2021")</f>
        <v>KZ.7100.01.01.00502784 / Действителен до 01.05.2021 / 140922Kar0859 / годен до 04.2021</v>
      </c>
      <c r="H487" s="1" t="str">
        <f ca="1">IFERROR(__xludf.DUMMYFUNCTION("""COMPUTED_VALUE"""),"DOLPHI анатомические ультратонкие, №12 Презервативы латексные KZ.7100.01.01.00502784 / Действителен до 01.05.2021 / 140922Kar0859 / годен до 04.2021")</f>
        <v>DOLPHI анатомические ультратонкие, №12 Презервативы латексные KZ.7100.01.01.00502784 / Действителен до 01.05.2021 / 140922Kar0859 / годен до 04.2021</v>
      </c>
    </row>
    <row r="488" spans="1:8" ht="12.75" x14ac:dyDescent="0.2">
      <c r="A488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88" s="1" t="str">
        <f ca="1">IFERROR(__xludf.DUMMYFUNCTION("""COMPUTED_VALUE"""),"KZ.7100.01.01.00502784")</f>
        <v>KZ.7100.01.01.00502784</v>
      </c>
      <c r="C488" s="1" t="str">
        <f ca="1">IFERROR(__xludf.DUMMYFUNCTION("""COMPUTED_VALUE"""),"Действителен до 01.05.2021")</f>
        <v>Действителен до 01.05.2021</v>
      </c>
      <c r="D488" s="8" t="str">
        <f ca="1">IFERROR(__xludf.DUMMYFUNCTION("""COMPUTED_VALUE"""),"140922Kar0860")</f>
        <v>140922Kar0860</v>
      </c>
      <c r="E488" s="1" t="str">
        <f ca="1">IFERROR(__xludf.DUMMYFUNCTION("""COMPUTED_VALUE"""),"годен до 04.2021")</f>
        <v>годен до 04.2021</v>
      </c>
      <c r="F488" s="1" t="str">
        <f ca="1">IFERROR(__xludf.DUMMYFUNCTION("""COMPUTED_VALUE"""),"DOLPHI анатомические ультратонкие Презервативы латексные, № 3 - 140922Kar0860")</f>
        <v>DOLPHI анатомические ультратонкие Презервативы латексные, № 3 - 140922Kar0860</v>
      </c>
      <c r="G488" s="1" t="str">
        <f ca="1">IFERROR(__xludf.DUMMYFUNCTION("""COMPUTED_VALUE"""),"KZ.7100.01.01.00502784 / Действителен до 01.05.2021 / 140922Kar0860 / годен до 04.2021")</f>
        <v>KZ.7100.01.01.00502784 / Действителен до 01.05.2021 / 140922Kar0860 / годен до 04.2021</v>
      </c>
      <c r="H488" s="1" t="str">
        <f ca="1">IFERROR(__xludf.DUMMYFUNCTION("""COMPUTED_VALUE"""),"DOLPHI анатомические ультратонкие Презервативы латексные, № 3 KZ.7100.01.01.00502784 / Действителен до 01.05.2021 / 140922Kar0860 / годен до 04.2021")</f>
        <v>DOLPHI анатомические ультратонкие Презервативы латексные, № 3 KZ.7100.01.01.00502784 / Действителен до 01.05.2021 / 140922Kar0860 / годен до 04.2021</v>
      </c>
    </row>
    <row r="489" spans="1:8" ht="12.75" x14ac:dyDescent="0.2">
      <c r="A489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89" s="1" t="str">
        <f ca="1">IFERROR(__xludf.DUMMYFUNCTION("""COMPUTED_VALUE"""),"KZ.7100.01.01.00502784")</f>
        <v>KZ.7100.01.01.00502784</v>
      </c>
      <c r="C489" s="1" t="str">
        <f ca="1">IFERROR(__xludf.DUMMYFUNCTION("""COMPUTED_VALUE"""),"Действителен до 01.05.2021")</f>
        <v>Действителен до 01.05.2021</v>
      </c>
      <c r="D489" s="8" t="str">
        <f ca="1">IFERROR(__xludf.DUMMYFUNCTION("""COMPUTED_VALUE"""),"140922Kar0860")</f>
        <v>140922Kar0860</v>
      </c>
      <c r="E489" s="1" t="str">
        <f ca="1">IFERROR(__xludf.DUMMYFUNCTION("""COMPUTED_VALUE"""),"годен до 04.2021")</f>
        <v>годен до 04.2021</v>
      </c>
      <c r="F489" s="1" t="str">
        <f ca="1">IFERROR(__xludf.DUMMYFUNCTION("""COMPUTED_VALUE"""),"DOLPHI анатомические ультратонкие, №12 Презервативы латексные - 140922Kar0860")</f>
        <v>DOLPHI анатомические ультратонкие, №12 Презервативы латексные - 140922Kar0860</v>
      </c>
      <c r="G489" s="1" t="str">
        <f ca="1">IFERROR(__xludf.DUMMYFUNCTION("""COMPUTED_VALUE"""),"KZ.7100.01.01.00502784 / Действителен до 01.05.2021 / 140922Kar0860 / годен до 04.2021")</f>
        <v>KZ.7100.01.01.00502784 / Действителен до 01.05.2021 / 140922Kar0860 / годен до 04.2021</v>
      </c>
      <c r="H489" s="1" t="str">
        <f ca="1">IFERROR(__xludf.DUMMYFUNCTION("""COMPUTED_VALUE"""),"DOLPHI анатомические ультратонкие, №12 Презервативы латексные KZ.7100.01.01.00502784 / Действителен до 01.05.2021 / 140922Kar0860 / годен до 04.2021")</f>
        <v>DOLPHI анатомические ультратонкие, №12 Презервативы латексные KZ.7100.01.01.00502784 / Действителен до 01.05.2021 / 140922Kar0860 / годен до 04.2021</v>
      </c>
    </row>
    <row r="490" spans="1:8" ht="12.75" x14ac:dyDescent="0.2">
      <c r="A490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90" s="1" t="str">
        <f ca="1">IFERROR(__xludf.DUMMYFUNCTION("""COMPUTED_VALUE"""),"KZ.7100.01.01.00502784")</f>
        <v>KZ.7100.01.01.00502784</v>
      </c>
      <c r="C490" s="1" t="str">
        <f ca="1">IFERROR(__xludf.DUMMYFUNCTION("""COMPUTED_VALUE"""),"Действителен до 01.05.2021")</f>
        <v>Действителен до 01.05.2021</v>
      </c>
      <c r="D490" s="8" t="str">
        <f ca="1">IFERROR(__xludf.DUMMYFUNCTION("""COMPUTED_VALUE"""),"140922Kar0862")</f>
        <v>140922Kar0862</v>
      </c>
      <c r="E490" s="1" t="str">
        <f ca="1">IFERROR(__xludf.DUMMYFUNCTION("""COMPUTED_VALUE"""),"годен до 04.2021")</f>
        <v>годен до 04.2021</v>
      </c>
      <c r="F490" s="1" t="str">
        <f ca="1">IFERROR(__xludf.DUMMYFUNCTION("""COMPUTED_VALUE"""),"DOLPHI анатомические ультратонкие Презервативы латексные, № 3 - 140922Kar0862")</f>
        <v>DOLPHI анатомические ультратонкие Презервативы латексные, № 3 - 140922Kar0862</v>
      </c>
      <c r="G490" s="1" t="str">
        <f ca="1">IFERROR(__xludf.DUMMYFUNCTION("""COMPUTED_VALUE"""),"KZ.7100.01.01.00502784 / Действителен до 01.05.2021 / 140922Kar0862 / годен до 04.2021")</f>
        <v>KZ.7100.01.01.00502784 / Действителен до 01.05.2021 / 140922Kar0862 / годен до 04.2021</v>
      </c>
      <c r="H490" s="1" t="str">
        <f ca="1">IFERROR(__xludf.DUMMYFUNCTION("""COMPUTED_VALUE"""),"DOLPHI анатомические ультратонкие Презервативы латексные, № 3 KZ.7100.01.01.00502784 / Действителен до 01.05.2021 / 140922Kar0862 / годен до 04.2021")</f>
        <v>DOLPHI анатомические ультратонкие Презервативы латексные, № 3 KZ.7100.01.01.00502784 / Действителен до 01.05.2021 / 140922Kar0862 / годен до 04.2021</v>
      </c>
    </row>
    <row r="491" spans="1:8" ht="12.75" x14ac:dyDescent="0.2">
      <c r="A491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91" s="1" t="str">
        <f ca="1">IFERROR(__xludf.DUMMYFUNCTION("""COMPUTED_VALUE"""),"KZ.7100.01.01.00502784")</f>
        <v>KZ.7100.01.01.00502784</v>
      </c>
      <c r="C491" s="1" t="str">
        <f ca="1">IFERROR(__xludf.DUMMYFUNCTION("""COMPUTED_VALUE"""),"Действителен до 01.05.2021")</f>
        <v>Действителен до 01.05.2021</v>
      </c>
      <c r="D491" s="8" t="str">
        <f ca="1">IFERROR(__xludf.DUMMYFUNCTION("""COMPUTED_VALUE"""),"140922Kar0862")</f>
        <v>140922Kar0862</v>
      </c>
      <c r="E491" s="1" t="str">
        <f ca="1">IFERROR(__xludf.DUMMYFUNCTION("""COMPUTED_VALUE"""),"годен до 04.2021")</f>
        <v>годен до 04.2021</v>
      </c>
      <c r="F491" s="1" t="str">
        <f ca="1">IFERROR(__xludf.DUMMYFUNCTION("""COMPUTED_VALUE"""),"DOLPHI анатомические ультратонкие, №12 Презервативы латексные - 140922Kar0862")</f>
        <v>DOLPHI анатомические ультратонкие, №12 Презервативы латексные - 140922Kar0862</v>
      </c>
      <c r="G491" s="1" t="str">
        <f ca="1">IFERROR(__xludf.DUMMYFUNCTION("""COMPUTED_VALUE"""),"KZ.7100.01.01.00502784 / Действителен до 01.05.2021 / 140922Kar0862 / годен до 04.2021")</f>
        <v>KZ.7100.01.01.00502784 / Действителен до 01.05.2021 / 140922Kar0862 / годен до 04.2021</v>
      </c>
      <c r="H491" s="1" t="str">
        <f ca="1">IFERROR(__xludf.DUMMYFUNCTION("""COMPUTED_VALUE"""),"DOLPHI анатомические ультратонкие, №12 Презервативы латексные KZ.7100.01.01.00502784 / Действителен до 01.05.2021 / 140922Kar0862 / годен до 04.2021")</f>
        <v>DOLPHI анатомические ультратонкие, №12 Презервативы латексные KZ.7100.01.01.00502784 / Действителен до 01.05.2021 / 140922Kar0862 / годен до 04.2021</v>
      </c>
    </row>
    <row r="492" spans="1:8" ht="12.75" x14ac:dyDescent="0.2">
      <c r="A492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492" s="1" t="str">
        <f ca="1">IFERROR(__xludf.DUMMYFUNCTION("""COMPUTED_VALUE"""),"KZ.7100.01.01.00502784")</f>
        <v>KZ.7100.01.01.00502784</v>
      </c>
      <c r="C492" s="1" t="str">
        <f ca="1">IFERROR(__xludf.DUMMYFUNCTION("""COMPUTED_VALUE"""),"Действителен до 01.05.2021")</f>
        <v>Действителен до 01.05.2021</v>
      </c>
      <c r="D492" s="8" t="str">
        <f ca="1">IFERROR(__xludf.DUMMYFUNCTION("""COMPUTED_VALUE"""),"140922Kar0862")</f>
        <v>140922Kar0862</v>
      </c>
      <c r="E492" s="1" t="str">
        <f ca="1">IFERROR(__xludf.DUMMYFUNCTION("""COMPUTED_VALUE"""),"годен до 03.2022")</f>
        <v>годен до 03.2022</v>
      </c>
      <c r="F492" s="1" t="str">
        <f ca="1">IFERROR(__xludf.DUMMYFUNCTION("""COMPUTED_VALUE"""),"DOLPHI анатомические ультратонкие Презервативы латексные, № 3 - 140922Kar0862")</f>
        <v>DOLPHI анатомические ультратонкие Презервативы латексные, № 3 - 140922Kar0862</v>
      </c>
      <c r="G492" s="1" t="str">
        <f ca="1">IFERROR(__xludf.DUMMYFUNCTION("""COMPUTED_VALUE"""),"KZ.7100.01.01.00502784 / Действителен до 01.05.2021 / 140922Kar0862 / годен до 03.2022")</f>
        <v>KZ.7100.01.01.00502784 / Действителен до 01.05.2021 / 140922Kar0862 / годен до 03.2022</v>
      </c>
      <c r="H492" s="1" t="str">
        <f ca="1">IFERROR(__xludf.DUMMYFUNCTION("""COMPUTED_VALUE"""),"DOLPHI анатомические ультратонкие Презервативы латексные, № 3 KZ.7100.01.01.00502784 / Действителен до 01.05.2021 / 140922Kar0862 / годен до 03.2022")</f>
        <v>DOLPHI анатомические ультратонкие Презервативы латексные, № 3 KZ.7100.01.01.00502784 / Действителен до 01.05.2021 / 140922Kar0862 / годен до 03.2022</v>
      </c>
    </row>
    <row r="493" spans="1:8" ht="12.75" x14ac:dyDescent="0.2">
      <c r="A493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493" s="1" t="str">
        <f ca="1">IFERROR(__xludf.DUMMYFUNCTION("""COMPUTED_VALUE"""),"KZ.7100.01.01.00502784")</f>
        <v>KZ.7100.01.01.00502784</v>
      </c>
      <c r="C493" s="1" t="str">
        <f ca="1">IFERROR(__xludf.DUMMYFUNCTION("""COMPUTED_VALUE"""),"Действителен до 01.05.2021")</f>
        <v>Действителен до 01.05.2021</v>
      </c>
      <c r="D493" s="8" t="str">
        <f ca="1">IFERROR(__xludf.DUMMYFUNCTION("""COMPUTED_VALUE"""),"140922Kar0862")</f>
        <v>140922Kar0862</v>
      </c>
      <c r="E493" s="1" t="str">
        <f ca="1">IFERROR(__xludf.DUMMYFUNCTION("""COMPUTED_VALUE"""),"годен до 03.2022")</f>
        <v>годен до 03.2022</v>
      </c>
      <c r="F493" s="1" t="str">
        <f ca="1">IFERROR(__xludf.DUMMYFUNCTION("""COMPUTED_VALUE"""),"DOLPHI анатомические ультратонкие, №12 Презервативы латексные - 140922Kar0862")</f>
        <v>DOLPHI анатомические ультратонкие, №12 Презервативы латексные - 140922Kar0862</v>
      </c>
      <c r="G493" s="1" t="str">
        <f ca="1">IFERROR(__xludf.DUMMYFUNCTION("""COMPUTED_VALUE"""),"KZ.7100.01.01.00502784 / Действителен до 01.05.2021 / 140922Kar0862 / годен до 03.2022")</f>
        <v>KZ.7100.01.01.00502784 / Действителен до 01.05.2021 / 140922Kar0862 / годен до 03.2022</v>
      </c>
      <c r="H493" s="1" t="str">
        <f ca="1">IFERROR(__xludf.DUMMYFUNCTION("""COMPUTED_VALUE"""),"DOLPHI анатомические ультратонкие, №12 Презервативы латексные KZ.7100.01.01.00502784 / Действителен до 01.05.2021 / 140922Kar0862 / годен до 03.2022")</f>
        <v>DOLPHI анатомические ультратонкие, №12 Презервативы латексные KZ.7100.01.01.00502784 / Действителен до 01.05.2021 / 140922Kar0862 / годен до 03.2022</v>
      </c>
    </row>
    <row r="494" spans="1:8" ht="12.75" x14ac:dyDescent="0.2">
      <c r="A494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94" s="1" t="str">
        <f ca="1">IFERROR(__xludf.DUMMYFUNCTION("""COMPUTED_VALUE"""),"KZ.7100.01.01.00502785")</f>
        <v>KZ.7100.01.01.00502785</v>
      </c>
      <c r="C494" s="1" t="str">
        <f ca="1">IFERROR(__xludf.DUMMYFUNCTION("""COMPUTED_VALUE"""),"Действителен до 01.07.2021")</f>
        <v>Действителен до 01.07.2021</v>
      </c>
      <c r="D494" s="8" t="str">
        <f ca="1">IFERROR(__xludf.DUMMYFUNCTION("""COMPUTED_VALUE"""),"170425CPR1532")</f>
        <v>170425CPR1532</v>
      </c>
      <c r="E494" s="1" t="str">
        <f ca="1">IFERROR(__xludf.DUMMYFUNCTION("""COMPUTED_VALUE"""),"годен до 04.2022")</f>
        <v>годен до 04.2022</v>
      </c>
      <c r="F494" s="1" t="str">
        <f ca="1">IFERROR(__xludf.DUMMYFUNCTION("""COMPUTED_VALUE"""),"DOLPHI ультратонкие №12 Презервативы латексные - 170425CPR1532")</f>
        <v>DOLPHI ультратонкие №12 Презервативы латексные - 170425CPR1532</v>
      </c>
      <c r="G494" s="1" t="str">
        <f ca="1">IFERROR(__xludf.DUMMYFUNCTION("""COMPUTED_VALUE"""),"KZ.7100.01.01.00502785 / Действителен до 01.07.2021 / 170425CPR1532 / годен до 04.2022")</f>
        <v>KZ.7100.01.01.00502785 / Действителен до 01.07.2021 / 170425CPR1532 / годен до 04.2022</v>
      </c>
      <c r="H494" s="1" t="str">
        <f ca="1">IFERROR(__xludf.DUMMYFUNCTION("""COMPUTED_VALUE"""),"DOLPHI ультратонкие №12 Презервативы латексные KZ.7100.01.01.00502785 / Действителен до 01.07.2021 / 170425CPR1532 / годен до 04.2022")</f>
        <v>DOLPHI ультратонкие №12 Презервативы латексные KZ.7100.01.01.00502785 / Действителен до 01.07.2021 / 170425CPR1532 / годен до 04.2022</v>
      </c>
    </row>
    <row r="495" spans="1:8" ht="12.75" x14ac:dyDescent="0.2">
      <c r="A495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95" s="1" t="str">
        <f ca="1">IFERROR(__xludf.DUMMYFUNCTION("""COMPUTED_VALUE"""),"KZ.7100.01.01.00502785")</f>
        <v>KZ.7100.01.01.00502785</v>
      </c>
      <c r="C495" s="1" t="str">
        <f ca="1">IFERROR(__xludf.DUMMYFUNCTION("""COMPUTED_VALUE"""),"Действителен до 01.07.2021")</f>
        <v>Действителен до 01.07.2021</v>
      </c>
      <c r="D495" s="8" t="str">
        <f ca="1">IFERROR(__xludf.DUMMYFUNCTION("""COMPUTED_VALUE"""),"170425CPR1532")</f>
        <v>170425CPR1532</v>
      </c>
      <c r="E495" s="1" t="str">
        <f ca="1">IFERROR(__xludf.DUMMYFUNCTION("""COMPUTED_VALUE"""),"годен до 04.2022")</f>
        <v>годен до 04.2022</v>
      </c>
      <c r="F495" s="1" t="str">
        <f ca="1">IFERROR(__xludf.DUMMYFUNCTION("""COMPUTED_VALUE"""),"DOLPHI ультратонкие №3 Презервативы латескные - 170425CPR1532")</f>
        <v>DOLPHI ультратонкие №3 Презервативы латескные - 170425CPR1532</v>
      </c>
      <c r="G495" s="1" t="str">
        <f ca="1">IFERROR(__xludf.DUMMYFUNCTION("""COMPUTED_VALUE"""),"KZ.7100.01.01.00502785 / Действителен до 01.07.2021 / 170425CPR1532 / годен до 04.2022")</f>
        <v>KZ.7100.01.01.00502785 / Действителен до 01.07.2021 / 170425CPR1532 / годен до 04.2022</v>
      </c>
      <c r="H495" s="1" t="str">
        <f ca="1">IFERROR(__xludf.DUMMYFUNCTION("""COMPUTED_VALUE"""),"DOLPHI ультратонкие №3 Презервативы латескные KZ.7100.01.01.00502785 / Действителен до 01.07.2021 / 170425CPR1532 / годен до 04.2022")</f>
        <v>DOLPHI ультратонкие №3 Презервативы латескные KZ.7100.01.01.00502785 / Действителен до 01.07.2021 / 170425CPR1532 / годен до 04.2022</v>
      </c>
    </row>
    <row r="496" spans="1:8" ht="12.75" x14ac:dyDescent="0.2">
      <c r="A496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96" s="1" t="str">
        <f ca="1">IFERROR(__xludf.DUMMYFUNCTION("""COMPUTED_VALUE"""),"KZ.7100.01.01.00502785")</f>
        <v>KZ.7100.01.01.00502785</v>
      </c>
      <c r="C496" s="1" t="str">
        <f ca="1">IFERROR(__xludf.DUMMYFUNCTION("""COMPUTED_VALUE"""),"Действителен до 01.07.2021")</f>
        <v>Действителен до 01.07.2021</v>
      </c>
      <c r="D496" s="8" t="str">
        <f ca="1">IFERROR(__xludf.DUMMYFUNCTION("""COMPUTED_VALUE"""),"160513Kar1210")</f>
        <v>160513Kar1210</v>
      </c>
      <c r="E496" s="1" t="str">
        <f ca="1">IFERROR(__xludf.DUMMYFUNCTION("""COMPUTED_VALUE"""),"годен до 06.2021")</f>
        <v>годен до 06.2021</v>
      </c>
      <c r="F496" s="1" t="str">
        <f ca="1">IFERROR(__xludf.DUMMYFUNCTION("""COMPUTED_VALUE"""),"DOLPHI ультратонкие №12 Презервативы латексные - 160513Kar1210")</f>
        <v>DOLPHI ультратонкие №12 Презервативы латексные - 160513Kar1210</v>
      </c>
      <c r="G496" s="1" t="str">
        <f ca="1">IFERROR(__xludf.DUMMYFUNCTION("""COMPUTED_VALUE"""),"KZ.7100.01.01.00502785 / Действителен до 01.07.2021 / 160513Kar1210 / годен до 06.2021")</f>
        <v>KZ.7100.01.01.00502785 / Действителен до 01.07.2021 / 160513Kar1210 / годен до 06.2021</v>
      </c>
      <c r="H496" s="1" t="str">
        <f ca="1">IFERROR(__xludf.DUMMYFUNCTION("""COMPUTED_VALUE"""),"DOLPHI ультратонкие №12 Презервативы латексные KZ.7100.01.01.00502785 / Действителен до 01.07.2021 / 160513Kar1210 / годен до 06.2021")</f>
        <v>DOLPHI ультратонкие №12 Презервативы латексные KZ.7100.01.01.00502785 / Действителен до 01.07.2021 / 160513Kar1210 / годен до 06.2021</v>
      </c>
    </row>
    <row r="497" spans="1:8" ht="12.75" x14ac:dyDescent="0.2">
      <c r="A497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97" s="1" t="str">
        <f ca="1">IFERROR(__xludf.DUMMYFUNCTION("""COMPUTED_VALUE"""),"KZ.7100.01.01.00502785")</f>
        <v>KZ.7100.01.01.00502785</v>
      </c>
      <c r="C497" s="1" t="str">
        <f ca="1">IFERROR(__xludf.DUMMYFUNCTION("""COMPUTED_VALUE"""),"Действителен до 01.07.2021")</f>
        <v>Действителен до 01.07.2021</v>
      </c>
      <c r="D497" s="8" t="str">
        <f ca="1">IFERROR(__xludf.DUMMYFUNCTION("""COMPUTED_VALUE"""),"160513Kar1210")</f>
        <v>160513Kar1210</v>
      </c>
      <c r="E497" s="1" t="str">
        <f ca="1">IFERROR(__xludf.DUMMYFUNCTION("""COMPUTED_VALUE"""),"годен до 06.2021")</f>
        <v>годен до 06.2021</v>
      </c>
      <c r="F497" s="1" t="str">
        <f ca="1">IFERROR(__xludf.DUMMYFUNCTION("""COMPUTED_VALUE"""),"DOLPHI ультратонкие №3 Презервативы латескные - 160513Kar1210")</f>
        <v>DOLPHI ультратонкие №3 Презервативы латескные - 160513Kar1210</v>
      </c>
      <c r="G497" s="1" t="str">
        <f ca="1">IFERROR(__xludf.DUMMYFUNCTION("""COMPUTED_VALUE"""),"KZ.7100.01.01.00502785 / Действителен до 01.07.2021 / 160513Kar1210 / годен до 06.2021")</f>
        <v>KZ.7100.01.01.00502785 / Действителен до 01.07.2021 / 160513Kar1210 / годен до 06.2021</v>
      </c>
      <c r="H497" s="1" t="str">
        <f ca="1">IFERROR(__xludf.DUMMYFUNCTION("""COMPUTED_VALUE"""),"DOLPHI ультратонкие №3 Презервативы латескные KZ.7100.01.01.00502785 / Действителен до 01.07.2021 / 160513Kar1210 / годен до 06.2021")</f>
        <v>DOLPHI ультратонкие №3 Презервативы латескные KZ.7100.01.01.00502785 / Действителен до 01.07.2021 / 160513Kar1210 / годен до 06.2021</v>
      </c>
    </row>
    <row r="498" spans="1:8" ht="12.75" x14ac:dyDescent="0.2">
      <c r="A498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498" s="1" t="str">
        <f ca="1">IFERROR(__xludf.DUMMYFUNCTION("""COMPUTED_VALUE"""),"KZ.7100.01.01.00502785")</f>
        <v>KZ.7100.01.01.00502785</v>
      </c>
      <c r="C498" s="1" t="str">
        <f ca="1">IFERROR(__xludf.DUMMYFUNCTION("""COMPUTED_VALUE"""),"Действителен до 01.07.2021")</f>
        <v>Действителен до 01.07.2021</v>
      </c>
      <c r="D498" s="8" t="str">
        <f ca="1">IFERROR(__xludf.DUMMYFUNCTION("""COMPUTED_VALUE"""),"161222Kar1438")</f>
        <v>161222Kar1438</v>
      </c>
      <c r="E498" s="1" t="str">
        <f ca="1">IFERROR(__xludf.DUMMYFUNCTION("""COMPUTED_VALUE"""),"годен до 03.2022")</f>
        <v>годен до 03.2022</v>
      </c>
      <c r="F498" s="1" t="str">
        <f ca="1">IFERROR(__xludf.DUMMYFUNCTION("""COMPUTED_VALUE"""),"DOLPHI ультратонкие №12 Презервативы латексные - 161222Kar1438")</f>
        <v>DOLPHI ультратонкие №12 Презервативы латексные - 161222Kar1438</v>
      </c>
      <c r="G498" s="1" t="str">
        <f ca="1">IFERROR(__xludf.DUMMYFUNCTION("""COMPUTED_VALUE"""),"KZ.7100.01.01.00502785 / Действителен до 01.07.2021 / 161222Kar1438 / годен до 03.2022")</f>
        <v>KZ.7100.01.01.00502785 / Действителен до 01.07.2021 / 161222Kar1438 / годен до 03.2022</v>
      </c>
      <c r="H498" s="1" t="str">
        <f ca="1">IFERROR(__xludf.DUMMYFUNCTION("""COMPUTED_VALUE"""),"DOLPHI ультратонкие №12 Презервативы латексные KZ.7100.01.01.00502785 / Действителен до 01.07.2021 / 161222Kar1438 / годен до 03.2022")</f>
        <v>DOLPHI ультратонкие №12 Презервативы латексные KZ.7100.01.01.00502785 / Действителен до 01.07.2021 / 161222Kar1438 / годен до 03.2022</v>
      </c>
    </row>
    <row r="499" spans="1:8" ht="12.75" x14ac:dyDescent="0.2">
      <c r="A499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499" s="1" t="str">
        <f ca="1">IFERROR(__xludf.DUMMYFUNCTION("""COMPUTED_VALUE"""),"KZ.7100.01.01.00502785")</f>
        <v>KZ.7100.01.01.00502785</v>
      </c>
      <c r="C499" s="1" t="str">
        <f ca="1">IFERROR(__xludf.DUMMYFUNCTION("""COMPUTED_VALUE"""),"Действителен до 01.07.2021")</f>
        <v>Действителен до 01.07.2021</v>
      </c>
      <c r="D499" s="8" t="str">
        <f ca="1">IFERROR(__xludf.DUMMYFUNCTION("""COMPUTED_VALUE"""),"161222Kar1438")</f>
        <v>161222Kar1438</v>
      </c>
      <c r="E499" s="1" t="str">
        <f ca="1">IFERROR(__xludf.DUMMYFUNCTION("""COMPUTED_VALUE"""),"годен до 03.2022")</f>
        <v>годен до 03.2022</v>
      </c>
      <c r="F499" s="1" t="str">
        <f ca="1">IFERROR(__xludf.DUMMYFUNCTION("""COMPUTED_VALUE"""),"DOLPHI ультратонкие №3 Презервативы латескные - 161222Kar1438")</f>
        <v>DOLPHI ультратонкие №3 Презервативы латескные - 161222Kar1438</v>
      </c>
      <c r="G499" s="1" t="str">
        <f ca="1">IFERROR(__xludf.DUMMYFUNCTION("""COMPUTED_VALUE"""),"KZ.7100.01.01.00502785 / Действителен до 01.07.2021 / 161222Kar1438 / годен до 03.2022")</f>
        <v>KZ.7100.01.01.00502785 / Действителен до 01.07.2021 / 161222Kar1438 / годен до 03.2022</v>
      </c>
      <c r="H499" s="1" t="str">
        <f ca="1">IFERROR(__xludf.DUMMYFUNCTION("""COMPUTED_VALUE"""),"DOLPHI ультратонкие №3 Презервативы латескные KZ.7100.01.01.00502785 / Действителен до 01.07.2021 / 161222Kar1438 / годен до 03.2022")</f>
        <v>DOLPHI ультратонкие №3 Презервативы латескные KZ.7100.01.01.00502785 / Действителен до 01.07.2021 / 161222Kar1438 / годен до 03.2022</v>
      </c>
    </row>
    <row r="500" spans="1:8" ht="12.75" x14ac:dyDescent="0.2">
      <c r="A500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500" s="1" t="str">
        <f ca="1">IFERROR(__xludf.DUMMYFUNCTION("""COMPUTED_VALUE"""),"KZ.7100.01.01.00501422")</f>
        <v>KZ.7100.01.01.00501422</v>
      </c>
      <c r="C500" s="1" t="str">
        <f ca="1">IFERROR(__xludf.DUMMYFUNCTION("""COMPUTED_VALUE"""),"Действителен до 01.06.2021")</f>
        <v>Действителен до 01.06.2021</v>
      </c>
      <c r="D500" s="8" t="str">
        <f ca="1">IFERROR(__xludf.DUMMYFUNCTION("""COMPUTED_VALUE"""),"170125CPR1460")</f>
        <v>170125CPR1460</v>
      </c>
      <c r="E500" s="1" t="str">
        <f ca="1">IFERROR(__xludf.DUMMYFUNCTION("""COMPUTED_VALUE"""),"годен до 04.2022")</f>
        <v>годен до 04.2022</v>
      </c>
      <c r="F500" s="1" t="str">
        <f ca="1">IFERROR(__xludf.DUMMYFUNCTION("""COMPUTED_VALUE"""),"DOLPHI классические, №12 Презервативы латексные - 170125CPR1460")</f>
        <v>DOLPHI классические, №12 Презервативы латексные - 170125CPR1460</v>
      </c>
      <c r="G500" s="1" t="str">
        <f ca="1">IFERROR(__xludf.DUMMYFUNCTION("""COMPUTED_VALUE"""),"KZ.7100.01.01.00501422 / Действителен до 01.06.2021 / 170125CPR1460 / годен до 04.2022")</f>
        <v>KZ.7100.01.01.00501422 / Действителен до 01.06.2021 / 170125CPR1460 / годен до 04.2022</v>
      </c>
      <c r="H500" s="1" t="str">
        <f ca="1">IFERROR(__xludf.DUMMYFUNCTION("""COMPUTED_VALUE"""),"DOLPHI классические, №12 Презервативы латексные KZ.7100.01.01.00501422 / Действителен до 01.06.2021 / 170125CPR1460 / годен до 04.2022")</f>
        <v>DOLPHI классические, №12 Презервативы латексные KZ.7100.01.01.00501422 / Действителен до 01.06.2021 / 170125CPR1460 / годен до 04.2022</v>
      </c>
    </row>
    <row r="501" spans="1:8" ht="12.75" x14ac:dyDescent="0.2">
      <c r="A501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501" s="1" t="str">
        <f ca="1">IFERROR(__xludf.DUMMYFUNCTION("""COMPUTED_VALUE"""),"KZ.7100.01.01.00501422")</f>
        <v>KZ.7100.01.01.00501422</v>
      </c>
      <c r="C501" s="1" t="str">
        <f ca="1">IFERROR(__xludf.DUMMYFUNCTION("""COMPUTED_VALUE"""),"Действителен до 01.06.2021")</f>
        <v>Действителен до 01.06.2021</v>
      </c>
      <c r="D501" s="8" t="str">
        <f ca="1">IFERROR(__xludf.DUMMYFUNCTION("""COMPUTED_VALUE"""),"170125CPR1460")</f>
        <v>170125CPR1460</v>
      </c>
      <c r="E501" s="1" t="str">
        <f ca="1">IFERROR(__xludf.DUMMYFUNCTION("""COMPUTED_VALUE"""),"годен до 04.2022")</f>
        <v>годен до 04.2022</v>
      </c>
      <c r="F501" s="1" t="str">
        <f ca="1">IFERROR(__xludf.DUMMYFUNCTION("""COMPUTED_VALUE"""),"DOLPHI Класические №3 Презервативы латексные - 170125CPR1460")</f>
        <v>DOLPHI Класические №3 Презервативы латексные - 170125CPR1460</v>
      </c>
      <c r="G501" s="1" t="str">
        <f ca="1">IFERROR(__xludf.DUMMYFUNCTION("""COMPUTED_VALUE"""),"KZ.7100.01.01.00501422 / Действителен до 01.06.2021 / 170125CPR1460 / годен до 04.2022")</f>
        <v>KZ.7100.01.01.00501422 / Действителен до 01.06.2021 / 170125CPR1460 / годен до 04.2022</v>
      </c>
      <c r="H501" s="1" t="str">
        <f ca="1">IFERROR(__xludf.DUMMYFUNCTION("""COMPUTED_VALUE"""),"DOLPHI Класические №3 Презервативы латексные KZ.7100.01.01.00501422 / Действителен до 01.06.2021 / 170125CPR1460 / годен до 04.2022")</f>
        <v>DOLPHI Класические №3 Презервативы латексные KZ.7100.01.01.00501422 / Действителен до 01.06.2021 / 170125CPR1460 / годен до 04.2022</v>
      </c>
    </row>
    <row r="502" spans="1:8" ht="12.75" x14ac:dyDescent="0.2">
      <c r="A502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502" s="1" t="str">
        <f ca="1">IFERROR(__xludf.DUMMYFUNCTION("""COMPUTED_VALUE"""),"KZ.7100.01.01.00501422")</f>
        <v>KZ.7100.01.01.00501422</v>
      </c>
      <c r="C502" s="1" t="str">
        <f ca="1">IFERROR(__xludf.DUMMYFUNCTION("""COMPUTED_VALUE"""),"Действителен до 01.06.2021")</f>
        <v>Действителен до 01.06.2021</v>
      </c>
      <c r="D502" s="8" t="str">
        <f ca="1">IFERROR(__xludf.DUMMYFUNCTION("""COMPUTED_VALUE"""),"170125CPR1459")</f>
        <v>170125CPR1459</v>
      </c>
      <c r="E502" s="1" t="str">
        <f ca="1">IFERROR(__xludf.DUMMYFUNCTION("""COMPUTED_VALUE"""),"годен до 02.2022")</f>
        <v>годен до 02.2022</v>
      </c>
      <c r="F502" s="1" t="str">
        <f ca="1">IFERROR(__xludf.DUMMYFUNCTION("""COMPUTED_VALUE"""),"DOLPHI классические, №12 Презервативы латексные - 170125CPR1459")</f>
        <v>DOLPHI классические, №12 Презервативы латексные - 170125CPR1459</v>
      </c>
      <c r="G502" s="1" t="str">
        <f ca="1">IFERROR(__xludf.DUMMYFUNCTION("""COMPUTED_VALUE"""),"KZ.7100.01.01.00501422 / Действителен до 01.06.2021 / 170125CPR1459 / годен до 02.2022")</f>
        <v>KZ.7100.01.01.00501422 / Действителен до 01.06.2021 / 170125CPR1459 / годен до 02.2022</v>
      </c>
      <c r="H502" s="1" t="str">
        <f ca="1">IFERROR(__xludf.DUMMYFUNCTION("""COMPUTED_VALUE"""),"DOLPHI классические, №12 Презервативы латексные KZ.7100.01.01.00501422 / Действителен до 01.06.2021 / 170125CPR1459 / годен до 02.2022")</f>
        <v>DOLPHI классические, №12 Презервативы латексные KZ.7100.01.01.00501422 / Действителен до 01.06.2021 / 170125CPR1459 / годен до 02.2022</v>
      </c>
    </row>
    <row r="503" spans="1:8" ht="12.75" x14ac:dyDescent="0.2">
      <c r="A503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503" s="1" t="str">
        <f ca="1">IFERROR(__xludf.DUMMYFUNCTION("""COMPUTED_VALUE"""),"KZ.7100.01.01.00501422")</f>
        <v>KZ.7100.01.01.00501422</v>
      </c>
      <c r="C503" s="1" t="str">
        <f ca="1">IFERROR(__xludf.DUMMYFUNCTION("""COMPUTED_VALUE"""),"Действителен до 01.06.2021")</f>
        <v>Действителен до 01.06.2021</v>
      </c>
      <c r="D503" s="8" t="str">
        <f ca="1">IFERROR(__xludf.DUMMYFUNCTION("""COMPUTED_VALUE"""),"170125CPR1459")</f>
        <v>170125CPR1459</v>
      </c>
      <c r="E503" s="1" t="str">
        <f ca="1">IFERROR(__xludf.DUMMYFUNCTION("""COMPUTED_VALUE"""),"годен до 02.2022")</f>
        <v>годен до 02.2022</v>
      </c>
      <c r="F503" s="1" t="str">
        <f ca="1">IFERROR(__xludf.DUMMYFUNCTION("""COMPUTED_VALUE"""),"DOLPHI Класические №3 Презервативы латексные - 170125CPR1459")</f>
        <v>DOLPHI Класические №3 Презервативы латексные - 170125CPR1459</v>
      </c>
      <c r="G503" s="1" t="str">
        <f ca="1">IFERROR(__xludf.DUMMYFUNCTION("""COMPUTED_VALUE"""),"KZ.7100.01.01.00501422 / Действителен до 01.06.2021 / 170125CPR1459 / годен до 02.2022")</f>
        <v>KZ.7100.01.01.00501422 / Действителен до 01.06.2021 / 170125CPR1459 / годен до 02.2022</v>
      </c>
      <c r="H503" s="1" t="str">
        <f ca="1">IFERROR(__xludf.DUMMYFUNCTION("""COMPUTED_VALUE"""),"DOLPHI Класические №3 Презервативы латексные KZ.7100.01.01.00501422 / Действителен до 01.06.2021 / 170125CPR1459 / годен до 02.2022")</f>
        <v>DOLPHI Класические №3 Презервативы латексные KZ.7100.01.01.00501422 / Действителен до 01.06.2021 / 170125CPR1459 / годен до 02.2022</v>
      </c>
    </row>
    <row r="504" spans="1:8" ht="12.75" x14ac:dyDescent="0.2">
      <c r="A504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504" s="1" t="str">
        <f ca="1">IFERROR(__xludf.DUMMYFUNCTION("""COMPUTED_VALUE"""),"KZ.7100.01.01.00501422")</f>
        <v>KZ.7100.01.01.00501422</v>
      </c>
      <c r="C504" s="1" t="str">
        <f ca="1">IFERROR(__xludf.DUMMYFUNCTION("""COMPUTED_VALUE"""),"Действителен до 01.06.2021")</f>
        <v>Действителен до 01.06.2021</v>
      </c>
      <c r="D504" s="8" t="str">
        <f ca="1">IFERROR(__xludf.DUMMYFUNCTION("""COMPUTED_VALUE"""),"1705CPR1529")</f>
        <v>1705CPR1529</v>
      </c>
      <c r="E504" s="1" t="str">
        <f ca="1">IFERROR(__xludf.DUMMYFUNCTION("""COMPUTED_VALUE"""),"годен до 05.2022")</f>
        <v>годен до 05.2022</v>
      </c>
      <c r="F504" s="1" t="str">
        <f ca="1">IFERROR(__xludf.DUMMYFUNCTION("""COMPUTED_VALUE"""),"DOLPHI классические, №12 Презервативы латексные - 1705CPR1529")</f>
        <v>DOLPHI классические, №12 Презервативы латексные - 1705CPR1529</v>
      </c>
      <c r="G504" s="1" t="str">
        <f ca="1">IFERROR(__xludf.DUMMYFUNCTION("""COMPUTED_VALUE"""),"KZ.7100.01.01.00501422 / Действителен до 01.06.2021 / 1705CPR1529 / годен до 05.2022")</f>
        <v>KZ.7100.01.01.00501422 / Действителен до 01.06.2021 / 1705CPR1529 / годен до 05.2022</v>
      </c>
      <c r="H504" s="1" t="str">
        <f ca="1">IFERROR(__xludf.DUMMYFUNCTION("""COMPUTED_VALUE"""),"DOLPHI классические, №12 Презервативы латексные KZ.7100.01.01.00501422 / Действителен до 01.06.2021 / 1705CPR1529 / годен до 05.2022")</f>
        <v>DOLPHI классические, №12 Презервативы латексные KZ.7100.01.01.00501422 / Действителен до 01.06.2021 / 1705CPR1529 / годен до 05.2022</v>
      </c>
    </row>
    <row r="505" spans="1:8" ht="12.75" x14ac:dyDescent="0.2">
      <c r="A505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505" s="1" t="str">
        <f ca="1">IFERROR(__xludf.DUMMYFUNCTION("""COMPUTED_VALUE"""),"KZ.7100.01.01.00501422")</f>
        <v>KZ.7100.01.01.00501422</v>
      </c>
      <c r="C505" s="1" t="str">
        <f ca="1">IFERROR(__xludf.DUMMYFUNCTION("""COMPUTED_VALUE"""),"Действителен до 01.06.2021")</f>
        <v>Действителен до 01.06.2021</v>
      </c>
      <c r="D505" s="8" t="str">
        <f ca="1">IFERROR(__xludf.DUMMYFUNCTION("""COMPUTED_VALUE"""),"1705CPR1529")</f>
        <v>1705CPR1529</v>
      </c>
      <c r="E505" s="1" t="str">
        <f ca="1">IFERROR(__xludf.DUMMYFUNCTION("""COMPUTED_VALUE"""),"годен до 05.2022")</f>
        <v>годен до 05.2022</v>
      </c>
      <c r="F505" s="1" t="str">
        <f ca="1">IFERROR(__xludf.DUMMYFUNCTION("""COMPUTED_VALUE"""),"DOLPHI Класические №3 Презервативы латексные - 1705CPR1529")</f>
        <v>DOLPHI Класические №3 Презервативы латексные - 1705CPR1529</v>
      </c>
      <c r="G505" s="1" t="str">
        <f ca="1">IFERROR(__xludf.DUMMYFUNCTION("""COMPUTED_VALUE"""),"KZ.7100.01.01.00501422 / Действителен до 01.06.2021 / 1705CPR1529 / годен до 05.2022")</f>
        <v>KZ.7100.01.01.00501422 / Действителен до 01.06.2021 / 1705CPR1529 / годен до 05.2022</v>
      </c>
      <c r="H505" s="1" t="str">
        <f ca="1">IFERROR(__xludf.DUMMYFUNCTION("""COMPUTED_VALUE"""),"DOLPHI Класические №3 Презервативы латексные KZ.7100.01.01.00501422 / Действителен до 01.06.2021 / 1705CPR1529 / годен до 05.2022")</f>
        <v>DOLPHI Класические №3 Презервативы латексные KZ.7100.01.01.00501422 / Действителен до 01.06.2021 / 1705CPR1529 / годен до 05.2022</v>
      </c>
    </row>
    <row r="506" spans="1:8" ht="12.75" x14ac:dyDescent="0.2">
      <c r="A506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506" s="1" t="str">
        <f ca="1">IFERROR(__xludf.DUMMYFUNCTION("""COMPUTED_VALUE"""),"KZ.7100.01.01.00501422")</f>
        <v>KZ.7100.01.01.00501422</v>
      </c>
      <c r="C506" s="1" t="str">
        <f ca="1">IFERROR(__xludf.DUMMYFUNCTION("""COMPUTED_VALUE"""),"Действителен до 01.06.2021")</f>
        <v>Действителен до 01.06.2021</v>
      </c>
      <c r="D506" s="8" t="str">
        <f ca="1">IFERROR(__xludf.DUMMYFUNCTION("""COMPUTED_VALUE"""),"160513Kar1208")</f>
        <v>160513Kar1208</v>
      </c>
      <c r="E506" s="1" t="str">
        <f ca="1">IFERROR(__xludf.DUMMYFUNCTION("""COMPUTED_VALUE"""),"годен до 06.2021")</f>
        <v>годен до 06.2021</v>
      </c>
      <c r="F506" s="1" t="str">
        <f ca="1">IFERROR(__xludf.DUMMYFUNCTION("""COMPUTED_VALUE"""),"DOLPHI классические, №12 Презервативы латексные - 160513Kar1208")</f>
        <v>DOLPHI классические, №12 Презервативы латексные - 160513Kar1208</v>
      </c>
      <c r="G506" s="1" t="str">
        <f ca="1">IFERROR(__xludf.DUMMYFUNCTION("""COMPUTED_VALUE"""),"KZ.7100.01.01.00501422 / Действителен до 01.06.2021 / 160513Kar1208 / годен до 06.2021")</f>
        <v>KZ.7100.01.01.00501422 / Действителен до 01.06.2021 / 160513Kar1208 / годен до 06.2021</v>
      </c>
      <c r="H506" s="1" t="str">
        <f ca="1">IFERROR(__xludf.DUMMYFUNCTION("""COMPUTED_VALUE"""),"DOLPHI классические, №12 Презервативы латексные KZ.7100.01.01.00501422 / Действителен до 01.06.2021 / 160513Kar1208 / годен до 06.2021")</f>
        <v>DOLPHI классические, №12 Презервативы латексные KZ.7100.01.01.00501422 / Действителен до 01.06.2021 / 160513Kar1208 / годен до 06.2021</v>
      </c>
    </row>
    <row r="507" spans="1:8" ht="12.75" x14ac:dyDescent="0.2">
      <c r="A507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507" s="1" t="str">
        <f ca="1">IFERROR(__xludf.DUMMYFUNCTION("""COMPUTED_VALUE"""),"KZ.7100.01.01.00501422")</f>
        <v>KZ.7100.01.01.00501422</v>
      </c>
      <c r="C507" s="1" t="str">
        <f ca="1">IFERROR(__xludf.DUMMYFUNCTION("""COMPUTED_VALUE"""),"Действителен до 01.06.2021")</f>
        <v>Действителен до 01.06.2021</v>
      </c>
      <c r="D507" s="8" t="str">
        <f ca="1">IFERROR(__xludf.DUMMYFUNCTION("""COMPUTED_VALUE"""),"160513Kar1208")</f>
        <v>160513Kar1208</v>
      </c>
      <c r="E507" s="1" t="str">
        <f ca="1">IFERROR(__xludf.DUMMYFUNCTION("""COMPUTED_VALUE"""),"годен до 06.2021")</f>
        <v>годен до 06.2021</v>
      </c>
      <c r="F507" s="1" t="str">
        <f ca="1">IFERROR(__xludf.DUMMYFUNCTION("""COMPUTED_VALUE"""),"DOLPHI Класические №3 Презервативы латексные - 160513Kar1208")</f>
        <v>DOLPHI Класические №3 Презервативы латексные - 160513Kar1208</v>
      </c>
      <c r="G507" s="1" t="str">
        <f ca="1">IFERROR(__xludf.DUMMYFUNCTION("""COMPUTED_VALUE"""),"KZ.7100.01.01.00501422 / Действителен до 01.06.2021 / 160513Kar1208 / годен до 06.2021")</f>
        <v>KZ.7100.01.01.00501422 / Действителен до 01.06.2021 / 160513Kar1208 / годен до 06.2021</v>
      </c>
      <c r="H507" s="1" t="str">
        <f ca="1">IFERROR(__xludf.DUMMYFUNCTION("""COMPUTED_VALUE"""),"DOLPHI Класические №3 Презервативы латексные KZ.7100.01.01.00501422 / Действителен до 01.06.2021 / 160513Kar1208 / годен до 06.2021")</f>
        <v>DOLPHI Класические №3 Презервативы латексные KZ.7100.01.01.00501422 / Действителен до 01.06.2021 / 160513Kar1208 / годен до 06.2021</v>
      </c>
    </row>
    <row r="508" spans="1:8" ht="12.75" x14ac:dyDescent="0.2">
      <c r="A508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508" s="1" t="str">
        <f ca="1">IFERROR(__xludf.DUMMYFUNCTION("""COMPUTED_VALUE"""),"KZ.7100.01.01.00502787")</f>
        <v>KZ.7100.01.01.00502787</v>
      </c>
      <c r="C508" s="1" t="str">
        <f ca="1">IFERROR(__xludf.DUMMYFUNCTION("""COMPUTED_VALUE"""),"Действителен до 01.05.2022")</f>
        <v>Действителен до 01.05.2022</v>
      </c>
      <c r="D508" s="8" t="str">
        <f ca="1">IFERROR(__xludf.DUMMYFUNCTION("""COMPUTED_VALUE"""),"170125CPR1460")</f>
        <v>170125CPR1460</v>
      </c>
      <c r="E508" s="1" t="str">
        <f ca="1">IFERROR(__xludf.DUMMYFUNCTION("""COMPUTED_VALUE"""),"годен до 04.2022")</f>
        <v>годен до 04.2022</v>
      </c>
      <c r="F508" s="1" t="str">
        <f ca="1">IFERROR(__xludf.DUMMYFUNCTION("""COMPUTED_VALUE"""),"Sexxxy классические №3 Презервативы латексные - 170125CPR1460")</f>
        <v>Sexxxy классические №3 Презервативы латексные - 170125CPR1460</v>
      </c>
      <c r="G508" s="1" t="str">
        <f ca="1">IFERROR(__xludf.DUMMYFUNCTION("""COMPUTED_VALUE"""),"KZ.7100.01.01.00502787 / Действителен до 01.05.2022 / 170125CPR1460 / годен до 04.2022")</f>
        <v>KZ.7100.01.01.00502787 / Действителен до 01.05.2022 / 170125CPR1460 / годен до 04.2022</v>
      </c>
      <c r="H508" s="1" t="str">
        <f ca="1">IFERROR(__xludf.DUMMYFUNCTION("""COMPUTED_VALUE"""),"Sexxxy классические №3 Презервативы латексные KZ.7100.01.01.00502787 / Действителен до 01.05.2022 / 170125CPR1460 / годен до 04.2022")</f>
        <v>Sexxxy классические №3 Презервативы латексные KZ.7100.01.01.00502787 / Действителен до 01.05.2022 / 170125CPR1460 / годен до 04.2022</v>
      </c>
    </row>
    <row r="509" spans="1:8" ht="12.75" x14ac:dyDescent="0.2">
      <c r="A509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509" s="1" t="str">
        <f ca="1">IFERROR(__xludf.DUMMYFUNCTION("""COMPUTED_VALUE"""),"KZ.7100.01.01.00502788")</f>
        <v>KZ.7100.01.01.00502788</v>
      </c>
      <c r="C509" s="1" t="str">
        <f ca="1">IFERROR(__xludf.DUMMYFUNCTION("""COMPUTED_VALUE"""),"Действителен до 01.07.2021")</f>
        <v>Действителен до 01.07.2021</v>
      </c>
      <c r="D509" s="8" t="str">
        <f ca="1">IFERROR(__xludf.DUMMYFUNCTION("""COMPUTED_VALUE"""),"151126Kar1088")</f>
        <v>151126Kar1088</v>
      </c>
      <c r="E509" s="1" t="str">
        <f ca="1">IFERROR(__xludf.DUMMYFUNCTION("""COMPUTED_VALUE"""),"годен до 04.2021")</f>
        <v>годен до 04.2021</v>
      </c>
      <c r="F509" s="1" t="str">
        <f ca="1">IFERROR(__xludf.DUMMYFUNCTION("""COMPUTED_VALUE"""),"Mister Ben классические № 3 Презервативы латексные - 151126Kar1088")</f>
        <v>Mister Ben классические № 3 Презервативы латексные - 151126Kar1088</v>
      </c>
      <c r="G509" s="1" t="str">
        <f ca="1">IFERROR(__xludf.DUMMYFUNCTION("""COMPUTED_VALUE"""),"KZ.7100.01.01.00502788 / Действителен до 01.07.2021 / 151126Kar1088 / годен до 04.2021")</f>
        <v>KZ.7100.01.01.00502788 / Действителен до 01.07.2021 / 151126Kar1088 / годен до 04.2021</v>
      </c>
      <c r="H509" s="1" t="str">
        <f ca="1">IFERROR(__xludf.DUMMYFUNCTION("""COMPUTED_VALUE"""),"Mister Ben классические № 3 Презервативы латексные KZ.7100.01.01.00502788 / Действителен до 01.07.2021 / 151126Kar1088 / годен до 04.2021")</f>
        <v>Mister Ben классические № 3 Презервативы латексные KZ.7100.01.01.00502788 / Действителен до 01.07.2021 / 151126Kar1088 / годен до 04.2021</v>
      </c>
    </row>
    <row r="510" spans="1:8" ht="12.75" x14ac:dyDescent="0.2">
      <c r="A510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510" s="1" t="str">
        <f ca="1">IFERROR(__xludf.DUMMYFUNCTION("""COMPUTED_VALUE"""),"KZ.7100.01.01.00502789")</f>
        <v>KZ.7100.01.01.00502789</v>
      </c>
      <c r="C510" s="1" t="str">
        <f ca="1">IFERROR(__xludf.DUMMYFUNCTION("""COMPUTED_VALUE"""),"Действителен до 01.07.2021")</f>
        <v>Действителен до 01.07.2021</v>
      </c>
      <c r="D510" s="8" t="str">
        <f ca="1">IFERROR(__xludf.DUMMYFUNCTION("""COMPUTED_VALUE"""),"160513Kar1208")</f>
        <v>160513Kar1208</v>
      </c>
      <c r="E510" s="1" t="str">
        <f ca="1">IFERROR(__xludf.DUMMYFUNCTION("""COMPUTED_VALUE"""),"годен до 06.2021")</f>
        <v>годен до 06.2021</v>
      </c>
      <c r="F510" s="1" t="str">
        <f ca="1">IFERROR(__xludf.DUMMYFUNCTION("""COMPUTED_VALUE"""),"Mister Ben классические № 3 Презервативы латексные - 160513Kar1208")</f>
        <v>Mister Ben классические № 3 Презервативы латексные - 160513Kar1208</v>
      </c>
      <c r="G510" s="1" t="str">
        <f ca="1">IFERROR(__xludf.DUMMYFUNCTION("""COMPUTED_VALUE"""),"KZ.7100.01.01.00502789 / Действителен до 01.07.2021 / 160513Kar1208 / годен до 06.2021")</f>
        <v>KZ.7100.01.01.00502789 / Действителен до 01.07.2021 / 160513Kar1208 / годен до 06.2021</v>
      </c>
      <c r="H510" s="1" t="str">
        <f ca="1">IFERROR(__xludf.DUMMYFUNCTION("""COMPUTED_VALUE"""),"Mister Ben классические № 3 Презервативы латексные KZ.7100.01.01.00502789 / Действителен до 01.07.2021 / 160513Kar1208 / годен до 06.2021")</f>
        <v>Mister Ben классические № 3 Презервативы латексные KZ.7100.01.01.00502789 / Действителен до 01.07.2021 / 160513Kar1208 / годен до 06.2021</v>
      </c>
    </row>
    <row r="511" spans="1:8" ht="12.75" x14ac:dyDescent="0.2">
      <c r="A511" s="1" t="str">
        <f ca="1">IFERROR(__xludf.DUMMYFUNCTION("""COMPUTED_VALUE"""),"DOLPHI 3 в 1 №3 Презервативы латексные")</f>
        <v>DOLPHI 3 в 1 №3 Презервативы латексные</v>
      </c>
      <c r="B511" s="1" t="str">
        <f ca="1">IFERROR(__xludf.DUMMYFUNCTION("""COMPUTED_VALUE"""),"KZ.7100.01.01.00502790")</f>
        <v>KZ.7100.01.01.00502790</v>
      </c>
      <c r="C511" s="1" t="str">
        <f ca="1">IFERROR(__xludf.DUMMYFUNCTION("""COMPUTED_VALUE"""),"Действителен до 01.03.2022")</f>
        <v>Действителен до 01.03.2022</v>
      </c>
      <c r="D511" s="8" t="str">
        <f ca="1">IFERROR(__xludf.DUMMYFUNCTION("""COMPUTED_VALUE"""),"160901Kar1307")</f>
        <v>160901Kar1307</v>
      </c>
      <c r="E511" s="1" t="str">
        <f ca="1">IFERROR(__xludf.DUMMYFUNCTION("""COMPUTED_VALUE"""),"годен до 02.2022")</f>
        <v>годен до 02.2022</v>
      </c>
      <c r="F511" s="1" t="str">
        <f ca="1">IFERROR(__xludf.DUMMYFUNCTION("""COMPUTED_VALUE"""),"DOLPHI 3 в 1 №3 Презервативы латексные - 160901Kar1307")</f>
        <v>DOLPHI 3 в 1 №3 Презервативы латексные - 160901Kar1307</v>
      </c>
      <c r="G511" s="1" t="str">
        <f ca="1">IFERROR(__xludf.DUMMYFUNCTION("""COMPUTED_VALUE"""),"KZ.7100.01.01.00502790 / Действителен до 01.03.2022 / 160901Kar1307 / годен до 02.2022")</f>
        <v>KZ.7100.01.01.00502790 / Действителен до 01.03.2022 / 160901Kar1307 / годен до 02.2022</v>
      </c>
      <c r="H511" s="1" t="str">
        <f ca="1">IFERROR(__xludf.DUMMYFUNCTION("""COMPUTED_VALUE"""),"DOLPHI 3 в 1 №3 Презервативы латексные KZ.7100.01.01.00502790 / Действителен до 01.03.2022 / 160901Kar1307 / годен до 02.2022")</f>
        <v>DOLPHI 3 в 1 №3 Презервативы латексные KZ.7100.01.01.00502790 / Действителен до 01.03.2022 / 160901Kar1307 / годен до 02.2022</v>
      </c>
    </row>
    <row r="512" spans="1:8" ht="12.75" x14ac:dyDescent="0.2">
      <c r="A512" s="1" t="str">
        <f ca="1">IFERROR(__xludf.DUMMYFUNCTION("""COMPUTED_VALUE"""),"DOLPHI 3 в 1 №3 Презервативы латексные")</f>
        <v>DOLPHI 3 в 1 №3 Презервативы латексные</v>
      </c>
      <c r="B512" s="1" t="str">
        <f ca="1">IFERROR(__xludf.DUMMYFUNCTION("""COMPUTED_VALUE"""),"KZ.7100.01.01.00502789")</f>
        <v>KZ.7100.01.01.00502789</v>
      </c>
      <c r="C512" s="1" t="str">
        <f ca="1">IFERROR(__xludf.DUMMYFUNCTION("""COMPUTED_VALUE"""),"Действителен до 01.07.2021")</f>
        <v>Действителен до 01.07.2021</v>
      </c>
      <c r="D512" s="8" t="str">
        <f ca="1">IFERROR(__xludf.DUMMYFUNCTION("""COMPUTED_VALUE"""),"160513Kar1214")</f>
        <v>160513Kar1214</v>
      </c>
      <c r="E512" s="1" t="str">
        <f ca="1">IFERROR(__xludf.DUMMYFUNCTION("""COMPUTED_VALUE"""),"годен до 12.2021")</f>
        <v>годен до 12.2021</v>
      </c>
      <c r="F512" s="1" t="str">
        <f ca="1">IFERROR(__xludf.DUMMYFUNCTION("""COMPUTED_VALUE"""),"DOLPHI 3 в 1 №3 Презервативы латексные - 160513Kar1214")</f>
        <v>DOLPHI 3 в 1 №3 Презервативы латексные - 160513Kar1214</v>
      </c>
      <c r="G512" s="1" t="str">
        <f ca="1">IFERROR(__xludf.DUMMYFUNCTION("""COMPUTED_VALUE"""),"KZ.7100.01.01.00502789 / Действителен до 01.07.2021 / 160513Kar1214 / годен до 12.2021")</f>
        <v>KZ.7100.01.01.00502789 / Действителен до 01.07.2021 / 160513Kar1214 / годен до 12.2021</v>
      </c>
      <c r="H512" s="1" t="str">
        <f ca="1">IFERROR(__xludf.DUMMYFUNCTION("""COMPUTED_VALUE"""),"DOLPHI 3 в 1 №3 Презервативы латексные KZ.7100.01.01.00502789 / Действителен до 01.07.2021 / 160513Kar1214 / годен до 12.2021")</f>
        <v>DOLPHI 3 в 1 №3 Презервативы латексные KZ.7100.01.01.00502789 / Действителен до 01.07.2021 / 160513Kar1214 / годен до 12.2021</v>
      </c>
    </row>
    <row r="513" spans="1:8" ht="12.75" x14ac:dyDescent="0.2">
      <c r="A513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513" s="1" t="str">
        <f ca="1">IFERROR(__xludf.DUMMYFUNCTION("""COMPUTED_VALUE"""),"KZ.7700.02.01.00713092")</f>
        <v>KZ.7700.02.01.00713092</v>
      </c>
      <c r="C513" s="1" t="str">
        <f ca="1">IFERROR(__xludf.DUMMYFUNCTION("""COMPUTED_VALUE"""),"Действителен до 21.12.2025")</f>
        <v>Действителен до 21.12.2025</v>
      </c>
      <c r="D513" s="8" t="str">
        <f ca="1">IFERROR(__xludf.DUMMYFUNCTION("""COMPUTED_VALUE"""),"1220125KZ125")</f>
        <v>1220125KZ125</v>
      </c>
      <c r="E513" s="1" t="str">
        <f ca="1">IFERROR(__xludf.DUMMYFUNCTION("""COMPUTED_VALUE"""),"годен до 21.12.2025")</f>
        <v>годен до 21.12.2025</v>
      </c>
      <c r="F513" s="1" t="str">
        <f ca="1">IFERROR(__xludf.DUMMYFUNCTION("""COMPUTED_VALUE"""),"Корректор осанки с ребрами жесткости эластичный 2011 XL (Болгария) - 1220125KZ125")</f>
        <v>Корректор осанки с ребрами жесткости эластичный 2011 XL (Болгария) - 1220125KZ125</v>
      </c>
      <c r="G513" s="1" t="str">
        <f ca="1">IFERROR(__xludf.DUMMYFUNCTION("""COMPUTED_VALUE"""),"KZ.7700.02.01.00713092 / Действителен до 21.12.2025 / 1220125KZ125 / годен до 21.12.2025")</f>
        <v>KZ.7700.02.01.00713092 / Действителен до 21.12.2025 / 1220125KZ125 / годен до 21.12.2025</v>
      </c>
      <c r="H513" s="1" t="str">
        <f ca="1">IFERROR(__xludf.DUMMYFUNCTION("""COMPUTED_VALUE"""),"Корректор осанки с ребрами жесткости эластичный 2011 XL (Болгария) KZ.7700.02.01.00713092 / Действителен до 21.12.2025 / 1220125KZ125 / годен до 21.12.2025")</f>
        <v>Корректор осанки с ребрами жесткости эластичный 2011 XL (Болгария) KZ.7700.02.01.00713092 / Действителен до 21.12.2025 / 1220125KZ125 / годен до 21.12.2025</v>
      </c>
    </row>
    <row r="514" spans="1:8" ht="12.75" x14ac:dyDescent="0.2">
      <c r="A514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514" s="1" t="str">
        <f ca="1">IFERROR(__xludf.DUMMYFUNCTION("""COMPUTED_VALUE"""),"KZ.7700.02.01.00713115")</f>
        <v>KZ.7700.02.01.00713115</v>
      </c>
      <c r="C514" s="1" t="str">
        <f ca="1">IFERROR(__xludf.DUMMYFUNCTION("""COMPUTED_VALUE"""),"Действителен до 21.12.2025")</f>
        <v>Действителен до 21.12.2025</v>
      </c>
      <c r="D514" s="8" t="str">
        <f ca="1">IFERROR(__xludf.DUMMYFUNCTION("""COMPUTED_VALUE"""),"1220125KZ125")</f>
        <v>1220125KZ125</v>
      </c>
      <c r="E514" s="1" t="str">
        <f ca="1">IFERROR(__xludf.DUMMYFUNCTION("""COMPUTED_VALUE"""),"годен до 21.12.2025")</f>
        <v>годен до 21.12.2025</v>
      </c>
      <c r="F514" s="1" t="str">
        <f ca="1">IFERROR(__xludf.DUMMYFUNCTION("""COMPUTED_VALUE"""),"Корректор осанки с ребрами жесткости эластичный 2011 XXL (Болгария) - 1220125KZ125")</f>
        <v>Корректор осанки с ребрами жесткости эластичный 2011 XXL (Болгария) - 1220125KZ125</v>
      </c>
      <c r="G514" s="1" t="str">
        <f ca="1">IFERROR(__xludf.DUMMYFUNCTION("""COMPUTED_VALUE"""),"KZ.7700.02.01.00713115 / Действителен до 21.12.2025 / 1220125KZ125 / годен до 21.12.2025")</f>
        <v>KZ.7700.02.01.00713115 / Действителен до 21.12.2025 / 1220125KZ125 / годен до 21.12.2025</v>
      </c>
      <c r="H514" s="1" t="str">
        <f ca="1">IFERROR(__xludf.DUMMYFUNCTION("""COMPUTED_VALUE"""),"Корректор осанки с ребрами жесткости эластичный 2011 XXL (Болгария) KZ.7700.02.01.00713115 / Действителен до 21.12.2025 / 1220125KZ125 / годен до 21.12.2025")</f>
        <v>Корректор осанки с ребрами жесткости эластичный 2011 XXL (Болгария) KZ.7700.02.01.00713115 / Действителен до 21.12.2025 / 1220125KZ125 / годен до 21.12.2025</v>
      </c>
    </row>
    <row r="515" spans="1:8" ht="12.75" x14ac:dyDescent="0.2">
      <c r="A515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515" s="1" t="str">
        <f ca="1">IFERROR(__xludf.DUMMYFUNCTION("""COMPUTED_VALUE"""),"KZ.7700.02.01.00713119")</f>
        <v>KZ.7700.02.01.00713119</v>
      </c>
      <c r="C515" s="1" t="str">
        <f ca="1">IFERROR(__xludf.DUMMYFUNCTION("""COMPUTED_VALUE"""),"Действителен до 21.12.2025")</f>
        <v>Действителен до 21.12.2025</v>
      </c>
      <c r="D515" s="8" t="str">
        <f ca="1">IFERROR(__xludf.DUMMYFUNCTION("""COMPUTED_VALUE"""),"1220125KZ125")</f>
        <v>1220125KZ125</v>
      </c>
      <c r="E515" s="1" t="str">
        <f ca="1">IFERROR(__xludf.DUMMYFUNCTION("""COMPUTED_VALUE"""),"годен до 21.12.2025")</f>
        <v>годен до 21.12.2025</v>
      </c>
      <c r="F515" s="1" t="str">
        <f ca="1">IFERROR(__xludf.DUMMYFUNCTION("""COMPUTED_VALUE"""),"Корректор лечебно-профилактический (с 4 ребрами жесткости) эластичный 3011 - L - 1220125KZ125")</f>
        <v>Корректор лечебно-профилактический (с 4 ребрами жесткости) эластичный 3011 - L - 1220125KZ125</v>
      </c>
      <c r="G515" s="1" t="str">
        <f ca="1">IFERROR(__xludf.DUMMYFUNCTION("""COMPUTED_VALUE"""),"KZ.7700.02.01.00713119 / Действителен до 21.12.2025 / 1220125KZ125 / годен до 21.12.2025")</f>
        <v>KZ.7700.02.01.00713119 / Действителен до 21.12.2025 / 1220125KZ125 / годен до 21.12.2025</v>
      </c>
      <c r="H515" s="1" t="str">
        <f ca="1">IFERROR(__xludf.DUMMYFUNCTION("""COMPUTED_VALUE"""),"Корректор лечебно-профилактический (с 4 ребрами жесткости) эластичный 3011 - L KZ.7700.02.01.00713119 / Действителен до 21.12.2025 / 1220125KZ125 / годен до 21.12.2025")</f>
        <v>Корректор лечебно-профилактический (с 4 ребрами жесткости) эластичный 3011 - L KZ.7700.02.01.00713119 / Действителен до 21.12.2025 / 1220125KZ125 / годен до 21.12.2025</v>
      </c>
    </row>
    <row r="516" spans="1:8" ht="12.75" x14ac:dyDescent="0.2">
      <c r="A516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516" s="1" t="str">
        <f ca="1">IFERROR(__xludf.DUMMYFUNCTION("""COMPUTED_VALUE"""),"KZ.7700.02.01.00713123")</f>
        <v>KZ.7700.02.01.00713123</v>
      </c>
      <c r="C516" s="1" t="str">
        <f ca="1">IFERROR(__xludf.DUMMYFUNCTION("""COMPUTED_VALUE"""),"Действителен до 21.12.2025")</f>
        <v>Действителен до 21.12.2025</v>
      </c>
      <c r="D516" s="8" t="str">
        <f ca="1">IFERROR(__xludf.DUMMYFUNCTION("""COMPUTED_VALUE"""),"1220125KZ125")</f>
        <v>1220125KZ125</v>
      </c>
      <c r="E516" s="1" t="str">
        <f ca="1">IFERROR(__xludf.DUMMYFUNCTION("""COMPUTED_VALUE"""),"годен до 21.12.2025")</f>
        <v>годен до 21.12.2025</v>
      </c>
      <c r="F516" s="1" t="str">
        <f ca="1">IFERROR(__xludf.DUMMYFUNCTION("""COMPUTED_VALUE"""),"Корректор лечебно-профилактический (с 4 ребрами жесткости) эластичный 3011- XL - 1220125KZ125")</f>
        <v>Корректор лечебно-профилактический (с 4 ребрами жесткости) эластичный 3011- XL - 1220125KZ125</v>
      </c>
      <c r="G516" s="1" t="str">
        <f ca="1">IFERROR(__xludf.DUMMYFUNCTION("""COMPUTED_VALUE"""),"KZ.7700.02.01.00713123 / Действителен до 21.12.2025 / 1220125KZ125 / годен до 21.12.2025")</f>
        <v>KZ.7700.02.01.00713123 / Действителен до 21.12.2025 / 1220125KZ125 / годен до 21.12.2025</v>
      </c>
      <c r="H516" s="1" t="str">
        <f ca="1">IFERROR(__xludf.DUMMYFUNCTION("""COMPUTED_VALUE"""),"Корректор лечебно-профилактический (с 4 ребрами жесткости) эластичный 3011- XL KZ.7700.02.01.00713123 / Действителен до 21.12.2025 / 1220125KZ125 / годен до 21.12.2025")</f>
        <v>Корректор лечебно-профилактический (с 4 ребрами жесткости) эластичный 3011- XL KZ.7700.02.01.00713123 / Действителен до 21.12.2025 / 1220125KZ125 / годен до 21.12.2025</v>
      </c>
    </row>
    <row r="517" spans="1:8" ht="12.75" x14ac:dyDescent="0.2">
      <c r="A517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517" s="1" t="str">
        <f ca="1">IFERROR(__xludf.DUMMYFUNCTION("""COMPUTED_VALUE"""),"KZ.7700.02.01.00713100")</f>
        <v>KZ.7700.02.01.00713100</v>
      </c>
      <c r="C517" s="1" t="str">
        <f ca="1">IFERROR(__xludf.DUMMYFUNCTION("""COMPUTED_VALUE"""),"Действителен до 21.12.2025")</f>
        <v>Действителен до 21.12.2025</v>
      </c>
      <c r="D517" s="8" t="str">
        <f ca="1">IFERROR(__xludf.DUMMYFUNCTION("""COMPUTED_VALUE"""),"1220125KZ125")</f>
        <v>1220125KZ125</v>
      </c>
      <c r="E517" s="1" t="str">
        <f ca="1">IFERROR(__xludf.DUMMYFUNCTION("""COMPUTED_VALUE"""),"годен до 21.12.2025")</f>
        <v>годен до 21.12.2025</v>
      </c>
      <c r="F517" s="1" t="str">
        <f ca="1">IFERROR(__xludf.DUMMYFUNCTION("""COMPUTED_VALUE"""),"Корректор лечебно-профилактический (с 4 ребрами жесткости) эластичный 3011- XXL - 1220125KZ125")</f>
        <v>Корректор лечебно-профилактический (с 4 ребрами жесткости) эластичный 3011- XXL - 1220125KZ125</v>
      </c>
      <c r="G517" s="1" t="str">
        <f ca="1">IFERROR(__xludf.DUMMYFUNCTION("""COMPUTED_VALUE"""),"KZ.7700.02.01.00713100 / Действителен до 21.12.2025 / 1220125KZ125 / годен до 21.12.2025")</f>
        <v>KZ.7700.02.01.00713100 / Действителен до 21.12.2025 / 1220125KZ125 / годен до 21.12.2025</v>
      </c>
      <c r="H517" s="1" t="str">
        <f ca="1">IFERROR(__xludf.DUMMYFUNCTION("""COMPUTED_VALUE"""),"Корректор лечебно-профилактический (с 4 ребрами жесткости) эластичный 3011- XXL KZ.7700.02.01.00713100 / Действителен до 21.12.2025 / 1220125KZ125 / годен до 21.12.2025")</f>
        <v>Корректор лечебно-профилактический (с 4 ребрами жесткости) эластичный 3011- XXL KZ.7700.02.01.00713100 / Действителен до 21.12.2025 / 1220125KZ125 / годен до 21.12.2025</v>
      </c>
    </row>
    <row r="518" spans="1:8" ht="12.75" x14ac:dyDescent="0.2">
      <c r="A518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518" s="1" t="str">
        <f ca="1">IFERROR(__xludf.DUMMYFUNCTION("""COMPUTED_VALUE"""),"KZ.7700.02.01.00713120")</f>
        <v>KZ.7700.02.01.00713120</v>
      </c>
      <c r="C518" s="1" t="str">
        <f ca="1">IFERROR(__xludf.DUMMYFUNCTION("""COMPUTED_VALUE"""),"Действителен до 21.12.2025")</f>
        <v>Действителен до 21.12.2025</v>
      </c>
      <c r="D518" s="8" t="str">
        <f ca="1">IFERROR(__xludf.DUMMYFUNCTION("""COMPUTED_VALUE"""),"1220125KZ125")</f>
        <v>1220125KZ125</v>
      </c>
      <c r="E518" s="1" t="str">
        <f ca="1">IFERROR(__xludf.DUMMYFUNCTION("""COMPUTED_VALUE"""),"годен до 21.12.2025")</f>
        <v>годен до 21.12.2025</v>
      </c>
      <c r="F518" s="1" t="str">
        <f ca="1">IFERROR(__xludf.DUMMYFUNCTION("""COMPUTED_VALUE"""),"Корсет ортопедический с ребрами жесткости согревающий 3041 XL/XXL (Болгария) - 1220125KZ125")</f>
        <v>Корсет ортопедический с ребрами жесткости согревающий 3041 XL/XXL (Болгария) - 1220125KZ125</v>
      </c>
      <c r="G518" s="1" t="str">
        <f ca="1">IFERROR(__xludf.DUMMYFUNCTION("""COMPUTED_VALUE"""),"KZ.7700.02.01.00713120 / Действителен до 21.12.2025 / 1220125KZ125 / годен до 21.12.2025")</f>
        <v>KZ.7700.02.01.00713120 / Действителен до 21.12.2025 / 1220125KZ125 / годен до 21.12.2025</v>
      </c>
      <c r="H518" s="1" t="str">
        <f ca="1">IFERROR(__xludf.DUMMYFUNCTION("""COMPUTED_VALUE"""),"Корсет ортопедический с ребрами жесткости согревающий 3041 XL/XXL (Болгария) KZ.7700.02.01.00713120 / Действителен до 21.12.2025 / 1220125KZ125 / годен до 21.12.2025")</f>
        <v>Корсет ортопедический с ребрами жесткости согревающий 3041 XL/XXL (Болгария) KZ.7700.02.01.00713120 / Действителен до 21.12.2025 / 1220125KZ125 / годен до 21.12.2025</v>
      </c>
    </row>
    <row r="519" spans="1:8" ht="12.75" x14ac:dyDescent="0.2">
      <c r="A519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519" s="1" t="str">
        <f ca="1">IFERROR(__xludf.DUMMYFUNCTION("""COMPUTED_VALUE"""),"KZ.7700.02.01.00713097")</f>
        <v>KZ.7700.02.01.00713097</v>
      </c>
      <c r="C519" s="1" t="str">
        <f ca="1">IFERROR(__xludf.DUMMYFUNCTION("""COMPUTED_VALUE"""),"Действителен до 21.12.2025")</f>
        <v>Действителен до 21.12.2025</v>
      </c>
      <c r="D519" s="8" t="str">
        <f ca="1">IFERROR(__xludf.DUMMYFUNCTION("""COMPUTED_VALUE"""),"1220125KZ125")</f>
        <v>1220125KZ125</v>
      </c>
      <c r="E519" s="1" t="str">
        <f ca="1">IFERROR(__xludf.DUMMYFUNCTION("""COMPUTED_VALUE"""),"годен до 21.12.2025")</f>
        <v>годен до 21.12.2025</v>
      </c>
      <c r="F519" s="1" t="str">
        <f ca="1">IFERROR(__xludf.DUMMYFUNCTION("""COMPUTED_VALUE"""),"Корсет ортопедический с ребрами жесткости согревающий 3041 XXXL/XXXXL (Болгария) - 1220125KZ125")</f>
        <v>Корсет ортопедический с ребрами жесткости согревающий 3041 XXXL/XXXXL (Болгария) - 1220125KZ125</v>
      </c>
      <c r="G519" s="1" t="str">
        <f ca="1">IFERROR(__xludf.DUMMYFUNCTION("""COMPUTED_VALUE"""),"KZ.7700.02.01.00713097 / Действителен до 21.12.2025 / 1220125KZ125 / годен до 21.12.2025")</f>
        <v>KZ.7700.02.01.00713097 / Действителен до 21.12.2025 / 1220125KZ125 / годен до 21.12.2025</v>
      </c>
      <c r="H519" s="1" t="str">
        <f ca="1">IFERROR(__xludf.DUMMYFUNCTION("""COMPUTED_VALUE"""),"Корсет ортопедический с ребрами жесткости согревающий 3041 XXXL/XXXXL (Болгария) KZ.7700.02.01.00713097 / Действителен до 21.12.2025 / 1220125KZ125 / годен до 21.12.2025")</f>
        <v>Корсет ортопедический с ребрами жесткости согревающий 3041 XXXL/XXXXL (Болгария) KZ.7700.02.01.00713097 / Действителен до 21.12.2025 / 1220125KZ125 / годен до 21.12.2025</v>
      </c>
    </row>
    <row r="520" spans="1:8" ht="12.75" x14ac:dyDescent="0.2">
      <c r="A520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520" s="1" t="str">
        <f ca="1">IFERROR(__xludf.DUMMYFUNCTION("""COMPUTED_VALUE"""),"KZ.7700.02.01.00713124")</f>
        <v>KZ.7700.02.01.00713124</v>
      </c>
      <c r="C520" s="1" t="str">
        <f ca="1">IFERROR(__xludf.DUMMYFUNCTION("""COMPUTED_VALUE"""),"Действителен до 21.12.2025")</f>
        <v>Действителен до 21.12.2025</v>
      </c>
      <c r="D520" s="8" t="str">
        <f ca="1">IFERROR(__xludf.DUMMYFUNCTION("""COMPUTED_VALUE"""),"1220125KZ125")</f>
        <v>1220125KZ125</v>
      </c>
      <c r="E520" s="1" t="str">
        <f ca="1">IFERROR(__xludf.DUMMYFUNCTION("""COMPUTED_VALUE"""),"годен до 21.12.2025")</f>
        <v>годен до 21.12.2025</v>
      </c>
      <c r="F520" s="1" t="str">
        <f ca="1">IFERROR(__xludf.DUMMYFUNCTION("""COMPUTED_VALUE"""),"Бандаж лечебно–профилактический (с тремя ребрами жесткости) 4001 L (Болгария) - 1220125KZ125")</f>
        <v>Бандаж лечебно–профилактический (с тремя ребрами жесткости) 4001 L (Болгария) - 1220125KZ125</v>
      </c>
      <c r="G520" s="1" t="str">
        <f ca="1">IFERROR(__xludf.DUMMYFUNCTION("""COMPUTED_VALUE"""),"KZ.7700.02.01.00713124 / Действителен до 21.12.2025 / 1220125KZ125 / годен до 21.12.2025")</f>
        <v>KZ.7700.02.01.00713124 / Действителен до 21.12.2025 / 1220125KZ125 / годен до 21.12.2025</v>
      </c>
      <c r="H520" s="1" t="str">
        <f ca="1">IFERROR(__xludf.DUMMYFUNCTION("""COMPUTED_VALUE"""),"Бандаж лечебно–профилактический (с тремя ребрами жесткости) 4001 L (Болгария) KZ.7700.02.01.00713124 / Действителен до 21.12.2025 / 1220125KZ125 / годен до 21.12.2025")</f>
        <v>Бандаж лечебно–профилактический (с тремя ребрами жесткости) 4001 L (Болгария) KZ.7700.02.01.00713124 / Действителен до 21.12.2025 / 1220125KZ125 / годен до 21.12.2025</v>
      </c>
    </row>
    <row r="521" spans="1:8" ht="12.75" x14ac:dyDescent="0.2">
      <c r="A521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521" s="1" t="str">
        <f ca="1">IFERROR(__xludf.DUMMYFUNCTION("""COMPUTED_VALUE"""),"KZ.7700.02.01.00713116")</f>
        <v>KZ.7700.02.01.00713116</v>
      </c>
      <c r="C521" s="1" t="str">
        <f ca="1">IFERROR(__xludf.DUMMYFUNCTION("""COMPUTED_VALUE"""),"Действителен до 21.12.2025")</f>
        <v>Действителен до 21.12.2025</v>
      </c>
      <c r="D521" s="8" t="str">
        <f ca="1">IFERROR(__xludf.DUMMYFUNCTION("""COMPUTED_VALUE"""),"1220125KZ125")</f>
        <v>1220125KZ125</v>
      </c>
      <c r="E521" s="1" t="str">
        <f ca="1">IFERROR(__xludf.DUMMYFUNCTION("""COMPUTED_VALUE"""),"годен до 21.12.2025")</f>
        <v>годен до 21.12.2025</v>
      </c>
      <c r="F521" s="1" t="str">
        <f ca="1">IFERROR(__xludf.DUMMYFUNCTION("""COMPUTED_VALUE"""),"Бандаж лечебно–профилактический (с тремя ребрами жесткости) 4001 M (Болгария) - 1220125KZ125")</f>
        <v>Бандаж лечебно–профилактический (с тремя ребрами жесткости) 4001 M (Болгария) - 1220125KZ125</v>
      </c>
      <c r="G521" s="1" t="str">
        <f ca="1">IFERROR(__xludf.DUMMYFUNCTION("""COMPUTED_VALUE"""),"KZ.7700.02.01.00713116 / Действителен до 21.12.2025 / 1220125KZ125 / годен до 21.12.2025")</f>
        <v>KZ.7700.02.01.00713116 / Действителен до 21.12.2025 / 1220125KZ125 / годен до 21.12.2025</v>
      </c>
      <c r="H521" s="1" t="str">
        <f ca="1">IFERROR(__xludf.DUMMYFUNCTION("""COMPUTED_VALUE"""),"Бандаж лечебно–профилактический (с тремя ребрами жесткости) 4001 M (Болгария) KZ.7700.02.01.00713116 / Действителен до 21.12.2025 / 1220125KZ125 / годен до 21.12.2025")</f>
        <v>Бандаж лечебно–профилактический (с тремя ребрами жесткости) 4001 M (Болгария) KZ.7700.02.01.00713116 / Действителен до 21.12.2025 / 1220125KZ125 / годен до 21.12.2025</v>
      </c>
    </row>
    <row r="522" spans="1:8" ht="12.75" x14ac:dyDescent="0.2">
      <c r="A522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522" s="1" t="str">
        <f ca="1">IFERROR(__xludf.DUMMYFUNCTION("""COMPUTED_VALUE"""),"KZ.7700.02.01.00713075")</f>
        <v>KZ.7700.02.01.00713075</v>
      </c>
      <c r="C522" s="1" t="str">
        <f ca="1">IFERROR(__xludf.DUMMYFUNCTION("""COMPUTED_VALUE"""),"Действителен до 21.12.2025")</f>
        <v>Действителен до 21.12.2025</v>
      </c>
      <c r="D522" s="8" t="str">
        <f ca="1">IFERROR(__xludf.DUMMYFUNCTION("""COMPUTED_VALUE"""),"1220125KZ125")</f>
        <v>1220125KZ125</v>
      </c>
      <c r="E522" s="1" t="str">
        <f ca="1">IFERROR(__xludf.DUMMYFUNCTION("""COMPUTED_VALUE"""),"годен до 21.12.2025")</f>
        <v>годен до 21.12.2025</v>
      </c>
      <c r="F522" s="1" t="str">
        <f ca="1">IFERROR(__xludf.DUMMYFUNCTION("""COMPUTED_VALUE"""),"Бандаж лечебно–профилактический (с тремя ребрами жесткости) 4001 XL (Болгария) - 1220125KZ125")</f>
        <v>Бандаж лечебно–профилактический (с тремя ребрами жесткости) 4001 XL (Болгария) - 1220125KZ125</v>
      </c>
      <c r="G522" s="1" t="str">
        <f ca="1">IFERROR(__xludf.DUMMYFUNCTION("""COMPUTED_VALUE"""),"KZ.7700.02.01.00713075 / Действителен до 21.12.2025 / 1220125KZ125 / годен до 21.12.2025")</f>
        <v>KZ.7700.02.01.00713075 / Действителен до 21.12.2025 / 1220125KZ125 / годен до 21.12.2025</v>
      </c>
      <c r="H522" s="1" t="str">
        <f ca="1">IFERROR(__xludf.DUMMYFUNCTION("""COMPUTED_VALUE"""),"Бандаж лечебно–профилактический (с тремя ребрами жесткости) 4001 XL (Болгария) KZ.7700.02.01.00713075 / Действителен до 21.12.2025 / 1220125KZ125 / годен до 21.12.2025")</f>
        <v>Бандаж лечебно–профилактический (с тремя ребрами жесткости) 4001 XL (Болгария) KZ.7700.02.01.00713075 / Действителен до 21.12.2025 / 1220125KZ125 / годен до 21.12.2025</v>
      </c>
    </row>
    <row r="523" spans="1:8" ht="12.75" x14ac:dyDescent="0.2">
      <c r="A523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523" s="1" t="str">
        <f ca="1">IFERROR(__xludf.DUMMYFUNCTION("""COMPUTED_VALUE"""),"KZ.7700.02.01.00713085")</f>
        <v>KZ.7700.02.01.00713085</v>
      </c>
      <c r="C523" s="1" t="str">
        <f ca="1">IFERROR(__xludf.DUMMYFUNCTION("""COMPUTED_VALUE"""),"Действителен до 21.12.2025")</f>
        <v>Действителен до 21.12.2025</v>
      </c>
      <c r="D523" s="8" t="str">
        <f ca="1">IFERROR(__xludf.DUMMYFUNCTION("""COMPUTED_VALUE"""),"1220125KZ125")</f>
        <v>1220125KZ125</v>
      </c>
      <c r="E523" s="1" t="str">
        <f ca="1">IFERROR(__xludf.DUMMYFUNCTION("""COMPUTED_VALUE"""),"годен до 21.12.2025")</f>
        <v>годен до 21.12.2025</v>
      </c>
      <c r="F523" s="1" t="str">
        <f ca="1">IFERROR(__xludf.DUMMYFUNCTION("""COMPUTED_VALUE"""),"Бандаж лечебно–профилактический (с тремя ребрами жесткости) 4001 XXL (Болгария) - 1220125KZ125")</f>
        <v>Бандаж лечебно–профилактический (с тремя ребрами жесткости) 4001 XXL (Болгария) - 1220125KZ125</v>
      </c>
      <c r="G523" s="1" t="str">
        <f ca="1">IFERROR(__xludf.DUMMYFUNCTION("""COMPUTED_VALUE"""),"KZ.7700.02.01.00713085 / Действителен до 21.12.2025 / 1220125KZ125 / годен до 21.12.2025")</f>
        <v>KZ.7700.02.01.00713085 / Действителен до 21.12.2025 / 1220125KZ125 / годен до 21.12.2025</v>
      </c>
      <c r="H523" s="1" t="str">
        <f ca="1">IFERROR(__xludf.DUMMYFUNCTION("""COMPUTED_VALUE"""),"Бандаж лечебно–профилактический (с тремя ребрами жесткости) 4001 XXL (Болгария) KZ.7700.02.01.00713085 / Действителен до 21.12.2025 / 1220125KZ125 / годен до 21.12.2025")</f>
        <v>Бандаж лечебно–профилактический (с тремя ребрами жесткости) 4001 XXL (Болгария) KZ.7700.02.01.00713085 / Действителен до 21.12.2025 / 1220125KZ125 / годен до 21.12.2025</v>
      </c>
    </row>
    <row r="524" spans="1:8" ht="12.75" x14ac:dyDescent="0.2">
      <c r="A524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524" s="1" t="str">
        <f ca="1">IFERROR(__xludf.DUMMYFUNCTION("""COMPUTED_VALUE"""),"KZ.7700.02.01.00713114")</f>
        <v>KZ.7700.02.01.00713114</v>
      </c>
      <c r="C524" s="1" t="str">
        <f ca="1">IFERROR(__xludf.DUMMYFUNCTION("""COMPUTED_VALUE"""),"Действителен до 21.12.2025")</f>
        <v>Действителен до 21.12.2025</v>
      </c>
      <c r="D524" s="8" t="str">
        <f ca="1">IFERROR(__xludf.DUMMYFUNCTION("""COMPUTED_VALUE"""),"1220125KZ125")</f>
        <v>1220125KZ125</v>
      </c>
      <c r="E524" s="1" t="str">
        <f ca="1">IFERROR(__xludf.DUMMYFUNCTION("""COMPUTED_VALUE"""),"годен до 21.12.2025")</f>
        <v>годен до 21.12.2025</v>
      </c>
      <c r="F524" s="1" t="str">
        <f ca="1">IFERROR(__xludf.DUMMYFUNCTION("""COMPUTED_VALUE"""),"Бандаж лечебно–профилактический (с тремя ребрами жесткости) 4001 XXXL(Болгария) - 1220125KZ125")</f>
        <v>Бандаж лечебно–профилактический (с тремя ребрами жесткости) 4001 XXXL(Болгария) - 1220125KZ125</v>
      </c>
      <c r="G524" s="1" t="str">
        <f ca="1">IFERROR(__xludf.DUMMYFUNCTION("""COMPUTED_VALUE"""),"KZ.7700.02.01.00713114 / Действителен до 21.12.2025 / 1220125KZ125 / годен до 21.12.2025")</f>
        <v>KZ.7700.02.01.00713114 / Действителен до 21.12.2025 / 1220125KZ125 / годен до 21.12.2025</v>
      </c>
      <c r="H524" s="1" t="str">
        <f ca="1">IFERROR(__xludf.DUMMYFUNCTION("""COMPUTED_VALUE"""),"Бандаж лечебно–профилактический (с тремя ребрами жесткости) 4001 XXXL(Болгария) KZ.7700.02.01.00713114 / Действителен до 21.12.2025 / 1220125KZ125 / годен до 21.12.2025")</f>
        <v>Бандаж лечебно–профилактический (с тремя ребрами жесткости) 4001 XXXL(Болгария) KZ.7700.02.01.00713114 / Действителен до 21.12.2025 / 1220125KZ125 / годен до 21.12.2025</v>
      </c>
    </row>
    <row r="525" spans="1:8" ht="12.75" x14ac:dyDescent="0.2">
      <c r="A525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525" s="1" t="str">
        <f ca="1">IFERROR(__xludf.DUMMYFUNCTION("""COMPUTED_VALUE"""),"KZ.7700.02.01.00713101")</f>
        <v>KZ.7700.02.01.00713101</v>
      </c>
      <c r="C525" s="1" t="str">
        <f ca="1">IFERROR(__xludf.DUMMYFUNCTION("""COMPUTED_VALUE"""),"Действителен до 21.12.2025")</f>
        <v>Действителен до 21.12.2025</v>
      </c>
      <c r="D525" s="8" t="str">
        <f ca="1">IFERROR(__xludf.DUMMYFUNCTION("""COMPUTED_VALUE"""),"1220125KZ125")</f>
        <v>1220125KZ125</v>
      </c>
      <c r="E525" s="1" t="str">
        <f ca="1">IFERROR(__xludf.DUMMYFUNCTION("""COMPUTED_VALUE"""),"годен до 21.12.2025")</f>
        <v>годен до 21.12.2025</v>
      </c>
      <c r="F525" s="1" t="str">
        <f ca="1">IFERROR(__xludf.DUMMYFUNCTION("""COMPUTED_VALUE"""),"Бандаж лечебно–профилактический эластичный 4002 L (Болгария) - 1220125KZ125")</f>
        <v>Бандаж лечебно–профилактический эластичный 4002 L (Болгария) - 1220125KZ125</v>
      </c>
      <c r="G525" s="1" t="str">
        <f ca="1">IFERROR(__xludf.DUMMYFUNCTION("""COMPUTED_VALUE"""),"KZ.7700.02.01.00713101 / Действителен до 21.12.2025 / 1220125KZ125 / годен до 21.12.2025")</f>
        <v>KZ.7700.02.01.00713101 / Действителен до 21.12.2025 / 1220125KZ125 / годен до 21.12.2025</v>
      </c>
      <c r="H525" s="1" t="str">
        <f ca="1">IFERROR(__xludf.DUMMYFUNCTION("""COMPUTED_VALUE"""),"Бандаж лечебно–профилактический эластичный 4002 L (Болгария) KZ.7700.02.01.00713101 / Действителен до 21.12.2025 / 1220125KZ125 / годен до 21.12.2025")</f>
        <v>Бандаж лечебно–профилактический эластичный 4002 L (Болгария) KZ.7700.02.01.00713101 / Действителен до 21.12.2025 / 1220125KZ125 / годен до 21.12.2025</v>
      </c>
    </row>
    <row r="526" spans="1:8" ht="12.75" x14ac:dyDescent="0.2">
      <c r="A526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526" s="1" t="str">
        <f ca="1">IFERROR(__xludf.DUMMYFUNCTION("""COMPUTED_VALUE"""),"KZ.7700.02.01.00713083")</f>
        <v>KZ.7700.02.01.00713083</v>
      </c>
      <c r="C526" s="1" t="str">
        <f ca="1">IFERROR(__xludf.DUMMYFUNCTION("""COMPUTED_VALUE"""),"Действителен до 21.12.2025")</f>
        <v>Действителен до 21.12.2025</v>
      </c>
      <c r="D526" s="8" t="str">
        <f ca="1">IFERROR(__xludf.DUMMYFUNCTION("""COMPUTED_VALUE"""),"1220125KZ125")</f>
        <v>1220125KZ125</v>
      </c>
      <c r="E526" s="1" t="str">
        <f ca="1">IFERROR(__xludf.DUMMYFUNCTION("""COMPUTED_VALUE"""),"годен до 21.12.2025")</f>
        <v>годен до 21.12.2025</v>
      </c>
      <c r="F526" s="1" t="str">
        <f ca="1">IFERROR(__xludf.DUMMYFUNCTION("""COMPUTED_VALUE"""),"Бандаж лечебно–профилактический эластичный 4002 M (Болгария) - 1220125KZ125")</f>
        <v>Бандаж лечебно–профилактический эластичный 4002 M (Болгария) - 1220125KZ125</v>
      </c>
      <c r="G526" s="1" t="str">
        <f ca="1">IFERROR(__xludf.DUMMYFUNCTION("""COMPUTED_VALUE"""),"KZ.7700.02.01.00713083 / Действителен до 21.12.2025 / 1220125KZ125 / годен до 21.12.2025")</f>
        <v>KZ.7700.02.01.00713083 / Действителен до 21.12.2025 / 1220125KZ125 / годен до 21.12.2025</v>
      </c>
      <c r="H526" s="1" t="str">
        <f ca="1">IFERROR(__xludf.DUMMYFUNCTION("""COMPUTED_VALUE"""),"Бандаж лечебно–профилактический эластичный 4002 M (Болгария) KZ.7700.02.01.00713083 / Действителен до 21.12.2025 / 1220125KZ125 / годен до 21.12.2025")</f>
        <v>Бандаж лечебно–профилактический эластичный 4002 M (Болгария) KZ.7700.02.01.00713083 / Действителен до 21.12.2025 / 1220125KZ125 / годен до 21.12.2025</v>
      </c>
    </row>
    <row r="527" spans="1:8" ht="12.75" x14ac:dyDescent="0.2">
      <c r="A527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527" s="1" t="str">
        <f ca="1">IFERROR(__xludf.DUMMYFUNCTION("""COMPUTED_VALUE"""),"KZ.7700.02.01.00713089")</f>
        <v>KZ.7700.02.01.00713089</v>
      </c>
      <c r="C527" s="1" t="str">
        <f ca="1">IFERROR(__xludf.DUMMYFUNCTION("""COMPUTED_VALUE"""),"Действителен до 21.12.2025")</f>
        <v>Действителен до 21.12.2025</v>
      </c>
      <c r="D527" s="8" t="str">
        <f ca="1">IFERROR(__xludf.DUMMYFUNCTION("""COMPUTED_VALUE"""),"1220125KZ125")</f>
        <v>1220125KZ125</v>
      </c>
      <c r="E527" s="1" t="str">
        <f ca="1">IFERROR(__xludf.DUMMYFUNCTION("""COMPUTED_VALUE"""),"годен до 21.12.2025")</f>
        <v>годен до 21.12.2025</v>
      </c>
      <c r="F527" s="1" t="str">
        <f ca="1">IFERROR(__xludf.DUMMYFUNCTION("""COMPUTED_VALUE"""),"Бандаж лечебно–профилактический эластичный 4002 XL (Болгария) - 1220125KZ125")</f>
        <v>Бандаж лечебно–профилактический эластичный 4002 XL (Болгария) - 1220125KZ125</v>
      </c>
      <c r="G527" s="1" t="str">
        <f ca="1">IFERROR(__xludf.DUMMYFUNCTION("""COMPUTED_VALUE"""),"KZ.7700.02.01.00713089 / Действителен до 21.12.2025 / 1220125KZ125 / годен до 21.12.2025")</f>
        <v>KZ.7700.02.01.00713089 / Действителен до 21.12.2025 / 1220125KZ125 / годен до 21.12.2025</v>
      </c>
      <c r="H527" s="1" t="str">
        <f ca="1">IFERROR(__xludf.DUMMYFUNCTION("""COMPUTED_VALUE"""),"Бандаж лечебно–профилактический эластичный 4002 XL (Болгария) KZ.7700.02.01.00713089 / Действителен до 21.12.2025 / 1220125KZ125 / годен до 21.12.2025")</f>
        <v>Бандаж лечебно–профилактический эластичный 4002 XL (Болгария) KZ.7700.02.01.00713089 / Действителен до 21.12.2025 / 1220125KZ125 / годен до 21.12.2025</v>
      </c>
    </row>
    <row r="528" spans="1:8" ht="12.75" x14ac:dyDescent="0.2">
      <c r="A528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528" s="1" t="str">
        <f ca="1">IFERROR(__xludf.DUMMYFUNCTION("""COMPUTED_VALUE"""),"KZ.7700.02.01.00713081")</f>
        <v>KZ.7700.02.01.00713081</v>
      </c>
      <c r="C528" s="1" t="str">
        <f ca="1">IFERROR(__xludf.DUMMYFUNCTION("""COMPUTED_VALUE"""),"Действителен до 21.12.2025")</f>
        <v>Действителен до 21.12.2025</v>
      </c>
      <c r="D528" s="8" t="str">
        <f ca="1">IFERROR(__xludf.DUMMYFUNCTION("""COMPUTED_VALUE"""),"1220125KZ125")</f>
        <v>1220125KZ125</v>
      </c>
      <c r="E528" s="1" t="str">
        <f ca="1">IFERROR(__xludf.DUMMYFUNCTION("""COMPUTED_VALUE"""),"годен до 21.12.2025")</f>
        <v>годен до 21.12.2025</v>
      </c>
      <c r="F528" s="1" t="str">
        <f ca="1">IFERROR(__xludf.DUMMYFUNCTION("""COMPUTED_VALUE"""),"Бандаж лечебно–профилактический эластичный 4002 XXL (Болгария) - 1220125KZ125")</f>
        <v>Бандаж лечебно–профилактический эластичный 4002 XXL (Болгария) - 1220125KZ125</v>
      </c>
      <c r="G528" s="1" t="str">
        <f ca="1">IFERROR(__xludf.DUMMYFUNCTION("""COMPUTED_VALUE"""),"KZ.7700.02.01.00713081 / Действителен до 21.12.2025 / 1220125KZ125 / годен до 21.12.2025")</f>
        <v>KZ.7700.02.01.00713081 / Действителен до 21.12.2025 / 1220125KZ125 / годен до 21.12.2025</v>
      </c>
      <c r="H528" s="1" t="str">
        <f ca="1">IFERROR(__xludf.DUMMYFUNCTION("""COMPUTED_VALUE"""),"Бандаж лечебно–профилактический эластичный 4002 XXL (Болгария) KZ.7700.02.01.00713081 / Действителен до 21.12.2025 / 1220125KZ125 / годен до 21.12.2025")</f>
        <v>Бандаж лечебно–профилактический эластичный 4002 XXL (Болгария) KZ.7700.02.01.00713081 / Действителен до 21.12.2025 / 1220125KZ125 / годен до 21.12.2025</v>
      </c>
    </row>
    <row r="529" spans="1:8" ht="12.75" x14ac:dyDescent="0.2">
      <c r="A529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529" s="1" t="str">
        <f ca="1">IFERROR(__xludf.DUMMYFUNCTION("""COMPUTED_VALUE"""),"KZ.7700.02.01.00713108")</f>
        <v>KZ.7700.02.01.00713108</v>
      </c>
      <c r="C529" s="1" t="str">
        <f ca="1">IFERROR(__xludf.DUMMYFUNCTION("""COMPUTED_VALUE"""),"Действителен до 21.12.2025")</f>
        <v>Действителен до 21.12.2025</v>
      </c>
      <c r="D529" s="8" t="str">
        <f ca="1">IFERROR(__xludf.DUMMYFUNCTION("""COMPUTED_VALUE"""),"1220125KZ125")</f>
        <v>1220125KZ125</v>
      </c>
      <c r="E529" s="1" t="str">
        <f ca="1">IFERROR(__xludf.DUMMYFUNCTION("""COMPUTED_VALUE"""),"годен до 21.12.2025")</f>
        <v>годен до 21.12.2025</v>
      </c>
      <c r="F529" s="1" t="str">
        <f ca="1">IFERROR(__xludf.DUMMYFUNCTION("""COMPUTED_VALUE"""),"Бандаж лечебно–профилактический эластичный 4002 XXXXL (Болгария) - 1220125KZ125")</f>
        <v>Бандаж лечебно–профилактический эластичный 4002 XXXXL (Болгария) - 1220125KZ125</v>
      </c>
      <c r="G529" s="1" t="str">
        <f ca="1">IFERROR(__xludf.DUMMYFUNCTION("""COMPUTED_VALUE"""),"KZ.7700.02.01.00713108 / Действителен до 21.12.2025 / 1220125KZ125 / годен до 21.12.2025")</f>
        <v>KZ.7700.02.01.00713108 / Действителен до 21.12.2025 / 1220125KZ125 / годен до 21.12.2025</v>
      </c>
      <c r="H529" s="1" t="str">
        <f ca="1">IFERROR(__xludf.DUMMYFUNCTION("""COMPUTED_VALUE"""),"Бандаж лечебно–профилактический эластичный 4002 XXXXL (Болгария) KZ.7700.02.01.00713108 / Действителен до 21.12.2025 / 1220125KZ125 / годен до 21.12.2025")</f>
        <v>Бандаж лечебно–профилактический эластичный 4002 XXXXL (Болгария) KZ.7700.02.01.00713108 / Действителен до 21.12.2025 / 1220125KZ125 / годен до 21.12.2025</v>
      </c>
    </row>
    <row r="530" spans="1:8" ht="12.75" x14ac:dyDescent="0.2">
      <c r="A530" s="1" t="str">
        <f ca="1">IFERROR(__xludf.DUMMYFUNCTION("""COMPUTED_VALUE"""),"Бандаж универсальный 4011 M/L (Болгария)")</f>
        <v>Бандаж универсальный 4011 M/L (Болгария)</v>
      </c>
      <c r="B530" s="1" t="str">
        <f ca="1">IFERROR(__xludf.DUMMYFUNCTION("""COMPUTED_VALUE"""),"KZ.7700.02.01.00713107")</f>
        <v>KZ.7700.02.01.00713107</v>
      </c>
      <c r="C530" s="1" t="str">
        <f ca="1">IFERROR(__xludf.DUMMYFUNCTION("""COMPUTED_VALUE"""),"Действителен до 21.12.2025")</f>
        <v>Действителен до 21.12.2025</v>
      </c>
      <c r="D530" s="8" t="str">
        <f ca="1">IFERROR(__xludf.DUMMYFUNCTION("""COMPUTED_VALUE"""),"1220125KZ125")</f>
        <v>1220125KZ125</v>
      </c>
      <c r="E530" s="1" t="str">
        <f ca="1">IFERROR(__xludf.DUMMYFUNCTION("""COMPUTED_VALUE"""),"годен до 21.12.2025")</f>
        <v>годен до 21.12.2025</v>
      </c>
      <c r="F530" s="1" t="str">
        <f ca="1">IFERROR(__xludf.DUMMYFUNCTION("""COMPUTED_VALUE"""),"Бандаж универсальный 4011 M/L (Болгария) - 1220125KZ125")</f>
        <v>Бандаж универсальный 4011 M/L (Болгария) - 1220125KZ125</v>
      </c>
      <c r="G530" s="1" t="str">
        <f ca="1">IFERROR(__xludf.DUMMYFUNCTION("""COMPUTED_VALUE"""),"KZ.7700.02.01.00713107 / Действителен до 21.12.2025 / 1220125KZ125 / годен до 21.12.2025")</f>
        <v>KZ.7700.02.01.00713107 / Действителен до 21.12.2025 / 1220125KZ125 / годен до 21.12.2025</v>
      </c>
      <c r="H530" s="1" t="str">
        <f ca="1">IFERROR(__xludf.DUMMYFUNCTION("""COMPUTED_VALUE"""),"Бандаж универсальный 4011 M/L (Болгария) KZ.7700.02.01.00713107 / Действителен до 21.12.2025 / 1220125KZ125 / годен до 21.12.2025")</f>
        <v>Бандаж универсальный 4011 M/L (Болгария) KZ.7700.02.01.00713107 / Действителен до 21.12.2025 / 1220125KZ125 / годен до 21.12.2025</v>
      </c>
    </row>
    <row r="531" spans="1:8" ht="12.75" x14ac:dyDescent="0.2">
      <c r="A531" s="1" t="str">
        <f ca="1">IFERROR(__xludf.DUMMYFUNCTION("""COMPUTED_VALUE"""),"Бандаж универсальный 4011 XL/XXL (Болгария)")</f>
        <v>Бандаж универсальный 4011 XL/XXL (Болгария)</v>
      </c>
      <c r="B531" s="1" t="str">
        <f ca="1">IFERROR(__xludf.DUMMYFUNCTION("""COMPUTED_VALUE"""),"KZ.7700.02.01.00713090")</f>
        <v>KZ.7700.02.01.00713090</v>
      </c>
      <c r="C531" s="1" t="str">
        <f ca="1">IFERROR(__xludf.DUMMYFUNCTION("""COMPUTED_VALUE"""),"Действителен до 21.12.2025")</f>
        <v>Действителен до 21.12.2025</v>
      </c>
      <c r="D531" s="8" t="str">
        <f ca="1">IFERROR(__xludf.DUMMYFUNCTION("""COMPUTED_VALUE"""),"1220125KZ125")</f>
        <v>1220125KZ125</v>
      </c>
      <c r="E531" s="1" t="str">
        <f ca="1">IFERROR(__xludf.DUMMYFUNCTION("""COMPUTED_VALUE"""),"годен до 21.12.2025")</f>
        <v>годен до 21.12.2025</v>
      </c>
      <c r="F531" s="1" t="str">
        <f ca="1">IFERROR(__xludf.DUMMYFUNCTION("""COMPUTED_VALUE"""),"Бандаж универсальный 4011 XL/XXL (Болгария) - 1220125KZ125")</f>
        <v>Бандаж универсальный 4011 XL/XXL (Болгария) - 1220125KZ125</v>
      </c>
      <c r="G531" s="1" t="str">
        <f ca="1">IFERROR(__xludf.DUMMYFUNCTION("""COMPUTED_VALUE"""),"KZ.7700.02.01.00713090 / Действителен до 21.12.2025 / 1220125KZ125 / годен до 21.12.2025")</f>
        <v>KZ.7700.02.01.00713090 / Действителен до 21.12.2025 / 1220125KZ125 / годен до 21.12.2025</v>
      </c>
      <c r="H531" s="1" t="str">
        <f ca="1">IFERROR(__xludf.DUMMYFUNCTION("""COMPUTED_VALUE"""),"Бандаж универсальный 4011 XL/XXL (Болгария) KZ.7700.02.01.00713090 / Действителен до 21.12.2025 / 1220125KZ125 / годен до 21.12.2025")</f>
        <v>Бандаж универсальный 4011 XL/XXL (Болгария) KZ.7700.02.01.00713090 / Действителен до 21.12.2025 / 1220125KZ125 / годен до 21.12.2025</v>
      </c>
    </row>
    <row r="532" spans="1:8" ht="12.75" x14ac:dyDescent="0.2">
      <c r="A532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532" s="1" t="str">
        <f ca="1">IFERROR(__xludf.DUMMYFUNCTION("""COMPUTED_VALUE"""),"KZ.7700.02.01.00713104")</f>
        <v>KZ.7700.02.01.00713104</v>
      </c>
      <c r="C532" s="1" t="str">
        <f ca="1">IFERROR(__xludf.DUMMYFUNCTION("""COMPUTED_VALUE"""),"Действителен до 21.12.2025")</f>
        <v>Действителен до 21.12.2025</v>
      </c>
      <c r="D532" s="8" t="str">
        <f ca="1">IFERROR(__xludf.DUMMYFUNCTION("""COMPUTED_VALUE"""),"1220125KZ125")</f>
        <v>1220125KZ125</v>
      </c>
      <c r="E532" s="1" t="str">
        <f ca="1">IFERROR(__xludf.DUMMYFUNCTION("""COMPUTED_VALUE"""),"годен до 21.12.2025")</f>
        <v>годен до 21.12.2025</v>
      </c>
      <c r="F532" s="1" t="str">
        <f ca="1">IFERROR(__xludf.DUMMYFUNCTION("""COMPUTED_VALUE"""),"Бандаж универсальный 4011 XXXL/XXXXL (Болгария) - 1220125KZ125")</f>
        <v>Бандаж универсальный 4011 XXXL/XXXXL (Болгария) - 1220125KZ125</v>
      </c>
      <c r="G532" s="1" t="str">
        <f ca="1">IFERROR(__xludf.DUMMYFUNCTION("""COMPUTED_VALUE"""),"KZ.7700.02.01.00713104 / Действителен до 21.12.2025 / 1220125KZ125 / годен до 21.12.2025")</f>
        <v>KZ.7700.02.01.00713104 / Действителен до 21.12.2025 / 1220125KZ125 / годен до 21.12.2025</v>
      </c>
      <c r="H532" s="1" t="str">
        <f ca="1">IFERROR(__xludf.DUMMYFUNCTION("""COMPUTED_VALUE"""),"Бандаж универсальный 4011 XXXL/XXXXL (Болгария) KZ.7700.02.01.00713104 / Действителен до 21.12.2025 / 1220125KZ125 / годен до 21.12.2025")</f>
        <v>Бандаж универсальный 4011 XXXL/XXXXL (Болгария) KZ.7700.02.01.00713104 / Действителен до 21.12.2025 / 1220125KZ125 / годен до 21.12.2025</v>
      </c>
    </row>
    <row r="533" spans="1:8" ht="12.75" x14ac:dyDescent="0.2">
      <c r="A533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533" s="1" t="str">
        <f ca="1">IFERROR(__xludf.DUMMYFUNCTION("""COMPUTED_VALUE"""),"KZ.7700.02.01.00713095")</f>
        <v>KZ.7700.02.01.00713095</v>
      </c>
      <c r="C533" s="1" t="str">
        <f ca="1">IFERROR(__xludf.DUMMYFUNCTION("""COMPUTED_VALUE"""),"Действителен до 21.12.2025")</f>
        <v>Действителен до 21.12.2025</v>
      </c>
      <c r="D533" s="8" t="str">
        <f ca="1">IFERROR(__xludf.DUMMYFUNCTION("""COMPUTED_VALUE"""),"1220125KZ125")</f>
        <v>1220125KZ125</v>
      </c>
      <c r="E533" s="1" t="str">
        <f ca="1">IFERROR(__xludf.DUMMYFUNCTION("""COMPUTED_VALUE"""),"годен до 21.12.2025")</f>
        <v>годен до 21.12.2025</v>
      </c>
      <c r="F533" s="1" t="str">
        <f ca="1">IFERROR(__xludf.DUMMYFUNCTION("""COMPUTED_VALUE"""),"Бандаж грыжевой лево-и правосторонний 5001 M/L (Болгария) - 1220125KZ125")</f>
        <v>Бандаж грыжевой лево-и правосторонний 5001 M/L (Болгария) - 1220125KZ125</v>
      </c>
      <c r="G533" s="1" t="str">
        <f ca="1">IFERROR(__xludf.DUMMYFUNCTION("""COMPUTED_VALUE"""),"KZ.7700.02.01.00713095 / Действителен до 21.12.2025 / 1220125KZ125 / годен до 21.12.2025")</f>
        <v>KZ.7700.02.01.00713095 / Действителен до 21.12.2025 / 1220125KZ125 / годен до 21.12.2025</v>
      </c>
      <c r="H533" s="1" t="str">
        <f ca="1">IFERROR(__xludf.DUMMYFUNCTION("""COMPUTED_VALUE"""),"Бандаж грыжевой лево-и правосторонний 5001 M/L (Болгария) KZ.7700.02.01.00713095 / Действителен до 21.12.2025 / 1220125KZ125 / годен до 21.12.2025")</f>
        <v>Бандаж грыжевой лево-и правосторонний 5001 M/L (Болгария) KZ.7700.02.01.00713095 / Действителен до 21.12.2025 / 1220125KZ125 / годен до 21.12.2025</v>
      </c>
    </row>
    <row r="534" spans="1:8" ht="12.75" x14ac:dyDescent="0.2">
      <c r="A534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534" s="1" t="str">
        <f ca="1">IFERROR(__xludf.DUMMYFUNCTION("""COMPUTED_VALUE"""),"KZ.7700.02.01.00713098")</f>
        <v>KZ.7700.02.01.00713098</v>
      </c>
      <c r="C534" s="1" t="str">
        <f ca="1">IFERROR(__xludf.DUMMYFUNCTION("""COMPUTED_VALUE"""),"Действителен до 21.12.2025")</f>
        <v>Действителен до 21.12.2025</v>
      </c>
      <c r="D534" s="8" t="str">
        <f ca="1">IFERROR(__xludf.DUMMYFUNCTION("""COMPUTED_VALUE"""),"1220125KZ125")</f>
        <v>1220125KZ125</v>
      </c>
      <c r="E534" s="1" t="str">
        <f ca="1">IFERROR(__xludf.DUMMYFUNCTION("""COMPUTED_VALUE"""),"годен до 21.12.2025")</f>
        <v>годен до 21.12.2025</v>
      </c>
      <c r="F534" s="1" t="str">
        <f ca="1">IFERROR(__xludf.DUMMYFUNCTION("""COMPUTED_VALUE"""),"Бандаж грыжевой лево-и правосторонний 5001 XL/XXL (Болгария) - 1220125KZ125")</f>
        <v>Бандаж грыжевой лево-и правосторонний 5001 XL/XXL (Болгария) - 1220125KZ125</v>
      </c>
      <c r="G534" s="1" t="str">
        <f ca="1">IFERROR(__xludf.DUMMYFUNCTION("""COMPUTED_VALUE"""),"KZ.7700.02.01.00713098 / Действителен до 21.12.2025 / 1220125KZ125 / годен до 21.12.2025")</f>
        <v>KZ.7700.02.01.00713098 / Действителен до 21.12.2025 / 1220125KZ125 / годен до 21.12.2025</v>
      </c>
      <c r="H534" s="1" t="str">
        <f ca="1">IFERROR(__xludf.DUMMYFUNCTION("""COMPUTED_VALUE"""),"Бандаж грыжевой лево-и правосторонний 5001 XL/XXL (Болгария) KZ.7700.02.01.00713098 / Действителен до 21.12.2025 / 1220125KZ125 / годен до 21.12.2025")</f>
        <v>Бандаж грыжевой лево-и правосторонний 5001 XL/XXL (Болгария) KZ.7700.02.01.00713098 / Действителен до 21.12.2025 / 1220125KZ125 / годен до 21.12.2025</v>
      </c>
    </row>
    <row r="535" spans="1:8" ht="12.75" x14ac:dyDescent="0.2">
      <c r="A535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535" s="1" t="str">
        <f ca="1">IFERROR(__xludf.DUMMYFUNCTION("""COMPUTED_VALUE"""),"KZ.7700.02.01.00713078")</f>
        <v>KZ.7700.02.01.00713078</v>
      </c>
      <c r="C535" s="1" t="str">
        <f ca="1">IFERROR(__xludf.DUMMYFUNCTION("""COMPUTED_VALUE"""),"Действителен до 21.12.2025")</f>
        <v>Действителен до 21.12.2025</v>
      </c>
      <c r="D535" s="8" t="str">
        <f ca="1">IFERROR(__xludf.DUMMYFUNCTION("""COMPUTED_VALUE"""),"1220125KZ125")</f>
        <v>1220125KZ125</v>
      </c>
      <c r="E535" s="1" t="str">
        <f ca="1">IFERROR(__xludf.DUMMYFUNCTION("""COMPUTED_VALUE"""),"годен до 21.12.2025")</f>
        <v>годен до 21.12.2025</v>
      </c>
      <c r="F535" s="1" t="str">
        <f ca="1">IFERROR(__xludf.DUMMYFUNCTION("""COMPUTED_VALUE"""),"Бандаж при пупочной грыже 5051 M/L (Болгария) - 1220125KZ125")</f>
        <v>Бандаж при пупочной грыже 5051 M/L (Болгария) - 1220125KZ125</v>
      </c>
      <c r="G535" s="1" t="str">
        <f ca="1">IFERROR(__xludf.DUMMYFUNCTION("""COMPUTED_VALUE"""),"KZ.7700.02.01.00713078 / Действителен до 21.12.2025 / 1220125KZ125 / годен до 21.12.2025")</f>
        <v>KZ.7700.02.01.00713078 / Действителен до 21.12.2025 / 1220125KZ125 / годен до 21.12.2025</v>
      </c>
      <c r="H535" s="1" t="str">
        <f ca="1">IFERROR(__xludf.DUMMYFUNCTION("""COMPUTED_VALUE"""),"Бандаж при пупочной грыже 5051 M/L (Болгария) KZ.7700.02.01.00713078 / Действителен до 21.12.2025 / 1220125KZ125 / годен до 21.12.2025")</f>
        <v>Бандаж при пупочной грыже 5051 M/L (Болгария) KZ.7700.02.01.00713078 / Действителен до 21.12.2025 / 1220125KZ125 / годен до 21.12.2025</v>
      </c>
    </row>
    <row r="536" spans="1:8" ht="12.75" x14ac:dyDescent="0.2">
      <c r="A536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536" s="1" t="str">
        <f ca="1">IFERROR(__xludf.DUMMYFUNCTION("""COMPUTED_VALUE"""),"KZ.7700.02.01.00713079")</f>
        <v>KZ.7700.02.01.00713079</v>
      </c>
      <c r="C536" s="1" t="str">
        <f ca="1">IFERROR(__xludf.DUMMYFUNCTION("""COMPUTED_VALUE"""),"Действителен до 21.12.2025")</f>
        <v>Действителен до 21.12.2025</v>
      </c>
      <c r="D536" s="8" t="str">
        <f ca="1">IFERROR(__xludf.DUMMYFUNCTION("""COMPUTED_VALUE"""),"1220125KZ125")</f>
        <v>1220125KZ125</v>
      </c>
      <c r="E536" s="1" t="str">
        <f ca="1">IFERROR(__xludf.DUMMYFUNCTION("""COMPUTED_VALUE"""),"годен до 21.12.2025")</f>
        <v>годен до 21.12.2025</v>
      </c>
      <c r="F536" s="1" t="str">
        <f ca="1">IFERROR(__xludf.DUMMYFUNCTION("""COMPUTED_VALUE"""),"Бандаж при пупочной грыже 5051 XL/XXL (Болгария) - 1220125KZ125")</f>
        <v>Бандаж при пупочной грыже 5051 XL/XXL (Болгария) - 1220125KZ125</v>
      </c>
      <c r="G536" s="1" t="str">
        <f ca="1">IFERROR(__xludf.DUMMYFUNCTION("""COMPUTED_VALUE"""),"KZ.7700.02.01.00713079 / Действителен до 21.12.2025 / 1220125KZ125 / годен до 21.12.2025")</f>
        <v>KZ.7700.02.01.00713079 / Действителен до 21.12.2025 / 1220125KZ125 / годен до 21.12.2025</v>
      </c>
      <c r="H536" s="1" t="str">
        <f ca="1">IFERROR(__xludf.DUMMYFUNCTION("""COMPUTED_VALUE"""),"Бандаж при пупочной грыже 5051 XL/XXL (Болгария) KZ.7700.02.01.00713079 / Действителен до 21.12.2025 / 1220125KZ125 / годен до 21.12.2025")</f>
        <v>Бандаж при пупочной грыже 5051 XL/XXL (Болгария) KZ.7700.02.01.00713079 / Действителен до 21.12.2025 / 1220125KZ125 / годен до 21.12.2025</v>
      </c>
    </row>
    <row r="537" spans="1:8" ht="12.75" x14ac:dyDescent="0.2">
      <c r="A537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537" s="1" t="str">
        <f ca="1">IFERROR(__xludf.DUMMYFUNCTION("""COMPUTED_VALUE"""),"KZ.7700.02.01.00713118")</f>
        <v>KZ.7700.02.01.00713118</v>
      </c>
      <c r="C537" s="1" t="str">
        <f ca="1">IFERROR(__xludf.DUMMYFUNCTION("""COMPUTED_VALUE"""),"Действителен до 21.12.2025")</f>
        <v>Действителен до 21.12.2025</v>
      </c>
      <c r="D537" s="8" t="str">
        <f ca="1">IFERROR(__xludf.DUMMYFUNCTION("""COMPUTED_VALUE"""),"1220125KZ125")</f>
        <v>1220125KZ125</v>
      </c>
      <c r="E537" s="1" t="str">
        <f ca="1">IFERROR(__xludf.DUMMYFUNCTION("""COMPUTED_VALUE"""),"годен до 21.12.2025")</f>
        <v>годен до 21.12.2025</v>
      </c>
      <c r="F537" s="1" t="str">
        <f ca="1">IFERROR(__xludf.DUMMYFUNCTION("""COMPUTED_VALUE"""),"Бандаж при пупочной грыже 5051 XXXL/XXXXL (Болгария) - 1220125KZ125")</f>
        <v>Бандаж при пупочной грыже 5051 XXXL/XXXXL (Болгария) - 1220125KZ125</v>
      </c>
      <c r="G537" s="1" t="str">
        <f ca="1">IFERROR(__xludf.DUMMYFUNCTION("""COMPUTED_VALUE"""),"KZ.7700.02.01.00713118 / Действителен до 21.12.2025 / 1220125KZ125 / годен до 21.12.2025")</f>
        <v>KZ.7700.02.01.00713118 / Действителен до 21.12.2025 / 1220125KZ125 / годен до 21.12.2025</v>
      </c>
      <c r="H537" s="1" t="str">
        <f ca="1">IFERROR(__xludf.DUMMYFUNCTION("""COMPUTED_VALUE"""),"Бандаж при пупочной грыже 5051 XXXL/XXXXL (Болгария) KZ.7700.02.01.00713118 / Действителен до 21.12.2025 / 1220125KZ125 / годен до 21.12.2025")</f>
        <v>Бандаж при пупочной грыже 5051 XXXL/XXXXL (Болгария) KZ.7700.02.01.00713118 / Действителен до 21.12.2025 / 1220125KZ125 / годен до 21.12.2025</v>
      </c>
    </row>
    <row r="538" spans="1:8" ht="12.75" x14ac:dyDescent="0.2">
      <c r="A538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538" s="1" t="str">
        <f ca="1">IFERROR(__xludf.DUMMYFUNCTION("""COMPUTED_VALUE"""),"KZ.7700.02.01.00713094")</f>
        <v>KZ.7700.02.01.00713094</v>
      </c>
      <c r="C538" s="1" t="str">
        <f ca="1">IFERROR(__xludf.DUMMYFUNCTION("""COMPUTED_VALUE"""),"Действителен до 21.12.2025")</f>
        <v>Действителен до 21.12.2025</v>
      </c>
      <c r="D538" s="8" t="str">
        <f ca="1">IFERROR(__xludf.DUMMYFUNCTION("""COMPUTED_VALUE"""),"1220125KZ125")</f>
        <v>1220125KZ125</v>
      </c>
      <c r="E538" s="1" t="str">
        <f ca="1">IFERROR(__xludf.DUMMYFUNCTION("""COMPUTED_VALUE"""),"годен до 21.12.2025")</f>
        <v>годен до 21.12.2025</v>
      </c>
      <c r="F538" s="1" t="str">
        <f ca="1">IFERROR(__xludf.DUMMYFUNCTION("""COMPUTED_VALUE"""),"Бандаж на коленный сустав эластичный 6040 L (Болгария) - 1220125KZ125")</f>
        <v>Бандаж на коленный сустав эластичный 6040 L (Болгария) - 1220125KZ125</v>
      </c>
      <c r="G538" s="1" t="str">
        <f ca="1">IFERROR(__xludf.DUMMYFUNCTION("""COMPUTED_VALUE"""),"KZ.7700.02.01.00713094 / Действителен до 21.12.2025 / 1220125KZ125 / годен до 21.12.2025")</f>
        <v>KZ.7700.02.01.00713094 / Действителен до 21.12.2025 / 1220125KZ125 / годен до 21.12.2025</v>
      </c>
      <c r="H538" s="1" t="str">
        <f ca="1">IFERROR(__xludf.DUMMYFUNCTION("""COMPUTED_VALUE"""),"Бандаж на коленный сустав эластичный 6040 L (Болгария) KZ.7700.02.01.00713094 / Действителен до 21.12.2025 / 1220125KZ125 / годен до 21.12.2025")</f>
        <v>Бандаж на коленный сустав эластичный 6040 L (Болгария) KZ.7700.02.01.00713094 / Действителен до 21.12.2025 / 1220125KZ125 / годен до 21.12.2025</v>
      </c>
    </row>
    <row r="539" spans="1:8" ht="12.75" x14ac:dyDescent="0.2">
      <c r="A539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539" s="1" t="str">
        <f ca="1">IFERROR(__xludf.DUMMYFUNCTION("""COMPUTED_VALUE"""),"KZ.7700.02.01.00713121")</f>
        <v>KZ.7700.02.01.00713121</v>
      </c>
      <c r="C539" s="1" t="str">
        <f ca="1">IFERROR(__xludf.DUMMYFUNCTION("""COMPUTED_VALUE"""),"Действителен до 21.12.2025")</f>
        <v>Действителен до 21.12.2025</v>
      </c>
      <c r="D539" s="8" t="str">
        <f ca="1">IFERROR(__xludf.DUMMYFUNCTION("""COMPUTED_VALUE"""),"1220125KZ125")</f>
        <v>1220125KZ125</v>
      </c>
      <c r="E539" s="1" t="str">
        <f ca="1">IFERROR(__xludf.DUMMYFUNCTION("""COMPUTED_VALUE"""),"годен до 21.12.2025")</f>
        <v>годен до 21.12.2025</v>
      </c>
      <c r="F539" s="1" t="str">
        <f ca="1">IFERROR(__xludf.DUMMYFUNCTION("""COMPUTED_VALUE"""),"Бандаж на коленный сустав эластичный 6040 M (Болгария) - 1220125KZ125")</f>
        <v>Бандаж на коленный сустав эластичный 6040 M (Болгария) - 1220125KZ125</v>
      </c>
      <c r="G539" s="1" t="str">
        <f ca="1">IFERROR(__xludf.DUMMYFUNCTION("""COMPUTED_VALUE"""),"KZ.7700.02.01.00713121 / Действителен до 21.12.2025 / 1220125KZ125 / годен до 21.12.2025")</f>
        <v>KZ.7700.02.01.00713121 / Действителен до 21.12.2025 / 1220125KZ125 / годен до 21.12.2025</v>
      </c>
      <c r="H539" s="1" t="str">
        <f ca="1">IFERROR(__xludf.DUMMYFUNCTION("""COMPUTED_VALUE"""),"Бандаж на коленный сустав эластичный 6040 M (Болгария) KZ.7700.02.01.00713121 / Действителен до 21.12.2025 / 1220125KZ125 / годен до 21.12.2025")</f>
        <v>Бандаж на коленный сустав эластичный 6040 M (Болгария) KZ.7700.02.01.00713121 / Действителен до 21.12.2025 / 1220125KZ125 / годен до 21.12.2025</v>
      </c>
    </row>
    <row r="540" spans="1:8" ht="12.75" x14ac:dyDescent="0.2">
      <c r="A540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540" s="1" t="str">
        <f ca="1">IFERROR(__xludf.DUMMYFUNCTION("""COMPUTED_VALUE"""),"KZ.7700.02.01.00713122")</f>
        <v>KZ.7700.02.01.00713122</v>
      </c>
      <c r="C540" s="1" t="str">
        <f ca="1">IFERROR(__xludf.DUMMYFUNCTION("""COMPUTED_VALUE"""),"Действителен до 21.12.2025")</f>
        <v>Действителен до 21.12.2025</v>
      </c>
      <c r="D540" s="8" t="str">
        <f ca="1">IFERROR(__xludf.DUMMYFUNCTION("""COMPUTED_VALUE"""),"1220125KZ125")</f>
        <v>1220125KZ125</v>
      </c>
      <c r="E540" s="1" t="str">
        <f ca="1">IFERROR(__xludf.DUMMYFUNCTION("""COMPUTED_VALUE"""),"годен до 21.12.2025")</f>
        <v>годен до 21.12.2025</v>
      </c>
      <c r="F540" s="1" t="str">
        <f ca="1">IFERROR(__xludf.DUMMYFUNCTION("""COMPUTED_VALUE"""),"Бандаж на коленный сустав эластичный 6040 S (Болгария) - 1220125KZ125")</f>
        <v>Бандаж на коленный сустав эластичный 6040 S (Болгария) - 1220125KZ125</v>
      </c>
      <c r="G540" s="1" t="str">
        <f ca="1">IFERROR(__xludf.DUMMYFUNCTION("""COMPUTED_VALUE"""),"KZ.7700.02.01.00713122 / Действителен до 21.12.2025 / 1220125KZ125 / годен до 21.12.2025")</f>
        <v>KZ.7700.02.01.00713122 / Действителен до 21.12.2025 / 1220125KZ125 / годен до 21.12.2025</v>
      </c>
      <c r="H540" s="1" t="str">
        <f ca="1">IFERROR(__xludf.DUMMYFUNCTION("""COMPUTED_VALUE"""),"Бандаж на коленный сустав эластичный 6040 S (Болгария) KZ.7700.02.01.00713122 / Действителен до 21.12.2025 / 1220125KZ125 / годен до 21.12.2025")</f>
        <v>Бандаж на коленный сустав эластичный 6040 S (Болгария) KZ.7700.02.01.00713122 / Действителен до 21.12.2025 / 1220125KZ125 / годен до 21.12.2025</v>
      </c>
    </row>
    <row r="541" spans="1:8" ht="12.75" x14ac:dyDescent="0.2">
      <c r="A541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541" s="1" t="str">
        <f ca="1">IFERROR(__xludf.DUMMYFUNCTION("""COMPUTED_VALUE"""),"KZ.7700.02.01.00713102")</f>
        <v>KZ.7700.02.01.00713102</v>
      </c>
      <c r="C541" s="1" t="str">
        <f ca="1">IFERROR(__xludf.DUMMYFUNCTION("""COMPUTED_VALUE"""),"Действителен до 21.12.2025")</f>
        <v>Действителен до 21.12.2025</v>
      </c>
      <c r="D541" s="8" t="str">
        <f ca="1">IFERROR(__xludf.DUMMYFUNCTION("""COMPUTED_VALUE"""),"1220125KZ125")</f>
        <v>1220125KZ125</v>
      </c>
      <c r="E541" s="1" t="str">
        <f ca="1">IFERROR(__xludf.DUMMYFUNCTION("""COMPUTED_VALUE"""),"годен до 21.12.2025")</f>
        <v>годен до 21.12.2025</v>
      </c>
      <c r="F541" s="1" t="str">
        <f ca="1">IFERROR(__xludf.DUMMYFUNCTION("""COMPUTED_VALUE"""),"Бандаж на коленный сустав эластичный 6040 XL (Болгария) - 1220125KZ125")</f>
        <v>Бандаж на коленный сустав эластичный 6040 XL (Болгария) - 1220125KZ125</v>
      </c>
      <c r="G541" s="1" t="str">
        <f ca="1">IFERROR(__xludf.DUMMYFUNCTION("""COMPUTED_VALUE"""),"KZ.7700.02.01.00713102 / Действителен до 21.12.2025 / 1220125KZ125 / годен до 21.12.2025")</f>
        <v>KZ.7700.02.01.00713102 / Действителен до 21.12.2025 / 1220125KZ125 / годен до 21.12.2025</v>
      </c>
      <c r="H541" s="1" t="str">
        <f ca="1">IFERROR(__xludf.DUMMYFUNCTION("""COMPUTED_VALUE"""),"Бандаж на коленный сустав эластичный 6040 XL (Болгария) KZ.7700.02.01.00713102 / Действителен до 21.12.2025 / 1220125KZ125 / годен до 21.12.2025")</f>
        <v>Бандаж на коленный сустав эластичный 6040 XL (Болгария) KZ.7700.02.01.00713102 / Действителен до 21.12.2025 / 1220125KZ125 / годен до 21.12.2025</v>
      </c>
    </row>
    <row r="542" spans="1:8" ht="12.75" x14ac:dyDescent="0.2">
      <c r="A542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542" s="1" t="str">
        <f ca="1">IFERROR(__xludf.DUMMYFUNCTION("""COMPUTED_VALUE"""),"KZ.7700.02.01.00713080")</f>
        <v>KZ.7700.02.01.00713080</v>
      </c>
      <c r="C542" s="1" t="str">
        <f ca="1">IFERROR(__xludf.DUMMYFUNCTION("""COMPUTED_VALUE"""),"Действителен до 21.12.2025")</f>
        <v>Действителен до 21.12.2025</v>
      </c>
      <c r="D542" s="8" t="str">
        <f ca="1">IFERROR(__xludf.DUMMYFUNCTION("""COMPUTED_VALUE"""),"1220125KZ125")</f>
        <v>1220125KZ125</v>
      </c>
      <c r="E542" s="1" t="str">
        <f ca="1">IFERROR(__xludf.DUMMYFUNCTION("""COMPUTED_VALUE"""),"годен до 21.12.2025")</f>
        <v>годен до 21.12.2025</v>
      </c>
      <c r="F542" s="1" t="str">
        <f ca="1">IFERROR(__xludf.DUMMYFUNCTION("""COMPUTED_VALUE"""),"Бандаж на коленный сустав разъемный 6058 L\XL (Болгария) - 1220125KZ125")</f>
        <v>Бандаж на коленный сустав разъемный 6058 L\XL (Болгария) - 1220125KZ125</v>
      </c>
      <c r="G542" s="1" t="str">
        <f ca="1">IFERROR(__xludf.DUMMYFUNCTION("""COMPUTED_VALUE"""),"KZ.7700.02.01.00713080 / Действителен до 21.12.2025 / 1220125KZ125 / годен до 21.12.2025")</f>
        <v>KZ.7700.02.01.00713080 / Действителен до 21.12.2025 / 1220125KZ125 / годен до 21.12.2025</v>
      </c>
      <c r="H542" s="1" t="str">
        <f ca="1">IFERROR(__xludf.DUMMYFUNCTION("""COMPUTED_VALUE"""),"Бандаж на коленный сустав разъемный 6058 L\XL (Болгария) KZ.7700.02.01.00713080 / Действителен до 21.12.2025 / 1220125KZ125 / годен до 21.12.2025")</f>
        <v>Бандаж на коленный сустав разъемный 6058 L\XL (Болгария) KZ.7700.02.01.00713080 / Действителен до 21.12.2025 / 1220125KZ125 / годен до 21.12.2025</v>
      </c>
    </row>
    <row r="543" spans="1:8" ht="12.75" x14ac:dyDescent="0.2">
      <c r="A543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543" s="1" t="str">
        <f ca="1">IFERROR(__xludf.DUMMYFUNCTION("""COMPUTED_VALUE"""),"KZ.7700.02.01.00713091")</f>
        <v>KZ.7700.02.01.00713091</v>
      </c>
      <c r="C543" s="1" t="str">
        <f ca="1">IFERROR(__xludf.DUMMYFUNCTION("""COMPUTED_VALUE"""),"Действителен до 21.12.2025")</f>
        <v>Действителен до 21.12.2025</v>
      </c>
      <c r="D543" s="8" t="str">
        <f ca="1">IFERROR(__xludf.DUMMYFUNCTION("""COMPUTED_VALUE"""),"1220125KZ125")</f>
        <v>1220125KZ125</v>
      </c>
      <c r="E543" s="1" t="str">
        <f ca="1">IFERROR(__xludf.DUMMYFUNCTION("""COMPUTED_VALUE"""),"годен до 21.12.2025")</f>
        <v>годен до 21.12.2025</v>
      </c>
      <c r="F543" s="1" t="str">
        <f ca="1">IFERROR(__xludf.DUMMYFUNCTION("""COMPUTED_VALUE"""),"Бандаж на коленный сустав разъемный 6058 S\M (Болгария) - 1220125KZ125")</f>
        <v>Бандаж на коленный сустав разъемный 6058 S\M (Болгария) - 1220125KZ125</v>
      </c>
      <c r="G543" s="1" t="str">
        <f ca="1">IFERROR(__xludf.DUMMYFUNCTION("""COMPUTED_VALUE"""),"KZ.7700.02.01.00713091 / Действителен до 21.12.2025 / 1220125KZ125 / годен до 21.12.2025")</f>
        <v>KZ.7700.02.01.00713091 / Действителен до 21.12.2025 / 1220125KZ125 / годен до 21.12.2025</v>
      </c>
      <c r="H543" s="1" t="str">
        <f ca="1">IFERROR(__xludf.DUMMYFUNCTION("""COMPUTED_VALUE"""),"Бандаж на коленный сустав разъемный 6058 S\M (Болгария) KZ.7700.02.01.00713091 / Действителен до 21.12.2025 / 1220125KZ125 / годен до 21.12.2025")</f>
        <v>Бандаж на коленный сустав разъемный 6058 S\M (Болгария) KZ.7700.02.01.00713091 / Действителен до 21.12.2025 / 1220125KZ125 / годен до 21.12.2025</v>
      </c>
    </row>
    <row r="544" spans="1:8" ht="12.75" x14ac:dyDescent="0.2">
      <c r="A544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544" s="1" t="str">
        <f ca="1">IFERROR(__xludf.DUMMYFUNCTION("""COMPUTED_VALUE"""),"KZ.7700.02.01.00713112")</f>
        <v>KZ.7700.02.01.00713112</v>
      </c>
      <c r="C544" s="1" t="str">
        <f ca="1">IFERROR(__xludf.DUMMYFUNCTION("""COMPUTED_VALUE"""),"Действителен до 21.12.2025")</f>
        <v>Действителен до 21.12.2025</v>
      </c>
      <c r="D544" s="8" t="str">
        <f ca="1">IFERROR(__xludf.DUMMYFUNCTION("""COMPUTED_VALUE"""),"1220125KZ125")</f>
        <v>1220125KZ125</v>
      </c>
      <c r="E544" s="1" t="str">
        <f ca="1">IFERROR(__xludf.DUMMYFUNCTION("""COMPUTED_VALUE"""),"годен до 21.12.2025")</f>
        <v>годен до 21.12.2025</v>
      </c>
      <c r="F544" s="1" t="str">
        <f ca="1">IFERROR(__xludf.DUMMYFUNCTION("""COMPUTED_VALUE"""),"Бандаж на коленный сустав разъемный 6058 XXL (Болгария) - 1220125KZ125")</f>
        <v>Бандаж на коленный сустав разъемный 6058 XXL (Болгария) - 1220125KZ125</v>
      </c>
      <c r="G544" s="1" t="str">
        <f ca="1">IFERROR(__xludf.DUMMYFUNCTION("""COMPUTED_VALUE"""),"KZ.7700.02.01.00713112 / Действителен до 21.12.2025 / 1220125KZ125 / годен до 21.12.2025")</f>
        <v>KZ.7700.02.01.00713112 / Действителен до 21.12.2025 / 1220125KZ125 / годен до 21.12.2025</v>
      </c>
      <c r="H544" s="1" t="str">
        <f ca="1">IFERROR(__xludf.DUMMYFUNCTION("""COMPUTED_VALUE"""),"Бандаж на коленный сустав разъемный 6058 XXL (Болгария) KZ.7700.02.01.00713112 / Действителен до 21.12.2025 / 1220125KZ125 / годен до 21.12.2025")</f>
        <v>Бандаж на коленный сустав разъемный 6058 XXL (Болгария) KZ.7700.02.01.00713112 / Действителен до 21.12.2025 / 1220125KZ125 / годен до 21.12.2025</v>
      </c>
    </row>
    <row r="545" spans="1:8" ht="12.75" x14ac:dyDescent="0.2">
      <c r="A545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545" s="1" t="str">
        <f ca="1">IFERROR(__xludf.DUMMYFUNCTION("""COMPUTED_VALUE"""),"KZ.7700.02.01.00713099")</f>
        <v>KZ.7700.02.01.00713099</v>
      </c>
      <c r="C545" s="1" t="str">
        <f ca="1">IFERROR(__xludf.DUMMYFUNCTION("""COMPUTED_VALUE"""),"Действителен до 21.12.2025")</f>
        <v>Действителен до 21.12.2025</v>
      </c>
      <c r="D545" s="8" t="str">
        <f ca="1">IFERROR(__xludf.DUMMYFUNCTION("""COMPUTED_VALUE"""),"1220125KZ125")</f>
        <v>1220125KZ125</v>
      </c>
      <c r="E545" s="1" t="str">
        <f ca="1">IFERROR(__xludf.DUMMYFUNCTION("""COMPUTED_VALUE"""),"годен до 21.12.2025")</f>
        <v>годен до 21.12.2025</v>
      </c>
      <c r="F545" s="1" t="str">
        <f ca="1">IFERROR(__xludf.DUMMYFUNCTION("""COMPUTED_VALUE"""),"Бандаж на голеностопный сустав легкой фиксации 7034 L (бежевый) (Болгария) - 1220125KZ125")</f>
        <v>Бандаж на голеностопный сустав легкой фиксации 7034 L (бежевый) (Болгария) - 1220125KZ125</v>
      </c>
      <c r="G545" s="1" t="str">
        <f ca="1">IFERROR(__xludf.DUMMYFUNCTION("""COMPUTED_VALUE"""),"KZ.7700.02.01.00713099 / Действителен до 21.12.2025 / 1220125KZ125 / годен до 21.12.2025")</f>
        <v>KZ.7700.02.01.00713099 / Действителен до 21.12.2025 / 1220125KZ125 / годен до 21.12.2025</v>
      </c>
      <c r="H545" s="1" t="str">
        <f ca="1">IFERROR(__xludf.DUMMYFUNCTION("""COMPUTED_VALUE"""),"Бандаж на голеностопный сустав легкой фиксации 7034 L (бежевый) (Болгария) KZ.7700.02.01.00713099 / Действителен до 21.12.2025 / 1220125KZ125 / годен до 21.12.2025")</f>
        <v>Бандаж на голеностопный сустав легкой фиксации 7034 L (бежевый) (Болгария) KZ.7700.02.01.00713099 / Действителен до 21.12.2025 / 1220125KZ125 / годен до 21.12.2025</v>
      </c>
    </row>
    <row r="546" spans="1:8" ht="12.75" x14ac:dyDescent="0.2">
      <c r="A546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546" s="1" t="str">
        <f ca="1">IFERROR(__xludf.DUMMYFUNCTION("""COMPUTED_VALUE"""),"KZ.7700.02.01.00713113")</f>
        <v>KZ.7700.02.01.00713113</v>
      </c>
      <c r="C546" s="1" t="str">
        <f ca="1">IFERROR(__xludf.DUMMYFUNCTION("""COMPUTED_VALUE"""),"Действителен до 21.12.2025")</f>
        <v>Действителен до 21.12.2025</v>
      </c>
      <c r="D546" s="8" t="str">
        <f ca="1">IFERROR(__xludf.DUMMYFUNCTION("""COMPUTED_VALUE"""),"1220125KZ125")</f>
        <v>1220125KZ125</v>
      </c>
      <c r="E546" s="1" t="str">
        <f ca="1">IFERROR(__xludf.DUMMYFUNCTION("""COMPUTED_VALUE"""),"годен до 21.12.2025")</f>
        <v>годен до 21.12.2025</v>
      </c>
      <c r="F546" s="1" t="str">
        <f ca="1">IFERROR(__xludf.DUMMYFUNCTION("""COMPUTED_VALUE"""),"Бандаж на голеностопный сустав легкой фиксации 7034 M (бежевый) (Болгария) - 1220125KZ125")</f>
        <v>Бандаж на голеностопный сустав легкой фиксации 7034 M (бежевый) (Болгария) - 1220125KZ125</v>
      </c>
      <c r="G546" s="1" t="str">
        <f ca="1">IFERROR(__xludf.DUMMYFUNCTION("""COMPUTED_VALUE"""),"KZ.7700.02.01.00713113 / Действителен до 21.12.2025 / 1220125KZ125 / годен до 21.12.2025")</f>
        <v>KZ.7700.02.01.00713113 / Действителен до 21.12.2025 / 1220125KZ125 / годен до 21.12.2025</v>
      </c>
      <c r="H546" s="1" t="str">
        <f ca="1">IFERROR(__xludf.DUMMYFUNCTION("""COMPUTED_VALUE"""),"Бандаж на голеностопный сустав легкой фиксации 7034 M (бежевый) (Болгария) KZ.7700.02.01.00713113 / Действителен до 21.12.2025 / 1220125KZ125 / годен до 21.12.2025")</f>
        <v>Бандаж на голеностопный сустав легкой фиксации 7034 M (бежевый) (Болгария) KZ.7700.02.01.00713113 / Действителен до 21.12.2025 / 1220125KZ125 / годен до 21.12.2025</v>
      </c>
    </row>
    <row r="547" spans="1:8" ht="12.75" x14ac:dyDescent="0.2">
      <c r="A547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547" s="1" t="str">
        <f ca="1">IFERROR(__xludf.DUMMYFUNCTION("""COMPUTED_VALUE"""),"KZ.7700.02.01.00713170")</f>
        <v>KZ.7700.02.01.00713170</v>
      </c>
      <c r="C547" s="1" t="str">
        <f ca="1">IFERROR(__xludf.DUMMYFUNCTION("""COMPUTED_VALUE"""),"Действителен до 21.12.2025")</f>
        <v>Действителен до 21.12.2025</v>
      </c>
      <c r="D547" s="8" t="str">
        <f ca="1">IFERROR(__xludf.DUMMYFUNCTION("""COMPUTED_VALUE"""),"1220125KZ125")</f>
        <v>1220125KZ125</v>
      </c>
      <c r="E547" s="1" t="str">
        <f ca="1">IFERROR(__xludf.DUMMYFUNCTION("""COMPUTED_VALUE"""),"годен до 21.12.2025")</f>
        <v>годен до 21.12.2025</v>
      </c>
      <c r="F547" s="1" t="str">
        <f ca="1">IFERROR(__xludf.DUMMYFUNCTION("""COMPUTED_VALUE"""),"Бандаж на голеностопный сустав легкой фиксации 7034 XL (бежевый) (Болгария) - 1220125KZ125")</f>
        <v>Бандаж на голеностопный сустав легкой фиксации 7034 XL (бежевый) (Болгария) - 1220125KZ125</v>
      </c>
      <c r="G547" s="1" t="str">
        <f ca="1">IFERROR(__xludf.DUMMYFUNCTION("""COMPUTED_VALUE"""),"KZ.7700.02.01.00713170 / Действителен до 21.12.2025 / 1220125KZ125 / годен до 21.12.2025")</f>
        <v>KZ.7700.02.01.00713170 / Действителен до 21.12.2025 / 1220125KZ125 / годен до 21.12.2025</v>
      </c>
      <c r="H547" s="1" t="str">
        <f ca="1">IFERROR(__xludf.DUMMYFUNCTION("""COMPUTED_VALUE"""),"Бандаж на голеностопный сустав легкой фиксации 7034 XL (бежевый) (Болгария) KZ.7700.02.01.00713170 / Действителен до 21.12.2025 / 1220125KZ125 / годен до 21.12.2025")</f>
        <v>Бандаж на голеностопный сустав легкой фиксации 7034 XL (бежевый) (Болгария) KZ.7700.02.01.00713170 / Действителен до 21.12.2025 / 1220125KZ125 / годен до 21.12.2025</v>
      </c>
    </row>
    <row r="548" spans="1:8" ht="12.75" x14ac:dyDescent="0.2">
      <c r="A548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548" s="1" t="str">
        <f ca="1">IFERROR(__xludf.DUMMYFUNCTION("""COMPUTED_VALUE"""),"KZ.7700.02.01.00713167")</f>
        <v>KZ.7700.02.01.00713167</v>
      </c>
      <c r="C548" s="1" t="str">
        <f ca="1">IFERROR(__xludf.DUMMYFUNCTION("""COMPUTED_VALUE"""),"Действителен до 21.12.2025")</f>
        <v>Действителен до 21.12.2025</v>
      </c>
      <c r="D548" s="8" t="str">
        <f ca="1">IFERROR(__xludf.DUMMYFUNCTION("""COMPUTED_VALUE"""),"1220125KZ125")</f>
        <v>1220125KZ125</v>
      </c>
      <c r="E548" s="1" t="str">
        <f ca="1">IFERROR(__xludf.DUMMYFUNCTION("""COMPUTED_VALUE"""),"годен до 21.12.2025")</f>
        <v>годен до 21.12.2025</v>
      </c>
      <c r="F548" s="1" t="str">
        <f ca="1">IFERROR(__xludf.DUMMYFUNCTION("""COMPUTED_VALUE"""),"Бандаж на голеностопный сустав эластичный 7035 L (Болгария) - 1220125KZ125")</f>
        <v>Бандаж на голеностопный сустав эластичный 7035 L (Болгария) - 1220125KZ125</v>
      </c>
      <c r="G548" s="1" t="str">
        <f ca="1">IFERROR(__xludf.DUMMYFUNCTION("""COMPUTED_VALUE"""),"KZ.7700.02.01.00713167 / Действителен до 21.12.2025 / 1220125KZ125 / годен до 21.12.2025")</f>
        <v>KZ.7700.02.01.00713167 / Действителен до 21.12.2025 / 1220125KZ125 / годен до 21.12.2025</v>
      </c>
      <c r="H548" s="1" t="str">
        <f ca="1">IFERROR(__xludf.DUMMYFUNCTION("""COMPUTED_VALUE"""),"Бандаж на голеностопный сустав эластичный 7035 L (Болгария) KZ.7700.02.01.00713167 / Действителен до 21.12.2025 / 1220125KZ125 / годен до 21.12.2025")</f>
        <v>Бандаж на голеностопный сустав эластичный 7035 L (Болгария) KZ.7700.02.01.00713167 / Действителен до 21.12.2025 / 1220125KZ125 / годен до 21.12.2025</v>
      </c>
    </row>
    <row r="549" spans="1:8" ht="12.75" x14ac:dyDescent="0.2">
      <c r="A549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549" s="1" t="str">
        <f ca="1">IFERROR(__xludf.DUMMYFUNCTION("""COMPUTED_VALUE"""),"KZ.7700.02.01.00713134")</f>
        <v>KZ.7700.02.01.00713134</v>
      </c>
      <c r="C549" s="1" t="str">
        <f ca="1">IFERROR(__xludf.DUMMYFUNCTION("""COMPUTED_VALUE"""),"Действителен до 21.12.2025")</f>
        <v>Действителен до 21.12.2025</v>
      </c>
      <c r="D549" s="8" t="str">
        <f ca="1">IFERROR(__xludf.DUMMYFUNCTION("""COMPUTED_VALUE"""),"1220125KZ125")</f>
        <v>1220125KZ125</v>
      </c>
      <c r="E549" s="1" t="str">
        <f ca="1">IFERROR(__xludf.DUMMYFUNCTION("""COMPUTED_VALUE"""),"годен до 21.12.2025")</f>
        <v>годен до 21.12.2025</v>
      </c>
      <c r="F549" s="1" t="str">
        <f ca="1">IFERROR(__xludf.DUMMYFUNCTION("""COMPUTED_VALUE"""),"Бандаж на голеностопный сустав эластичный 7035 M (Болгария) - 1220125KZ125")</f>
        <v>Бандаж на голеностопный сустав эластичный 7035 M (Болгария) - 1220125KZ125</v>
      </c>
      <c r="G549" s="1" t="str">
        <f ca="1">IFERROR(__xludf.DUMMYFUNCTION("""COMPUTED_VALUE"""),"KZ.7700.02.01.00713134 / Действителен до 21.12.2025 / 1220125KZ125 / годен до 21.12.2025")</f>
        <v>KZ.7700.02.01.00713134 / Действителен до 21.12.2025 / 1220125KZ125 / годен до 21.12.2025</v>
      </c>
      <c r="H549" s="1" t="str">
        <f ca="1">IFERROR(__xludf.DUMMYFUNCTION("""COMPUTED_VALUE"""),"Бандаж на голеностопный сустав эластичный 7035 M (Болгария) KZ.7700.02.01.00713134 / Действителен до 21.12.2025 / 1220125KZ125 / годен до 21.12.2025")</f>
        <v>Бандаж на голеностопный сустав эластичный 7035 M (Болгария) KZ.7700.02.01.00713134 / Действителен до 21.12.2025 / 1220125KZ125 / годен до 21.12.2025</v>
      </c>
    </row>
    <row r="550" spans="1:8" ht="12.75" x14ac:dyDescent="0.2">
      <c r="A550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550" s="1" t="str">
        <f ca="1">IFERROR(__xludf.DUMMYFUNCTION("""COMPUTED_VALUE"""),"KZ.7700.02.01.00713128")</f>
        <v>KZ.7700.02.01.00713128</v>
      </c>
      <c r="C550" s="1" t="str">
        <f ca="1">IFERROR(__xludf.DUMMYFUNCTION("""COMPUTED_VALUE"""),"Действителен до 21.12.2025")</f>
        <v>Действителен до 21.12.2025</v>
      </c>
      <c r="D550" s="8" t="str">
        <f ca="1">IFERROR(__xludf.DUMMYFUNCTION("""COMPUTED_VALUE"""),"1220125KZ125")</f>
        <v>1220125KZ125</v>
      </c>
      <c r="E550" s="1" t="str">
        <f ca="1">IFERROR(__xludf.DUMMYFUNCTION("""COMPUTED_VALUE"""),"годен до 21.12.2025")</f>
        <v>годен до 21.12.2025</v>
      </c>
      <c r="F550" s="1" t="str">
        <f ca="1">IFERROR(__xludf.DUMMYFUNCTION("""COMPUTED_VALUE"""),"Бандаж на голеностопный сустав эластичный 7035 S (Болгария) - 1220125KZ125")</f>
        <v>Бандаж на голеностопный сустав эластичный 7035 S (Болгария) - 1220125KZ125</v>
      </c>
      <c r="G550" s="1" t="str">
        <f ca="1">IFERROR(__xludf.DUMMYFUNCTION("""COMPUTED_VALUE"""),"KZ.7700.02.01.00713128 / Действителен до 21.12.2025 / 1220125KZ125 / годен до 21.12.2025")</f>
        <v>KZ.7700.02.01.00713128 / Действителен до 21.12.2025 / 1220125KZ125 / годен до 21.12.2025</v>
      </c>
      <c r="H550" s="1" t="str">
        <f ca="1">IFERROR(__xludf.DUMMYFUNCTION("""COMPUTED_VALUE"""),"Бандаж на голеностопный сустав эластичный 7035 S (Болгария) KZ.7700.02.01.00713128 / Действителен до 21.12.2025 / 1220125KZ125 / годен до 21.12.2025")</f>
        <v>Бандаж на голеностопный сустав эластичный 7035 S (Болгария) KZ.7700.02.01.00713128 / Действителен до 21.12.2025 / 1220125KZ125 / годен до 21.12.2025</v>
      </c>
    </row>
    <row r="551" spans="1:8" ht="12.75" x14ac:dyDescent="0.2">
      <c r="A551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551" s="1" t="str">
        <f ca="1">IFERROR(__xludf.DUMMYFUNCTION("""COMPUTED_VALUE"""),"KZ.7700.02.01.00713164")</f>
        <v>KZ.7700.02.01.00713164</v>
      </c>
      <c r="C551" s="1" t="str">
        <f ca="1">IFERROR(__xludf.DUMMYFUNCTION("""COMPUTED_VALUE"""),"Действителен до 21.12.2025")</f>
        <v>Действителен до 21.12.2025</v>
      </c>
      <c r="D551" s="8" t="str">
        <f ca="1">IFERROR(__xludf.DUMMYFUNCTION("""COMPUTED_VALUE"""),"1220125KZ125")</f>
        <v>1220125KZ125</v>
      </c>
      <c r="E551" s="1" t="str">
        <f ca="1">IFERROR(__xludf.DUMMYFUNCTION("""COMPUTED_VALUE"""),"годен до 21.12.2025")</f>
        <v>годен до 21.12.2025</v>
      </c>
      <c r="F551" s="1" t="str">
        <f ca="1">IFERROR(__xludf.DUMMYFUNCTION("""COMPUTED_VALUE"""),"Бандаж на локтевой сустав эластичный 8317 L (Болгария) - 1220125KZ125")</f>
        <v>Бандаж на локтевой сустав эластичный 8317 L (Болгария) - 1220125KZ125</v>
      </c>
      <c r="G551" s="1" t="str">
        <f ca="1">IFERROR(__xludf.DUMMYFUNCTION("""COMPUTED_VALUE"""),"KZ.7700.02.01.00713164 / Действителен до 21.12.2025 / 1220125KZ125 / годен до 21.12.2025")</f>
        <v>KZ.7700.02.01.00713164 / Действителен до 21.12.2025 / 1220125KZ125 / годен до 21.12.2025</v>
      </c>
      <c r="H551" s="1" t="str">
        <f ca="1">IFERROR(__xludf.DUMMYFUNCTION("""COMPUTED_VALUE"""),"Бандаж на локтевой сустав эластичный 8317 L (Болгария) KZ.7700.02.01.00713164 / Действителен до 21.12.2025 / 1220125KZ125 / годен до 21.12.2025")</f>
        <v>Бандаж на локтевой сустав эластичный 8317 L (Болгария) KZ.7700.02.01.00713164 / Действителен до 21.12.2025 / 1220125KZ125 / годен до 21.12.2025</v>
      </c>
    </row>
    <row r="552" spans="1:8" ht="12.75" x14ac:dyDescent="0.2">
      <c r="A552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552" s="1" t="str">
        <f ca="1">IFERROR(__xludf.DUMMYFUNCTION("""COMPUTED_VALUE"""),"KZ.7700.02.01.00713169")</f>
        <v>KZ.7700.02.01.00713169</v>
      </c>
      <c r="C552" s="1" t="str">
        <f ca="1">IFERROR(__xludf.DUMMYFUNCTION("""COMPUTED_VALUE"""),"Действителен до 21.12.2025")</f>
        <v>Действителен до 21.12.2025</v>
      </c>
      <c r="D552" s="8" t="str">
        <f ca="1">IFERROR(__xludf.DUMMYFUNCTION("""COMPUTED_VALUE"""),"1220125KZ125")</f>
        <v>1220125KZ125</v>
      </c>
      <c r="E552" s="1" t="str">
        <f ca="1">IFERROR(__xludf.DUMMYFUNCTION("""COMPUTED_VALUE"""),"годен до 21.12.2025")</f>
        <v>годен до 21.12.2025</v>
      </c>
      <c r="F552" s="1" t="str">
        <f ca="1">IFERROR(__xludf.DUMMYFUNCTION("""COMPUTED_VALUE"""),"Бандаж на локтевой сустав эластичный 8317 M (Болгария) - 1220125KZ125")</f>
        <v>Бандаж на локтевой сустав эластичный 8317 M (Болгария) - 1220125KZ125</v>
      </c>
      <c r="G552" s="1" t="str">
        <f ca="1">IFERROR(__xludf.DUMMYFUNCTION("""COMPUTED_VALUE"""),"KZ.7700.02.01.00713169 / Действителен до 21.12.2025 / 1220125KZ125 / годен до 21.12.2025")</f>
        <v>KZ.7700.02.01.00713169 / Действителен до 21.12.2025 / 1220125KZ125 / годен до 21.12.2025</v>
      </c>
      <c r="H552" s="1" t="str">
        <f ca="1">IFERROR(__xludf.DUMMYFUNCTION("""COMPUTED_VALUE"""),"Бандаж на локтевой сустав эластичный 8317 M (Болгария) KZ.7700.02.01.00713169 / Действителен до 21.12.2025 / 1220125KZ125 / годен до 21.12.2025")</f>
        <v>Бандаж на локтевой сустав эластичный 8317 M (Болгария) KZ.7700.02.01.00713169 / Действителен до 21.12.2025 / 1220125KZ125 / годен до 21.12.2025</v>
      </c>
    </row>
    <row r="553" spans="1:8" ht="12.75" x14ac:dyDescent="0.2">
      <c r="A553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553" s="1" t="str">
        <f ca="1">IFERROR(__xludf.DUMMYFUNCTION("""COMPUTED_VALUE"""),"KZ.7700.02.01.00713168")</f>
        <v>KZ.7700.02.01.00713168</v>
      </c>
      <c r="C553" s="1" t="str">
        <f ca="1">IFERROR(__xludf.DUMMYFUNCTION("""COMPUTED_VALUE"""),"Действителен до 21.12.2025")</f>
        <v>Действителен до 21.12.2025</v>
      </c>
      <c r="D553" s="8" t="str">
        <f ca="1">IFERROR(__xludf.DUMMYFUNCTION("""COMPUTED_VALUE"""),"1220125KZ125")</f>
        <v>1220125KZ125</v>
      </c>
      <c r="E553" s="1" t="str">
        <f ca="1">IFERROR(__xludf.DUMMYFUNCTION("""COMPUTED_VALUE"""),"годен до 21.12.2025")</f>
        <v>годен до 21.12.2025</v>
      </c>
      <c r="F553" s="1" t="str">
        <f ca="1">IFERROR(__xludf.DUMMYFUNCTION("""COMPUTED_VALUE"""),"Бандаж на локтевой сустав эластичный 8317 S (Болгария) - 1220125KZ125")</f>
        <v>Бандаж на локтевой сустав эластичный 8317 S (Болгария) - 1220125KZ125</v>
      </c>
      <c r="G553" s="1" t="str">
        <f ca="1">IFERROR(__xludf.DUMMYFUNCTION("""COMPUTED_VALUE"""),"KZ.7700.02.01.00713168 / Действителен до 21.12.2025 / 1220125KZ125 / годен до 21.12.2025")</f>
        <v>KZ.7700.02.01.00713168 / Действителен до 21.12.2025 / 1220125KZ125 / годен до 21.12.2025</v>
      </c>
      <c r="H553" s="1" t="str">
        <f ca="1">IFERROR(__xludf.DUMMYFUNCTION("""COMPUTED_VALUE"""),"Бандаж на локтевой сустав эластичный 8317 S (Болгария) KZ.7700.02.01.00713168 / Действителен до 21.12.2025 / 1220125KZ125 / годен до 21.12.2025")</f>
        <v>Бандаж на локтевой сустав эластичный 8317 S (Болгария) KZ.7700.02.01.00713168 / Действителен до 21.12.2025 / 1220125KZ125 / годен до 21.12.2025</v>
      </c>
    </row>
    <row r="554" spans="1:8" ht="12.75" x14ac:dyDescent="0.2">
      <c r="A554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554" s="1" t="str">
        <f ca="1">IFERROR(__xludf.DUMMYFUNCTION("""COMPUTED_VALUE"""),"KZ.7700.02.01.00713163")</f>
        <v>KZ.7700.02.01.00713163</v>
      </c>
      <c r="C554" s="1" t="str">
        <f ca="1">IFERROR(__xludf.DUMMYFUNCTION("""COMPUTED_VALUE"""),"Действителен до 21.12.2025")</f>
        <v>Действителен до 21.12.2025</v>
      </c>
      <c r="D554" s="8" t="str">
        <f ca="1">IFERROR(__xludf.DUMMYFUNCTION("""COMPUTED_VALUE"""),"1220125KZ125")</f>
        <v>1220125KZ125</v>
      </c>
      <c r="E554" s="1" t="str">
        <f ca="1">IFERROR(__xludf.DUMMYFUNCTION("""COMPUTED_VALUE"""),"годен до 21.12.2025")</f>
        <v>годен до 21.12.2025</v>
      </c>
      <c r="F554" s="1" t="str">
        <f ca="1">IFERROR(__xludf.DUMMYFUNCTION("""COMPUTED_VALUE"""),"Бандаж на лучезапястный сустав эластичный 8503 L (Болгария) - 1220125KZ125")</f>
        <v>Бандаж на лучезапястный сустав эластичный 8503 L (Болгария) - 1220125KZ125</v>
      </c>
      <c r="G554" s="1" t="str">
        <f ca="1">IFERROR(__xludf.DUMMYFUNCTION("""COMPUTED_VALUE"""),"KZ.7700.02.01.00713163 / Действителен до 21.12.2025 / 1220125KZ125 / годен до 21.12.2025")</f>
        <v>KZ.7700.02.01.00713163 / Действителен до 21.12.2025 / 1220125KZ125 / годен до 21.12.2025</v>
      </c>
      <c r="H554" s="1" t="str">
        <f ca="1">IFERROR(__xludf.DUMMYFUNCTION("""COMPUTED_VALUE"""),"Бандаж на лучезапястный сустав эластичный 8503 L (Болгария) KZ.7700.02.01.00713163 / Действителен до 21.12.2025 / 1220125KZ125 / годен до 21.12.2025")</f>
        <v>Бандаж на лучезапястный сустав эластичный 8503 L (Болгария) KZ.7700.02.01.00713163 / Действителен до 21.12.2025 / 1220125KZ125 / годен до 21.12.2025</v>
      </c>
    </row>
    <row r="555" spans="1:8" ht="12.75" x14ac:dyDescent="0.2">
      <c r="A555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555" s="1" t="str">
        <f ca="1">IFERROR(__xludf.DUMMYFUNCTION("""COMPUTED_VALUE"""),"KZ.7700.02.01.00713131")</f>
        <v>KZ.7700.02.01.00713131</v>
      </c>
      <c r="C555" s="1" t="str">
        <f ca="1">IFERROR(__xludf.DUMMYFUNCTION("""COMPUTED_VALUE"""),"Действителен до 21.12.2025")</f>
        <v>Действителен до 21.12.2025</v>
      </c>
      <c r="D555" s="8" t="str">
        <f ca="1">IFERROR(__xludf.DUMMYFUNCTION("""COMPUTED_VALUE"""),"1220125KZ125")</f>
        <v>1220125KZ125</v>
      </c>
      <c r="E555" s="1" t="str">
        <f ca="1">IFERROR(__xludf.DUMMYFUNCTION("""COMPUTED_VALUE"""),"годен до 21.12.2025")</f>
        <v>годен до 21.12.2025</v>
      </c>
      <c r="F555" s="1" t="str">
        <f ca="1">IFERROR(__xludf.DUMMYFUNCTION("""COMPUTED_VALUE"""),"Бандаж на лучезапястный сустав эластичный 8503 M (Болгария) - 1220125KZ125")</f>
        <v>Бандаж на лучезапястный сустав эластичный 8503 M (Болгария) - 1220125KZ125</v>
      </c>
      <c r="G555" s="1" t="str">
        <f ca="1">IFERROR(__xludf.DUMMYFUNCTION("""COMPUTED_VALUE"""),"KZ.7700.02.01.00713131 / Действителен до 21.12.2025 / 1220125KZ125 / годен до 21.12.2025")</f>
        <v>KZ.7700.02.01.00713131 / Действителен до 21.12.2025 / 1220125KZ125 / годен до 21.12.2025</v>
      </c>
      <c r="H555" s="1" t="str">
        <f ca="1">IFERROR(__xludf.DUMMYFUNCTION("""COMPUTED_VALUE"""),"Бандаж на лучезапястный сустав эластичный 8503 M (Болгария) KZ.7700.02.01.00713131 / Действителен до 21.12.2025 / 1220125KZ125 / годен до 21.12.2025")</f>
        <v>Бандаж на лучезапястный сустав эластичный 8503 M (Болгария) KZ.7700.02.01.00713131 / Действителен до 21.12.2025 / 1220125KZ125 / годен до 21.12.2025</v>
      </c>
    </row>
    <row r="556" spans="1:8" ht="12.75" x14ac:dyDescent="0.2">
      <c r="A556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556" s="1" t="str">
        <f ca="1">IFERROR(__xludf.DUMMYFUNCTION("""COMPUTED_VALUE"""),"KZ.7700.02.01.00713135")</f>
        <v>KZ.7700.02.01.00713135</v>
      </c>
      <c r="C556" s="1" t="str">
        <f ca="1">IFERROR(__xludf.DUMMYFUNCTION("""COMPUTED_VALUE"""),"Действителен до 21.12.2025")</f>
        <v>Действителен до 21.12.2025</v>
      </c>
      <c r="D556" s="8" t="str">
        <f ca="1">IFERROR(__xludf.DUMMYFUNCTION("""COMPUTED_VALUE"""),"1220125KZ125")</f>
        <v>1220125KZ125</v>
      </c>
      <c r="E556" s="1" t="str">
        <f ca="1">IFERROR(__xludf.DUMMYFUNCTION("""COMPUTED_VALUE"""),"годен до 21.12.2025")</f>
        <v>годен до 21.12.2025</v>
      </c>
      <c r="F556" s="1" t="str">
        <f ca="1">IFERROR(__xludf.DUMMYFUNCTION("""COMPUTED_VALUE"""),"Бандаж на лучезапястный сустав эластичный 8503 S (Болгария) - 1220125KZ125")</f>
        <v>Бандаж на лучезапястный сустав эластичный 8503 S (Болгария) - 1220125KZ125</v>
      </c>
      <c r="G556" s="1" t="str">
        <f ca="1">IFERROR(__xludf.DUMMYFUNCTION("""COMPUTED_VALUE"""),"KZ.7700.02.01.00713135 / Действителен до 21.12.2025 / 1220125KZ125 / годен до 21.12.2025")</f>
        <v>KZ.7700.02.01.00713135 / Действителен до 21.12.2025 / 1220125KZ125 / годен до 21.12.2025</v>
      </c>
      <c r="H556" s="1" t="str">
        <f ca="1">IFERROR(__xludf.DUMMYFUNCTION("""COMPUTED_VALUE"""),"Бандаж на лучезапястный сустав эластичный 8503 S (Болгария) KZ.7700.02.01.00713135 / Действителен до 21.12.2025 / 1220125KZ125 / годен до 21.12.2025")</f>
        <v>Бандаж на лучезапястный сустав эластичный 8503 S (Болгария) KZ.7700.02.01.00713135 / Действителен до 21.12.2025 / 1220125KZ125 / годен до 21.12.2025</v>
      </c>
    </row>
    <row r="557" spans="1:8" ht="12.75" x14ac:dyDescent="0.2">
      <c r="A557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557" s="1" t="str">
        <f ca="1">IFERROR(__xludf.DUMMYFUNCTION("""COMPUTED_VALUE"""),"KZ.7700.02.01.00713156")</f>
        <v>KZ.7700.02.01.00713156</v>
      </c>
      <c r="C557" s="1" t="str">
        <f ca="1">IFERROR(__xludf.DUMMYFUNCTION("""COMPUTED_VALUE"""),"Действителен до 21.12.2025")</f>
        <v>Действителен до 21.12.2025</v>
      </c>
      <c r="D557" s="8" t="str">
        <f ca="1">IFERROR(__xludf.DUMMYFUNCTION("""COMPUTED_VALUE"""),"1220125KZ125")</f>
        <v>1220125KZ125</v>
      </c>
      <c r="E557" s="1" t="str">
        <f ca="1">IFERROR(__xludf.DUMMYFUNCTION("""COMPUTED_VALUE"""),"годен до 21.12.2025")</f>
        <v>годен до 21.12.2025</v>
      </c>
      <c r="F557" s="1" t="str">
        <f ca="1">IFERROR(__xludf.DUMMYFUNCTION("""COMPUTED_VALUE"""),"Бандаж на лучезапястный сустав легкой фиксации 8505 L/XL (Бежевый) (Болгария) - 1220125KZ125")</f>
        <v>Бандаж на лучезапястный сустав легкой фиксации 8505 L/XL (Бежевый) (Болгария) - 1220125KZ125</v>
      </c>
      <c r="G557" s="1" t="str">
        <f ca="1">IFERROR(__xludf.DUMMYFUNCTION("""COMPUTED_VALUE"""),"KZ.7700.02.01.00713156 / Действителен до 21.12.2025 / 1220125KZ125 / годен до 21.12.2025")</f>
        <v>KZ.7700.02.01.00713156 / Действителен до 21.12.2025 / 1220125KZ125 / годен до 21.12.2025</v>
      </c>
      <c r="H557" s="1" t="str">
        <f ca="1">IFERROR(__xludf.DUMMYFUNCTION("""COMPUTED_VALUE"""),"Бандаж на лучезапястный сустав легкой фиксации 8505 L/XL (Бежевый) (Болгария) KZ.7700.02.01.00713156 / Действителен до 21.12.2025 / 1220125KZ125 / годен до 21.12.2025")</f>
        <v>Бандаж на лучезапястный сустав легкой фиксации 8505 L/XL (Бежевый) (Болгария) KZ.7700.02.01.00713156 / Действителен до 21.12.2025 / 1220125KZ125 / годен до 21.12.2025</v>
      </c>
    </row>
    <row r="558" spans="1:8" ht="12.75" x14ac:dyDescent="0.2">
      <c r="A558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558" s="1" t="str">
        <f ca="1">IFERROR(__xludf.DUMMYFUNCTION("""COMPUTED_VALUE"""),"KZ.7700.02.01.00713150")</f>
        <v>KZ.7700.02.01.00713150</v>
      </c>
      <c r="C558" s="1" t="str">
        <f ca="1">IFERROR(__xludf.DUMMYFUNCTION("""COMPUTED_VALUE"""),"Действителен до 21.12.2025")</f>
        <v>Действителен до 21.12.2025</v>
      </c>
      <c r="D558" s="8" t="str">
        <f ca="1">IFERROR(__xludf.DUMMYFUNCTION("""COMPUTED_VALUE"""),"1220125KZ125")</f>
        <v>1220125KZ125</v>
      </c>
      <c r="E558" s="1" t="str">
        <f ca="1">IFERROR(__xludf.DUMMYFUNCTION("""COMPUTED_VALUE"""),"годен до 21.12.2025")</f>
        <v>годен до 21.12.2025</v>
      </c>
      <c r="F558" s="1" t="str">
        <f ca="1">IFERROR(__xludf.DUMMYFUNCTION("""COMPUTED_VALUE"""),"Бандаж на лучезапястный сустав легкой фиксации 8505 S/M (Бежевый) (Болгария) - 1220125KZ125")</f>
        <v>Бандаж на лучезапястный сустав легкой фиксации 8505 S/M (Бежевый) (Болгария) - 1220125KZ125</v>
      </c>
      <c r="G558" s="1" t="str">
        <f ca="1">IFERROR(__xludf.DUMMYFUNCTION("""COMPUTED_VALUE"""),"KZ.7700.02.01.00713150 / Действителен до 21.12.2025 / 1220125KZ125 / годен до 21.12.2025")</f>
        <v>KZ.7700.02.01.00713150 / Действителен до 21.12.2025 / 1220125KZ125 / годен до 21.12.2025</v>
      </c>
      <c r="H558" s="1" t="str">
        <f ca="1">IFERROR(__xludf.DUMMYFUNCTION("""COMPUTED_VALUE"""),"Бандаж на лучезапястный сустав легкой фиксации 8505 S/M (Бежевый) (Болгария) KZ.7700.02.01.00713150 / Действителен до 21.12.2025 / 1220125KZ125 / годен до 21.12.2025")</f>
        <v>Бандаж на лучезапястный сустав легкой фиксации 8505 S/M (Бежевый) (Болгария) KZ.7700.02.01.00713150 / Действителен до 21.12.2025 / 1220125KZ125 / годен до 21.12.2025</v>
      </c>
    </row>
    <row r="559" spans="1:8" ht="12.75" x14ac:dyDescent="0.2">
      <c r="A559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559" s="1" t="str">
        <f ca="1">IFERROR(__xludf.DUMMYFUNCTION("""COMPUTED_VALUE"""),"KZ.7700.02.01.00713160")</f>
        <v>KZ.7700.02.01.00713160</v>
      </c>
      <c r="C559" s="1" t="str">
        <f ca="1">IFERROR(__xludf.DUMMYFUNCTION("""COMPUTED_VALUE"""),"Действителен до 21.12.2025")</f>
        <v>Действителен до 21.12.2025</v>
      </c>
      <c r="D559" s="8" t="str">
        <f ca="1">IFERROR(__xludf.DUMMYFUNCTION("""COMPUTED_VALUE"""),"1220125KZ125")</f>
        <v>1220125KZ125</v>
      </c>
      <c r="E559" s="1" t="str">
        <f ca="1">IFERROR(__xludf.DUMMYFUNCTION("""COMPUTED_VALUE"""),"годен до 21.12.2025")</f>
        <v>годен до 21.12.2025</v>
      </c>
      <c r="F559" s="1" t="str">
        <f ca="1">IFERROR(__xludf.DUMMYFUNCTION("""COMPUTED_VALUE"""),"Бандаж на лучезапястный сустав с фиксацией пальца 8552 L\XL (Болгария) - 1220125KZ125")</f>
        <v>Бандаж на лучезапястный сустав с фиксацией пальца 8552 L\XL (Болгария) - 1220125KZ125</v>
      </c>
      <c r="G559" s="1" t="str">
        <f ca="1">IFERROR(__xludf.DUMMYFUNCTION("""COMPUTED_VALUE"""),"KZ.7700.02.01.00713160 / Действителен до 21.12.2025 / 1220125KZ125 / годен до 21.12.2025")</f>
        <v>KZ.7700.02.01.00713160 / Действителен до 21.12.2025 / 1220125KZ125 / годен до 21.12.2025</v>
      </c>
      <c r="H559" s="1" t="str">
        <f ca="1">IFERROR(__xludf.DUMMYFUNCTION("""COMPUTED_VALUE"""),"Бандаж на лучезапястный сустав с фиксацией пальца 8552 L\XL (Болгария) KZ.7700.02.01.00713160 / Действителен до 21.12.2025 / 1220125KZ125 / годен до 21.12.2025")</f>
        <v>Бандаж на лучезапястный сустав с фиксацией пальца 8552 L\XL (Болгария) KZ.7700.02.01.00713160 / Действителен до 21.12.2025 / 1220125KZ125 / годен до 21.12.2025</v>
      </c>
    </row>
    <row r="560" spans="1:8" ht="12.75" x14ac:dyDescent="0.2">
      <c r="A560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560" s="1" t="str">
        <f ca="1">IFERROR(__xludf.DUMMYFUNCTION("""COMPUTED_VALUE"""),"KZ.7700.02.01.00713132")</f>
        <v>KZ.7700.02.01.00713132</v>
      </c>
      <c r="C560" s="1" t="str">
        <f ca="1">IFERROR(__xludf.DUMMYFUNCTION("""COMPUTED_VALUE"""),"Действителен до 21.12.2025")</f>
        <v>Действителен до 21.12.2025</v>
      </c>
      <c r="D560" s="8" t="str">
        <f ca="1">IFERROR(__xludf.DUMMYFUNCTION("""COMPUTED_VALUE"""),"1220125KZ125")</f>
        <v>1220125KZ125</v>
      </c>
      <c r="E560" s="1" t="str">
        <f ca="1">IFERROR(__xludf.DUMMYFUNCTION("""COMPUTED_VALUE"""),"годен до 21.12.2025")</f>
        <v>годен до 21.12.2025</v>
      </c>
      <c r="F560" s="1" t="str">
        <f ca="1">IFERROR(__xludf.DUMMYFUNCTION("""COMPUTED_VALUE"""),"Бандаж для руки поддерживающий облегченный (косынка) 9912 L (белый) (Болгария) - 1220125KZ125")</f>
        <v>Бандаж для руки поддерживающий облегченный (косынка) 9912 L (белый) (Болгария) - 1220125KZ125</v>
      </c>
      <c r="G560" s="1" t="str">
        <f ca="1">IFERROR(__xludf.DUMMYFUNCTION("""COMPUTED_VALUE"""),"KZ.7700.02.01.00713132 / Действителен до 21.12.2025 / 1220125KZ125 / годен до 21.12.2025")</f>
        <v>KZ.7700.02.01.00713132 / Действителен до 21.12.2025 / 1220125KZ125 / годен до 21.12.2025</v>
      </c>
      <c r="H560" s="1" t="str">
        <f ca="1">IFERROR(__xludf.DUMMYFUNCTION("""COMPUTED_VALUE"""),"Бандаж для руки поддерживающий облегченный (косынка) 9912 L (белый) (Болгария) KZ.7700.02.01.00713132 / Действителен до 21.12.2025 / 1220125KZ125 / годен до 21.12.2025")</f>
        <v>Бандаж для руки поддерживающий облегченный (косынка) 9912 L (белый) (Болгария) KZ.7700.02.01.00713132 / Действителен до 21.12.2025 / 1220125KZ125 / годен до 21.12.2025</v>
      </c>
    </row>
    <row r="561" spans="1:8" ht="12.75" x14ac:dyDescent="0.2">
      <c r="A561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561" s="1" t="str">
        <f ca="1">IFERROR(__xludf.DUMMYFUNCTION("""COMPUTED_VALUE"""),"KZ.7700.02.01.00713157")</f>
        <v>KZ.7700.02.01.00713157</v>
      </c>
      <c r="C561" s="1" t="str">
        <f ca="1">IFERROR(__xludf.DUMMYFUNCTION("""COMPUTED_VALUE"""),"Действителен до 21.12.2025")</f>
        <v>Действителен до 21.12.2025</v>
      </c>
      <c r="D561" s="8" t="str">
        <f ca="1">IFERROR(__xludf.DUMMYFUNCTION("""COMPUTED_VALUE"""),"1220125KZ125")</f>
        <v>1220125KZ125</v>
      </c>
      <c r="E561" s="1" t="str">
        <f ca="1">IFERROR(__xludf.DUMMYFUNCTION("""COMPUTED_VALUE"""),"годен до 21.12.2025")</f>
        <v>годен до 21.12.2025</v>
      </c>
      <c r="F561" s="1" t="str">
        <f ca="1">IFERROR(__xludf.DUMMYFUNCTION("""COMPUTED_VALUE"""),"Бандаж для руки поддерживающий облегченный (косынка) 9912 L (черный) (Болгария) - 1220125KZ125")</f>
        <v>Бандаж для руки поддерживающий облегченный (косынка) 9912 L (черный) (Болгария) - 1220125KZ125</v>
      </c>
      <c r="G561" s="1" t="str">
        <f ca="1">IFERROR(__xludf.DUMMYFUNCTION("""COMPUTED_VALUE"""),"KZ.7700.02.01.00713157 / Действителен до 21.12.2025 / 1220125KZ125 / годен до 21.12.2025")</f>
        <v>KZ.7700.02.01.00713157 / Действителен до 21.12.2025 / 1220125KZ125 / годен до 21.12.2025</v>
      </c>
      <c r="H561" s="1" t="str">
        <f ca="1">IFERROR(__xludf.DUMMYFUNCTION("""COMPUTED_VALUE"""),"Бандаж для руки поддерживающий облегченный (косынка) 9912 L (черный) (Болгария) KZ.7700.02.01.00713157 / Действителен до 21.12.2025 / 1220125KZ125 / годен до 21.12.2025")</f>
        <v>Бандаж для руки поддерживающий облегченный (косынка) 9912 L (черный) (Болгария) KZ.7700.02.01.00713157 / Действителен до 21.12.2025 / 1220125KZ125 / годен до 21.12.2025</v>
      </c>
    </row>
    <row r="562" spans="1:8" ht="12.75" x14ac:dyDescent="0.2">
      <c r="A562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562" s="1" t="str">
        <f ca="1">IFERROR(__xludf.DUMMYFUNCTION("""COMPUTED_VALUE"""),"KZ.7700.02.01.00713126")</f>
        <v>KZ.7700.02.01.00713126</v>
      </c>
      <c r="C562" s="1" t="str">
        <f ca="1">IFERROR(__xludf.DUMMYFUNCTION("""COMPUTED_VALUE"""),"Действителен до 21.12.2025")</f>
        <v>Действителен до 21.12.2025</v>
      </c>
      <c r="D562" s="8" t="str">
        <f ca="1">IFERROR(__xludf.DUMMYFUNCTION("""COMPUTED_VALUE"""),"1220125KZ125")</f>
        <v>1220125KZ125</v>
      </c>
      <c r="E562" s="1" t="str">
        <f ca="1">IFERROR(__xludf.DUMMYFUNCTION("""COMPUTED_VALUE"""),"годен до 21.12.2025")</f>
        <v>годен до 21.12.2025</v>
      </c>
      <c r="F562" s="1" t="str">
        <f ca="1">IFERROR(__xludf.DUMMYFUNCTION("""COMPUTED_VALUE"""),"Бандаж для руки поддерживающий облегченный (косынка) 9912 M (черный) (Болгария) - 1220125KZ125")</f>
        <v>Бандаж для руки поддерживающий облегченный (косынка) 9912 M (черный) (Болгария) - 1220125KZ125</v>
      </c>
      <c r="G562" s="1" t="str">
        <f ca="1">IFERROR(__xludf.DUMMYFUNCTION("""COMPUTED_VALUE"""),"KZ.7700.02.01.00713126 / Действителен до 21.12.2025 / 1220125KZ125 / годен до 21.12.2025")</f>
        <v>KZ.7700.02.01.00713126 / Действителен до 21.12.2025 / 1220125KZ125 / годен до 21.12.2025</v>
      </c>
      <c r="H562" s="1" t="str">
        <f ca="1">IFERROR(__xludf.DUMMYFUNCTION("""COMPUTED_VALUE"""),"Бандаж для руки поддерживающий облегченный (косынка) 9912 M (черный) (Болгария) KZ.7700.02.01.00713126 / Действителен до 21.12.2025 / 1220125KZ125 / годен до 21.12.2025")</f>
        <v>Бандаж для руки поддерживающий облегченный (косынка) 9912 M (черный) (Болгария) KZ.7700.02.01.00713126 / Действителен до 21.12.2025 / 1220125KZ125 / годен до 21.12.2025</v>
      </c>
    </row>
    <row r="563" spans="1:8" ht="12.75" x14ac:dyDescent="0.2">
      <c r="A563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563" s="1" t="str">
        <f ca="1">IFERROR(__xludf.DUMMYFUNCTION("""COMPUTED_VALUE"""),"KZ.7700.02.01.00713143")</f>
        <v>KZ.7700.02.01.00713143</v>
      </c>
      <c r="C563" s="1" t="str">
        <f ca="1">IFERROR(__xludf.DUMMYFUNCTION("""COMPUTED_VALUE"""),"Действителен до 21.12.2025")</f>
        <v>Действителен до 21.12.2025</v>
      </c>
      <c r="D563" s="8" t="str">
        <f ca="1">IFERROR(__xludf.DUMMYFUNCTION("""COMPUTED_VALUE"""),"1220125KZ125")</f>
        <v>1220125KZ125</v>
      </c>
      <c r="E563" s="1" t="str">
        <f ca="1">IFERROR(__xludf.DUMMYFUNCTION("""COMPUTED_VALUE"""),"годен до 21.12.2025")</f>
        <v>годен до 21.12.2025</v>
      </c>
      <c r="F563" s="1" t="str">
        <f ca="1">IFERROR(__xludf.DUMMYFUNCTION("""COMPUTED_VALUE"""),"Бандаж для руки поддерживающий облегченный (косынка) 9912 S (черный) (Болгария) - 1220125KZ125")</f>
        <v>Бандаж для руки поддерживающий облегченный (косынка) 9912 S (черный) (Болгария) - 1220125KZ125</v>
      </c>
      <c r="G563" s="1" t="str">
        <f ca="1">IFERROR(__xludf.DUMMYFUNCTION("""COMPUTED_VALUE"""),"KZ.7700.02.01.00713143 / Действителен до 21.12.2025 / 1220125KZ125 / годен до 21.12.2025")</f>
        <v>KZ.7700.02.01.00713143 / Действителен до 21.12.2025 / 1220125KZ125 / годен до 21.12.2025</v>
      </c>
      <c r="H563" s="1" t="str">
        <f ca="1">IFERROR(__xludf.DUMMYFUNCTION("""COMPUTED_VALUE"""),"Бандаж для руки поддерживающий облегченный (косынка) 9912 S (черный) (Болгария) KZ.7700.02.01.00713143 / Действителен до 21.12.2025 / 1220125KZ125 / годен до 21.12.2025")</f>
        <v>Бандаж для руки поддерживающий облегченный (косынка) 9912 S (черный) (Болгария) KZ.7700.02.01.00713143 / Действителен до 21.12.2025 / 1220125KZ125 / годен до 21.12.2025</v>
      </c>
    </row>
    <row r="564" spans="1:8" ht="12.75" x14ac:dyDescent="0.2">
      <c r="A564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B564" s="1" t="str">
        <f ca="1">IFERROR(__xludf.DUMMYFUNCTION("""COMPUTED_VALUE"""),"KZ.7700.02.01.00713166")</f>
        <v>KZ.7700.02.01.00713166</v>
      </c>
      <c r="C564" s="1" t="str">
        <f ca="1">IFERROR(__xludf.DUMMYFUNCTION("""COMPUTED_VALUE"""),"Действителен до 21.12.2025")</f>
        <v>Действителен до 21.12.2025</v>
      </c>
      <c r="D564" s="8" t="str">
        <f ca="1">IFERROR(__xludf.DUMMYFUNCTION("""COMPUTED_VALUE"""),"1220125KZ125")</f>
        <v>1220125KZ125</v>
      </c>
      <c r="E564" s="1" t="str">
        <f ca="1">IFERROR(__xludf.DUMMYFUNCTION("""COMPUTED_VALUE"""),"годен до 21.12.2025")</f>
        <v>годен до 21.12.2025</v>
      </c>
      <c r="F564" s="1" t="str">
        <f ca="1">IFERROR(__xludf.DUMMYFUNCTION("""COMPUTED_VALUE"""),"Бандаж для руки поддерживающий облегченный (косынка) 9912 XL (белый) (Болгария) - 1220125KZ125")</f>
        <v>Бандаж для руки поддерживающий облегченный (косынка) 9912 XL (белый) (Болгария) - 1220125KZ125</v>
      </c>
      <c r="G564" s="1" t="str">
        <f ca="1">IFERROR(__xludf.DUMMYFUNCTION("""COMPUTED_VALUE"""),"KZ.7700.02.01.00713166 / Действителен до 21.12.2025 / 1220125KZ125 / годен до 21.12.2025")</f>
        <v>KZ.7700.02.01.00713166 / Действителен до 21.12.2025 / 1220125KZ125 / годен до 21.12.2025</v>
      </c>
      <c r="H564" s="1" t="str">
        <f ca="1">IFERROR(__xludf.DUMMYFUNCTION("""COMPUTED_VALUE"""),"Бандаж для руки поддерживающий облегченный (косынка) 9912 XL (белый) (Болгария) KZ.7700.02.01.00713166 / Действителен до 21.12.2025 / 1220125KZ125 / годен до 21.12.2025")</f>
        <v>Бандаж для руки поддерживающий облегченный (косынка) 9912 XL (белый) (Болгария) KZ.7700.02.01.00713166 / Действителен до 21.12.2025 / 1220125KZ125 / годен до 21.12.2025</v>
      </c>
    </row>
    <row r="565" spans="1:8" ht="12.75" x14ac:dyDescent="0.2">
      <c r="A565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565" s="1" t="str">
        <f ca="1">IFERROR(__xludf.DUMMYFUNCTION("""COMPUTED_VALUE"""),"KZ.7700.02.01.00713144")</f>
        <v>KZ.7700.02.01.00713144</v>
      </c>
      <c r="C565" s="1" t="str">
        <f ca="1">IFERROR(__xludf.DUMMYFUNCTION("""COMPUTED_VALUE"""),"Действителен до 21.12.2025")</f>
        <v>Действителен до 21.12.2025</v>
      </c>
      <c r="D565" s="8" t="str">
        <f ca="1">IFERROR(__xludf.DUMMYFUNCTION("""COMPUTED_VALUE"""),"1220125KZ125")</f>
        <v>1220125KZ125</v>
      </c>
      <c r="E565" s="1" t="str">
        <f ca="1">IFERROR(__xludf.DUMMYFUNCTION("""COMPUTED_VALUE"""),"годен до 21.12.2025")</f>
        <v>годен до 21.12.2025</v>
      </c>
      <c r="F565" s="1" t="str">
        <f ca="1">IFERROR(__xludf.DUMMYFUNCTION("""COMPUTED_VALUE"""),"Бандаж для руки поддерживающий облегченный (косынка) 9912 XL (черный) (Болгария) - 1220125KZ125")</f>
        <v>Бандаж для руки поддерживающий облегченный (косынка) 9912 XL (черный) (Болгария) - 1220125KZ125</v>
      </c>
      <c r="G565" s="1" t="str">
        <f ca="1">IFERROR(__xludf.DUMMYFUNCTION("""COMPUTED_VALUE"""),"KZ.7700.02.01.00713144 / Действителен до 21.12.2025 / 1220125KZ125 / годен до 21.12.2025")</f>
        <v>KZ.7700.02.01.00713144 / Действителен до 21.12.2025 / 1220125KZ125 / годен до 21.12.2025</v>
      </c>
      <c r="H565" s="1" t="str">
        <f ca="1">IFERROR(__xludf.DUMMYFUNCTION("""COMPUTED_VALUE"""),"Бандаж для руки поддерживающий облегченный (косынка) 9912 XL (черный) (Болгария) KZ.7700.02.01.00713144 / Действителен до 21.12.2025 / 1220125KZ125 / годен до 21.12.2025")</f>
        <v>Бандаж для руки поддерживающий облегченный (косынка) 9912 XL (черный) (Болгария) KZ.7700.02.01.00713144 / Действителен до 21.12.2025 / 1220125KZ125 / годен до 21.12.2025</v>
      </c>
    </row>
    <row r="566" spans="1:8" ht="12.75" x14ac:dyDescent="0.2">
      <c r="A566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566" s="1" t="str">
        <f ca="1">IFERROR(__xludf.DUMMYFUNCTION("""COMPUTED_VALUE"""),"KZ.7700.02.01.00634639")</f>
        <v>KZ.7700.02.01.00634639</v>
      </c>
      <c r="C566" s="1" t="str">
        <f ca="1">IFERROR(__xludf.DUMMYFUNCTION("""COMPUTED_VALUE"""),"Действителен до 26.02.2025")</f>
        <v>Действителен до 26.02.2025</v>
      </c>
      <c r="D566" s="8" t="str">
        <f ca="1">IFERROR(__xludf.DUMMYFUNCTION("""COMPUTED_VALUE"""),"0220058KZ58")</f>
        <v>0220058KZ58</v>
      </c>
      <c r="E566" s="1" t="str">
        <f ca="1">IFERROR(__xludf.DUMMYFUNCTION("""COMPUTED_VALUE"""),"годен до 26.02.2025")</f>
        <v>годен до 26.02.2025</v>
      </c>
      <c r="F566" s="1" t="str">
        <f ca="1">IFERROR(__xludf.DUMMYFUNCTION("""COMPUTED_VALUE"""),"Бандаж для беременных эластичный 4505 - L (Болгария) - 0220058KZ58")</f>
        <v>Бандаж для беременных эластичный 4505 - L (Болгария) - 0220058KZ58</v>
      </c>
      <c r="G566" s="1" t="str">
        <f ca="1">IFERROR(__xludf.DUMMYFUNCTION("""COMPUTED_VALUE"""),"KZ.7700.02.01.00634639 / Действителен до 26.02.2025 / 0220058KZ58 / годен до 26.02.2025")</f>
        <v>KZ.7700.02.01.00634639 / Действителен до 26.02.2025 / 0220058KZ58 / годен до 26.02.2025</v>
      </c>
      <c r="H566" s="1" t="str">
        <f ca="1">IFERROR(__xludf.DUMMYFUNCTION("""COMPUTED_VALUE"""),"Бандаж для беременных эластичный 4505 - L (Болгария) KZ.7700.02.01.00634639 / Действителен до 26.02.2025 / 0220058KZ58 / годен до 26.02.2025")</f>
        <v>Бандаж для беременных эластичный 4505 - L (Болгария) KZ.7700.02.01.00634639 / Действителен до 26.02.2025 / 0220058KZ58 / годен до 26.02.2025</v>
      </c>
    </row>
    <row r="567" spans="1:8" ht="12.75" x14ac:dyDescent="0.2">
      <c r="A567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567" s="1" t="str">
        <f ca="1">IFERROR(__xludf.DUMMYFUNCTION("""COMPUTED_VALUE"""),"KZ.7700.02.01.00634638")</f>
        <v>KZ.7700.02.01.00634638</v>
      </c>
      <c r="C567" s="1" t="str">
        <f ca="1">IFERROR(__xludf.DUMMYFUNCTION("""COMPUTED_VALUE"""),"Действителен до 26.02.2025")</f>
        <v>Действителен до 26.02.2025</v>
      </c>
      <c r="D567" s="8" t="str">
        <f ca="1">IFERROR(__xludf.DUMMYFUNCTION("""COMPUTED_VALUE"""),"0220058KZ58")</f>
        <v>0220058KZ58</v>
      </c>
      <c r="E567" s="1" t="str">
        <f ca="1">IFERROR(__xludf.DUMMYFUNCTION("""COMPUTED_VALUE"""),"годен до 26.02.2025")</f>
        <v>годен до 26.02.2025</v>
      </c>
      <c r="F567" s="1" t="str">
        <f ca="1">IFERROR(__xludf.DUMMYFUNCTION("""COMPUTED_VALUE"""),"Бандаж для беременных эластичный 4505 - М (Болгария) - 0220058KZ58")</f>
        <v>Бандаж для беременных эластичный 4505 - М (Болгария) - 0220058KZ58</v>
      </c>
      <c r="G567" s="1" t="str">
        <f ca="1">IFERROR(__xludf.DUMMYFUNCTION("""COMPUTED_VALUE"""),"KZ.7700.02.01.00634638 / Действителен до 26.02.2025 / 0220058KZ58 / годен до 26.02.2025")</f>
        <v>KZ.7700.02.01.00634638 / Действителен до 26.02.2025 / 0220058KZ58 / годен до 26.02.2025</v>
      </c>
      <c r="H567" s="1" t="str">
        <f ca="1">IFERROR(__xludf.DUMMYFUNCTION("""COMPUTED_VALUE"""),"Бандаж для беременных эластичный 4505 - М (Болгария) KZ.7700.02.01.00634638 / Действителен до 26.02.2025 / 0220058KZ58 / годен до 26.02.2025")</f>
        <v>Бандаж для беременных эластичный 4505 - М (Болгария) KZ.7700.02.01.00634638 / Действителен до 26.02.2025 / 0220058KZ58 / годен до 26.02.2025</v>
      </c>
    </row>
    <row r="568" spans="1:8" ht="12.75" x14ac:dyDescent="0.2">
      <c r="A568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568" s="1" t="str">
        <f ca="1">IFERROR(__xludf.DUMMYFUNCTION("""COMPUTED_VALUE"""),"KZ.7700.02.01.00634637")</f>
        <v>KZ.7700.02.01.00634637</v>
      </c>
      <c r="C568" s="1" t="str">
        <f ca="1">IFERROR(__xludf.DUMMYFUNCTION("""COMPUTED_VALUE"""),"Действителен до 26.02.2025")</f>
        <v>Действителен до 26.02.2025</v>
      </c>
      <c r="D568" s="8" t="str">
        <f ca="1">IFERROR(__xludf.DUMMYFUNCTION("""COMPUTED_VALUE"""),"0220058KZ58")</f>
        <v>0220058KZ58</v>
      </c>
      <c r="E568" s="1" t="str">
        <f ca="1">IFERROR(__xludf.DUMMYFUNCTION("""COMPUTED_VALUE"""),"годен до 26.02.2025")</f>
        <v>годен до 26.02.2025</v>
      </c>
      <c r="F568" s="1" t="str">
        <f ca="1">IFERROR(__xludf.DUMMYFUNCTION("""COMPUTED_VALUE"""),"Бандаж для беременных эластичный 4505 - S (Болгария) - 0220058KZ58")</f>
        <v>Бандаж для беременных эластичный 4505 - S (Болгария) - 0220058KZ58</v>
      </c>
      <c r="G568" s="1" t="str">
        <f ca="1">IFERROR(__xludf.DUMMYFUNCTION("""COMPUTED_VALUE"""),"KZ.7700.02.01.00634637 / Действителен до 26.02.2025 / 0220058KZ58 / годен до 26.02.2025")</f>
        <v>KZ.7700.02.01.00634637 / Действителен до 26.02.2025 / 0220058KZ58 / годен до 26.02.2025</v>
      </c>
      <c r="H568" s="1" t="str">
        <f ca="1">IFERROR(__xludf.DUMMYFUNCTION("""COMPUTED_VALUE"""),"Бандаж для беременных эластичный 4505 - S (Болгария) KZ.7700.02.01.00634637 / Действителен до 26.02.2025 / 0220058KZ58 / годен до 26.02.2025")</f>
        <v>Бандаж для беременных эластичный 4505 - S (Болгария) KZ.7700.02.01.00634637 / Действителен до 26.02.2025 / 0220058KZ58 / годен до 26.02.2025</v>
      </c>
    </row>
    <row r="569" spans="1:8" ht="12.75" x14ac:dyDescent="0.2">
      <c r="A569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569" s="1" t="str">
        <f ca="1">IFERROR(__xludf.DUMMYFUNCTION("""COMPUTED_VALUE"""),"KZ.7700.02.01.00634640")</f>
        <v>KZ.7700.02.01.00634640</v>
      </c>
      <c r="C569" s="1" t="str">
        <f ca="1">IFERROR(__xludf.DUMMYFUNCTION("""COMPUTED_VALUE"""),"Действителен до 26.02.2025")</f>
        <v>Действителен до 26.02.2025</v>
      </c>
      <c r="D569" s="8" t="str">
        <f ca="1">IFERROR(__xludf.DUMMYFUNCTION("""COMPUTED_VALUE"""),"0220058KZ58")</f>
        <v>0220058KZ58</v>
      </c>
      <c r="E569" s="1" t="str">
        <f ca="1">IFERROR(__xludf.DUMMYFUNCTION("""COMPUTED_VALUE"""),"годен до 26.02.2025")</f>
        <v>годен до 26.02.2025</v>
      </c>
      <c r="F569" s="1" t="str">
        <f ca="1">IFERROR(__xludf.DUMMYFUNCTION("""COMPUTED_VALUE"""),"Бандаж для беременных эластичный 4505 - XL (Болгария) - 0220058KZ58")</f>
        <v>Бандаж для беременных эластичный 4505 - XL (Болгария) - 0220058KZ58</v>
      </c>
      <c r="G569" s="1" t="str">
        <f ca="1">IFERROR(__xludf.DUMMYFUNCTION("""COMPUTED_VALUE"""),"KZ.7700.02.01.00634640 / Действителен до 26.02.2025 / 0220058KZ58 / годен до 26.02.2025")</f>
        <v>KZ.7700.02.01.00634640 / Действителен до 26.02.2025 / 0220058KZ58 / годен до 26.02.2025</v>
      </c>
      <c r="H569" s="1" t="str">
        <f ca="1">IFERROR(__xludf.DUMMYFUNCTION("""COMPUTED_VALUE"""),"Бандаж для беременных эластичный 4505 - XL (Болгария) KZ.7700.02.01.00634640 / Действителен до 26.02.2025 / 0220058KZ58 / годен до 26.02.2025")</f>
        <v>Бандаж для беременных эластичный 4505 - XL (Болгария) KZ.7700.02.01.00634640 / Действителен до 26.02.2025 / 0220058KZ58 / годен до 26.02.2025</v>
      </c>
    </row>
    <row r="570" spans="1:8" ht="12.75" x14ac:dyDescent="0.2">
      <c r="A570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570" s="1" t="str">
        <f ca="1">IFERROR(__xludf.DUMMYFUNCTION("""COMPUTED_VALUE"""),"KZ.7700.02.01.00634642")</f>
        <v>KZ.7700.02.01.00634642</v>
      </c>
      <c r="C570" s="1" t="str">
        <f ca="1">IFERROR(__xludf.DUMMYFUNCTION("""COMPUTED_VALUE"""),"Действителен до 26.02.2025")</f>
        <v>Действителен до 26.02.2025</v>
      </c>
      <c r="D570" s="8" t="str">
        <f ca="1">IFERROR(__xludf.DUMMYFUNCTION("""COMPUTED_VALUE"""),"0220058KZ58")</f>
        <v>0220058KZ58</v>
      </c>
      <c r="E570" s="1" t="str">
        <f ca="1">IFERROR(__xludf.DUMMYFUNCTION("""COMPUTED_VALUE"""),"годен до 26.02.2025")</f>
        <v>годен до 26.02.2025</v>
      </c>
      <c r="F570" s="1" t="str">
        <f ca="1">IFERROR(__xludf.DUMMYFUNCTION("""COMPUTED_VALUE"""),"Бандаж для беременных эластичный 4505 - XXL (Болгария) - 0220058KZ58")</f>
        <v>Бандаж для беременных эластичный 4505 - XXL (Болгария) - 0220058KZ58</v>
      </c>
      <c r="G570" s="1" t="str">
        <f ca="1">IFERROR(__xludf.DUMMYFUNCTION("""COMPUTED_VALUE"""),"KZ.7700.02.01.00634642 / Действителен до 26.02.2025 / 0220058KZ58 / годен до 26.02.2025")</f>
        <v>KZ.7700.02.01.00634642 / Действителен до 26.02.2025 / 0220058KZ58 / годен до 26.02.2025</v>
      </c>
      <c r="H570" s="1" t="str">
        <f ca="1">IFERROR(__xludf.DUMMYFUNCTION("""COMPUTED_VALUE"""),"Бандаж для беременных эластичный 4505 - XXL (Болгария) KZ.7700.02.01.00634642 / Действителен до 26.02.2025 / 0220058KZ58 / годен до 26.02.2025")</f>
        <v>Бандаж для беременных эластичный 4505 - XXL (Болгария) KZ.7700.02.01.00634642 / Действителен до 26.02.2025 / 0220058KZ58 / годен до 26.02.2025</v>
      </c>
    </row>
    <row r="571" spans="1:8" ht="12.75" x14ac:dyDescent="0.2">
      <c r="A571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571" s="1" t="str">
        <f ca="1">IFERROR(__xludf.DUMMYFUNCTION("""COMPUTED_VALUE"""),"KZ.7700.02.01.00634643")</f>
        <v>KZ.7700.02.01.00634643</v>
      </c>
      <c r="C571" s="1" t="str">
        <f ca="1">IFERROR(__xludf.DUMMYFUNCTION("""COMPUTED_VALUE"""),"Действителен до 26.02.2025")</f>
        <v>Действителен до 26.02.2025</v>
      </c>
      <c r="D571" s="8" t="str">
        <f ca="1">IFERROR(__xludf.DUMMYFUNCTION("""COMPUTED_VALUE"""),"0220058KZ58")</f>
        <v>0220058KZ58</v>
      </c>
      <c r="E571" s="1" t="str">
        <f ca="1">IFERROR(__xludf.DUMMYFUNCTION("""COMPUTED_VALUE"""),"годен до 26.02.2025")</f>
        <v>годен до 26.02.2025</v>
      </c>
      <c r="F571" s="1" t="str">
        <f ca="1">IFERROR(__xludf.DUMMYFUNCTION("""COMPUTED_VALUE"""),"Бандаж для беременных эластичный 4505 - XXXL (Болгария) - 0220058KZ58")</f>
        <v>Бандаж для беременных эластичный 4505 - XXXL (Болгария) - 0220058KZ58</v>
      </c>
      <c r="G571" s="1" t="str">
        <f ca="1">IFERROR(__xludf.DUMMYFUNCTION("""COMPUTED_VALUE"""),"KZ.7700.02.01.00634643 / Действителен до 26.02.2025 / 0220058KZ58 / годен до 26.02.2025")</f>
        <v>KZ.7700.02.01.00634643 / Действителен до 26.02.2025 / 0220058KZ58 / годен до 26.02.2025</v>
      </c>
      <c r="H571" s="1" t="str">
        <f ca="1">IFERROR(__xludf.DUMMYFUNCTION("""COMPUTED_VALUE"""),"Бандаж для беременных эластичный 4505 - XXXL (Болгария) KZ.7700.02.01.00634643 / Действителен до 26.02.2025 / 0220058KZ58 / годен до 26.02.2025")</f>
        <v>Бандаж для беременных эластичный 4505 - XXXL (Болгария) KZ.7700.02.01.00634643 / Действителен до 26.02.2025 / 0220058KZ58 / годен до 26.02.2025</v>
      </c>
    </row>
    <row r="572" spans="1:8" ht="12.75" x14ac:dyDescent="0.2">
      <c r="A572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572" s="1" t="str">
        <f ca="1">IFERROR(__xludf.DUMMYFUNCTION("""COMPUTED_VALUE"""),"KZ.7700.02.01.00615826")</f>
        <v>KZ.7700.02.01.00615826</v>
      </c>
      <c r="C572" s="1" t="str">
        <f ca="1">IFERROR(__xludf.DUMMYFUNCTION("""COMPUTED_VALUE"""),"Действителен до 02.12.2024")</f>
        <v>Действителен до 02.12.2024</v>
      </c>
      <c r="D572" s="8" t="str">
        <f ca="1">IFERROR(__xludf.DUMMYFUNCTION("""COMPUTED_VALUE"""),"1219046KZ46")</f>
        <v>1219046KZ46</v>
      </c>
      <c r="E572" s="1" t="str">
        <f ca="1">IFERROR(__xludf.DUMMYFUNCTION("""COMPUTED_VALUE"""),"годен до 02.12.2024")</f>
        <v>годен до 02.12.2024</v>
      </c>
      <c r="F572" s="1" t="str">
        <f ca="1">IFERROR(__xludf.DUMMYFUNCTION("""COMPUTED_VALUE"""),"Бандаж для беременных эластичный 4505 - S (Болгария) - 1219046KZ46")</f>
        <v>Бандаж для беременных эластичный 4505 - S (Болгария) - 1219046KZ46</v>
      </c>
      <c r="G572" s="1" t="str">
        <f ca="1">IFERROR(__xludf.DUMMYFUNCTION("""COMPUTED_VALUE"""),"KZ.7700.02.01.00615826 / Действителен до 02.12.2024 / 1219046KZ46 / годен до 02.12.2024")</f>
        <v>KZ.7700.02.01.00615826 / Действителен до 02.12.2024 / 1219046KZ46 / годен до 02.12.2024</v>
      </c>
      <c r="H572" s="1" t="str">
        <f ca="1">IFERROR(__xludf.DUMMYFUNCTION("""COMPUTED_VALUE"""),"Бандаж для беременных эластичный 4505 - S (Болгария) KZ.7700.02.01.00615826 / Действителен до 02.12.2024 / 1219046KZ46 / годен до 02.12.2024")</f>
        <v>Бандаж для беременных эластичный 4505 - S (Болгария) KZ.7700.02.01.00615826 / Действителен до 02.12.2024 / 1219046KZ46 / годен до 02.12.2024</v>
      </c>
    </row>
    <row r="573" spans="1:8" ht="12.75" x14ac:dyDescent="0.2">
      <c r="A573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573" s="1" t="str">
        <f ca="1">IFERROR(__xludf.DUMMYFUNCTION("""COMPUTED_VALUE"""),"KZ.7700.02.01.00615828")</f>
        <v>KZ.7700.02.01.00615828</v>
      </c>
      <c r="C573" s="1" t="str">
        <f ca="1">IFERROR(__xludf.DUMMYFUNCTION("""COMPUTED_VALUE"""),"Действителен до 02.12.2024")</f>
        <v>Действителен до 02.12.2024</v>
      </c>
      <c r="D573" s="8" t="str">
        <f ca="1">IFERROR(__xludf.DUMMYFUNCTION("""COMPUTED_VALUE"""),"1219046KZ46")</f>
        <v>1219046KZ46</v>
      </c>
      <c r="E573" s="1" t="str">
        <f ca="1">IFERROR(__xludf.DUMMYFUNCTION("""COMPUTED_VALUE"""),"годен до 02.12.2024")</f>
        <v>годен до 02.12.2024</v>
      </c>
      <c r="F573" s="1" t="str">
        <f ca="1">IFERROR(__xludf.DUMMYFUNCTION("""COMPUTED_VALUE"""),"Бандаж для беременных эластичный 4505 - L (Болгария) - 1219046KZ46")</f>
        <v>Бандаж для беременных эластичный 4505 - L (Болгария) - 1219046KZ46</v>
      </c>
      <c r="G573" s="1" t="str">
        <f ca="1">IFERROR(__xludf.DUMMYFUNCTION("""COMPUTED_VALUE"""),"KZ.7700.02.01.00615828 / Действителен до 02.12.2024 / 1219046KZ46 / годен до 02.12.2024")</f>
        <v>KZ.7700.02.01.00615828 / Действителен до 02.12.2024 / 1219046KZ46 / годен до 02.12.2024</v>
      </c>
      <c r="H573" s="1" t="str">
        <f ca="1">IFERROR(__xludf.DUMMYFUNCTION("""COMPUTED_VALUE"""),"Бандаж для беременных эластичный 4505 - L (Болгария) KZ.7700.02.01.00615828 / Действителен до 02.12.2024 / 1219046KZ46 / годен до 02.12.2024")</f>
        <v>Бандаж для беременных эластичный 4505 - L (Болгария) KZ.7700.02.01.00615828 / Действителен до 02.12.2024 / 1219046KZ46 / годен до 02.12.2024</v>
      </c>
    </row>
    <row r="574" spans="1:8" ht="12.75" x14ac:dyDescent="0.2">
      <c r="A574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574" s="1" t="str">
        <f ca="1">IFERROR(__xludf.DUMMYFUNCTION("""COMPUTED_VALUE"""),"KZ.7700.02.01.00615827")</f>
        <v>KZ.7700.02.01.00615827</v>
      </c>
      <c r="C574" s="1" t="str">
        <f ca="1">IFERROR(__xludf.DUMMYFUNCTION("""COMPUTED_VALUE"""),"Действителен до 02.12.2024")</f>
        <v>Действителен до 02.12.2024</v>
      </c>
      <c r="D574" s="8" t="str">
        <f ca="1">IFERROR(__xludf.DUMMYFUNCTION("""COMPUTED_VALUE"""),"1219046KZ46")</f>
        <v>1219046KZ46</v>
      </c>
      <c r="E574" s="1" t="str">
        <f ca="1">IFERROR(__xludf.DUMMYFUNCTION("""COMPUTED_VALUE"""),"годен до 02.12.2024")</f>
        <v>годен до 02.12.2024</v>
      </c>
      <c r="F574" s="1" t="str">
        <f ca="1">IFERROR(__xludf.DUMMYFUNCTION("""COMPUTED_VALUE"""),"Бандаж для беременных эластичный 4505 - М (Болгария) - 1219046KZ46")</f>
        <v>Бандаж для беременных эластичный 4505 - М (Болгария) - 1219046KZ46</v>
      </c>
      <c r="G574" s="1" t="str">
        <f ca="1">IFERROR(__xludf.DUMMYFUNCTION("""COMPUTED_VALUE"""),"KZ.7700.02.01.00615827 / Действителен до 02.12.2024 / 1219046KZ46 / годен до 02.12.2024")</f>
        <v>KZ.7700.02.01.00615827 / Действителен до 02.12.2024 / 1219046KZ46 / годен до 02.12.2024</v>
      </c>
      <c r="H574" s="1" t="str">
        <f ca="1">IFERROR(__xludf.DUMMYFUNCTION("""COMPUTED_VALUE"""),"Бандаж для беременных эластичный 4505 - М (Болгария) KZ.7700.02.01.00615827 / Действителен до 02.12.2024 / 1219046KZ46 / годен до 02.12.2024")</f>
        <v>Бандаж для беременных эластичный 4505 - М (Болгария) KZ.7700.02.01.00615827 / Действителен до 02.12.2024 / 1219046KZ46 / годен до 02.12.2024</v>
      </c>
    </row>
    <row r="575" spans="1:8" ht="12.75" x14ac:dyDescent="0.2">
      <c r="A575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575" s="1" t="str">
        <f ca="1">IFERROR(__xludf.DUMMYFUNCTION("""COMPUTED_VALUE"""),"KZ.7700.02.01.00615829")</f>
        <v>KZ.7700.02.01.00615829</v>
      </c>
      <c r="C575" s="1" t="str">
        <f ca="1">IFERROR(__xludf.DUMMYFUNCTION("""COMPUTED_VALUE"""),"Действителен до 02.12.2024")</f>
        <v>Действителен до 02.12.2024</v>
      </c>
      <c r="D575" s="8" t="str">
        <f ca="1">IFERROR(__xludf.DUMMYFUNCTION("""COMPUTED_VALUE"""),"1219046KZ46")</f>
        <v>1219046KZ46</v>
      </c>
      <c r="E575" s="1" t="str">
        <f ca="1">IFERROR(__xludf.DUMMYFUNCTION("""COMPUTED_VALUE"""),"годен до 02.12.2024")</f>
        <v>годен до 02.12.2024</v>
      </c>
      <c r="F575" s="1" t="str">
        <f ca="1">IFERROR(__xludf.DUMMYFUNCTION("""COMPUTED_VALUE"""),"Бандаж для беременных эластичный 4505 - XL (Болгария) - 1219046KZ46")</f>
        <v>Бандаж для беременных эластичный 4505 - XL (Болгария) - 1219046KZ46</v>
      </c>
      <c r="G575" s="1" t="str">
        <f ca="1">IFERROR(__xludf.DUMMYFUNCTION("""COMPUTED_VALUE"""),"KZ.7700.02.01.00615829 / Действителен до 02.12.2024 / 1219046KZ46 / годен до 02.12.2024")</f>
        <v>KZ.7700.02.01.00615829 / Действителен до 02.12.2024 / 1219046KZ46 / годен до 02.12.2024</v>
      </c>
      <c r="H575" s="1" t="str">
        <f ca="1">IFERROR(__xludf.DUMMYFUNCTION("""COMPUTED_VALUE"""),"Бандаж для беременных эластичный 4505 - XL (Болгария) KZ.7700.02.01.00615829 / Действителен до 02.12.2024 / 1219046KZ46 / годен до 02.12.2024")</f>
        <v>Бандаж для беременных эластичный 4505 - XL (Болгария) KZ.7700.02.01.00615829 / Действителен до 02.12.2024 / 1219046KZ46 / годен до 02.12.2024</v>
      </c>
    </row>
    <row r="576" spans="1:8" ht="12.75" x14ac:dyDescent="0.2">
      <c r="A576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576" s="1" t="str">
        <f ca="1">IFERROR(__xludf.DUMMYFUNCTION("""COMPUTED_VALUE"""),"KZ.7700.02.01.00615830")</f>
        <v>KZ.7700.02.01.00615830</v>
      </c>
      <c r="C576" s="1" t="str">
        <f ca="1">IFERROR(__xludf.DUMMYFUNCTION("""COMPUTED_VALUE"""),"Действителен до 02.12.2024")</f>
        <v>Действителен до 02.12.2024</v>
      </c>
      <c r="D576" s="8" t="str">
        <f ca="1">IFERROR(__xludf.DUMMYFUNCTION("""COMPUTED_VALUE"""),"1219046KZ46")</f>
        <v>1219046KZ46</v>
      </c>
      <c r="E576" s="1" t="str">
        <f ca="1">IFERROR(__xludf.DUMMYFUNCTION("""COMPUTED_VALUE"""),"годен до 02.12.2024")</f>
        <v>годен до 02.12.2024</v>
      </c>
      <c r="F576" s="1" t="str">
        <f ca="1">IFERROR(__xludf.DUMMYFUNCTION("""COMPUTED_VALUE"""),"Бандаж для беременных эластичный 4505 - XXL (Болгария) - 1219046KZ46")</f>
        <v>Бандаж для беременных эластичный 4505 - XXL (Болгария) - 1219046KZ46</v>
      </c>
      <c r="G576" s="1" t="str">
        <f ca="1">IFERROR(__xludf.DUMMYFUNCTION("""COMPUTED_VALUE"""),"KZ.7700.02.01.00615830 / Действителен до 02.12.2024 / 1219046KZ46 / годен до 02.12.2024")</f>
        <v>KZ.7700.02.01.00615830 / Действителен до 02.12.2024 / 1219046KZ46 / годен до 02.12.2024</v>
      </c>
      <c r="H576" s="1" t="str">
        <f ca="1">IFERROR(__xludf.DUMMYFUNCTION("""COMPUTED_VALUE"""),"Бандаж для беременных эластичный 4505 - XXL (Болгария) KZ.7700.02.01.00615830 / Действителен до 02.12.2024 / 1219046KZ46 / годен до 02.12.2024")</f>
        <v>Бандаж для беременных эластичный 4505 - XXL (Болгария) KZ.7700.02.01.00615830 / Действителен до 02.12.2024 / 1219046KZ46 / годен до 02.12.2024</v>
      </c>
    </row>
    <row r="577" spans="1:8" ht="12.75" x14ac:dyDescent="0.2">
      <c r="A577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577" s="1" t="str">
        <f ca="1">IFERROR(__xludf.DUMMYFUNCTION("""COMPUTED_VALUE"""),"KZ.7700.02.01.00615831")</f>
        <v>KZ.7700.02.01.00615831</v>
      </c>
      <c r="C577" s="1" t="str">
        <f ca="1">IFERROR(__xludf.DUMMYFUNCTION("""COMPUTED_VALUE"""),"Действителен до 02.12.2024")</f>
        <v>Действителен до 02.12.2024</v>
      </c>
      <c r="D577" s="8" t="str">
        <f ca="1">IFERROR(__xludf.DUMMYFUNCTION("""COMPUTED_VALUE"""),"1219046KZ46")</f>
        <v>1219046KZ46</v>
      </c>
      <c r="E577" s="1" t="str">
        <f ca="1">IFERROR(__xludf.DUMMYFUNCTION("""COMPUTED_VALUE"""),"годен до 02.12.2024")</f>
        <v>годен до 02.12.2024</v>
      </c>
      <c r="F577" s="1" t="str">
        <f ca="1">IFERROR(__xludf.DUMMYFUNCTION("""COMPUTED_VALUE"""),"Бандаж для беременных эластичный 4505 - XXXL (Болгария) - 1219046KZ46")</f>
        <v>Бандаж для беременных эластичный 4505 - XXXL (Болгария) - 1219046KZ46</v>
      </c>
      <c r="G577" s="1" t="str">
        <f ca="1">IFERROR(__xludf.DUMMYFUNCTION("""COMPUTED_VALUE"""),"KZ.7700.02.01.00615831 / Действителен до 02.12.2024 / 1219046KZ46 / годен до 02.12.2024")</f>
        <v>KZ.7700.02.01.00615831 / Действителен до 02.12.2024 / 1219046KZ46 / годен до 02.12.2024</v>
      </c>
      <c r="H577" s="1" t="str">
        <f ca="1">IFERROR(__xludf.DUMMYFUNCTION("""COMPUTED_VALUE"""),"Бандаж для беременных эластичный 4505 - XXXL (Болгария) KZ.7700.02.01.00615831 / Действителен до 02.12.2024 / 1219046KZ46 / годен до 02.12.2024")</f>
        <v>Бандаж для беременных эластичный 4505 - XXXL (Болгария) KZ.7700.02.01.00615831 / Действителен до 02.12.2024 / 1219046KZ46 / годен до 02.12.2024</v>
      </c>
    </row>
    <row r="578" spans="1:8" ht="12.75" x14ac:dyDescent="0.2">
      <c r="A578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578" s="1" t="str">
        <f ca="1">IFERROR(__xludf.DUMMYFUNCTION("""COMPUTED_VALUE"""),"KZ.7700.02.01.00693383")</f>
        <v>KZ.7700.02.01.00693383</v>
      </c>
      <c r="C578" s="1" t="str">
        <f ca="1">IFERROR(__xludf.DUMMYFUNCTION("""COMPUTED_VALUE"""),"Действителен до 07.10.2025")</f>
        <v>Действителен до 07.10.2025</v>
      </c>
      <c r="D578" s="8" t="str">
        <f ca="1">IFERROR(__xludf.DUMMYFUNCTION("""COMPUTED_VALUE"""),"1020089KZ89")</f>
        <v>1020089KZ89</v>
      </c>
      <c r="E578" s="1" t="str">
        <f ca="1">IFERROR(__xludf.DUMMYFUNCTION("""COMPUTED_VALUE"""),"годен до 07.10.2025")</f>
        <v>годен до 07.10.2025</v>
      </c>
      <c r="F578" s="1" t="str">
        <f ca="1">IFERROR(__xludf.DUMMYFUNCTION("""COMPUTED_VALUE"""),"Бандаж для беременных эластичный 4505 - L (Болгария) - 1020089KZ89")</f>
        <v>Бандаж для беременных эластичный 4505 - L (Болгария) - 1020089KZ89</v>
      </c>
      <c r="G578" s="1" t="str">
        <f ca="1">IFERROR(__xludf.DUMMYFUNCTION("""COMPUTED_VALUE"""),"KZ.7700.02.01.00693383 / Действителен до 07.10.2025 / 1020089KZ89 / годен до 07.10.2025")</f>
        <v>KZ.7700.02.01.00693383 / Действителен до 07.10.2025 / 1020089KZ89 / годен до 07.10.2025</v>
      </c>
      <c r="H578" s="1" t="str">
        <f ca="1">IFERROR(__xludf.DUMMYFUNCTION("""COMPUTED_VALUE"""),"Бандаж для беременных эластичный 4505 - L (Болгария) KZ.7700.02.01.00693383 / Действителен до 07.10.2025 / 1020089KZ89 / годен до 07.10.2025")</f>
        <v>Бандаж для беременных эластичный 4505 - L (Болгария) KZ.7700.02.01.00693383 / Действителен до 07.10.2025 / 1020089KZ89 / годен до 07.10.2025</v>
      </c>
    </row>
    <row r="579" spans="1:8" ht="12.75" x14ac:dyDescent="0.2">
      <c r="A579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579" s="1" t="str">
        <f ca="1">IFERROR(__xludf.DUMMYFUNCTION("""COMPUTED_VALUE"""),"KZ.7700.02.01.00693382")</f>
        <v>KZ.7700.02.01.00693382</v>
      </c>
      <c r="C579" s="1" t="str">
        <f ca="1">IFERROR(__xludf.DUMMYFUNCTION("""COMPUTED_VALUE"""),"Действителен до 07.10.2025")</f>
        <v>Действителен до 07.10.2025</v>
      </c>
      <c r="D579" s="8" t="str">
        <f ca="1">IFERROR(__xludf.DUMMYFUNCTION("""COMPUTED_VALUE"""),"1020089KZ89")</f>
        <v>1020089KZ89</v>
      </c>
      <c r="E579" s="1" t="str">
        <f ca="1">IFERROR(__xludf.DUMMYFUNCTION("""COMPUTED_VALUE"""),"годен до 07.10.2025")</f>
        <v>годен до 07.10.2025</v>
      </c>
      <c r="F579" s="1" t="str">
        <f ca="1">IFERROR(__xludf.DUMMYFUNCTION("""COMPUTED_VALUE"""),"Бандаж для беременных эластичный 4505 - М (Болгария) - 1020089KZ89")</f>
        <v>Бандаж для беременных эластичный 4505 - М (Болгария) - 1020089KZ89</v>
      </c>
      <c r="G579" s="1" t="str">
        <f ca="1">IFERROR(__xludf.DUMMYFUNCTION("""COMPUTED_VALUE"""),"KZ.7700.02.01.00693382 / Действителен до 07.10.2025 / 1020089KZ89 / годен до 07.10.2025")</f>
        <v>KZ.7700.02.01.00693382 / Действителен до 07.10.2025 / 1020089KZ89 / годен до 07.10.2025</v>
      </c>
      <c r="H579" s="1" t="str">
        <f ca="1">IFERROR(__xludf.DUMMYFUNCTION("""COMPUTED_VALUE"""),"Бандаж для беременных эластичный 4505 - М (Болгария) KZ.7700.02.01.00693382 / Действителен до 07.10.2025 / 1020089KZ89 / годен до 07.10.2025")</f>
        <v>Бандаж для беременных эластичный 4505 - М (Болгария) KZ.7700.02.01.00693382 / Действителен до 07.10.2025 / 1020089KZ89 / годен до 07.10.2025</v>
      </c>
    </row>
    <row r="580" spans="1:8" ht="12.75" x14ac:dyDescent="0.2">
      <c r="A580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580" s="1" t="str">
        <f ca="1">IFERROR(__xludf.DUMMYFUNCTION("""COMPUTED_VALUE"""),"KZ.7700.02.01.00693347")</f>
        <v>KZ.7700.02.01.00693347</v>
      </c>
      <c r="C580" s="1" t="str">
        <f ca="1">IFERROR(__xludf.DUMMYFUNCTION("""COMPUTED_VALUE"""),"Действителен до 07.10.2025")</f>
        <v>Действителен до 07.10.2025</v>
      </c>
      <c r="D580" s="8" t="str">
        <f ca="1">IFERROR(__xludf.DUMMYFUNCTION("""COMPUTED_VALUE"""),"1020089KZ89")</f>
        <v>1020089KZ89</v>
      </c>
      <c r="E580" s="1" t="str">
        <f ca="1">IFERROR(__xludf.DUMMYFUNCTION("""COMPUTED_VALUE"""),"годен до 07.10.2025")</f>
        <v>годен до 07.10.2025</v>
      </c>
      <c r="F580" s="1" t="str">
        <f ca="1">IFERROR(__xludf.DUMMYFUNCTION("""COMPUTED_VALUE"""),"Бандаж для беременных эластичный 4505 - S (Болгария) - 1020089KZ89")</f>
        <v>Бандаж для беременных эластичный 4505 - S (Болгария) - 1020089KZ89</v>
      </c>
      <c r="G580" s="1" t="str">
        <f ca="1">IFERROR(__xludf.DUMMYFUNCTION("""COMPUTED_VALUE"""),"KZ.7700.02.01.00693347 / Действителен до 07.10.2025 / 1020089KZ89 / годен до 07.10.2025")</f>
        <v>KZ.7700.02.01.00693347 / Действителен до 07.10.2025 / 1020089KZ89 / годен до 07.10.2025</v>
      </c>
      <c r="H580" s="1" t="str">
        <f ca="1">IFERROR(__xludf.DUMMYFUNCTION("""COMPUTED_VALUE"""),"Бандаж для беременных эластичный 4505 - S (Болгария) KZ.7700.02.01.00693347 / Действителен до 07.10.2025 / 1020089KZ89 / годен до 07.10.2025")</f>
        <v>Бандаж для беременных эластичный 4505 - S (Болгария) KZ.7700.02.01.00693347 / Действителен до 07.10.2025 / 1020089KZ89 / годен до 07.10.2025</v>
      </c>
    </row>
    <row r="581" spans="1:8" ht="12.75" x14ac:dyDescent="0.2">
      <c r="A581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581" s="1" t="str">
        <f ca="1">IFERROR(__xludf.DUMMYFUNCTION("""COMPUTED_VALUE"""),"KZ.7700.02.01.00693361")</f>
        <v>KZ.7700.02.01.00693361</v>
      </c>
      <c r="C581" s="1" t="str">
        <f ca="1">IFERROR(__xludf.DUMMYFUNCTION("""COMPUTED_VALUE"""),"Действителен до 07.10.2025")</f>
        <v>Действителен до 07.10.2025</v>
      </c>
      <c r="D581" s="8" t="str">
        <f ca="1">IFERROR(__xludf.DUMMYFUNCTION("""COMPUTED_VALUE"""),"1020089KZ89")</f>
        <v>1020089KZ89</v>
      </c>
      <c r="E581" s="1" t="str">
        <f ca="1">IFERROR(__xludf.DUMMYFUNCTION("""COMPUTED_VALUE"""),"годен до 07.10.2025")</f>
        <v>годен до 07.10.2025</v>
      </c>
      <c r="F581" s="1" t="str">
        <f ca="1">IFERROR(__xludf.DUMMYFUNCTION("""COMPUTED_VALUE"""),"Бандаж для беременных эластичный 4505 - XL (Болгария) - 1020089KZ89")</f>
        <v>Бандаж для беременных эластичный 4505 - XL (Болгария) - 1020089KZ89</v>
      </c>
      <c r="G581" s="1" t="str">
        <f ca="1">IFERROR(__xludf.DUMMYFUNCTION("""COMPUTED_VALUE"""),"KZ.7700.02.01.00693361 / Действителен до 07.10.2025 / 1020089KZ89 / годен до 07.10.2025")</f>
        <v>KZ.7700.02.01.00693361 / Действителен до 07.10.2025 / 1020089KZ89 / годен до 07.10.2025</v>
      </c>
      <c r="H581" s="1" t="str">
        <f ca="1">IFERROR(__xludf.DUMMYFUNCTION("""COMPUTED_VALUE"""),"Бандаж для беременных эластичный 4505 - XL (Болгария) KZ.7700.02.01.00693361 / Действителен до 07.10.2025 / 1020089KZ89 / годен до 07.10.2025")</f>
        <v>Бандаж для беременных эластичный 4505 - XL (Болгария) KZ.7700.02.01.00693361 / Действителен до 07.10.2025 / 1020089KZ89 / годен до 07.10.2025</v>
      </c>
    </row>
    <row r="582" spans="1:8" ht="12.75" x14ac:dyDescent="0.2">
      <c r="A582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582" s="1" t="str">
        <f ca="1">IFERROR(__xludf.DUMMYFUNCTION("""COMPUTED_VALUE"""),"KZ.7700.02.01.00693386")</f>
        <v>KZ.7700.02.01.00693386</v>
      </c>
      <c r="C582" s="1" t="str">
        <f ca="1">IFERROR(__xludf.DUMMYFUNCTION("""COMPUTED_VALUE"""),"Действителен до 07.10.2025")</f>
        <v>Действителен до 07.10.2025</v>
      </c>
      <c r="D582" s="8" t="str">
        <f ca="1">IFERROR(__xludf.DUMMYFUNCTION("""COMPUTED_VALUE"""),"1020089KZ89")</f>
        <v>1020089KZ89</v>
      </c>
      <c r="E582" s="1" t="str">
        <f ca="1">IFERROR(__xludf.DUMMYFUNCTION("""COMPUTED_VALUE"""),"годен до 07.10.2025")</f>
        <v>годен до 07.10.2025</v>
      </c>
      <c r="F582" s="1" t="str">
        <f ca="1">IFERROR(__xludf.DUMMYFUNCTION("""COMPUTED_VALUE"""),"Бандаж для беременных эластичный 4505 - XXL (Болгария) - 1020089KZ89")</f>
        <v>Бандаж для беременных эластичный 4505 - XXL (Болгария) - 1020089KZ89</v>
      </c>
      <c r="G582" s="1" t="str">
        <f ca="1">IFERROR(__xludf.DUMMYFUNCTION("""COMPUTED_VALUE"""),"KZ.7700.02.01.00693386 / Действителен до 07.10.2025 / 1020089KZ89 / годен до 07.10.2025")</f>
        <v>KZ.7700.02.01.00693386 / Действителен до 07.10.2025 / 1020089KZ89 / годен до 07.10.2025</v>
      </c>
      <c r="H582" s="1" t="str">
        <f ca="1">IFERROR(__xludf.DUMMYFUNCTION("""COMPUTED_VALUE"""),"Бандаж для беременных эластичный 4505 - XXL (Болгария) KZ.7700.02.01.00693386 / Действителен до 07.10.2025 / 1020089KZ89 / годен до 07.10.2025")</f>
        <v>Бандаж для беременных эластичный 4505 - XXL (Болгария) KZ.7700.02.01.00693386 / Действителен до 07.10.2025 / 1020089KZ89 / годен до 07.10.2025</v>
      </c>
    </row>
    <row r="583" spans="1:8" ht="12.75" x14ac:dyDescent="0.2">
      <c r="A583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583" s="1" t="str">
        <f ca="1">IFERROR(__xludf.DUMMYFUNCTION("""COMPUTED_VALUE"""),"KZ.7700.02.01.00693372")</f>
        <v>KZ.7700.02.01.00693372</v>
      </c>
      <c r="C583" s="1" t="str">
        <f ca="1">IFERROR(__xludf.DUMMYFUNCTION("""COMPUTED_VALUE"""),"Действителен до 07.10.2025")</f>
        <v>Действителен до 07.10.2025</v>
      </c>
      <c r="D583" s="8" t="str">
        <f ca="1">IFERROR(__xludf.DUMMYFUNCTION("""COMPUTED_VALUE"""),"1020089KZ89")</f>
        <v>1020089KZ89</v>
      </c>
      <c r="E583" s="1" t="str">
        <f ca="1">IFERROR(__xludf.DUMMYFUNCTION("""COMPUTED_VALUE"""),"годен до 07.10.2025")</f>
        <v>годен до 07.10.2025</v>
      </c>
      <c r="F583" s="1" t="str">
        <f ca="1">IFERROR(__xludf.DUMMYFUNCTION("""COMPUTED_VALUE"""),"Бандаж для беременных эластичный 4505 - XXXL (Болгария) - 1020089KZ89")</f>
        <v>Бандаж для беременных эластичный 4505 - XXXL (Болгария) - 1020089KZ89</v>
      </c>
      <c r="G583" s="1" t="str">
        <f ca="1">IFERROR(__xludf.DUMMYFUNCTION("""COMPUTED_VALUE"""),"KZ.7700.02.01.00693372 / Действителен до 07.10.2025 / 1020089KZ89 / годен до 07.10.2025")</f>
        <v>KZ.7700.02.01.00693372 / Действителен до 07.10.2025 / 1020089KZ89 / годен до 07.10.2025</v>
      </c>
      <c r="H583" s="1" t="str">
        <f ca="1">IFERROR(__xludf.DUMMYFUNCTION("""COMPUTED_VALUE"""),"Бандаж для беременных эластичный 4505 - XXXL (Болгария) KZ.7700.02.01.00693372 / Действителен до 07.10.2025 / 1020089KZ89 / годен до 07.10.2025")</f>
        <v>Бандаж для беременных эластичный 4505 - XXXL (Болгария) KZ.7700.02.01.00693372 / Действителен до 07.10.2025 / 1020089KZ89 / годен до 07.10.2025</v>
      </c>
    </row>
    <row r="584" spans="1:8" ht="12.75" x14ac:dyDescent="0.2">
      <c r="A584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584" s="1" t="str">
        <f ca="1">IFERROR(__xludf.DUMMYFUNCTION("""COMPUTED_VALUE"""),"KZ.7700.02.01.00679621")</f>
        <v>KZ.7700.02.01.00679621</v>
      </c>
      <c r="C584" s="1" t="str">
        <f ca="1">IFERROR(__xludf.DUMMYFUNCTION("""COMPUTED_VALUE"""),"Действителен до 27.07.2025")</f>
        <v>Действителен до 27.07.2025</v>
      </c>
      <c r="D584" s="8" t="str">
        <f ca="1">IFERROR(__xludf.DUMMYFUNCTION("""COMPUTED_VALUE"""),"0720056KZ56")</f>
        <v>0720056KZ56</v>
      </c>
      <c r="E584" s="1" t="str">
        <f ca="1">IFERROR(__xludf.DUMMYFUNCTION("""COMPUTED_VALUE"""),"годен до 27.07.2025")</f>
        <v>годен до 27.07.2025</v>
      </c>
      <c r="F584" s="1" t="str">
        <f ca="1">IFERROR(__xludf.DUMMYFUNCTION("""COMPUTED_VALUE"""),"Бандаж для беременных эластичный 4505 - L (Болгария) - 0720056KZ56")</f>
        <v>Бандаж для беременных эластичный 4505 - L (Болгария) - 0720056KZ56</v>
      </c>
      <c r="G584" s="1" t="str">
        <f ca="1">IFERROR(__xludf.DUMMYFUNCTION("""COMPUTED_VALUE"""),"KZ.7700.02.01.00679621 / Действителен до 27.07.2025 / 0720056KZ56 / годен до 27.07.2025")</f>
        <v>KZ.7700.02.01.00679621 / Действителен до 27.07.2025 / 0720056KZ56 / годен до 27.07.2025</v>
      </c>
      <c r="H584" s="1" t="str">
        <f ca="1">IFERROR(__xludf.DUMMYFUNCTION("""COMPUTED_VALUE"""),"Бандаж для беременных эластичный 4505 - L (Болгария) KZ.7700.02.01.00679621 / Действителен до 27.07.2025 / 0720056KZ56 / годен до 27.07.2025")</f>
        <v>Бандаж для беременных эластичный 4505 - L (Болгария) KZ.7700.02.01.00679621 / Действителен до 27.07.2025 / 0720056KZ56 / годен до 27.07.2025</v>
      </c>
    </row>
    <row r="585" spans="1:8" ht="12.75" x14ac:dyDescent="0.2">
      <c r="A585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585" s="1" t="str">
        <f ca="1">IFERROR(__xludf.DUMMYFUNCTION("""COMPUTED_VALUE"""),"KZ.7700.02.01.00679620")</f>
        <v>KZ.7700.02.01.00679620</v>
      </c>
      <c r="C585" s="1" t="str">
        <f ca="1">IFERROR(__xludf.DUMMYFUNCTION("""COMPUTED_VALUE"""),"Действителен до 27.07.2025")</f>
        <v>Действителен до 27.07.2025</v>
      </c>
      <c r="D585" s="8" t="str">
        <f ca="1">IFERROR(__xludf.DUMMYFUNCTION("""COMPUTED_VALUE"""),"0720056KZ56")</f>
        <v>0720056KZ56</v>
      </c>
      <c r="E585" s="1" t="str">
        <f ca="1">IFERROR(__xludf.DUMMYFUNCTION("""COMPUTED_VALUE"""),"годен до 27.07.2025")</f>
        <v>годен до 27.07.2025</v>
      </c>
      <c r="F585" s="1" t="str">
        <f ca="1">IFERROR(__xludf.DUMMYFUNCTION("""COMPUTED_VALUE"""),"Бандаж для беременных эластичный 4505 - М (Болгария) - 0720056KZ56")</f>
        <v>Бандаж для беременных эластичный 4505 - М (Болгария) - 0720056KZ56</v>
      </c>
      <c r="G585" s="1" t="str">
        <f ca="1">IFERROR(__xludf.DUMMYFUNCTION("""COMPUTED_VALUE"""),"KZ.7700.02.01.00679620 / Действителен до 27.07.2025 / 0720056KZ56 / годен до 27.07.2025")</f>
        <v>KZ.7700.02.01.00679620 / Действителен до 27.07.2025 / 0720056KZ56 / годен до 27.07.2025</v>
      </c>
      <c r="H585" s="1" t="str">
        <f ca="1">IFERROR(__xludf.DUMMYFUNCTION("""COMPUTED_VALUE"""),"Бандаж для беременных эластичный 4505 - М (Болгария) KZ.7700.02.01.00679620 / Действителен до 27.07.2025 / 0720056KZ56 / годен до 27.07.2025")</f>
        <v>Бандаж для беременных эластичный 4505 - М (Болгария) KZ.7700.02.01.00679620 / Действителен до 27.07.2025 / 0720056KZ56 / годен до 27.07.2025</v>
      </c>
    </row>
    <row r="586" spans="1:8" ht="12.75" x14ac:dyDescent="0.2">
      <c r="A586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586" s="1" t="str">
        <f ca="1">IFERROR(__xludf.DUMMYFUNCTION("""COMPUTED_VALUE"""),"KZ.7700.02.01.00679619")</f>
        <v>KZ.7700.02.01.00679619</v>
      </c>
      <c r="C586" s="1" t="str">
        <f ca="1">IFERROR(__xludf.DUMMYFUNCTION("""COMPUTED_VALUE"""),"Действителен до 27.07.2025")</f>
        <v>Действителен до 27.07.2025</v>
      </c>
      <c r="D586" s="8" t="str">
        <f ca="1">IFERROR(__xludf.DUMMYFUNCTION("""COMPUTED_VALUE"""),"0720056KZ56")</f>
        <v>0720056KZ56</v>
      </c>
      <c r="E586" s="1" t="str">
        <f ca="1">IFERROR(__xludf.DUMMYFUNCTION("""COMPUTED_VALUE"""),"годен до 27.07.2025")</f>
        <v>годен до 27.07.2025</v>
      </c>
      <c r="F586" s="1" t="str">
        <f ca="1">IFERROR(__xludf.DUMMYFUNCTION("""COMPUTED_VALUE"""),"Бандаж для беременных эластичный 4505 - S (Болгария) - 0720056KZ56")</f>
        <v>Бандаж для беременных эластичный 4505 - S (Болгария) - 0720056KZ56</v>
      </c>
      <c r="G586" s="1" t="str">
        <f ca="1">IFERROR(__xludf.DUMMYFUNCTION("""COMPUTED_VALUE"""),"KZ.7700.02.01.00679619 / Действителен до 27.07.2025 / 0720056KZ56 / годен до 27.07.2025")</f>
        <v>KZ.7700.02.01.00679619 / Действителен до 27.07.2025 / 0720056KZ56 / годен до 27.07.2025</v>
      </c>
      <c r="H586" s="1" t="str">
        <f ca="1">IFERROR(__xludf.DUMMYFUNCTION("""COMPUTED_VALUE"""),"Бандаж для беременных эластичный 4505 - S (Болгария) KZ.7700.02.01.00679619 / Действителен до 27.07.2025 / 0720056KZ56 / годен до 27.07.2025")</f>
        <v>Бандаж для беременных эластичный 4505 - S (Болгария) KZ.7700.02.01.00679619 / Действителен до 27.07.2025 / 0720056KZ56 / годен до 27.07.2025</v>
      </c>
    </row>
    <row r="587" spans="1:8" ht="12.75" x14ac:dyDescent="0.2">
      <c r="A587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587" s="1" t="str">
        <f ca="1">IFERROR(__xludf.DUMMYFUNCTION("""COMPUTED_VALUE"""),"KZ.7700.02.01.00679622")</f>
        <v>KZ.7700.02.01.00679622</v>
      </c>
      <c r="C587" s="1" t="str">
        <f ca="1">IFERROR(__xludf.DUMMYFUNCTION("""COMPUTED_VALUE"""),"Действителен до 27.07.2025")</f>
        <v>Действителен до 27.07.2025</v>
      </c>
      <c r="D587" s="8" t="str">
        <f ca="1">IFERROR(__xludf.DUMMYFUNCTION("""COMPUTED_VALUE"""),"0720056KZ56")</f>
        <v>0720056KZ56</v>
      </c>
      <c r="E587" s="1" t="str">
        <f ca="1">IFERROR(__xludf.DUMMYFUNCTION("""COMPUTED_VALUE"""),"годен до 27.07.2025")</f>
        <v>годен до 27.07.2025</v>
      </c>
      <c r="F587" s="1" t="str">
        <f ca="1">IFERROR(__xludf.DUMMYFUNCTION("""COMPUTED_VALUE"""),"Бандаж для беременных эластичный 4505 - XL (Болгария) - 0720056KZ56")</f>
        <v>Бандаж для беременных эластичный 4505 - XL (Болгария) - 0720056KZ56</v>
      </c>
      <c r="G587" s="1" t="str">
        <f ca="1">IFERROR(__xludf.DUMMYFUNCTION("""COMPUTED_VALUE"""),"KZ.7700.02.01.00679622 / Действителен до 27.07.2025 / 0720056KZ56 / годен до 27.07.2025")</f>
        <v>KZ.7700.02.01.00679622 / Действителен до 27.07.2025 / 0720056KZ56 / годен до 27.07.2025</v>
      </c>
      <c r="H587" s="1" t="str">
        <f ca="1">IFERROR(__xludf.DUMMYFUNCTION("""COMPUTED_VALUE"""),"Бандаж для беременных эластичный 4505 - XL (Болгария) KZ.7700.02.01.00679622 / Действителен до 27.07.2025 / 0720056KZ56 / годен до 27.07.2025")</f>
        <v>Бандаж для беременных эластичный 4505 - XL (Болгария) KZ.7700.02.01.00679622 / Действителен до 27.07.2025 / 0720056KZ56 / годен до 27.07.2025</v>
      </c>
    </row>
    <row r="588" spans="1:8" ht="12.75" x14ac:dyDescent="0.2">
      <c r="A588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588" s="1" t="str">
        <f ca="1">IFERROR(__xludf.DUMMYFUNCTION("""COMPUTED_VALUE"""),"KZ.7700.02.01.00679623")</f>
        <v>KZ.7700.02.01.00679623</v>
      </c>
      <c r="C588" s="1" t="str">
        <f ca="1">IFERROR(__xludf.DUMMYFUNCTION("""COMPUTED_VALUE"""),"Действителен до 27.07.2025")</f>
        <v>Действителен до 27.07.2025</v>
      </c>
      <c r="D588" s="8" t="str">
        <f ca="1">IFERROR(__xludf.DUMMYFUNCTION("""COMPUTED_VALUE"""),"0720056KZ56")</f>
        <v>0720056KZ56</v>
      </c>
      <c r="E588" s="1" t="str">
        <f ca="1">IFERROR(__xludf.DUMMYFUNCTION("""COMPUTED_VALUE"""),"годен до 27.07.2025")</f>
        <v>годен до 27.07.2025</v>
      </c>
      <c r="F588" s="1" t="str">
        <f ca="1">IFERROR(__xludf.DUMMYFUNCTION("""COMPUTED_VALUE"""),"Бандаж для беременных эластичный 4505 - XXL (Болгария) - 0720056KZ56")</f>
        <v>Бандаж для беременных эластичный 4505 - XXL (Болгария) - 0720056KZ56</v>
      </c>
      <c r="G588" s="1" t="str">
        <f ca="1">IFERROR(__xludf.DUMMYFUNCTION("""COMPUTED_VALUE"""),"KZ.7700.02.01.00679623 / Действителен до 27.07.2025 / 0720056KZ56 / годен до 27.07.2025")</f>
        <v>KZ.7700.02.01.00679623 / Действителен до 27.07.2025 / 0720056KZ56 / годен до 27.07.2025</v>
      </c>
      <c r="H588" s="1" t="str">
        <f ca="1">IFERROR(__xludf.DUMMYFUNCTION("""COMPUTED_VALUE"""),"Бандаж для беременных эластичный 4505 - XXL (Болгария) KZ.7700.02.01.00679623 / Действителен до 27.07.2025 / 0720056KZ56 / годен до 27.07.2025")</f>
        <v>Бандаж для беременных эластичный 4505 - XXL (Болгария) KZ.7700.02.01.00679623 / Действителен до 27.07.2025 / 0720056KZ56 / годен до 27.07.2025</v>
      </c>
    </row>
    <row r="589" spans="1:8" ht="12.75" x14ac:dyDescent="0.2">
      <c r="A589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589" s="1" t="str">
        <f ca="1">IFERROR(__xludf.DUMMYFUNCTION("""COMPUTED_VALUE"""),"KZ.7700.02.01.00679624")</f>
        <v>KZ.7700.02.01.00679624</v>
      </c>
      <c r="C589" s="1" t="str">
        <f ca="1">IFERROR(__xludf.DUMMYFUNCTION("""COMPUTED_VALUE"""),"Действителен до 27.07.2025")</f>
        <v>Действителен до 27.07.2025</v>
      </c>
      <c r="D589" s="8" t="str">
        <f ca="1">IFERROR(__xludf.DUMMYFUNCTION("""COMPUTED_VALUE"""),"0720056KZ56")</f>
        <v>0720056KZ56</v>
      </c>
      <c r="E589" s="1" t="str">
        <f ca="1">IFERROR(__xludf.DUMMYFUNCTION("""COMPUTED_VALUE"""),"годен до 27.07.2025")</f>
        <v>годен до 27.07.2025</v>
      </c>
      <c r="F589" s="1" t="str">
        <f ca="1">IFERROR(__xludf.DUMMYFUNCTION("""COMPUTED_VALUE"""),"Бандаж для беременных эластичный 4505 - XXXL (Болгария) - 0720056KZ56")</f>
        <v>Бандаж для беременных эластичный 4505 - XXXL (Болгария) - 0720056KZ56</v>
      </c>
      <c r="G589" s="1" t="str">
        <f ca="1">IFERROR(__xludf.DUMMYFUNCTION("""COMPUTED_VALUE"""),"KZ.7700.02.01.00679624 / Действителен до 27.07.2025 / 0720056KZ56 / годен до 27.07.2025")</f>
        <v>KZ.7700.02.01.00679624 / Действителен до 27.07.2025 / 0720056KZ56 / годен до 27.07.2025</v>
      </c>
      <c r="H589" s="1" t="str">
        <f ca="1">IFERROR(__xludf.DUMMYFUNCTION("""COMPUTED_VALUE"""),"Бандаж для беременных эластичный 4505 - XXXL (Болгария) KZ.7700.02.01.00679624 / Действителен до 27.07.2025 / 0720056KZ56 / годен до 27.07.2025")</f>
        <v>Бандаж для беременных эластичный 4505 - XXXL (Болгария) KZ.7700.02.01.00679624 / Действителен до 27.07.2025 / 0720056KZ56 / годен до 27.07.2025</v>
      </c>
    </row>
    <row r="590" spans="1:8" ht="12.75" x14ac:dyDescent="0.2">
      <c r="A590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590" s="1" t="str">
        <f ca="1">IFERROR(__xludf.DUMMYFUNCTION("""COMPUTED_VALUE"""),"KZ.7700.02.01.00662486")</f>
        <v>KZ.7700.02.01.00662486</v>
      </c>
      <c r="C590" s="1" t="str">
        <f ca="1">IFERROR(__xludf.DUMMYFUNCTION("""COMPUTED_VALUE"""),"Действителен до 15.05.2025")</f>
        <v>Действителен до 15.05.2025</v>
      </c>
      <c r="D590" s="8" t="str">
        <f ca="1">IFERROR(__xludf.DUMMYFUNCTION("""COMPUTED_VALUE"""),"0520008KZ08")</f>
        <v>0520008KZ08</v>
      </c>
      <c r="E590" s="1" t="str">
        <f ca="1">IFERROR(__xludf.DUMMYFUNCTION("""COMPUTED_VALUE"""),"годен до 15.05.2025")</f>
        <v>годен до 15.05.2025</v>
      </c>
      <c r="F590" s="1" t="str">
        <f ca="1">IFERROR(__xludf.DUMMYFUNCTION("""COMPUTED_VALUE"""),"Бандаж для беременных эластичный 4505 - L (Болгария) - 0520008KZ08")</f>
        <v>Бандаж для беременных эластичный 4505 - L (Болгария) - 0520008KZ08</v>
      </c>
      <c r="G590" s="1" t="str">
        <f ca="1">IFERROR(__xludf.DUMMYFUNCTION("""COMPUTED_VALUE"""),"KZ.7700.02.01.00662486 / Действителен до 15.05.2025 / 0520008KZ08 / годен до 15.05.2025")</f>
        <v>KZ.7700.02.01.00662486 / Действителен до 15.05.2025 / 0520008KZ08 / годен до 15.05.2025</v>
      </c>
      <c r="H590" s="1" t="str">
        <f ca="1">IFERROR(__xludf.DUMMYFUNCTION("""COMPUTED_VALUE"""),"Бандаж для беременных эластичный 4505 - L (Болгария) KZ.7700.02.01.00662486 / Действителен до 15.05.2025 / 0520008KZ08 / годен до 15.05.2025")</f>
        <v>Бандаж для беременных эластичный 4505 - L (Болгария) KZ.7700.02.01.00662486 / Действителен до 15.05.2025 / 0520008KZ08 / годен до 15.05.2025</v>
      </c>
    </row>
    <row r="591" spans="1:8" ht="12.75" x14ac:dyDescent="0.2">
      <c r="A591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591" s="1" t="str">
        <f ca="1">IFERROR(__xludf.DUMMYFUNCTION("""COMPUTED_VALUE"""),"KZ.7700.02.01.00662485")</f>
        <v>KZ.7700.02.01.00662485</v>
      </c>
      <c r="C591" s="1" t="str">
        <f ca="1">IFERROR(__xludf.DUMMYFUNCTION("""COMPUTED_VALUE"""),"Действителен до 15.05.2025")</f>
        <v>Действителен до 15.05.2025</v>
      </c>
      <c r="D591" s="8" t="str">
        <f ca="1">IFERROR(__xludf.DUMMYFUNCTION("""COMPUTED_VALUE"""),"0520008KZ08")</f>
        <v>0520008KZ08</v>
      </c>
      <c r="E591" s="1" t="str">
        <f ca="1">IFERROR(__xludf.DUMMYFUNCTION("""COMPUTED_VALUE"""),"годен до 15.05.2025")</f>
        <v>годен до 15.05.2025</v>
      </c>
      <c r="F591" s="1" t="str">
        <f ca="1">IFERROR(__xludf.DUMMYFUNCTION("""COMPUTED_VALUE"""),"Бандаж для беременных эластичный 4505 - М (Болгария) - 0520008KZ08")</f>
        <v>Бандаж для беременных эластичный 4505 - М (Болгария) - 0520008KZ08</v>
      </c>
      <c r="G591" s="1" t="str">
        <f ca="1">IFERROR(__xludf.DUMMYFUNCTION("""COMPUTED_VALUE"""),"KZ.7700.02.01.00662485 / Действителен до 15.05.2025 / 0520008KZ08 / годен до 15.05.2025")</f>
        <v>KZ.7700.02.01.00662485 / Действителен до 15.05.2025 / 0520008KZ08 / годен до 15.05.2025</v>
      </c>
      <c r="H591" s="1" t="str">
        <f ca="1">IFERROR(__xludf.DUMMYFUNCTION("""COMPUTED_VALUE"""),"Бандаж для беременных эластичный 4505 - М (Болгария) KZ.7700.02.01.00662485 / Действителен до 15.05.2025 / 0520008KZ08 / годен до 15.05.2025")</f>
        <v>Бандаж для беременных эластичный 4505 - М (Болгария) KZ.7700.02.01.00662485 / Действителен до 15.05.2025 / 0520008KZ08 / годен до 15.05.2025</v>
      </c>
    </row>
    <row r="592" spans="1:8" ht="12.75" x14ac:dyDescent="0.2">
      <c r="A592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592" s="1" t="str">
        <f ca="1">IFERROR(__xludf.DUMMYFUNCTION("""COMPUTED_VALUE"""),"KZ.7700.02.01.00662484")</f>
        <v>KZ.7700.02.01.00662484</v>
      </c>
      <c r="C592" s="1" t="str">
        <f ca="1">IFERROR(__xludf.DUMMYFUNCTION("""COMPUTED_VALUE"""),"Действителен до 15.05.2025")</f>
        <v>Действителен до 15.05.2025</v>
      </c>
      <c r="D592" s="8" t="str">
        <f ca="1">IFERROR(__xludf.DUMMYFUNCTION("""COMPUTED_VALUE"""),"0520008KZ08")</f>
        <v>0520008KZ08</v>
      </c>
      <c r="E592" s="1" t="str">
        <f ca="1">IFERROR(__xludf.DUMMYFUNCTION("""COMPUTED_VALUE"""),"годен до 15.05.2025")</f>
        <v>годен до 15.05.2025</v>
      </c>
      <c r="F592" s="1" t="str">
        <f ca="1">IFERROR(__xludf.DUMMYFUNCTION("""COMPUTED_VALUE"""),"Бандаж для беременных эластичный 4505 - S (Болгария) - 0520008KZ08")</f>
        <v>Бандаж для беременных эластичный 4505 - S (Болгария) - 0520008KZ08</v>
      </c>
      <c r="G592" s="1" t="str">
        <f ca="1">IFERROR(__xludf.DUMMYFUNCTION("""COMPUTED_VALUE"""),"KZ.7700.02.01.00662484 / Действителен до 15.05.2025 / 0520008KZ08 / годен до 15.05.2025")</f>
        <v>KZ.7700.02.01.00662484 / Действителен до 15.05.2025 / 0520008KZ08 / годен до 15.05.2025</v>
      </c>
      <c r="H592" s="1" t="str">
        <f ca="1">IFERROR(__xludf.DUMMYFUNCTION("""COMPUTED_VALUE"""),"Бандаж для беременных эластичный 4505 - S (Болгария) KZ.7700.02.01.00662484 / Действителен до 15.05.2025 / 0520008KZ08 / годен до 15.05.2025")</f>
        <v>Бандаж для беременных эластичный 4505 - S (Болгария) KZ.7700.02.01.00662484 / Действителен до 15.05.2025 / 0520008KZ08 / годен до 15.05.2025</v>
      </c>
    </row>
    <row r="593" spans="1:8" ht="12.75" x14ac:dyDescent="0.2">
      <c r="A593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593" s="1" t="str">
        <f ca="1">IFERROR(__xludf.DUMMYFUNCTION("""COMPUTED_VALUE"""),"KZ.7700.02.01.00662487")</f>
        <v>KZ.7700.02.01.00662487</v>
      </c>
      <c r="C593" s="1" t="str">
        <f ca="1">IFERROR(__xludf.DUMMYFUNCTION("""COMPUTED_VALUE"""),"Действителен до 15.05.2025")</f>
        <v>Действителен до 15.05.2025</v>
      </c>
      <c r="D593" s="8" t="str">
        <f ca="1">IFERROR(__xludf.DUMMYFUNCTION("""COMPUTED_VALUE"""),"0520008KZ08")</f>
        <v>0520008KZ08</v>
      </c>
      <c r="E593" s="1" t="str">
        <f ca="1">IFERROR(__xludf.DUMMYFUNCTION("""COMPUTED_VALUE"""),"годен до 15.05.2025")</f>
        <v>годен до 15.05.2025</v>
      </c>
      <c r="F593" s="1" t="str">
        <f ca="1">IFERROR(__xludf.DUMMYFUNCTION("""COMPUTED_VALUE"""),"Бандаж для беременных эластичный 4505 - XL (Болгария) - 0520008KZ08")</f>
        <v>Бандаж для беременных эластичный 4505 - XL (Болгария) - 0520008KZ08</v>
      </c>
      <c r="G593" s="1" t="str">
        <f ca="1">IFERROR(__xludf.DUMMYFUNCTION("""COMPUTED_VALUE"""),"KZ.7700.02.01.00662487 / Действителен до 15.05.2025 / 0520008KZ08 / годен до 15.05.2025")</f>
        <v>KZ.7700.02.01.00662487 / Действителен до 15.05.2025 / 0520008KZ08 / годен до 15.05.2025</v>
      </c>
      <c r="H593" s="1" t="str">
        <f ca="1">IFERROR(__xludf.DUMMYFUNCTION("""COMPUTED_VALUE"""),"Бандаж для беременных эластичный 4505 - XL (Болгария) KZ.7700.02.01.00662487 / Действителен до 15.05.2025 / 0520008KZ08 / годен до 15.05.2025")</f>
        <v>Бандаж для беременных эластичный 4505 - XL (Болгария) KZ.7700.02.01.00662487 / Действителен до 15.05.2025 / 0520008KZ08 / годен до 15.05.2025</v>
      </c>
    </row>
    <row r="594" spans="1:8" ht="12.75" x14ac:dyDescent="0.2">
      <c r="A594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594" s="1" t="str">
        <f ca="1">IFERROR(__xludf.DUMMYFUNCTION("""COMPUTED_VALUE"""),"KZ.7700.02.01.00662488")</f>
        <v>KZ.7700.02.01.00662488</v>
      </c>
      <c r="C594" s="1" t="str">
        <f ca="1">IFERROR(__xludf.DUMMYFUNCTION("""COMPUTED_VALUE"""),"Действителен до 15.05.2025")</f>
        <v>Действителен до 15.05.2025</v>
      </c>
      <c r="D594" s="8" t="str">
        <f ca="1">IFERROR(__xludf.DUMMYFUNCTION("""COMPUTED_VALUE"""),"0520008KZ08")</f>
        <v>0520008KZ08</v>
      </c>
      <c r="E594" s="1" t="str">
        <f ca="1">IFERROR(__xludf.DUMMYFUNCTION("""COMPUTED_VALUE"""),"годен до 15.05.2025")</f>
        <v>годен до 15.05.2025</v>
      </c>
      <c r="F594" s="1" t="str">
        <f ca="1">IFERROR(__xludf.DUMMYFUNCTION("""COMPUTED_VALUE"""),"Бандаж для беременных эластичный 4505 - XXL (Болгария) - 0520008KZ08")</f>
        <v>Бандаж для беременных эластичный 4505 - XXL (Болгария) - 0520008KZ08</v>
      </c>
      <c r="G594" s="1" t="str">
        <f ca="1">IFERROR(__xludf.DUMMYFUNCTION("""COMPUTED_VALUE"""),"KZ.7700.02.01.00662488 / Действителен до 15.05.2025 / 0520008KZ08 / годен до 15.05.2025")</f>
        <v>KZ.7700.02.01.00662488 / Действителен до 15.05.2025 / 0520008KZ08 / годен до 15.05.2025</v>
      </c>
      <c r="H594" s="1" t="str">
        <f ca="1">IFERROR(__xludf.DUMMYFUNCTION("""COMPUTED_VALUE"""),"Бандаж для беременных эластичный 4505 - XXL (Болгария) KZ.7700.02.01.00662488 / Действителен до 15.05.2025 / 0520008KZ08 / годен до 15.05.2025")</f>
        <v>Бандаж для беременных эластичный 4505 - XXL (Болгария) KZ.7700.02.01.00662488 / Действителен до 15.05.2025 / 0520008KZ08 / годен до 15.05.2025</v>
      </c>
    </row>
    <row r="595" spans="1:8" ht="12.75" x14ac:dyDescent="0.2">
      <c r="A595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595" s="1" t="str">
        <f ca="1">IFERROR(__xludf.DUMMYFUNCTION("""COMPUTED_VALUE"""),"KZ.7700.02.01.00662489")</f>
        <v>KZ.7700.02.01.00662489</v>
      </c>
      <c r="C595" s="1" t="str">
        <f ca="1">IFERROR(__xludf.DUMMYFUNCTION("""COMPUTED_VALUE"""),"Действителен до 15.05.2025")</f>
        <v>Действителен до 15.05.2025</v>
      </c>
      <c r="D595" s="8" t="str">
        <f ca="1">IFERROR(__xludf.DUMMYFUNCTION("""COMPUTED_VALUE"""),"0520008KZ08")</f>
        <v>0520008KZ08</v>
      </c>
      <c r="E595" s="1" t="str">
        <f ca="1">IFERROR(__xludf.DUMMYFUNCTION("""COMPUTED_VALUE"""),"годен до 15.05.2025")</f>
        <v>годен до 15.05.2025</v>
      </c>
      <c r="F595" s="1" t="str">
        <f ca="1">IFERROR(__xludf.DUMMYFUNCTION("""COMPUTED_VALUE"""),"Бандаж для беременных эластичный 4505 - XXXL (Болгария) - 0520008KZ08")</f>
        <v>Бандаж для беременных эластичный 4505 - XXXL (Болгария) - 0520008KZ08</v>
      </c>
      <c r="G595" s="1" t="str">
        <f ca="1">IFERROR(__xludf.DUMMYFUNCTION("""COMPUTED_VALUE"""),"KZ.7700.02.01.00662489 / Действителен до 15.05.2025 / 0520008KZ08 / годен до 15.05.2025")</f>
        <v>KZ.7700.02.01.00662489 / Действителен до 15.05.2025 / 0520008KZ08 / годен до 15.05.2025</v>
      </c>
      <c r="H595" s="1" t="str">
        <f ca="1">IFERROR(__xludf.DUMMYFUNCTION("""COMPUTED_VALUE"""),"Бандаж для беременных эластичный 4505 - XXXL (Болгария) KZ.7700.02.01.00662489 / Действителен до 15.05.2025 / 0520008KZ08 / годен до 15.05.2025")</f>
        <v>Бандаж для беременных эластичный 4505 - XXXL (Болгария) KZ.7700.02.01.00662489 / Действителен до 15.05.2025 / 0520008KZ08 / годен до 15.05.2025</v>
      </c>
    </row>
    <row r="596" spans="1:8" ht="12.75" x14ac:dyDescent="0.2">
      <c r="A596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596" s="1" t="str">
        <f ca="1">IFERROR(__xludf.DUMMYFUNCTION("""COMPUTED_VALUE"""),"KZ.7700.02.01.00710976")</f>
        <v>KZ.7700.02.01.00710976</v>
      </c>
      <c r="C596" s="1" t="str">
        <f ca="1">IFERROR(__xludf.DUMMYFUNCTION("""COMPUTED_VALUE"""),"Действителен до 21.12.2025")</f>
        <v>Действителен до 21.12.2025</v>
      </c>
      <c r="D596" s="8" t="str">
        <f ca="1">IFERROR(__xludf.DUMMYFUNCTION("""COMPUTED_VALUE"""),"1220125KZ125")</f>
        <v>1220125KZ125</v>
      </c>
      <c r="E596" s="1" t="str">
        <f ca="1">IFERROR(__xludf.DUMMYFUNCTION("""COMPUTED_VALUE"""),"годен до 21.12.2025")</f>
        <v>годен до 21.12.2025</v>
      </c>
      <c r="F596" s="1" t="str">
        <f ca="1">IFERROR(__xludf.DUMMYFUNCTION("""COMPUTED_VALUE"""),"Бандаж для беременных эластичный 4505 - L (Болгария) - 1220125KZ125")</f>
        <v>Бандаж для беременных эластичный 4505 - L (Болгария) - 1220125KZ125</v>
      </c>
      <c r="G596" s="1" t="str">
        <f ca="1">IFERROR(__xludf.DUMMYFUNCTION("""COMPUTED_VALUE"""),"KZ.7700.02.01.00710976 / Действителен до 21.12.2025 / 1220125KZ125 / годен до 21.12.2025")</f>
        <v>KZ.7700.02.01.00710976 / Действителен до 21.12.2025 / 1220125KZ125 / годен до 21.12.2025</v>
      </c>
      <c r="H596" s="1" t="str">
        <f ca="1">IFERROR(__xludf.DUMMYFUNCTION("""COMPUTED_VALUE"""),"Бандаж для беременных эластичный 4505 - L (Болгария) KZ.7700.02.01.00710976 / Действителен до 21.12.2025 / 1220125KZ125 / годен до 21.12.2025")</f>
        <v>Бандаж для беременных эластичный 4505 - L (Болгария) KZ.7700.02.01.00710976 / Действителен до 21.12.2025 / 1220125KZ125 / годен до 21.12.2025</v>
      </c>
    </row>
    <row r="597" spans="1:8" ht="12.75" x14ac:dyDescent="0.2">
      <c r="A597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597" s="1" t="str">
        <f ca="1">IFERROR(__xludf.DUMMYFUNCTION("""COMPUTED_VALUE"""),"KZ.7700.02.01.00710975")</f>
        <v>KZ.7700.02.01.00710975</v>
      </c>
      <c r="C597" s="1" t="str">
        <f ca="1">IFERROR(__xludf.DUMMYFUNCTION("""COMPUTED_VALUE"""),"Действителен до 21.12.2025")</f>
        <v>Действителен до 21.12.2025</v>
      </c>
      <c r="D597" s="8" t="str">
        <f ca="1">IFERROR(__xludf.DUMMYFUNCTION("""COMPUTED_VALUE"""),"1220125KZ125")</f>
        <v>1220125KZ125</v>
      </c>
      <c r="E597" s="1" t="str">
        <f ca="1">IFERROR(__xludf.DUMMYFUNCTION("""COMPUTED_VALUE"""),"годен до 21.12.2025")</f>
        <v>годен до 21.12.2025</v>
      </c>
      <c r="F597" s="1" t="str">
        <f ca="1">IFERROR(__xludf.DUMMYFUNCTION("""COMPUTED_VALUE"""),"Бандаж для беременных эластичный 4505 - М (Болгария) - 1220125KZ125")</f>
        <v>Бандаж для беременных эластичный 4505 - М (Болгария) - 1220125KZ125</v>
      </c>
      <c r="G597" s="1" t="str">
        <f ca="1">IFERROR(__xludf.DUMMYFUNCTION("""COMPUTED_VALUE"""),"KZ.7700.02.01.00710975 / Действителен до 21.12.2025 / 1220125KZ125 / годен до 21.12.2025")</f>
        <v>KZ.7700.02.01.00710975 / Действителен до 21.12.2025 / 1220125KZ125 / годен до 21.12.2025</v>
      </c>
      <c r="H597" s="1" t="str">
        <f ca="1">IFERROR(__xludf.DUMMYFUNCTION("""COMPUTED_VALUE"""),"Бандаж для беременных эластичный 4505 - М (Болгария) KZ.7700.02.01.00710975 / Действителен до 21.12.2025 / 1220125KZ125 / годен до 21.12.2025")</f>
        <v>Бандаж для беременных эластичный 4505 - М (Болгария) KZ.7700.02.01.00710975 / Действителен до 21.12.2025 / 1220125KZ125 / годен до 21.12.2025</v>
      </c>
    </row>
    <row r="598" spans="1:8" ht="12.75" x14ac:dyDescent="0.2">
      <c r="A598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598" s="1" t="str">
        <f ca="1">IFERROR(__xludf.DUMMYFUNCTION("""COMPUTED_VALUE"""),"KZ.7700.02.01.00710964")</f>
        <v>KZ.7700.02.01.00710964</v>
      </c>
      <c r="C598" s="1" t="str">
        <f ca="1">IFERROR(__xludf.DUMMYFUNCTION("""COMPUTED_VALUE"""),"Действителен до 21.12.2025")</f>
        <v>Действителен до 21.12.2025</v>
      </c>
      <c r="D598" s="8" t="str">
        <f ca="1">IFERROR(__xludf.DUMMYFUNCTION("""COMPUTED_VALUE"""),"1220125KZ125")</f>
        <v>1220125KZ125</v>
      </c>
      <c r="E598" s="1" t="str">
        <f ca="1">IFERROR(__xludf.DUMMYFUNCTION("""COMPUTED_VALUE"""),"годен до 21.12.2025")</f>
        <v>годен до 21.12.2025</v>
      </c>
      <c r="F598" s="1" t="str">
        <f ca="1">IFERROR(__xludf.DUMMYFUNCTION("""COMPUTED_VALUE"""),"Бандаж для беременных эластичный 4505 - S (Болгария) - 1220125KZ125")</f>
        <v>Бандаж для беременных эластичный 4505 - S (Болгария) - 1220125KZ125</v>
      </c>
      <c r="G598" s="1" t="str">
        <f ca="1">IFERROR(__xludf.DUMMYFUNCTION("""COMPUTED_VALUE"""),"KZ.7700.02.01.00710964 / Действителен до 21.12.2025 / 1220125KZ125 / годен до 21.12.2025")</f>
        <v>KZ.7700.02.01.00710964 / Действителен до 21.12.2025 / 1220125KZ125 / годен до 21.12.2025</v>
      </c>
      <c r="H598" s="1" t="str">
        <f ca="1">IFERROR(__xludf.DUMMYFUNCTION("""COMPUTED_VALUE"""),"Бандаж для беременных эластичный 4505 - S (Болгария) KZ.7700.02.01.00710964 / Действителен до 21.12.2025 / 1220125KZ125 / годен до 21.12.2025")</f>
        <v>Бандаж для беременных эластичный 4505 - S (Болгария) KZ.7700.02.01.00710964 / Действителен до 21.12.2025 / 1220125KZ125 / годен до 21.12.2025</v>
      </c>
    </row>
    <row r="599" spans="1:8" ht="12.75" x14ac:dyDescent="0.2">
      <c r="A599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599" s="1" t="str">
        <f ca="1">IFERROR(__xludf.DUMMYFUNCTION("""COMPUTED_VALUE"""),"KZ.7700.02.01.00710974")</f>
        <v>KZ.7700.02.01.00710974</v>
      </c>
      <c r="C599" s="1" t="str">
        <f ca="1">IFERROR(__xludf.DUMMYFUNCTION("""COMPUTED_VALUE"""),"Действителен до 21.12.2025")</f>
        <v>Действителен до 21.12.2025</v>
      </c>
      <c r="D599" s="8" t="str">
        <f ca="1">IFERROR(__xludf.DUMMYFUNCTION("""COMPUTED_VALUE"""),"1220125KZ125")</f>
        <v>1220125KZ125</v>
      </c>
      <c r="E599" s="1" t="str">
        <f ca="1">IFERROR(__xludf.DUMMYFUNCTION("""COMPUTED_VALUE"""),"годен до 21.12.2025")</f>
        <v>годен до 21.12.2025</v>
      </c>
      <c r="F599" s="1" t="str">
        <f ca="1">IFERROR(__xludf.DUMMYFUNCTION("""COMPUTED_VALUE"""),"Бандаж для беременных эластичный 4505 - XL (Болгария) - 1220125KZ125")</f>
        <v>Бандаж для беременных эластичный 4505 - XL (Болгария) - 1220125KZ125</v>
      </c>
      <c r="G599" s="1" t="str">
        <f ca="1">IFERROR(__xludf.DUMMYFUNCTION("""COMPUTED_VALUE"""),"KZ.7700.02.01.00710974 / Действителен до 21.12.2025 / 1220125KZ125 / годен до 21.12.2025")</f>
        <v>KZ.7700.02.01.00710974 / Действителен до 21.12.2025 / 1220125KZ125 / годен до 21.12.2025</v>
      </c>
      <c r="H599" s="1" t="str">
        <f ca="1">IFERROR(__xludf.DUMMYFUNCTION("""COMPUTED_VALUE"""),"Бандаж для беременных эластичный 4505 - XL (Болгария) KZ.7700.02.01.00710974 / Действителен до 21.12.2025 / 1220125KZ125 / годен до 21.12.2025")</f>
        <v>Бандаж для беременных эластичный 4505 - XL (Болгария) KZ.7700.02.01.00710974 / Действителен до 21.12.2025 / 1220125KZ125 / годен до 21.12.2025</v>
      </c>
    </row>
    <row r="600" spans="1:8" ht="12.75" x14ac:dyDescent="0.2">
      <c r="A600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600" s="1" t="str">
        <f ca="1">IFERROR(__xludf.DUMMYFUNCTION("""COMPUTED_VALUE"""),"KZ.7700.02.01.00710968")</f>
        <v>KZ.7700.02.01.00710968</v>
      </c>
      <c r="C600" s="1" t="str">
        <f ca="1">IFERROR(__xludf.DUMMYFUNCTION("""COMPUTED_VALUE"""),"Действителен до 21.12.2025")</f>
        <v>Действителен до 21.12.2025</v>
      </c>
      <c r="D600" s="8" t="str">
        <f ca="1">IFERROR(__xludf.DUMMYFUNCTION("""COMPUTED_VALUE"""),"1220125KZ125")</f>
        <v>1220125KZ125</v>
      </c>
      <c r="E600" s="1" t="str">
        <f ca="1">IFERROR(__xludf.DUMMYFUNCTION("""COMPUTED_VALUE"""),"годен до 21.12.2025")</f>
        <v>годен до 21.12.2025</v>
      </c>
      <c r="F600" s="1" t="str">
        <f ca="1">IFERROR(__xludf.DUMMYFUNCTION("""COMPUTED_VALUE"""),"Бандаж для беременных эластичный 4505 - XXL (Болгария) - 1220125KZ125")</f>
        <v>Бандаж для беременных эластичный 4505 - XXL (Болгария) - 1220125KZ125</v>
      </c>
      <c r="G600" s="1" t="str">
        <f ca="1">IFERROR(__xludf.DUMMYFUNCTION("""COMPUTED_VALUE"""),"KZ.7700.02.01.00710968 / Действителен до 21.12.2025 / 1220125KZ125 / годен до 21.12.2025")</f>
        <v>KZ.7700.02.01.00710968 / Действителен до 21.12.2025 / 1220125KZ125 / годен до 21.12.2025</v>
      </c>
      <c r="H600" s="1" t="str">
        <f ca="1">IFERROR(__xludf.DUMMYFUNCTION("""COMPUTED_VALUE"""),"Бандаж для беременных эластичный 4505 - XXL (Болгария) KZ.7700.02.01.00710968 / Действителен до 21.12.2025 / 1220125KZ125 / годен до 21.12.2025")</f>
        <v>Бандаж для беременных эластичный 4505 - XXL (Болгария) KZ.7700.02.01.00710968 / Действителен до 21.12.2025 / 1220125KZ125 / годен до 21.12.2025</v>
      </c>
    </row>
    <row r="601" spans="1:8" ht="12.75" x14ac:dyDescent="0.2">
      <c r="A601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601" s="1" t="str">
        <f ca="1">IFERROR(__xludf.DUMMYFUNCTION("""COMPUTED_VALUE"""),"KZ.7700.02.01.00710961")</f>
        <v>KZ.7700.02.01.00710961</v>
      </c>
      <c r="C601" s="1" t="str">
        <f ca="1">IFERROR(__xludf.DUMMYFUNCTION("""COMPUTED_VALUE"""),"Действителен до 21.12.2025")</f>
        <v>Действителен до 21.12.2025</v>
      </c>
      <c r="D601" s="8" t="str">
        <f ca="1">IFERROR(__xludf.DUMMYFUNCTION("""COMPUTED_VALUE"""),"1220125KZ125")</f>
        <v>1220125KZ125</v>
      </c>
      <c r="E601" s="1" t="str">
        <f ca="1">IFERROR(__xludf.DUMMYFUNCTION("""COMPUTED_VALUE"""),"годен до 21.12.2025")</f>
        <v>годен до 21.12.2025</v>
      </c>
      <c r="F601" s="1" t="str">
        <f ca="1">IFERROR(__xludf.DUMMYFUNCTION("""COMPUTED_VALUE"""),"Бандаж для беременных эластичный 4505 - XXXL (Болгария) - 1220125KZ125")</f>
        <v>Бандаж для беременных эластичный 4505 - XXXL (Болгария) - 1220125KZ125</v>
      </c>
      <c r="G601" s="1" t="str">
        <f ca="1">IFERROR(__xludf.DUMMYFUNCTION("""COMPUTED_VALUE"""),"KZ.7700.02.01.00710961 / Действителен до 21.12.2025 / 1220125KZ125 / годен до 21.12.2025")</f>
        <v>KZ.7700.02.01.00710961 / Действителен до 21.12.2025 / 1220125KZ125 / годен до 21.12.2025</v>
      </c>
      <c r="H601" s="1" t="str">
        <f ca="1">IFERROR(__xludf.DUMMYFUNCTION("""COMPUTED_VALUE"""),"Бандаж для беременных эластичный 4505 - XXXL (Болгария) KZ.7700.02.01.00710961 / Действителен до 21.12.2025 / 1220125KZ125 / годен до 21.12.2025")</f>
        <v>Бандаж для беременных эластичный 4505 - XXXL (Болгария) KZ.7700.02.01.00710961 / Действителен до 21.12.2025 / 1220125KZ125 / годен до 21.12.2025</v>
      </c>
    </row>
    <row r="602" spans="1:8" ht="12.75" x14ac:dyDescent="0.2">
      <c r="A602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602" s="1" t="str">
        <f ca="1">IFERROR(__xludf.DUMMYFUNCTION("""COMPUTED_VALUE"""),"KZ.7700.02.01.00616551")</f>
        <v>KZ.7700.02.01.00616551</v>
      </c>
      <c r="C602" s="1" t="str">
        <f ca="1">IFERROR(__xludf.DUMMYFUNCTION("""COMPUTED_VALUE"""),"Действителен до 02.12.2024")</f>
        <v>Действителен до 02.12.2024</v>
      </c>
      <c r="D602" s="8" t="str">
        <f ca="1">IFERROR(__xludf.DUMMYFUNCTION("""COMPUTED_VALUE"""),"1219046KZ46")</f>
        <v>1219046KZ46</v>
      </c>
      <c r="E602" s="1" t="str">
        <f ca="1">IFERROR(__xludf.DUMMYFUNCTION("""COMPUTED_VALUE"""),"годен до 02.12.2024")</f>
        <v>годен до 02.12.2024</v>
      </c>
      <c r="F602" s="1" t="str">
        <f ca="1">IFERROR(__xludf.DUMMYFUNCTION("""COMPUTED_VALUE"""),"Бандаж на шейный отдел позвоночника мягкой фиксацией 1001 III(L) (Болгария) - 1219046KZ46")</f>
        <v>Бандаж на шейный отдел позвоночника мягкой фиксацией 1001 III(L) (Болгария) - 1219046KZ46</v>
      </c>
      <c r="G602" s="1" t="str">
        <f ca="1">IFERROR(__xludf.DUMMYFUNCTION("""COMPUTED_VALUE"""),"KZ.7700.02.01.00616551 / Действителен до 02.12.2024 / 1219046KZ46 / годен до 02.12.2024")</f>
        <v>KZ.7700.02.01.00616551 / Действителен до 02.12.2024 / 1219046KZ46 / годен до 02.12.2024</v>
      </c>
      <c r="H602" s="1" t="str">
        <f ca="1">IFERROR(__xludf.DUMMYFUNCTION("""COMPUTED_VALUE"""),"Бандаж на шейный отдел позвоночника мягкой фиксацией 1001 III(L) (Болгария) KZ.7700.02.01.00616551 / Действителен до 02.12.2024 / 1219046KZ46 / годен до 02.12.2024")</f>
        <v>Бандаж на шейный отдел позвоночника мягкой фиксацией 1001 III(L) (Болгария) KZ.7700.02.01.00616551 / Действителен до 02.12.2024 / 1219046KZ46 / годен до 02.12.2024</v>
      </c>
    </row>
    <row r="603" spans="1:8" ht="12.75" x14ac:dyDescent="0.2">
      <c r="A603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603" s="1" t="str">
        <f ca="1">IFERROR(__xludf.DUMMYFUNCTION("""COMPUTED_VALUE"""),"KZ.7700.02.01.00616529")</f>
        <v>KZ.7700.02.01.00616529</v>
      </c>
      <c r="C603" s="1" t="str">
        <f ca="1">IFERROR(__xludf.DUMMYFUNCTION("""COMPUTED_VALUE"""),"Действителен до 02.12.2024")</f>
        <v>Действителен до 02.12.2024</v>
      </c>
      <c r="D603" s="8" t="str">
        <f ca="1">IFERROR(__xludf.DUMMYFUNCTION("""COMPUTED_VALUE"""),"1219046KZ46")</f>
        <v>1219046KZ46</v>
      </c>
      <c r="E603" s="1" t="str">
        <f ca="1">IFERROR(__xludf.DUMMYFUNCTION("""COMPUTED_VALUE"""),"годен до 02.12.2024")</f>
        <v>годен до 02.12.2024</v>
      </c>
      <c r="F603" s="1" t="str">
        <f ca="1">IFERROR(__xludf.DUMMYFUNCTION("""COMPUTED_VALUE"""),"Бандаж на шейный отдел позвоночника мягкой фиксацией 1001 I(S) (Болгария) - 1219046KZ46")</f>
        <v>Бандаж на шейный отдел позвоночника мягкой фиксацией 1001 I(S) (Болгария) - 1219046KZ46</v>
      </c>
      <c r="G603" s="1" t="str">
        <f ca="1">IFERROR(__xludf.DUMMYFUNCTION("""COMPUTED_VALUE"""),"KZ.7700.02.01.00616529 / Действителен до 02.12.2024 / 1219046KZ46 / годен до 02.12.2024")</f>
        <v>KZ.7700.02.01.00616529 / Действителен до 02.12.2024 / 1219046KZ46 / годен до 02.12.2024</v>
      </c>
      <c r="H603" s="1" t="str">
        <f ca="1">IFERROR(__xludf.DUMMYFUNCTION("""COMPUTED_VALUE"""),"Бандаж на шейный отдел позвоночника мягкой фиксацией 1001 I(S) (Болгария) KZ.7700.02.01.00616529 / Действителен до 02.12.2024 / 1219046KZ46 / годен до 02.12.2024")</f>
        <v>Бандаж на шейный отдел позвоночника мягкой фиксацией 1001 I(S) (Болгария) KZ.7700.02.01.00616529 / Действителен до 02.12.2024 / 1219046KZ46 / годен до 02.12.2024</v>
      </c>
    </row>
    <row r="604" spans="1:8" ht="12.75" x14ac:dyDescent="0.2">
      <c r="A604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604" s="1" t="str">
        <f ca="1">IFERROR(__xludf.DUMMYFUNCTION("""COMPUTED_VALUE"""),"KZ.7700.02.01.00616548")</f>
        <v>KZ.7700.02.01.00616548</v>
      </c>
      <c r="C604" s="1" t="str">
        <f ca="1">IFERROR(__xludf.DUMMYFUNCTION("""COMPUTED_VALUE"""),"Действителен до 02.12.2024")</f>
        <v>Действителен до 02.12.2024</v>
      </c>
      <c r="D604" s="8" t="str">
        <f ca="1">IFERROR(__xludf.DUMMYFUNCTION("""COMPUTED_VALUE"""),"1219046KZ46")</f>
        <v>1219046KZ46</v>
      </c>
      <c r="E604" s="1" t="str">
        <f ca="1">IFERROR(__xludf.DUMMYFUNCTION("""COMPUTED_VALUE"""),"годен до 02.12.2024")</f>
        <v>годен до 02.12.2024</v>
      </c>
      <c r="F604" s="1" t="str">
        <f ca="1">IFERROR(__xludf.DUMMYFUNCTION("""COMPUTED_VALUE"""),"Бандаж на шейный отдел позвоночника мягкой фиксацией 1001 II(M) (Болгария) - 1219046KZ46")</f>
        <v>Бандаж на шейный отдел позвоночника мягкой фиксацией 1001 II(M) (Болгария) - 1219046KZ46</v>
      </c>
      <c r="G604" s="1" t="str">
        <f ca="1">IFERROR(__xludf.DUMMYFUNCTION("""COMPUTED_VALUE"""),"KZ.7700.02.01.00616548 / Действителен до 02.12.2024 / 1219046KZ46 / годен до 02.12.2024")</f>
        <v>KZ.7700.02.01.00616548 / Действителен до 02.12.2024 / 1219046KZ46 / годен до 02.12.2024</v>
      </c>
      <c r="H604" s="1" t="str">
        <f ca="1">IFERROR(__xludf.DUMMYFUNCTION("""COMPUTED_VALUE"""),"Бандаж на шейный отдел позвоночника мягкой фиксацией 1001 II(M) (Болгария) KZ.7700.02.01.00616548 / Действителен до 02.12.2024 / 1219046KZ46 / годен до 02.12.2024")</f>
        <v>Бандаж на шейный отдел позвоночника мягкой фиксацией 1001 II(M) (Болгария) KZ.7700.02.01.00616548 / Действителен до 02.12.2024 / 1219046KZ46 / годен до 02.12.2024</v>
      </c>
    </row>
    <row r="605" spans="1:8" ht="12.75" x14ac:dyDescent="0.2">
      <c r="A605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605" s="1" t="str">
        <f ca="1">IFERROR(__xludf.DUMMYFUNCTION("""COMPUTED_VALUE"""),"KZ.7700.02.01.00616554")</f>
        <v>KZ.7700.02.01.00616554</v>
      </c>
      <c r="C605" s="1" t="str">
        <f ca="1">IFERROR(__xludf.DUMMYFUNCTION("""COMPUTED_VALUE"""),"Действителен до 02.12.2024")</f>
        <v>Действителен до 02.12.2024</v>
      </c>
      <c r="D605" s="8" t="str">
        <f ca="1">IFERROR(__xludf.DUMMYFUNCTION("""COMPUTED_VALUE"""),"1219046KZ46")</f>
        <v>1219046KZ46</v>
      </c>
      <c r="E605" s="1" t="str">
        <f ca="1">IFERROR(__xludf.DUMMYFUNCTION("""COMPUTED_VALUE"""),"годен до 02.12.2024")</f>
        <v>годен до 02.12.2024</v>
      </c>
      <c r="F605" s="1" t="str">
        <f ca="1">IFERROR(__xludf.DUMMYFUNCTION("""COMPUTED_VALUE"""),"Бандаж на шейный отдел позвоночника мягкой фиксацией с жесткой вставкой 1005 III(L) - 1219046KZ46")</f>
        <v>Бандаж на шейный отдел позвоночника мягкой фиксацией с жесткой вставкой 1005 III(L) - 1219046KZ46</v>
      </c>
      <c r="G605" s="1" t="str">
        <f ca="1">IFERROR(__xludf.DUMMYFUNCTION("""COMPUTED_VALUE"""),"KZ.7700.02.01.00616554 / Действителен до 02.12.2024 / 1219046KZ46 / годен до 02.12.2024")</f>
        <v>KZ.7700.02.01.00616554 / Действителен до 02.12.2024 / 1219046KZ46 / годен до 02.12.2024</v>
      </c>
      <c r="H605" s="1" t="str">
        <f ca="1">IFERROR(__xludf.DUMMYFUNCTION("""COMPUTED_VALUE"""),"Бандаж на шейный отдел позвоночника мягкой фиксацией с жесткой вставкой 1005 III(L) KZ.7700.02.01.00616554 / Действителен до 02.12.2024 / 1219046KZ46 / годен до 02.12.2024")</f>
        <v>Бандаж на шейный отдел позвоночника мягкой фиксацией с жесткой вставкой 1005 III(L) KZ.7700.02.01.00616554 / Действителен до 02.12.2024 / 1219046KZ46 / годен до 02.12.2024</v>
      </c>
    </row>
    <row r="606" spans="1:8" ht="12.75" x14ac:dyDescent="0.2">
      <c r="A606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606" s="1" t="str">
        <f ca="1">IFERROR(__xludf.DUMMYFUNCTION("""COMPUTED_VALUE"""),"KZ.7700.02.01.00616553")</f>
        <v>KZ.7700.02.01.00616553</v>
      </c>
      <c r="C606" s="1" t="str">
        <f ca="1">IFERROR(__xludf.DUMMYFUNCTION("""COMPUTED_VALUE"""),"Действителен до 02.12.2024")</f>
        <v>Действителен до 02.12.2024</v>
      </c>
      <c r="D606" s="8" t="str">
        <f ca="1">IFERROR(__xludf.DUMMYFUNCTION("""COMPUTED_VALUE"""),"1219046KZ46")</f>
        <v>1219046KZ46</v>
      </c>
      <c r="E606" s="1" t="str">
        <f ca="1">IFERROR(__xludf.DUMMYFUNCTION("""COMPUTED_VALUE"""),"годен до 02.12.2024")</f>
        <v>годен до 02.12.2024</v>
      </c>
      <c r="F606" s="1" t="str">
        <f ca="1">IFERROR(__xludf.DUMMYFUNCTION("""COMPUTED_VALUE"""),"Бандаж на шейный отдел позвоночника мягкой фиксацией с жесткой вставкой 1005 II(M) - 1219046KZ46")</f>
        <v>Бандаж на шейный отдел позвоночника мягкой фиксацией с жесткой вставкой 1005 II(M) - 1219046KZ46</v>
      </c>
      <c r="G606" s="1" t="str">
        <f ca="1">IFERROR(__xludf.DUMMYFUNCTION("""COMPUTED_VALUE"""),"KZ.7700.02.01.00616553 / Действителен до 02.12.2024 / 1219046KZ46 / годен до 02.12.2024")</f>
        <v>KZ.7700.02.01.00616553 / Действителен до 02.12.2024 / 1219046KZ46 / годен до 02.12.2024</v>
      </c>
      <c r="H606" s="1" t="str">
        <f ca="1">IFERROR(__xludf.DUMMYFUNCTION("""COMPUTED_VALUE"""),"Бандаж на шейный отдел позвоночника мягкой фиксацией с жесткой вставкой 1005 II(M) KZ.7700.02.01.00616553 / Действителен до 02.12.2024 / 1219046KZ46 / годен до 02.12.2024")</f>
        <v>Бандаж на шейный отдел позвоночника мягкой фиксацией с жесткой вставкой 1005 II(M) KZ.7700.02.01.00616553 / Действителен до 02.12.2024 / 1219046KZ46 / годен до 02.12.2024</v>
      </c>
    </row>
    <row r="607" spans="1:8" ht="12.75" x14ac:dyDescent="0.2">
      <c r="A607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607" s="1" t="str">
        <f ca="1">IFERROR(__xludf.DUMMYFUNCTION("""COMPUTED_VALUE"""),"KZ.7700.02.01.00616552")</f>
        <v>KZ.7700.02.01.00616552</v>
      </c>
      <c r="C607" s="1" t="str">
        <f ca="1">IFERROR(__xludf.DUMMYFUNCTION("""COMPUTED_VALUE"""),"Действителен до 02.12.2024")</f>
        <v>Действителен до 02.12.2024</v>
      </c>
      <c r="D607" s="8" t="str">
        <f ca="1">IFERROR(__xludf.DUMMYFUNCTION("""COMPUTED_VALUE"""),"1219046KZ46")</f>
        <v>1219046KZ46</v>
      </c>
      <c r="E607" s="1" t="str">
        <f ca="1">IFERROR(__xludf.DUMMYFUNCTION("""COMPUTED_VALUE"""),"годен до 02.12.2024")</f>
        <v>годен до 02.12.2024</v>
      </c>
      <c r="F607" s="1" t="str">
        <f ca="1">IFERROR(__xludf.DUMMYFUNCTION("""COMPUTED_VALUE"""),"Бандаж на шейный отдел позвоночника мягкой фиксацией с жесткой вставкой 1005 I(S) - 1219046KZ46")</f>
        <v>Бандаж на шейный отдел позвоночника мягкой фиксацией с жесткой вставкой 1005 I(S) - 1219046KZ46</v>
      </c>
      <c r="G607" s="1" t="str">
        <f ca="1">IFERROR(__xludf.DUMMYFUNCTION("""COMPUTED_VALUE"""),"KZ.7700.02.01.00616552 / Действителен до 02.12.2024 / 1219046KZ46 / годен до 02.12.2024")</f>
        <v>KZ.7700.02.01.00616552 / Действителен до 02.12.2024 / 1219046KZ46 / годен до 02.12.2024</v>
      </c>
      <c r="H607" s="1" t="str">
        <f ca="1">IFERROR(__xludf.DUMMYFUNCTION("""COMPUTED_VALUE"""),"Бандаж на шейный отдел позвоночника мягкой фиксацией с жесткой вставкой 1005 I(S) KZ.7700.02.01.00616552 / Действителен до 02.12.2024 / 1219046KZ46 / годен до 02.12.2024")</f>
        <v>Бандаж на шейный отдел позвоночника мягкой фиксацией с жесткой вставкой 1005 I(S) KZ.7700.02.01.00616552 / Действителен до 02.12.2024 / 1219046KZ46 / годен до 02.12.2024</v>
      </c>
    </row>
    <row r="608" spans="1:8" ht="12.75" x14ac:dyDescent="0.2">
      <c r="A608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608" s="1" t="str">
        <f ca="1">IFERROR(__xludf.DUMMYFUNCTION("""COMPUTED_VALUE"""),"KZ.7700.02.01.00616557")</f>
        <v>KZ.7700.02.01.00616557</v>
      </c>
      <c r="C608" s="1" t="str">
        <f ca="1">IFERROR(__xludf.DUMMYFUNCTION("""COMPUTED_VALUE"""),"Действителен до 02.12.2024")</f>
        <v>Действителен до 02.12.2024</v>
      </c>
      <c r="D608" s="8" t="str">
        <f ca="1">IFERROR(__xludf.DUMMYFUNCTION("""COMPUTED_VALUE"""),"1219046KZ46")</f>
        <v>1219046KZ46</v>
      </c>
      <c r="E608" s="1" t="str">
        <f ca="1">IFERROR(__xludf.DUMMYFUNCTION("""COMPUTED_VALUE"""),"годен до 02.12.2024")</f>
        <v>годен до 02.12.2024</v>
      </c>
      <c r="F608" s="1" t="str">
        <f ca="1">IFERROR(__xludf.DUMMYFUNCTION("""COMPUTED_VALUE"""),"Реклинатор (корректор осанки) детский 2005 L (Болгария) - 1219046KZ46")</f>
        <v>Реклинатор (корректор осанки) детский 2005 L (Болгария) - 1219046KZ46</v>
      </c>
      <c r="G608" s="1" t="str">
        <f ca="1">IFERROR(__xludf.DUMMYFUNCTION("""COMPUTED_VALUE"""),"KZ.7700.02.01.00616557 / Действителен до 02.12.2024 / 1219046KZ46 / годен до 02.12.2024")</f>
        <v>KZ.7700.02.01.00616557 / Действителен до 02.12.2024 / 1219046KZ46 / годен до 02.12.2024</v>
      </c>
      <c r="H608" s="1" t="str">
        <f ca="1">IFERROR(__xludf.DUMMYFUNCTION("""COMPUTED_VALUE"""),"Реклинатор (корректор осанки) детский 2005 L (Болгария) KZ.7700.02.01.00616557 / Действителен до 02.12.2024 / 1219046KZ46 / годен до 02.12.2024")</f>
        <v>Реклинатор (корректор осанки) детский 2005 L (Болгария) KZ.7700.02.01.00616557 / Действителен до 02.12.2024 / 1219046KZ46 / годен до 02.12.2024</v>
      </c>
    </row>
    <row r="609" spans="1:8" ht="12.75" x14ac:dyDescent="0.2">
      <c r="A609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609" s="1" t="str">
        <f ca="1">IFERROR(__xludf.DUMMYFUNCTION("""COMPUTED_VALUE"""),"KZ.7700.02.01.00616555")</f>
        <v>KZ.7700.02.01.00616555</v>
      </c>
      <c r="C609" s="1" t="str">
        <f ca="1">IFERROR(__xludf.DUMMYFUNCTION("""COMPUTED_VALUE"""),"Действителен до 02.12.2024")</f>
        <v>Действителен до 02.12.2024</v>
      </c>
      <c r="D609" s="8" t="str">
        <f ca="1">IFERROR(__xludf.DUMMYFUNCTION("""COMPUTED_VALUE"""),"1219046KZ46")</f>
        <v>1219046KZ46</v>
      </c>
      <c r="E609" s="1" t="str">
        <f ca="1">IFERROR(__xludf.DUMMYFUNCTION("""COMPUTED_VALUE"""),"годен до 02.12.2024")</f>
        <v>годен до 02.12.2024</v>
      </c>
      <c r="F609" s="1" t="str">
        <f ca="1">IFERROR(__xludf.DUMMYFUNCTION("""COMPUTED_VALUE"""),"Реклинатор (корректор осанки) детский 2005 M (Болгария) - 1219046KZ46")</f>
        <v>Реклинатор (корректор осанки) детский 2005 M (Болгария) - 1219046KZ46</v>
      </c>
      <c r="G609" s="1" t="str">
        <f ca="1">IFERROR(__xludf.DUMMYFUNCTION("""COMPUTED_VALUE"""),"KZ.7700.02.01.00616555 / Действителен до 02.12.2024 / 1219046KZ46 / годен до 02.12.2024")</f>
        <v>KZ.7700.02.01.00616555 / Действителен до 02.12.2024 / 1219046KZ46 / годен до 02.12.2024</v>
      </c>
      <c r="H609" s="1" t="str">
        <f ca="1">IFERROR(__xludf.DUMMYFUNCTION("""COMPUTED_VALUE"""),"Реклинатор (корректор осанки) детский 2005 M (Болгария) KZ.7700.02.01.00616555 / Действителен до 02.12.2024 / 1219046KZ46 / годен до 02.12.2024")</f>
        <v>Реклинатор (корректор осанки) детский 2005 M (Болгария) KZ.7700.02.01.00616555 / Действителен до 02.12.2024 / 1219046KZ46 / годен до 02.12.2024</v>
      </c>
    </row>
    <row r="610" spans="1:8" ht="12.75" x14ac:dyDescent="0.2">
      <c r="A610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610" s="1" t="str">
        <f ca="1">IFERROR(__xludf.DUMMYFUNCTION("""COMPUTED_VALUE"""),"KZ.7700.02.01.00616560")</f>
        <v>KZ.7700.02.01.00616560</v>
      </c>
      <c r="C610" s="1" t="str">
        <f ca="1">IFERROR(__xludf.DUMMYFUNCTION("""COMPUTED_VALUE"""),"Действителен до 02.12.2024")</f>
        <v>Действителен до 02.12.2024</v>
      </c>
      <c r="D610" s="8" t="str">
        <f ca="1">IFERROR(__xludf.DUMMYFUNCTION("""COMPUTED_VALUE"""),"1219046KZ46")</f>
        <v>1219046KZ46</v>
      </c>
      <c r="E610" s="1" t="str">
        <f ca="1">IFERROR(__xludf.DUMMYFUNCTION("""COMPUTED_VALUE"""),"годен до 02.12.2024")</f>
        <v>годен до 02.12.2024</v>
      </c>
      <c r="F610" s="1" t="str">
        <f ca="1">IFERROR(__xludf.DUMMYFUNCTION("""COMPUTED_VALUE"""),"Корректор осанки с ребрами жесткости эластичный 2011 L (Болгария) - 1219046KZ46")</f>
        <v>Корректор осанки с ребрами жесткости эластичный 2011 L (Болгария) - 1219046KZ46</v>
      </c>
      <c r="G610" s="1" t="str">
        <f ca="1">IFERROR(__xludf.DUMMYFUNCTION("""COMPUTED_VALUE"""),"KZ.7700.02.01.00616560 / Действителен до 02.12.2024 / 1219046KZ46 / годен до 02.12.2024")</f>
        <v>KZ.7700.02.01.00616560 / Действителен до 02.12.2024 / 1219046KZ46 / годен до 02.12.2024</v>
      </c>
      <c r="H610" s="1" t="str">
        <f ca="1">IFERROR(__xludf.DUMMYFUNCTION("""COMPUTED_VALUE"""),"Корректор осанки с ребрами жесткости эластичный 2011 L (Болгария) KZ.7700.02.01.00616560 / Действителен до 02.12.2024 / 1219046KZ46 / годен до 02.12.2024")</f>
        <v>Корректор осанки с ребрами жесткости эластичный 2011 L (Болгария) KZ.7700.02.01.00616560 / Действителен до 02.12.2024 / 1219046KZ46 / годен до 02.12.2024</v>
      </c>
    </row>
    <row r="611" spans="1:8" ht="12.75" x14ac:dyDescent="0.2">
      <c r="A611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611" s="1" t="str">
        <f ca="1">IFERROR(__xludf.DUMMYFUNCTION("""COMPUTED_VALUE"""),"KZ.7700.02.01.00616559")</f>
        <v>KZ.7700.02.01.00616559</v>
      </c>
      <c r="C611" s="1" t="str">
        <f ca="1">IFERROR(__xludf.DUMMYFUNCTION("""COMPUTED_VALUE"""),"Действителен до 02.12.2024")</f>
        <v>Действителен до 02.12.2024</v>
      </c>
      <c r="D611" s="8" t="str">
        <f ca="1">IFERROR(__xludf.DUMMYFUNCTION("""COMPUTED_VALUE"""),"1219046KZ46")</f>
        <v>1219046KZ46</v>
      </c>
      <c r="E611" s="1" t="str">
        <f ca="1">IFERROR(__xludf.DUMMYFUNCTION("""COMPUTED_VALUE"""),"годен до 02.12.2024")</f>
        <v>годен до 02.12.2024</v>
      </c>
      <c r="F611" s="1" t="str">
        <f ca="1">IFERROR(__xludf.DUMMYFUNCTION("""COMPUTED_VALUE"""),"Корректор осанки с ребрами жесткости эластичный 2011 M (Болгария) - 1219046KZ46")</f>
        <v>Корректор осанки с ребрами жесткости эластичный 2011 M (Болгария) - 1219046KZ46</v>
      </c>
      <c r="G611" s="1" t="str">
        <f ca="1">IFERROR(__xludf.DUMMYFUNCTION("""COMPUTED_VALUE"""),"KZ.7700.02.01.00616559 / Действителен до 02.12.2024 / 1219046KZ46 / годен до 02.12.2024")</f>
        <v>KZ.7700.02.01.00616559 / Действителен до 02.12.2024 / 1219046KZ46 / годен до 02.12.2024</v>
      </c>
      <c r="H611" s="1" t="str">
        <f ca="1">IFERROR(__xludf.DUMMYFUNCTION("""COMPUTED_VALUE"""),"Корректор осанки с ребрами жесткости эластичный 2011 M (Болгария) KZ.7700.02.01.00616559 / Действителен до 02.12.2024 / 1219046KZ46 / годен до 02.12.2024")</f>
        <v>Корректор осанки с ребрами жесткости эластичный 2011 M (Болгария) KZ.7700.02.01.00616559 / Действителен до 02.12.2024 / 1219046KZ46 / годен до 02.12.2024</v>
      </c>
    </row>
    <row r="612" spans="1:8" ht="12.75" x14ac:dyDescent="0.2">
      <c r="A612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612" s="1" t="str">
        <f ca="1">IFERROR(__xludf.DUMMYFUNCTION("""COMPUTED_VALUE"""),"KZ.7700.02.01.00616561")</f>
        <v>KZ.7700.02.01.00616561</v>
      </c>
      <c r="C612" s="1" t="str">
        <f ca="1">IFERROR(__xludf.DUMMYFUNCTION("""COMPUTED_VALUE"""),"Действителен до 02.12.2024")</f>
        <v>Действителен до 02.12.2024</v>
      </c>
      <c r="D612" s="8" t="str">
        <f ca="1">IFERROR(__xludf.DUMMYFUNCTION("""COMPUTED_VALUE"""),"1219046KZ46")</f>
        <v>1219046KZ46</v>
      </c>
      <c r="E612" s="1" t="str">
        <f ca="1">IFERROR(__xludf.DUMMYFUNCTION("""COMPUTED_VALUE"""),"годен до 02.12.2024")</f>
        <v>годен до 02.12.2024</v>
      </c>
      <c r="F612" s="1" t="str">
        <f ca="1">IFERROR(__xludf.DUMMYFUNCTION("""COMPUTED_VALUE"""),"Корректор осанки с ребрами жесткости эластичный 2011 XL (Болгария) - 1219046KZ46")</f>
        <v>Корректор осанки с ребрами жесткости эластичный 2011 XL (Болгария) - 1219046KZ46</v>
      </c>
      <c r="G612" s="1" t="str">
        <f ca="1">IFERROR(__xludf.DUMMYFUNCTION("""COMPUTED_VALUE"""),"KZ.7700.02.01.00616561 / Действителен до 02.12.2024 / 1219046KZ46 / годен до 02.12.2024")</f>
        <v>KZ.7700.02.01.00616561 / Действителен до 02.12.2024 / 1219046KZ46 / годен до 02.12.2024</v>
      </c>
      <c r="H612" s="1" t="str">
        <f ca="1">IFERROR(__xludf.DUMMYFUNCTION("""COMPUTED_VALUE"""),"Корректор осанки с ребрами жесткости эластичный 2011 XL (Болгария) KZ.7700.02.01.00616561 / Действителен до 02.12.2024 / 1219046KZ46 / годен до 02.12.2024")</f>
        <v>Корректор осанки с ребрами жесткости эластичный 2011 XL (Болгария) KZ.7700.02.01.00616561 / Действителен до 02.12.2024 / 1219046KZ46 / годен до 02.12.2024</v>
      </c>
    </row>
    <row r="613" spans="1:8" ht="12.75" x14ac:dyDescent="0.2">
      <c r="A613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613" s="1" t="str">
        <f ca="1">IFERROR(__xludf.DUMMYFUNCTION("""COMPUTED_VALUE"""),"KZ.7700.02.01.00616558")</f>
        <v>KZ.7700.02.01.00616558</v>
      </c>
      <c r="C613" s="1" t="str">
        <f ca="1">IFERROR(__xludf.DUMMYFUNCTION("""COMPUTED_VALUE"""),"Действителен до 02.12.2024")</f>
        <v>Действителен до 02.12.2024</v>
      </c>
      <c r="D613" s="8" t="str">
        <f ca="1">IFERROR(__xludf.DUMMYFUNCTION("""COMPUTED_VALUE"""),"1219046KZ46")</f>
        <v>1219046KZ46</v>
      </c>
      <c r="E613" s="1" t="str">
        <f ca="1">IFERROR(__xludf.DUMMYFUNCTION("""COMPUTED_VALUE"""),"годен до 02.12.2024")</f>
        <v>годен до 02.12.2024</v>
      </c>
      <c r="F613" s="1" t="str">
        <f ca="1">IFERROR(__xludf.DUMMYFUNCTION("""COMPUTED_VALUE"""),"Корректор осанки с ребрами жесткости эластичный 2011 S (Болгария) - 1219046KZ46")</f>
        <v>Корректор осанки с ребрами жесткости эластичный 2011 S (Болгария) - 1219046KZ46</v>
      </c>
      <c r="G613" s="1" t="str">
        <f ca="1">IFERROR(__xludf.DUMMYFUNCTION("""COMPUTED_VALUE"""),"KZ.7700.02.01.00616558 / Действителен до 02.12.2024 / 1219046KZ46 / годен до 02.12.2024")</f>
        <v>KZ.7700.02.01.00616558 / Действителен до 02.12.2024 / 1219046KZ46 / годен до 02.12.2024</v>
      </c>
      <c r="H613" s="1" t="str">
        <f ca="1">IFERROR(__xludf.DUMMYFUNCTION("""COMPUTED_VALUE"""),"Корректор осанки с ребрами жесткости эластичный 2011 S (Болгария) KZ.7700.02.01.00616558 / Действителен до 02.12.2024 / 1219046KZ46 / годен до 02.12.2024")</f>
        <v>Корректор осанки с ребрами жесткости эластичный 2011 S (Болгария) KZ.7700.02.01.00616558 / Действителен до 02.12.2024 / 1219046KZ46 / годен до 02.12.2024</v>
      </c>
    </row>
    <row r="614" spans="1:8" ht="12.75" x14ac:dyDescent="0.2">
      <c r="A614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614" s="1" t="str">
        <f ca="1">IFERROR(__xludf.DUMMYFUNCTION("""COMPUTED_VALUE"""),"KZ.7700.02.01.00616563")</f>
        <v>KZ.7700.02.01.00616563</v>
      </c>
      <c r="C614" s="1" t="str">
        <f ca="1">IFERROR(__xludf.DUMMYFUNCTION("""COMPUTED_VALUE"""),"Действителен до 02.12.2024")</f>
        <v>Действителен до 02.12.2024</v>
      </c>
      <c r="D614" s="8" t="str">
        <f ca="1">IFERROR(__xludf.DUMMYFUNCTION("""COMPUTED_VALUE"""),"1219046KZ46")</f>
        <v>1219046KZ46</v>
      </c>
      <c r="E614" s="1" t="str">
        <f ca="1">IFERROR(__xludf.DUMMYFUNCTION("""COMPUTED_VALUE"""),"годен до 02.12.2024")</f>
        <v>годен до 02.12.2024</v>
      </c>
      <c r="F614" s="1" t="str">
        <f ca="1">IFERROR(__xludf.DUMMYFUNCTION("""COMPUTED_VALUE"""),"Корректор лечебно-профилактический (с 4 ребрами жесткости) эластичный 3011 - М - 1219046KZ46")</f>
        <v>Корректор лечебно-профилактический (с 4 ребрами жесткости) эластичный 3011 - М - 1219046KZ46</v>
      </c>
      <c r="G614" s="1" t="str">
        <f ca="1">IFERROR(__xludf.DUMMYFUNCTION("""COMPUTED_VALUE"""),"KZ.7700.02.01.00616563 / Действителен до 02.12.2024 / 1219046KZ46 / годен до 02.12.2024")</f>
        <v>KZ.7700.02.01.00616563 / Действителен до 02.12.2024 / 1219046KZ46 / годен до 02.12.2024</v>
      </c>
      <c r="H614" s="1" t="str">
        <f ca="1">IFERROR(__xludf.DUMMYFUNCTION("""COMPUTED_VALUE"""),"Корректор лечебно-профилактический (с 4 ребрами жесткости) эластичный 3011 - М KZ.7700.02.01.00616563 / Действителен до 02.12.2024 / 1219046KZ46 / годен до 02.12.2024")</f>
        <v>Корректор лечебно-профилактический (с 4 ребрами жесткости) эластичный 3011 - М KZ.7700.02.01.00616563 / Действителен до 02.12.2024 / 1219046KZ46 / годен до 02.12.2024</v>
      </c>
    </row>
    <row r="615" spans="1:8" ht="12.75" x14ac:dyDescent="0.2">
      <c r="A615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615" s="1" t="str">
        <f ca="1">IFERROR(__xludf.DUMMYFUNCTION("""COMPUTED_VALUE"""),"KZ.7700.02.01.00616564")</f>
        <v>KZ.7700.02.01.00616564</v>
      </c>
      <c r="C615" s="1" t="str">
        <f ca="1">IFERROR(__xludf.DUMMYFUNCTION("""COMPUTED_VALUE"""),"Действителен до 02.12.2024")</f>
        <v>Действителен до 02.12.2024</v>
      </c>
      <c r="D615" s="8" t="str">
        <f ca="1">IFERROR(__xludf.DUMMYFUNCTION("""COMPUTED_VALUE"""),"1219046KZ46")</f>
        <v>1219046KZ46</v>
      </c>
      <c r="E615" s="1" t="str">
        <f ca="1">IFERROR(__xludf.DUMMYFUNCTION("""COMPUTED_VALUE"""),"годен до 02.12.2024")</f>
        <v>годен до 02.12.2024</v>
      </c>
      <c r="F615" s="1" t="str">
        <f ca="1">IFERROR(__xludf.DUMMYFUNCTION("""COMPUTED_VALUE"""),"Корректор лечебно-профилактический (с 4 ребрами жесткости) эластичный 3011 - L - 1219046KZ46")</f>
        <v>Корректор лечебно-профилактический (с 4 ребрами жесткости) эластичный 3011 - L - 1219046KZ46</v>
      </c>
      <c r="G615" s="1" t="str">
        <f ca="1">IFERROR(__xludf.DUMMYFUNCTION("""COMPUTED_VALUE"""),"KZ.7700.02.01.00616564 / Действителен до 02.12.2024 / 1219046KZ46 / годен до 02.12.2024")</f>
        <v>KZ.7700.02.01.00616564 / Действителен до 02.12.2024 / 1219046KZ46 / годен до 02.12.2024</v>
      </c>
      <c r="H615" s="1" t="str">
        <f ca="1">IFERROR(__xludf.DUMMYFUNCTION("""COMPUTED_VALUE"""),"Корректор лечебно-профилактический (с 4 ребрами жесткости) эластичный 3011 - L KZ.7700.02.01.00616564 / Действителен до 02.12.2024 / 1219046KZ46 / годен до 02.12.2024")</f>
        <v>Корректор лечебно-профилактический (с 4 ребрами жесткости) эластичный 3011 - L KZ.7700.02.01.00616564 / Действителен до 02.12.2024 / 1219046KZ46 / годен до 02.12.2024</v>
      </c>
    </row>
    <row r="616" spans="1:8" ht="12.75" x14ac:dyDescent="0.2">
      <c r="A616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616" s="1" t="str">
        <f ca="1">IFERROR(__xludf.DUMMYFUNCTION("""COMPUTED_VALUE"""),"KZ.7700.02.01.00616565")</f>
        <v>KZ.7700.02.01.00616565</v>
      </c>
      <c r="C616" s="1" t="str">
        <f ca="1">IFERROR(__xludf.DUMMYFUNCTION("""COMPUTED_VALUE"""),"Действителен до 02.12.2024")</f>
        <v>Действителен до 02.12.2024</v>
      </c>
      <c r="D616" s="8" t="str">
        <f ca="1">IFERROR(__xludf.DUMMYFUNCTION("""COMPUTED_VALUE"""),"1219046KZ46")</f>
        <v>1219046KZ46</v>
      </c>
      <c r="E616" s="1" t="str">
        <f ca="1">IFERROR(__xludf.DUMMYFUNCTION("""COMPUTED_VALUE"""),"годен до 02.12.2024")</f>
        <v>годен до 02.12.2024</v>
      </c>
      <c r="F616" s="1" t="str">
        <f ca="1">IFERROR(__xludf.DUMMYFUNCTION("""COMPUTED_VALUE"""),"Корректор лечебно-профилактический (с 4 ребрами жесткости) эластичный 3011- XL - 1219046KZ46")</f>
        <v>Корректор лечебно-профилактический (с 4 ребрами жесткости) эластичный 3011- XL - 1219046KZ46</v>
      </c>
      <c r="G616" s="1" t="str">
        <f ca="1">IFERROR(__xludf.DUMMYFUNCTION("""COMPUTED_VALUE"""),"KZ.7700.02.01.00616565 / Действителен до 02.12.2024 / 1219046KZ46 / годен до 02.12.2024")</f>
        <v>KZ.7700.02.01.00616565 / Действителен до 02.12.2024 / 1219046KZ46 / годен до 02.12.2024</v>
      </c>
      <c r="H616" s="1" t="str">
        <f ca="1">IFERROR(__xludf.DUMMYFUNCTION("""COMPUTED_VALUE"""),"Корректор лечебно-профилактический (с 4 ребрами жесткости) эластичный 3011- XL KZ.7700.02.01.00616565 / Действителен до 02.12.2024 / 1219046KZ46 / годен до 02.12.2024")</f>
        <v>Корректор лечебно-профилактический (с 4 ребрами жесткости) эластичный 3011- XL KZ.7700.02.01.00616565 / Действителен до 02.12.2024 / 1219046KZ46 / годен до 02.12.2024</v>
      </c>
    </row>
    <row r="617" spans="1:8" ht="12.75" x14ac:dyDescent="0.2">
      <c r="A617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617" s="1" t="str">
        <f ca="1">IFERROR(__xludf.DUMMYFUNCTION("""COMPUTED_VALUE"""),"KZ.7700.02.01.00616567")</f>
        <v>KZ.7700.02.01.00616567</v>
      </c>
      <c r="C617" s="1" t="str">
        <f ca="1">IFERROR(__xludf.DUMMYFUNCTION("""COMPUTED_VALUE"""),"Действителен до 02.12.2024")</f>
        <v>Действителен до 02.12.2024</v>
      </c>
      <c r="D617" s="8" t="str">
        <f ca="1">IFERROR(__xludf.DUMMYFUNCTION("""COMPUTED_VALUE"""),"1219046KZ46")</f>
        <v>1219046KZ46</v>
      </c>
      <c r="E617" s="1" t="str">
        <f ca="1">IFERROR(__xludf.DUMMYFUNCTION("""COMPUTED_VALUE"""),"годен до 02.12.2024")</f>
        <v>годен до 02.12.2024</v>
      </c>
      <c r="F617" s="1" t="str">
        <f ca="1">IFERROR(__xludf.DUMMYFUNCTION("""COMPUTED_VALUE"""),"Корректор лечебно-профилактический (с 4 ребрами жесткости) эластичный 3011- XXL - 1219046KZ46")</f>
        <v>Корректор лечебно-профилактический (с 4 ребрами жесткости) эластичный 3011- XXL - 1219046KZ46</v>
      </c>
      <c r="G617" s="1" t="str">
        <f ca="1">IFERROR(__xludf.DUMMYFUNCTION("""COMPUTED_VALUE"""),"KZ.7700.02.01.00616567 / Действителен до 02.12.2024 / 1219046KZ46 / годен до 02.12.2024")</f>
        <v>KZ.7700.02.01.00616567 / Действителен до 02.12.2024 / 1219046KZ46 / годен до 02.12.2024</v>
      </c>
      <c r="H617" s="1" t="str">
        <f ca="1">IFERROR(__xludf.DUMMYFUNCTION("""COMPUTED_VALUE"""),"Корректор лечебно-профилактический (с 4 ребрами жесткости) эластичный 3011- XXL KZ.7700.02.01.00616567 / Действителен до 02.12.2024 / 1219046KZ46 / годен до 02.12.2024")</f>
        <v>Корректор лечебно-профилактический (с 4 ребрами жесткости) эластичный 3011- XXL KZ.7700.02.01.00616567 / Действителен до 02.12.2024 / 1219046KZ46 / годен до 02.12.2024</v>
      </c>
    </row>
    <row r="618" spans="1:8" ht="12.75" x14ac:dyDescent="0.2">
      <c r="A618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618" s="1" t="str">
        <f ca="1">IFERROR(__xludf.DUMMYFUNCTION("""COMPUTED_VALUE"""),"KZ.7700.02.01.00616630")</f>
        <v>KZ.7700.02.01.00616630</v>
      </c>
      <c r="C618" s="1" t="str">
        <f ca="1">IFERROR(__xludf.DUMMYFUNCTION("""COMPUTED_VALUE"""),"Действителен до 02.12.2024")</f>
        <v>Действителен до 02.12.2024</v>
      </c>
      <c r="D618" s="8" t="str">
        <f ca="1">IFERROR(__xludf.DUMMYFUNCTION("""COMPUTED_VALUE"""),"1219046KZ46")</f>
        <v>1219046KZ46</v>
      </c>
      <c r="E618" s="1" t="str">
        <f ca="1">IFERROR(__xludf.DUMMYFUNCTION("""COMPUTED_VALUE"""),"годен до 02.12.2024")</f>
        <v>годен до 02.12.2024</v>
      </c>
      <c r="F618" s="1" t="str">
        <f ca="1">IFERROR(__xludf.DUMMYFUNCTION("""COMPUTED_VALUE"""),"Корректор лечебно-профилактический (с 4 ребрами жесткости) эластичный 3011- XXXL - 1219046KZ46")</f>
        <v>Корректор лечебно-профилактический (с 4 ребрами жесткости) эластичный 3011- XXXL - 1219046KZ46</v>
      </c>
      <c r="G618" s="1" t="str">
        <f ca="1">IFERROR(__xludf.DUMMYFUNCTION("""COMPUTED_VALUE"""),"KZ.7700.02.01.00616630 / Действителен до 02.12.2024 / 1219046KZ46 / годен до 02.12.2024")</f>
        <v>KZ.7700.02.01.00616630 / Действителен до 02.12.2024 / 1219046KZ46 / годен до 02.12.2024</v>
      </c>
      <c r="H618" s="1" t="str">
        <f ca="1">IFERROR(__xludf.DUMMYFUNCTION("""COMPUTED_VALUE"""),"Корректор лечебно-профилактический (с 4 ребрами жесткости) эластичный 3011- XXXL KZ.7700.02.01.00616630 / Действителен до 02.12.2024 / 1219046KZ46 / годен до 02.12.2024")</f>
        <v>Корректор лечебно-профилактический (с 4 ребрами жесткости) эластичный 3011- XXXL KZ.7700.02.01.00616630 / Действителен до 02.12.2024 / 1219046KZ46 / годен до 02.12.2024</v>
      </c>
    </row>
    <row r="619" spans="1:8" ht="12.75" x14ac:dyDescent="0.2">
      <c r="A619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619" s="1" t="str">
        <f ca="1">IFERROR(__xludf.DUMMYFUNCTION("""COMPUTED_VALUE"""),"KZ.7700.02.01.00616568")</f>
        <v>KZ.7700.02.01.00616568</v>
      </c>
      <c r="C619" s="1" t="str">
        <f ca="1">IFERROR(__xludf.DUMMYFUNCTION("""COMPUTED_VALUE"""),"Действителен до 02.12.2024")</f>
        <v>Действителен до 02.12.2024</v>
      </c>
      <c r="D619" s="8" t="str">
        <f ca="1">IFERROR(__xludf.DUMMYFUNCTION("""COMPUTED_VALUE"""),"1219046KZ46")</f>
        <v>1219046KZ46</v>
      </c>
      <c r="E619" s="1" t="str">
        <f ca="1">IFERROR(__xludf.DUMMYFUNCTION("""COMPUTED_VALUE"""),"годен до 02.12.2024")</f>
        <v>годен до 02.12.2024</v>
      </c>
      <c r="F619" s="1" t="str">
        <f ca="1">IFERROR(__xludf.DUMMYFUNCTION("""COMPUTED_VALUE"""),"Корректор лечебно-профилактический (с 4 ребрами жесткости) эластичный 3011 XXXXL - 1219046KZ46")</f>
        <v>Корректор лечебно-профилактический (с 4 ребрами жесткости) эластичный 3011 XXXXL - 1219046KZ46</v>
      </c>
      <c r="G619" s="1" t="str">
        <f ca="1">IFERROR(__xludf.DUMMYFUNCTION("""COMPUTED_VALUE"""),"KZ.7700.02.01.00616568 / Действителен до 02.12.2024 / 1219046KZ46 / годен до 02.12.2024")</f>
        <v>KZ.7700.02.01.00616568 / Действителен до 02.12.2024 / 1219046KZ46 / годен до 02.12.2024</v>
      </c>
      <c r="H619" s="1" t="str">
        <f ca="1">IFERROR(__xludf.DUMMYFUNCTION("""COMPUTED_VALUE"""),"Корректор лечебно-профилактический (с 4 ребрами жесткости) эластичный 3011 XXXXL KZ.7700.02.01.00616568 / Действителен до 02.12.2024 / 1219046KZ46 / годен до 02.12.2024")</f>
        <v>Корректор лечебно-профилактический (с 4 ребрами жесткости) эластичный 3011 XXXXL KZ.7700.02.01.00616568 / Действителен до 02.12.2024 / 1219046KZ46 / годен до 02.12.2024</v>
      </c>
    </row>
    <row r="620" spans="1:8" ht="12.75" x14ac:dyDescent="0.2">
      <c r="A620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620" s="1" t="str">
        <f ca="1">IFERROR(__xludf.DUMMYFUNCTION("""COMPUTED_VALUE"""),"KZ.7700.02.01.00616631")</f>
        <v>KZ.7700.02.01.00616631</v>
      </c>
      <c r="C620" s="1" t="str">
        <f ca="1">IFERROR(__xludf.DUMMYFUNCTION("""COMPUTED_VALUE"""),"Действителен до 02.12.2024")</f>
        <v>Действителен до 02.12.2024</v>
      </c>
      <c r="D620" s="8" t="str">
        <f ca="1">IFERROR(__xludf.DUMMYFUNCTION("""COMPUTED_VALUE"""),"1219046KZ46")</f>
        <v>1219046KZ46</v>
      </c>
      <c r="E620" s="1" t="str">
        <f ca="1">IFERROR(__xludf.DUMMYFUNCTION("""COMPUTED_VALUE"""),"годен до 02.12.2024")</f>
        <v>годен до 02.12.2024</v>
      </c>
      <c r="F620" s="1" t="str">
        <f ca="1">IFERROR(__xludf.DUMMYFUNCTION("""COMPUTED_VALUE"""),"Корсет ортопедический с ребрами жесткости согревающий 3041 XL/XXL (Болгария) - 1219046KZ46")</f>
        <v>Корсет ортопедический с ребрами жесткости согревающий 3041 XL/XXL (Болгария) - 1219046KZ46</v>
      </c>
      <c r="G620" s="1" t="str">
        <f ca="1">IFERROR(__xludf.DUMMYFUNCTION("""COMPUTED_VALUE"""),"KZ.7700.02.01.00616631 / Действителен до 02.12.2024 / 1219046KZ46 / годен до 02.12.2024")</f>
        <v>KZ.7700.02.01.00616631 / Действителен до 02.12.2024 / 1219046KZ46 / годен до 02.12.2024</v>
      </c>
      <c r="H620" s="1" t="str">
        <f ca="1">IFERROR(__xludf.DUMMYFUNCTION("""COMPUTED_VALUE"""),"Корсет ортопедический с ребрами жесткости согревающий 3041 XL/XXL (Болгария) KZ.7700.02.01.00616631 / Действителен до 02.12.2024 / 1219046KZ46 / годен до 02.12.2024")</f>
        <v>Корсет ортопедический с ребрами жесткости согревающий 3041 XL/XXL (Болгария) KZ.7700.02.01.00616631 / Действителен до 02.12.2024 / 1219046KZ46 / годен до 02.12.2024</v>
      </c>
    </row>
    <row r="621" spans="1:8" ht="12.75" x14ac:dyDescent="0.2">
      <c r="A621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621" s="1" t="str">
        <f ca="1">IFERROR(__xludf.DUMMYFUNCTION("""COMPUTED_VALUE"""),"KZ.7700.02.01.00616569")</f>
        <v>KZ.7700.02.01.00616569</v>
      </c>
      <c r="C621" s="1" t="str">
        <f ca="1">IFERROR(__xludf.DUMMYFUNCTION("""COMPUTED_VALUE"""),"Действителен до 02.12.2024")</f>
        <v>Действителен до 02.12.2024</v>
      </c>
      <c r="D621" s="8" t="str">
        <f ca="1">IFERROR(__xludf.DUMMYFUNCTION("""COMPUTED_VALUE"""),"1219046KZ46")</f>
        <v>1219046KZ46</v>
      </c>
      <c r="E621" s="1" t="str">
        <f ca="1">IFERROR(__xludf.DUMMYFUNCTION("""COMPUTED_VALUE"""),"годен до 02.12.2024")</f>
        <v>годен до 02.12.2024</v>
      </c>
      <c r="F621" s="1" t="str">
        <f ca="1">IFERROR(__xludf.DUMMYFUNCTION("""COMPUTED_VALUE"""),"Корсет ортопедический с ребрами жесткости согревающий 3041 M/L (Болгария) - 1219046KZ46")</f>
        <v>Корсет ортопедический с ребрами жесткости согревающий 3041 M/L (Болгария) - 1219046KZ46</v>
      </c>
      <c r="G621" s="1" t="str">
        <f ca="1">IFERROR(__xludf.DUMMYFUNCTION("""COMPUTED_VALUE"""),"KZ.7700.02.01.00616569 / Действителен до 02.12.2024 / 1219046KZ46 / годен до 02.12.2024")</f>
        <v>KZ.7700.02.01.00616569 / Действителен до 02.12.2024 / 1219046KZ46 / годен до 02.12.2024</v>
      </c>
      <c r="H621" s="1" t="str">
        <f ca="1">IFERROR(__xludf.DUMMYFUNCTION("""COMPUTED_VALUE"""),"Корсет ортопедический с ребрами жесткости согревающий 3041 M/L (Болгария) KZ.7700.02.01.00616569 / Действителен до 02.12.2024 / 1219046KZ46 / годен до 02.12.2024")</f>
        <v>Корсет ортопедический с ребрами жесткости согревающий 3041 M/L (Болгария) KZ.7700.02.01.00616569 / Действителен до 02.12.2024 / 1219046KZ46 / годен до 02.12.2024</v>
      </c>
    </row>
    <row r="622" spans="1:8" ht="12.75" x14ac:dyDescent="0.2">
      <c r="A622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622" s="1" t="str">
        <f ca="1">IFERROR(__xludf.DUMMYFUNCTION("""COMPUTED_VALUE"""),"KZ.7700.02.01.00616571")</f>
        <v>KZ.7700.02.01.00616571</v>
      </c>
      <c r="C622" s="1" t="str">
        <f ca="1">IFERROR(__xludf.DUMMYFUNCTION("""COMPUTED_VALUE"""),"Действителен до 02.12.2024")</f>
        <v>Действителен до 02.12.2024</v>
      </c>
      <c r="D622" s="8" t="str">
        <f ca="1">IFERROR(__xludf.DUMMYFUNCTION("""COMPUTED_VALUE"""),"1219046KZ46")</f>
        <v>1219046KZ46</v>
      </c>
      <c r="E622" s="1" t="str">
        <f ca="1">IFERROR(__xludf.DUMMYFUNCTION("""COMPUTED_VALUE"""),"годен до 02.12.2024")</f>
        <v>годен до 02.12.2024</v>
      </c>
      <c r="F622" s="1" t="str">
        <f ca="1">IFERROR(__xludf.DUMMYFUNCTION("""COMPUTED_VALUE"""),"Корсет ортопедический с ребрами жесткости согревающий 3041 XXXL/XXXXL (Болгария) - 1219046KZ46")</f>
        <v>Корсет ортопедический с ребрами жесткости согревающий 3041 XXXL/XXXXL (Болгария) - 1219046KZ46</v>
      </c>
      <c r="G622" s="1" t="str">
        <f ca="1">IFERROR(__xludf.DUMMYFUNCTION("""COMPUTED_VALUE"""),"KZ.7700.02.01.00616571 / Действителен до 02.12.2024 / 1219046KZ46 / годен до 02.12.2024")</f>
        <v>KZ.7700.02.01.00616571 / Действителен до 02.12.2024 / 1219046KZ46 / годен до 02.12.2024</v>
      </c>
      <c r="H622" s="1" t="str">
        <f ca="1">IFERROR(__xludf.DUMMYFUNCTION("""COMPUTED_VALUE"""),"Корсет ортопедический с ребрами жесткости согревающий 3041 XXXL/XXXXL (Болгария) KZ.7700.02.01.00616571 / Действителен до 02.12.2024 / 1219046KZ46 / годен до 02.12.2024")</f>
        <v>Корсет ортопедический с ребрами жесткости согревающий 3041 XXXL/XXXXL (Болгария) KZ.7700.02.01.00616571 / Действителен до 02.12.2024 / 1219046KZ46 / годен до 02.12.2024</v>
      </c>
    </row>
    <row r="623" spans="1:8" ht="12.75" x14ac:dyDescent="0.2">
      <c r="A623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623" s="1" t="str">
        <f ca="1">IFERROR(__xludf.DUMMYFUNCTION("""COMPUTED_VALUE"""),"KZ.7700.02.01.00616574")</f>
        <v>KZ.7700.02.01.00616574</v>
      </c>
      <c r="C623" s="1" t="str">
        <f ca="1">IFERROR(__xludf.DUMMYFUNCTION("""COMPUTED_VALUE"""),"Действителен до 02.12.2024")</f>
        <v>Действителен до 02.12.2024</v>
      </c>
      <c r="D623" s="8" t="str">
        <f ca="1">IFERROR(__xludf.DUMMYFUNCTION("""COMPUTED_VALUE"""),"1219046KZ46")</f>
        <v>1219046KZ46</v>
      </c>
      <c r="E623" s="1" t="str">
        <f ca="1">IFERROR(__xludf.DUMMYFUNCTION("""COMPUTED_VALUE"""),"годен до 02.12.2024")</f>
        <v>годен до 02.12.2024</v>
      </c>
      <c r="F623" s="1" t="str">
        <f ca="1">IFERROR(__xludf.DUMMYFUNCTION("""COMPUTED_VALUE"""),"Бандаж лечебно–профилактический (с тремя ребрами жесткости) 4001 L (Болгария) - 1219046KZ46")</f>
        <v>Бандаж лечебно–профилактический (с тремя ребрами жесткости) 4001 L (Болгария) - 1219046KZ46</v>
      </c>
      <c r="G623" s="1" t="str">
        <f ca="1">IFERROR(__xludf.DUMMYFUNCTION("""COMPUTED_VALUE"""),"KZ.7700.02.01.00616574 / Действителен до 02.12.2024 / 1219046KZ46 / годен до 02.12.2024")</f>
        <v>KZ.7700.02.01.00616574 / Действителен до 02.12.2024 / 1219046KZ46 / годен до 02.12.2024</v>
      </c>
      <c r="H623" s="1" t="str">
        <f ca="1">IFERROR(__xludf.DUMMYFUNCTION("""COMPUTED_VALUE"""),"Бандаж лечебно–профилактический (с тремя ребрами жесткости) 4001 L (Болгария) KZ.7700.02.01.00616574 / Действителен до 02.12.2024 / 1219046KZ46 / годен до 02.12.2024")</f>
        <v>Бандаж лечебно–профилактический (с тремя ребрами жесткости) 4001 L (Болгария) KZ.7700.02.01.00616574 / Действителен до 02.12.2024 / 1219046KZ46 / годен до 02.12.2024</v>
      </c>
    </row>
    <row r="624" spans="1:8" ht="12.75" x14ac:dyDescent="0.2">
      <c r="A624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624" s="1" t="str">
        <f ca="1">IFERROR(__xludf.DUMMYFUNCTION("""COMPUTED_VALUE"""),"KZ.7700.02.01.00616573")</f>
        <v>KZ.7700.02.01.00616573</v>
      </c>
      <c r="C624" s="1" t="str">
        <f ca="1">IFERROR(__xludf.DUMMYFUNCTION("""COMPUTED_VALUE"""),"Действителен до 02.12.2024")</f>
        <v>Действителен до 02.12.2024</v>
      </c>
      <c r="D624" s="8" t="str">
        <f ca="1">IFERROR(__xludf.DUMMYFUNCTION("""COMPUTED_VALUE"""),"1219046KZ46")</f>
        <v>1219046KZ46</v>
      </c>
      <c r="E624" s="1" t="str">
        <f ca="1">IFERROR(__xludf.DUMMYFUNCTION("""COMPUTED_VALUE"""),"годен до 02.12.2024")</f>
        <v>годен до 02.12.2024</v>
      </c>
      <c r="F624" s="1" t="str">
        <f ca="1">IFERROR(__xludf.DUMMYFUNCTION("""COMPUTED_VALUE"""),"Бандаж лечебно–профилактический (с тремя ребрами жесткости) 4001 M (Болгария) - 1219046KZ46")</f>
        <v>Бандаж лечебно–профилактический (с тремя ребрами жесткости) 4001 M (Болгария) - 1219046KZ46</v>
      </c>
      <c r="G624" s="1" t="str">
        <f ca="1">IFERROR(__xludf.DUMMYFUNCTION("""COMPUTED_VALUE"""),"KZ.7700.02.01.00616573 / Действителен до 02.12.2024 / 1219046KZ46 / годен до 02.12.2024")</f>
        <v>KZ.7700.02.01.00616573 / Действителен до 02.12.2024 / 1219046KZ46 / годен до 02.12.2024</v>
      </c>
      <c r="H624" s="1" t="str">
        <f ca="1">IFERROR(__xludf.DUMMYFUNCTION("""COMPUTED_VALUE"""),"Бандаж лечебно–профилактический (с тремя ребрами жесткости) 4001 M (Болгария) KZ.7700.02.01.00616573 / Действителен до 02.12.2024 / 1219046KZ46 / годен до 02.12.2024")</f>
        <v>Бандаж лечебно–профилактический (с тремя ребрами жесткости) 4001 M (Болгария) KZ.7700.02.01.00616573 / Действителен до 02.12.2024 / 1219046KZ46 / годен до 02.12.2024</v>
      </c>
    </row>
    <row r="625" spans="1:8" ht="12.75" x14ac:dyDescent="0.2">
      <c r="A625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625" s="1" t="str">
        <f ca="1">IFERROR(__xludf.DUMMYFUNCTION("""COMPUTED_VALUE"""),"KZ.7700.02.01.00616572")</f>
        <v>KZ.7700.02.01.00616572</v>
      </c>
      <c r="C625" s="1" t="str">
        <f ca="1">IFERROR(__xludf.DUMMYFUNCTION("""COMPUTED_VALUE"""),"Действителен до 02.12.2024")</f>
        <v>Действителен до 02.12.2024</v>
      </c>
      <c r="D625" s="8" t="str">
        <f ca="1">IFERROR(__xludf.DUMMYFUNCTION("""COMPUTED_VALUE"""),"1219046KZ46")</f>
        <v>1219046KZ46</v>
      </c>
      <c r="E625" s="1" t="str">
        <f ca="1">IFERROR(__xludf.DUMMYFUNCTION("""COMPUTED_VALUE"""),"годен до 02.12.2024")</f>
        <v>годен до 02.12.2024</v>
      </c>
      <c r="F625" s="1" t="str">
        <f ca="1">IFERROR(__xludf.DUMMYFUNCTION("""COMPUTED_VALUE"""),"Бандаж лечебно–профилактический (с тремя ребрами жесткости) 4001 S (Болгария) - 1219046KZ46")</f>
        <v>Бандаж лечебно–профилактический (с тремя ребрами жесткости) 4001 S (Болгария) - 1219046KZ46</v>
      </c>
      <c r="G625" s="1" t="str">
        <f ca="1">IFERROR(__xludf.DUMMYFUNCTION("""COMPUTED_VALUE"""),"KZ.7700.02.01.00616572 / Действителен до 02.12.2024 / 1219046KZ46 / годен до 02.12.2024")</f>
        <v>KZ.7700.02.01.00616572 / Действителен до 02.12.2024 / 1219046KZ46 / годен до 02.12.2024</v>
      </c>
      <c r="H625" s="1" t="str">
        <f ca="1">IFERROR(__xludf.DUMMYFUNCTION("""COMPUTED_VALUE"""),"Бандаж лечебно–профилактический (с тремя ребрами жесткости) 4001 S (Болгария) KZ.7700.02.01.00616572 / Действителен до 02.12.2024 / 1219046KZ46 / годен до 02.12.2024")</f>
        <v>Бандаж лечебно–профилактический (с тремя ребрами жесткости) 4001 S (Болгария) KZ.7700.02.01.00616572 / Действителен до 02.12.2024 / 1219046KZ46 / годен до 02.12.2024</v>
      </c>
    </row>
    <row r="626" spans="1:8" ht="12.75" x14ac:dyDescent="0.2">
      <c r="A626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626" s="1" t="str">
        <f ca="1">IFERROR(__xludf.DUMMYFUNCTION("""COMPUTED_VALUE"""),"KZ.7700.02.01.00616576")</f>
        <v>KZ.7700.02.01.00616576</v>
      </c>
      <c r="C626" s="1" t="str">
        <f ca="1">IFERROR(__xludf.DUMMYFUNCTION("""COMPUTED_VALUE"""),"Действителен до 02.12.2024")</f>
        <v>Действителен до 02.12.2024</v>
      </c>
      <c r="D626" s="8" t="str">
        <f ca="1">IFERROR(__xludf.DUMMYFUNCTION("""COMPUTED_VALUE"""),"1219046KZ46")</f>
        <v>1219046KZ46</v>
      </c>
      <c r="E626" s="1" t="str">
        <f ca="1">IFERROR(__xludf.DUMMYFUNCTION("""COMPUTED_VALUE"""),"годен до 02.12.2024")</f>
        <v>годен до 02.12.2024</v>
      </c>
      <c r="F626" s="1" t="str">
        <f ca="1">IFERROR(__xludf.DUMMYFUNCTION("""COMPUTED_VALUE"""),"Бандаж лечебно–профилактический (с тремя ребрами жесткости) 4001 XL (Болгария) - 1219046KZ46")</f>
        <v>Бандаж лечебно–профилактический (с тремя ребрами жесткости) 4001 XL (Болгария) - 1219046KZ46</v>
      </c>
      <c r="G626" s="1" t="str">
        <f ca="1">IFERROR(__xludf.DUMMYFUNCTION("""COMPUTED_VALUE"""),"KZ.7700.02.01.00616576 / Действителен до 02.12.2024 / 1219046KZ46 / годен до 02.12.2024")</f>
        <v>KZ.7700.02.01.00616576 / Действителен до 02.12.2024 / 1219046KZ46 / годен до 02.12.2024</v>
      </c>
      <c r="H626" s="1" t="str">
        <f ca="1">IFERROR(__xludf.DUMMYFUNCTION("""COMPUTED_VALUE"""),"Бандаж лечебно–профилактический (с тремя ребрами жесткости) 4001 XL (Болгария) KZ.7700.02.01.00616576 / Действителен до 02.12.2024 / 1219046KZ46 / годен до 02.12.2024")</f>
        <v>Бандаж лечебно–профилактический (с тремя ребрами жесткости) 4001 XL (Болгария) KZ.7700.02.01.00616576 / Действителен до 02.12.2024 / 1219046KZ46 / годен до 02.12.2024</v>
      </c>
    </row>
    <row r="627" spans="1:8" ht="12.75" x14ac:dyDescent="0.2">
      <c r="A627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627" s="1" t="str">
        <f ca="1">IFERROR(__xludf.DUMMYFUNCTION("""COMPUTED_VALUE"""),"KZ.7700.02.01.00616577")</f>
        <v>KZ.7700.02.01.00616577</v>
      </c>
      <c r="C627" s="1" t="str">
        <f ca="1">IFERROR(__xludf.DUMMYFUNCTION("""COMPUTED_VALUE"""),"Действителен до 02.12.2024")</f>
        <v>Действителен до 02.12.2024</v>
      </c>
      <c r="D627" s="8" t="str">
        <f ca="1">IFERROR(__xludf.DUMMYFUNCTION("""COMPUTED_VALUE"""),"1219046KZ46")</f>
        <v>1219046KZ46</v>
      </c>
      <c r="E627" s="1" t="str">
        <f ca="1">IFERROR(__xludf.DUMMYFUNCTION("""COMPUTED_VALUE"""),"годен до 02.12.2024")</f>
        <v>годен до 02.12.2024</v>
      </c>
      <c r="F627" s="1" t="str">
        <f ca="1">IFERROR(__xludf.DUMMYFUNCTION("""COMPUTED_VALUE"""),"Бандаж лечебно–профилактический (с тремя ребрами жесткости) 4001 XXL (Болгария) - 1219046KZ46")</f>
        <v>Бандаж лечебно–профилактический (с тремя ребрами жесткости) 4001 XXL (Болгария) - 1219046KZ46</v>
      </c>
      <c r="G627" s="1" t="str">
        <f ca="1">IFERROR(__xludf.DUMMYFUNCTION("""COMPUTED_VALUE"""),"KZ.7700.02.01.00616577 / Действителен до 02.12.2024 / 1219046KZ46 / годен до 02.12.2024")</f>
        <v>KZ.7700.02.01.00616577 / Действителен до 02.12.2024 / 1219046KZ46 / годен до 02.12.2024</v>
      </c>
      <c r="H627" s="1" t="str">
        <f ca="1">IFERROR(__xludf.DUMMYFUNCTION("""COMPUTED_VALUE"""),"Бандаж лечебно–профилактический (с тремя ребрами жесткости) 4001 XXL (Болгария) KZ.7700.02.01.00616577 / Действителен до 02.12.2024 / 1219046KZ46 / годен до 02.12.2024")</f>
        <v>Бандаж лечебно–профилактический (с тремя ребрами жесткости) 4001 XXL (Болгария) KZ.7700.02.01.00616577 / Действителен до 02.12.2024 / 1219046KZ46 / годен до 02.12.2024</v>
      </c>
    </row>
    <row r="628" spans="1:8" ht="12.75" x14ac:dyDescent="0.2">
      <c r="A628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628" s="1" t="str">
        <f ca="1">IFERROR(__xludf.DUMMYFUNCTION("""COMPUTED_VALUE"""),"KZ.7700.02.01.00616578")</f>
        <v>KZ.7700.02.01.00616578</v>
      </c>
      <c r="C628" s="1" t="str">
        <f ca="1">IFERROR(__xludf.DUMMYFUNCTION("""COMPUTED_VALUE"""),"Действителен до 02.12.2024")</f>
        <v>Действителен до 02.12.2024</v>
      </c>
      <c r="D628" s="8" t="str">
        <f ca="1">IFERROR(__xludf.DUMMYFUNCTION("""COMPUTED_VALUE"""),"1219046KZ46")</f>
        <v>1219046KZ46</v>
      </c>
      <c r="E628" s="1" t="str">
        <f ca="1">IFERROR(__xludf.DUMMYFUNCTION("""COMPUTED_VALUE"""),"годен до 02.12.2024")</f>
        <v>годен до 02.12.2024</v>
      </c>
      <c r="F628" s="1" t="str">
        <f ca="1">IFERROR(__xludf.DUMMYFUNCTION("""COMPUTED_VALUE"""),"Бандаж лечебно–профилактический (с тремя ребрами жесткости) 4001 XXXL(Болгария) - 1219046KZ46")</f>
        <v>Бандаж лечебно–профилактический (с тремя ребрами жесткости) 4001 XXXL(Болгария) - 1219046KZ46</v>
      </c>
      <c r="G628" s="1" t="str">
        <f ca="1">IFERROR(__xludf.DUMMYFUNCTION("""COMPUTED_VALUE"""),"KZ.7700.02.01.00616578 / Действителен до 02.12.2024 / 1219046KZ46 / годен до 02.12.2024")</f>
        <v>KZ.7700.02.01.00616578 / Действителен до 02.12.2024 / 1219046KZ46 / годен до 02.12.2024</v>
      </c>
      <c r="H628" s="1" t="str">
        <f ca="1">IFERROR(__xludf.DUMMYFUNCTION("""COMPUTED_VALUE"""),"Бандаж лечебно–профилактический (с тремя ребрами жесткости) 4001 XXXL(Болгария) KZ.7700.02.01.00616578 / Действителен до 02.12.2024 / 1219046KZ46 / годен до 02.12.2024")</f>
        <v>Бандаж лечебно–профилактический (с тремя ребрами жесткости) 4001 XXXL(Болгария) KZ.7700.02.01.00616578 / Действителен до 02.12.2024 / 1219046KZ46 / годен до 02.12.2024</v>
      </c>
    </row>
    <row r="629" spans="1:8" ht="12.75" x14ac:dyDescent="0.2">
      <c r="A629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629" s="1" t="str">
        <f ca="1">IFERROR(__xludf.DUMMYFUNCTION("""COMPUTED_VALUE"""),"KZ.7700.02.01.00616580")</f>
        <v>KZ.7700.02.01.00616580</v>
      </c>
      <c r="C629" s="1" t="str">
        <f ca="1">IFERROR(__xludf.DUMMYFUNCTION("""COMPUTED_VALUE"""),"Действителен до 02.12.2024")</f>
        <v>Действителен до 02.12.2024</v>
      </c>
      <c r="D629" s="8" t="str">
        <f ca="1">IFERROR(__xludf.DUMMYFUNCTION("""COMPUTED_VALUE"""),"1219046KZ46")</f>
        <v>1219046KZ46</v>
      </c>
      <c r="E629" s="1" t="str">
        <f ca="1">IFERROR(__xludf.DUMMYFUNCTION("""COMPUTED_VALUE"""),"годен до 02.12.2024")</f>
        <v>годен до 02.12.2024</v>
      </c>
      <c r="F629" s="1" t="str">
        <f ca="1">IFERROR(__xludf.DUMMYFUNCTION("""COMPUTED_VALUE"""),"Бандаж лечебно–профилактический (с тремя ребрами жесткости) 4001 XXXXL(Болгария) - 1219046KZ46")</f>
        <v>Бандаж лечебно–профилактический (с тремя ребрами жесткости) 4001 XXXXL(Болгария) - 1219046KZ46</v>
      </c>
      <c r="G629" s="1" t="str">
        <f ca="1">IFERROR(__xludf.DUMMYFUNCTION("""COMPUTED_VALUE"""),"KZ.7700.02.01.00616580 / Действителен до 02.12.2024 / 1219046KZ46 / годен до 02.12.2024")</f>
        <v>KZ.7700.02.01.00616580 / Действителен до 02.12.2024 / 1219046KZ46 / годен до 02.12.2024</v>
      </c>
      <c r="H629" s="1" t="str">
        <f ca="1">IFERROR(__xludf.DUMMYFUNCTION("""COMPUTED_VALUE"""),"Бандаж лечебно–профилактический (с тремя ребрами жесткости) 4001 XXXXL(Болгария) KZ.7700.02.01.00616580 / Действителен до 02.12.2024 / 1219046KZ46 / годен до 02.12.2024")</f>
        <v>Бандаж лечебно–профилактический (с тремя ребрами жесткости) 4001 XXXXL(Болгария) KZ.7700.02.01.00616580 / Действителен до 02.12.2024 / 1219046KZ46 / годен до 02.12.2024</v>
      </c>
    </row>
    <row r="630" spans="1:8" ht="12.75" x14ac:dyDescent="0.2">
      <c r="A630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630" s="1" t="str">
        <f ca="1">IFERROR(__xludf.DUMMYFUNCTION("""COMPUTED_VALUE"""),"KZ.7700.02.01.00616583")</f>
        <v>KZ.7700.02.01.00616583</v>
      </c>
      <c r="C630" s="1" t="str">
        <f ca="1">IFERROR(__xludf.DUMMYFUNCTION("""COMPUTED_VALUE"""),"Действителен до 02.12.2024")</f>
        <v>Действителен до 02.12.2024</v>
      </c>
      <c r="D630" s="8" t="str">
        <f ca="1">IFERROR(__xludf.DUMMYFUNCTION("""COMPUTED_VALUE"""),"1219046KZ46")</f>
        <v>1219046KZ46</v>
      </c>
      <c r="E630" s="1" t="str">
        <f ca="1">IFERROR(__xludf.DUMMYFUNCTION("""COMPUTED_VALUE"""),"годен до 02.12.2024")</f>
        <v>годен до 02.12.2024</v>
      </c>
      <c r="F630" s="1" t="str">
        <f ca="1">IFERROR(__xludf.DUMMYFUNCTION("""COMPUTED_VALUE"""),"Бандаж лечебно–профилактический эластичный 4002 L (Болгария) - 1219046KZ46")</f>
        <v>Бандаж лечебно–профилактический эластичный 4002 L (Болгария) - 1219046KZ46</v>
      </c>
      <c r="G630" s="1" t="str">
        <f ca="1">IFERROR(__xludf.DUMMYFUNCTION("""COMPUTED_VALUE"""),"KZ.7700.02.01.00616583 / Действителен до 02.12.2024 / 1219046KZ46 / годен до 02.12.2024")</f>
        <v>KZ.7700.02.01.00616583 / Действителен до 02.12.2024 / 1219046KZ46 / годен до 02.12.2024</v>
      </c>
      <c r="H630" s="1" t="str">
        <f ca="1">IFERROR(__xludf.DUMMYFUNCTION("""COMPUTED_VALUE"""),"Бандаж лечебно–профилактический эластичный 4002 L (Болгария) KZ.7700.02.01.00616583 / Действителен до 02.12.2024 / 1219046KZ46 / годен до 02.12.2024")</f>
        <v>Бандаж лечебно–профилактический эластичный 4002 L (Болгария) KZ.7700.02.01.00616583 / Действителен до 02.12.2024 / 1219046KZ46 / годен до 02.12.2024</v>
      </c>
    </row>
    <row r="631" spans="1:8" ht="12.75" x14ac:dyDescent="0.2">
      <c r="A631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631" s="1" t="str">
        <f ca="1">IFERROR(__xludf.DUMMYFUNCTION("""COMPUTED_VALUE"""),"KZ.7700.02.01.00616582")</f>
        <v>KZ.7700.02.01.00616582</v>
      </c>
      <c r="C631" s="1" t="str">
        <f ca="1">IFERROR(__xludf.DUMMYFUNCTION("""COMPUTED_VALUE"""),"Действителен до 02.12.2024")</f>
        <v>Действителен до 02.12.2024</v>
      </c>
      <c r="D631" s="8" t="str">
        <f ca="1">IFERROR(__xludf.DUMMYFUNCTION("""COMPUTED_VALUE"""),"1219046KZ46")</f>
        <v>1219046KZ46</v>
      </c>
      <c r="E631" s="1" t="str">
        <f ca="1">IFERROR(__xludf.DUMMYFUNCTION("""COMPUTED_VALUE"""),"годен до 02.12.2024")</f>
        <v>годен до 02.12.2024</v>
      </c>
      <c r="F631" s="1" t="str">
        <f ca="1">IFERROR(__xludf.DUMMYFUNCTION("""COMPUTED_VALUE"""),"Бандаж лечебно–профилактический эластичный 4002 M (Болгария) - 1219046KZ46")</f>
        <v>Бандаж лечебно–профилактический эластичный 4002 M (Болгария) - 1219046KZ46</v>
      </c>
      <c r="G631" s="1" t="str">
        <f ca="1">IFERROR(__xludf.DUMMYFUNCTION("""COMPUTED_VALUE"""),"KZ.7700.02.01.00616582 / Действителен до 02.12.2024 / 1219046KZ46 / годен до 02.12.2024")</f>
        <v>KZ.7700.02.01.00616582 / Действителен до 02.12.2024 / 1219046KZ46 / годен до 02.12.2024</v>
      </c>
      <c r="H631" s="1" t="str">
        <f ca="1">IFERROR(__xludf.DUMMYFUNCTION("""COMPUTED_VALUE"""),"Бандаж лечебно–профилактический эластичный 4002 M (Болгария) KZ.7700.02.01.00616582 / Действителен до 02.12.2024 / 1219046KZ46 / годен до 02.12.2024")</f>
        <v>Бандаж лечебно–профилактический эластичный 4002 M (Болгария) KZ.7700.02.01.00616582 / Действителен до 02.12.2024 / 1219046KZ46 / годен до 02.12.2024</v>
      </c>
    </row>
    <row r="632" spans="1:8" ht="12.75" x14ac:dyDescent="0.2">
      <c r="A632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632" s="1" t="str">
        <f ca="1">IFERROR(__xludf.DUMMYFUNCTION("""COMPUTED_VALUE"""),"KZ.7700.02.01.00616581")</f>
        <v>KZ.7700.02.01.00616581</v>
      </c>
      <c r="C632" s="1" t="str">
        <f ca="1">IFERROR(__xludf.DUMMYFUNCTION("""COMPUTED_VALUE"""),"Действителен до 02.12.2024")</f>
        <v>Действителен до 02.12.2024</v>
      </c>
      <c r="D632" s="8" t="str">
        <f ca="1">IFERROR(__xludf.DUMMYFUNCTION("""COMPUTED_VALUE"""),"1219046KZ46")</f>
        <v>1219046KZ46</v>
      </c>
      <c r="E632" s="1" t="str">
        <f ca="1">IFERROR(__xludf.DUMMYFUNCTION("""COMPUTED_VALUE"""),"годен до 02.12.2024")</f>
        <v>годен до 02.12.2024</v>
      </c>
      <c r="F632" s="1" t="str">
        <f ca="1">IFERROR(__xludf.DUMMYFUNCTION("""COMPUTED_VALUE"""),"Бандаж лечебно–профилактический эластичный 4002 S (Болгария) - 1219046KZ46")</f>
        <v>Бандаж лечебно–профилактический эластичный 4002 S (Болгария) - 1219046KZ46</v>
      </c>
      <c r="G632" s="1" t="str">
        <f ca="1">IFERROR(__xludf.DUMMYFUNCTION("""COMPUTED_VALUE"""),"KZ.7700.02.01.00616581 / Действителен до 02.12.2024 / 1219046KZ46 / годен до 02.12.2024")</f>
        <v>KZ.7700.02.01.00616581 / Действителен до 02.12.2024 / 1219046KZ46 / годен до 02.12.2024</v>
      </c>
      <c r="H632" s="1" t="str">
        <f ca="1">IFERROR(__xludf.DUMMYFUNCTION("""COMPUTED_VALUE"""),"Бандаж лечебно–профилактический эластичный 4002 S (Болгария) KZ.7700.02.01.00616581 / Действителен до 02.12.2024 / 1219046KZ46 / годен до 02.12.2024")</f>
        <v>Бандаж лечебно–профилактический эластичный 4002 S (Болгария) KZ.7700.02.01.00616581 / Действителен до 02.12.2024 / 1219046KZ46 / годен до 02.12.2024</v>
      </c>
    </row>
    <row r="633" spans="1:8" ht="12.75" x14ac:dyDescent="0.2">
      <c r="A633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633" s="1" t="str">
        <f ca="1">IFERROR(__xludf.DUMMYFUNCTION("""COMPUTED_VALUE"""),"KZ.7700.02.01.00616584")</f>
        <v>KZ.7700.02.01.00616584</v>
      </c>
      <c r="C633" s="1" t="str">
        <f ca="1">IFERROR(__xludf.DUMMYFUNCTION("""COMPUTED_VALUE"""),"Действителен до 02.12.2024")</f>
        <v>Действителен до 02.12.2024</v>
      </c>
      <c r="D633" s="8" t="str">
        <f ca="1">IFERROR(__xludf.DUMMYFUNCTION("""COMPUTED_VALUE"""),"1219046KZ46")</f>
        <v>1219046KZ46</v>
      </c>
      <c r="E633" s="1" t="str">
        <f ca="1">IFERROR(__xludf.DUMMYFUNCTION("""COMPUTED_VALUE"""),"годен до 02.12.2024")</f>
        <v>годен до 02.12.2024</v>
      </c>
      <c r="F633" s="1" t="str">
        <f ca="1">IFERROR(__xludf.DUMMYFUNCTION("""COMPUTED_VALUE"""),"Бандаж лечебно–профилактический эластичный 4002 XL (Болгария) - 1219046KZ46")</f>
        <v>Бандаж лечебно–профилактический эластичный 4002 XL (Болгария) - 1219046KZ46</v>
      </c>
      <c r="G633" s="1" t="str">
        <f ca="1">IFERROR(__xludf.DUMMYFUNCTION("""COMPUTED_VALUE"""),"KZ.7700.02.01.00616584 / Действителен до 02.12.2024 / 1219046KZ46 / годен до 02.12.2024")</f>
        <v>KZ.7700.02.01.00616584 / Действителен до 02.12.2024 / 1219046KZ46 / годен до 02.12.2024</v>
      </c>
      <c r="H633" s="1" t="str">
        <f ca="1">IFERROR(__xludf.DUMMYFUNCTION("""COMPUTED_VALUE"""),"Бандаж лечебно–профилактический эластичный 4002 XL (Болгария) KZ.7700.02.01.00616584 / Действителен до 02.12.2024 / 1219046KZ46 / годен до 02.12.2024")</f>
        <v>Бандаж лечебно–профилактический эластичный 4002 XL (Болгария) KZ.7700.02.01.00616584 / Действителен до 02.12.2024 / 1219046KZ46 / годен до 02.12.2024</v>
      </c>
    </row>
    <row r="634" spans="1:8" ht="12.75" x14ac:dyDescent="0.2">
      <c r="A634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634" s="1" t="str">
        <f ca="1">IFERROR(__xludf.DUMMYFUNCTION("""COMPUTED_VALUE"""),"KZ.7700.02.01.00616586")</f>
        <v>KZ.7700.02.01.00616586</v>
      </c>
      <c r="C634" s="1" t="str">
        <f ca="1">IFERROR(__xludf.DUMMYFUNCTION("""COMPUTED_VALUE"""),"Действителен до 02.12.2024")</f>
        <v>Действителен до 02.12.2024</v>
      </c>
      <c r="D634" s="8" t="str">
        <f ca="1">IFERROR(__xludf.DUMMYFUNCTION("""COMPUTED_VALUE"""),"1219046KZ46")</f>
        <v>1219046KZ46</v>
      </c>
      <c r="E634" s="1" t="str">
        <f ca="1">IFERROR(__xludf.DUMMYFUNCTION("""COMPUTED_VALUE"""),"годен до 02.12.2024")</f>
        <v>годен до 02.12.2024</v>
      </c>
      <c r="F634" s="1" t="str">
        <f ca="1">IFERROR(__xludf.DUMMYFUNCTION("""COMPUTED_VALUE"""),"Бандаж лечебно–профилактический эластичный 4002 XXL (Болгария) - 1219046KZ46")</f>
        <v>Бандаж лечебно–профилактический эластичный 4002 XXL (Болгария) - 1219046KZ46</v>
      </c>
      <c r="G634" s="1" t="str">
        <f ca="1">IFERROR(__xludf.DUMMYFUNCTION("""COMPUTED_VALUE"""),"KZ.7700.02.01.00616586 / Действителен до 02.12.2024 / 1219046KZ46 / годен до 02.12.2024")</f>
        <v>KZ.7700.02.01.00616586 / Действителен до 02.12.2024 / 1219046KZ46 / годен до 02.12.2024</v>
      </c>
      <c r="H634" s="1" t="str">
        <f ca="1">IFERROR(__xludf.DUMMYFUNCTION("""COMPUTED_VALUE"""),"Бандаж лечебно–профилактический эластичный 4002 XXL (Болгария) KZ.7700.02.01.00616586 / Действителен до 02.12.2024 / 1219046KZ46 / годен до 02.12.2024")</f>
        <v>Бандаж лечебно–профилактический эластичный 4002 XXL (Болгария) KZ.7700.02.01.00616586 / Действителен до 02.12.2024 / 1219046KZ46 / годен до 02.12.2024</v>
      </c>
    </row>
    <row r="635" spans="1:8" ht="12.75" x14ac:dyDescent="0.2">
      <c r="A635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635" s="1" t="str">
        <f ca="1">IFERROR(__xludf.DUMMYFUNCTION("""COMPUTED_VALUE"""),"KZ.7700.02.01.00616587")</f>
        <v>KZ.7700.02.01.00616587</v>
      </c>
      <c r="C635" s="1" t="str">
        <f ca="1">IFERROR(__xludf.DUMMYFUNCTION("""COMPUTED_VALUE"""),"Действителен до 02.12.2024")</f>
        <v>Действителен до 02.12.2024</v>
      </c>
      <c r="D635" s="8" t="str">
        <f ca="1">IFERROR(__xludf.DUMMYFUNCTION("""COMPUTED_VALUE"""),"1219046KZ46")</f>
        <v>1219046KZ46</v>
      </c>
      <c r="E635" s="1" t="str">
        <f ca="1">IFERROR(__xludf.DUMMYFUNCTION("""COMPUTED_VALUE"""),"годен до 02.12.2024")</f>
        <v>годен до 02.12.2024</v>
      </c>
      <c r="F635" s="1" t="str">
        <f ca="1">IFERROR(__xludf.DUMMYFUNCTION("""COMPUTED_VALUE"""),"Бандаж лечебно–профилактический эластичный 4002 XXXL (Болгария) - 1219046KZ46")</f>
        <v>Бандаж лечебно–профилактический эластичный 4002 XXXL (Болгария) - 1219046KZ46</v>
      </c>
      <c r="G635" s="1" t="str">
        <f ca="1">IFERROR(__xludf.DUMMYFUNCTION("""COMPUTED_VALUE"""),"KZ.7700.02.01.00616587 / Действителен до 02.12.2024 / 1219046KZ46 / годен до 02.12.2024")</f>
        <v>KZ.7700.02.01.00616587 / Действителен до 02.12.2024 / 1219046KZ46 / годен до 02.12.2024</v>
      </c>
      <c r="H635" s="1" t="str">
        <f ca="1">IFERROR(__xludf.DUMMYFUNCTION("""COMPUTED_VALUE"""),"Бандаж лечебно–профилактический эластичный 4002 XXXL (Болгария) KZ.7700.02.01.00616587 / Действителен до 02.12.2024 / 1219046KZ46 / годен до 02.12.2024")</f>
        <v>Бандаж лечебно–профилактический эластичный 4002 XXXL (Болгария) KZ.7700.02.01.00616587 / Действителен до 02.12.2024 / 1219046KZ46 / годен до 02.12.2024</v>
      </c>
    </row>
    <row r="636" spans="1:8" ht="12.75" x14ac:dyDescent="0.2">
      <c r="A636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636" s="1" t="str">
        <f ca="1">IFERROR(__xludf.DUMMYFUNCTION("""COMPUTED_VALUE"""),"KZ.7700.02.01.00616588")</f>
        <v>KZ.7700.02.01.00616588</v>
      </c>
      <c r="C636" s="1" t="str">
        <f ca="1">IFERROR(__xludf.DUMMYFUNCTION("""COMPUTED_VALUE"""),"Действителен до 02.12.2024")</f>
        <v>Действителен до 02.12.2024</v>
      </c>
      <c r="D636" s="8" t="str">
        <f ca="1">IFERROR(__xludf.DUMMYFUNCTION("""COMPUTED_VALUE"""),"1219046KZ46")</f>
        <v>1219046KZ46</v>
      </c>
      <c r="E636" s="1" t="str">
        <f ca="1">IFERROR(__xludf.DUMMYFUNCTION("""COMPUTED_VALUE"""),"годен до 02.12.2024")</f>
        <v>годен до 02.12.2024</v>
      </c>
      <c r="F636" s="1" t="str">
        <f ca="1">IFERROR(__xludf.DUMMYFUNCTION("""COMPUTED_VALUE"""),"Бандаж лечебно–профилактический эластичный 4002 XXXXL (Болгария) - 1219046KZ46")</f>
        <v>Бандаж лечебно–профилактический эластичный 4002 XXXXL (Болгария) - 1219046KZ46</v>
      </c>
      <c r="G636" s="1" t="str">
        <f ca="1">IFERROR(__xludf.DUMMYFUNCTION("""COMPUTED_VALUE"""),"KZ.7700.02.01.00616588 / Действителен до 02.12.2024 / 1219046KZ46 / годен до 02.12.2024")</f>
        <v>KZ.7700.02.01.00616588 / Действителен до 02.12.2024 / 1219046KZ46 / годен до 02.12.2024</v>
      </c>
      <c r="H636" s="1" t="str">
        <f ca="1">IFERROR(__xludf.DUMMYFUNCTION("""COMPUTED_VALUE"""),"Бандаж лечебно–профилактический эластичный 4002 XXXXL (Болгария) KZ.7700.02.01.00616588 / Действителен до 02.12.2024 / 1219046KZ46 / годен до 02.12.2024")</f>
        <v>Бандаж лечебно–профилактический эластичный 4002 XXXXL (Болгария) KZ.7700.02.01.00616588 / Действителен до 02.12.2024 / 1219046KZ46 / годен до 02.12.2024</v>
      </c>
    </row>
    <row r="637" spans="1:8" ht="12.75" x14ac:dyDescent="0.2">
      <c r="A637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637" s="1" t="str">
        <f ca="1">IFERROR(__xludf.DUMMYFUNCTION("""COMPUTED_VALUE"""),"KZ.7700.02.01.00616590")</f>
        <v>KZ.7700.02.01.00616590</v>
      </c>
      <c r="C637" s="1" t="str">
        <f ca="1">IFERROR(__xludf.DUMMYFUNCTION("""COMPUTED_VALUE"""),"Действителен до 02.12.2024")</f>
        <v>Действителен до 02.12.2024</v>
      </c>
      <c r="D637" s="8" t="str">
        <f ca="1">IFERROR(__xludf.DUMMYFUNCTION("""COMPUTED_VALUE"""),"1219046KZ46")</f>
        <v>1219046KZ46</v>
      </c>
      <c r="E637" s="1" t="str">
        <f ca="1">IFERROR(__xludf.DUMMYFUNCTION("""COMPUTED_VALUE"""),"годен до 02.12.2024")</f>
        <v>годен до 02.12.2024</v>
      </c>
      <c r="F637" s="1" t="str">
        <f ca="1">IFERROR(__xludf.DUMMYFUNCTION("""COMPUTED_VALUE"""),"Бандаж грыжевой лево-и правосторонний 5001 M/L (Болгария) - 1219046KZ46")</f>
        <v>Бандаж грыжевой лево-и правосторонний 5001 M/L (Болгария) - 1219046KZ46</v>
      </c>
      <c r="G637" s="1" t="str">
        <f ca="1">IFERROR(__xludf.DUMMYFUNCTION("""COMPUTED_VALUE"""),"KZ.7700.02.01.00616590 / Действителен до 02.12.2024 / 1219046KZ46 / годен до 02.12.2024")</f>
        <v>KZ.7700.02.01.00616590 / Действителен до 02.12.2024 / 1219046KZ46 / годен до 02.12.2024</v>
      </c>
      <c r="H637" s="1" t="str">
        <f ca="1">IFERROR(__xludf.DUMMYFUNCTION("""COMPUTED_VALUE"""),"Бандаж грыжевой лево-и правосторонний 5001 M/L (Болгария) KZ.7700.02.01.00616590 / Действителен до 02.12.2024 / 1219046KZ46 / годен до 02.12.2024")</f>
        <v>Бандаж грыжевой лево-и правосторонний 5001 M/L (Болгария) KZ.7700.02.01.00616590 / Действителен до 02.12.2024 / 1219046KZ46 / годен до 02.12.2024</v>
      </c>
    </row>
    <row r="638" spans="1:8" ht="12.75" x14ac:dyDescent="0.2">
      <c r="A638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638" s="1" t="str">
        <f ca="1">IFERROR(__xludf.DUMMYFUNCTION("""COMPUTED_VALUE"""),"KZ.7700.02.01.00616591")</f>
        <v>KZ.7700.02.01.00616591</v>
      </c>
      <c r="C638" s="1" t="str">
        <f ca="1">IFERROR(__xludf.DUMMYFUNCTION("""COMPUTED_VALUE"""),"Действителен до 02.12.2024")</f>
        <v>Действителен до 02.12.2024</v>
      </c>
      <c r="D638" s="8" t="str">
        <f ca="1">IFERROR(__xludf.DUMMYFUNCTION("""COMPUTED_VALUE"""),"1219046KZ46")</f>
        <v>1219046KZ46</v>
      </c>
      <c r="E638" s="1" t="str">
        <f ca="1">IFERROR(__xludf.DUMMYFUNCTION("""COMPUTED_VALUE"""),"годен до 02.12.2024")</f>
        <v>годен до 02.12.2024</v>
      </c>
      <c r="F638" s="1" t="str">
        <f ca="1">IFERROR(__xludf.DUMMYFUNCTION("""COMPUTED_VALUE"""),"Бандаж грыжевой лево-и правосторонний 5001 XL/XXL (Болгария) - 1219046KZ46")</f>
        <v>Бандаж грыжевой лево-и правосторонний 5001 XL/XXL (Болгария) - 1219046KZ46</v>
      </c>
      <c r="G638" s="1" t="str">
        <f ca="1">IFERROR(__xludf.DUMMYFUNCTION("""COMPUTED_VALUE"""),"KZ.7700.02.01.00616591 / Действителен до 02.12.2024 / 1219046KZ46 / годен до 02.12.2024")</f>
        <v>KZ.7700.02.01.00616591 / Действителен до 02.12.2024 / 1219046KZ46 / годен до 02.12.2024</v>
      </c>
      <c r="H638" s="1" t="str">
        <f ca="1">IFERROR(__xludf.DUMMYFUNCTION("""COMPUTED_VALUE"""),"Бандаж грыжевой лево-и правосторонний 5001 XL/XXL (Болгария) KZ.7700.02.01.00616591 / Действителен до 02.12.2024 / 1219046KZ46 / годен до 02.12.2024")</f>
        <v>Бандаж грыжевой лево-и правосторонний 5001 XL/XXL (Болгария) KZ.7700.02.01.00616591 / Действителен до 02.12.2024 / 1219046KZ46 / годен до 02.12.2024</v>
      </c>
    </row>
    <row r="639" spans="1:8" ht="12.75" x14ac:dyDescent="0.2">
      <c r="A639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639" s="1" t="str">
        <f ca="1">IFERROR(__xludf.DUMMYFUNCTION("""COMPUTED_VALUE"""),"KZ.7700.02.01.00616589")</f>
        <v>KZ.7700.02.01.00616589</v>
      </c>
      <c r="C639" s="1" t="str">
        <f ca="1">IFERROR(__xludf.DUMMYFUNCTION("""COMPUTED_VALUE"""),"Действителен до 02.12.2024")</f>
        <v>Действителен до 02.12.2024</v>
      </c>
      <c r="D639" s="8" t="str">
        <f ca="1">IFERROR(__xludf.DUMMYFUNCTION("""COMPUTED_VALUE"""),"1219046KZ46")</f>
        <v>1219046KZ46</v>
      </c>
      <c r="E639" s="1" t="str">
        <f ca="1">IFERROR(__xludf.DUMMYFUNCTION("""COMPUTED_VALUE"""),"годен до 02.12.2024")</f>
        <v>годен до 02.12.2024</v>
      </c>
      <c r="F639" s="1" t="str">
        <f ca="1">IFERROR(__xludf.DUMMYFUNCTION("""COMPUTED_VALUE"""),"Бандаж грыжевой лево-и правосторонний 5001 XS/S (Болгария) - 1219046KZ46")</f>
        <v>Бандаж грыжевой лево-и правосторонний 5001 XS/S (Болгария) - 1219046KZ46</v>
      </c>
      <c r="G639" s="1" t="str">
        <f ca="1">IFERROR(__xludf.DUMMYFUNCTION("""COMPUTED_VALUE"""),"KZ.7700.02.01.00616589 / Действителен до 02.12.2024 / 1219046KZ46 / годен до 02.12.2024")</f>
        <v>KZ.7700.02.01.00616589 / Действителен до 02.12.2024 / 1219046KZ46 / годен до 02.12.2024</v>
      </c>
      <c r="H639" s="1" t="str">
        <f ca="1">IFERROR(__xludf.DUMMYFUNCTION("""COMPUTED_VALUE"""),"Бандаж грыжевой лево-и правосторонний 5001 XS/S (Болгария) KZ.7700.02.01.00616589 / Действителен до 02.12.2024 / 1219046KZ46 / годен до 02.12.2024")</f>
        <v>Бандаж грыжевой лево-и правосторонний 5001 XS/S (Болгария) KZ.7700.02.01.00616589 / Действителен до 02.12.2024 / 1219046KZ46 / годен до 02.12.2024</v>
      </c>
    </row>
    <row r="640" spans="1:8" ht="12.75" x14ac:dyDescent="0.2">
      <c r="A640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640" s="1" t="str">
        <f ca="1">IFERROR(__xludf.DUMMYFUNCTION("""COMPUTED_VALUE"""),"KZ.7700.02.01.00616593")</f>
        <v>KZ.7700.02.01.00616593</v>
      </c>
      <c r="C640" s="1" t="str">
        <f ca="1">IFERROR(__xludf.DUMMYFUNCTION("""COMPUTED_VALUE"""),"Действителен до 02.12.2024")</f>
        <v>Действителен до 02.12.2024</v>
      </c>
      <c r="D640" s="8" t="str">
        <f ca="1">IFERROR(__xludf.DUMMYFUNCTION("""COMPUTED_VALUE"""),"1219046KZ46")</f>
        <v>1219046KZ46</v>
      </c>
      <c r="E640" s="1" t="str">
        <f ca="1">IFERROR(__xludf.DUMMYFUNCTION("""COMPUTED_VALUE"""),"годен до 02.12.2024")</f>
        <v>годен до 02.12.2024</v>
      </c>
      <c r="F640" s="1" t="str">
        <f ca="1">IFERROR(__xludf.DUMMYFUNCTION("""COMPUTED_VALUE"""),"Бандаж при пупочной грыже 5051 M/L (Болгария) - 1219046KZ46")</f>
        <v>Бандаж при пупочной грыже 5051 M/L (Болгария) - 1219046KZ46</v>
      </c>
      <c r="G640" s="1" t="str">
        <f ca="1">IFERROR(__xludf.DUMMYFUNCTION("""COMPUTED_VALUE"""),"KZ.7700.02.01.00616593 / Действителен до 02.12.2024 / 1219046KZ46 / годен до 02.12.2024")</f>
        <v>KZ.7700.02.01.00616593 / Действителен до 02.12.2024 / 1219046KZ46 / годен до 02.12.2024</v>
      </c>
      <c r="H640" s="1" t="str">
        <f ca="1">IFERROR(__xludf.DUMMYFUNCTION("""COMPUTED_VALUE"""),"Бандаж при пупочной грыже 5051 M/L (Болгария) KZ.7700.02.01.00616593 / Действителен до 02.12.2024 / 1219046KZ46 / годен до 02.12.2024")</f>
        <v>Бандаж при пупочной грыже 5051 M/L (Болгария) KZ.7700.02.01.00616593 / Действителен до 02.12.2024 / 1219046KZ46 / годен до 02.12.2024</v>
      </c>
    </row>
    <row r="641" spans="1:8" ht="12.75" x14ac:dyDescent="0.2">
      <c r="A641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641" s="1" t="str">
        <f ca="1">IFERROR(__xludf.DUMMYFUNCTION("""COMPUTED_VALUE"""),"KZ.7700.02.01.00616594")</f>
        <v>KZ.7700.02.01.00616594</v>
      </c>
      <c r="C641" s="1" t="str">
        <f ca="1">IFERROR(__xludf.DUMMYFUNCTION("""COMPUTED_VALUE"""),"Действителен до 02.12.2024")</f>
        <v>Действителен до 02.12.2024</v>
      </c>
      <c r="D641" s="8" t="str">
        <f ca="1">IFERROR(__xludf.DUMMYFUNCTION("""COMPUTED_VALUE"""),"1219046KZ46")</f>
        <v>1219046KZ46</v>
      </c>
      <c r="E641" s="1" t="str">
        <f ca="1">IFERROR(__xludf.DUMMYFUNCTION("""COMPUTED_VALUE"""),"годен до 02.12.2024")</f>
        <v>годен до 02.12.2024</v>
      </c>
      <c r="F641" s="1" t="str">
        <f ca="1">IFERROR(__xludf.DUMMYFUNCTION("""COMPUTED_VALUE"""),"Бандаж при пупочной грыже 5051 XL/XXL (Болгария) - 1219046KZ46")</f>
        <v>Бандаж при пупочной грыже 5051 XL/XXL (Болгария) - 1219046KZ46</v>
      </c>
      <c r="G641" s="1" t="str">
        <f ca="1">IFERROR(__xludf.DUMMYFUNCTION("""COMPUTED_VALUE"""),"KZ.7700.02.01.00616594 / Действителен до 02.12.2024 / 1219046KZ46 / годен до 02.12.2024")</f>
        <v>KZ.7700.02.01.00616594 / Действителен до 02.12.2024 / 1219046KZ46 / годен до 02.12.2024</v>
      </c>
      <c r="H641" s="1" t="str">
        <f ca="1">IFERROR(__xludf.DUMMYFUNCTION("""COMPUTED_VALUE"""),"Бандаж при пупочной грыже 5051 XL/XXL (Болгария) KZ.7700.02.01.00616594 / Действителен до 02.12.2024 / 1219046KZ46 / годен до 02.12.2024")</f>
        <v>Бандаж при пупочной грыже 5051 XL/XXL (Болгария) KZ.7700.02.01.00616594 / Действителен до 02.12.2024 / 1219046KZ46 / годен до 02.12.2024</v>
      </c>
    </row>
    <row r="642" spans="1:8" ht="12.75" x14ac:dyDescent="0.2">
      <c r="A642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642" s="1" t="str">
        <f ca="1">IFERROR(__xludf.DUMMYFUNCTION("""COMPUTED_VALUE"""),"KZ.7700.02.01.00616595")</f>
        <v>KZ.7700.02.01.00616595</v>
      </c>
      <c r="C642" s="1" t="str">
        <f ca="1">IFERROR(__xludf.DUMMYFUNCTION("""COMPUTED_VALUE"""),"Действителен до 02.12.2024")</f>
        <v>Действителен до 02.12.2024</v>
      </c>
      <c r="D642" s="8" t="str">
        <f ca="1">IFERROR(__xludf.DUMMYFUNCTION("""COMPUTED_VALUE"""),"1219046KZ46")</f>
        <v>1219046KZ46</v>
      </c>
      <c r="E642" s="1" t="str">
        <f ca="1">IFERROR(__xludf.DUMMYFUNCTION("""COMPUTED_VALUE"""),"годен до 02.12.2024")</f>
        <v>годен до 02.12.2024</v>
      </c>
      <c r="F642" s="1" t="str">
        <f ca="1">IFERROR(__xludf.DUMMYFUNCTION("""COMPUTED_VALUE"""),"Бандаж при пупочной грыже 5051 XXXL/XXXXL (Болгария) - 1219046KZ46")</f>
        <v>Бандаж при пупочной грыже 5051 XXXL/XXXXL (Болгария) - 1219046KZ46</v>
      </c>
      <c r="G642" s="1" t="str">
        <f ca="1">IFERROR(__xludf.DUMMYFUNCTION("""COMPUTED_VALUE"""),"KZ.7700.02.01.00616595 / Действителен до 02.12.2024 / 1219046KZ46 / годен до 02.12.2024")</f>
        <v>KZ.7700.02.01.00616595 / Действителен до 02.12.2024 / 1219046KZ46 / годен до 02.12.2024</v>
      </c>
      <c r="H642" s="1" t="str">
        <f ca="1">IFERROR(__xludf.DUMMYFUNCTION("""COMPUTED_VALUE"""),"Бандаж при пупочной грыже 5051 XXXL/XXXXL (Болгария) KZ.7700.02.01.00616595 / Действителен до 02.12.2024 / 1219046KZ46 / годен до 02.12.2024")</f>
        <v>Бандаж при пупочной грыже 5051 XXXL/XXXXL (Болгария) KZ.7700.02.01.00616595 / Действителен до 02.12.2024 / 1219046KZ46 / годен до 02.12.2024</v>
      </c>
    </row>
    <row r="643" spans="1:8" ht="12.75" x14ac:dyDescent="0.2">
      <c r="A643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643" s="1" t="str">
        <f ca="1">IFERROR(__xludf.DUMMYFUNCTION("""COMPUTED_VALUE"""),"KZ.7700.02.01.00616620")</f>
        <v>KZ.7700.02.01.00616620</v>
      </c>
      <c r="C643" s="1" t="str">
        <f ca="1">IFERROR(__xludf.DUMMYFUNCTION("""COMPUTED_VALUE"""),"Действителен до 02.12.2024")</f>
        <v>Действителен до 02.12.2024</v>
      </c>
      <c r="D643" s="8" t="str">
        <f ca="1">IFERROR(__xludf.DUMMYFUNCTION("""COMPUTED_VALUE"""),"1219046KZ46")</f>
        <v>1219046KZ46</v>
      </c>
      <c r="E643" s="1" t="str">
        <f ca="1">IFERROR(__xludf.DUMMYFUNCTION("""COMPUTED_VALUE"""),"годен до 02.12.2024")</f>
        <v>годен до 02.12.2024</v>
      </c>
      <c r="F643" s="1" t="str">
        <f ca="1">IFERROR(__xludf.DUMMYFUNCTION("""COMPUTED_VALUE"""),"Бандаж на коленный сустав эластичный 6040 L (Болгария) - 1219046KZ46")</f>
        <v>Бандаж на коленный сустав эластичный 6040 L (Болгария) - 1219046KZ46</v>
      </c>
      <c r="G643" s="1" t="str">
        <f ca="1">IFERROR(__xludf.DUMMYFUNCTION("""COMPUTED_VALUE"""),"KZ.7700.02.01.00616620 / Действителен до 02.12.2024 / 1219046KZ46 / годен до 02.12.2024")</f>
        <v>KZ.7700.02.01.00616620 / Действителен до 02.12.2024 / 1219046KZ46 / годен до 02.12.2024</v>
      </c>
      <c r="H643" s="1" t="str">
        <f ca="1">IFERROR(__xludf.DUMMYFUNCTION("""COMPUTED_VALUE"""),"Бандаж на коленный сустав эластичный 6040 L (Болгария) KZ.7700.02.01.00616620 / Действителен до 02.12.2024 / 1219046KZ46 / годен до 02.12.2024")</f>
        <v>Бандаж на коленный сустав эластичный 6040 L (Болгария) KZ.7700.02.01.00616620 / Действителен до 02.12.2024 / 1219046KZ46 / годен до 02.12.2024</v>
      </c>
    </row>
    <row r="644" spans="1:8" ht="12.75" x14ac:dyDescent="0.2">
      <c r="A644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644" s="1" t="str">
        <f ca="1">IFERROR(__xludf.DUMMYFUNCTION("""COMPUTED_VALUE"""),"KZ.7700.02.01.00616619")</f>
        <v>KZ.7700.02.01.00616619</v>
      </c>
      <c r="C644" s="1" t="str">
        <f ca="1">IFERROR(__xludf.DUMMYFUNCTION("""COMPUTED_VALUE"""),"Действителен до 02.12.2024")</f>
        <v>Действителен до 02.12.2024</v>
      </c>
      <c r="D644" s="8" t="str">
        <f ca="1">IFERROR(__xludf.DUMMYFUNCTION("""COMPUTED_VALUE"""),"1219046KZ46")</f>
        <v>1219046KZ46</v>
      </c>
      <c r="E644" s="1" t="str">
        <f ca="1">IFERROR(__xludf.DUMMYFUNCTION("""COMPUTED_VALUE"""),"годен до 02.12.2024")</f>
        <v>годен до 02.12.2024</v>
      </c>
      <c r="F644" s="1" t="str">
        <f ca="1">IFERROR(__xludf.DUMMYFUNCTION("""COMPUTED_VALUE"""),"Бандаж на коленный сустав эластичный 6040 M (Болгария) - 1219046KZ46")</f>
        <v>Бандаж на коленный сустав эластичный 6040 M (Болгария) - 1219046KZ46</v>
      </c>
      <c r="G644" s="1" t="str">
        <f ca="1">IFERROR(__xludf.DUMMYFUNCTION("""COMPUTED_VALUE"""),"KZ.7700.02.01.00616619 / Действителен до 02.12.2024 / 1219046KZ46 / годен до 02.12.2024")</f>
        <v>KZ.7700.02.01.00616619 / Действителен до 02.12.2024 / 1219046KZ46 / годен до 02.12.2024</v>
      </c>
      <c r="H644" s="1" t="str">
        <f ca="1">IFERROR(__xludf.DUMMYFUNCTION("""COMPUTED_VALUE"""),"Бандаж на коленный сустав эластичный 6040 M (Болгария) KZ.7700.02.01.00616619 / Действителен до 02.12.2024 / 1219046KZ46 / годен до 02.12.2024")</f>
        <v>Бандаж на коленный сустав эластичный 6040 M (Болгария) KZ.7700.02.01.00616619 / Действителен до 02.12.2024 / 1219046KZ46 / годен до 02.12.2024</v>
      </c>
    </row>
    <row r="645" spans="1:8" ht="12.75" x14ac:dyDescent="0.2">
      <c r="A645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645" s="1" t="str">
        <f ca="1">IFERROR(__xludf.DUMMYFUNCTION("""COMPUTED_VALUE"""),"KZ.7700.02.01.00616618")</f>
        <v>KZ.7700.02.01.00616618</v>
      </c>
      <c r="C645" s="1" t="str">
        <f ca="1">IFERROR(__xludf.DUMMYFUNCTION("""COMPUTED_VALUE"""),"Действителен до 02.12.2024")</f>
        <v>Действителен до 02.12.2024</v>
      </c>
      <c r="D645" s="8" t="str">
        <f ca="1">IFERROR(__xludf.DUMMYFUNCTION("""COMPUTED_VALUE"""),"1219046KZ46")</f>
        <v>1219046KZ46</v>
      </c>
      <c r="E645" s="1" t="str">
        <f ca="1">IFERROR(__xludf.DUMMYFUNCTION("""COMPUTED_VALUE"""),"годен до 02.12.2024")</f>
        <v>годен до 02.12.2024</v>
      </c>
      <c r="F645" s="1" t="str">
        <f ca="1">IFERROR(__xludf.DUMMYFUNCTION("""COMPUTED_VALUE"""),"Бандаж на коленный сустав эластичный 6040 S (Болгария) - 1219046KZ46")</f>
        <v>Бандаж на коленный сустав эластичный 6040 S (Болгария) - 1219046KZ46</v>
      </c>
      <c r="G645" s="1" t="str">
        <f ca="1">IFERROR(__xludf.DUMMYFUNCTION("""COMPUTED_VALUE"""),"KZ.7700.02.01.00616618 / Действителен до 02.12.2024 / 1219046KZ46 / годен до 02.12.2024")</f>
        <v>KZ.7700.02.01.00616618 / Действителен до 02.12.2024 / 1219046KZ46 / годен до 02.12.2024</v>
      </c>
      <c r="H645" s="1" t="str">
        <f ca="1">IFERROR(__xludf.DUMMYFUNCTION("""COMPUTED_VALUE"""),"Бандаж на коленный сустав эластичный 6040 S (Болгария) KZ.7700.02.01.00616618 / Действителен до 02.12.2024 / 1219046KZ46 / годен до 02.12.2024")</f>
        <v>Бандаж на коленный сустав эластичный 6040 S (Болгария) KZ.7700.02.01.00616618 / Действителен до 02.12.2024 / 1219046KZ46 / годен до 02.12.2024</v>
      </c>
    </row>
    <row r="646" spans="1:8" ht="12.75" x14ac:dyDescent="0.2">
      <c r="A646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646" s="1" t="str">
        <f ca="1">IFERROR(__xludf.DUMMYFUNCTION("""COMPUTED_VALUE"""),"KZ.7700.02.01.00616621")</f>
        <v>KZ.7700.02.01.00616621</v>
      </c>
      <c r="C646" s="1" t="str">
        <f ca="1">IFERROR(__xludf.DUMMYFUNCTION("""COMPUTED_VALUE"""),"Действителен до 02.12.2024")</f>
        <v>Действителен до 02.12.2024</v>
      </c>
      <c r="D646" s="8" t="str">
        <f ca="1">IFERROR(__xludf.DUMMYFUNCTION("""COMPUTED_VALUE"""),"1219046KZ46")</f>
        <v>1219046KZ46</v>
      </c>
      <c r="E646" s="1" t="str">
        <f ca="1">IFERROR(__xludf.DUMMYFUNCTION("""COMPUTED_VALUE"""),"годен до 02.12.2024")</f>
        <v>годен до 02.12.2024</v>
      </c>
      <c r="F646" s="1" t="str">
        <f ca="1">IFERROR(__xludf.DUMMYFUNCTION("""COMPUTED_VALUE"""),"Бандаж на коленный сустав эластичный 6040 XL (Болгария) - 1219046KZ46")</f>
        <v>Бандаж на коленный сустав эластичный 6040 XL (Болгария) - 1219046KZ46</v>
      </c>
      <c r="G646" s="1" t="str">
        <f ca="1">IFERROR(__xludf.DUMMYFUNCTION("""COMPUTED_VALUE"""),"KZ.7700.02.01.00616621 / Действителен до 02.12.2024 / 1219046KZ46 / годен до 02.12.2024")</f>
        <v>KZ.7700.02.01.00616621 / Действителен до 02.12.2024 / 1219046KZ46 / годен до 02.12.2024</v>
      </c>
      <c r="H646" s="1" t="str">
        <f ca="1">IFERROR(__xludf.DUMMYFUNCTION("""COMPUTED_VALUE"""),"Бандаж на коленный сустав эластичный 6040 XL (Болгария) KZ.7700.02.01.00616621 / Действителен до 02.12.2024 / 1219046KZ46 / годен до 02.12.2024")</f>
        <v>Бандаж на коленный сустав эластичный 6040 XL (Болгария) KZ.7700.02.01.00616621 / Действителен до 02.12.2024 / 1219046KZ46 / годен до 02.12.2024</v>
      </c>
    </row>
    <row r="647" spans="1:8" ht="12.75" x14ac:dyDescent="0.2">
      <c r="A647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647" s="1" t="str">
        <f ca="1">IFERROR(__xludf.DUMMYFUNCTION("""COMPUTED_VALUE"""),"KZ.7700.02.01.00616597")</f>
        <v>KZ.7700.02.01.00616597</v>
      </c>
      <c r="C647" s="1" t="str">
        <f ca="1">IFERROR(__xludf.DUMMYFUNCTION("""COMPUTED_VALUE"""),"Действителен до 02.12.2024")</f>
        <v>Действителен до 02.12.2024</v>
      </c>
      <c r="D647" s="8" t="str">
        <f ca="1">IFERROR(__xludf.DUMMYFUNCTION("""COMPUTED_VALUE"""),"1219046KZ46")</f>
        <v>1219046KZ46</v>
      </c>
      <c r="E647" s="1" t="str">
        <f ca="1">IFERROR(__xludf.DUMMYFUNCTION("""COMPUTED_VALUE"""),"годен до 02.12.2024")</f>
        <v>годен до 02.12.2024</v>
      </c>
      <c r="F647" s="1" t="str">
        <f ca="1">IFERROR(__xludf.DUMMYFUNCTION("""COMPUTED_VALUE"""),"Бандаж на коленный сустав разъемный 6058 L\XL (Болгария) - 1219046KZ46")</f>
        <v>Бандаж на коленный сустав разъемный 6058 L\XL (Болгария) - 1219046KZ46</v>
      </c>
      <c r="G647" s="1" t="str">
        <f ca="1">IFERROR(__xludf.DUMMYFUNCTION("""COMPUTED_VALUE"""),"KZ.7700.02.01.00616597 / Действителен до 02.12.2024 / 1219046KZ46 / годен до 02.12.2024")</f>
        <v>KZ.7700.02.01.00616597 / Действителен до 02.12.2024 / 1219046KZ46 / годен до 02.12.2024</v>
      </c>
      <c r="H647" s="1" t="str">
        <f ca="1">IFERROR(__xludf.DUMMYFUNCTION("""COMPUTED_VALUE"""),"Бандаж на коленный сустав разъемный 6058 L\XL (Болгария) KZ.7700.02.01.00616597 / Действителен до 02.12.2024 / 1219046KZ46 / годен до 02.12.2024")</f>
        <v>Бандаж на коленный сустав разъемный 6058 L\XL (Болгария) KZ.7700.02.01.00616597 / Действителен до 02.12.2024 / 1219046KZ46 / годен до 02.12.2024</v>
      </c>
    </row>
    <row r="648" spans="1:8" ht="12.75" x14ac:dyDescent="0.2">
      <c r="A648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648" s="1" t="str">
        <f ca="1">IFERROR(__xludf.DUMMYFUNCTION("""COMPUTED_VALUE"""),"KZ.7700.02.01.00616596")</f>
        <v>KZ.7700.02.01.00616596</v>
      </c>
      <c r="C648" s="1" t="str">
        <f ca="1">IFERROR(__xludf.DUMMYFUNCTION("""COMPUTED_VALUE"""),"Действителен до 02.12.2024")</f>
        <v>Действителен до 02.12.2024</v>
      </c>
      <c r="D648" s="8" t="str">
        <f ca="1">IFERROR(__xludf.DUMMYFUNCTION("""COMPUTED_VALUE"""),"1219046KZ46")</f>
        <v>1219046KZ46</v>
      </c>
      <c r="E648" s="1" t="str">
        <f ca="1">IFERROR(__xludf.DUMMYFUNCTION("""COMPUTED_VALUE"""),"годен до 02.12.2024")</f>
        <v>годен до 02.12.2024</v>
      </c>
      <c r="F648" s="1" t="str">
        <f ca="1">IFERROR(__xludf.DUMMYFUNCTION("""COMPUTED_VALUE"""),"Бандаж на коленный сустав разъемный 6058 S\M (Болгария) - 1219046KZ46")</f>
        <v>Бандаж на коленный сустав разъемный 6058 S\M (Болгария) - 1219046KZ46</v>
      </c>
      <c r="G648" s="1" t="str">
        <f ca="1">IFERROR(__xludf.DUMMYFUNCTION("""COMPUTED_VALUE"""),"KZ.7700.02.01.00616596 / Действителен до 02.12.2024 / 1219046KZ46 / годен до 02.12.2024")</f>
        <v>KZ.7700.02.01.00616596 / Действителен до 02.12.2024 / 1219046KZ46 / годен до 02.12.2024</v>
      </c>
      <c r="H648" s="1" t="str">
        <f ca="1">IFERROR(__xludf.DUMMYFUNCTION("""COMPUTED_VALUE"""),"Бандаж на коленный сустав разъемный 6058 S\M (Болгария) KZ.7700.02.01.00616596 / Действителен до 02.12.2024 / 1219046KZ46 / годен до 02.12.2024")</f>
        <v>Бандаж на коленный сустав разъемный 6058 S\M (Болгария) KZ.7700.02.01.00616596 / Действителен до 02.12.2024 / 1219046KZ46 / годен до 02.12.2024</v>
      </c>
    </row>
    <row r="649" spans="1:8" ht="12.75" x14ac:dyDescent="0.2">
      <c r="A649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649" s="1" t="str">
        <f ca="1">IFERROR(__xludf.DUMMYFUNCTION("""COMPUTED_VALUE"""),"KZ.7700.02.01.00616598")</f>
        <v>KZ.7700.02.01.00616598</v>
      </c>
      <c r="C649" s="1" t="str">
        <f ca="1">IFERROR(__xludf.DUMMYFUNCTION("""COMPUTED_VALUE"""),"Действителен до 02.12.2024")</f>
        <v>Действителен до 02.12.2024</v>
      </c>
      <c r="D649" s="8" t="str">
        <f ca="1">IFERROR(__xludf.DUMMYFUNCTION("""COMPUTED_VALUE"""),"1219046KZ46")</f>
        <v>1219046KZ46</v>
      </c>
      <c r="E649" s="1" t="str">
        <f ca="1">IFERROR(__xludf.DUMMYFUNCTION("""COMPUTED_VALUE"""),"годен до 02.12.2024")</f>
        <v>годен до 02.12.2024</v>
      </c>
      <c r="F649" s="1" t="str">
        <f ca="1">IFERROR(__xludf.DUMMYFUNCTION("""COMPUTED_VALUE"""),"Бандаж на коленный сустав разъемный 6058 XXL (Болгария) - 1219046KZ46")</f>
        <v>Бандаж на коленный сустав разъемный 6058 XXL (Болгария) - 1219046KZ46</v>
      </c>
      <c r="G649" s="1" t="str">
        <f ca="1">IFERROR(__xludf.DUMMYFUNCTION("""COMPUTED_VALUE"""),"KZ.7700.02.01.00616598 / Действителен до 02.12.2024 / 1219046KZ46 / годен до 02.12.2024")</f>
        <v>KZ.7700.02.01.00616598 / Действителен до 02.12.2024 / 1219046KZ46 / годен до 02.12.2024</v>
      </c>
      <c r="H649" s="1" t="str">
        <f ca="1">IFERROR(__xludf.DUMMYFUNCTION("""COMPUTED_VALUE"""),"Бандаж на коленный сустав разъемный 6058 XXL (Болгария) KZ.7700.02.01.00616598 / Действителен до 02.12.2024 / 1219046KZ46 / годен до 02.12.2024")</f>
        <v>Бандаж на коленный сустав разъемный 6058 XXL (Болгария) KZ.7700.02.01.00616598 / Действителен до 02.12.2024 / 1219046KZ46 / годен до 02.12.2024</v>
      </c>
    </row>
    <row r="650" spans="1:8" ht="12.75" x14ac:dyDescent="0.2">
      <c r="A650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650" s="1" t="str">
        <f ca="1">IFERROR(__xludf.DUMMYFUNCTION("""COMPUTED_VALUE"""),"KZ.7700.02.01.00616601")</f>
        <v>KZ.7700.02.01.00616601</v>
      </c>
      <c r="C650" s="1" t="str">
        <f ca="1">IFERROR(__xludf.DUMMYFUNCTION("""COMPUTED_VALUE"""),"Действителен до 02.12.2024")</f>
        <v>Действителен до 02.12.2024</v>
      </c>
      <c r="D650" s="8" t="str">
        <f ca="1">IFERROR(__xludf.DUMMYFUNCTION("""COMPUTED_VALUE"""),"1219046KZ46")</f>
        <v>1219046KZ46</v>
      </c>
      <c r="E650" s="1" t="str">
        <f ca="1">IFERROR(__xludf.DUMMYFUNCTION("""COMPUTED_VALUE"""),"годен до 02.12.2024")</f>
        <v>годен до 02.12.2024</v>
      </c>
      <c r="F650" s="1" t="str">
        <f ca="1">IFERROR(__xludf.DUMMYFUNCTION("""COMPUTED_VALUE"""),"Бандаж на голеностопный сустав легкой фиксации 7034 L (бежевый) (Болгария) - 1219046KZ46")</f>
        <v>Бандаж на голеностопный сустав легкой фиксации 7034 L (бежевый) (Болгария) - 1219046KZ46</v>
      </c>
      <c r="G650" s="1" t="str">
        <f ca="1">IFERROR(__xludf.DUMMYFUNCTION("""COMPUTED_VALUE"""),"KZ.7700.02.01.00616601 / Действителен до 02.12.2024 / 1219046KZ46 / годен до 02.12.2024")</f>
        <v>KZ.7700.02.01.00616601 / Действителен до 02.12.2024 / 1219046KZ46 / годен до 02.12.2024</v>
      </c>
      <c r="H650" s="1" t="str">
        <f ca="1">IFERROR(__xludf.DUMMYFUNCTION("""COMPUTED_VALUE"""),"Бандаж на голеностопный сустав легкой фиксации 7034 L (бежевый) (Болгария) KZ.7700.02.01.00616601 / Действителен до 02.12.2024 / 1219046KZ46 / годен до 02.12.2024")</f>
        <v>Бандаж на голеностопный сустав легкой фиксации 7034 L (бежевый) (Болгария) KZ.7700.02.01.00616601 / Действителен до 02.12.2024 / 1219046KZ46 / годен до 02.12.2024</v>
      </c>
    </row>
    <row r="651" spans="1:8" ht="12.75" x14ac:dyDescent="0.2">
      <c r="A651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651" s="1" t="str">
        <f ca="1">IFERROR(__xludf.DUMMYFUNCTION("""COMPUTED_VALUE"""),"KZ.7700.02.01.00616600")</f>
        <v>KZ.7700.02.01.00616600</v>
      </c>
      <c r="C651" s="1" t="str">
        <f ca="1">IFERROR(__xludf.DUMMYFUNCTION("""COMPUTED_VALUE"""),"Действителен до 02.12.2024")</f>
        <v>Действителен до 02.12.2024</v>
      </c>
      <c r="D651" s="8" t="str">
        <f ca="1">IFERROR(__xludf.DUMMYFUNCTION("""COMPUTED_VALUE"""),"1219046KZ46")</f>
        <v>1219046KZ46</v>
      </c>
      <c r="E651" s="1" t="str">
        <f ca="1">IFERROR(__xludf.DUMMYFUNCTION("""COMPUTED_VALUE"""),"годен до 02.12.2024")</f>
        <v>годен до 02.12.2024</v>
      </c>
      <c r="F651" s="1" t="str">
        <f ca="1">IFERROR(__xludf.DUMMYFUNCTION("""COMPUTED_VALUE"""),"Бандаж на голеностопный сустав легкой фиксации 7034 M (бежевый) (Болгария) - 1219046KZ46")</f>
        <v>Бандаж на голеностопный сустав легкой фиксации 7034 M (бежевый) (Болгария) - 1219046KZ46</v>
      </c>
      <c r="G651" s="1" t="str">
        <f ca="1">IFERROR(__xludf.DUMMYFUNCTION("""COMPUTED_VALUE"""),"KZ.7700.02.01.00616600 / Действителен до 02.12.2024 / 1219046KZ46 / годен до 02.12.2024")</f>
        <v>KZ.7700.02.01.00616600 / Действителен до 02.12.2024 / 1219046KZ46 / годен до 02.12.2024</v>
      </c>
      <c r="H651" s="1" t="str">
        <f ca="1">IFERROR(__xludf.DUMMYFUNCTION("""COMPUTED_VALUE"""),"Бандаж на голеностопный сустав легкой фиксации 7034 M (бежевый) (Болгария) KZ.7700.02.01.00616600 / Действителен до 02.12.2024 / 1219046KZ46 / годен до 02.12.2024")</f>
        <v>Бандаж на голеностопный сустав легкой фиксации 7034 M (бежевый) (Болгария) KZ.7700.02.01.00616600 / Действителен до 02.12.2024 / 1219046KZ46 / годен до 02.12.2024</v>
      </c>
    </row>
    <row r="652" spans="1:8" ht="12.75" x14ac:dyDescent="0.2">
      <c r="A652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652" s="1" t="str">
        <f ca="1">IFERROR(__xludf.DUMMYFUNCTION("""COMPUTED_VALUE"""),"KZ.7700.02.01.00616603")</f>
        <v>KZ.7700.02.01.00616603</v>
      </c>
      <c r="C652" s="1" t="str">
        <f ca="1">IFERROR(__xludf.DUMMYFUNCTION("""COMPUTED_VALUE"""),"Действителен до 02.12.2024")</f>
        <v>Действителен до 02.12.2024</v>
      </c>
      <c r="D652" s="8" t="str">
        <f ca="1">IFERROR(__xludf.DUMMYFUNCTION("""COMPUTED_VALUE"""),"1219046KZ46")</f>
        <v>1219046KZ46</v>
      </c>
      <c r="E652" s="1" t="str">
        <f ca="1">IFERROR(__xludf.DUMMYFUNCTION("""COMPUTED_VALUE"""),"годен до 02.12.2024")</f>
        <v>годен до 02.12.2024</v>
      </c>
      <c r="F652" s="1" t="str">
        <f ca="1">IFERROR(__xludf.DUMMYFUNCTION("""COMPUTED_VALUE"""),"Бандаж на голеностопный сустав легкой фиксации 7034 XL (бежевый) (Болгария) - 1219046KZ46")</f>
        <v>Бандаж на голеностопный сустав легкой фиксации 7034 XL (бежевый) (Болгария) - 1219046KZ46</v>
      </c>
      <c r="G652" s="1" t="str">
        <f ca="1">IFERROR(__xludf.DUMMYFUNCTION("""COMPUTED_VALUE"""),"KZ.7700.02.01.00616603 / Действителен до 02.12.2024 / 1219046KZ46 / годен до 02.12.2024")</f>
        <v>KZ.7700.02.01.00616603 / Действителен до 02.12.2024 / 1219046KZ46 / годен до 02.12.2024</v>
      </c>
      <c r="H652" s="1" t="str">
        <f ca="1">IFERROR(__xludf.DUMMYFUNCTION("""COMPUTED_VALUE"""),"Бандаж на голеностопный сустав легкой фиксации 7034 XL (бежевый) (Болгария) KZ.7700.02.01.00616603 / Действителен до 02.12.2024 / 1219046KZ46 / годен до 02.12.2024")</f>
        <v>Бандаж на голеностопный сустав легкой фиксации 7034 XL (бежевый) (Болгария) KZ.7700.02.01.00616603 / Действителен до 02.12.2024 / 1219046KZ46 / годен до 02.12.2024</v>
      </c>
    </row>
    <row r="653" spans="1:8" ht="12.75" x14ac:dyDescent="0.2">
      <c r="A653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653" s="1" t="str">
        <f ca="1">IFERROR(__xludf.DUMMYFUNCTION("""COMPUTED_VALUE"""),"KZ.7700.02.01.00616623")</f>
        <v>KZ.7700.02.01.00616623</v>
      </c>
      <c r="C653" s="1" t="str">
        <f ca="1">IFERROR(__xludf.DUMMYFUNCTION("""COMPUTED_VALUE"""),"Действителен до 02.12.2024")</f>
        <v>Действителен до 02.12.2024</v>
      </c>
      <c r="D653" s="8" t="str">
        <f ca="1">IFERROR(__xludf.DUMMYFUNCTION("""COMPUTED_VALUE"""),"1219046KZ46")</f>
        <v>1219046KZ46</v>
      </c>
      <c r="E653" s="1" t="str">
        <f ca="1">IFERROR(__xludf.DUMMYFUNCTION("""COMPUTED_VALUE"""),"годен до 02.12.2024")</f>
        <v>годен до 02.12.2024</v>
      </c>
      <c r="F653" s="1" t="str">
        <f ca="1">IFERROR(__xludf.DUMMYFUNCTION("""COMPUTED_VALUE"""),"Бандаж на голеностопный сустав эластичный 7035 M (Болгария) - 1219046KZ46")</f>
        <v>Бандаж на голеностопный сустав эластичный 7035 M (Болгария) - 1219046KZ46</v>
      </c>
      <c r="G653" s="1" t="str">
        <f ca="1">IFERROR(__xludf.DUMMYFUNCTION("""COMPUTED_VALUE"""),"KZ.7700.02.01.00616623 / Действителен до 02.12.2024 / 1219046KZ46 / годен до 02.12.2024")</f>
        <v>KZ.7700.02.01.00616623 / Действителен до 02.12.2024 / 1219046KZ46 / годен до 02.12.2024</v>
      </c>
      <c r="H653" s="1" t="str">
        <f ca="1">IFERROR(__xludf.DUMMYFUNCTION("""COMPUTED_VALUE"""),"Бандаж на голеностопный сустав эластичный 7035 M (Болгария) KZ.7700.02.01.00616623 / Действителен до 02.12.2024 / 1219046KZ46 / годен до 02.12.2024")</f>
        <v>Бандаж на голеностопный сустав эластичный 7035 M (Болгария) KZ.7700.02.01.00616623 / Действителен до 02.12.2024 / 1219046KZ46 / годен до 02.12.2024</v>
      </c>
    </row>
    <row r="654" spans="1:8" ht="12.75" x14ac:dyDescent="0.2">
      <c r="A654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654" s="1" t="str">
        <f ca="1">IFERROR(__xludf.DUMMYFUNCTION("""COMPUTED_VALUE"""),"KZ.7700.02.01.00616624")</f>
        <v>KZ.7700.02.01.00616624</v>
      </c>
      <c r="C654" s="1" t="str">
        <f ca="1">IFERROR(__xludf.DUMMYFUNCTION("""COMPUTED_VALUE"""),"Действителен до 02.12.2024")</f>
        <v>Действителен до 02.12.2024</v>
      </c>
      <c r="D654" s="8" t="str">
        <f ca="1">IFERROR(__xludf.DUMMYFUNCTION("""COMPUTED_VALUE"""),"1219046KZ46")</f>
        <v>1219046KZ46</v>
      </c>
      <c r="E654" s="1" t="str">
        <f ca="1">IFERROR(__xludf.DUMMYFUNCTION("""COMPUTED_VALUE"""),"годен до 02.12.2024")</f>
        <v>годен до 02.12.2024</v>
      </c>
      <c r="F654" s="1" t="str">
        <f ca="1">IFERROR(__xludf.DUMMYFUNCTION("""COMPUTED_VALUE"""),"Бандаж на голеностопный сустав эластичный 7035 XL (Болгария) - 1219046KZ46")</f>
        <v>Бандаж на голеностопный сустав эластичный 7035 XL (Болгария) - 1219046KZ46</v>
      </c>
      <c r="G654" s="1" t="str">
        <f ca="1">IFERROR(__xludf.DUMMYFUNCTION("""COMPUTED_VALUE"""),"KZ.7700.02.01.00616624 / Действителен до 02.12.2024 / 1219046KZ46 / годен до 02.12.2024")</f>
        <v>KZ.7700.02.01.00616624 / Действителен до 02.12.2024 / 1219046KZ46 / годен до 02.12.2024</v>
      </c>
      <c r="H654" s="1" t="str">
        <f ca="1">IFERROR(__xludf.DUMMYFUNCTION("""COMPUTED_VALUE"""),"Бандаж на голеностопный сустав эластичный 7035 XL (Болгария) KZ.7700.02.01.00616624 / Действителен до 02.12.2024 / 1219046KZ46 / годен до 02.12.2024")</f>
        <v>Бандаж на голеностопный сустав эластичный 7035 XL (Болгария) KZ.7700.02.01.00616624 / Действителен до 02.12.2024 / 1219046KZ46 / годен до 02.12.2024</v>
      </c>
    </row>
    <row r="655" spans="1:8" ht="12.75" x14ac:dyDescent="0.2">
      <c r="A655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655" s="1" t="str">
        <f ca="1">IFERROR(__xludf.DUMMYFUNCTION("""COMPUTED_VALUE"""),"KZ.7700.02.01.00616626")</f>
        <v>KZ.7700.02.01.00616626</v>
      </c>
      <c r="C655" s="1" t="str">
        <f ca="1">IFERROR(__xludf.DUMMYFUNCTION("""COMPUTED_VALUE"""),"Действителен до 02.12.2024")</f>
        <v>Действителен до 02.12.2024</v>
      </c>
      <c r="D655" s="8" t="str">
        <f ca="1">IFERROR(__xludf.DUMMYFUNCTION("""COMPUTED_VALUE"""),"1219046KZ46")</f>
        <v>1219046KZ46</v>
      </c>
      <c r="E655" s="1" t="str">
        <f ca="1">IFERROR(__xludf.DUMMYFUNCTION("""COMPUTED_VALUE"""),"годен до 02.12.2024")</f>
        <v>годен до 02.12.2024</v>
      </c>
      <c r="F655" s="1" t="str">
        <f ca="1">IFERROR(__xludf.DUMMYFUNCTION("""COMPUTED_VALUE"""),"Бандаж на локтевой сустав эластичный 8317 M (Болгария) - 1219046KZ46")</f>
        <v>Бандаж на локтевой сустав эластичный 8317 M (Болгария) - 1219046KZ46</v>
      </c>
      <c r="G655" s="1" t="str">
        <f ca="1">IFERROR(__xludf.DUMMYFUNCTION("""COMPUTED_VALUE"""),"KZ.7700.02.01.00616626 / Действителен до 02.12.2024 / 1219046KZ46 / годен до 02.12.2024")</f>
        <v>KZ.7700.02.01.00616626 / Действителен до 02.12.2024 / 1219046KZ46 / годен до 02.12.2024</v>
      </c>
      <c r="H655" s="1" t="str">
        <f ca="1">IFERROR(__xludf.DUMMYFUNCTION("""COMPUTED_VALUE"""),"Бандаж на локтевой сустав эластичный 8317 M (Болгария) KZ.7700.02.01.00616626 / Действителен до 02.12.2024 / 1219046KZ46 / годен до 02.12.2024")</f>
        <v>Бандаж на локтевой сустав эластичный 8317 M (Болгария) KZ.7700.02.01.00616626 / Действителен до 02.12.2024 / 1219046KZ46 / годен до 02.12.2024</v>
      </c>
    </row>
    <row r="656" spans="1:8" ht="12.75" x14ac:dyDescent="0.2">
      <c r="A656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656" s="1" t="str">
        <f ca="1">IFERROR(__xludf.DUMMYFUNCTION("""COMPUTED_VALUE"""),"KZ.7700.02.01.00616625")</f>
        <v>KZ.7700.02.01.00616625</v>
      </c>
      <c r="C656" s="1" t="str">
        <f ca="1">IFERROR(__xludf.DUMMYFUNCTION("""COMPUTED_VALUE"""),"Действителен до 02.12.2024")</f>
        <v>Действителен до 02.12.2024</v>
      </c>
      <c r="D656" s="8" t="str">
        <f ca="1">IFERROR(__xludf.DUMMYFUNCTION("""COMPUTED_VALUE"""),"1219046KZ46")</f>
        <v>1219046KZ46</v>
      </c>
      <c r="E656" s="1" t="str">
        <f ca="1">IFERROR(__xludf.DUMMYFUNCTION("""COMPUTED_VALUE"""),"годен до 02.12.2024")</f>
        <v>годен до 02.12.2024</v>
      </c>
      <c r="F656" s="1" t="str">
        <f ca="1">IFERROR(__xludf.DUMMYFUNCTION("""COMPUTED_VALUE"""),"Бандаж на локтевой сустав эластичный 8317 S (Болгария) - 1219046KZ46")</f>
        <v>Бандаж на локтевой сустав эластичный 8317 S (Болгария) - 1219046KZ46</v>
      </c>
      <c r="G656" s="1" t="str">
        <f ca="1">IFERROR(__xludf.DUMMYFUNCTION("""COMPUTED_VALUE"""),"KZ.7700.02.01.00616625 / Действителен до 02.12.2024 / 1219046KZ46 / годен до 02.12.2024")</f>
        <v>KZ.7700.02.01.00616625 / Действителен до 02.12.2024 / 1219046KZ46 / годен до 02.12.2024</v>
      </c>
      <c r="H656" s="1" t="str">
        <f ca="1">IFERROR(__xludf.DUMMYFUNCTION("""COMPUTED_VALUE"""),"Бандаж на локтевой сустав эластичный 8317 S (Болгария) KZ.7700.02.01.00616625 / Действителен до 02.12.2024 / 1219046KZ46 / годен до 02.12.2024")</f>
        <v>Бандаж на локтевой сустав эластичный 8317 S (Болгария) KZ.7700.02.01.00616625 / Действителен до 02.12.2024 / 1219046KZ46 / годен до 02.12.2024</v>
      </c>
    </row>
    <row r="657" spans="1:8" ht="12.75" x14ac:dyDescent="0.2">
      <c r="A657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657" s="1" t="str">
        <f ca="1">IFERROR(__xludf.DUMMYFUNCTION("""COMPUTED_VALUE"""),"KZ.7700.02.01.00616629")</f>
        <v>KZ.7700.02.01.00616629</v>
      </c>
      <c r="C657" s="1" t="str">
        <f ca="1">IFERROR(__xludf.DUMMYFUNCTION("""COMPUTED_VALUE"""),"Действителен до 02.12.2024")</f>
        <v>Действителен до 02.12.2024</v>
      </c>
      <c r="D657" s="8" t="str">
        <f ca="1">IFERROR(__xludf.DUMMYFUNCTION("""COMPUTED_VALUE"""),"1219046KZ46")</f>
        <v>1219046KZ46</v>
      </c>
      <c r="E657" s="1" t="str">
        <f ca="1">IFERROR(__xludf.DUMMYFUNCTION("""COMPUTED_VALUE"""),"годен до 02.12.2024")</f>
        <v>годен до 02.12.2024</v>
      </c>
      <c r="F657" s="1" t="str">
        <f ca="1">IFERROR(__xludf.DUMMYFUNCTION("""COMPUTED_VALUE"""),"Бандаж на лучезапястный сустав эластичный 8503 M (Болгария) - 1219046KZ46")</f>
        <v>Бандаж на лучезапястный сустав эластичный 8503 M (Болгария) - 1219046KZ46</v>
      </c>
      <c r="G657" s="1" t="str">
        <f ca="1">IFERROR(__xludf.DUMMYFUNCTION("""COMPUTED_VALUE"""),"KZ.7700.02.01.00616629 / Действителен до 02.12.2024 / 1219046KZ46 / годен до 02.12.2024")</f>
        <v>KZ.7700.02.01.00616629 / Действителен до 02.12.2024 / 1219046KZ46 / годен до 02.12.2024</v>
      </c>
      <c r="H657" s="1" t="str">
        <f ca="1">IFERROR(__xludf.DUMMYFUNCTION("""COMPUTED_VALUE"""),"Бандаж на лучезапястный сустав эластичный 8503 M (Болгария) KZ.7700.02.01.00616629 / Действителен до 02.12.2024 / 1219046KZ46 / годен до 02.12.2024")</f>
        <v>Бандаж на лучезапястный сустав эластичный 8503 M (Болгария) KZ.7700.02.01.00616629 / Действителен до 02.12.2024 / 1219046KZ46 / годен до 02.12.2024</v>
      </c>
    </row>
    <row r="658" spans="1:8" ht="12.75" x14ac:dyDescent="0.2">
      <c r="A658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658" s="1" t="str">
        <f ca="1">IFERROR(__xludf.DUMMYFUNCTION("""COMPUTED_VALUE"""),"KZ.7700.02.01.00616627")</f>
        <v>KZ.7700.02.01.00616627</v>
      </c>
      <c r="C658" s="1" t="str">
        <f ca="1">IFERROR(__xludf.DUMMYFUNCTION("""COMPUTED_VALUE"""),"Действителен до 02.12.2024")</f>
        <v>Действителен до 02.12.2024</v>
      </c>
      <c r="D658" s="8" t="str">
        <f ca="1">IFERROR(__xludf.DUMMYFUNCTION("""COMPUTED_VALUE"""),"1219046KZ46")</f>
        <v>1219046KZ46</v>
      </c>
      <c r="E658" s="1" t="str">
        <f ca="1">IFERROR(__xludf.DUMMYFUNCTION("""COMPUTED_VALUE"""),"годен до 02.12.2024")</f>
        <v>годен до 02.12.2024</v>
      </c>
      <c r="F658" s="1" t="str">
        <f ca="1">IFERROR(__xludf.DUMMYFUNCTION("""COMPUTED_VALUE"""),"Бандаж на лучезапястный сустав эластичный 8503 S (Болгария) - 1219046KZ46")</f>
        <v>Бандаж на лучезапястный сустав эластичный 8503 S (Болгария) - 1219046KZ46</v>
      </c>
      <c r="G658" s="1" t="str">
        <f ca="1">IFERROR(__xludf.DUMMYFUNCTION("""COMPUTED_VALUE"""),"KZ.7700.02.01.00616627 / Действителен до 02.12.2024 / 1219046KZ46 / годен до 02.12.2024")</f>
        <v>KZ.7700.02.01.00616627 / Действителен до 02.12.2024 / 1219046KZ46 / годен до 02.12.2024</v>
      </c>
      <c r="H658" s="1" t="str">
        <f ca="1">IFERROR(__xludf.DUMMYFUNCTION("""COMPUTED_VALUE"""),"Бандаж на лучезапястный сустав эластичный 8503 S (Болгария) KZ.7700.02.01.00616627 / Действителен до 02.12.2024 / 1219046KZ46 / годен до 02.12.2024")</f>
        <v>Бандаж на лучезапястный сустав эластичный 8503 S (Болгария) KZ.7700.02.01.00616627 / Действителен до 02.12.2024 / 1219046KZ46 / годен до 02.12.2024</v>
      </c>
    </row>
    <row r="659" spans="1:8" ht="12.75" x14ac:dyDescent="0.2">
      <c r="A659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659" s="1" t="str">
        <f ca="1">IFERROR(__xludf.DUMMYFUNCTION("""COMPUTED_VALUE"""),"KZ.7700.02.01.00616606")</f>
        <v>KZ.7700.02.01.00616606</v>
      </c>
      <c r="C659" s="1" t="str">
        <f ca="1">IFERROR(__xludf.DUMMYFUNCTION("""COMPUTED_VALUE"""),"Действителен до 02.12.2024")</f>
        <v>Действителен до 02.12.2024</v>
      </c>
      <c r="D659" s="8" t="str">
        <f ca="1">IFERROR(__xludf.DUMMYFUNCTION("""COMPUTED_VALUE"""),"1219046KZ46")</f>
        <v>1219046KZ46</v>
      </c>
      <c r="E659" s="1" t="str">
        <f ca="1">IFERROR(__xludf.DUMMYFUNCTION("""COMPUTED_VALUE"""),"годен до 02.12.2024")</f>
        <v>годен до 02.12.2024</v>
      </c>
      <c r="F659" s="1" t="str">
        <f ca="1">IFERROR(__xludf.DUMMYFUNCTION("""COMPUTED_VALUE"""),"Бандаж на лучезапястный сустав легкой фиксации 8505 L/XL (Бежевый) (Болгария) - 1219046KZ46")</f>
        <v>Бандаж на лучезапястный сустав легкой фиксации 8505 L/XL (Бежевый) (Болгария) - 1219046KZ46</v>
      </c>
      <c r="G659" s="1" t="str">
        <f ca="1">IFERROR(__xludf.DUMMYFUNCTION("""COMPUTED_VALUE"""),"KZ.7700.02.01.00616606 / Действителен до 02.12.2024 / 1219046KZ46 / годен до 02.12.2024")</f>
        <v>KZ.7700.02.01.00616606 / Действителен до 02.12.2024 / 1219046KZ46 / годен до 02.12.2024</v>
      </c>
      <c r="H659" s="1" t="str">
        <f ca="1">IFERROR(__xludf.DUMMYFUNCTION("""COMPUTED_VALUE"""),"Бандаж на лучезапястный сустав легкой фиксации 8505 L/XL (Бежевый) (Болгария) KZ.7700.02.01.00616606 / Действителен до 02.12.2024 / 1219046KZ46 / годен до 02.12.2024")</f>
        <v>Бандаж на лучезапястный сустав легкой фиксации 8505 L/XL (Бежевый) (Болгария) KZ.7700.02.01.00616606 / Действителен до 02.12.2024 / 1219046KZ46 / годен до 02.12.2024</v>
      </c>
    </row>
    <row r="660" spans="1:8" ht="12.75" x14ac:dyDescent="0.2">
      <c r="A660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660" s="1" t="str">
        <f ca="1">IFERROR(__xludf.DUMMYFUNCTION("""COMPUTED_VALUE"""),"KZ.7700.02.01.00616604")</f>
        <v>KZ.7700.02.01.00616604</v>
      </c>
      <c r="C660" s="1" t="str">
        <f ca="1">IFERROR(__xludf.DUMMYFUNCTION("""COMPUTED_VALUE"""),"Действителен до 02.12.2024")</f>
        <v>Действителен до 02.12.2024</v>
      </c>
      <c r="D660" s="8" t="str">
        <f ca="1">IFERROR(__xludf.DUMMYFUNCTION("""COMPUTED_VALUE"""),"1219046KZ46")</f>
        <v>1219046KZ46</v>
      </c>
      <c r="E660" s="1" t="str">
        <f ca="1">IFERROR(__xludf.DUMMYFUNCTION("""COMPUTED_VALUE"""),"годен до 02.12.2024")</f>
        <v>годен до 02.12.2024</v>
      </c>
      <c r="F660" s="1" t="str">
        <f ca="1">IFERROR(__xludf.DUMMYFUNCTION("""COMPUTED_VALUE"""),"Бандаж на лучезапястный сустав легкой фиксации 8505 S/M (Бежевый) (Болгария) - 1219046KZ46")</f>
        <v>Бандаж на лучезапястный сустав легкой фиксации 8505 S/M (Бежевый) (Болгария) - 1219046KZ46</v>
      </c>
      <c r="G660" s="1" t="str">
        <f ca="1">IFERROR(__xludf.DUMMYFUNCTION("""COMPUTED_VALUE"""),"KZ.7700.02.01.00616604 / Действителен до 02.12.2024 / 1219046KZ46 / годен до 02.12.2024")</f>
        <v>KZ.7700.02.01.00616604 / Действителен до 02.12.2024 / 1219046KZ46 / годен до 02.12.2024</v>
      </c>
      <c r="H660" s="1" t="str">
        <f ca="1">IFERROR(__xludf.DUMMYFUNCTION("""COMPUTED_VALUE"""),"Бандаж на лучезапястный сустав легкой фиксации 8505 S/M (Бежевый) (Болгария) KZ.7700.02.01.00616604 / Действителен до 02.12.2024 / 1219046KZ46 / годен до 02.12.2024")</f>
        <v>Бандаж на лучезапястный сустав легкой фиксации 8505 S/M (Бежевый) (Болгария) KZ.7700.02.01.00616604 / Действителен до 02.12.2024 / 1219046KZ46 / годен до 02.12.2024</v>
      </c>
    </row>
    <row r="661" spans="1:8" ht="12.75" x14ac:dyDescent="0.2">
      <c r="A661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661" s="1" t="str">
        <f ca="1">IFERROR(__xludf.DUMMYFUNCTION("""COMPUTED_VALUE"""),"KZ.7700.02.01.00616608")</f>
        <v>KZ.7700.02.01.00616608</v>
      </c>
      <c r="C661" s="1" t="str">
        <f ca="1">IFERROR(__xludf.DUMMYFUNCTION("""COMPUTED_VALUE"""),"Действителен до 02.12.2024")</f>
        <v>Действителен до 02.12.2024</v>
      </c>
      <c r="D661" s="8" t="str">
        <f ca="1">IFERROR(__xludf.DUMMYFUNCTION("""COMPUTED_VALUE"""),"1219046KZ46")</f>
        <v>1219046KZ46</v>
      </c>
      <c r="E661" s="1" t="str">
        <f ca="1">IFERROR(__xludf.DUMMYFUNCTION("""COMPUTED_VALUE"""),"годен до 02.12.2024")</f>
        <v>годен до 02.12.2024</v>
      </c>
      <c r="F661" s="1" t="str">
        <f ca="1">IFERROR(__xludf.DUMMYFUNCTION("""COMPUTED_VALUE"""),"Бандаж на лучезапястный сустав с фиксацией пальца 8552 L\XL (Болгария) - 1219046KZ46")</f>
        <v>Бандаж на лучезапястный сустав с фиксацией пальца 8552 L\XL (Болгария) - 1219046KZ46</v>
      </c>
      <c r="G661" s="1" t="str">
        <f ca="1">IFERROR(__xludf.DUMMYFUNCTION("""COMPUTED_VALUE"""),"KZ.7700.02.01.00616608 / Действителен до 02.12.2024 / 1219046KZ46 / годен до 02.12.2024")</f>
        <v>KZ.7700.02.01.00616608 / Действителен до 02.12.2024 / 1219046KZ46 / годен до 02.12.2024</v>
      </c>
      <c r="H661" s="1" t="str">
        <f ca="1">IFERROR(__xludf.DUMMYFUNCTION("""COMPUTED_VALUE"""),"Бандаж на лучезапястный сустав с фиксацией пальца 8552 L\XL (Болгария) KZ.7700.02.01.00616608 / Действителен до 02.12.2024 / 1219046KZ46 / годен до 02.12.2024")</f>
        <v>Бандаж на лучезапястный сустав с фиксацией пальца 8552 L\XL (Болгария) KZ.7700.02.01.00616608 / Действителен до 02.12.2024 / 1219046KZ46 / годен до 02.12.2024</v>
      </c>
    </row>
    <row r="662" spans="1:8" ht="12.75" x14ac:dyDescent="0.2">
      <c r="A662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662" s="1" t="str">
        <f ca="1">IFERROR(__xludf.DUMMYFUNCTION("""COMPUTED_VALUE"""),"KZ.7700.02.01.00616607")</f>
        <v>KZ.7700.02.01.00616607</v>
      </c>
      <c r="C662" s="1" t="str">
        <f ca="1">IFERROR(__xludf.DUMMYFUNCTION("""COMPUTED_VALUE"""),"Действителен до 02.12.2024")</f>
        <v>Действителен до 02.12.2024</v>
      </c>
      <c r="D662" s="8" t="str">
        <f ca="1">IFERROR(__xludf.DUMMYFUNCTION("""COMPUTED_VALUE"""),"1219046KZ46")</f>
        <v>1219046KZ46</v>
      </c>
      <c r="E662" s="1" t="str">
        <f ca="1">IFERROR(__xludf.DUMMYFUNCTION("""COMPUTED_VALUE"""),"годен до 02.12.2024")</f>
        <v>годен до 02.12.2024</v>
      </c>
      <c r="F662" s="1" t="str">
        <f ca="1">IFERROR(__xludf.DUMMYFUNCTION("""COMPUTED_VALUE"""),"Бандаж на лучезапястный сустав с фиксацией пальца 8552 S\M (Болгария) - 1219046KZ46")</f>
        <v>Бандаж на лучезапястный сустав с фиксацией пальца 8552 S\M (Болгария) - 1219046KZ46</v>
      </c>
      <c r="G662" s="1" t="str">
        <f ca="1">IFERROR(__xludf.DUMMYFUNCTION("""COMPUTED_VALUE"""),"KZ.7700.02.01.00616607 / Действителен до 02.12.2024 / 1219046KZ46 / годен до 02.12.2024")</f>
        <v>KZ.7700.02.01.00616607 / Действителен до 02.12.2024 / 1219046KZ46 / годен до 02.12.2024</v>
      </c>
      <c r="H662" s="1" t="str">
        <f ca="1">IFERROR(__xludf.DUMMYFUNCTION("""COMPUTED_VALUE"""),"Бандаж на лучезапястный сустав с фиксацией пальца 8552 S\M (Болгария) KZ.7700.02.01.00616607 / Действителен до 02.12.2024 / 1219046KZ46 / годен до 02.12.2024")</f>
        <v>Бандаж на лучезапястный сустав с фиксацией пальца 8552 S\M (Болгария) KZ.7700.02.01.00616607 / Действителен до 02.12.2024 / 1219046KZ46 / годен до 02.12.2024</v>
      </c>
    </row>
    <row r="663" spans="1:8" ht="12.75" x14ac:dyDescent="0.2">
      <c r="A663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663" s="1" t="str">
        <f ca="1">IFERROR(__xludf.DUMMYFUNCTION("""COMPUTED_VALUE"""),"KZ.7700.02.01.00616615")</f>
        <v>KZ.7700.02.01.00616615</v>
      </c>
      <c r="C663" s="1" t="str">
        <f ca="1">IFERROR(__xludf.DUMMYFUNCTION("""COMPUTED_VALUE"""),"Действителен до 02.12.2024")</f>
        <v>Действителен до 02.12.2024</v>
      </c>
      <c r="D663" s="8" t="str">
        <f ca="1">IFERROR(__xludf.DUMMYFUNCTION("""COMPUTED_VALUE"""),"1219046KZ46")</f>
        <v>1219046KZ46</v>
      </c>
      <c r="E663" s="1" t="str">
        <f ca="1">IFERROR(__xludf.DUMMYFUNCTION("""COMPUTED_VALUE"""),"годен до 02.12.2024")</f>
        <v>годен до 02.12.2024</v>
      </c>
      <c r="F663" s="1" t="str">
        <f ca="1">IFERROR(__xludf.DUMMYFUNCTION("""COMPUTED_VALUE"""),"Бандаж для руки поддерживающий облегченный (косынка) 9912 L (белый) (Болгария) - 1219046KZ46")</f>
        <v>Бандаж для руки поддерживающий облегченный (косынка) 9912 L (белый) (Болгария) - 1219046KZ46</v>
      </c>
      <c r="G663" s="1" t="str">
        <f ca="1">IFERROR(__xludf.DUMMYFUNCTION("""COMPUTED_VALUE"""),"KZ.7700.02.01.00616615 / Действителен до 02.12.2024 / 1219046KZ46 / годен до 02.12.2024")</f>
        <v>KZ.7700.02.01.00616615 / Действителен до 02.12.2024 / 1219046KZ46 / годен до 02.12.2024</v>
      </c>
      <c r="H663" s="1" t="str">
        <f ca="1">IFERROR(__xludf.DUMMYFUNCTION("""COMPUTED_VALUE"""),"Бандаж для руки поддерживающий облегченный (косынка) 9912 L (белый) (Болгария) KZ.7700.02.01.00616615 / Действителен до 02.12.2024 / 1219046KZ46 / годен до 02.12.2024")</f>
        <v>Бандаж для руки поддерживающий облегченный (косынка) 9912 L (белый) (Болгария) KZ.7700.02.01.00616615 / Действителен до 02.12.2024 / 1219046KZ46 / годен до 02.12.2024</v>
      </c>
    </row>
    <row r="664" spans="1:8" ht="12.75" x14ac:dyDescent="0.2">
      <c r="A664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664" s="1" t="str">
        <f ca="1">IFERROR(__xludf.DUMMYFUNCTION("""COMPUTED_VALUE"""),"KZ.7700.02.01.00616614")</f>
        <v>KZ.7700.02.01.00616614</v>
      </c>
      <c r="C664" s="1" t="str">
        <f ca="1">IFERROR(__xludf.DUMMYFUNCTION("""COMPUTED_VALUE"""),"Действителен до 02.12.2024")</f>
        <v>Действителен до 02.12.2024</v>
      </c>
      <c r="D664" s="8" t="str">
        <f ca="1">IFERROR(__xludf.DUMMYFUNCTION("""COMPUTED_VALUE"""),"1219046KZ46")</f>
        <v>1219046KZ46</v>
      </c>
      <c r="E664" s="1" t="str">
        <f ca="1">IFERROR(__xludf.DUMMYFUNCTION("""COMPUTED_VALUE"""),"годен до 02.12.2024")</f>
        <v>годен до 02.12.2024</v>
      </c>
      <c r="F664" s="1" t="str">
        <f ca="1">IFERROR(__xludf.DUMMYFUNCTION("""COMPUTED_VALUE"""),"Бандаж для руки поддерживающий облегченный (косынка) 9912 XL (черный) (Болгария) - 1219046KZ46")</f>
        <v>Бандаж для руки поддерживающий облегченный (косынка) 9912 XL (черный) (Болгария) - 1219046KZ46</v>
      </c>
      <c r="G664" s="1" t="str">
        <f ca="1">IFERROR(__xludf.DUMMYFUNCTION("""COMPUTED_VALUE"""),"KZ.7700.02.01.00616614 / Действителен до 02.12.2024 / 1219046KZ46 / годен до 02.12.2024")</f>
        <v>KZ.7700.02.01.00616614 / Действителен до 02.12.2024 / 1219046KZ46 / годен до 02.12.2024</v>
      </c>
      <c r="H664" s="1" t="str">
        <f ca="1">IFERROR(__xludf.DUMMYFUNCTION("""COMPUTED_VALUE"""),"Бандаж для руки поддерживающий облегченный (косынка) 9912 XL (черный) (Болгария) KZ.7700.02.01.00616614 / Действителен до 02.12.2024 / 1219046KZ46 / годен до 02.12.2024")</f>
        <v>Бандаж для руки поддерживающий облегченный (косынка) 9912 XL (черный) (Болгария) KZ.7700.02.01.00616614 / Действителен до 02.12.2024 / 1219046KZ46 / годен до 02.12.2024</v>
      </c>
    </row>
    <row r="665" spans="1:8" ht="12.75" x14ac:dyDescent="0.2">
      <c r="A665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665" s="1" t="str">
        <f ca="1">IFERROR(__xludf.DUMMYFUNCTION("""COMPUTED_VALUE"""),"KZ.7700.02.01.00616613")</f>
        <v>KZ.7700.02.01.00616613</v>
      </c>
      <c r="C665" s="1" t="str">
        <f ca="1">IFERROR(__xludf.DUMMYFUNCTION("""COMPUTED_VALUE"""),"Действителен до 02.12.2024")</f>
        <v>Действителен до 02.12.2024</v>
      </c>
      <c r="D665" s="8" t="str">
        <f ca="1">IFERROR(__xludf.DUMMYFUNCTION("""COMPUTED_VALUE"""),"1219046KZ46")</f>
        <v>1219046KZ46</v>
      </c>
      <c r="E665" s="1" t="str">
        <f ca="1">IFERROR(__xludf.DUMMYFUNCTION("""COMPUTED_VALUE"""),"годен до 02.12.2024")</f>
        <v>годен до 02.12.2024</v>
      </c>
      <c r="F665" s="1" t="str">
        <f ca="1">IFERROR(__xludf.DUMMYFUNCTION("""COMPUTED_VALUE"""),"Бандаж для руки поддерживающий облегченный (косынка) 9912 L (черный) (Болгария) - 1219046KZ46")</f>
        <v>Бандаж для руки поддерживающий облегченный (косынка) 9912 L (черный) (Болгария) - 1219046KZ46</v>
      </c>
      <c r="G665" s="1" t="str">
        <f ca="1">IFERROR(__xludf.DUMMYFUNCTION("""COMPUTED_VALUE"""),"KZ.7700.02.01.00616613 / Действителен до 02.12.2024 / 1219046KZ46 / годен до 02.12.2024")</f>
        <v>KZ.7700.02.01.00616613 / Действителен до 02.12.2024 / 1219046KZ46 / годен до 02.12.2024</v>
      </c>
      <c r="H665" s="1" t="str">
        <f ca="1">IFERROR(__xludf.DUMMYFUNCTION("""COMPUTED_VALUE"""),"Бандаж для руки поддерживающий облегченный (косынка) 9912 L (черный) (Болгария) KZ.7700.02.01.00616613 / Действителен до 02.12.2024 / 1219046KZ46 / годен до 02.12.2024")</f>
        <v>Бандаж для руки поддерживающий облегченный (косынка) 9912 L (черный) (Болгария) KZ.7700.02.01.00616613 / Действителен до 02.12.2024 / 1219046KZ46 / годен до 02.12.2024</v>
      </c>
    </row>
    <row r="666" spans="1:8" ht="12.75" x14ac:dyDescent="0.2">
      <c r="A666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666" s="1" t="str">
        <f ca="1">IFERROR(__xludf.DUMMYFUNCTION("""COMPUTED_VALUE"""),"KZ.7700.02.01.00616610")</f>
        <v>KZ.7700.02.01.00616610</v>
      </c>
      <c r="C666" s="1" t="str">
        <f ca="1">IFERROR(__xludf.DUMMYFUNCTION("""COMPUTED_VALUE"""),"Действителен до 02.12.2024")</f>
        <v>Действителен до 02.12.2024</v>
      </c>
      <c r="D666" s="8" t="str">
        <f ca="1">IFERROR(__xludf.DUMMYFUNCTION("""COMPUTED_VALUE"""),"1219046KZ46")</f>
        <v>1219046KZ46</v>
      </c>
      <c r="E666" s="1" t="str">
        <f ca="1">IFERROR(__xludf.DUMMYFUNCTION("""COMPUTED_VALUE"""),"годен до 02.12.2024")</f>
        <v>годен до 02.12.2024</v>
      </c>
      <c r="F666" s="1" t="str">
        <f ca="1">IFERROR(__xludf.DUMMYFUNCTION("""COMPUTED_VALUE"""),"Бандаж для руки поддерживающий облегченный (косынка) 9912 S (черный) (Болгария) - 1219046KZ46")</f>
        <v>Бандаж для руки поддерживающий облегченный (косынка) 9912 S (черный) (Болгария) - 1219046KZ46</v>
      </c>
      <c r="G666" s="1" t="str">
        <f ca="1">IFERROR(__xludf.DUMMYFUNCTION("""COMPUTED_VALUE"""),"KZ.7700.02.01.00616610 / Действителен до 02.12.2024 / 1219046KZ46 / годен до 02.12.2024")</f>
        <v>KZ.7700.02.01.00616610 / Действителен до 02.12.2024 / 1219046KZ46 / годен до 02.12.2024</v>
      </c>
      <c r="H666" s="1" t="str">
        <f ca="1">IFERROR(__xludf.DUMMYFUNCTION("""COMPUTED_VALUE"""),"Бандаж для руки поддерживающий облегченный (косынка) 9912 S (черный) (Болгария) KZ.7700.02.01.00616610 / Действителен до 02.12.2024 / 1219046KZ46 / годен до 02.12.2024")</f>
        <v>Бандаж для руки поддерживающий облегченный (косынка) 9912 S (черный) (Болгария) KZ.7700.02.01.00616610 / Действителен до 02.12.2024 / 1219046KZ46 / годен до 02.12.2024</v>
      </c>
    </row>
    <row r="667" spans="1:8" ht="12.75" x14ac:dyDescent="0.2">
      <c r="A667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B667" s="1" t="str">
        <f ca="1">IFERROR(__xludf.DUMMYFUNCTION("""COMPUTED_VALUE"""),"KZ.7700.02.01.00616617")</f>
        <v>KZ.7700.02.01.00616617</v>
      </c>
      <c r="C667" s="1" t="str">
        <f ca="1">IFERROR(__xludf.DUMMYFUNCTION("""COMPUTED_VALUE"""),"Действителен до 02.12.2024")</f>
        <v>Действителен до 02.12.2024</v>
      </c>
      <c r="D667" s="8" t="str">
        <f ca="1">IFERROR(__xludf.DUMMYFUNCTION("""COMPUTED_VALUE"""),"1219046KZ46")</f>
        <v>1219046KZ46</v>
      </c>
      <c r="E667" s="1" t="str">
        <f ca="1">IFERROR(__xludf.DUMMYFUNCTION("""COMPUTED_VALUE"""),"годен до 02.12.2024")</f>
        <v>годен до 02.12.2024</v>
      </c>
      <c r="F667" s="1" t="str">
        <f ca="1">IFERROR(__xludf.DUMMYFUNCTION("""COMPUTED_VALUE"""),"Бандаж для руки поддерживающий облегченный (косынка) 9912 XL (белый) (Болгария) - 1219046KZ46")</f>
        <v>Бандаж для руки поддерживающий облегченный (косынка) 9912 XL (белый) (Болгария) - 1219046KZ46</v>
      </c>
      <c r="G667" s="1" t="str">
        <f ca="1">IFERROR(__xludf.DUMMYFUNCTION("""COMPUTED_VALUE"""),"KZ.7700.02.01.00616617 / Действителен до 02.12.2024 / 1219046KZ46 / годен до 02.12.2024")</f>
        <v>KZ.7700.02.01.00616617 / Действителен до 02.12.2024 / 1219046KZ46 / годен до 02.12.2024</v>
      </c>
      <c r="H667" s="1" t="str">
        <f ca="1">IFERROR(__xludf.DUMMYFUNCTION("""COMPUTED_VALUE"""),"Бандаж для руки поддерживающий облегченный (косынка) 9912 XL (белый) (Болгария) KZ.7700.02.01.00616617 / Действителен до 02.12.2024 / 1219046KZ46 / годен до 02.12.2024")</f>
        <v>Бандаж для руки поддерживающий облегченный (косынка) 9912 XL (белый) (Болгария) KZ.7700.02.01.00616617 / Действителен до 02.12.2024 / 1219046KZ46 / годен до 02.12.2024</v>
      </c>
    </row>
    <row r="668" spans="1:8" ht="12.75" x14ac:dyDescent="0.2">
      <c r="A668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668" s="1" t="str">
        <f ca="1">IFERROR(__xludf.DUMMYFUNCTION("""COMPUTED_VALUE"""),"KZ.7700.02.01.00616611")</f>
        <v>KZ.7700.02.01.00616611</v>
      </c>
      <c r="C668" s="1" t="str">
        <f ca="1">IFERROR(__xludf.DUMMYFUNCTION("""COMPUTED_VALUE"""),"Действителен до 02.12.2024")</f>
        <v>Действителен до 02.12.2024</v>
      </c>
      <c r="D668" s="8" t="str">
        <f ca="1">IFERROR(__xludf.DUMMYFUNCTION("""COMPUTED_VALUE"""),"1219046KZ46")</f>
        <v>1219046KZ46</v>
      </c>
      <c r="E668" s="1" t="str">
        <f ca="1">IFERROR(__xludf.DUMMYFUNCTION("""COMPUTED_VALUE"""),"годен до 02.12.2024")</f>
        <v>годен до 02.12.2024</v>
      </c>
      <c r="F668" s="1" t="str">
        <f ca="1">IFERROR(__xludf.DUMMYFUNCTION("""COMPUTED_VALUE"""),"Бандаж для руки поддерживающий облегченный (косынка) 9912 M (черный) (Болгария) - 1219046KZ46")</f>
        <v>Бандаж для руки поддерживающий облегченный (косынка) 9912 M (черный) (Болгария) - 1219046KZ46</v>
      </c>
      <c r="G668" s="1" t="str">
        <f ca="1">IFERROR(__xludf.DUMMYFUNCTION("""COMPUTED_VALUE"""),"KZ.7700.02.01.00616611 / Действителен до 02.12.2024 / 1219046KZ46 / годен до 02.12.2024")</f>
        <v>KZ.7700.02.01.00616611 / Действителен до 02.12.2024 / 1219046KZ46 / годен до 02.12.2024</v>
      </c>
      <c r="H668" s="1" t="str">
        <f ca="1">IFERROR(__xludf.DUMMYFUNCTION("""COMPUTED_VALUE"""),"Бандаж для руки поддерживающий облегченный (косынка) 9912 M (черный) (Болгария) KZ.7700.02.01.00616611 / Действителен до 02.12.2024 / 1219046KZ46 / годен до 02.12.2024")</f>
        <v>Бандаж для руки поддерживающий облегченный (косынка) 9912 M (черный) (Болгария) KZ.7700.02.01.00616611 / Действителен до 02.12.2024 / 1219046KZ46 / годен до 02.12.2024</v>
      </c>
    </row>
    <row r="669" spans="1:8" ht="12.75" x14ac:dyDescent="0.2">
      <c r="A669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669" s="1" t="str">
        <f ca="1">IFERROR(__xludf.DUMMYFUNCTION("""COMPUTED_VALUE"""),"KZ.7700.02.01.00694126")</f>
        <v>KZ.7700.02.01.00694126</v>
      </c>
      <c r="C669" s="1" t="str">
        <f ca="1">IFERROR(__xludf.DUMMYFUNCTION("""COMPUTED_VALUE"""),"Действителен до 07.10.2025")</f>
        <v>Действителен до 07.10.2025</v>
      </c>
      <c r="D669" s="8" t="str">
        <f ca="1">IFERROR(__xludf.DUMMYFUNCTION("""COMPUTED_VALUE"""),"1020089KZ89")</f>
        <v>1020089KZ89</v>
      </c>
      <c r="E669" s="1" t="str">
        <f ca="1">IFERROR(__xludf.DUMMYFUNCTION("""COMPUTED_VALUE"""),"годен до 07.10.2025")</f>
        <v>годен до 07.10.2025</v>
      </c>
      <c r="F669" s="1" t="str">
        <f ca="1">IFERROR(__xludf.DUMMYFUNCTION("""COMPUTED_VALUE"""),"Бинт эластичный медицинский средней растяжимости (ширина 80 мм) 02х80х1 - 1020089KZ89")</f>
        <v>Бинт эластичный медицинский средней растяжимости (ширина 80 мм) 02х80х1 - 1020089KZ89</v>
      </c>
      <c r="G669" s="1" t="str">
        <f ca="1">IFERROR(__xludf.DUMMYFUNCTION("""COMPUTED_VALUE"""),"KZ.7700.02.01.00694126 / Действителен до 07.10.2025 / 1020089KZ89 / годен до 07.10.2025")</f>
        <v>KZ.7700.02.01.00694126 / Действителен до 07.10.2025 / 1020089KZ89 / годен до 07.10.2025</v>
      </c>
      <c r="H669" s="1" t="str">
        <f ca="1">IFERROR(__xludf.DUMMYFUNCTION("""COMPUTED_VALUE"""),"Бинт эластичный медицинский средней растяжимости (ширина 80 мм) 02х80х1 KZ.7700.02.01.00694126 / Действителен до 07.10.2025 / 1020089KZ89 / годен до 07.10.2025")</f>
        <v>Бинт эластичный медицинский средней растяжимости (ширина 80 мм) 02х80х1 KZ.7700.02.01.00694126 / Действителен до 07.10.2025 / 1020089KZ89 / годен до 07.10.2025</v>
      </c>
    </row>
    <row r="670" spans="1:8" ht="12.75" x14ac:dyDescent="0.2">
      <c r="A670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670" s="1" t="str">
        <f ca="1">IFERROR(__xludf.DUMMYFUNCTION("""COMPUTED_VALUE"""),"KZ.7700.02.01.00694132")</f>
        <v>KZ.7700.02.01.00694132</v>
      </c>
      <c r="C670" s="1" t="str">
        <f ca="1">IFERROR(__xludf.DUMMYFUNCTION("""COMPUTED_VALUE"""),"Действителен до 07.10.2025")</f>
        <v>Действителен до 07.10.2025</v>
      </c>
      <c r="D670" s="8" t="str">
        <f ca="1">IFERROR(__xludf.DUMMYFUNCTION("""COMPUTED_VALUE"""),"1020089KZ89")</f>
        <v>1020089KZ89</v>
      </c>
      <c r="E670" s="1" t="str">
        <f ca="1">IFERROR(__xludf.DUMMYFUNCTION("""COMPUTED_VALUE"""),"годен до 07.10.2025")</f>
        <v>годен до 07.10.2025</v>
      </c>
      <c r="F670" s="1" t="str">
        <f ca="1">IFERROR(__xludf.DUMMYFUNCTION("""COMPUTED_VALUE"""),"Бинт эластичный медицинский средней растяжимости (ширина 80 мм) 02х80х1.5 - 1020089KZ89")</f>
        <v>Бинт эластичный медицинский средней растяжимости (ширина 80 мм) 02х80х1.5 - 1020089KZ89</v>
      </c>
      <c r="G670" s="1" t="str">
        <f ca="1">IFERROR(__xludf.DUMMYFUNCTION("""COMPUTED_VALUE"""),"KZ.7700.02.01.00694132 / Действителен до 07.10.2025 / 1020089KZ89 / годен до 07.10.2025")</f>
        <v>KZ.7700.02.01.00694132 / Действителен до 07.10.2025 / 1020089KZ89 / годен до 07.10.2025</v>
      </c>
      <c r="H670" s="1" t="str">
        <f ca="1">IFERROR(__xludf.DUMMYFUNCTION("""COMPUTED_VALUE"""),"Бинт эластичный медицинский средней растяжимости (ширина 80 мм) 02х80х1.5 KZ.7700.02.01.00694132 / Действителен до 07.10.2025 / 1020089KZ89 / годен до 07.10.2025")</f>
        <v>Бинт эластичный медицинский средней растяжимости (ширина 80 мм) 02х80х1.5 KZ.7700.02.01.00694132 / Действителен до 07.10.2025 / 1020089KZ89 / годен до 07.10.2025</v>
      </c>
    </row>
    <row r="671" spans="1:8" ht="12.75" x14ac:dyDescent="0.2">
      <c r="A671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671" s="1" t="str">
        <f ca="1">IFERROR(__xludf.DUMMYFUNCTION("""COMPUTED_VALUE"""),"KZ.7700.02.01.00694137")</f>
        <v>KZ.7700.02.01.00694137</v>
      </c>
      <c r="C671" s="1" t="str">
        <f ca="1">IFERROR(__xludf.DUMMYFUNCTION("""COMPUTED_VALUE"""),"Действителен до 07.10.2025")</f>
        <v>Действителен до 07.10.2025</v>
      </c>
      <c r="D671" s="8" t="str">
        <f ca="1">IFERROR(__xludf.DUMMYFUNCTION("""COMPUTED_VALUE"""),"1020089KZ89")</f>
        <v>1020089KZ89</v>
      </c>
      <c r="E671" s="1" t="str">
        <f ca="1">IFERROR(__xludf.DUMMYFUNCTION("""COMPUTED_VALUE"""),"годен до 07.10.2025")</f>
        <v>годен до 07.10.2025</v>
      </c>
      <c r="F671" s="1" t="str">
        <f ca="1">IFERROR(__xludf.DUMMYFUNCTION("""COMPUTED_VALUE"""),"Бинт эластичный медицинский средней растяжимости (ширина 80 мм) 02х80х2 - 1020089KZ89")</f>
        <v>Бинт эластичный медицинский средней растяжимости (ширина 80 мм) 02х80х2 - 1020089KZ89</v>
      </c>
      <c r="G671" s="1" t="str">
        <f ca="1">IFERROR(__xludf.DUMMYFUNCTION("""COMPUTED_VALUE"""),"KZ.7700.02.01.00694137 / Действителен до 07.10.2025 / 1020089KZ89 / годен до 07.10.2025")</f>
        <v>KZ.7700.02.01.00694137 / Действителен до 07.10.2025 / 1020089KZ89 / годен до 07.10.2025</v>
      </c>
      <c r="H671" s="1" t="str">
        <f ca="1">IFERROR(__xludf.DUMMYFUNCTION("""COMPUTED_VALUE"""),"Бинт эластичный медицинский средней растяжимости (ширина 80 мм) 02х80х2 KZ.7700.02.01.00694137 / Действителен до 07.10.2025 / 1020089KZ89 / годен до 07.10.2025")</f>
        <v>Бинт эластичный медицинский средней растяжимости (ширина 80 мм) 02х80х2 KZ.7700.02.01.00694137 / Действителен до 07.10.2025 / 1020089KZ89 / годен до 07.10.2025</v>
      </c>
    </row>
    <row r="672" spans="1:8" ht="12.75" x14ac:dyDescent="0.2">
      <c r="A672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672" s="1" t="str">
        <f ca="1">IFERROR(__xludf.DUMMYFUNCTION("""COMPUTED_VALUE"""),"KZ.7700.02.01.00694099")</f>
        <v>KZ.7700.02.01.00694099</v>
      </c>
      <c r="C672" s="1" t="str">
        <f ca="1">IFERROR(__xludf.DUMMYFUNCTION("""COMPUTED_VALUE"""),"Действителен до 07.10.2025")</f>
        <v>Действителен до 07.10.2025</v>
      </c>
      <c r="D672" s="8" t="str">
        <f ca="1">IFERROR(__xludf.DUMMYFUNCTION("""COMPUTED_VALUE"""),"1020089KZ89")</f>
        <v>1020089KZ89</v>
      </c>
      <c r="E672" s="1" t="str">
        <f ca="1">IFERROR(__xludf.DUMMYFUNCTION("""COMPUTED_VALUE"""),"годен до 07.10.2025")</f>
        <v>годен до 07.10.2025</v>
      </c>
      <c r="F672" s="1" t="str">
        <f ca="1">IFERROR(__xludf.DUMMYFUNCTION("""COMPUTED_VALUE"""),"Бинт эластичный медицинский средней растяжимости (ширина 80 мм) 02х80х2.5 - 1020089KZ89")</f>
        <v>Бинт эластичный медицинский средней растяжимости (ширина 80 мм) 02х80х2.5 - 1020089KZ89</v>
      </c>
      <c r="G672" s="1" t="str">
        <f ca="1">IFERROR(__xludf.DUMMYFUNCTION("""COMPUTED_VALUE"""),"KZ.7700.02.01.00694099 / Действителен до 07.10.2025 / 1020089KZ89 / годен до 07.10.2025")</f>
        <v>KZ.7700.02.01.00694099 / Действителен до 07.10.2025 / 1020089KZ89 / годен до 07.10.2025</v>
      </c>
      <c r="H672" s="1" t="str">
        <f ca="1">IFERROR(__xludf.DUMMYFUNCTION("""COMPUTED_VALUE"""),"Бинт эластичный медицинский средней растяжимости (ширина 80 мм) 02х80х2.5 KZ.7700.02.01.00694099 / Действителен до 07.10.2025 / 1020089KZ89 / годен до 07.10.2025")</f>
        <v>Бинт эластичный медицинский средней растяжимости (ширина 80 мм) 02х80х2.5 KZ.7700.02.01.00694099 / Действителен до 07.10.2025 / 1020089KZ89 / годен до 07.10.2025</v>
      </c>
    </row>
    <row r="673" spans="1:8" ht="12.75" x14ac:dyDescent="0.2">
      <c r="A673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673" s="1" t="str">
        <f ca="1">IFERROR(__xludf.DUMMYFUNCTION("""COMPUTED_VALUE"""),"KZ.7700.02.01.00694196")</f>
        <v>KZ.7700.02.01.00694196</v>
      </c>
      <c r="C673" s="1" t="str">
        <f ca="1">IFERROR(__xludf.DUMMYFUNCTION("""COMPUTED_VALUE"""),"Действителен до 07.10.2025")</f>
        <v>Действителен до 07.10.2025</v>
      </c>
      <c r="D673" s="8" t="str">
        <f ca="1">IFERROR(__xludf.DUMMYFUNCTION("""COMPUTED_VALUE"""),"1020089KZ89")</f>
        <v>1020089KZ89</v>
      </c>
      <c r="E673" s="1" t="str">
        <f ca="1">IFERROR(__xludf.DUMMYFUNCTION("""COMPUTED_VALUE"""),"годен до 07.10.2025")</f>
        <v>годен до 07.10.2025</v>
      </c>
      <c r="F673" s="1" t="str">
        <f ca="1">IFERROR(__xludf.DUMMYFUNCTION("""COMPUTED_VALUE"""),"Бинт эластичный медицинский средней растяжимости (ширина 80 мм) 02х80х3 - 1020089KZ89")</f>
        <v>Бинт эластичный медицинский средней растяжимости (ширина 80 мм) 02х80х3 - 1020089KZ89</v>
      </c>
      <c r="G673" s="1" t="str">
        <f ca="1">IFERROR(__xludf.DUMMYFUNCTION("""COMPUTED_VALUE"""),"KZ.7700.02.01.00694196 / Действителен до 07.10.2025 / 1020089KZ89 / годен до 07.10.2025")</f>
        <v>KZ.7700.02.01.00694196 / Действителен до 07.10.2025 / 1020089KZ89 / годен до 07.10.2025</v>
      </c>
      <c r="H673" s="1" t="str">
        <f ca="1">IFERROR(__xludf.DUMMYFUNCTION("""COMPUTED_VALUE"""),"Бинт эластичный медицинский средней растяжимости (ширина 80 мм) 02х80х3 KZ.7700.02.01.00694196 / Действителен до 07.10.2025 / 1020089KZ89 / годен до 07.10.2025")</f>
        <v>Бинт эластичный медицинский средней растяжимости (ширина 80 мм) 02х80х3 KZ.7700.02.01.00694196 / Действителен до 07.10.2025 / 1020089KZ89 / годен до 07.10.2025</v>
      </c>
    </row>
    <row r="674" spans="1:8" ht="12.75" x14ac:dyDescent="0.2">
      <c r="A674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674" s="1" t="str">
        <f ca="1">IFERROR(__xludf.DUMMYFUNCTION("""COMPUTED_VALUE"""),"KZ.7700.02.01.00694198")</f>
        <v>KZ.7700.02.01.00694198</v>
      </c>
      <c r="C674" s="1" t="str">
        <f ca="1">IFERROR(__xludf.DUMMYFUNCTION("""COMPUTED_VALUE"""),"Действителен до 07.10.2025")</f>
        <v>Действителен до 07.10.2025</v>
      </c>
      <c r="D674" s="8" t="str">
        <f ca="1">IFERROR(__xludf.DUMMYFUNCTION("""COMPUTED_VALUE"""),"1020089KZ89")</f>
        <v>1020089KZ89</v>
      </c>
      <c r="E674" s="1" t="str">
        <f ca="1">IFERROR(__xludf.DUMMYFUNCTION("""COMPUTED_VALUE"""),"годен до 07.10.2025")</f>
        <v>годен до 07.10.2025</v>
      </c>
      <c r="F674" s="1" t="str">
        <f ca="1">IFERROR(__xludf.DUMMYFUNCTION("""COMPUTED_VALUE"""),"Бинт эластичный медицинский средней растяжимости (ширина 80 мм) 02х80х3.5 - 1020089KZ89")</f>
        <v>Бинт эластичный медицинский средней растяжимости (ширина 80 мм) 02х80х3.5 - 1020089KZ89</v>
      </c>
      <c r="G674" s="1" t="str">
        <f ca="1">IFERROR(__xludf.DUMMYFUNCTION("""COMPUTED_VALUE"""),"KZ.7700.02.01.00694198 / Действителен до 07.10.2025 / 1020089KZ89 / годен до 07.10.2025")</f>
        <v>KZ.7700.02.01.00694198 / Действителен до 07.10.2025 / 1020089KZ89 / годен до 07.10.2025</v>
      </c>
      <c r="H674" s="1" t="str">
        <f ca="1">IFERROR(__xludf.DUMMYFUNCTION("""COMPUTED_VALUE"""),"Бинт эластичный медицинский средней растяжимости (ширина 80 мм) 02х80х3.5 KZ.7700.02.01.00694198 / Действителен до 07.10.2025 / 1020089KZ89 / годен до 07.10.2025")</f>
        <v>Бинт эластичный медицинский средней растяжимости (ширина 80 мм) 02х80х3.5 KZ.7700.02.01.00694198 / Действителен до 07.10.2025 / 1020089KZ89 / годен до 07.10.2025</v>
      </c>
    </row>
    <row r="675" spans="1:8" ht="12.75" x14ac:dyDescent="0.2">
      <c r="A675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675" s="1" t="str">
        <f ca="1">IFERROR(__xludf.DUMMYFUNCTION("""COMPUTED_VALUE"""),"KZ.7700.02.01.00694114")</f>
        <v>KZ.7700.02.01.00694114</v>
      </c>
      <c r="C675" s="1" t="str">
        <f ca="1">IFERROR(__xludf.DUMMYFUNCTION("""COMPUTED_VALUE"""),"Действителен до 07.10.2025")</f>
        <v>Действителен до 07.10.2025</v>
      </c>
      <c r="D675" s="8" t="str">
        <f ca="1">IFERROR(__xludf.DUMMYFUNCTION("""COMPUTED_VALUE"""),"1020089KZ89")</f>
        <v>1020089KZ89</v>
      </c>
      <c r="E675" s="1" t="str">
        <f ca="1">IFERROR(__xludf.DUMMYFUNCTION("""COMPUTED_VALUE"""),"годен до 07.10.2025")</f>
        <v>годен до 07.10.2025</v>
      </c>
      <c r="F675" s="1" t="str">
        <f ca="1">IFERROR(__xludf.DUMMYFUNCTION("""COMPUTED_VALUE"""),"Бинт эластичный медицинский средней растяжимости (ширина 80 мм) 02х80х4 - 1020089KZ89")</f>
        <v>Бинт эластичный медицинский средней растяжимости (ширина 80 мм) 02х80х4 - 1020089KZ89</v>
      </c>
      <c r="G675" s="1" t="str">
        <f ca="1">IFERROR(__xludf.DUMMYFUNCTION("""COMPUTED_VALUE"""),"KZ.7700.02.01.00694114 / Действителен до 07.10.2025 / 1020089KZ89 / годен до 07.10.2025")</f>
        <v>KZ.7700.02.01.00694114 / Действителен до 07.10.2025 / 1020089KZ89 / годен до 07.10.2025</v>
      </c>
      <c r="H675" s="1" t="str">
        <f ca="1">IFERROR(__xludf.DUMMYFUNCTION("""COMPUTED_VALUE"""),"Бинт эластичный медицинский средней растяжимости (ширина 80 мм) 02х80х4 KZ.7700.02.01.00694114 / Действителен до 07.10.2025 / 1020089KZ89 / годен до 07.10.2025")</f>
        <v>Бинт эластичный медицинский средней растяжимости (ширина 80 мм) 02х80х4 KZ.7700.02.01.00694114 / Действителен до 07.10.2025 / 1020089KZ89 / годен до 07.10.2025</v>
      </c>
    </row>
    <row r="676" spans="1:8" ht="12.75" x14ac:dyDescent="0.2">
      <c r="A676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676" s="1" t="str">
        <f ca="1">IFERROR(__xludf.DUMMYFUNCTION("""COMPUTED_VALUE"""),"KZ.7700.02.01.00694122")</f>
        <v>KZ.7700.02.01.00694122</v>
      </c>
      <c r="C676" s="1" t="str">
        <f ca="1">IFERROR(__xludf.DUMMYFUNCTION("""COMPUTED_VALUE"""),"Действителен до 07.10.2025")</f>
        <v>Действителен до 07.10.2025</v>
      </c>
      <c r="D676" s="8" t="str">
        <f ca="1">IFERROR(__xludf.DUMMYFUNCTION("""COMPUTED_VALUE"""),"1020089KZ89")</f>
        <v>1020089KZ89</v>
      </c>
      <c r="E676" s="1" t="str">
        <f ca="1">IFERROR(__xludf.DUMMYFUNCTION("""COMPUTED_VALUE"""),"годен до 07.10.2025")</f>
        <v>годен до 07.10.2025</v>
      </c>
      <c r="F676" s="1" t="str">
        <f ca="1">IFERROR(__xludf.DUMMYFUNCTION("""COMPUTED_VALUE"""),"Бинт эластичный медицинский средней растяжимости (ширина 80 мм) 02х80х5 - 1020089KZ89")</f>
        <v>Бинт эластичный медицинский средней растяжимости (ширина 80 мм) 02х80х5 - 1020089KZ89</v>
      </c>
      <c r="G676" s="1" t="str">
        <f ca="1">IFERROR(__xludf.DUMMYFUNCTION("""COMPUTED_VALUE"""),"KZ.7700.02.01.00694122 / Действителен до 07.10.2025 / 1020089KZ89 / годен до 07.10.2025")</f>
        <v>KZ.7700.02.01.00694122 / Действителен до 07.10.2025 / 1020089KZ89 / годен до 07.10.2025</v>
      </c>
      <c r="H676" s="1" t="str">
        <f ca="1">IFERROR(__xludf.DUMMYFUNCTION("""COMPUTED_VALUE"""),"Бинт эластичный медицинский средней растяжимости (ширина 80 мм) 02х80х5 KZ.7700.02.01.00694122 / Действителен до 07.10.2025 / 1020089KZ89 / годен до 07.10.2025")</f>
        <v>Бинт эластичный медицинский средней растяжимости (ширина 80 мм) 02х80х5 KZ.7700.02.01.00694122 / Действителен до 07.10.2025 / 1020089KZ89 / годен до 07.10.2025</v>
      </c>
    </row>
    <row r="677" spans="1:8" ht="12.75" x14ac:dyDescent="0.2">
      <c r="A677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677" s="1" t="str">
        <f ca="1">IFERROR(__xludf.DUMMYFUNCTION("""COMPUTED_VALUE"""),"KZ.7700.02.01.00694074")</f>
        <v>KZ.7700.02.01.00694074</v>
      </c>
      <c r="C677" s="1" t="str">
        <f ca="1">IFERROR(__xludf.DUMMYFUNCTION("""COMPUTED_VALUE"""),"Действителен до 07.10.2025")</f>
        <v>Действителен до 07.10.2025</v>
      </c>
      <c r="D677" s="8" t="str">
        <f ca="1">IFERROR(__xludf.DUMMYFUNCTION("""COMPUTED_VALUE"""),"1020089KZ89")</f>
        <v>1020089KZ89</v>
      </c>
      <c r="E677" s="1" t="str">
        <f ca="1">IFERROR(__xludf.DUMMYFUNCTION("""COMPUTED_VALUE"""),"годен до 07.10.2025")</f>
        <v>годен до 07.10.2025</v>
      </c>
      <c r="F677" s="1" t="str">
        <f ca="1">IFERROR(__xludf.DUMMYFUNCTION("""COMPUTED_VALUE"""),"Реклинатор (корректор осанки) детский 2005 L (Болгария) - 1020089KZ89")</f>
        <v>Реклинатор (корректор осанки) детский 2005 L (Болгария) - 1020089KZ89</v>
      </c>
      <c r="G677" s="1" t="str">
        <f ca="1">IFERROR(__xludf.DUMMYFUNCTION("""COMPUTED_VALUE"""),"KZ.7700.02.01.00694074 / Действителен до 07.10.2025 / 1020089KZ89 / годен до 07.10.2025")</f>
        <v>KZ.7700.02.01.00694074 / Действителен до 07.10.2025 / 1020089KZ89 / годен до 07.10.2025</v>
      </c>
      <c r="H677" s="1" t="str">
        <f ca="1">IFERROR(__xludf.DUMMYFUNCTION("""COMPUTED_VALUE"""),"Реклинатор (корректор осанки) детский 2005 L (Болгария) KZ.7700.02.01.00694074 / Действителен до 07.10.2025 / 1020089KZ89 / годен до 07.10.2025")</f>
        <v>Реклинатор (корректор осанки) детский 2005 L (Болгария) KZ.7700.02.01.00694074 / Действителен до 07.10.2025 / 1020089KZ89 / годен до 07.10.2025</v>
      </c>
    </row>
    <row r="678" spans="1:8" ht="12.75" x14ac:dyDescent="0.2">
      <c r="A678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678" s="1" t="str">
        <f ca="1">IFERROR(__xludf.DUMMYFUNCTION("""COMPUTED_VALUE"""),"KZ.7700.02.01.00694084")</f>
        <v>KZ.7700.02.01.00694084</v>
      </c>
      <c r="C678" s="1" t="str">
        <f ca="1">IFERROR(__xludf.DUMMYFUNCTION("""COMPUTED_VALUE"""),"Действителен до 07.10.2025")</f>
        <v>Действителен до 07.10.2025</v>
      </c>
      <c r="D678" s="8" t="str">
        <f ca="1">IFERROR(__xludf.DUMMYFUNCTION("""COMPUTED_VALUE"""),"1020089KZ89")</f>
        <v>1020089KZ89</v>
      </c>
      <c r="E678" s="1" t="str">
        <f ca="1">IFERROR(__xludf.DUMMYFUNCTION("""COMPUTED_VALUE"""),"годен до 07.10.2025")</f>
        <v>годен до 07.10.2025</v>
      </c>
      <c r="F678" s="1" t="str">
        <f ca="1">IFERROR(__xludf.DUMMYFUNCTION("""COMPUTED_VALUE"""),"Реклинатор (корректор осанки) детский 2005 M (Болгария) - 1020089KZ89")</f>
        <v>Реклинатор (корректор осанки) детский 2005 M (Болгария) - 1020089KZ89</v>
      </c>
      <c r="G678" s="1" t="str">
        <f ca="1">IFERROR(__xludf.DUMMYFUNCTION("""COMPUTED_VALUE"""),"KZ.7700.02.01.00694084 / Действителен до 07.10.2025 / 1020089KZ89 / годен до 07.10.2025")</f>
        <v>KZ.7700.02.01.00694084 / Действителен до 07.10.2025 / 1020089KZ89 / годен до 07.10.2025</v>
      </c>
      <c r="H678" s="1" t="str">
        <f ca="1">IFERROR(__xludf.DUMMYFUNCTION("""COMPUTED_VALUE"""),"Реклинатор (корректор осанки) детский 2005 M (Болгария) KZ.7700.02.01.00694084 / Действителен до 07.10.2025 / 1020089KZ89 / годен до 07.10.2025")</f>
        <v>Реклинатор (корректор осанки) детский 2005 M (Болгария) KZ.7700.02.01.00694084 / Действителен до 07.10.2025 / 1020089KZ89 / годен до 07.10.2025</v>
      </c>
    </row>
    <row r="679" spans="1:8" ht="12.75" x14ac:dyDescent="0.2">
      <c r="A679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679" s="1" t="str">
        <f ca="1">IFERROR(__xludf.DUMMYFUNCTION("""COMPUTED_VALUE"""),"KZ.7700.02.01.00694041")</f>
        <v>KZ.7700.02.01.00694041</v>
      </c>
      <c r="C679" s="1" t="str">
        <f ca="1">IFERROR(__xludf.DUMMYFUNCTION("""COMPUTED_VALUE"""),"Действителен до 07.10.2025")</f>
        <v>Действителен до 07.10.2025</v>
      </c>
      <c r="D679" s="8" t="str">
        <f ca="1">IFERROR(__xludf.DUMMYFUNCTION("""COMPUTED_VALUE"""),"1020089KZ89")</f>
        <v>1020089KZ89</v>
      </c>
      <c r="E679" s="1" t="str">
        <f ca="1">IFERROR(__xludf.DUMMYFUNCTION("""COMPUTED_VALUE"""),"годен до 07.10.2025")</f>
        <v>годен до 07.10.2025</v>
      </c>
      <c r="F679" s="1" t="str">
        <f ca="1">IFERROR(__xludf.DUMMYFUNCTION("""COMPUTED_VALUE"""),"Корректор осанки с ребрами жесткости эластичный 2011 L (Болгария) - 1020089KZ89")</f>
        <v>Корректор осанки с ребрами жесткости эластичный 2011 L (Болгария) - 1020089KZ89</v>
      </c>
      <c r="G679" s="1" t="str">
        <f ca="1">IFERROR(__xludf.DUMMYFUNCTION("""COMPUTED_VALUE"""),"KZ.7700.02.01.00694041 / Действителен до 07.10.2025 / 1020089KZ89 / годен до 07.10.2025")</f>
        <v>KZ.7700.02.01.00694041 / Действителен до 07.10.2025 / 1020089KZ89 / годен до 07.10.2025</v>
      </c>
      <c r="H679" s="1" t="str">
        <f ca="1">IFERROR(__xludf.DUMMYFUNCTION("""COMPUTED_VALUE"""),"Корректор осанки с ребрами жесткости эластичный 2011 L (Болгария) KZ.7700.02.01.00694041 / Действителен до 07.10.2025 / 1020089KZ89 / годен до 07.10.2025")</f>
        <v>Корректор осанки с ребрами жесткости эластичный 2011 L (Болгария) KZ.7700.02.01.00694041 / Действителен до 07.10.2025 / 1020089KZ89 / годен до 07.10.2025</v>
      </c>
    </row>
    <row r="680" spans="1:8" ht="12.75" x14ac:dyDescent="0.2">
      <c r="A680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680" s="1" t="str">
        <f ca="1">IFERROR(__xludf.DUMMYFUNCTION("""COMPUTED_VALUE"""),"KZ.7700.02.01.00694043")</f>
        <v>KZ.7700.02.01.00694043</v>
      </c>
      <c r="C680" s="1" t="str">
        <f ca="1">IFERROR(__xludf.DUMMYFUNCTION("""COMPUTED_VALUE"""),"Действителен до 07.10.2025")</f>
        <v>Действителен до 07.10.2025</v>
      </c>
      <c r="D680" s="8" t="str">
        <f ca="1">IFERROR(__xludf.DUMMYFUNCTION("""COMPUTED_VALUE"""),"1020089KZ89")</f>
        <v>1020089KZ89</v>
      </c>
      <c r="E680" s="1" t="str">
        <f ca="1">IFERROR(__xludf.DUMMYFUNCTION("""COMPUTED_VALUE"""),"годен до 07.10.2025")</f>
        <v>годен до 07.10.2025</v>
      </c>
      <c r="F680" s="1" t="str">
        <f ca="1">IFERROR(__xludf.DUMMYFUNCTION("""COMPUTED_VALUE"""),"Корректор осанки с ребрами жесткости эластичный 2011 M (Болгария) - 1020089KZ89")</f>
        <v>Корректор осанки с ребрами жесткости эластичный 2011 M (Болгария) - 1020089KZ89</v>
      </c>
      <c r="G680" s="1" t="str">
        <f ca="1">IFERROR(__xludf.DUMMYFUNCTION("""COMPUTED_VALUE"""),"KZ.7700.02.01.00694043 / Действителен до 07.10.2025 / 1020089KZ89 / годен до 07.10.2025")</f>
        <v>KZ.7700.02.01.00694043 / Действителен до 07.10.2025 / 1020089KZ89 / годен до 07.10.2025</v>
      </c>
      <c r="H680" s="1" t="str">
        <f ca="1">IFERROR(__xludf.DUMMYFUNCTION("""COMPUTED_VALUE"""),"Корректор осанки с ребрами жесткости эластичный 2011 M (Болгария) KZ.7700.02.01.00694043 / Действителен до 07.10.2025 / 1020089KZ89 / годен до 07.10.2025")</f>
        <v>Корректор осанки с ребрами жесткости эластичный 2011 M (Болгария) KZ.7700.02.01.00694043 / Действителен до 07.10.2025 / 1020089KZ89 / годен до 07.10.2025</v>
      </c>
    </row>
    <row r="681" spans="1:8" ht="12.75" x14ac:dyDescent="0.2">
      <c r="A681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681" s="1" t="str">
        <f ca="1">IFERROR(__xludf.DUMMYFUNCTION("""COMPUTED_VALUE"""),"KZ.7700.02.01.00694071")</f>
        <v>KZ.7700.02.01.00694071</v>
      </c>
      <c r="C681" s="1" t="str">
        <f ca="1">IFERROR(__xludf.DUMMYFUNCTION("""COMPUTED_VALUE"""),"Действителен до 07.10.2025")</f>
        <v>Действителен до 07.10.2025</v>
      </c>
      <c r="D681" s="8" t="str">
        <f ca="1">IFERROR(__xludf.DUMMYFUNCTION("""COMPUTED_VALUE"""),"1020089KZ89")</f>
        <v>1020089KZ89</v>
      </c>
      <c r="E681" s="1" t="str">
        <f ca="1">IFERROR(__xludf.DUMMYFUNCTION("""COMPUTED_VALUE"""),"годен до 07.10.2025")</f>
        <v>годен до 07.10.2025</v>
      </c>
      <c r="F681" s="1" t="str">
        <f ca="1">IFERROR(__xludf.DUMMYFUNCTION("""COMPUTED_VALUE"""),"Корректор осанки с ребрами жесткости эластичный 2011 S (Болгария) - 1020089KZ89")</f>
        <v>Корректор осанки с ребрами жесткости эластичный 2011 S (Болгария) - 1020089KZ89</v>
      </c>
      <c r="G681" s="1" t="str">
        <f ca="1">IFERROR(__xludf.DUMMYFUNCTION("""COMPUTED_VALUE"""),"KZ.7700.02.01.00694071 / Действителен до 07.10.2025 / 1020089KZ89 / годен до 07.10.2025")</f>
        <v>KZ.7700.02.01.00694071 / Действителен до 07.10.2025 / 1020089KZ89 / годен до 07.10.2025</v>
      </c>
      <c r="H681" s="1" t="str">
        <f ca="1">IFERROR(__xludf.DUMMYFUNCTION("""COMPUTED_VALUE"""),"Корректор осанки с ребрами жесткости эластичный 2011 S (Болгария) KZ.7700.02.01.00694071 / Действителен до 07.10.2025 / 1020089KZ89 / годен до 07.10.2025")</f>
        <v>Корректор осанки с ребрами жесткости эластичный 2011 S (Болгария) KZ.7700.02.01.00694071 / Действителен до 07.10.2025 / 1020089KZ89 / годен до 07.10.2025</v>
      </c>
    </row>
    <row r="682" spans="1:8" ht="12.75" x14ac:dyDescent="0.2">
      <c r="A682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682" s="1" t="str">
        <f ca="1">IFERROR(__xludf.DUMMYFUNCTION("""COMPUTED_VALUE"""),"KZ.7700.02.01.00694075")</f>
        <v>KZ.7700.02.01.00694075</v>
      </c>
      <c r="C682" s="1" t="str">
        <f ca="1">IFERROR(__xludf.DUMMYFUNCTION("""COMPUTED_VALUE"""),"Действителен до 07.10.2025")</f>
        <v>Действителен до 07.10.2025</v>
      </c>
      <c r="D682" s="8" t="str">
        <f ca="1">IFERROR(__xludf.DUMMYFUNCTION("""COMPUTED_VALUE"""),"1020089KZ89")</f>
        <v>1020089KZ89</v>
      </c>
      <c r="E682" s="1" t="str">
        <f ca="1">IFERROR(__xludf.DUMMYFUNCTION("""COMPUTED_VALUE"""),"годен до 07.10.2025")</f>
        <v>годен до 07.10.2025</v>
      </c>
      <c r="F682" s="1" t="str">
        <f ca="1">IFERROR(__xludf.DUMMYFUNCTION("""COMPUTED_VALUE"""),"Корректор осанки с ребрами жесткости эластичный 2011 XL (Болгария) - 1020089KZ89")</f>
        <v>Корректор осанки с ребрами жесткости эластичный 2011 XL (Болгария) - 1020089KZ89</v>
      </c>
      <c r="G682" s="1" t="str">
        <f ca="1">IFERROR(__xludf.DUMMYFUNCTION("""COMPUTED_VALUE"""),"KZ.7700.02.01.00694075 / Действителен до 07.10.2025 / 1020089KZ89 / годен до 07.10.2025")</f>
        <v>KZ.7700.02.01.00694075 / Действителен до 07.10.2025 / 1020089KZ89 / годен до 07.10.2025</v>
      </c>
      <c r="H682" s="1" t="str">
        <f ca="1">IFERROR(__xludf.DUMMYFUNCTION("""COMPUTED_VALUE"""),"Корректор осанки с ребрами жесткости эластичный 2011 XL (Болгария) KZ.7700.02.01.00694075 / Действителен до 07.10.2025 / 1020089KZ89 / годен до 07.10.2025")</f>
        <v>Корректор осанки с ребрами жесткости эластичный 2011 XL (Болгария) KZ.7700.02.01.00694075 / Действителен до 07.10.2025 / 1020089KZ89 / годен до 07.10.2025</v>
      </c>
    </row>
    <row r="683" spans="1:8" ht="12.75" x14ac:dyDescent="0.2">
      <c r="A683" s="1" t="str">
        <f ca="1">IFERROR(__xludf.DUMMYFUNCTION("""COMPUTED_VALUE"""),"Реклинатор ключичный усиленной фиксации 2024 - L (Болгария)")</f>
        <v>Реклинатор ключичный усиленной фиксации 2024 - L (Болгария)</v>
      </c>
      <c r="B683" s="1" t="str">
        <f ca="1">IFERROR(__xludf.DUMMYFUNCTION("""COMPUTED_VALUE"""),"KZ.7700.02.01.00694079")</f>
        <v>KZ.7700.02.01.00694079</v>
      </c>
      <c r="C683" s="1" t="str">
        <f ca="1">IFERROR(__xludf.DUMMYFUNCTION("""COMPUTED_VALUE"""),"Действителен до 07.10.2025")</f>
        <v>Действителен до 07.10.2025</v>
      </c>
      <c r="D683" s="8" t="str">
        <f ca="1">IFERROR(__xludf.DUMMYFUNCTION("""COMPUTED_VALUE"""),"1020089KZ89")</f>
        <v>1020089KZ89</v>
      </c>
      <c r="E683" s="1" t="str">
        <f ca="1">IFERROR(__xludf.DUMMYFUNCTION("""COMPUTED_VALUE"""),"годен до 07.10.2025")</f>
        <v>годен до 07.10.2025</v>
      </c>
      <c r="F683" s="1" t="str">
        <f ca="1">IFERROR(__xludf.DUMMYFUNCTION("""COMPUTED_VALUE"""),"Реклинатор ключичный усиленной фиксации 2024 - L (Болгария) - 1020089KZ89")</f>
        <v>Реклинатор ключичный усиленной фиксации 2024 - L (Болгария) - 1020089KZ89</v>
      </c>
      <c r="G683" s="1" t="str">
        <f ca="1">IFERROR(__xludf.DUMMYFUNCTION("""COMPUTED_VALUE"""),"KZ.7700.02.01.00694079 / Действителен до 07.10.2025 / 1020089KZ89 / годен до 07.10.2025")</f>
        <v>KZ.7700.02.01.00694079 / Действителен до 07.10.2025 / 1020089KZ89 / годен до 07.10.2025</v>
      </c>
      <c r="H683" s="1" t="str">
        <f ca="1">IFERROR(__xludf.DUMMYFUNCTION("""COMPUTED_VALUE"""),"Реклинатор ключичный усиленной фиксации 2024 - L (Болгария) KZ.7700.02.01.00694079 / Действителен до 07.10.2025 / 1020089KZ89 / годен до 07.10.2025")</f>
        <v>Реклинатор ключичный усиленной фиксации 2024 - L (Болгария) KZ.7700.02.01.00694079 / Действителен до 07.10.2025 / 1020089KZ89 / годен до 07.10.2025</v>
      </c>
    </row>
    <row r="684" spans="1:8" ht="12.75" x14ac:dyDescent="0.2">
      <c r="A684" s="1" t="str">
        <f ca="1">IFERROR(__xludf.DUMMYFUNCTION("""COMPUTED_VALUE"""),"Реклинатор ключичный усиленной фиксации 2024 - M (Болгария)")</f>
        <v>Реклинатор ключичный усиленной фиксации 2024 - M (Болгария)</v>
      </c>
      <c r="B684" s="1" t="str">
        <f ca="1">IFERROR(__xludf.DUMMYFUNCTION("""COMPUTED_VALUE"""),"KZ.7700.02.01.00694052")</f>
        <v>KZ.7700.02.01.00694052</v>
      </c>
      <c r="C684" s="1" t="str">
        <f ca="1">IFERROR(__xludf.DUMMYFUNCTION("""COMPUTED_VALUE"""),"Действителен до 07.10.2025")</f>
        <v>Действителен до 07.10.2025</v>
      </c>
      <c r="D684" s="8" t="str">
        <f ca="1">IFERROR(__xludf.DUMMYFUNCTION("""COMPUTED_VALUE"""),"1020089KZ89")</f>
        <v>1020089KZ89</v>
      </c>
      <c r="E684" s="1" t="str">
        <f ca="1">IFERROR(__xludf.DUMMYFUNCTION("""COMPUTED_VALUE"""),"годен до 07.10.2025")</f>
        <v>годен до 07.10.2025</v>
      </c>
      <c r="F684" s="1" t="str">
        <f ca="1">IFERROR(__xludf.DUMMYFUNCTION("""COMPUTED_VALUE"""),"Реклинатор ключичный усиленной фиксации 2024 - M (Болгария) - 1020089KZ89")</f>
        <v>Реклинатор ключичный усиленной фиксации 2024 - M (Болгария) - 1020089KZ89</v>
      </c>
      <c r="G684" s="1" t="str">
        <f ca="1">IFERROR(__xludf.DUMMYFUNCTION("""COMPUTED_VALUE"""),"KZ.7700.02.01.00694052 / Действителен до 07.10.2025 / 1020089KZ89 / годен до 07.10.2025")</f>
        <v>KZ.7700.02.01.00694052 / Действителен до 07.10.2025 / 1020089KZ89 / годен до 07.10.2025</v>
      </c>
      <c r="H684" s="1" t="str">
        <f ca="1">IFERROR(__xludf.DUMMYFUNCTION("""COMPUTED_VALUE"""),"Реклинатор ключичный усиленной фиксации 2024 - M (Болгария) KZ.7700.02.01.00694052 / Действителен до 07.10.2025 / 1020089KZ89 / годен до 07.10.2025")</f>
        <v>Реклинатор ключичный усиленной фиксации 2024 - M (Болгария) KZ.7700.02.01.00694052 / Действителен до 07.10.2025 / 1020089KZ89 / годен до 07.10.2025</v>
      </c>
    </row>
    <row r="685" spans="1:8" ht="12.75" x14ac:dyDescent="0.2">
      <c r="A685" s="1" t="str">
        <f ca="1">IFERROR(__xludf.DUMMYFUNCTION("""COMPUTED_VALUE"""),"Реклинатор ключичный усиленной фиксации 2024 - S (Болгария)")</f>
        <v>Реклинатор ключичный усиленной фиксации 2024 - S (Болгария)</v>
      </c>
      <c r="B685" s="1" t="str">
        <f ca="1">IFERROR(__xludf.DUMMYFUNCTION("""COMPUTED_VALUE"""),"KZ.7700.02.01.00694042")</f>
        <v>KZ.7700.02.01.00694042</v>
      </c>
      <c r="C685" s="1" t="str">
        <f ca="1">IFERROR(__xludf.DUMMYFUNCTION("""COMPUTED_VALUE"""),"Действителен до 07.10.2025")</f>
        <v>Действителен до 07.10.2025</v>
      </c>
      <c r="D685" s="8" t="str">
        <f ca="1">IFERROR(__xludf.DUMMYFUNCTION("""COMPUTED_VALUE"""),"1020089KZ89")</f>
        <v>1020089KZ89</v>
      </c>
      <c r="E685" s="1" t="str">
        <f ca="1">IFERROR(__xludf.DUMMYFUNCTION("""COMPUTED_VALUE"""),"годен до 07.10.2025")</f>
        <v>годен до 07.10.2025</v>
      </c>
      <c r="F685" s="1" t="str">
        <f ca="1">IFERROR(__xludf.DUMMYFUNCTION("""COMPUTED_VALUE"""),"Реклинатор ключичный усиленной фиксации 2024 - S (Болгария) - 1020089KZ89")</f>
        <v>Реклинатор ключичный усиленной фиксации 2024 - S (Болгария) - 1020089KZ89</v>
      </c>
      <c r="G685" s="1" t="str">
        <f ca="1">IFERROR(__xludf.DUMMYFUNCTION("""COMPUTED_VALUE"""),"KZ.7700.02.01.00694042 / Действителен до 07.10.2025 / 1020089KZ89 / годен до 07.10.2025")</f>
        <v>KZ.7700.02.01.00694042 / Действителен до 07.10.2025 / 1020089KZ89 / годен до 07.10.2025</v>
      </c>
      <c r="H685" s="1" t="str">
        <f ca="1">IFERROR(__xludf.DUMMYFUNCTION("""COMPUTED_VALUE"""),"Реклинатор ключичный усиленной фиксации 2024 - S (Болгария) KZ.7700.02.01.00694042 / Действителен до 07.10.2025 / 1020089KZ89 / годен до 07.10.2025")</f>
        <v>Реклинатор ключичный усиленной фиксации 2024 - S (Болгария) KZ.7700.02.01.00694042 / Действителен до 07.10.2025 / 1020089KZ89 / годен до 07.10.2025</v>
      </c>
    </row>
    <row r="686" spans="1:8" ht="12.75" x14ac:dyDescent="0.2">
      <c r="A686" s="1" t="str">
        <f ca="1">IFERROR(__xludf.DUMMYFUNCTION("""COMPUTED_VALUE"""),"Реклинатор ключичный усиленной фиксации 2024 - XL (Болгария)")</f>
        <v>Реклинатор ключичный усиленной фиксации 2024 - XL (Болгария)</v>
      </c>
      <c r="B686" s="1" t="str">
        <f ca="1">IFERROR(__xludf.DUMMYFUNCTION("""COMPUTED_VALUE"""),"KZ.7700.02.01.00694057")</f>
        <v>KZ.7700.02.01.00694057</v>
      </c>
      <c r="C686" s="1" t="str">
        <f ca="1">IFERROR(__xludf.DUMMYFUNCTION("""COMPUTED_VALUE"""),"Действителен до 07.10.2025")</f>
        <v>Действителен до 07.10.2025</v>
      </c>
      <c r="D686" s="8" t="str">
        <f ca="1">IFERROR(__xludf.DUMMYFUNCTION("""COMPUTED_VALUE"""),"1020089KZ89")</f>
        <v>1020089KZ89</v>
      </c>
      <c r="E686" s="1" t="str">
        <f ca="1">IFERROR(__xludf.DUMMYFUNCTION("""COMPUTED_VALUE"""),"годен до 07.10.2025")</f>
        <v>годен до 07.10.2025</v>
      </c>
      <c r="F686" s="1" t="str">
        <f ca="1">IFERROR(__xludf.DUMMYFUNCTION("""COMPUTED_VALUE"""),"Реклинатор ключичный усиленной фиксации 2024 - XL (Болгария) - 1020089KZ89")</f>
        <v>Реклинатор ключичный усиленной фиксации 2024 - XL (Болгария) - 1020089KZ89</v>
      </c>
      <c r="G686" s="1" t="str">
        <f ca="1">IFERROR(__xludf.DUMMYFUNCTION("""COMPUTED_VALUE"""),"KZ.7700.02.01.00694057 / Действителен до 07.10.2025 / 1020089KZ89 / годен до 07.10.2025")</f>
        <v>KZ.7700.02.01.00694057 / Действителен до 07.10.2025 / 1020089KZ89 / годен до 07.10.2025</v>
      </c>
      <c r="H686" s="1" t="str">
        <f ca="1">IFERROR(__xludf.DUMMYFUNCTION("""COMPUTED_VALUE"""),"Реклинатор ключичный усиленной фиксации 2024 - XL (Болгария) KZ.7700.02.01.00694057 / Действителен до 07.10.2025 / 1020089KZ89 / годен до 07.10.2025")</f>
        <v>Реклинатор ключичный усиленной фиксации 2024 - XL (Болгария) KZ.7700.02.01.00694057 / Действителен до 07.10.2025 / 1020089KZ89 / годен до 07.10.2025</v>
      </c>
    </row>
    <row r="687" spans="1:8" ht="12.75" x14ac:dyDescent="0.2">
      <c r="A687" s="1" t="str">
        <f ca="1">IFERROR(__xludf.DUMMYFUNCTION("""COMPUTED_VALUE"""),"Реклинатор ключичный усиленной фиксации 2024 - XXL (Болгария)")</f>
        <v>Реклинатор ключичный усиленной фиксации 2024 - XXL (Болгария)</v>
      </c>
      <c r="B687" s="1" t="str">
        <f ca="1">IFERROR(__xludf.DUMMYFUNCTION("""COMPUTED_VALUE"""),"KZ.7700.02.01.00694053")</f>
        <v>KZ.7700.02.01.00694053</v>
      </c>
      <c r="C687" s="1" t="str">
        <f ca="1">IFERROR(__xludf.DUMMYFUNCTION("""COMPUTED_VALUE"""),"Действителен до 07.10.2025")</f>
        <v>Действителен до 07.10.2025</v>
      </c>
      <c r="D687" s="8" t="str">
        <f ca="1">IFERROR(__xludf.DUMMYFUNCTION("""COMPUTED_VALUE"""),"1020089KZ89")</f>
        <v>1020089KZ89</v>
      </c>
      <c r="E687" s="1" t="str">
        <f ca="1">IFERROR(__xludf.DUMMYFUNCTION("""COMPUTED_VALUE"""),"годен до 07.10.2025")</f>
        <v>годен до 07.10.2025</v>
      </c>
      <c r="F687" s="1" t="str">
        <f ca="1">IFERROR(__xludf.DUMMYFUNCTION("""COMPUTED_VALUE"""),"Реклинатор ключичный усиленной фиксации 2024 - XXL (Болгария) - 1020089KZ89")</f>
        <v>Реклинатор ключичный усиленной фиксации 2024 - XXL (Болгария) - 1020089KZ89</v>
      </c>
      <c r="G687" s="1" t="str">
        <f ca="1">IFERROR(__xludf.DUMMYFUNCTION("""COMPUTED_VALUE"""),"KZ.7700.02.01.00694053 / Действителен до 07.10.2025 / 1020089KZ89 / годен до 07.10.2025")</f>
        <v>KZ.7700.02.01.00694053 / Действителен до 07.10.2025 / 1020089KZ89 / годен до 07.10.2025</v>
      </c>
      <c r="H687" s="1" t="str">
        <f ca="1">IFERROR(__xludf.DUMMYFUNCTION("""COMPUTED_VALUE"""),"Реклинатор ключичный усиленной фиксации 2024 - XXL (Болгария) KZ.7700.02.01.00694053 / Действителен до 07.10.2025 / 1020089KZ89 / годен до 07.10.2025")</f>
        <v>Реклинатор ключичный усиленной фиксации 2024 - XXL (Болгария) KZ.7700.02.01.00694053 / Действителен до 07.10.2025 / 1020089KZ89 / годен до 07.10.2025</v>
      </c>
    </row>
    <row r="688" spans="1:8" ht="12.75" x14ac:dyDescent="0.2">
      <c r="A688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688" s="1" t="str">
        <f ca="1">IFERROR(__xludf.DUMMYFUNCTION("""COMPUTED_VALUE"""),"KZ.7700.02.01.00694039")</f>
        <v>KZ.7700.02.01.00694039</v>
      </c>
      <c r="C688" s="1" t="str">
        <f ca="1">IFERROR(__xludf.DUMMYFUNCTION("""COMPUTED_VALUE"""),"Действителен до 07.10.2025")</f>
        <v>Действителен до 07.10.2025</v>
      </c>
      <c r="D688" s="8" t="str">
        <f ca="1">IFERROR(__xludf.DUMMYFUNCTION("""COMPUTED_VALUE"""),"1020089KZ89")</f>
        <v>1020089KZ89</v>
      </c>
      <c r="E688" s="1" t="str">
        <f ca="1">IFERROR(__xludf.DUMMYFUNCTION("""COMPUTED_VALUE"""),"годен до 07.10.2025")</f>
        <v>годен до 07.10.2025</v>
      </c>
      <c r="F688" s="1" t="str">
        <f ca="1">IFERROR(__xludf.DUMMYFUNCTION("""COMPUTED_VALUE"""),"Корректор лечебно-профилактический (с 4 ребрами жесткости) эластичный 3011 - L - 1020089KZ89")</f>
        <v>Корректор лечебно-профилактический (с 4 ребрами жесткости) эластичный 3011 - L - 1020089KZ89</v>
      </c>
      <c r="G688" s="1" t="str">
        <f ca="1">IFERROR(__xludf.DUMMYFUNCTION("""COMPUTED_VALUE"""),"KZ.7700.02.01.00694039 / Действителен до 07.10.2025 / 1020089KZ89 / годен до 07.10.2025")</f>
        <v>KZ.7700.02.01.00694039 / Действителен до 07.10.2025 / 1020089KZ89 / годен до 07.10.2025</v>
      </c>
      <c r="H688" s="1" t="str">
        <f ca="1">IFERROR(__xludf.DUMMYFUNCTION("""COMPUTED_VALUE"""),"Корректор лечебно-профилактический (с 4 ребрами жесткости) эластичный 3011 - L KZ.7700.02.01.00694039 / Действителен до 07.10.2025 / 1020089KZ89 / годен до 07.10.2025")</f>
        <v>Корректор лечебно-профилактический (с 4 ребрами жесткости) эластичный 3011 - L KZ.7700.02.01.00694039 / Действителен до 07.10.2025 / 1020089KZ89 / годен до 07.10.2025</v>
      </c>
    </row>
    <row r="689" spans="1:8" ht="12.75" x14ac:dyDescent="0.2">
      <c r="A689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689" s="1" t="str">
        <f ca="1">IFERROR(__xludf.DUMMYFUNCTION("""COMPUTED_VALUE"""),"KZ.7700.02.01.00694050")</f>
        <v>KZ.7700.02.01.00694050</v>
      </c>
      <c r="C689" s="1" t="str">
        <f ca="1">IFERROR(__xludf.DUMMYFUNCTION("""COMPUTED_VALUE"""),"Действителен до 07.10.2025")</f>
        <v>Действителен до 07.10.2025</v>
      </c>
      <c r="D689" s="8" t="str">
        <f ca="1">IFERROR(__xludf.DUMMYFUNCTION("""COMPUTED_VALUE"""),"1020089KZ89")</f>
        <v>1020089KZ89</v>
      </c>
      <c r="E689" s="1" t="str">
        <f ca="1">IFERROR(__xludf.DUMMYFUNCTION("""COMPUTED_VALUE"""),"годен до 07.10.2025")</f>
        <v>годен до 07.10.2025</v>
      </c>
      <c r="F689" s="1" t="str">
        <f ca="1">IFERROR(__xludf.DUMMYFUNCTION("""COMPUTED_VALUE"""),"Корректор лечебно-профилактический (с 4 ребрами жесткости) эластичный 3011- XL - 1020089KZ89")</f>
        <v>Корректор лечебно-профилактический (с 4 ребрами жесткости) эластичный 3011- XL - 1020089KZ89</v>
      </c>
      <c r="G689" s="1" t="str">
        <f ca="1">IFERROR(__xludf.DUMMYFUNCTION("""COMPUTED_VALUE"""),"KZ.7700.02.01.00694050 / Действителен до 07.10.2025 / 1020089KZ89 / годен до 07.10.2025")</f>
        <v>KZ.7700.02.01.00694050 / Действителен до 07.10.2025 / 1020089KZ89 / годен до 07.10.2025</v>
      </c>
      <c r="H689" s="1" t="str">
        <f ca="1">IFERROR(__xludf.DUMMYFUNCTION("""COMPUTED_VALUE"""),"Корректор лечебно-профилактический (с 4 ребрами жесткости) эластичный 3011- XL KZ.7700.02.01.00694050 / Действителен до 07.10.2025 / 1020089KZ89 / годен до 07.10.2025")</f>
        <v>Корректор лечебно-профилактический (с 4 ребрами жесткости) эластичный 3011- XL KZ.7700.02.01.00694050 / Действителен до 07.10.2025 / 1020089KZ89 / годен до 07.10.2025</v>
      </c>
    </row>
    <row r="690" spans="1:8" ht="12.75" x14ac:dyDescent="0.2">
      <c r="A690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690" s="1" t="str">
        <f ca="1">IFERROR(__xludf.DUMMYFUNCTION("""COMPUTED_VALUE"""),"KZ.7700.02.01.00694081")</f>
        <v>KZ.7700.02.01.00694081</v>
      </c>
      <c r="C690" s="1" t="str">
        <f ca="1">IFERROR(__xludf.DUMMYFUNCTION("""COMPUTED_VALUE"""),"Действителен до 07.10.2025")</f>
        <v>Действителен до 07.10.2025</v>
      </c>
      <c r="D690" s="8" t="str">
        <f ca="1">IFERROR(__xludf.DUMMYFUNCTION("""COMPUTED_VALUE"""),"1020089KZ89")</f>
        <v>1020089KZ89</v>
      </c>
      <c r="E690" s="1" t="str">
        <f ca="1">IFERROR(__xludf.DUMMYFUNCTION("""COMPUTED_VALUE"""),"годен до 07.10.2025")</f>
        <v>годен до 07.10.2025</v>
      </c>
      <c r="F690" s="1" t="str">
        <f ca="1">IFERROR(__xludf.DUMMYFUNCTION("""COMPUTED_VALUE"""),"Корректор лечебно-профилактический (с 4 ребрами жесткости) эластичный 3011- XXL - 1020089KZ89")</f>
        <v>Корректор лечебно-профилактический (с 4 ребрами жесткости) эластичный 3011- XXL - 1020089KZ89</v>
      </c>
      <c r="G690" s="1" t="str">
        <f ca="1">IFERROR(__xludf.DUMMYFUNCTION("""COMPUTED_VALUE"""),"KZ.7700.02.01.00694081 / Действителен до 07.10.2025 / 1020089KZ89 / годен до 07.10.2025")</f>
        <v>KZ.7700.02.01.00694081 / Действителен до 07.10.2025 / 1020089KZ89 / годен до 07.10.2025</v>
      </c>
      <c r="H690" s="1" t="str">
        <f ca="1">IFERROR(__xludf.DUMMYFUNCTION("""COMPUTED_VALUE"""),"Корректор лечебно-профилактический (с 4 ребрами жесткости) эластичный 3011- XXL KZ.7700.02.01.00694081 / Действителен до 07.10.2025 / 1020089KZ89 / годен до 07.10.2025")</f>
        <v>Корректор лечебно-профилактический (с 4 ребрами жесткости) эластичный 3011- XXL KZ.7700.02.01.00694081 / Действителен до 07.10.2025 / 1020089KZ89 / годен до 07.10.2025</v>
      </c>
    </row>
    <row r="691" spans="1:8" ht="12.75" x14ac:dyDescent="0.2">
      <c r="A691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691" s="1" t="str">
        <f ca="1">IFERROR(__xludf.DUMMYFUNCTION("""COMPUTED_VALUE"""),"KZ.7700.02.01.00694080")</f>
        <v>KZ.7700.02.01.00694080</v>
      </c>
      <c r="C691" s="1" t="str">
        <f ca="1">IFERROR(__xludf.DUMMYFUNCTION("""COMPUTED_VALUE"""),"Действителен до 07.10.2025")</f>
        <v>Действителен до 07.10.2025</v>
      </c>
      <c r="D691" s="8" t="str">
        <f ca="1">IFERROR(__xludf.DUMMYFUNCTION("""COMPUTED_VALUE"""),"1020089KZ89")</f>
        <v>1020089KZ89</v>
      </c>
      <c r="E691" s="1" t="str">
        <f ca="1">IFERROR(__xludf.DUMMYFUNCTION("""COMPUTED_VALUE"""),"годен до 07.10.2025")</f>
        <v>годен до 07.10.2025</v>
      </c>
      <c r="F691" s="1" t="str">
        <f ca="1">IFERROR(__xludf.DUMMYFUNCTION("""COMPUTED_VALUE"""),"Корректор лечебно-профилактический (с 4 ребрами жесткости) эластичный 3011 XXXXL - 1020089KZ89")</f>
        <v>Корректор лечебно-профилактический (с 4 ребрами жесткости) эластичный 3011 XXXXL - 1020089KZ89</v>
      </c>
      <c r="G691" s="1" t="str">
        <f ca="1">IFERROR(__xludf.DUMMYFUNCTION("""COMPUTED_VALUE"""),"KZ.7700.02.01.00694080 / Действителен до 07.10.2025 / 1020089KZ89 / годен до 07.10.2025")</f>
        <v>KZ.7700.02.01.00694080 / Действителен до 07.10.2025 / 1020089KZ89 / годен до 07.10.2025</v>
      </c>
      <c r="H691" s="1" t="str">
        <f ca="1">IFERROR(__xludf.DUMMYFUNCTION("""COMPUTED_VALUE"""),"Корректор лечебно-профилактический (с 4 ребрами жесткости) эластичный 3011 XXXXL KZ.7700.02.01.00694080 / Действителен до 07.10.2025 / 1020089KZ89 / годен до 07.10.2025")</f>
        <v>Корректор лечебно-профилактический (с 4 ребрами жесткости) эластичный 3011 XXXXL KZ.7700.02.01.00694080 / Действителен до 07.10.2025 / 1020089KZ89 / годен до 07.10.2025</v>
      </c>
    </row>
    <row r="692" spans="1:8" ht="12.75" x14ac:dyDescent="0.2">
      <c r="A692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692" s="1" t="str">
        <f ca="1">IFERROR(__xludf.DUMMYFUNCTION("""COMPUTED_VALUE"""),"KZ.7700.02.01.00694060")</f>
        <v>KZ.7700.02.01.00694060</v>
      </c>
      <c r="C692" s="1" t="str">
        <f ca="1">IFERROR(__xludf.DUMMYFUNCTION("""COMPUTED_VALUE"""),"Действителен до 07.10.2025")</f>
        <v>Действителен до 07.10.2025</v>
      </c>
      <c r="D692" s="8" t="str">
        <f ca="1">IFERROR(__xludf.DUMMYFUNCTION("""COMPUTED_VALUE"""),"1020089KZ89")</f>
        <v>1020089KZ89</v>
      </c>
      <c r="E692" s="1" t="str">
        <f ca="1">IFERROR(__xludf.DUMMYFUNCTION("""COMPUTED_VALUE"""),"годен до 07.10.2025")</f>
        <v>годен до 07.10.2025</v>
      </c>
      <c r="F692" s="1" t="str">
        <f ca="1">IFERROR(__xludf.DUMMYFUNCTION("""COMPUTED_VALUE"""),"Корсет ортопедический с ребрами жесткости согревающий 3041 M/L (Болгария) - 1020089KZ89")</f>
        <v>Корсет ортопедический с ребрами жесткости согревающий 3041 M/L (Болгария) - 1020089KZ89</v>
      </c>
      <c r="G692" s="1" t="str">
        <f ca="1">IFERROR(__xludf.DUMMYFUNCTION("""COMPUTED_VALUE"""),"KZ.7700.02.01.00694060 / Действителен до 07.10.2025 / 1020089KZ89 / годен до 07.10.2025")</f>
        <v>KZ.7700.02.01.00694060 / Действителен до 07.10.2025 / 1020089KZ89 / годен до 07.10.2025</v>
      </c>
      <c r="H692" s="1" t="str">
        <f ca="1">IFERROR(__xludf.DUMMYFUNCTION("""COMPUTED_VALUE"""),"Корсет ортопедический с ребрами жесткости согревающий 3041 M/L (Болгария) KZ.7700.02.01.00694060 / Действителен до 07.10.2025 / 1020089KZ89 / годен до 07.10.2025")</f>
        <v>Корсет ортопедический с ребрами жесткости согревающий 3041 M/L (Болгария) KZ.7700.02.01.00694060 / Действителен до 07.10.2025 / 1020089KZ89 / годен до 07.10.2025</v>
      </c>
    </row>
    <row r="693" spans="1:8" ht="12.75" x14ac:dyDescent="0.2">
      <c r="A693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693" s="1" t="str">
        <f ca="1">IFERROR(__xludf.DUMMYFUNCTION("""COMPUTED_VALUE"""),"KZ.7700.02.01.00694106")</f>
        <v>KZ.7700.02.01.00694106</v>
      </c>
      <c r="C693" s="1" t="str">
        <f ca="1">IFERROR(__xludf.DUMMYFUNCTION("""COMPUTED_VALUE"""),"Действителен до 07.10.2025")</f>
        <v>Действителен до 07.10.2025</v>
      </c>
      <c r="D693" s="8" t="str">
        <f ca="1">IFERROR(__xludf.DUMMYFUNCTION("""COMPUTED_VALUE"""),"1020089KZ89")</f>
        <v>1020089KZ89</v>
      </c>
      <c r="E693" s="1" t="str">
        <f ca="1">IFERROR(__xludf.DUMMYFUNCTION("""COMPUTED_VALUE"""),"годен до 07.10.2025")</f>
        <v>годен до 07.10.2025</v>
      </c>
      <c r="F693" s="1" t="str">
        <f ca="1">IFERROR(__xludf.DUMMYFUNCTION("""COMPUTED_VALUE"""),"Корсет ортопедический с ребрами жесткости согревающий 3041 XL/XXL (Болгария) - 1020089KZ89")</f>
        <v>Корсет ортопедический с ребрами жесткости согревающий 3041 XL/XXL (Болгария) - 1020089KZ89</v>
      </c>
      <c r="G693" s="1" t="str">
        <f ca="1">IFERROR(__xludf.DUMMYFUNCTION("""COMPUTED_VALUE"""),"KZ.7700.02.01.00694106 / Действителен до 07.10.2025 / 1020089KZ89 / годен до 07.10.2025")</f>
        <v>KZ.7700.02.01.00694106 / Действителен до 07.10.2025 / 1020089KZ89 / годен до 07.10.2025</v>
      </c>
      <c r="H693" s="1" t="str">
        <f ca="1">IFERROR(__xludf.DUMMYFUNCTION("""COMPUTED_VALUE"""),"Корсет ортопедический с ребрами жесткости согревающий 3041 XL/XXL (Болгария) KZ.7700.02.01.00694106 / Действителен до 07.10.2025 / 1020089KZ89 / годен до 07.10.2025")</f>
        <v>Корсет ортопедический с ребрами жесткости согревающий 3041 XL/XXL (Болгария) KZ.7700.02.01.00694106 / Действителен до 07.10.2025 / 1020089KZ89 / годен до 07.10.2025</v>
      </c>
    </row>
    <row r="694" spans="1:8" ht="12.75" x14ac:dyDescent="0.2">
      <c r="A694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694" s="1" t="str">
        <f ca="1">IFERROR(__xludf.DUMMYFUNCTION("""COMPUTED_VALUE"""),"KZ.7700.02.01.00694129")</f>
        <v>KZ.7700.02.01.00694129</v>
      </c>
      <c r="C694" s="1" t="str">
        <f ca="1">IFERROR(__xludf.DUMMYFUNCTION("""COMPUTED_VALUE"""),"Действителен до 07.10.2025")</f>
        <v>Действителен до 07.10.2025</v>
      </c>
      <c r="D694" s="8" t="str">
        <f ca="1">IFERROR(__xludf.DUMMYFUNCTION("""COMPUTED_VALUE"""),"1020089KZ89")</f>
        <v>1020089KZ89</v>
      </c>
      <c r="E694" s="1" t="str">
        <f ca="1">IFERROR(__xludf.DUMMYFUNCTION("""COMPUTED_VALUE"""),"годен до 07.10.2025")</f>
        <v>годен до 07.10.2025</v>
      </c>
      <c r="F694" s="1" t="str">
        <f ca="1">IFERROR(__xludf.DUMMYFUNCTION("""COMPUTED_VALUE"""),"Корсет ортопедический с ребрами жесткости согревающий 3041 XXXL/XXXXL (Болгария) - 1020089KZ89")</f>
        <v>Корсет ортопедический с ребрами жесткости согревающий 3041 XXXL/XXXXL (Болгария) - 1020089KZ89</v>
      </c>
      <c r="G694" s="1" t="str">
        <f ca="1">IFERROR(__xludf.DUMMYFUNCTION("""COMPUTED_VALUE"""),"KZ.7700.02.01.00694129 / Действителен до 07.10.2025 / 1020089KZ89 / годен до 07.10.2025")</f>
        <v>KZ.7700.02.01.00694129 / Действителен до 07.10.2025 / 1020089KZ89 / годен до 07.10.2025</v>
      </c>
      <c r="H694" s="1" t="str">
        <f ca="1">IFERROR(__xludf.DUMMYFUNCTION("""COMPUTED_VALUE"""),"Корсет ортопедический с ребрами жесткости согревающий 3041 XXXL/XXXXL (Болгария) KZ.7700.02.01.00694129 / Действителен до 07.10.2025 / 1020089KZ89 / годен до 07.10.2025")</f>
        <v>Корсет ортопедический с ребрами жесткости согревающий 3041 XXXL/XXXXL (Болгария) KZ.7700.02.01.00694129 / Действителен до 07.10.2025 / 1020089KZ89 / годен до 07.10.2025</v>
      </c>
    </row>
    <row r="695" spans="1:8" ht="12.75" x14ac:dyDescent="0.2">
      <c r="A695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695" s="1" t="str">
        <f ca="1">IFERROR(__xludf.DUMMYFUNCTION("""COMPUTED_VALUE"""),"KZ.7700.02.01.00694089")</f>
        <v>KZ.7700.02.01.00694089</v>
      </c>
      <c r="C695" s="1" t="str">
        <f ca="1">IFERROR(__xludf.DUMMYFUNCTION("""COMPUTED_VALUE"""),"Действителен до 07.10.2025")</f>
        <v>Действителен до 07.10.2025</v>
      </c>
      <c r="D695" s="8" t="str">
        <f ca="1">IFERROR(__xludf.DUMMYFUNCTION("""COMPUTED_VALUE"""),"1020089KZ89")</f>
        <v>1020089KZ89</v>
      </c>
      <c r="E695" s="1" t="str">
        <f ca="1">IFERROR(__xludf.DUMMYFUNCTION("""COMPUTED_VALUE"""),"годен до 07.10.2025")</f>
        <v>годен до 07.10.2025</v>
      </c>
      <c r="F695" s="1" t="str">
        <f ca="1">IFERROR(__xludf.DUMMYFUNCTION("""COMPUTED_VALUE"""),"Бандаж лечебно–профилактический (с тремя ребрами жесткости) 4001 L (Болгария) - 1020089KZ89")</f>
        <v>Бандаж лечебно–профилактический (с тремя ребрами жесткости) 4001 L (Болгария) - 1020089KZ89</v>
      </c>
      <c r="G695" s="1" t="str">
        <f ca="1">IFERROR(__xludf.DUMMYFUNCTION("""COMPUTED_VALUE"""),"KZ.7700.02.01.00694089 / Действителен до 07.10.2025 / 1020089KZ89 / годен до 07.10.2025")</f>
        <v>KZ.7700.02.01.00694089 / Действителен до 07.10.2025 / 1020089KZ89 / годен до 07.10.2025</v>
      </c>
      <c r="H695" s="1" t="str">
        <f ca="1">IFERROR(__xludf.DUMMYFUNCTION("""COMPUTED_VALUE"""),"Бандаж лечебно–профилактический (с тремя ребрами жесткости) 4001 L (Болгария) KZ.7700.02.01.00694089 / Действителен до 07.10.2025 / 1020089KZ89 / годен до 07.10.2025")</f>
        <v>Бандаж лечебно–профилактический (с тремя ребрами жесткости) 4001 L (Болгария) KZ.7700.02.01.00694089 / Действителен до 07.10.2025 / 1020089KZ89 / годен до 07.10.2025</v>
      </c>
    </row>
    <row r="696" spans="1:8" ht="12.75" x14ac:dyDescent="0.2">
      <c r="A696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696" s="1" t="str">
        <f ca="1">IFERROR(__xludf.DUMMYFUNCTION("""COMPUTED_VALUE"""),"KZ.7700.02.01.00694091")</f>
        <v>KZ.7700.02.01.00694091</v>
      </c>
      <c r="C696" s="1" t="str">
        <f ca="1">IFERROR(__xludf.DUMMYFUNCTION("""COMPUTED_VALUE"""),"Действителен до 07.10.2025")</f>
        <v>Действителен до 07.10.2025</v>
      </c>
      <c r="D696" s="8" t="str">
        <f ca="1">IFERROR(__xludf.DUMMYFUNCTION("""COMPUTED_VALUE"""),"1020089KZ89")</f>
        <v>1020089KZ89</v>
      </c>
      <c r="E696" s="1" t="str">
        <f ca="1">IFERROR(__xludf.DUMMYFUNCTION("""COMPUTED_VALUE"""),"годен до 07.10.2025")</f>
        <v>годен до 07.10.2025</v>
      </c>
      <c r="F696" s="1" t="str">
        <f ca="1">IFERROR(__xludf.DUMMYFUNCTION("""COMPUTED_VALUE"""),"Бандаж лечебно–профилактический (с тремя ребрами жесткости) 4001 XL (Болгария) - 1020089KZ89")</f>
        <v>Бандаж лечебно–профилактический (с тремя ребрами жесткости) 4001 XL (Болгария) - 1020089KZ89</v>
      </c>
      <c r="G696" s="1" t="str">
        <f ca="1">IFERROR(__xludf.DUMMYFUNCTION("""COMPUTED_VALUE"""),"KZ.7700.02.01.00694091 / Действителен до 07.10.2025 / 1020089KZ89 / годен до 07.10.2025")</f>
        <v>KZ.7700.02.01.00694091 / Действителен до 07.10.2025 / 1020089KZ89 / годен до 07.10.2025</v>
      </c>
      <c r="H696" s="1" t="str">
        <f ca="1">IFERROR(__xludf.DUMMYFUNCTION("""COMPUTED_VALUE"""),"Бандаж лечебно–профилактический (с тремя ребрами жесткости) 4001 XL (Болгария) KZ.7700.02.01.00694091 / Действителен до 07.10.2025 / 1020089KZ89 / годен до 07.10.2025")</f>
        <v>Бандаж лечебно–профилактический (с тремя ребрами жесткости) 4001 XL (Болгария) KZ.7700.02.01.00694091 / Действителен до 07.10.2025 / 1020089KZ89 / годен до 07.10.2025</v>
      </c>
    </row>
    <row r="697" spans="1:8" ht="12.75" x14ac:dyDescent="0.2">
      <c r="A697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697" s="1" t="str">
        <f ca="1">IFERROR(__xludf.DUMMYFUNCTION("""COMPUTED_VALUE"""),"KZ.7700.02.01.00694090")</f>
        <v>KZ.7700.02.01.00694090</v>
      </c>
      <c r="C697" s="1" t="str">
        <f ca="1">IFERROR(__xludf.DUMMYFUNCTION("""COMPUTED_VALUE"""),"Действителен до 07.10.2025")</f>
        <v>Действителен до 07.10.2025</v>
      </c>
      <c r="D697" s="8" t="str">
        <f ca="1">IFERROR(__xludf.DUMMYFUNCTION("""COMPUTED_VALUE"""),"1020089KZ89")</f>
        <v>1020089KZ89</v>
      </c>
      <c r="E697" s="1" t="str">
        <f ca="1">IFERROR(__xludf.DUMMYFUNCTION("""COMPUTED_VALUE"""),"годен до 07.10.2025")</f>
        <v>годен до 07.10.2025</v>
      </c>
      <c r="F697" s="1" t="str">
        <f ca="1">IFERROR(__xludf.DUMMYFUNCTION("""COMPUTED_VALUE"""),"Бандаж лечебно–профилактический (с тремя ребрами жесткости) 4001 XXL (Болгария) - 1020089KZ89")</f>
        <v>Бандаж лечебно–профилактический (с тремя ребрами жесткости) 4001 XXL (Болгария) - 1020089KZ89</v>
      </c>
      <c r="G697" s="1" t="str">
        <f ca="1">IFERROR(__xludf.DUMMYFUNCTION("""COMPUTED_VALUE"""),"KZ.7700.02.01.00694090 / Действителен до 07.10.2025 / 1020089KZ89 / годен до 07.10.2025")</f>
        <v>KZ.7700.02.01.00694090 / Действителен до 07.10.2025 / 1020089KZ89 / годен до 07.10.2025</v>
      </c>
      <c r="H697" s="1" t="str">
        <f ca="1">IFERROR(__xludf.DUMMYFUNCTION("""COMPUTED_VALUE"""),"Бандаж лечебно–профилактический (с тремя ребрами жесткости) 4001 XXL (Болгария) KZ.7700.02.01.00694090 / Действителен до 07.10.2025 / 1020089KZ89 / годен до 07.10.2025")</f>
        <v>Бандаж лечебно–профилактический (с тремя ребрами жесткости) 4001 XXL (Болгария) KZ.7700.02.01.00694090 / Действителен до 07.10.2025 / 1020089KZ89 / годен до 07.10.2025</v>
      </c>
    </row>
    <row r="698" spans="1:8" ht="12.75" x14ac:dyDescent="0.2">
      <c r="A698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698" s="1" t="str">
        <f ca="1">IFERROR(__xludf.DUMMYFUNCTION("""COMPUTED_VALUE"""),"KZ.7700.02.01.00694101")</f>
        <v>KZ.7700.02.01.00694101</v>
      </c>
      <c r="C698" s="1" t="str">
        <f ca="1">IFERROR(__xludf.DUMMYFUNCTION("""COMPUTED_VALUE"""),"Действителен до 07.10.2025")</f>
        <v>Действителен до 07.10.2025</v>
      </c>
      <c r="D698" s="8" t="str">
        <f ca="1">IFERROR(__xludf.DUMMYFUNCTION("""COMPUTED_VALUE"""),"1020089KZ89")</f>
        <v>1020089KZ89</v>
      </c>
      <c r="E698" s="1" t="str">
        <f ca="1">IFERROR(__xludf.DUMMYFUNCTION("""COMPUTED_VALUE"""),"годен до 07.10.2025")</f>
        <v>годен до 07.10.2025</v>
      </c>
      <c r="F698" s="1" t="str">
        <f ca="1">IFERROR(__xludf.DUMMYFUNCTION("""COMPUTED_VALUE"""),"Бандаж лечебно–профилактический (с тремя ребрами жесткости) 4001 XXXL(Болгария) - 1020089KZ89")</f>
        <v>Бандаж лечебно–профилактический (с тремя ребрами жесткости) 4001 XXXL(Болгария) - 1020089KZ89</v>
      </c>
      <c r="G698" s="1" t="str">
        <f ca="1">IFERROR(__xludf.DUMMYFUNCTION("""COMPUTED_VALUE"""),"KZ.7700.02.01.00694101 / Действителен до 07.10.2025 / 1020089KZ89 / годен до 07.10.2025")</f>
        <v>KZ.7700.02.01.00694101 / Действителен до 07.10.2025 / 1020089KZ89 / годен до 07.10.2025</v>
      </c>
      <c r="H698" s="1" t="str">
        <f ca="1">IFERROR(__xludf.DUMMYFUNCTION("""COMPUTED_VALUE"""),"Бандаж лечебно–профилактический (с тремя ребрами жесткости) 4001 XXXL(Болгария) KZ.7700.02.01.00694101 / Действителен до 07.10.2025 / 1020089KZ89 / годен до 07.10.2025")</f>
        <v>Бандаж лечебно–профилактический (с тремя ребрами жесткости) 4001 XXXL(Болгария) KZ.7700.02.01.00694101 / Действителен до 07.10.2025 / 1020089KZ89 / годен до 07.10.2025</v>
      </c>
    </row>
    <row r="699" spans="1:8" ht="12.75" x14ac:dyDescent="0.2">
      <c r="A699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699" s="1" t="str">
        <f ca="1">IFERROR(__xludf.DUMMYFUNCTION("""COMPUTED_VALUE"""),"KZ.7700.02.01.00694136")</f>
        <v>KZ.7700.02.01.00694136</v>
      </c>
      <c r="C699" s="1" t="str">
        <f ca="1">IFERROR(__xludf.DUMMYFUNCTION("""COMPUTED_VALUE"""),"Действителен до 07.10.2025")</f>
        <v>Действителен до 07.10.2025</v>
      </c>
      <c r="D699" s="8" t="str">
        <f ca="1">IFERROR(__xludf.DUMMYFUNCTION("""COMPUTED_VALUE"""),"1020089KZ89")</f>
        <v>1020089KZ89</v>
      </c>
      <c r="E699" s="1" t="str">
        <f ca="1">IFERROR(__xludf.DUMMYFUNCTION("""COMPUTED_VALUE"""),"годен до 07.10.2025")</f>
        <v>годен до 07.10.2025</v>
      </c>
      <c r="F699" s="1" t="str">
        <f ca="1">IFERROR(__xludf.DUMMYFUNCTION("""COMPUTED_VALUE"""),"Бандаж лечебно–профилактический (с тремя ребрами жесткости) 4001 XXXXL(Болгария) - 1020089KZ89")</f>
        <v>Бандаж лечебно–профилактический (с тремя ребрами жесткости) 4001 XXXXL(Болгария) - 1020089KZ89</v>
      </c>
      <c r="G699" s="1" t="str">
        <f ca="1">IFERROR(__xludf.DUMMYFUNCTION("""COMPUTED_VALUE"""),"KZ.7700.02.01.00694136 / Действителен до 07.10.2025 / 1020089KZ89 / годен до 07.10.2025")</f>
        <v>KZ.7700.02.01.00694136 / Действителен до 07.10.2025 / 1020089KZ89 / годен до 07.10.2025</v>
      </c>
      <c r="H699" s="1" t="str">
        <f ca="1">IFERROR(__xludf.DUMMYFUNCTION("""COMPUTED_VALUE"""),"Бандаж лечебно–профилактический (с тремя ребрами жесткости) 4001 XXXXL(Болгария) KZ.7700.02.01.00694136 / Действителен до 07.10.2025 / 1020089KZ89 / годен до 07.10.2025")</f>
        <v>Бандаж лечебно–профилактический (с тремя ребрами жесткости) 4001 XXXXL(Болгария) KZ.7700.02.01.00694136 / Действителен до 07.10.2025 / 1020089KZ89 / годен до 07.10.2025</v>
      </c>
    </row>
    <row r="700" spans="1:8" ht="12.75" x14ac:dyDescent="0.2">
      <c r="A700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700" s="1" t="str">
        <f ca="1">IFERROR(__xludf.DUMMYFUNCTION("""COMPUTED_VALUE"""),"KZ.7700.02.01.00694138")</f>
        <v>KZ.7700.02.01.00694138</v>
      </c>
      <c r="C700" s="1" t="str">
        <f ca="1">IFERROR(__xludf.DUMMYFUNCTION("""COMPUTED_VALUE"""),"Действителен до 07.10.2025")</f>
        <v>Действителен до 07.10.2025</v>
      </c>
      <c r="D700" s="8" t="str">
        <f ca="1">IFERROR(__xludf.DUMMYFUNCTION("""COMPUTED_VALUE"""),"1020089KZ89")</f>
        <v>1020089KZ89</v>
      </c>
      <c r="E700" s="1" t="str">
        <f ca="1">IFERROR(__xludf.DUMMYFUNCTION("""COMPUTED_VALUE"""),"годен до 07.10.2025")</f>
        <v>годен до 07.10.2025</v>
      </c>
      <c r="F700" s="1" t="str">
        <f ca="1">IFERROR(__xludf.DUMMYFUNCTION("""COMPUTED_VALUE"""),"Бандаж лечебно–профилактический (с тремя ребрами жесткости) 4001 M (Болгария) - 1020089KZ89")</f>
        <v>Бандаж лечебно–профилактический (с тремя ребрами жесткости) 4001 M (Болгария) - 1020089KZ89</v>
      </c>
      <c r="G700" s="1" t="str">
        <f ca="1">IFERROR(__xludf.DUMMYFUNCTION("""COMPUTED_VALUE"""),"KZ.7700.02.01.00694138 / Действителен до 07.10.2025 / 1020089KZ89 / годен до 07.10.2025")</f>
        <v>KZ.7700.02.01.00694138 / Действителен до 07.10.2025 / 1020089KZ89 / годен до 07.10.2025</v>
      </c>
      <c r="H700" s="1" t="str">
        <f ca="1">IFERROR(__xludf.DUMMYFUNCTION("""COMPUTED_VALUE"""),"Бандаж лечебно–профилактический (с тремя ребрами жесткости) 4001 M (Болгария) KZ.7700.02.01.00694138 / Действителен до 07.10.2025 / 1020089KZ89 / годен до 07.10.2025")</f>
        <v>Бандаж лечебно–профилактический (с тремя ребрами жесткости) 4001 M (Болгария) KZ.7700.02.01.00694138 / Действителен до 07.10.2025 / 1020089KZ89 / годен до 07.10.2025</v>
      </c>
    </row>
    <row r="701" spans="1:8" ht="12.75" x14ac:dyDescent="0.2">
      <c r="A701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701" s="1" t="str">
        <f ca="1">IFERROR(__xludf.DUMMYFUNCTION("""COMPUTED_VALUE"""),"KZ.7700.02.01.00694111")</f>
        <v>KZ.7700.02.01.00694111</v>
      </c>
      <c r="C701" s="1" t="str">
        <f ca="1">IFERROR(__xludf.DUMMYFUNCTION("""COMPUTED_VALUE"""),"Действителен до 07.10.2025")</f>
        <v>Действителен до 07.10.2025</v>
      </c>
      <c r="D701" s="8" t="str">
        <f ca="1">IFERROR(__xludf.DUMMYFUNCTION("""COMPUTED_VALUE"""),"1020089KZ89")</f>
        <v>1020089KZ89</v>
      </c>
      <c r="E701" s="1" t="str">
        <f ca="1">IFERROR(__xludf.DUMMYFUNCTION("""COMPUTED_VALUE"""),"годен до 07.10.2025")</f>
        <v>годен до 07.10.2025</v>
      </c>
      <c r="F701" s="1" t="str">
        <f ca="1">IFERROR(__xludf.DUMMYFUNCTION("""COMPUTED_VALUE"""),"Бандаж лечебно–профилактический эластичный 4002 L (Болгария) - 1020089KZ89")</f>
        <v>Бандаж лечебно–профилактический эластичный 4002 L (Болгария) - 1020089KZ89</v>
      </c>
      <c r="G701" s="1" t="str">
        <f ca="1">IFERROR(__xludf.DUMMYFUNCTION("""COMPUTED_VALUE"""),"KZ.7700.02.01.00694111 / Действителен до 07.10.2025 / 1020089KZ89 / годен до 07.10.2025")</f>
        <v>KZ.7700.02.01.00694111 / Действителен до 07.10.2025 / 1020089KZ89 / годен до 07.10.2025</v>
      </c>
      <c r="H701" s="1" t="str">
        <f ca="1">IFERROR(__xludf.DUMMYFUNCTION("""COMPUTED_VALUE"""),"Бандаж лечебно–профилактический эластичный 4002 L (Болгария) KZ.7700.02.01.00694111 / Действителен до 07.10.2025 / 1020089KZ89 / годен до 07.10.2025")</f>
        <v>Бандаж лечебно–профилактический эластичный 4002 L (Болгария) KZ.7700.02.01.00694111 / Действителен до 07.10.2025 / 1020089KZ89 / годен до 07.10.2025</v>
      </c>
    </row>
    <row r="702" spans="1:8" ht="12.75" x14ac:dyDescent="0.2">
      <c r="A702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702" s="1" t="str">
        <f ca="1">IFERROR(__xludf.DUMMYFUNCTION("""COMPUTED_VALUE"""),"KZ.7700.02.01.00694094")</f>
        <v>KZ.7700.02.01.00694094</v>
      </c>
      <c r="C702" s="1" t="str">
        <f ca="1">IFERROR(__xludf.DUMMYFUNCTION("""COMPUTED_VALUE"""),"Действителен до 07.10.2025")</f>
        <v>Действителен до 07.10.2025</v>
      </c>
      <c r="D702" s="8" t="str">
        <f ca="1">IFERROR(__xludf.DUMMYFUNCTION("""COMPUTED_VALUE"""),"1020089KZ89")</f>
        <v>1020089KZ89</v>
      </c>
      <c r="E702" s="1" t="str">
        <f ca="1">IFERROR(__xludf.DUMMYFUNCTION("""COMPUTED_VALUE"""),"годен до 07.10.2025")</f>
        <v>годен до 07.10.2025</v>
      </c>
      <c r="F702" s="1" t="str">
        <f ca="1">IFERROR(__xludf.DUMMYFUNCTION("""COMPUTED_VALUE"""),"Бандаж лечебно–профилактический эластичный 4002 M (Болгария) - 1020089KZ89")</f>
        <v>Бандаж лечебно–профилактический эластичный 4002 M (Болгария) - 1020089KZ89</v>
      </c>
      <c r="G702" s="1" t="str">
        <f ca="1">IFERROR(__xludf.DUMMYFUNCTION("""COMPUTED_VALUE"""),"KZ.7700.02.01.00694094 / Действителен до 07.10.2025 / 1020089KZ89 / годен до 07.10.2025")</f>
        <v>KZ.7700.02.01.00694094 / Действителен до 07.10.2025 / 1020089KZ89 / годен до 07.10.2025</v>
      </c>
      <c r="H702" s="1" t="str">
        <f ca="1">IFERROR(__xludf.DUMMYFUNCTION("""COMPUTED_VALUE"""),"Бандаж лечебно–профилактический эластичный 4002 M (Болгария) KZ.7700.02.01.00694094 / Действителен до 07.10.2025 / 1020089KZ89 / годен до 07.10.2025")</f>
        <v>Бандаж лечебно–профилактический эластичный 4002 M (Болгария) KZ.7700.02.01.00694094 / Действителен до 07.10.2025 / 1020089KZ89 / годен до 07.10.2025</v>
      </c>
    </row>
    <row r="703" spans="1:8" ht="12.75" x14ac:dyDescent="0.2">
      <c r="A703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703" s="1" t="str">
        <f ca="1">IFERROR(__xludf.DUMMYFUNCTION("""COMPUTED_VALUE"""),"KZ.7700.02.01.00694105")</f>
        <v>KZ.7700.02.01.00694105</v>
      </c>
      <c r="C703" s="1" t="str">
        <f ca="1">IFERROR(__xludf.DUMMYFUNCTION("""COMPUTED_VALUE"""),"Действителен до 07.10.2025")</f>
        <v>Действителен до 07.10.2025</v>
      </c>
      <c r="D703" s="8" t="str">
        <f ca="1">IFERROR(__xludf.DUMMYFUNCTION("""COMPUTED_VALUE"""),"1020089KZ89")</f>
        <v>1020089KZ89</v>
      </c>
      <c r="E703" s="1" t="str">
        <f ca="1">IFERROR(__xludf.DUMMYFUNCTION("""COMPUTED_VALUE"""),"годен до 07.10.2025")</f>
        <v>годен до 07.10.2025</v>
      </c>
      <c r="F703" s="1" t="str">
        <f ca="1">IFERROR(__xludf.DUMMYFUNCTION("""COMPUTED_VALUE"""),"Бандаж грыжевой лево-и правосторонний 5001 M/L (Болгария) - 1020089KZ89")</f>
        <v>Бандаж грыжевой лево-и правосторонний 5001 M/L (Болгария) - 1020089KZ89</v>
      </c>
      <c r="G703" s="1" t="str">
        <f ca="1">IFERROR(__xludf.DUMMYFUNCTION("""COMPUTED_VALUE"""),"KZ.7700.02.01.00694105 / Действителен до 07.10.2025 / 1020089KZ89 / годен до 07.10.2025")</f>
        <v>KZ.7700.02.01.00694105 / Действителен до 07.10.2025 / 1020089KZ89 / годен до 07.10.2025</v>
      </c>
      <c r="H703" s="1" t="str">
        <f ca="1">IFERROR(__xludf.DUMMYFUNCTION("""COMPUTED_VALUE"""),"Бандаж грыжевой лево-и правосторонний 5001 M/L (Болгария) KZ.7700.02.01.00694105 / Действителен до 07.10.2025 / 1020089KZ89 / годен до 07.10.2025")</f>
        <v>Бандаж грыжевой лево-и правосторонний 5001 M/L (Болгария) KZ.7700.02.01.00694105 / Действителен до 07.10.2025 / 1020089KZ89 / годен до 07.10.2025</v>
      </c>
    </row>
    <row r="704" spans="1:8" ht="12.75" x14ac:dyDescent="0.2">
      <c r="A704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704" s="1" t="str">
        <f ca="1">IFERROR(__xludf.DUMMYFUNCTION("""COMPUTED_VALUE"""),"KZ.7700.02.01.00694130")</f>
        <v>KZ.7700.02.01.00694130</v>
      </c>
      <c r="C704" s="1" t="str">
        <f ca="1">IFERROR(__xludf.DUMMYFUNCTION("""COMPUTED_VALUE"""),"Действителен до 07.10.2025")</f>
        <v>Действителен до 07.10.2025</v>
      </c>
      <c r="D704" s="8" t="str">
        <f ca="1">IFERROR(__xludf.DUMMYFUNCTION("""COMPUTED_VALUE"""),"1020089KZ89")</f>
        <v>1020089KZ89</v>
      </c>
      <c r="E704" s="1" t="str">
        <f ca="1">IFERROR(__xludf.DUMMYFUNCTION("""COMPUTED_VALUE"""),"годен до 07.10.2025")</f>
        <v>годен до 07.10.2025</v>
      </c>
      <c r="F704" s="1" t="str">
        <f ca="1">IFERROR(__xludf.DUMMYFUNCTION("""COMPUTED_VALUE"""),"Бандаж грыжевой лево-и правосторонний 5001 XL/XXL (Болгария) - 1020089KZ89")</f>
        <v>Бандаж грыжевой лево-и правосторонний 5001 XL/XXL (Болгария) - 1020089KZ89</v>
      </c>
      <c r="G704" s="1" t="str">
        <f ca="1">IFERROR(__xludf.DUMMYFUNCTION("""COMPUTED_VALUE"""),"KZ.7700.02.01.00694130 / Действителен до 07.10.2025 / 1020089KZ89 / годен до 07.10.2025")</f>
        <v>KZ.7700.02.01.00694130 / Действителен до 07.10.2025 / 1020089KZ89 / годен до 07.10.2025</v>
      </c>
      <c r="H704" s="1" t="str">
        <f ca="1">IFERROR(__xludf.DUMMYFUNCTION("""COMPUTED_VALUE"""),"Бандаж грыжевой лево-и правосторонний 5001 XL/XXL (Болгария) KZ.7700.02.01.00694130 / Действителен до 07.10.2025 / 1020089KZ89 / годен до 07.10.2025")</f>
        <v>Бандаж грыжевой лево-и правосторонний 5001 XL/XXL (Болгария) KZ.7700.02.01.00694130 / Действителен до 07.10.2025 / 1020089KZ89 / годен до 07.10.2025</v>
      </c>
    </row>
    <row r="705" spans="1:8" ht="12.75" x14ac:dyDescent="0.2">
      <c r="A705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705" s="1" t="str">
        <f ca="1">IFERROR(__xludf.DUMMYFUNCTION("""COMPUTED_VALUE"""),"KZ.7700.02.01.00694108")</f>
        <v>KZ.7700.02.01.00694108</v>
      </c>
      <c r="C705" s="1" t="str">
        <f ca="1">IFERROR(__xludf.DUMMYFUNCTION("""COMPUTED_VALUE"""),"Действителен до 07.10.2025")</f>
        <v>Действителен до 07.10.2025</v>
      </c>
      <c r="D705" s="8" t="str">
        <f ca="1">IFERROR(__xludf.DUMMYFUNCTION("""COMPUTED_VALUE"""),"1020089KZ89")</f>
        <v>1020089KZ89</v>
      </c>
      <c r="E705" s="1" t="str">
        <f ca="1">IFERROR(__xludf.DUMMYFUNCTION("""COMPUTED_VALUE"""),"годен до 07.10.2025")</f>
        <v>годен до 07.10.2025</v>
      </c>
      <c r="F705" s="1" t="str">
        <f ca="1">IFERROR(__xludf.DUMMYFUNCTION("""COMPUTED_VALUE"""),"Бандаж при пупочной грыже 5051 M/L (Болгария) - 1020089KZ89")</f>
        <v>Бандаж при пупочной грыже 5051 M/L (Болгария) - 1020089KZ89</v>
      </c>
      <c r="G705" s="1" t="str">
        <f ca="1">IFERROR(__xludf.DUMMYFUNCTION("""COMPUTED_VALUE"""),"KZ.7700.02.01.00694108 / Действителен до 07.10.2025 / 1020089KZ89 / годен до 07.10.2025")</f>
        <v>KZ.7700.02.01.00694108 / Действителен до 07.10.2025 / 1020089KZ89 / годен до 07.10.2025</v>
      </c>
      <c r="H705" s="1" t="str">
        <f ca="1">IFERROR(__xludf.DUMMYFUNCTION("""COMPUTED_VALUE"""),"Бандаж при пупочной грыже 5051 M/L (Болгария) KZ.7700.02.01.00694108 / Действителен до 07.10.2025 / 1020089KZ89 / годен до 07.10.2025")</f>
        <v>Бандаж при пупочной грыже 5051 M/L (Болгария) KZ.7700.02.01.00694108 / Действителен до 07.10.2025 / 1020089KZ89 / годен до 07.10.2025</v>
      </c>
    </row>
    <row r="706" spans="1:8" ht="12.75" x14ac:dyDescent="0.2">
      <c r="A706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706" s="1" t="str">
        <f ca="1">IFERROR(__xludf.DUMMYFUNCTION("""COMPUTED_VALUE"""),"KZ.7700.02.01.00694116")</f>
        <v>KZ.7700.02.01.00694116</v>
      </c>
      <c r="C706" s="1" t="str">
        <f ca="1">IFERROR(__xludf.DUMMYFUNCTION("""COMPUTED_VALUE"""),"Действителен до 07.10.2025")</f>
        <v>Действителен до 07.10.2025</v>
      </c>
      <c r="D706" s="8" t="str">
        <f ca="1">IFERROR(__xludf.DUMMYFUNCTION("""COMPUTED_VALUE"""),"1020089KZ89")</f>
        <v>1020089KZ89</v>
      </c>
      <c r="E706" s="1" t="str">
        <f ca="1">IFERROR(__xludf.DUMMYFUNCTION("""COMPUTED_VALUE"""),"годен до 07.10.2025")</f>
        <v>годен до 07.10.2025</v>
      </c>
      <c r="F706" s="1" t="str">
        <f ca="1">IFERROR(__xludf.DUMMYFUNCTION("""COMPUTED_VALUE"""),"Бандаж при пупочной грыже 5051 XL/XXL (Болгария) - 1020089KZ89")</f>
        <v>Бандаж при пупочной грыже 5051 XL/XXL (Болгария) - 1020089KZ89</v>
      </c>
      <c r="G706" s="1" t="str">
        <f ca="1">IFERROR(__xludf.DUMMYFUNCTION("""COMPUTED_VALUE"""),"KZ.7700.02.01.00694116 / Действителен до 07.10.2025 / 1020089KZ89 / годен до 07.10.2025")</f>
        <v>KZ.7700.02.01.00694116 / Действителен до 07.10.2025 / 1020089KZ89 / годен до 07.10.2025</v>
      </c>
      <c r="H706" s="1" t="str">
        <f ca="1">IFERROR(__xludf.DUMMYFUNCTION("""COMPUTED_VALUE"""),"Бандаж при пупочной грыже 5051 XL/XXL (Болгария) KZ.7700.02.01.00694116 / Действителен до 07.10.2025 / 1020089KZ89 / годен до 07.10.2025")</f>
        <v>Бандаж при пупочной грыже 5051 XL/XXL (Болгария) KZ.7700.02.01.00694116 / Действителен до 07.10.2025 / 1020089KZ89 / годен до 07.10.2025</v>
      </c>
    </row>
    <row r="707" spans="1:8" ht="12.75" x14ac:dyDescent="0.2">
      <c r="A707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707" s="1" t="str">
        <f ca="1">IFERROR(__xludf.DUMMYFUNCTION("""COMPUTED_VALUE"""),"KZ.7700.02.01.00694133")</f>
        <v>KZ.7700.02.01.00694133</v>
      </c>
      <c r="C707" s="1" t="str">
        <f ca="1">IFERROR(__xludf.DUMMYFUNCTION("""COMPUTED_VALUE"""),"Действителен до 07.10.2025")</f>
        <v>Действителен до 07.10.2025</v>
      </c>
      <c r="D707" s="8" t="str">
        <f ca="1">IFERROR(__xludf.DUMMYFUNCTION("""COMPUTED_VALUE"""),"1020089KZ89")</f>
        <v>1020089KZ89</v>
      </c>
      <c r="E707" s="1" t="str">
        <f ca="1">IFERROR(__xludf.DUMMYFUNCTION("""COMPUTED_VALUE"""),"годен до 07.10.2025")</f>
        <v>годен до 07.10.2025</v>
      </c>
      <c r="F707" s="1" t="str">
        <f ca="1">IFERROR(__xludf.DUMMYFUNCTION("""COMPUTED_VALUE"""),"Бандаж при пупочной грыже 5051 XXXL/XXXXL (Болгария) - 1020089KZ89")</f>
        <v>Бандаж при пупочной грыже 5051 XXXL/XXXXL (Болгария) - 1020089KZ89</v>
      </c>
      <c r="G707" s="1" t="str">
        <f ca="1">IFERROR(__xludf.DUMMYFUNCTION("""COMPUTED_VALUE"""),"KZ.7700.02.01.00694133 / Действителен до 07.10.2025 / 1020089KZ89 / годен до 07.10.2025")</f>
        <v>KZ.7700.02.01.00694133 / Действителен до 07.10.2025 / 1020089KZ89 / годен до 07.10.2025</v>
      </c>
      <c r="H707" s="1" t="str">
        <f ca="1">IFERROR(__xludf.DUMMYFUNCTION("""COMPUTED_VALUE"""),"Бандаж при пупочной грыже 5051 XXXL/XXXXL (Болгария) KZ.7700.02.01.00694133 / Действителен до 07.10.2025 / 1020089KZ89 / годен до 07.10.2025")</f>
        <v>Бандаж при пупочной грыже 5051 XXXL/XXXXL (Болгария) KZ.7700.02.01.00694133 / Действителен до 07.10.2025 / 1020089KZ89 / годен до 07.10.2025</v>
      </c>
    </row>
    <row r="708" spans="1:8" ht="12.75" x14ac:dyDescent="0.2">
      <c r="A708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708" s="1" t="str">
        <f ca="1">IFERROR(__xludf.DUMMYFUNCTION("""COMPUTED_VALUE"""),"KZ.7700.02.01.00694113")</f>
        <v>KZ.7700.02.01.00694113</v>
      </c>
      <c r="C708" s="1" t="str">
        <f ca="1">IFERROR(__xludf.DUMMYFUNCTION("""COMPUTED_VALUE"""),"Действителен до 07.10.2025")</f>
        <v>Действителен до 07.10.2025</v>
      </c>
      <c r="D708" s="8" t="str">
        <f ca="1">IFERROR(__xludf.DUMMYFUNCTION("""COMPUTED_VALUE"""),"1020089KZ89")</f>
        <v>1020089KZ89</v>
      </c>
      <c r="E708" s="1" t="str">
        <f ca="1">IFERROR(__xludf.DUMMYFUNCTION("""COMPUTED_VALUE"""),"годен до 07.10.2025")</f>
        <v>годен до 07.10.2025</v>
      </c>
      <c r="F708" s="1" t="str">
        <f ca="1">IFERROR(__xludf.DUMMYFUNCTION("""COMPUTED_VALUE"""),"Бандаж на коленный сустав эластичный 6040 L (Болгария) - 1020089KZ89")</f>
        <v>Бандаж на коленный сустав эластичный 6040 L (Болгария) - 1020089KZ89</v>
      </c>
      <c r="G708" s="1" t="str">
        <f ca="1">IFERROR(__xludf.DUMMYFUNCTION("""COMPUTED_VALUE"""),"KZ.7700.02.01.00694113 / Действителен до 07.10.2025 / 1020089KZ89 / годен до 07.10.2025")</f>
        <v>KZ.7700.02.01.00694113 / Действителен до 07.10.2025 / 1020089KZ89 / годен до 07.10.2025</v>
      </c>
      <c r="H708" s="1" t="str">
        <f ca="1">IFERROR(__xludf.DUMMYFUNCTION("""COMPUTED_VALUE"""),"Бандаж на коленный сустав эластичный 6040 L (Болгария) KZ.7700.02.01.00694113 / Действителен до 07.10.2025 / 1020089KZ89 / годен до 07.10.2025")</f>
        <v>Бандаж на коленный сустав эластичный 6040 L (Болгария) KZ.7700.02.01.00694113 / Действителен до 07.10.2025 / 1020089KZ89 / годен до 07.10.2025</v>
      </c>
    </row>
    <row r="709" spans="1:8" ht="12.75" x14ac:dyDescent="0.2">
      <c r="A709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709" s="1" t="str">
        <f ca="1">IFERROR(__xludf.DUMMYFUNCTION("""COMPUTED_VALUE"""),"KZ.7700.02.01.00694115")</f>
        <v>KZ.7700.02.01.00694115</v>
      </c>
      <c r="C709" s="1" t="str">
        <f ca="1">IFERROR(__xludf.DUMMYFUNCTION("""COMPUTED_VALUE"""),"Действителен до 07.10.2025")</f>
        <v>Действителен до 07.10.2025</v>
      </c>
      <c r="D709" s="8" t="str">
        <f ca="1">IFERROR(__xludf.DUMMYFUNCTION("""COMPUTED_VALUE"""),"1020089KZ89")</f>
        <v>1020089KZ89</v>
      </c>
      <c r="E709" s="1" t="str">
        <f ca="1">IFERROR(__xludf.DUMMYFUNCTION("""COMPUTED_VALUE"""),"годен до 07.10.2025")</f>
        <v>годен до 07.10.2025</v>
      </c>
      <c r="F709" s="1" t="str">
        <f ca="1">IFERROR(__xludf.DUMMYFUNCTION("""COMPUTED_VALUE"""),"Бандаж на коленный сустав эластичный 6040 M (Болгария) - 1020089KZ89")</f>
        <v>Бандаж на коленный сустав эластичный 6040 M (Болгария) - 1020089KZ89</v>
      </c>
      <c r="G709" s="1" t="str">
        <f ca="1">IFERROR(__xludf.DUMMYFUNCTION("""COMPUTED_VALUE"""),"KZ.7700.02.01.00694115 / Действителен до 07.10.2025 / 1020089KZ89 / годен до 07.10.2025")</f>
        <v>KZ.7700.02.01.00694115 / Действителен до 07.10.2025 / 1020089KZ89 / годен до 07.10.2025</v>
      </c>
      <c r="H709" s="1" t="str">
        <f ca="1">IFERROR(__xludf.DUMMYFUNCTION("""COMPUTED_VALUE"""),"Бандаж на коленный сустав эластичный 6040 M (Болгария) KZ.7700.02.01.00694115 / Действителен до 07.10.2025 / 1020089KZ89 / годен до 07.10.2025")</f>
        <v>Бандаж на коленный сустав эластичный 6040 M (Болгария) KZ.7700.02.01.00694115 / Действителен до 07.10.2025 / 1020089KZ89 / годен до 07.10.2025</v>
      </c>
    </row>
    <row r="710" spans="1:8" ht="12.75" x14ac:dyDescent="0.2">
      <c r="A710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710" s="1" t="str">
        <f ca="1">IFERROR(__xludf.DUMMYFUNCTION("""COMPUTED_VALUE"""),"KZ.7700.02.01.00694103")</f>
        <v>KZ.7700.02.01.00694103</v>
      </c>
      <c r="C710" s="1" t="str">
        <f ca="1">IFERROR(__xludf.DUMMYFUNCTION("""COMPUTED_VALUE"""),"Действителен до 07.10.2025")</f>
        <v>Действителен до 07.10.2025</v>
      </c>
      <c r="D710" s="8" t="str">
        <f ca="1">IFERROR(__xludf.DUMMYFUNCTION("""COMPUTED_VALUE"""),"1020089KZ89")</f>
        <v>1020089KZ89</v>
      </c>
      <c r="E710" s="1" t="str">
        <f ca="1">IFERROR(__xludf.DUMMYFUNCTION("""COMPUTED_VALUE"""),"годен до 07.10.2025")</f>
        <v>годен до 07.10.2025</v>
      </c>
      <c r="F710" s="1" t="str">
        <f ca="1">IFERROR(__xludf.DUMMYFUNCTION("""COMPUTED_VALUE"""),"Бандаж на коленный сустав эластичный 6040 S (Болгария) - 1020089KZ89")</f>
        <v>Бандаж на коленный сустав эластичный 6040 S (Болгария) - 1020089KZ89</v>
      </c>
      <c r="G710" s="1" t="str">
        <f ca="1">IFERROR(__xludf.DUMMYFUNCTION("""COMPUTED_VALUE"""),"KZ.7700.02.01.00694103 / Действителен до 07.10.2025 / 1020089KZ89 / годен до 07.10.2025")</f>
        <v>KZ.7700.02.01.00694103 / Действителен до 07.10.2025 / 1020089KZ89 / годен до 07.10.2025</v>
      </c>
      <c r="H710" s="1" t="str">
        <f ca="1">IFERROR(__xludf.DUMMYFUNCTION("""COMPUTED_VALUE"""),"Бандаж на коленный сустав эластичный 6040 S (Болгария) KZ.7700.02.01.00694103 / Действителен до 07.10.2025 / 1020089KZ89 / годен до 07.10.2025")</f>
        <v>Бандаж на коленный сустав эластичный 6040 S (Болгария) KZ.7700.02.01.00694103 / Действителен до 07.10.2025 / 1020089KZ89 / годен до 07.10.2025</v>
      </c>
    </row>
    <row r="711" spans="1:8" ht="12.75" x14ac:dyDescent="0.2">
      <c r="A711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711" s="1" t="str">
        <f ca="1">IFERROR(__xludf.DUMMYFUNCTION("""COMPUTED_VALUE"""),"KZ.7700.02.01.00694121")</f>
        <v>KZ.7700.02.01.00694121</v>
      </c>
      <c r="C711" s="1" t="str">
        <f ca="1">IFERROR(__xludf.DUMMYFUNCTION("""COMPUTED_VALUE"""),"Действителен до 07.10.2025")</f>
        <v>Действителен до 07.10.2025</v>
      </c>
      <c r="D711" s="8" t="str">
        <f ca="1">IFERROR(__xludf.DUMMYFUNCTION("""COMPUTED_VALUE"""),"1020089KZ89")</f>
        <v>1020089KZ89</v>
      </c>
      <c r="E711" s="1" t="str">
        <f ca="1">IFERROR(__xludf.DUMMYFUNCTION("""COMPUTED_VALUE"""),"годен до 07.10.2025")</f>
        <v>годен до 07.10.2025</v>
      </c>
      <c r="F711" s="1" t="str">
        <f ca="1">IFERROR(__xludf.DUMMYFUNCTION("""COMPUTED_VALUE"""),"Бандаж на коленный сустав эластичный 6040 XL (Болгария) - 1020089KZ89")</f>
        <v>Бандаж на коленный сустав эластичный 6040 XL (Болгария) - 1020089KZ89</v>
      </c>
      <c r="G711" s="1" t="str">
        <f ca="1">IFERROR(__xludf.DUMMYFUNCTION("""COMPUTED_VALUE"""),"KZ.7700.02.01.00694121 / Действителен до 07.10.2025 / 1020089KZ89 / годен до 07.10.2025")</f>
        <v>KZ.7700.02.01.00694121 / Действителен до 07.10.2025 / 1020089KZ89 / годен до 07.10.2025</v>
      </c>
      <c r="H711" s="1" t="str">
        <f ca="1">IFERROR(__xludf.DUMMYFUNCTION("""COMPUTED_VALUE"""),"Бандаж на коленный сустав эластичный 6040 XL (Болгария) KZ.7700.02.01.00694121 / Действителен до 07.10.2025 / 1020089KZ89 / годен до 07.10.2025")</f>
        <v>Бандаж на коленный сустав эластичный 6040 XL (Болгария) KZ.7700.02.01.00694121 / Действителен до 07.10.2025 / 1020089KZ89 / годен до 07.10.2025</v>
      </c>
    </row>
    <row r="712" spans="1:8" ht="12.75" x14ac:dyDescent="0.2">
      <c r="A712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712" s="1" t="str">
        <f ca="1">IFERROR(__xludf.DUMMYFUNCTION("""COMPUTED_VALUE"""),"KZ.7700.02.01.00694135")</f>
        <v>KZ.7700.02.01.00694135</v>
      </c>
      <c r="C712" s="1" t="str">
        <f ca="1">IFERROR(__xludf.DUMMYFUNCTION("""COMPUTED_VALUE"""),"Действителен до 07.10.2025")</f>
        <v>Действителен до 07.10.2025</v>
      </c>
      <c r="D712" s="8" t="str">
        <f ca="1">IFERROR(__xludf.DUMMYFUNCTION("""COMPUTED_VALUE"""),"1020089KZ89")</f>
        <v>1020089KZ89</v>
      </c>
      <c r="E712" s="1" t="str">
        <f ca="1">IFERROR(__xludf.DUMMYFUNCTION("""COMPUTED_VALUE"""),"годен до 07.10.2025")</f>
        <v>годен до 07.10.2025</v>
      </c>
      <c r="F712" s="1" t="str">
        <f ca="1">IFERROR(__xludf.DUMMYFUNCTION("""COMPUTED_VALUE"""),"Бандаж на коленный сустав разъемный 6058 L\XL (Болгария) - 1020089KZ89")</f>
        <v>Бандаж на коленный сустав разъемный 6058 L\XL (Болгария) - 1020089KZ89</v>
      </c>
      <c r="G712" s="1" t="str">
        <f ca="1">IFERROR(__xludf.DUMMYFUNCTION("""COMPUTED_VALUE"""),"KZ.7700.02.01.00694135 / Действителен до 07.10.2025 / 1020089KZ89 / годен до 07.10.2025")</f>
        <v>KZ.7700.02.01.00694135 / Действителен до 07.10.2025 / 1020089KZ89 / годен до 07.10.2025</v>
      </c>
      <c r="H712" s="1" t="str">
        <f ca="1">IFERROR(__xludf.DUMMYFUNCTION("""COMPUTED_VALUE"""),"Бандаж на коленный сустав разъемный 6058 L\XL (Болгария) KZ.7700.02.01.00694135 / Действителен до 07.10.2025 / 1020089KZ89 / годен до 07.10.2025")</f>
        <v>Бандаж на коленный сустав разъемный 6058 L\XL (Болгария) KZ.7700.02.01.00694135 / Действителен до 07.10.2025 / 1020089KZ89 / годен до 07.10.2025</v>
      </c>
    </row>
    <row r="713" spans="1:8" ht="12.75" x14ac:dyDescent="0.2">
      <c r="A713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713" s="1" t="str">
        <f ca="1">IFERROR(__xludf.DUMMYFUNCTION("""COMPUTED_VALUE"""),"KZ.7700.02.01.00694118")</f>
        <v>KZ.7700.02.01.00694118</v>
      </c>
      <c r="C713" s="1" t="str">
        <f ca="1">IFERROR(__xludf.DUMMYFUNCTION("""COMPUTED_VALUE"""),"Действителен до 07.10.2025")</f>
        <v>Действителен до 07.10.2025</v>
      </c>
      <c r="D713" s="8" t="str">
        <f ca="1">IFERROR(__xludf.DUMMYFUNCTION("""COMPUTED_VALUE"""),"1020089KZ89")</f>
        <v>1020089KZ89</v>
      </c>
      <c r="E713" s="1" t="str">
        <f ca="1">IFERROR(__xludf.DUMMYFUNCTION("""COMPUTED_VALUE"""),"годен до 07.10.2025")</f>
        <v>годен до 07.10.2025</v>
      </c>
      <c r="F713" s="1" t="str">
        <f ca="1">IFERROR(__xludf.DUMMYFUNCTION("""COMPUTED_VALUE"""),"Бандаж на коленный сустав разъемный 6058 S\M (Болгария) - 1020089KZ89")</f>
        <v>Бандаж на коленный сустав разъемный 6058 S\M (Болгария) - 1020089KZ89</v>
      </c>
      <c r="G713" s="1" t="str">
        <f ca="1">IFERROR(__xludf.DUMMYFUNCTION("""COMPUTED_VALUE"""),"KZ.7700.02.01.00694118 / Действителен до 07.10.2025 / 1020089KZ89 / годен до 07.10.2025")</f>
        <v>KZ.7700.02.01.00694118 / Действителен до 07.10.2025 / 1020089KZ89 / годен до 07.10.2025</v>
      </c>
      <c r="H713" s="1" t="str">
        <f ca="1">IFERROR(__xludf.DUMMYFUNCTION("""COMPUTED_VALUE"""),"Бандаж на коленный сустав разъемный 6058 S\M (Болгария) KZ.7700.02.01.00694118 / Действителен до 07.10.2025 / 1020089KZ89 / годен до 07.10.2025")</f>
        <v>Бандаж на коленный сустав разъемный 6058 S\M (Болгария) KZ.7700.02.01.00694118 / Действителен до 07.10.2025 / 1020089KZ89 / годен до 07.10.2025</v>
      </c>
    </row>
    <row r="714" spans="1:8" ht="12.75" x14ac:dyDescent="0.2">
      <c r="A714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714" s="1" t="str">
        <f ca="1">IFERROR(__xludf.DUMMYFUNCTION("""COMPUTED_VALUE"""),"KZ.7700.02.01.00694107")</f>
        <v>KZ.7700.02.01.00694107</v>
      </c>
      <c r="C714" s="1" t="str">
        <f ca="1">IFERROR(__xludf.DUMMYFUNCTION("""COMPUTED_VALUE"""),"Действителен до 07.10.2025")</f>
        <v>Действителен до 07.10.2025</v>
      </c>
      <c r="D714" s="8" t="str">
        <f ca="1">IFERROR(__xludf.DUMMYFUNCTION("""COMPUTED_VALUE"""),"1020089KZ89")</f>
        <v>1020089KZ89</v>
      </c>
      <c r="E714" s="1" t="str">
        <f ca="1">IFERROR(__xludf.DUMMYFUNCTION("""COMPUTED_VALUE"""),"годен до 07.10.2025")</f>
        <v>годен до 07.10.2025</v>
      </c>
      <c r="F714" s="1" t="str">
        <f ca="1">IFERROR(__xludf.DUMMYFUNCTION("""COMPUTED_VALUE"""),"Бандаж на коленный сустав разъемный 6058 XXL (Болгария) - 1020089KZ89")</f>
        <v>Бандаж на коленный сустав разъемный 6058 XXL (Болгария) - 1020089KZ89</v>
      </c>
      <c r="G714" s="1" t="str">
        <f ca="1">IFERROR(__xludf.DUMMYFUNCTION("""COMPUTED_VALUE"""),"KZ.7700.02.01.00694107 / Действителен до 07.10.2025 / 1020089KZ89 / годен до 07.10.2025")</f>
        <v>KZ.7700.02.01.00694107 / Действителен до 07.10.2025 / 1020089KZ89 / годен до 07.10.2025</v>
      </c>
      <c r="H714" s="1" t="str">
        <f ca="1">IFERROR(__xludf.DUMMYFUNCTION("""COMPUTED_VALUE"""),"Бандаж на коленный сустав разъемный 6058 XXL (Болгария) KZ.7700.02.01.00694107 / Действителен до 07.10.2025 / 1020089KZ89 / годен до 07.10.2025")</f>
        <v>Бандаж на коленный сустав разъемный 6058 XXL (Болгария) KZ.7700.02.01.00694107 / Действителен до 07.10.2025 / 1020089KZ89 / годен до 07.10.2025</v>
      </c>
    </row>
    <row r="715" spans="1:8" ht="12.75" x14ac:dyDescent="0.2">
      <c r="A715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715" s="1" t="str">
        <f ca="1">IFERROR(__xludf.DUMMYFUNCTION("""COMPUTED_VALUE"""),"KZ.7700.02.01.00694119")</f>
        <v>KZ.7700.02.01.00694119</v>
      </c>
      <c r="C715" s="1" t="str">
        <f ca="1">IFERROR(__xludf.DUMMYFUNCTION("""COMPUTED_VALUE"""),"Действителен до 07.10.2025")</f>
        <v>Действителен до 07.10.2025</v>
      </c>
      <c r="D715" s="8" t="str">
        <f ca="1">IFERROR(__xludf.DUMMYFUNCTION("""COMPUTED_VALUE"""),"1020089KZ89")</f>
        <v>1020089KZ89</v>
      </c>
      <c r="E715" s="1" t="str">
        <f ca="1">IFERROR(__xludf.DUMMYFUNCTION("""COMPUTED_VALUE"""),"годен до 07.10.2025")</f>
        <v>годен до 07.10.2025</v>
      </c>
      <c r="F715" s="1" t="str">
        <f ca="1">IFERROR(__xludf.DUMMYFUNCTION("""COMPUTED_VALUE"""),"Бандаж на голеностопный сустав легкой фиксации 7034 L (бежевый) (Болгария) - 1020089KZ89")</f>
        <v>Бандаж на голеностопный сустав легкой фиксации 7034 L (бежевый) (Болгария) - 1020089KZ89</v>
      </c>
      <c r="G715" s="1" t="str">
        <f ca="1">IFERROR(__xludf.DUMMYFUNCTION("""COMPUTED_VALUE"""),"KZ.7700.02.01.00694119 / Действителен до 07.10.2025 / 1020089KZ89 / годен до 07.10.2025")</f>
        <v>KZ.7700.02.01.00694119 / Действителен до 07.10.2025 / 1020089KZ89 / годен до 07.10.2025</v>
      </c>
      <c r="H715" s="1" t="str">
        <f ca="1">IFERROR(__xludf.DUMMYFUNCTION("""COMPUTED_VALUE"""),"Бандаж на голеностопный сустав легкой фиксации 7034 L (бежевый) (Болгария) KZ.7700.02.01.00694119 / Действителен до 07.10.2025 / 1020089KZ89 / годен до 07.10.2025")</f>
        <v>Бандаж на голеностопный сустав легкой фиксации 7034 L (бежевый) (Болгария) KZ.7700.02.01.00694119 / Действителен до 07.10.2025 / 1020089KZ89 / годен до 07.10.2025</v>
      </c>
    </row>
    <row r="716" spans="1:8" ht="12.75" x14ac:dyDescent="0.2">
      <c r="A716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716" s="1" t="str">
        <f ca="1">IFERROR(__xludf.DUMMYFUNCTION("""COMPUTED_VALUE"""),"KZ.7700.02.01.00694110")</f>
        <v>KZ.7700.02.01.00694110</v>
      </c>
      <c r="C716" s="1" t="str">
        <f ca="1">IFERROR(__xludf.DUMMYFUNCTION("""COMPUTED_VALUE"""),"Действителен до 07.10.2025")</f>
        <v>Действителен до 07.10.2025</v>
      </c>
      <c r="D716" s="8" t="str">
        <f ca="1">IFERROR(__xludf.DUMMYFUNCTION("""COMPUTED_VALUE"""),"1020089KZ89")</f>
        <v>1020089KZ89</v>
      </c>
      <c r="E716" s="1" t="str">
        <f ca="1">IFERROR(__xludf.DUMMYFUNCTION("""COMPUTED_VALUE"""),"годен до 07.10.2025")</f>
        <v>годен до 07.10.2025</v>
      </c>
      <c r="F716" s="1" t="str">
        <f ca="1">IFERROR(__xludf.DUMMYFUNCTION("""COMPUTED_VALUE"""),"Бандаж на голеностопный сустав легкой фиксации 7034 M (бежевый) (Болгария) - 1020089KZ89")</f>
        <v>Бандаж на голеностопный сустав легкой фиксации 7034 M (бежевый) (Болгария) - 1020089KZ89</v>
      </c>
      <c r="G716" s="1" t="str">
        <f ca="1">IFERROR(__xludf.DUMMYFUNCTION("""COMPUTED_VALUE"""),"KZ.7700.02.01.00694110 / Действителен до 07.10.2025 / 1020089KZ89 / годен до 07.10.2025")</f>
        <v>KZ.7700.02.01.00694110 / Действителен до 07.10.2025 / 1020089KZ89 / годен до 07.10.2025</v>
      </c>
      <c r="H716" s="1" t="str">
        <f ca="1">IFERROR(__xludf.DUMMYFUNCTION("""COMPUTED_VALUE"""),"Бандаж на голеностопный сустав легкой фиксации 7034 M (бежевый) (Болгария) KZ.7700.02.01.00694110 / Действителен до 07.10.2025 / 1020089KZ89 / годен до 07.10.2025")</f>
        <v>Бандаж на голеностопный сустав легкой фиксации 7034 M (бежевый) (Болгария) KZ.7700.02.01.00694110 / Действителен до 07.10.2025 / 1020089KZ89 / годен до 07.10.2025</v>
      </c>
    </row>
    <row r="717" spans="1:8" ht="12.75" x14ac:dyDescent="0.2">
      <c r="A717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717" s="1" t="str">
        <f ca="1">IFERROR(__xludf.DUMMYFUNCTION("""COMPUTED_VALUE"""),"KZ.7700.02.01.00694124")</f>
        <v>KZ.7700.02.01.00694124</v>
      </c>
      <c r="C717" s="1" t="str">
        <f ca="1">IFERROR(__xludf.DUMMYFUNCTION("""COMPUTED_VALUE"""),"Действителен до 07.10.2025")</f>
        <v>Действителен до 07.10.2025</v>
      </c>
      <c r="D717" s="8" t="str">
        <f ca="1">IFERROR(__xludf.DUMMYFUNCTION("""COMPUTED_VALUE"""),"1020089KZ89")</f>
        <v>1020089KZ89</v>
      </c>
      <c r="E717" s="1" t="str">
        <f ca="1">IFERROR(__xludf.DUMMYFUNCTION("""COMPUTED_VALUE"""),"годен до 07.10.2025")</f>
        <v>годен до 07.10.2025</v>
      </c>
      <c r="F717" s="1" t="str">
        <f ca="1">IFERROR(__xludf.DUMMYFUNCTION("""COMPUTED_VALUE"""),"Бандаж на голеностопный сустав легкой фиксации 7034 XL (бежевый) (Болгария) - 1020089KZ89")</f>
        <v>Бандаж на голеностопный сустав легкой фиксации 7034 XL (бежевый) (Болгария) - 1020089KZ89</v>
      </c>
      <c r="G717" s="1" t="str">
        <f ca="1">IFERROR(__xludf.DUMMYFUNCTION("""COMPUTED_VALUE"""),"KZ.7700.02.01.00694124 / Действителен до 07.10.2025 / 1020089KZ89 / годен до 07.10.2025")</f>
        <v>KZ.7700.02.01.00694124 / Действителен до 07.10.2025 / 1020089KZ89 / годен до 07.10.2025</v>
      </c>
      <c r="H717" s="1" t="str">
        <f ca="1">IFERROR(__xludf.DUMMYFUNCTION("""COMPUTED_VALUE"""),"Бандаж на голеностопный сустав легкой фиксации 7034 XL (бежевый) (Болгария) KZ.7700.02.01.00694124 / Действителен до 07.10.2025 / 1020089KZ89 / годен до 07.10.2025")</f>
        <v>Бандаж на голеностопный сустав легкой фиксации 7034 XL (бежевый) (Болгария) KZ.7700.02.01.00694124 / Действителен до 07.10.2025 / 1020089KZ89 / годен до 07.10.2025</v>
      </c>
    </row>
    <row r="718" spans="1:8" ht="12.75" x14ac:dyDescent="0.2">
      <c r="A718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718" s="1" t="str">
        <f ca="1">IFERROR(__xludf.DUMMYFUNCTION("""COMPUTED_VALUE"""),"KZ.7700.02.01.00694125")</f>
        <v>KZ.7700.02.01.00694125</v>
      </c>
      <c r="C718" s="1" t="str">
        <f ca="1">IFERROR(__xludf.DUMMYFUNCTION("""COMPUTED_VALUE"""),"Действителен до 07.10.2025")</f>
        <v>Действителен до 07.10.2025</v>
      </c>
      <c r="D718" s="8" t="str">
        <f ca="1">IFERROR(__xludf.DUMMYFUNCTION("""COMPUTED_VALUE"""),"1020089KZ89")</f>
        <v>1020089KZ89</v>
      </c>
      <c r="E718" s="1" t="str">
        <f ca="1">IFERROR(__xludf.DUMMYFUNCTION("""COMPUTED_VALUE"""),"годен до 07.10.2025")</f>
        <v>годен до 07.10.2025</v>
      </c>
      <c r="F718" s="1" t="str">
        <f ca="1">IFERROR(__xludf.DUMMYFUNCTION("""COMPUTED_VALUE"""),"Бандаж на голеностопный сустав эластичный 7035 L (Болгария) - 1020089KZ89")</f>
        <v>Бандаж на голеностопный сустав эластичный 7035 L (Болгария) - 1020089KZ89</v>
      </c>
      <c r="G718" s="1" t="str">
        <f ca="1">IFERROR(__xludf.DUMMYFUNCTION("""COMPUTED_VALUE"""),"KZ.7700.02.01.00694125 / Действителен до 07.10.2025 / 1020089KZ89 / годен до 07.10.2025")</f>
        <v>KZ.7700.02.01.00694125 / Действителен до 07.10.2025 / 1020089KZ89 / годен до 07.10.2025</v>
      </c>
      <c r="H718" s="1" t="str">
        <f ca="1">IFERROR(__xludf.DUMMYFUNCTION("""COMPUTED_VALUE"""),"Бандаж на голеностопный сустав эластичный 7035 L (Болгария) KZ.7700.02.01.00694125 / Действителен до 07.10.2025 / 1020089KZ89 / годен до 07.10.2025")</f>
        <v>Бандаж на голеностопный сустав эластичный 7035 L (Болгария) KZ.7700.02.01.00694125 / Действителен до 07.10.2025 / 1020089KZ89 / годен до 07.10.2025</v>
      </c>
    </row>
    <row r="719" spans="1:8" ht="12.75" x14ac:dyDescent="0.2">
      <c r="A719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719" s="1" t="str">
        <f ca="1">IFERROR(__xludf.DUMMYFUNCTION("""COMPUTED_VALUE"""),"KZ.7700.02.01.00694100")</f>
        <v>KZ.7700.02.01.00694100</v>
      </c>
      <c r="C719" s="1" t="str">
        <f ca="1">IFERROR(__xludf.DUMMYFUNCTION("""COMPUTED_VALUE"""),"Действителен до 07.10.2025")</f>
        <v>Действителен до 07.10.2025</v>
      </c>
      <c r="D719" s="8" t="str">
        <f ca="1">IFERROR(__xludf.DUMMYFUNCTION("""COMPUTED_VALUE"""),"1020089KZ89")</f>
        <v>1020089KZ89</v>
      </c>
      <c r="E719" s="1" t="str">
        <f ca="1">IFERROR(__xludf.DUMMYFUNCTION("""COMPUTED_VALUE"""),"годен до 07.10.2025")</f>
        <v>годен до 07.10.2025</v>
      </c>
      <c r="F719" s="1" t="str">
        <f ca="1">IFERROR(__xludf.DUMMYFUNCTION("""COMPUTED_VALUE"""),"Бандаж на голеностопный сустав эластичный 7035 M (Болгария) - 1020089KZ89")</f>
        <v>Бандаж на голеностопный сустав эластичный 7035 M (Болгария) - 1020089KZ89</v>
      </c>
      <c r="G719" s="1" t="str">
        <f ca="1">IFERROR(__xludf.DUMMYFUNCTION("""COMPUTED_VALUE"""),"KZ.7700.02.01.00694100 / Действителен до 07.10.2025 / 1020089KZ89 / годен до 07.10.2025")</f>
        <v>KZ.7700.02.01.00694100 / Действителен до 07.10.2025 / 1020089KZ89 / годен до 07.10.2025</v>
      </c>
      <c r="H719" s="1" t="str">
        <f ca="1">IFERROR(__xludf.DUMMYFUNCTION("""COMPUTED_VALUE"""),"Бандаж на голеностопный сустав эластичный 7035 M (Болгария) KZ.7700.02.01.00694100 / Действителен до 07.10.2025 / 1020089KZ89 / годен до 07.10.2025")</f>
        <v>Бандаж на голеностопный сустав эластичный 7035 M (Болгария) KZ.7700.02.01.00694100 / Действителен до 07.10.2025 / 1020089KZ89 / годен до 07.10.2025</v>
      </c>
    </row>
    <row r="720" spans="1:8" ht="12.75" x14ac:dyDescent="0.2">
      <c r="A720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720" s="1" t="str">
        <f ca="1">IFERROR(__xludf.DUMMYFUNCTION("""COMPUTED_VALUE"""),"KZ.7700.02.01.00694117")</f>
        <v>KZ.7700.02.01.00694117</v>
      </c>
      <c r="C720" s="1" t="str">
        <f ca="1">IFERROR(__xludf.DUMMYFUNCTION("""COMPUTED_VALUE"""),"Действителен до 07.10.2025")</f>
        <v>Действителен до 07.10.2025</v>
      </c>
      <c r="D720" s="8" t="str">
        <f ca="1">IFERROR(__xludf.DUMMYFUNCTION("""COMPUTED_VALUE"""),"1020089KZ89")</f>
        <v>1020089KZ89</v>
      </c>
      <c r="E720" s="1" t="str">
        <f ca="1">IFERROR(__xludf.DUMMYFUNCTION("""COMPUTED_VALUE"""),"годен до 07.10.2025")</f>
        <v>годен до 07.10.2025</v>
      </c>
      <c r="F720" s="1" t="str">
        <f ca="1">IFERROR(__xludf.DUMMYFUNCTION("""COMPUTED_VALUE"""),"Бандаж на голеностопный сустав эластичный 7035 S (Болгария) - 1020089KZ89")</f>
        <v>Бандаж на голеностопный сустав эластичный 7035 S (Болгария) - 1020089KZ89</v>
      </c>
      <c r="G720" s="1" t="str">
        <f ca="1">IFERROR(__xludf.DUMMYFUNCTION("""COMPUTED_VALUE"""),"KZ.7700.02.01.00694117 / Действителен до 07.10.2025 / 1020089KZ89 / годен до 07.10.2025")</f>
        <v>KZ.7700.02.01.00694117 / Действителен до 07.10.2025 / 1020089KZ89 / годен до 07.10.2025</v>
      </c>
      <c r="H720" s="1" t="str">
        <f ca="1">IFERROR(__xludf.DUMMYFUNCTION("""COMPUTED_VALUE"""),"Бандаж на голеностопный сустав эластичный 7035 S (Болгария) KZ.7700.02.01.00694117 / Действителен до 07.10.2025 / 1020089KZ89 / годен до 07.10.2025")</f>
        <v>Бандаж на голеностопный сустав эластичный 7035 S (Болгария) KZ.7700.02.01.00694117 / Действителен до 07.10.2025 / 1020089KZ89 / годен до 07.10.2025</v>
      </c>
    </row>
    <row r="721" spans="1:8" ht="12.75" x14ac:dyDescent="0.2">
      <c r="A721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721" s="1" t="str">
        <f ca="1">IFERROR(__xludf.DUMMYFUNCTION("""COMPUTED_VALUE"""),"KZ.7700.02.01.00694120")</f>
        <v>KZ.7700.02.01.00694120</v>
      </c>
      <c r="C721" s="1" t="str">
        <f ca="1">IFERROR(__xludf.DUMMYFUNCTION("""COMPUTED_VALUE"""),"Действителен до 07.10.2025")</f>
        <v>Действителен до 07.10.2025</v>
      </c>
      <c r="D721" s="8" t="str">
        <f ca="1">IFERROR(__xludf.DUMMYFUNCTION("""COMPUTED_VALUE"""),"1020089KZ89")</f>
        <v>1020089KZ89</v>
      </c>
      <c r="E721" s="1" t="str">
        <f ca="1">IFERROR(__xludf.DUMMYFUNCTION("""COMPUTED_VALUE"""),"годен до 07.10.2025")</f>
        <v>годен до 07.10.2025</v>
      </c>
      <c r="F721" s="1" t="str">
        <f ca="1">IFERROR(__xludf.DUMMYFUNCTION("""COMPUTED_VALUE"""),"Бандаж на голеностопный сустав эластичный 7035 XL (Болгария) - 1020089KZ89")</f>
        <v>Бандаж на голеностопный сустав эластичный 7035 XL (Болгария) - 1020089KZ89</v>
      </c>
      <c r="G721" s="1" t="str">
        <f ca="1">IFERROR(__xludf.DUMMYFUNCTION("""COMPUTED_VALUE"""),"KZ.7700.02.01.00694120 / Действителен до 07.10.2025 / 1020089KZ89 / годен до 07.10.2025")</f>
        <v>KZ.7700.02.01.00694120 / Действителен до 07.10.2025 / 1020089KZ89 / годен до 07.10.2025</v>
      </c>
      <c r="H721" s="1" t="str">
        <f ca="1">IFERROR(__xludf.DUMMYFUNCTION("""COMPUTED_VALUE"""),"Бандаж на голеностопный сустав эластичный 7035 XL (Болгария) KZ.7700.02.01.00694120 / Действителен до 07.10.2025 / 1020089KZ89 / годен до 07.10.2025")</f>
        <v>Бандаж на голеностопный сустав эластичный 7035 XL (Болгария) KZ.7700.02.01.00694120 / Действителен до 07.10.2025 / 1020089KZ89 / годен до 07.10.2025</v>
      </c>
    </row>
    <row r="722" spans="1:8" ht="12.75" x14ac:dyDescent="0.2">
      <c r="A722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722" s="1" t="str">
        <f ca="1">IFERROR(__xludf.DUMMYFUNCTION("""COMPUTED_VALUE"""),"KZ.7700.02.01.00694104")</f>
        <v>KZ.7700.02.01.00694104</v>
      </c>
      <c r="C722" s="1" t="str">
        <f ca="1">IFERROR(__xludf.DUMMYFUNCTION("""COMPUTED_VALUE"""),"Действителен до 07.10.2025")</f>
        <v>Действителен до 07.10.2025</v>
      </c>
      <c r="D722" s="8" t="str">
        <f ca="1">IFERROR(__xludf.DUMMYFUNCTION("""COMPUTED_VALUE"""),"1020089KZ89")</f>
        <v>1020089KZ89</v>
      </c>
      <c r="E722" s="1" t="str">
        <f ca="1">IFERROR(__xludf.DUMMYFUNCTION("""COMPUTED_VALUE"""),"годен до 07.10.2025")</f>
        <v>годен до 07.10.2025</v>
      </c>
      <c r="F722" s="1" t="str">
        <f ca="1">IFERROR(__xludf.DUMMYFUNCTION("""COMPUTED_VALUE"""),"Бандаж на локтевой сустав эластичный 8317 M (Болгария) - 1020089KZ89")</f>
        <v>Бандаж на локтевой сустав эластичный 8317 M (Болгария) - 1020089KZ89</v>
      </c>
      <c r="G722" s="1" t="str">
        <f ca="1">IFERROR(__xludf.DUMMYFUNCTION("""COMPUTED_VALUE"""),"KZ.7700.02.01.00694104 / Действителен до 07.10.2025 / 1020089KZ89 / годен до 07.10.2025")</f>
        <v>KZ.7700.02.01.00694104 / Действителен до 07.10.2025 / 1020089KZ89 / годен до 07.10.2025</v>
      </c>
      <c r="H722" s="1" t="str">
        <f ca="1">IFERROR(__xludf.DUMMYFUNCTION("""COMPUTED_VALUE"""),"Бандаж на локтевой сустав эластичный 8317 M (Болгария) KZ.7700.02.01.00694104 / Действителен до 07.10.2025 / 1020089KZ89 / годен до 07.10.2025")</f>
        <v>Бандаж на локтевой сустав эластичный 8317 M (Болгария) KZ.7700.02.01.00694104 / Действителен до 07.10.2025 / 1020089KZ89 / годен до 07.10.2025</v>
      </c>
    </row>
    <row r="723" spans="1:8" ht="12.75" x14ac:dyDescent="0.2">
      <c r="A723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723" s="1" t="str">
        <f ca="1">IFERROR(__xludf.DUMMYFUNCTION("""COMPUTED_VALUE"""),"KZ.7700.02.01.00694097")</f>
        <v>KZ.7700.02.01.00694097</v>
      </c>
      <c r="C723" s="1" t="str">
        <f ca="1">IFERROR(__xludf.DUMMYFUNCTION("""COMPUTED_VALUE"""),"Действителен до 07.10.2025")</f>
        <v>Действителен до 07.10.2025</v>
      </c>
      <c r="D723" s="8" t="str">
        <f ca="1">IFERROR(__xludf.DUMMYFUNCTION("""COMPUTED_VALUE"""),"1020089KZ89")</f>
        <v>1020089KZ89</v>
      </c>
      <c r="E723" s="1" t="str">
        <f ca="1">IFERROR(__xludf.DUMMYFUNCTION("""COMPUTED_VALUE"""),"годен до 07.10.2025")</f>
        <v>годен до 07.10.2025</v>
      </c>
      <c r="F723" s="1" t="str">
        <f ca="1">IFERROR(__xludf.DUMMYFUNCTION("""COMPUTED_VALUE"""),"Бандаж на лучезапястный сустав эластичный 8503 S (Болгария) - 1020089KZ89")</f>
        <v>Бандаж на лучезапястный сустав эластичный 8503 S (Болгария) - 1020089KZ89</v>
      </c>
      <c r="G723" s="1" t="str">
        <f ca="1">IFERROR(__xludf.DUMMYFUNCTION("""COMPUTED_VALUE"""),"KZ.7700.02.01.00694097 / Действителен до 07.10.2025 / 1020089KZ89 / годен до 07.10.2025")</f>
        <v>KZ.7700.02.01.00694097 / Действителен до 07.10.2025 / 1020089KZ89 / годен до 07.10.2025</v>
      </c>
      <c r="H723" s="1" t="str">
        <f ca="1">IFERROR(__xludf.DUMMYFUNCTION("""COMPUTED_VALUE"""),"Бандаж на лучезапястный сустав эластичный 8503 S (Болгария) KZ.7700.02.01.00694097 / Действителен до 07.10.2025 / 1020089KZ89 / годен до 07.10.2025")</f>
        <v>Бандаж на лучезапястный сустав эластичный 8503 S (Болгария) KZ.7700.02.01.00694097 / Действителен до 07.10.2025 / 1020089KZ89 / годен до 07.10.2025</v>
      </c>
    </row>
    <row r="724" spans="1:8" ht="12.75" x14ac:dyDescent="0.2">
      <c r="A724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724" s="1" t="str">
        <f ca="1">IFERROR(__xludf.DUMMYFUNCTION("""COMPUTED_VALUE"""),"KZ.7700.02.01.00694112")</f>
        <v>KZ.7700.02.01.00694112</v>
      </c>
      <c r="C724" s="1" t="str">
        <f ca="1">IFERROR(__xludf.DUMMYFUNCTION("""COMPUTED_VALUE"""),"Действителен до 07.10.2025")</f>
        <v>Действителен до 07.10.2025</v>
      </c>
      <c r="D724" s="8" t="str">
        <f ca="1">IFERROR(__xludf.DUMMYFUNCTION("""COMPUTED_VALUE"""),"1020089KZ89")</f>
        <v>1020089KZ89</v>
      </c>
      <c r="E724" s="1" t="str">
        <f ca="1">IFERROR(__xludf.DUMMYFUNCTION("""COMPUTED_VALUE"""),"годен до 07.10.2025")</f>
        <v>годен до 07.10.2025</v>
      </c>
      <c r="F724" s="1" t="str">
        <f ca="1">IFERROR(__xludf.DUMMYFUNCTION("""COMPUTED_VALUE"""),"Бандаж на лучезапястный сустав с фиксацией пальца 8552 L\XL (Болгария) - 1020089KZ89")</f>
        <v>Бандаж на лучезапястный сустав с фиксацией пальца 8552 L\XL (Болгария) - 1020089KZ89</v>
      </c>
      <c r="G724" s="1" t="str">
        <f ca="1">IFERROR(__xludf.DUMMYFUNCTION("""COMPUTED_VALUE"""),"KZ.7700.02.01.00694112 / Действителен до 07.10.2025 / 1020089KZ89 / годен до 07.10.2025")</f>
        <v>KZ.7700.02.01.00694112 / Действителен до 07.10.2025 / 1020089KZ89 / годен до 07.10.2025</v>
      </c>
      <c r="H724" s="1" t="str">
        <f ca="1">IFERROR(__xludf.DUMMYFUNCTION("""COMPUTED_VALUE"""),"Бандаж на лучезапястный сустав с фиксацией пальца 8552 L\XL (Болгария) KZ.7700.02.01.00694112 / Действителен до 07.10.2025 / 1020089KZ89 / годен до 07.10.2025")</f>
        <v>Бандаж на лучезапястный сустав с фиксацией пальца 8552 L\XL (Болгария) KZ.7700.02.01.00694112 / Действителен до 07.10.2025 / 1020089KZ89 / годен до 07.10.2025</v>
      </c>
    </row>
    <row r="725" spans="1:8" ht="12.75" x14ac:dyDescent="0.2">
      <c r="A725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725" s="1" t="str">
        <f ca="1">IFERROR(__xludf.DUMMYFUNCTION("""COMPUTED_VALUE"""),"KZ.7700.02.01.00694131")</f>
        <v>KZ.7700.02.01.00694131</v>
      </c>
      <c r="C725" s="1" t="str">
        <f ca="1">IFERROR(__xludf.DUMMYFUNCTION("""COMPUTED_VALUE"""),"Действителен до 07.10.2025")</f>
        <v>Действителен до 07.10.2025</v>
      </c>
      <c r="D725" s="8" t="str">
        <f ca="1">IFERROR(__xludf.DUMMYFUNCTION("""COMPUTED_VALUE"""),"1020089KZ89")</f>
        <v>1020089KZ89</v>
      </c>
      <c r="E725" s="1" t="str">
        <f ca="1">IFERROR(__xludf.DUMMYFUNCTION("""COMPUTED_VALUE"""),"годен до 07.10.2025")</f>
        <v>годен до 07.10.2025</v>
      </c>
      <c r="F725" s="1" t="str">
        <f ca="1">IFERROR(__xludf.DUMMYFUNCTION("""COMPUTED_VALUE"""),"Бандаж на лучезапястный сустав с фиксацией пальца 8552 S\M (Болгария) - 1020089KZ89")</f>
        <v>Бандаж на лучезапястный сустав с фиксацией пальца 8552 S\M (Болгария) - 1020089KZ89</v>
      </c>
      <c r="G725" s="1" t="str">
        <f ca="1">IFERROR(__xludf.DUMMYFUNCTION("""COMPUTED_VALUE"""),"KZ.7700.02.01.00694131 / Действителен до 07.10.2025 / 1020089KZ89 / годен до 07.10.2025")</f>
        <v>KZ.7700.02.01.00694131 / Действителен до 07.10.2025 / 1020089KZ89 / годен до 07.10.2025</v>
      </c>
      <c r="H725" s="1" t="str">
        <f ca="1">IFERROR(__xludf.DUMMYFUNCTION("""COMPUTED_VALUE"""),"Бандаж на лучезапястный сустав с фиксацией пальца 8552 S\M (Болгария) KZ.7700.02.01.00694131 / Действителен до 07.10.2025 / 1020089KZ89 / годен до 07.10.2025")</f>
        <v>Бандаж на лучезапястный сустав с фиксацией пальца 8552 S\M (Болгария) KZ.7700.02.01.00694131 / Действителен до 07.10.2025 / 1020089KZ89 / годен до 07.10.2025</v>
      </c>
    </row>
    <row r="726" spans="1:8" ht="12.75" x14ac:dyDescent="0.2">
      <c r="A726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726" s="1" t="str">
        <f ca="1">IFERROR(__xludf.DUMMYFUNCTION("""COMPUTED_VALUE"""),"KZ.7700.02.01.00694102")</f>
        <v>KZ.7700.02.01.00694102</v>
      </c>
      <c r="C726" s="1" t="str">
        <f ca="1">IFERROR(__xludf.DUMMYFUNCTION("""COMPUTED_VALUE"""),"Действителен до 07.10.2025")</f>
        <v>Действителен до 07.10.2025</v>
      </c>
      <c r="D726" s="8" t="str">
        <f ca="1">IFERROR(__xludf.DUMMYFUNCTION("""COMPUTED_VALUE"""),"1020089KZ89")</f>
        <v>1020089KZ89</v>
      </c>
      <c r="E726" s="1" t="str">
        <f ca="1">IFERROR(__xludf.DUMMYFUNCTION("""COMPUTED_VALUE"""),"годен до 07.10.2025")</f>
        <v>годен до 07.10.2025</v>
      </c>
      <c r="F726" s="1" t="str">
        <f ca="1">IFERROR(__xludf.DUMMYFUNCTION("""COMPUTED_VALUE"""),"Бандаж для руки поддерживающий облегченный (косынка) 9912 L (черный) (Болгария) - 1020089KZ89")</f>
        <v>Бандаж для руки поддерживающий облегченный (косынка) 9912 L (черный) (Болгария) - 1020089KZ89</v>
      </c>
      <c r="G726" s="1" t="str">
        <f ca="1">IFERROR(__xludf.DUMMYFUNCTION("""COMPUTED_VALUE"""),"KZ.7700.02.01.00694102 / Действителен до 07.10.2025 / 1020089KZ89 / годен до 07.10.2025")</f>
        <v>KZ.7700.02.01.00694102 / Действителен до 07.10.2025 / 1020089KZ89 / годен до 07.10.2025</v>
      </c>
      <c r="H726" s="1" t="str">
        <f ca="1">IFERROR(__xludf.DUMMYFUNCTION("""COMPUTED_VALUE"""),"Бандаж для руки поддерживающий облегченный (косынка) 9912 L (черный) (Болгария) KZ.7700.02.01.00694102 / Действителен до 07.10.2025 / 1020089KZ89 / годен до 07.10.2025")</f>
        <v>Бандаж для руки поддерживающий облегченный (косынка) 9912 L (черный) (Болгария) KZ.7700.02.01.00694102 / Действителен до 07.10.2025 / 1020089KZ89 / годен до 07.10.2025</v>
      </c>
    </row>
    <row r="727" spans="1:8" ht="12.75" x14ac:dyDescent="0.2">
      <c r="A727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727" s="1" t="str">
        <f ca="1">IFERROR(__xludf.DUMMYFUNCTION("""COMPUTED_VALUE"""),"KZ.7700.02.01.00694093")</f>
        <v>KZ.7700.02.01.00694093</v>
      </c>
      <c r="C727" s="1" t="str">
        <f ca="1">IFERROR(__xludf.DUMMYFUNCTION("""COMPUTED_VALUE"""),"Действителен до 07.10.2025")</f>
        <v>Действителен до 07.10.2025</v>
      </c>
      <c r="D727" s="8" t="str">
        <f ca="1">IFERROR(__xludf.DUMMYFUNCTION("""COMPUTED_VALUE"""),"1020089KZ89")</f>
        <v>1020089KZ89</v>
      </c>
      <c r="E727" s="1" t="str">
        <f ca="1">IFERROR(__xludf.DUMMYFUNCTION("""COMPUTED_VALUE"""),"годен до 07.10.2025")</f>
        <v>годен до 07.10.2025</v>
      </c>
      <c r="F727" s="1" t="str">
        <f ca="1">IFERROR(__xludf.DUMMYFUNCTION("""COMPUTED_VALUE"""),"Бандаж для руки поддерживающий облегченный (косынка) 9912 M (черный) (Болгария) - 1020089KZ89")</f>
        <v>Бандаж для руки поддерживающий облегченный (косынка) 9912 M (черный) (Болгария) - 1020089KZ89</v>
      </c>
      <c r="G727" s="1" t="str">
        <f ca="1">IFERROR(__xludf.DUMMYFUNCTION("""COMPUTED_VALUE"""),"KZ.7700.02.01.00694093 / Действителен до 07.10.2025 / 1020089KZ89 / годен до 07.10.2025")</f>
        <v>KZ.7700.02.01.00694093 / Действителен до 07.10.2025 / 1020089KZ89 / годен до 07.10.2025</v>
      </c>
      <c r="H727" s="1" t="str">
        <f ca="1">IFERROR(__xludf.DUMMYFUNCTION("""COMPUTED_VALUE"""),"Бандаж для руки поддерживающий облегченный (косынка) 9912 M (черный) (Болгария) KZ.7700.02.01.00694093 / Действителен до 07.10.2025 / 1020089KZ89 / годен до 07.10.2025")</f>
        <v>Бандаж для руки поддерживающий облегченный (косынка) 9912 M (черный) (Болгария) KZ.7700.02.01.00694093 / Действителен до 07.10.2025 / 1020089KZ89 / годен до 07.10.2025</v>
      </c>
    </row>
    <row r="728" spans="1:8" ht="12.75" x14ac:dyDescent="0.2">
      <c r="A728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728" s="1" t="str">
        <f ca="1">IFERROR(__xludf.DUMMYFUNCTION("""COMPUTED_VALUE"""),"KZ.7700.02.01.00661142")</f>
        <v>KZ.7700.02.01.00661142</v>
      </c>
      <c r="C728" s="1" t="str">
        <f ca="1">IFERROR(__xludf.DUMMYFUNCTION("""COMPUTED_VALUE"""),"Действителен до 15.05.2025")</f>
        <v>Действителен до 15.05.2025</v>
      </c>
      <c r="D728" s="8" t="str">
        <f ca="1">IFERROR(__xludf.DUMMYFUNCTION("""COMPUTED_VALUE"""),"0520008KZ08")</f>
        <v>0520008KZ08</v>
      </c>
      <c r="E728" s="1" t="str">
        <f ca="1">IFERROR(__xludf.DUMMYFUNCTION("""COMPUTED_VALUE"""),"годен до 15.05.2025")</f>
        <v>годен до 15.05.2025</v>
      </c>
      <c r="F728" s="1" t="str">
        <f ca="1">IFERROR(__xludf.DUMMYFUNCTION("""COMPUTED_VALUE"""),"Бандаж на шейный отдел позвоночника мягкой фиксацией 1001 I(S) (Болгария) - 0520008KZ08")</f>
        <v>Бандаж на шейный отдел позвоночника мягкой фиксацией 1001 I(S) (Болгария) - 0520008KZ08</v>
      </c>
      <c r="G728" s="1" t="str">
        <f ca="1">IFERROR(__xludf.DUMMYFUNCTION("""COMPUTED_VALUE"""),"KZ.7700.02.01.00661142 / Действителен до 15.05.2025 / 0520008KZ08 / годен до 15.05.2025")</f>
        <v>KZ.7700.02.01.00661142 / Действителен до 15.05.2025 / 0520008KZ08 / годен до 15.05.2025</v>
      </c>
      <c r="H728" s="1" t="str">
        <f ca="1">IFERROR(__xludf.DUMMYFUNCTION("""COMPUTED_VALUE"""),"Бандаж на шейный отдел позвоночника мягкой фиксацией 1001 I(S) (Болгария) KZ.7700.02.01.00661142 / Действителен до 15.05.2025 / 0520008KZ08 / годен до 15.05.2025")</f>
        <v>Бандаж на шейный отдел позвоночника мягкой фиксацией 1001 I(S) (Болгария) KZ.7700.02.01.00661142 / Действителен до 15.05.2025 / 0520008KZ08 / годен до 15.05.2025</v>
      </c>
    </row>
    <row r="729" spans="1:8" ht="12.75" x14ac:dyDescent="0.2">
      <c r="A729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729" s="1" t="str">
        <f ca="1">IFERROR(__xludf.DUMMYFUNCTION("""COMPUTED_VALUE"""),"KZ.7700.02.01.00661143")</f>
        <v>KZ.7700.02.01.00661143</v>
      </c>
      <c r="C729" s="1" t="str">
        <f ca="1">IFERROR(__xludf.DUMMYFUNCTION("""COMPUTED_VALUE"""),"Действителен до 15.05.2025")</f>
        <v>Действителен до 15.05.2025</v>
      </c>
      <c r="D729" s="8" t="str">
        <f ca="1">IFERROR(__xludf.DUMMYFUNCTION("""COMPUTED_VALUE"""),"0520008KZ08")</f>
        <v>0520008KZ08</v>
      </c>
      <c r="E729" s="1" t="str">
        <f ca="1">IFERROR(__xludf.DUMMYFUNCTION("""COMPUTED_VALUE"""),"годен до 15.05.2025")</f>
        <v>годен до 15.05.2025</v>
      </c>
      <c r="F729" s="1" t="str">
        <f ca="1">IFERROR(__xludf.DUMMYFUNCTION("""COMPUTED_VALUE"""),"Бандаж на шейный отдел позвоночника мягкой фиксацией 1001 II(M) (Болгария) - 0520008KZ08")</f>
        <v>Бандаж на шейный отдел позвоночника мягкой фиксацией 1001 II(M) (Болгария) - 0520008KZ08</v>
      </c>
      <c r="G729" s="1" t="str">
        <f ca="1">IFERROR(__xludf.DUMMYFUNCTION("""COMPUTED_VALUE"""),"KZ.7700.02.01.00661143 / Действителен до 15.05.2025 / 0520008KZ08 / годен до 15.05.2025")</f>
        <v>KZ.7700.02.01.00661143 / Действителен до 15.05.2025 / 0520008KZ08 / годен до 15.05.2025</v>
      </c>
      <c r="H729" s="1" t="str">
        <f ca="1">IFERROR(__xludf.DUMMYFUNCTION("""COMPUTED_VALUE"""),"Бандаж на шейный отдел позвоночника мягкой фиксацией 1001 II(M) (Болгария) KZ.7700.02.01.00661143 / Действителен до 15.05.2025 / 0520008KZ08 / годен до 15.05.2025")</f>
        <v>Бандаж на шейный отдел позвоночника мягкой фиксацией 1001 II(M) (Болгария) KZ.7700.02.01.00661143 / Действителен до 15.05.2025 / 0520008KZ08 / годен до 15.05.2025</v>
      </c>
    </row>
    <row r="730" spans="1:8" ht="12.75" x14ac:dyDescent="0.2">
      <c r="A730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730" s="1" t="str">
        <f ca="1">IFERROR(__xludf.DUMMYFUNCTION("""COMPUTED_VALUE"""),"KZ.7700.02.01.00661144")</f>
        <v>KZ.7700.02.01.00661144</v>
      </c>
      <c r="C730" s="1" t="str">
        <f ca="1">IFERROR(__xludf.DUMMYFUNCTION("""COMPUTED_VALUE"""),"Действителен до 15.05.2025")</f>
        <v>Действителен до 15.05.2025</v>
      </c>
      <c r="D730" s="8" t="str">
        <f ca="1">IFERROR(__xludf.DUMMYFUNCTION("""COMPUTED_VALUE"""),"0520008KZ08")</f>
        <v>0520008KZ08</v>
      </c>
      <c r="E730" s="1" t="str">
        <f ca="1">IFERROR(__xludf.DUMMYFUNCTION("""COMPUTED_VALUE"""),"годен до 15.05.2025")</f>
        <v>годен до 15.05.2025</v>
      </c>
      <c r="F730" s="1" t="str">
        <f ca="1">IFERROR(__xludf.DUMMYFUNCTION("""COMPUTED_VALUE"""),"Бандаж на шейный отдел позвоночника мягкой фиксацией 1001 III(L) (Болгария) - 0520008KZ08")</f>
        <v>Бандаж на шейный отдел позвоночника мягкой фиксацией 1001 III(L) (Болгария) - 0520008KZ08</v>
      </c>
      <c r="G730" s="1" t="str">
        <f ca="1">IFERROR(__xludf.DUMMYFUNCTION("""COMPUTED_VALUE"""),"KZ.7700.02.01.00661144 / Действителен до 15.05.2025 / 0520008KZ08 / годен до 15.05.2025")</f>
        <v>KZ.7700.02.01.00661144 / Действителен до 15.05.2025 / 0520008KZ08 / годен до 15.05.2025</v>
      </c>
      <c r="H730" s="1" t="str">
        <f ca="1">IFERROR(__xludf.DUMMYFUNCTION("""COMPUTED_VALUE"""),"Бандаж на шейный отдел позвоночника мягкой фиксацией 1001 III(L) (Болгария) KZ.7700.02.01.00661144 / Действителен до 15.05.2025 / 0520008KZ08 / годен до 15.05.2025")</f>
        <v>Бандаж на шейный отдел позвоночника мягкой фиксацией 1001 III(L) (Болгария) KZ.7700.02.01.00661144 / Действителен до 15.05.2025 / 0520008KZ08 / годен до 15.05.2025</v>
      </c>
    </row>
    <row r="731" spans="1:8" ht="12.75" x14ac:dyDescent="0.2">
      <c r="A731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731" s="1" t="str">
        <f ca="1">IFERROR(__xludf.DUMMYFUNCTION("""COMPUTED_VALUE"""),"KZ.7700.02.01.00661151")</f>
        <v>KZ.7700.02.01.00661151</v>
      </c>
      <c r="C731" s="1" t="str">
        <f ca="1">IFERROR(__xludf.DUMMYFUNCTION("""COMPUTED_VALUE"""),"Действителен до 15.05.2025")</f>
        <v>Действителен до 15.05.2025</v>
      </c>
      <c r="D731" s="8" t="str">
        <f ca="1">IFERROR(__xludf.DUMMYFUNCTION("""COMPUTED_VALUE"""),"0520008KZ08")</f>
        <v>0520008KZ08</v>
      </c>
      <c r="E731" s="1" t="str">
        <f ca="1">IFERROR(__xludf.DUMMYFUNCTION("""COMPUTED_VALUE"""),"годен до 15.05.2025")</f>
        <v>годен до 15.05.2025</v>
      </c>
      <c r="F731" s="1" t="str">
        <f ca="1">IFERROR(__xludf.DUMMYFUNCTION("""COMPUTED_VALUE"""),"Бандаж на шейный отдел позвоночника мягкой фиксацией с жесткой вставкой 1005 I(S) - 0520008KZ08")</f>
        <v>Бандаж на шейный отдел позвоночника мягкой фиксацией с жесткой вставкой 1005 I(S) - 0520008KZ08</v>
      </c>
      <c r="G731" s="1" t="str">
        <f ca="1">IFERROR(__xludf.DUMMYFUNCTION("""COMPUTED_VALUE"""),"KZ.7700.02.01.00661151 / Действителен до 15.05.2025 / 0520008KZ08 / годен до 15.05.2025")</f>
        <v>KZ.7700.02.01.00661151 / Действителен до 15.05.2025 / 0520008KZ08 / годен до 15.05.2025</v>
      </c>
      <c r="H731" s="1" t="str">
        <f ca="1">IFERROR(__xludf.DUMMYFUNCTION("""COMPUTED_VALUE"""),"Бандаж на шейный отдел позвоночника мягкой фиксацией с жесткой вставкой 1005 I(S) KZ.7700.02.01.00661151 / Действителен до 15.05.2025 / 0520008KZ08 / годен до 15.05.2025")</f>
        <v>Бандаж на шейный отдел позвоночника мягкой фиксацией с жесткой вставкой 1005 I(S) KZ.7700.02.01.00661151 / Действителен до 15.05.2025 / 0520008KZ08 / годен до 15.05.2025</v>
      </c>
    </row>
    <row r="732" spans="1:8" ht="12.75" x14ac:dyDescent="0.2">
      <c r="A732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732" s="1" t="str">
        <f ca="1">IFERROR(__xludf.DUMMYFUNCTION("""COMPUTED_VALUE"""),"KZ.7700.02.01.00661152")</f>
        <v>KZ.7700.02.01.00661152</v>
      </c>
      <c r="C732" s="1" t="str">
        <f ca="1">IFERROR(__xludf.DUMMYFUNCTION("""COMPUTED_VALUE"""),"Действителен до 15.05.2025")</f>
        <v>Действителен до 15.05.2025</v>
      </c>
      <c r="D732" s="8" t="str">
        <f ca="1">IFERROR(__xludf.DUMMYFUNCTION("""COMPUTED_VALUE"""),"0520008KZ08")</f>
        <v>0520008KZ08</v>
      </c>
      <c r="E732" s="1" t="str">
        <f ca="1">IFERROR(__xludf.DUMMYFUNCTION("""COMPUTED_VALUE"""),"годен до 15.05.2025")</f>
        <v>годен до 15.05.2025</v>
      </c>
      <c r="F732" s="1" t="str">
        <f ca="1">IFERROR(__xludf.DUMMYFUNCTION("""COMPUTED_VALUE"""),"Бандаж на шейный отдел позвоночника мягкой фиксацией с жесткой вставкой 1005 II(M) - 0520008KZ08")</f>
        <v>Бандаж на шейный отдел позвоночника мягкой фиксацией с жесткой вставкой 1005 II(M) - 0520008KZ08</v>
      </c>
      <c r="G732" s="1" t="str">
        <f ca="1">IFERROR(__xludf.DUMMYFUNCTION("""COMPUTED_VALUE"""),"KZ.7700.02.01.00661152 / Действителен до 15.05.2025 / 0520008KZ08 / годен до 15.05.2025")</f>
        <v>KZ.7700.02.01.00661152 / Действителен до 15.05.2025 / 0520008KZ08 / годен до 15.05.2025</v>
      </c>
      <c r="H732" s="1" t="str">
        <f ca="1">IFERROR(__xludf.DUMMYFUNCTION("""COMPUTED_VALUE"""),"Бандаж на шейный отдел позвоночника мягкой фиксацией с жесткой вставкой 1005 II(M) KZ.7700.02.01.00661152 / Действителен до 15.05.2025 / 0520008KZ08 / годен до 15.05.2025")</f>
        <v>Бандаж на шейный отдел позвоночника мягкой фиксацией с жесткой вставкой 1005 II(M) KZ.7700.02.01.00661152 / Действителен до 15.05.2025 / 0520008KZ08 / годен до 15.05.2025</v>
      </c>
    </row>
    <row r="733" spans="1:8" ht="12.75" x14ac:dyDescent="0.2">
      <c r="A733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733" s="1" t="str">
        <f ca="1">IFERROR(__xludf.DUMMYFUNCTION("""COMPUTED_VALUE"""),"KZ.7700.02.01.00661153")</f>
        <v>KZ.7700.02.01.00661153</v>
      </c>
      <c r="C733" s="1" t="str">
        <f ca="1">IFERROR(__xludf.DUMMYFUNCTION("""COMPUTED_VALUE"""),"Действителен до 15.05.2025")</f>
        <v>Действителен до 15.05.2025</v>
      </c>
      <c r="D733" s="8" t="str">
        <f ca="1">IFERROR(__xludf.DUMMYFUNCTION("""COMPUTED_VALUE"""),"0520008KZ08")</f>
        <v>0520008KZ08</v>
      </c>
      <c r="E733" s="1" t="str">
        <f ca="1">IFERROR(__xludf.DUMMYFUNCTION("""COMPUTED_VALUE"""),"годен до 15.05.2025")</f>
        <v>годен до 15.05.2025</v>
      </c>
      <c r="F733" s="1" t="str">
        <f ca="1">IFERROR(__xludf.DUMMYFUNCTION("""COMPUTED_VALUE"""),"Бандаж на шейный отдел позвоночника мягкой фиксацией с жесткой вставкой 1005 III(L) - 0520008KZ08")</f>
        <v>Бандаж на шейный отдел позвоночника мягкой фиксацией с жесткой вставкой 1005 III(L) - 0520008KZ08</v>
      </c>
      <c r="G733" s="1" t="str">
        <f ca="1">IFERROR(__xludf.DUMMYFUNCTION("""COMPUTED_VALUE"""),"KZ.7700.02.01.00661153 / Действителен до 15.05.2025 / 0520008KZ08 / годен до 15.05.2025")</f>
        <v>KZ.7700.02.01.00661153 / Действителен до 15.05.2025 / 0520008KZ08 / годен до 15.05.2025</v>
      </c>
      <c r="H733" s="1" t="str">
        <f ca="1">IFERROR(__xludf.DUMMYFUNCTION("""COMPUTED_VALUE"""),"Бандаж на шейный отдел позвоночника мягкой фиксацией с жесткой вставкой 1005 III(L) KZ.7700.02.01.00661153 / Действителен до 15.05.2025 / 0520008KZ08 / годен до 15.05.2025")</f>
        <v>Бандаж на шейный отдел позвоночника мягкой фиксацией с жесткой вставкой 1005 III(L) KZ.7700.02.01.00661153 / Действителен до 15.05.2025 / 0520008KZ08 / годен до 15.05.2025</v>
      </c>
    </row>
    <row r="734" spans="1:8" ht="12.75" x14ac:dyDescent="0.2">
      <c r="A734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734" s="1" t="str">
        <f ca="1">IFERROR(__xludf.DUMMYFUNCTION("""COMPUTED_VALUE"""),"KZ.7700.02.01.00661156")</f>
        <v>KZ.7700.02.01.00661156</v>
      </c>
      <c r="C734" s="1" t="str">
        <f ca="1">IFERROR(__xludf.DUMMYFUNCTION("""COMPUTED_VALUE"""),"Действителен до 15.05.2025")</f>
        <v>Действителен до 15.05.2025</v>
      </c>
      <c r="D734" s="8" t="str">
        <f ca="1">IFERROR(__xludf.DUMMYFUNCTION("""COMPUTED_VALUE"""),"0520008KZ08")</f>
        <v>0520008KZ08</v>
      </c>
      <c r="E734" s="1" t="str">
        <f ca="1">IFERROR(__xludf.DUMMYFUNCTION("""COMPUTED_VALUE"""),"годен до 15.05.2025")</f>
        <v>годен до 15.05.2025</v>
      </c>
      <c r="F734" s="1" t="str">
        <f ca="1">IFERROR(__xludf.DUMMYFUNCTION("""COMPUTED_VALUE"""),"Реклинатор (корректор осанки) детский 2005 L (Болгария) - 0520008KZ08")</f>
        <v>Реклинатор (корректор осанки) детский 2005 L (Болгария) - 0520008KZ08</v>
      </c>
      <c r="G734" s="1" t="str">
        <f ca="1">IFERROR(__xludf.DUMMYFUNCTION("""COMPUTED_VALUE"""),"KZ.7700.02.01.00661156 / Действителен до 15.05.2025 / 0520008KZ08 / годен до 15.05.2025")</f>
        <v>KZ.7700.02.01.00661156 / Действителен до 15.05.2025 / 0520008KZ08 / годен до 15.05.2025</v>
      </c>
      <c r="H734" s="1" t="str">
        <f ca="1">IFERROR(__xludf.DUMMYFUNCTION("""COMPUTED_VALUE"""),"Реклинатор (корректор осанки) детский 2005 L (Болгария) KZ.7700.02.01.00661156 / Действителен до 15.05.2025 / 0520008KZ08 / годен до 15.05.2025")</f>
        <v>Реклинатор (корректор осанки) детский 2005 L (Болгария) KZ.7700.02.01.00661156 / Действителен до 15.05.2025 / 0520008KZ08 / годен до 15.05.2025</v>
      </c>
    </row>
    <row r="735" spans="1:8" ht="12.75" x14ac:dyDescent="0.2">
      <c r="A735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735" s="1" t="str">
        <f ca="1">IFERROR(__xludf.DUMMYFUNCTION("""COMPUTED_VALUE"""),"KZ.7700.02.01.00661155")</f>
        <v>KZ.7700.02.01.00661155</v>
      </c>
      <c r="C735" s="1" t="str">
        <f ca="1">IFERROR(__xludf.DUMMYFUNCTION("""COMPUTED_VALUE"""),"Действителен до 15.05.2025")</f>
        <v>Действителен до 15.05.2025</v>
      </c>
      <c r="D735" s="8" t="str">
        <f ca="1">IFERROR(__xludf.DUMMYFUNCTION("""COMPUTED_VALUE"""),"0520008KZ08")</f>
        <v>0520008KZ08</v>
      </c>
      <c r="E735" s="1" t="str">
        <f ca="1">IFERROR(__xludf.DUMMYFUNCTION("""COMPUTED_VALUE"""),"годен до 15.05.2025")</f>
        <v>годен до 15.05.2025</v>
      </c>
      <c r="F735" s="1" t="str">
        <f ca="1">IFERROR(__xludf.DUMMYFUNCTION("""COMPUTED_VALUE"""),"Реклинатор (корректор осанки) детский 2005 M (Болгария) - 0520008KZ08")</f>
        <v>Реклинатор (корректор осанки) детский 2005 M (Болгария) - 0520008KZ08</v>
      </c>
      <c r="G735" s="1" t="str">
        <f ca="1">IFERROR(__xludf.DUMMYFUNCTION("""COMPUTED_VALUE"""),"KZ.7700.02.01.00661155 / Действителен до 15.05.2025 / 0520008KZ08 / годен до 15.05.2025")</f>
        <v>KZ.7700.02.01.00661155 / Действителен до 15.05.2025 / 0520008KZ08 / годен до 15.05.2025</v>
      </c>
      <c r="H735" s="1" t="str">
        <f ca="1">IFERROR(__xludf.DUMMYFUNCTION("""COMPUTED_VALUE"""),"Реклинатор (корректор осанки) детский 2005 M (Болгария) KZ.7700.02.01.00661155 / Действителен до 15.05.2025 / 0520008KZ08 / годен до 15.05.2025")</f>
        <v>Реклинатор (корректор осанки) детский 2005 M (Болгария) KZ.7700.02.01.00661155 / Действителен до 15.05.2025 / 0520008KZ08 / годен до 15.05.2025</v>
      </c>
    </row>
    <row r="736" spans="1:8" ht="12.75" x14ac:dyDescent="0.2">
      <c r="A736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736" s="1" t="str">
        <f ca="1">IFERROR(__xludf.DUMMYFUNCTION("""COMPUTED_VALUE"""),"KZ.7700.02.01.00661154")</f>
        <v>KZ.7700.02.01.00661154</v>
      </c>
      <c r="C736" s="1" t="str">
        <f ca="1">IFERROR(__xludf.DUMMYFUNCTION("""COMPUTED_VALUE"""),"Действителен до 15.05.2025")</f>
        <v>Действителен до 15.05.2025</v>
      </c>
      <c r="D736" s="8" t="str">
        <f ca="1">IFERROR(__xludf.DUMMYFUNCTION("""COMPUTED_VALUE"""),"0520008KZ08")</f>
        <v>0520008KZ08</v>
      </c>
      <c r="E736" s="1" t="str">
        <f ca="1">IFERROR(__xludf.DUMMYFUNCTION("""COMPUTED_VALUE"""),"годен до 15.05.2025")</f>
        <v>годен до 15.05.2025</v>
      </c>
      <c r="F736" s="1" t="str">
        <f ca="1">IFERROR(__xludf.DUMMYFUNCTION("""COMPUTED_VALUE"""),"Реклинатор (корректор осанки) детский 2005 S (Болгария) - 0520008KZ08")</f>
        <v>Реклинатор (корректор осанки) детский 2005 S (Болгария) - 0520008KZ08</v>
      </c>
      <c r="G736" s="1" t="str">
        <f ca="1">IFERROR(__xludf.DUMMYFUNCTION("""COMPUTED_VALUE"""),"KZ.7700.02.01.00661154 / Действителен до 15.05.2025 / 0520008KZ08 / годен до 15.05.2025")</f>
        <v>KZ.7700.02.01.00661154 / Действителен до 15.05.2025 / 0520008KZ08 / годен до 15.05.2025</v>
      </c>
      <c r="H736" s="1" t="str">
        <f ca="1">IFERROR(__xludf.DUMMYFUNCTION("""COMPUTED_VALUE"""),"Реклинатор (корректор осанки) детский 2005 S (Болгария) KZ.7700.02.01.00661154 / Действителен до 15.05.2025 / 0520008KZ08 / годен до 15.05.2025")</f>
        <v>Реклинатор (корректор осанки) детский 2005 S (Болгария) KZ.7700.02.01.00661154 / Действителен до 15.05.2025 / 0520008KZ08 / годен до 15.05.2025</v>
      </c>
    </row>
    <row r="737" spans="1:8" ht="12.75" x14ac:dyDescent="0.2">
      <c r="A737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737" s="1" t="str">
        <f ca="1">IFERROR(__xludf.DUMMYFUNCTION("""COMPUTED_VALUE"""),"KZ.7700.02.01.00661159")</f>
        <v>KZ.7700.02.01.00661159</v>
      </c>
      <c r="C737" s="1" t="str">
        <f ca="1">IFERROR(__xludf.DUMMYFUNCTION("""COMPUTED_VALUE"""),"Действителен до 15.05.2025")</f>
        <v>Действителен до 15.05.2025</v>
      </c>
      <c r="D737" s="8" t="str">
        <f ca="1">IFERROR(__xludf.DUMMYFUNCTION("""COMPUTED_VALUE"""),"0520008KZ08")</f>
        <v>0520008KZ08</v>
      </c>
      <c r="E737" s="1" t="str">
        <f ca="1">IFERROR(__xludf.DUMMYFUNCTION("""COMPUTED_VALUE"""),"годен до 15.05.2025")</f>
        <v>годен до 15.05.2025</v>
      </c>
      <c r="F737" s="1" t="str">
        <f ca="1">IFERROR(__xludf.DUMMYFUNCTION("""COMPUTED_VALUE"""),"Корректор осанки с ребрами жесткости эластичный 2011 L (Болгария) - 0520008KZ08")</f>
        <v>Корректор осанки с ребрами жесткости эластичный 2011 L (Болгария) - 0520008KZ08</v>
      </c>
      <c r="G737" s="1" t="str">
        <f ca="1">IFERROR(__xludf.DUMMYFUNCTION("""COMPUTED_VALUE"""),"KZ.7700.02.01.00661159 / Действителен до 15.05.2025 / 0520008KZ08 / годен до 15.05.2025")</f>
        <v>KZ.7700.02.01.00661159 / Действителен до 15.05.2025 / 0520008KZ08 / годен до 15.05.2025</v>
      </c>
      <c r="H737" s="1" t="str">
        <f ca="1">IFERROR(__xludf.DUMMYFUNCTION("""COMPUTED_VALUE"""),"Корректор осанки с ребрами жесткости эластичный 2011 L (Болгария) KZ.7700.02.01.00661159 / Действителен до 15.05.2025 / 0520008KZ08 / годен до 15.05.2025")</f>
        <v>Корректор осанки с ребрами жесткости эластичный 2011 L (Болгария) KZ.7700.02.01.00661159 / Действителен до 15.05.2025 / 0520008KZ08 / годен до 15.05.2025</v>
      </c>
    </row>
    <row r="738" spans="1:8" ht="12.75" x14ac:dyDescent="0.2">
      <c r="A738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738" s="1" t="str">
        <f ca="1">IFERROR(__xludf.DUMMYFUNCTION("""COMPUTED_VALUE"""),"KZ.7700.02.01.00661158")</f>
        <v>KZ.7700.02.01.00661158</v>
      </c>
      <c r="C738" s="1" t="str">
        <f ca="1">IFERROR(__xludf.DUMMYFUNCTION("""COMPUTED_VALUE"""),"Действителен до 15.05.2025")</f>
        <v>Действителен до 15.05.2025</v>
      </c>
      <c r="D738" s="8" t="str">
        <f ca="1">IFERROR(__xludf.DUMMYFUNCTION("""COMPUTED_VALUE"""),"0520008KZ08")</f>
        <v>0520008KZ08</v>
      </c>
      <c r="E738" s="1" t="str">
        <f ca="1">IFERROR(__xludf.DUMMYFUNCTION("""COMPUTED_VALUE"""),"годен до 15.05.2025")</f>
        <v>годен до 15.05.2025</v>
      </c>
      <c r="F738" s="1" t="str">
        <f ca="1">IFERROR(__xludf.DUMMYFUNCTION("""COMPUTED_VALUE"""),"Корректор осанки с ребрами жесткости эластичный 2011 M (Болгария) - 0520008KZ08")</f>
        <v>Корректор осанки с ребрами жесткости эластичный 2011 M (Болгария) - 0520008KZ08</v>
      </c>
      <c r="G738" s="1" t="str">
        <f ca="1">IFERROR(__xludf.DUMMYFUNCTION("""COMPUTED_VALUE"""),"KZ.7700.02.01.00661158 / Действителен до 15.05.2025 / 0520008KZ08 / годен до 15.05.2025")</f>
        <v>KZ.7700.02.01.00661158 / Действителен до 15.05.2025 / 0520008KZ08 / годен до 15.05.2025</v>
      </c>
      <c r="H738" s="1" t="str">
        <f ca="1">IFERROR(__xludf.DUMMYFUNCTION("""COMPUTED_VALUE"""),"Корректор осанки с ребрами жесткости эластичный 2011 M (Болгария) KZ.7700.02.01.00661158 / Действителен до 15.05.2025 / 0520008KZ08 / годен до 15.05.2025")</f>
        <v>Корректор осанки с ребрами жесткости эластичный 2011 M (Болгария) KZ.7700.02.01.00661158 / Действителен до 15.05.2025 / 0520008KZ08 / годен до 15.05.2025</v>
      </c>
    </row>
    <row r="739" spans="1:8" ht="12.75" x14ac:dyDescent="0.2">
      <c r="A739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739" s="1" t="str">
        <f ca="1">IFERROR(__xludf.DUMMYFUNCTION("""COMPUTED_VALUE"""),"KZ.7700.02.01.00661157")</f>
        <v>KZ.7700.02.01.00661157</v>
      </c>
      <c r="C739" s="1" t="str">
        <f ca="1">IFERROR(__xludf.DUMMYFUNCTION("""COMPUTED_VALUE"""),"Действителен до 15.05.2025")</f>
        <v>Действителен до 15.05.2025</v>
      </c>
      <c r="D739" s="8" t="str">
        <f ca="1">IFERROR(__xludf.DUMMYFUNCTION("""COMPUTED_VALUE"""),"0520008KZ08")</f>
        <v>0520008KZ08</v>
      </c>
      <c r="E739" s="1" t="str">
        <f ca="1">IFERROR(__xludf.DUMMYFUNCTION("""COMPUTED_VALUE"""),"годен до 15.05.2025")</f>
        <v>годен до 15.05.2025</v>
      </c>
      <c r="F739" s="1" t="str">
        <f ca="1">IFERROR(__xludf.DUMMYFUNCTION("""COMPUTED_VALUE"""),"Корректор осанки с ребрами жесткости эластичный 2011 S (Болгария) - 0520008KZ08")</f>
        <v>Корректор осанки с ребрами жесткости эластичный 2011 S (Болгария) - 0520008KZ08</v>
      </c>
      <c r="G739" s="1" t="str">
        <f ca="1">IFERROR(__xludf.DUMMYFUNCTION("""COMPUTED_VALUE"""),"KZ.7700.02.01.00661157 / Действителен до 15.05.2025 / 0520008KZ08 / годен до 15.05.2025")</f>
        <v>KZ.7700.02.01.00661157 / Действителен до 15.05.2025 / 0520008KZ08 / годен до 15.05.2025</v>
      </c>
      <c r="H739" s="1" t="str">
        <f ca="1">IFERROR(__xludf.DUMMYFUNCTION("""COMPUTED_VALUE"""),"Корректор осанки с ребрами жесткости эластичный 2011 S (Болгария) KZ.7700.02.01.00661157 / Действителен до 15.05.2025 / 0520008KZ08 / годен до 15.05.2025")</f>
        <v>Корректор осанки с ребрами жесткости эластичный 2011 S (Болгария) KZ.7700.02.01.00661157 / Действителен до 15.05.2025 / 0520008KZ08 / годен до 15.05.2025</v>
      </c>
    </row>
    <row r="740" spans="1:8" ht="12.75" x14ac:dyDescent="0.2">
      <c r="A740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740" s="1" t="str">
        <f ca="1">IFERROR(__xludf.DUMMYFUNCTION("""COMPUTED_VALUE"""),"KZ.7700.02.01.00661160")</f>
        <v>KZ.7700.02.01.00661160</v>
      </c>
      <c r="C740" s="1" t="str">
        <f ca="1">IFERROR(__xludf.DUMMYFUNCTION("""COMPUTED_VALUE"""),"Действителен до 15.05.2025")</f>
        <v>Действителен до 15.05.2025</v>
      </c>
      <c r="D740" s="8" t="str">
        <f ca="1">IFERROR(__xludf.DUMMYFUNCTION("""COMPUTED_VALUE"""),"0520008KZ08")</f>
        <v>0520008KZ08</v>
      </c>
      <c r="E740" s="1" t="str">
        <f ca="1">IFERROR(__xludf.DUMMYFUNCTION("""COMPUTED_VALUE"""),"годен до 15.05.2025")</f>
        <v>годен до 15.05.2025</v>
      </c>
      <c r="F740" s="1" t="str">
        <f ca="1">IFERROR(__xludf.DUMMYFUNCTION("""COMPUTED_VALUE"""),"Корректор осанки с ребрами жесткости эластичный 2011 XL (Болгария) - 0520008KZ08")</f>
        <v>Корректор осанки с ребрами жесткости эластичный 2011 XL (Болгария) - 0520008KZ08</v>
      </c>
      <c r="G740" s="1" t="str">
        <f ca="1">IFERROR(__xludf.DUMMYFUNCTION("""COMPUTED_VALUE"""),"KZ.7700.02.01.00661160 / Действителен до 15.05.2025 / 0520008KZ08 / годен до 15.05.2025")</f>
        <v>KZ.7700.02.01.00661160 / Действителен до 15.05.2025 / 0520008KZ08 / годен до 15.05.2025</v>
      </c>
      <c r="H740" s="1" t="str">
        <f ca="1">IFERROR(__xludf.DUMMYFUNCTION("""COMPUTED_VALUE"""),"Корректор осанки с ребрами жесткости эластичный 2011 XL (Болгария) KZ.7700.02.01.00661160 / Действителен до 15.05.2025 / 0520008KZ08 / годен до 15.05.2025")</f>
        <v>Корректор осанки с ребрами жесткости эластичный 2011 XL (Болгария) KZ.7700.02.01.00661160 / Действителен до 15.05.2025 / 0520008KZ08 / годен до 15.05.2025</v>
      </c>
    </row>
    <row r="741" spans="1:8" ht="12.75" x14ac:dyDescent="0.2">
      <c r="A741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741" s="1" t="str">
        <f ca="1">IFERROR(__xludf.DUMMYFUNCTION("""COMPUTED_VALUE"""),"KZ.7700.02.01.00661161")</f>
        <v>KZ.7700.02.01.00661161</v>
      </c>
      <c r="C741" s="1" t="str">
        <f ca="1">IFERROR(__xludf.DUMMYFUNCTION("""COMPUTED_VALUE"""),"Действителен до 15.05.2025")</f>
        <v>Действителен до 15.05.2025</v>
      </c>
      <c r="D741" s="8" t="str">
        <f ca="1">IFERROR(__xludf.DUMMYFUNCTION("""COMPUTED_VALUE"""),"0520008KZ08")</f>
        <v>0520008KZ08</v>
      </c>
      <c r="E741" s="1" t="str">
        <f ca="1">IFERROR(__xludf.DUMMYFUNCTION("""COMPUTED_VALUE"""),"годен до 15.05.2025")</f>
        <v>годен до 15.05.2025</v>
      </c>
      <c r="F741" s="1" t="str">
        <f ca="1">IFERROR(__xludf.DUMMYFUNCTION("""COMPUTED_VALUE"""),"Корректор осанки с ребрами жесткости эластичный 2011 XXL (Болгария) - 0520008KZ08")</f>
        <v>Корректор осанки с ребрами жесткости эластичный 2011 XXL (Болгария) - 0520008KZ08</v>
      </c>
      <c r="G741" s="1" t="str">
        <f ca="1">IFERROR(__xludf.DUMMYFUNCTION("""COMPUTED_VALUE"""),"KZ.7700.02.01.00661161 / Действителен до 15.05.2025 / 0520008KZ08 / годен до 15.05.2025")</f>
        <v>KZ.7700.02.01.00661161 / Действителен до 15.05.2025 / 0520008KZ08 / годен до 15.05.2025</v>
      </c>
      <c r="H741" s="1" t="str">
        <f ca="1">IFERROR(__xludf.DUMMYFUNCTION("""COMPUTED_VALUE"""),"Корректор осанки с ребрами жесткости эластичный 2011 XXL (Болгария) KZ.7700.02.01.00661161 / Действителен до 15.05.2025 / 0520008KZ08 / годен до 15.05.2025")</f>
        <v>Корректор осанки с ребрами жесткости эластичный 2011 XXL (Болгария) KZ.7700.02.01.00661161 / Действителен до 15.05.2025 / 0520008KZ08 / годен до 15.05.2025</v>
      </c>
    </row>
    <row r="742" spans="1:8" ht="12.75" x14ac:dyDescent="0.2">
      <c r="A742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742" s="1" t="str">
        <f ca="1">IFERROR(__xludf.DUMMYFUNCTION("""COMPUTED_VALUE"""),"KZ.7700.02.01.00661163")</f>
        <v>KZ.7700.02.01.00661163</v>
      </c>
      <c r="C742" s="1" t="str">
        <f ca="1">IFERROR(__xludf.DUMMYFUNCTION("""COMPUTED_VALUE"""),"Действителен до 15.05.2025")</f>
        <v>Действителен до 15.05.2025</v>
      </c>
      <c r="D742" s="8" t="str">
        <f ca="1">IFERROR(__xludf.DUMMYFUNCTION("""COMPUTED_VALUE"""),"0520008KZ08")</f>
        <v>0520008KZ08</v>
      </c>
      <c r="E742" s="1" t="str">
        <f ca="1">IFERROR(__xludf.DUMMYFUNCTION("""COMPUTED_VALUE"""),"годен до 15.05.2025")</f>
        <v>годен до 15.05.2025</v>
      </c>
      <c r="F742" s="1" t="str">
        <f ca="1">IFERROR(__xludf.DUMMYFUNCTION("""COMPUTED_VALUE"""),"Корректор лечебно-профилактический (с 4 ребрами жесткости) эластичный 3011 - L - 0520008KZ08")</f>
        <v>Корректор лечебно-профилактический (с 4 ребрами жесткости) эластичный 3011 - L - 0520008KZ08</v>
      </c>
      <c r="G742" s="1" t="str">
        <f ca="1">IFERROR(__xludf.DUMMYFUNCTION("""COMPUTED_VALUE"""),"KZ.7700.02.01.00661163 / Действителен до 15.05.2025 / 0520008KZ08 / годен до 15.05.2025")</f>
        <v>KZ.7700.02.01.00661163 / Действителен до 15.05.2025 / 0520008KZ08 / годен до 15.05.2025</v>
      </c>
      <c r="H742" s="1" t="str">
        <f ca="1">IFERROR(__xludf.DUMMYFUNCTION("""COMPUTED_VALUE"""),"Корректор лечебно-профилактический (с 4 ребрами жесткости) эластичный 3011 - L KZ.7700.02.01.00661163 / Действителен до 15.05.2025 / 0520008KZ08 / годен до 15.05.2025")</f>
        <v>Корректор лечебно-профилактический (с 4 ребрами жесткости) эластичный 3011 - L KZ.7700.02.01.00661163 / Действителен до 15.05.2025 / 0520008KZ08 / годен до 15.05.2025</v>
      </c>
    </row>
    <row r="743" spans="1:8" ht="12.75" x14ac:dyDescent="0.2">
      <c r="A743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743" s="1" t="str">
        <f ca="1">IFERROR(__xludf.DUMMYFUNCTION("""COMPUTED_VALUE"""),"KZ.7700.02.01.00661162")</f>
        <v>KZ.7700.02.01.00661162</v>
      </c>
      <c r="C743" s="1" t="str">
        <f ca="1">IFERROR(__xludf.DUMMYFUNCTION("""COMPUTED_VALUE"""),"Действителен до 15.05.2025")</f>
        <v>Действителен до 15.05.2025</v>
      </c>
      <c r="D743" s="8" t="str">
        <f ca="1">IFERROR(__xludf.DUMMYFUNCTION("""COMPUTED_VALUE"""),"0520008KZ08")</f>
        <v>0520008KZ08</v>
      </c>
      <c r="E743" s="1" t="str">
        <f ca="1">IFERROR(__xludf.DUMMYFUNCTION("""COMPUTED_VALUE"""),"годен до 15.05.2025")</f>
        <v>годен до 15.05.2025</v>
      </c>
      <c r="F743" s="1" t="str">
        <f ca="1">IFERROR(__xludf.DUMMYFUNCTION("""COMPUTED_VALUE"""),"Корректор лечебно-профилактический (с 4 ребрами жесткости) эластичный 3011 - М - 0520008KZ08")</f>
        <v>Корректор лечебно-профилактический (с 4 ребрами жесткости) эластичный 3011 - М - 0520008KZ08</v>
      </c>
      <c r="G743" s="1" t="str">
        <f ca="1">IFERROR(__xludf.DUMMYFUNCTION("""COMPUTED_VALUE"""),"KZ.7700.02.01.00661162 / Действителен до 15.05.2025 / 0520008KZ08 / годен до 15.05.2025")</f>
        <v>KZ.7700.02.01.00661162 / Действителен до 15.05.2025 / 0520008KZ08 / годен до 15.05.2025</v>
      </c>
      <c r="H743" s="1" t="str">
        <f ca="1">IFERROR(__xludf.DUMMYFUNCTION("""COMPUTED_VALUE"""),"Корректор лечебно-профилактический (с 4 ребрами жесткости) эластичный 3011 - М KZ.7700.02.01.00661162 / Действителен до 15.05.2025 / 0520008KZ08 / годен до 15.05.2025")</f>
        <v>Корректор лечебно-профилактический (с 4 ребрами жесткости) эластичный 3011 - М KZ.7700.02.01.00661162 / Действителен до 15.05.2025 / 0520008KZ08 / годен до 15.05.2025</v>
      </c>
    </row>
    <row r="744" spans="1:8" ht="12.75" x14ac:dyDescent="0.2">
      <c r="A744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744" s="1" t="str">
        <f ca="1">IFERROR(__xludf.DUMMYFUNCTION("""COMPUTED_VALUE"""),"KZ.7700.02.01.00661164")</f>
        <v>KZ.7700.02.01.00661164</v>
      </c>
      <c r="C744" s="1" t="str">
        <f ca="1">IFERROR(__xludf.DUMMYFUNCTION("""COMPUTED_VALUE"""),"Действителен до 15.05.2025")</f>
        <v>Действителен до 15.05.2025</v>
      </c>
      <c r="D744" s="8" t="str">
        <f ca="1">IFERROR(__xludf.DUMMYFUNCTION("""COMPUTED_VALUE"""),"0520008KZ08")</f>
        <v>0520008KZ08</v>
      </c>
      <c r="E744" s="1" t="str">
        <f ca="1">IFERROR(__xludf.DUMMYFUNCTION("""COMPUTED_VALUE"""),"годен до 15.05.2025")</f>
        <v>годен до 15.05.2025</v>
      </c>
      <c r="F744" s="1" t="str">
        <f ca="1">IFERROR(__xludf.DUMMYFUNCTION("""COMPUTED_VALUE"""),"Корректор лечебно-профилактический (с 4 ребрами жесткости) эластичный 3011- XL - 0520008KZ08")</f>
        <v>Корректор лечебно-профилактический (с 4 ребрами жесткости) эластичный 3011- XL - 0520008KZ08</v>
      </c>
      <c r="G744" s="1" t="str">
        <f ca="1">IFERROR(__xludf.DUMMYFUNCTION("""COMPUTED_VALUE"""),"KZ.7700.02.01.00661164 / Действителен до 15.05.2025 / 0520008KZ08 / годен до 15.05.2025")</f>
        <v>KZ.7700.02.01.00661164 / Действителен до 15.05.2025 / 0520008KZ08 / годен до 15.05.2025</v>
      </c>
      <c r="H744" s="1" t="str">
        <f ca="1">IFERROR(__xludf.DUMMYFUNCTION("""COMPUTED_VALUE"""),"Корректор лечебно-профилактический (с 4 ребрами жесткости) эластичный 3011- XL KZ.7700.02.01.00661164 / Действителен до 15.05.2025 / 0520008KZ08 / годен до 15.05.2025")</f>
        <v>Корректор лечебно-профилактический (с 4 ребрами жесткости) эластичный 3011- XL KZ.7700.02.01.00661164 / Действителен до 15.05.2025 / 0520008KZ08 / годен до 15.05.2025</v>
      </c>
    </row>
    <row r="745" spans="1:8" ht="12.75" x14ac:dyDescent="0.2">
      <c r="A745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745" s="1" t="str">
        <f ca="1">IFERROR(__xludf.DUMMYFUNCTION("""COMPUTED_VALUE"""),"KZ.7700.02.01.00661165")</f>
        <v>KZ.7700.02.01.00661165</v>
      </c>
      <c r="C745" s="1" t="str">
        <f ca="1">IFERROR(__xludf.DUMMYFUNCTION("""COMPUTED_VALUE"""),"Действителен до 15.05.2025")</f>
        <v>Действителен до 15.05.2025</v>
      </c>
      <c r="D745" s="8" t="str">
        <f ca="1">IFERROR(__xludf.DUMMYFUNCTION("""COMPUTED_VALUE"""),"0520008KZ08")</f>
        <v>0520008KZ08</v>
      </c>
      <c r="E745" s="1" t="str">
        <f ca="1">IFERROR(__xludf.DUMMYFUNCTION("""COMPUTED_VALUE"""),"годен до 15.05.2025")</f>
        <v>годен до 15.05.2025</v>
      </c>
      <c r="F745" s="1" t="str">
        <f ca="1">IFERROR(__xludf.DUMMYFUNCTION("""COMPUTED_VALUE"""),"Корректор лечебно-профилактический (с 4 ребрами жесткости) эластичный 3011- XXL - 0520008KZ08")</f>
        <v>Корректор лечебно-профилактический (с 4 ребрами жесткости) эластичный 3011- XXL - 0520008KZ08</v>
      </c>
      <c r="G745" s="1" t="str">
        <f ca="1">IFERROR(__xludf.DUMMYFUNCTION("""COMPUTED_VALUE"""),"KZ.7700.02.01.00661165 / Действителен до 15.05.2025 / 0520008KZ08 / годен до 15.05.2025")</f>
        <v>KZ.7700.02.01.00661165 / Действителен до 15.05.2025 / 0520008KZ08 / годен до 15.05.2025</v>
      </c>
      <c r="H745" s="1" t="str">
        <f ca="1">IFERROR(__xludf.DUMMYFUNCTION("""COMPUTED_VALUE"""),"Корректор лечебно-профилактический (с 4 ребрами жесткости) эластичный 3011- XXL KZ.7700.02.01.00661165 / Действителен до 15.05.2025 / 0520008KZ08 / годен до 15.05.2025")</f>
        <v>Корректор лечебно-профилактический (с 4 ребрами жесткости) эластичный 3011- XXL KZ.7700.02.01.00661165 / Действителен до 15.05.2025 / 0520008KZ08 / годен до 15.05.2025</v>
      </c>
    </row>
    <row r="746" spans="1:8" ht="12.75" x14ac:dyDescent="0.2">
      <c r="A746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746" s="1" t="str">
        <f ca="1">IFERROR(__xludf.DUMMYFUNCTION("""COMPUTED_VALUE"""),"KZ.7700.02.01.00661166")</f>
        <v>KZ.7700.02.01.00661166</v>
      </c>
      <c r="C746" s="1" t="str">
        <f ca="1">IFERROR(__xludf.DUMMYFUNCTION("""COMPUTED_VALUE"""),"Действителен до 15.05.2025")</f>
        <v>Действителен до 15.05.2025</v>
      </c>
      <c r="D746" s="8" t="str">
        <f ca="1">IFERROR(__xludf.DUMMYFUNCTION("""COMPUTED_VALUE"""),"0520008KZ08")</f>
        <v>0520008KZ08</v>
      </c>
      <c r="E746" s="1" t="str">
        <f ca="1">IFERROR(__xludf.DUMMYFUNCTION("""COMPUTED_VALUE"""),"годен до 15.05.2025")</f>
        <v>годен до 15.05.2025</v>
      </c>
      <c r="F746" s="1" t="str">
        <f ca="1">IFERROR(__xludf.DUMMYFUNCTION("""COMPUTED_VALUE"""),"Корректор лечебно-профилактический (с 4 ребрами жесткости) эластичный 3011- XXXL - 0520008KZ08")</f>
        <v>Корректор лечебно-профилактический (с 4 ребрами жесткости) эластичный 3011- XXXL - 0520008KZ08</v>
      </c>
      <c r="G746" s="1" t="str">
        <f ca="1">IFERROR(__xludf.DUMMYFUNCTION("""COMPUTED_VALUE"""),"KZ.7700.02.01.00661166 / Действителен до 15.05.2025 / 0520008KZ08 / годен до 15.05.2025")</f>
        <v>KZ.7700.02.01.00661166 / Действителен до 15.05.2025 / 0520008KZ08 / годен до 15.05.2025</v>
      </c>
      <c r="H746" s="1" t="str">
        <f ca="1">IFERROR(__xludf.DUMMYFUNCTION("""COMPUTED_VALUE"""),"Корректор лечебно-профилактический (с 4 ребрами жесткости) эластичный 3011- XXXL KZ.7700.02.01.00661166 / Действителен до 15.05.2025 / 0520008KZ08 / годен до 15.05.2025")</f>
        <v>Корректор лечебно-профилактический (с 4 ребрами жесткости) эластичный 3011- XXXL KZ.7700.02.01.00661166 / Действителен до 15.05.2025 / 0520008KZ08 / годен до 15.05.2025</v>
      </c>
    </row>
    <row r="747" spans="1:8" ht="12.75" x14ac:dyDescent="0.2">
      <c r="A747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747" s="1" t="str">
        <f ca="1">IFERROR(__xludf.DUMMYFUNCTION("""COMPUTED_VALUE"""),"KZ.7700.02.01.00661167")</f>
        <v>KZ.7700.02.01.00661167</v>
      </c>
      <c r="C747" s="1" t="str">
        <f ca="1">IFERROR(__xludf.DUMMYFUNCTION("""COMPUTED_VALUE"""),"Действителен до 15.05.2025")</f>
        <v>Действителен до 15.05.2025</v>
      </c>
      <c r="D747" s="8" t="str">
        <f ca="1">IFERROR(__xludf.DUMMYFUNCTION("""COMPUTED_VALUE"""),"0520008KZ08")</f>
        <v>0520008KZ08</v>
      </c>
      <c r="E747" s="1" t="str">
        <f ca="1">IFERROR(__xludf.DUMMYFUNCTION("""COMPUTED_VALUE"""),"годен до 15.05.2025")</f>
        <v>годен до 15.05.2025</v>
      </c>
      <c r="F747" s="1" t="str">
        <f ca="1">IFERROR(__xludf.DUMMYFUNCTION("""COMPUTED_VALUE"""),"Корректор лечебно-профилактический (с 4 ребрами жесткости) эластичный 3011 XXXXL - 0520008KZ08")</f>
        <v>Корректор лечебно-профилактический (с 4 ребрами жесткости) эластичный 3011 XXXXL - 0520008KZ08</v>
      </c>
      <c r="G747" s="1" t="str">
        <f ca="1">IFERROR(__xludf.DUMMYFUNCTION("""COMPUTED_VALUE"""),"KZ.7700.02.01.00661167 / Действителен до 15.05.2025 / 0520008KZ08 / годен до 15.05.2025")</f>
        <v>KZ.7700.02.01.00661167 / Действителен до 15.05.2025 / 0520008KZ08 / годен до 15.05.2025</v>
      </c>
      <c r="H747" s="1" t="str">
        <f ca="1">IFERROR(__xludf.DUMMYFUNCTION("""COMPUTED_VALUE"""),"Корректор лечебно-профилактический (с 4 ребрами жесткости) эластичный 3011 XXXXL KZ.7700.02.01.00661167 / Действителен до 15.05.2025 / 0520008KZ08 / годен до 15.05.2025")</f>
        <v>Корректор лечебно-профилактический (с 4 ребрами жесткости) эластичный 3011 XXXXL KZ.7700.02.01.00661167 / Действителен до 15.05.2025 / 0520008KZ08 / годен до 15.05.2025</v>
      </c>
    </row>
    <row r="748" spans="1:8" ht="12.75" x14ac:dyDescent="0.2">
      <c r="A748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748" s="1" t="str">
        <f ca="1">IFERROR(__xludf.DUMMYFUNCTION("""COMPUTED_VALUE"""),"KZ.7700.02.01.00661168")</f>
        <v>KZ.7700.02.01.00661168</v>
      </c>
      <c r="C748" s="1" t="str">
        <f ca="1">IFERROR(__xludf.DUMMYFUNCTION("""COMPUTED_VALUE"""),"Действителен до 15.05.2025")</f>
        <v>Действителен до 15.05.2025</v>
      </c>
      <c r="D748" s="8" t="str">
        <f ca="1">IFERROR(__xludf.DUMMYFUNCTION("""COMPUTED_VALUE"""),"0520008KZ08")</f>
        <v>0520008KZ08</v>
      </c>
      <c r="E748" s="1" t="str">
        <f ca="1">IFERROR(__xludf.DUMMYFUNCTION("""COMPUTED_VALUE"""),"годен до 15.05.2025")</f>
        <v>годен до 15.05.2025</v>
      </c>
      <c r="F748" s="1" t="str">
        <f ca="1">IFERROR(__xludf.DUMMYFUNCTION("""COMPUTED_VALUE"""),"Корсет ортопедический с ребрами жесткости согревающий 3041 XL/XXL (Болгария) - 0520008KZ08")</f>
        <v>Корсет ортопедический с ребрами жесткости согревающий 3041 XL/XXL (Болгария) - 0520008KZ08</v>
      </c>
      <c r="G748" s="1" t="str">
        <f ca="1">IFERROR(__xludf.DUMMYFUNCTION("""COMPUTED_VALUE"""),"KZ.7700.02.01.00661168 / Действителен до 15.05.2025 / 0520008KZ08 / годен до 15.05.2025")</f>
        <v>KZ.7700.02.01.00661168 / Действителен до 15.05.2025 / 0520008KZ08 / годен до 15.05.2025</v>
      </c>
      <c r="H748" s="1" t="str">
        <f ca="1">IFERROR(__xludf.DUMMYFUNCTION("""COMPUTED_VALUE"""),"Корсет ортопедический с ребрами жесткости согревающий 3041 XL/XXL (Болгария) KZ.7700.02.01.00661168 / Действителен до 15.05.2025 / 0520008KZ08 / годен до 15.05.2025")</f>
        <v>Корсет ортопедический с ребрами жесткости согревающий 3041 XL/XXL (Болгария) KZ.7700.02.01.00661168 / Действителен до 15.05.2025 / 0520008KZ08 / годен до 15.05.2025</v>
      </c>
    </row>
    <row r="749" spans="1:8" ht="12.75" x14ac:dyDescent="0.2">
      <c r="A749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749" s="1" t="str">
        <f ca="1">IFERROR(__xludf.DUMMYFUNCTION("""COMPUTED_VALUE"""),"KZ.7700.02.01.00661169")</f>
        <v>KZ.7700.02.01.00661169</v>
      </c>
      <c r="C749" s="1" t="str">
        <f ca="1">IFERROR(__xludf.DUMMYFUNCTION("""COMPUTED_VALUE"""),"Действителен до 15.05.2025")</f>
        <v>Действителен до 15.05.2025</v>
      </c>
      <c r="D749" s="8" t="str">
        <f ca="1">IFERROR(__xludf.DUMMYFUNCTION("""COMPUTED_VALUE"""),"0520008KZ08")</f>
        <v>0520008KZ08</v>
      </c>
      <c r="E749" s="1" t="str">
        <f ca="1">IFERROR(__xludf.DUMMYFUNCTION("""COMPUTED_VALUE"""),"годен до 15.05.2025")</f>
        <v>годен до 15.05.2025</v>
      </c>
      <c r="F749" s="1" t="str">
        <f ca="1">IFERROR(__xludf.DUMMYFUNCTION("""COMPUTED_VALUE"""),"Корсет ортопедический с ребрами жесткости согревающий 3041 XXXL/XXXXL (Болгария) - 0520008KZ08")</f>
        <v>Корсет ортопедический с ребрами жесткости согревающий 3041 XXXL/XXXXL (Болгария) - 0520008KZ08</v>
      </c>
      <c r="G749" s="1" t="str">
        <f ca="1">IFERROR(__xludf.DUMMYFUNCTION("""COMPUTED_VALUE"""),"KZ.7700.02.01.00661169 / Действителен до 15.05.2025 / 0520008KZ08 / годен до 15.05.2025")</f>
        <v>KZ.7700.02.01.00661169 / Действителен до 15.05.2025 / 0520008KZ08 / годен до 15.05.2025</v>
      </c>
      <c r="H749" s="1" t="str">
        <f ca="1">IFERROR(__xludf.DUMMYFUNCTION("""COMPUTED_VALUE"""),"Корсет ортопедический с ребрами жесткости согревающий 3041 XXXL/XXXXL (Болгария) KZ.7700.02.01.00661169 / Действителен до 15.05.2025 / 0520008KZ08 / годен до 15.05.2025")</f>
        <v>Корсет ортопедический с ребрами жесткости согревающий 3041 XXXL/XXXXL (Болгария) KZ.7700.02.01.00661169 / Действителен до 15.05.2025 / 0520008KZ08 / годен до 15.05.2025</v>
      </c>
    </row>
    <row r="750" spans="1:8" ht="12.75" x14ac:dyDescent="0.2">
      <c r="A750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750" s="1" t="str">
        <f ca="1">IFERROR(__xludf.DUMMYFUNCTION("""COMPUTED_VALUE"""),"KZ.7700.02.01.00661170")</f>
        <v>KZ.7700.02.01.00661170</v>
      </c>
      <c r="C750" s="1" t="str">
        <f ca="1">IFERROR(__xludf.DUMMYFUNCTION("""COMPUTED_VALUE"""),"Действителен до 15.05.2025")</f>
        <v>Действителен до 15.05.2025</v>
      </c>
      <c r="D750" s="8" t="str">
        <f ca="1">IFERROR(__xludf.DUMMYFUNCTION("""COMPUTED_VALUE"""),"0520008KZ08")</f>
        <v>0520008KZ08</v>
      </c>
      <c r="E750" s="1" t="str">
        <f ca="1">IFERROR(__xludf.DUMMYFUNCTION("""COMPUTED_VALUE"""),"годен до 15.05.2025")</f>
        <v>годен до 15.05.2025</v>
      </c>
      <c r="F750" s="1" t="str">
        <f ca="1">IFERROR(__xludf.DUMMYFUNCTION("""COMPUTED_VALUE"""),"Бандаж лечебно–профилактический (с тремя ребрами жесткости) 4001 L (Болгария) - 0520008KZ08")</f>
        <v>Бандаж лечебно–профилактический (с тремя ребрами жесткости) 4001 L (Болгария) - 0520008KZ08</v>
      </c>
      <c r="G750" s="1" t="str">
        <f ca="1">IFERROR(__xludf.DUMMYFUNCTION("""COMPUTED_VALUE"""),"KZ.7700.02.01.00661170 / Действителен до 15.05.2025 / 0520008KZ08 / годен до 15.05.2025")</f>
        <v>KZ.7700.02.01.00661170 / Действителен до 15.05.2025 / 0520008KZ08 / годен до 15.05.2025</v>
      </c>
      <c r="H750" s="1" t="str">
        <f ca="1">IFERROR(__xludf.DUMMYFUNCTION("""COMPUTED_VALUE"""),"Бандаж лечебно–профилактический (с тремя ребрами жесткости) 4001 L (Болгария) KZ.7700.02.01.00661170 / Действителен до 15.05.2025 / 0520008KZ08 / годен до 15.05.2025")</f>
        <v>Бандаж лечебно–профилактический (с тремя ребрами жесткости) 4001 L (Болгария) KZ.7700.02.01.00661170 / Действителен до 15.05.2025 / 0520008KZ08 / годен до 15.05.2025</v>
      </c>
    </row>
    <row r="751" spans="1:8" ht="12.75" x14ac:dyDescent="0.2">
      <c r="A751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751" s="1" t="str">
        <f ca="1">IFERROR(__xludf.DUMMYFUNCTION("""COMPUTED_VALUE"""),"KZ.7700.02.01.00661171")</f>
        <v>KZ.7700.02.01.00661171</v>
      </c>
      <c r="C751" s="1" t="str">
        <f ca="1">IFERROR(__xludf.DUMMYFUNCTION("""COMPUTED_VALUE"""),"Действителен до 15.05.2025")</f>
        <v>Действителен до 15.05.2025</v>
      </c>
      <c r="D751" s="8" t="str">
        <f ca="1">IFERROR(__xludf.DUMMYFUNCTION("""COMPUTED_VALUE"""),"0520008KZ08")</f>
        <v>0520008KZ08</v>
      </c>
      <c r="E751" s="1" t="str">
        <f ca="1">IFERROR(__xludf.DUMMYFUNCTION("""COMPUTED_VALUE"""),"годен до 15.05.2025")</f>
        <v>годен до 15.05.2025</v>
      </c>
      <c r="F751" s="1" t="str">
        <f ca="1">IFERROR(__xludf.DUMMYFUNCTION("""COMPUTED_VALUE"""),"Бандаж лечебно–профилактический (с тремя ребрами жесткости) 4001 XL (Болгария) - 0520008KZ08")</f>
        <v>Бандаж лечебно–профилактический (с тремя ребрами жесткости) 4001 XL (Болгария) - 0520008KZ08</v>
      </c>
      <c r="G751" s="1" t="str">
        <f ca="1">IFERROR(__xludf.DUMMYFUNCTION("""COMPUTED_VALUE"""),"KZ.7700.02.01.00661171 / Действителен до 15.05.2025 / 0520008KZ08 / годен до 15.05.2025")</f>
        <v>KZ.7700.02.01.00661171 / Действителен до 15.05.2025 / 0520008KZ08 / годен до 15.05.2025</v>
      </c>
      <c r="H751" s="1" t="str">
        <f ca="1">IFERROR(__xludf.DUMMYFUNCTION("""COMPUTED_VALUE"""),"Бандаж лечебно–профилактический (с тремя ребрами жесткости) 4001 XL (Болгария) KZ.7700.02.01.00661171 / Действителен до 15.05.2025 / 0520008KZ08 / годен до 15.05.2025")</f>
        <v>Бандаж лечебно–профилактический (с тремя ребрами жесткости) 4001 XL (Болгария) KZ.7700.02.01.00661171 / Действителен до 15.05.2025 / 0520008KZ08 / годен до 15.05.2025</v>
      </c>
    </row>
    <row r="752" spans="1:8" ht="12.75" x14ac:dyDescent="0.2">
      <c r="A752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752" s="1" t="str">
        <f ca="1">IFERROR(__xludf.DUMMYFUNCTION("""COMPUTED_VALUE"""),"KZ.7700.02.01.00661172")</f>
        <v>KZ.7700.02.01.00661172</v>
      </c>
      <c r="C752" s="1" t="str">
        <f ca="1">IFERROR(__xludf.DUMMYFUNCTION("""COMPUTED_VALUE"""),"Действителен до 15.05.2025")</f>
        <v>Действителен до 15.05.2025</v>
      </c>
      <c r="D752" s="8" t="str">
        <f ca="1">IFERROR(__xludf.DUMMYFUNCTION("""COMPUTED_VALUE"""),"0520008KZ08")</f>
        <v>0520008KZ08</v>
      </c>
      <c r="E752" s="1" t="str">
        <f ca="1">IFERROR(__xludf.DUMMYFUNCTION("""COMPUTED_VALUE"""),"годен до 15.05.2025")</f>
        <v>годен до 15.05.2025</v>
      </c>
      <c r="F752" s="1" t="str">
        <f ca="1">IFERROR(__xludf.DUMMYFUNCTION("""COMPUTED_VALUE"""),"Бандаж лечебно–профилактический (с тремя ребрами жесткости) 4001 XXL (Болгария) - 0520008KZ08")</f>
        <v>Бандаж лечебно–профилактический (с тремя ребрами жесткости) 4001 XXL (Болгария) - 0520008KZ08</v>
      </c>
      <c r="G752" s="1" t="str">
        <f ca="1">IFERROR(__xludf.DUMMYFUNCTION("""COMPUTED_VALUE"""),"KZ.7700.02.01.00661172 / Действителен до 15.05.2025 / 0520008KZ08 / годен до 15.05.2025")</f>
        <v>KZ.7700.02.01.00661172 / Действителен до 15.05.2025 / 0520008KZ08 / годен до 15.05.2025</v>
      </c>
      <c r="H752" s="1" t="str">
        <f ca="1">IFERROR(__xludf.DUMMYFUNCTION("""COMPUTED_VALUE"""),"Бандаж лечебно–профилактический (с тремя ребрами жесткости) 4001 XXL (Болгария) KZ.7700.02.01.00661172 / Действителен до 15.05.2025 / 0520008KZ08 / годен до 15.05.2025")</f>
        <v>Бандаж лечебно–профилактический (с тремя ребрами жесткости) 4001 XXL (Болгария) KZ.7700.02.01.00661172 / Действителен до 15.05.2025 / 0520008KZ08 / годен до 15.05.2025</v>
      </c>
    </row>
    <row r="753" spans="1:8" ht="12.75" x14ac:dyDescent="0.2">
      <c r="A753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753" s="1" t="str">
        <f ca="1">IFERROR(__xludf.DUMMYFUNCTION("""COMPUTED_VALUE"""),"KZ.7700.02.01.00661173")</f>
        <v>KZ.7700.02.01.00661173</v>
      </c>
      <c r="C753" s="1" t="str">
        <f ca="1">IFERROR(__xludf.DUMMYFUNCTION("""COMPUTED_VALUE"""),"Действителен до 15.05.2025")</f>
        <v>Действителен до 15.05.2025</v>
      </c>
      <c r="D753" s="8" t="str">
        <f ca="1">IFERROR(__xludf.DUMMYFUNCTION("""COMPUTED_VALUE"""),"0520008KZ08")</f>
        <v>0520008KZ08</v>
      </c>
      <c r="E753" s="1" t="str">
        <f ca="1">IFERROR(__xludf.DUMMYFUNCTION("""COMPUTED_VALUE"""),"годен до 15.05.2025")</f>
        <v>годен до 15.05.2025</v>
      </c>
      <c r="F753" s="1" t="str">
        <f ca="1">IFERROR(__xludf.DUMMYFUNCTION("""COMPUTED_VALUE"""),"Бандаж лечебно–профилактический (с тремя ребрами жесткости) 4001 XXXL(Болгария) - 0520008KZ08")</f>
        <v>Бандаж лечебно–профилактический (с тремя ребрами жесткости) 4001 XXXL(Болгария) - 0520008KZ08</v>
      </c>
      <c r="G753" s="1" t="str">
        <f ca="1">IFERROR(__xludf.DUMMYFUNCTION("""COMPUTED_VALUE"""),"KZ.7700.02.01.00661173 / Действителен до 15.05.2025 / 0520008KZ08 / годен до 15.05.2025")</f>
        <v>KZ.7700.02.01.00661173 / Действителен до 15.05.2025 / 0520008KZ08 / годен до 15.05.2025</v>
      </c>
      <c r="H753" s="1" t="str">
        <f ca="1">IFERROR(__xludf.DUMMYFUNCTION("""COMPUTED_VALUE"""),"Бандаж лечебно–профилактический (с тремя ребрами жесткости) 4001 XXXL(Болгария) KZ.7700.02.01.00661173 / Действителен до 15.05.2025 / 0520008KZ08 / годен до 15.05.2025")</f>
        <v>Бандаж лечебно–профилактический (с тремя ребрами жесткости) 4001 XXXL(Болгария) KZ.7700.02.01.00661173 / Действителен до 15.05.2025 / 0520008KZ08 / годен до 15.05.2025</v>
      </c>
    </row>
    <row r="754" spans="1:8" ht="12.75" x14ac:dyDescent="0.2">
      <c r="A754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754" s="1" t="str">
        <f ca="1">IFERROR(__xludf.DUMMYFUNCTION("""COMPUTED_VALUE"""),"KZ.7700.02.01.00661174")</f>
        <v>KZ.7700.02.01.00661174</v>
      </c>
      <c r="C754" s="1" t="str">
        <f ca="1">IFERROR(__xludf.DUMMYFUNCTION("""COMPUTED_VALUE"""),"Действителен до 15.05.2025")</f>
        <v>Действителен до 15.05.2025</v>
      </c>
      <c r="D754" s="8" t="str">
        <f ca="1">IFERROR(__xludf.DUMMYFUNCTION("""COMPUTED_VALUE"""),"0520008KZ08")</f>
        <v>0520008KZ08</v>
      </c>
      <c r="E754" s="1" t="str">
        <f ca="1">IFERROR(__xludf.DUMMYFUNCTION("""COMPUTED_VALUE"""),"годен до 15.05.2025")</f>
        <v>годен до 15.05.2025</v>
      </c>
      <c r="F754" s="1" t="str">
        <f ca="1">IFERROR(__xludf.DUMMYFUNCTION("""COMPUTED_VALUE"""),"Бандаж лечебно–профилактический (с тремя ребрами жесткости) 4001 XXXXL(Болгария) - 0520008KZ08")</f>
        <v>Бандаж лечебно–профилактический (с тремя ребрами жесткости) 4001 XXXXL(Болгария) - 0520008KZ08</v>
      </c>
      <c r="G754" s="1" t="str">
        <f ca="1">IFERROR(__xludf.DUMMYFUNCTION("""COMPUTED_VALUE"""),"KZ.7700.02.01.00661174 / Действителен до 15.05.2025 / 0520008KZ08 / годен до 15.05.2025")</f>
        <v>KZ.7700.02.01.00661174 / Действителен до 15.05.2025 / 0520008KZ08 / годен до 15.05.2025</v>
      </c>
      <c r="H754" s="1" t="str">
        <f ca="1">IFERROR(__xludf.DUMMYFUNCTION("""COMPUTED_VALUE"""),"Бандаж лечебно–профилактический (с тремя ребрами жесткости) 4001 XXXXL(Болгария) KZ.7700.02.01.00661174 / Действителен до 15.05.2025 / 0520008KZ08 / годен до 15.05.2025")</f>
        <v>Бандаж лечебно–профилактический (с тремя ребрами жесткости) 4001 XXXXL(Болгария) KZ.7700.02.01.00661174 / Действителен до 15.05.2025 / 0520008KZ08 / годен до 15.05.2025</v>
      </c>
    </row>
    <row r="755" spans="1:8" ht="12.75" x14ac:dyDescent="0.2">
      <c r="A755" s="1" t="str">
        <f ca="1">IFERROR(__xludf.DUMMYFUNCTION("""COMPUTED_VALUE"""),"Бандаж универсальный 4011 M/L (Болгария)")</f>
        <v>Бандаж универсальный 4011 M/L (Болгария)</v>
      </c>
      <c r="B755" s="1" t="str">
        <f ca="1">IFERROR(__xludf.DUMMYFUNCTION("""COMPUTED_VALUE"""),"KZ.7700.02.01.00661176")</f>
        <v>KZ.7700.02.01.00661176</v>
      </c>
      <c r="C755" s="1" t="str">
        <f ca="1">IFERROR(__xludf.DUMMYFUNCTION("""COMPUTED_VALUE"""),"Действителен до 15.05.2025")</f>
        <v>Действителен до 15.05.2025</v>
      </c>
      <c r="D755" s="8" t="str">
        <f ca="1">IFERROR(__xludf.DUMMYFUNCTION("""COMPUTED_VALUE"""),"0520008KZ08")</f>
        <v>0520008KZ08</v>
      </c>
      <c r="E755" s="1" t="str">
        <f ca="1">IFERROR(__xludf.DUMMYFUNCTION("""COMPUTED_VALUE"""),"годен до 15.05.2025")</f>
        <v>годен до 15.05.2025</v>
      </c>
      <c r="F755" s="1" t="str">
        <f ca="1">IFERROR(__xludf.DUMMYFUNCTION("""COMPUTED_VALUE"""),"Бандаж универсальный 4011 M/L (Болгария) - 0520008KZ08")</f>
        <v>Бандаж универсальный 4011 M/L (Болгария) - 0520008KZ08</v>
      </c>
      <c r="G755" s="1" t="str">
        <f ca="1">IFERROR(__xludf.DUMMYFUNCTION("""COMPUTED_VALUE"""),"KZ.7700.02.01.00661176 / Действителен до 15.05.2025 / 0520008KZ08 / годен до 15.05.2025")</f>
        <v>KZ.7700.02.01.00661176 / Действителен до 15.05.2025 / 0520008KZ08 / годен до 15.05.2025</v>
      </c>
      <c r="H755" s="1" t="str">
        <f ca="1">IFERROR(__xludf.DUMMYFUNCTION("""COMPUTED_VALUE"""),"Бандаж универсальный 4011 M/L (Болгария) KZ.7700.02.01.00661176 / Действителен до 15.05.2025 / 0520008KZ08 / годен до 15.05.2025")</f>
        <v>Бандаж универсальный 4011 M/L (Болгария) KZ.7700.02.01.00661176 / Действителен до 15.05.2025 / 0520008KZ08 / годен до 15.05.2025</v>
      </c>
    </row>
    <row r="756" spans="1:8" ht="12.75" x14ac:dyDescent="0.2">
      <c r="A756" s="1" t="str">
        <f ca="1">IFERROR(__xludf.DUMMYFUNCTION("""COMPUTED_VALUE"""),"Бандаж универсальный 4011 XL/XXL (Болгария)")</f>
        <v>Бандаж универсальный 4011 XL/XXL (Болгария)</v>
      </c>
      <c r="B756" s="1" t="str">
        <f ca="1">IFERROR(__xludf.DUMMYFUNCTION("""COMPUTED_VALUE"""),"KZ.7700.02.01.00661177")</f>
        <v>KZ.7700.02.01.00661177</v>
      </c>
      <c r="C756" s="1" t="str">
        <f ca="1">IFERROR(__xludf.DUMMYFUNCTION("""COMPUTED_VALUE"""),"Действителен до 15.05.2025")</f>
        <v>Действителен до 15.05.2025</v>
      </c>
      <c r="D756" s="8" t="str">
        <f ca="1">IFERROR(__xludf.DUMMYFUNCTION("""COMPUTED_VALUE"""),"0520008KZ08")</f>
        <v>0520008KZ08</v>
      </c>
      <c r="E756" s="1" t="str">
        <f ca="1">IFERROR(__xludf.DUMMYFUNCTION("""COMPUTED_VALUE"""),"годен до 15.05.2025")</f>
        <v>годен до 15.05.2025</v>
      </c>
      <c r="F756" s="1" t="str">
        <f ca="1">IFERROR(__xludf.DUMMYFUNCTION("""COMPUTED_VALUE"""),"Бандаж универсальный 4011 XL/XXL (Болгария) - 0520008KZ08")</f>
        <v>Бандаж универсальный 4011 XL/XXL (Болгария) - 0520008KZ08</v>
      </c>
      <c r="G756" s="1" t="str">
        <f ca="1">IFERROR(__xludf.DUMMYFUNCTION("""COMPUTED_VALUE"""),"KZ.7700.02.01.00661177 / Действителен до 15.05.2025 / 0520008KZ08 / годен до 15.05.2025")</f>
        <v>KZ.7700.02.01.00661177 / Действителен до 15.05.2025 / 0520008KZ08 / годен до 15.05.2025</v>
      </c>
      <c r="H756" s="1" t="str">
        <f ca="1">IFERROR(__xludf.DUMMYFUNCTION("""COMPUTED_VALUE"""),"Бандаж универсальный 4011 XL/XXL (Болгария) KZ.7700.02.01.00661177 / Действителен до 15.05.2025 / 0520008KZ08 / годен до 15.05.2025")</f>
        <v>Бандаж универсальный 4011 XL/XXL (Болгария) KZ.7700.02.01.00661177 / Действителен до 15.05.2025 / 0520008KZ08 / годен до 15.05.2025</v>
      </c>
    </row>
    <row r="757" spans="1:8" ht="12.75" x14ac:dyDescent="0.2">
      <c r="A757" s="1" t="str">
        <f ca="1">IFERROR(__xludf.DUMMYFUNCTION("""COMPUTED_VALUE"""),"Бандаж универсальный 4011 XS/S (Болгария)")</f>
        <v>Бандаж универсальный 4011 XS/S (Болгария)</v>
      </c>
      <c r="B757" s="1" t="str">
        <f ca="1">IFERROR(__xludf.DUMMYFUNCTION("""COMPUTED_VALUE"""),"KZ.7700.02.01.00661175")</f>
        <v>KZ.7700.02.01.00661175</v>
      </c>
      <c r="C757" s="1" t="str">
        <f ca="1">IFERROR(__xludf.DUMMYFUNCTION("""COMPUTED_VALUE"""),"Действителен до 15.05.2025")</f>
        <v>Действителен до 15.05.2025</v>
      </c>
      <c r="D757" s="8" t="str">
        <f ca="1">IFERROR(__xludf.DUMMYFUNCTION("""COMPUTED_VALUE"""),"0520008KZ08")</f>
        <v>0520008KZ08</v>
      </c>
      <c r="E757" s="1" t="str">
        <f ca="1">IFERROR(__xludf.DUMMYFUNCTION("""COMPUTED_VALUE"""),"годен до 15.05.2025")</f>
        <v>годен до 15.05.2025</v>
      </c>
      <c r="F757" s="1" t="str">
        <f ca="1">IFERROR(__xludf.DUMMYFUNCTION("""COMPUTED_VALUE"""),"Бандаж универсальный 4011 XS/S (Болгария) - 0520008KZ08")</f>
        <v>Бандаж универсальный 4011 XS/S (Болгария) - 0520008KZ08</v>
      </c>
      <c r="G757" s="1" t="str">
        <f ca="1">IFERROR(__xludf.DUMMYFUNCTION("""COMPUTED_VALUE"""),"KZ.7700.02.01.00661175 / Действителен до 15.05.2025 / 0520008KZ08 / годен до 15.05.2025")</f>
        <v>KZ.7700.02.01.00661175 / Действителен до 15.05.2025 / 0520008KZ08 / годен до 15.05.2025</v>
      </c>
      <c r="H757" s="1" t="str">
        <f ca="1">IFERROR(__xludf.DUMMYFUNCTION("""COMPUTED_VALUE"""),"Бандаж универсальный 4011 XS/S (Болгария) KZ.7700.02.01.00661175 / Действителен до 15.05.2025 / 0520008KZ08 / годен до 15.05.2025")</f>
        <v>Бандаж универсальный 4011 XS/S (Болгария) KZ.7700.02.01.00661175 / Действителен до 15.05.2025 / 0520008KZ08 / годен до 15.05.2025</v>
      </c>
    </row>
    <row r="758" spans="1:8" ht="12.75" x14ac:dyDescent="0.2">
      <c r="A758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758" s="1" t="str">
        <f ca="1">IFERROR(__xludf.DUMMYFUNCTION("""COMPUTED_VALUE"""),"KZ.7700.02.01.00661178")</f>
        <v>KZ.7700.02.01.00661178</v>
      </c>
      <c r="C758" s="1" t="str">
        <f ca="1">IFERROR(__xludf.DUMMYFUNCTION("""COMPUTED_VALUE"""),"Действителен до 15.05.2025")</f>
        <v>Действителен до 15.05.2025</v>
      </c>
      <c r="D758" s="8" t="str">
        <f ca="1">IFERROR(__xludf.DUMMYFUNCTION("""COMPUTED_VALUE"""),"0520008KZ08")</f>
        <v>0520008KZ08</v>
      </c>
      <c r="E758" s="1" t="str">
        <f ca="1">IFERROR(__xludf.DUMMYFUNCTION("""COMPUTED_VALUE"""),"годен до 15.05.2025")</f>
        <v>годен до 15.05.2025</v>
      </c>
      <c r="F758" s="1" t="str">
        <f ca="1">IFERROR(__xludf.DUMMYFUNCTION("""COMPUTED_VALUE"""),"Бандаж универсальный 4011 XXXL/XXXXL (Болгария) - 0520008KZ08")</f>
        <v>Бандаж универсальный 4011 XXXL/XXXXL (Болгария) - 0520008KZ08</v>
      </c>
      <c r="G758" s="1" t="str">
        <f ca="1">IFERROR(__xludf.DUMMYFUNCTION("""COMPUTED_VALUE"""),"KZ.7700.02.01.00661178 / Действителен до 15.05.2025 / 0520008KZ08 / годен до 15.05.2025")</f>
        <v>KZ.7700.02.01.00661178 / Действителен до 15.05.2025 / 0520008KZ08 / годен до 15.05.2025</v>
      </c>
      <c r="H758" s="1" t="str">
        <f ca="1">IFERROR(__xludf.DUMMYFUNCTION("""COMPUTED_VALUE"""),"Бандаж универсальный 4011 XXXL/XXXXL (Болгария) KZ.7700.02.01.00661178 / Действителен до 15.05.2025 / 0520008KZ08 / годен до 15.05.2025")</f>
        <v>Бандаж универсальный 4011 XXXL/XXXXL (Болгария) KZ.7700.02.01.00661178 / Действителен до 15.05.2025 / 0520008KZ08 / годен до 15.05.2025</v>
      </c>
    </row>
    <row r="759" spans="1:8" ht="12.75" x14ac:dyDescent="0.2">
      <c r="A759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759" s="1" t="str">
        <f ca="1">IFERROR(__xludf.DUMMYFUNCTION("""COMPUTED_VALUE"""),"KZ.7700.02.01.00661179")</f>
        <v>KZ.7700.02.01.00661179</v>
      </c>
      <c r="C759" s="1" t="str">
        <f ca="1">IFERROR(__xludf.DUMMYFUNCTION("""COMPUTED_VALUE"""),"Действителен до 15.05.2025")</f>
        <v>Действителен до 15.05.2025</v>
      </c>
      <c r="D759" s="8" t="str">
        <f ca="1">IFERROR(__xludf.DUMMYFUNCTION("""COMPUTED_VALUE"""),"0520008KZ08")</f>
        <v>0520008KZ08</v>
      </c>
      <c r="E759" s="1" t="str">
        <f ca="1">IFERROR(__xludf.DUMMYFUNCTION("""COMPUTED_VALUE"""),"годен до 15.05.2025")</f>
        <v>годен до 15.05.2025</v>
      </c>
      <c r="F759" s="1" t="str">
        <f ca="1">IFERROR(__xludf.DUMMYFUNCTION("""COMPUTED_VALUE"""),"Бандаж грыжевой лево-и правосторонний 5001 M/L (Болгария) - 0520008KZ08")</f>
        <v>Бандаж грыжевой лево-и правосторонний 5001 M/L (Болгария) - 0520008KZ08</v>
      </c>
      <c r="G759" s="1" t="str">
        <f ca="1">IFERROR(__xludf.DUMMYFUNCTION("""COMPUTED_VALUE"""),"KZ.7700.02.01.00661179 / Действителен до 15.05.2025 / 0520008KZ08 / годен до 15.05.2025")</f>
        <v>KZ.7700.02.01.00661179 / Действителен до 15.05.2025 / 0520008KZ08 / годен до 15.05.2025</v>
      </c>
      <c r="H759" s="1" t="str">
        <f ca="1">IFERROR(__xludf.DUMMYFUNCTION("""COMPUTED_VALUE"""),"Бандаж грыжевой лево-и правосторонний 5001 M/L (Болгария) KZ.7700.02.01.00661179 / Действителен до 15.05.2025 / 0520008KZ08 / годен до 15.05.2025")</f>
        <v>Бандаж грыжевой лево-и правосторонний 5001 M/L (Болгария) KZ.7700.02.01.00661179 / Действителен до 15.05.2025 / 0520008KZ08 / годен до 15.05.2025</v>
      </c>
    </row>
    <row r="760" spans="1:8" ht="12.75" x14ac:dyDescent="0.2">
      <c r="A760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760" s="1" t="str">
        <f ca="1">IFERROR(__xludf.DUMMYFUNCTION("""COMPUTED_VALUE"""),"KZ.7700.02.01.00661203")</f>
        <v>KZ.7700.02.01.00661203</v>
      </c>
      <c r="C760" s="1" t="str">
        <f ca="1">IFERROR(__xludf.DUMMYFUNCTION("""COMPUTED_VALUE"""),"Действителен до 15.05.2025")</f>
        <v>Действителен до 15.05.2025</v>
      </c>
      <c r="D760" s="8" t="str">
        <f ca="1">IFERROR(__xludf.DUMMYFUNCTION("""COMPUTED_VALUE"""),"0520008KZ08")</f>
        <v>0520008KZ08</v>
      </c>
      <c r="E760" s="1" t="str">
        <f ca="1">IFERROR(__xludf.DUMMYFUNCTION("""COMPUTED_VALUE"""),"годен до 15.05.2025")</f>
        <v>годен до 15.05.2025</v>
      </c>
      <c r="F760" s="1" t="str">
        <f ca="1">IFERROR(__xludf.DUMMYFUNCTION("""COMPUTED_VALUE"""),"Бандаж на коленный сустав эластичный 6040 M (Болгария) - 0520008KZ08")</f>
        <v>Бандаж на коленный сустав эластичный 6040 M (Болгария) - 0520008KZ08</v>
      </c>
      <c r="G760" s="1" t="str">
        <f ca="1">IFERROR(__xludf.DUMMYFUNCTION("""COMPUTED_VALUE"""),"KZ.7700.02.01.00661203 / Действителен до 15.05.2025 / 0520008KZ08 / годен до 15.05.2025")</f>
        <v>KZ.7700.02.01.00661203 / Действителен до 15.05.2025 / 0520008KZ08 / годен до 15.05.2025</v>
      </c>
      <c r="H760" s="1" t="str">
        <f ca="1">IFERROR(__xludf.DUMMYFUNCTION("""COMPUTED_VALUE"""),"Бандаж на коленный сустав эластичный 6040 M (Болгария) KZ.7700.02.01.00661203 / Действителен до 15.05.2025 / 0520008KZ08 / годен до 15.05.2025")</f>
        <v>Бандаж на коленный сустав эластичный 6040 M (Болгария) KZ.7700.02.01.00661203 / Действителен до 15.05.2025 / 0520008KZ08 / годен до 15.05.2025</v>
      </c>
    </row>
    <row r="761" spans="1:8" ht="12.75" x14ac:dyDescent="0.2">
      <c r="A761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761" s="1" t="str">
        <f ca="1">IFERROR(__xludf.DUMMYFUNCTION("""COMPUTED_VALUE"""),"KZ.7700.02.01.00661180")</f>
        <v>KZ.7700.02.01.00661180</v>
      </c>
      <c r="C761" s="1" t="str">
        <f ca="1">IFERROR(__xludf.DUMMYFUNCTION("""COMPUTED_VALUE"""),"Действителен до 15.05.2025")</f>
        <v>Действителен до 15.05.2025</v>
      </c>
      <c r="D761" s="8" t="str">
        <f ca="1">IFERROR(__xludf.DUMMYFUNCTION("""COMPUTED_VALUE"""),"0520008KZ08")</f>
        <v>0520008KZ08</v>
      </c>
      <c r="E761" s="1" t="str">
        <f ca="1">IFERROR(__xludf.DUMMYFUNCTION("""COMPUTED_VALUE"""),"годен до 15.05.2025")</f>
        <v>годен до 15.05.2025</v>
      </c>
      <c r="F761" s="1" t="str">
        <f ca="1">IFERROR(__xludf.DUMMYFUNCTION("""COMPUTED_VALUE"""),"Бандаж на коленный сустав эластичный 6040 S (Болгария) - 0520008KZ08")</f>
        <v>Бандаж на коленный сустав эластичный 6040 S (Болгария) - 0520008KZ08</v>
      </c>
      <c r="G761" s="1" t="str">
        <f ca="1">IFERROR(__xludf.DUMMYFUNCTION("""COMPUTED_VALUE"""),"KZ.7700.02.01.00661180 / Действителен до 15.05.2025 / 0520008KZ08 / годен до 15.05.2025")</f>
        <v>KZ.7700.02.01.00661180 / Действителен до 15.05.2025 / 0520008KZ08 / годен до 15.05.2025</v>
      </c>
      <c r="H761" s="1" t="str">
        <f ca="1">IFERROR(__xludf.DUMMYFUNCTION("""COMPUTED_VALUE"""),"Бандаж на коленный сустав эластичный 6040 S (Болгария) KZ.7700.02.01.00661180 / Действителен до 15.05.2025 / 0520008KZ08 / годен до 15.05.2025")</f>
        <v>Бандаж на коленный сустав эластичный 6040 S (Болгария) KZ.7700.02.01.00661180 / Действителен до 15.05.2025 / 0520008KZ08 / годен до 15.05.2025</v>
      </c>
    </row>
    <row r="762" spans="1:8" ht="12.75" x14ac:dyDescent="0.2">
      <c r="A762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762" s="1" t="str">
        <f ca="1">IFERROR(__xludf.DUMMYFUNCTION("""COMPUTED_VALUE"""),"KZ.7700.02.01.00661181")</f>
        <v>KZ.7700.02.01.00661181</v>
      </c>
      <c r="C762" s="1" t="str">
        <f ca="1">IFERROR(__xludf.DUMMYFUNCTION("""COMPUTED_VALUE"""),"Действителен до 15.05.2025")</f>
        <v>Действителен до 15.05.2025</v>
      </c>
      <c r="D762" s="8" t="str">
        <f ca="1">IFERROR(__xludf.DUMMYFUNCTION("""COMPUTED_VALUE"""),"0520008KZ08")</f>
        <v>0520008KZ08</v>
      </c>
      <c r="E762" s="1" t="str">
        <f ca="1">IFERROR(__xludf.DUMMYFUNCTION("""COMPUTED_VALUE"""),"годен до 15.05.2025")</f>
        <v>годен до 15.05.2025</v>
      </c>
      <c r="F762" s="1" t="str">
        <f ca="1">IFERROR(__xludf.DUMMYFUNCTION("""COMPUTED_VALUE"""),"Бандаж на коленный сустав эластичный 6040 XL (Болгария) - 0520008KZ08")</f>
        <v>Бандаж на коленный сустав эластичный 6040 XL (Болгария) - 0520008KZ08</v>
      </c>
      <c r="G762" s="1" t="str">
        <f ca="1">IFERROR(__xludf.DUMMYFUNCTION("""COMPUTED_VALUE"""),"KZ.7700.02.01.00661181 / Действителен до 15.05.2025 / 0520008KZ08 / годен до 15.05.2025")</f>
        <v>KZ.7700.02.01.00661181 / Действителен до 15.05.2025 / 0520008KZ08 / годен до 15.05.2025</v>
      </c>
      <c r="H762" s="1" t="str">
        <f ca="1">IFERROR(__xludf.DUMMYFUNCTION("""COMPUTED_VALUE"""),"Бандаж на коленный сустав эластичный 6040 XL (Болгария) KZ.7700.02.01.00661181 / Действителен до 15.05.2025 / 0520008KZ08 / годен до 15.05.2025")</f>
        <v>Бандаж на коленный сустав эластичный 6040 XL (Болгария) KZ.7700.02.01.00661181 / Действителен до 15.05.2025 / 0520008KZ08 / годен до 15.05.2025</v>
      </c>
    </row>
    <row r="763" spans="1:8" ht="12.75" x14ac:dyDescent="0.2">
      <c r="A763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763" s="1" t="str">
        <f ca="1">IFERROR(__xludf.DUMMYFUNCTION("""COMPUTED_VALUE"""),"KZ.7700.02.01.00661183")</f>
        <v>KZ.7700.02.01.00661183</v>
      </c>
      <c r="C763" s="1" t="str">
        <f ca="1">IFERROR(__xludf.DUMMYFUNCTION("""COMPUTED_VALUE"""),"Действителен до 15.05.2025")</f>
        <v>Действителен до 15.05.2025</v>
      </c>
      <c r="D763" s="8" t="str">
        <f ca="1">IFERROR(__xludf.DUMMYFUNCTION("""COMPUTED_VALUE"""),"0520008KZ08")</f>
        <v>0520008KZ08</v>
      </c>
      <c r="E763" s="1" t="str">
        <f ca="1">IFERROR(__xludf.DUMMYFUNCTION("""COMPUTED_VALUE"""),"годен до 15.05.2025")</f>
        <v>годен до 15.05.2025</v>
      </c>
      <c r="F763" s="1" t="str">
        <f ca="1">IFERROR(__xludf.DUMMYFUNCTION("""COMPUTED_VALUE"""),"Бандаж на коленный сустав разъемный 6058 L\XL (Болгария) - 0520008KZ08")</f>
        <v>Бандаж на коленный сустав разъемный 6058 L\XL (Болгария) - 0520008KZ08</v>
      </c>
      <c r="G763" s="1" t="str">
        <f ca="1">IFERROR(__xludf.DUMMYFUNCTION("""COMPUTED_VALUE"""),"KZ.7700.02.01.00661183 / Действителен до 15.05.2025 / 0520008KZ08 / годен до 15.05.2025")</f>
        <v>KZ.7700.02.01.00661183 / Действителен до 15.05.2025 / 0520008KZ08 / годен до 15.05.2025</v>
      </c>
      <c r="H763" s="1" t="str">
        <f ca="1">IFERROR(__xludf.DUMMYFUNCTION("""COMPUTED_VALUE"""),"Бандаж на коленный сустав разъемный 6058 L\XL (Болгария) KZ.7700.02.01.00661183 / Действителен до 15.05.2025 / 0520008KZ08 / годен до 15.05.2025")</f>
        <v>Бандаж на коленный сустав разъемный 6058 L\XL (Болгария) KZ.7700.02.01.00661183 / Действителен до 15.05.2025 / 0520008KZ08 / годен до 15.05.2025</v>
      </c>
    </row>
    <row r="764" spans="1:8" ht="12.75" x14ac:dyDescent="0.2">
      <c r="A764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764" s="1" t="str">
        <f ca="1">IFERROR(__xludf.DUMMYFUNCTION("""COMPUTED_VALUE"""),"KZ.7700.02.01.00661182")</f>
        <v>KZ.7700.02.01.00661182</v>
      </c>
      <c r="C764" s="1" t="str">
        <f ca="1">IFERROR(__xludf.DUMMYFUNCTION("""COMPUTED_VALUE"""),"Действителен до 15.05.2025")</f>
        <v>Действителен до 15.05.2025</v>
      </c>
      <c r="D764" s="8" t="str">
        <f ca="1">IFERROR(__xludf.DUMMYFUNCTION("""COMPUTED_VALUE"""),"0520008KZ08")</f>
        <v>0520008KZ08</v>
      </c>
      <c r="E764" s="1" t="str">
        <f ca="1">IFERROR(__xludf.DUMMYFUNCTION("""COMPUTED_VALUE"""),"годен до 15.05.2025")</f>
        <v>годен до 15.05.2025</v>
      </c>
      <c r="F764" s="1" t="str">
        <f ca="1">IFERROR(__xludf.DUMMYFUNCTION("""COMPUTED_VALUE"""),"Бандаж на коленный сустав разъемный 6058 S\M (Болгария) - 0520008KZ08")</f>
        <v>Бандаж на коленный сустав разъемный 6058 S\M (Болгария) - 0520008KZ08</v>
      </c>
      <c r="G764" s="1" t="str">
        <f ca="1">IFERROR(__xludf.DUMMYFUNCTION("""COMPUTED_VALUE"""),"KZ.7700.02.01.00661182 / Действителен до 15.05.2025 / 0520008KZ08 / годен до 15.05.2025")</f>
        <v>KZ.7700.02.01.00661182 / Действителен до 15.05.2025 / 0520008KZ08 / годен до 15.05.2025</v>
      </c>
      <c r="H764" s="1" t="str">
        <f ca="1">IFERROR(__xludf.DUMMYFUNCTION("""COMPUTED_VALUE"""),"Бандаж на коленный сустав разъемный 6058 S\M (Болгария) KZ.7700.02.01.00661182 / Действителен до 15.05.2025 / 0520008KZ08 / годен до 15.05.2025")</f>
        <v>Бандаж на коленный сустав разъемный 6058 S\M (Болгария) KZ.7700.02.01.00661182 / Действителен до 15.05.2025 / 0520008KZ08 / годен до 15.05.2025</v>
      </c>
    </row>
    <row r="765" spans="1:8" ht="12.75" x14ac:dyDescent="0.2">
      <c r="A765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765" s="1" t="str">
        <f ca="1">IFERROR(__xludf.DUMMYFUNCTION("""COMPUTED_VALUE"""),"KZ.7700.02.01.00661184")</f>
        <v>KZ.7700.02.01.00661184</v>
      </c>
      <c r="C765" s="1" t="str">
        <f ca="1">IFERROR(__xludf.DUMMYFUNCTION("""COMPUTED_VALUE"""),"Действителен до 15.05.2025")</f>
        <v>Действителен до 15.05.2025</v>
      </c>
      <c r="D765" s="8" t="str">
        <f ca="1">IFERROR(__xludf.DUMMYFUNCTION("""COMPUTED_VALUE"""),"0520008KZ08")</f>
        <v>0520008KZ08</v>
      </c>
      <c r="E765" s="1" t="str">
        <f ca="1">IFERROR(__xludf.DUMMYFUNCTION("""COMPUTED_VALUE"""),"годен до 15.05.2025")</f>
        <v>годен до 15.05.2025</v>
      </c>
      <c r="F765" s="1" t="str">
        <f ca="1">IFERROR(__xludf.DUMMYFUNCTION("""COMPUTED_VALUE"""),"Бандаж на коленный сустав разъемный 6058 XXL (Болгария) - 0520008KZ08")</f>
        <v>Бандаж на коленный сустав разъемный 6058 XXL (Болгария) - 0520008KZ08</v>
      </c>
      <c r="G765" s="1" t="str">
        <f ca="1">IFERROR(__xludf.DUMMYFUNCTION("""COMPUTED_VALUE"""),"KZ.7700.02.01.00661184 / Действителен до 15.05.2025 / 0520008KZ08 / годен до 15.05.2025")</f>
        <v>KZ.7700.02.01.00661184 / Действителен до 15.05.2025 / 0520008KZ08 / годен до 15.05.2025</v>
      </c>
      <c r="H765" s="1" t="str">
        <f ca="1">IFERROR(__xludf.DUMMYFUNCTION("""COMPUTED_VALUE"""),"Бандаж на коленный сустав разъемный 6058 XXL (Болгария) KZ.7700.02.01.00661184 / Действителен до 15.05.2025 / 0520008KZ08 / годен до 15.05.2025")</f>
        <v>Бандаж на коленный сустав разъемный 6058 XXL (Болгария) KZ.7700.02.01.00661184 / Действителен до 15.05.2025 / 0520008KZ08 / годен до 15.05.2025</v>
      </c>
    </row>
    <row r="766" spans="1:8" ht="12.75" x14ac:dyDescent="0.2">
      <c r="A766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766" s="1" t="str">
        <f ca="1">IFERROR(__xludf.DUMMYFUNCTION("""COMPUTED_VALUE"""),"KZ.7700.02.01.00661187")</f>
        <v>KZ.7700.02.01.00661187</v>
      </c>
      <c r="C766" s="1" t="str">
        <f ca="1">IFERROR(__xludf.DUMMYFUNCTION("""COMPUTED_VALUE"""),"Действителен до 15.05.2025")</f>
        <v>Действителен до 15.05.2025</v>
      </c>
      <c r="D766" s="8" t="str">
        <f ca="1">IFERROR(__xludf.DUMMYFUNCTION("""COMPUTED_VALUE"""),"0520008KZ08")</f>
        <v>0520008KZ08</v>
      </c>
      <c r="E766" s="1" t="str">
        <f ca="1">IFERROR(__xludf.DUMMYFUNCTION("""COMPUTED_VALUE"""),"годен до 15.05.2025")</f>
        <v>годен до 15.05.2025</v>
      </c>
      <c r="F766" s="1" t="str">
        <f ca="1">IFERROR(__xludf.DUMMYFUNCTION("""COMPUTED_VALUE"""),"Бандаж на голеностопный сустав эластичный 7035 L (Болгария) - 0520008KZ08")</f>
        <v>Бандаж на голеностопный сустав эластичный 7035 L (Болгария) - 0520008KZ08</v>
      </c>
      <c r="G766" s="1" t="str">
        <f ca="1">IFERROR(__xludf.DUMMYFUNCTION("""COMPUTED_VALUE"""),"KZ.7700.02.01.00661187 / Действителен до 15.05.2025 / 0520008KZ08 / годен до 15.05.2025")</f>
        <v>KZ.7700.02.01.00661187 / Действителен до 15.05.2025 / 0520008KZ08 / годен до 15.05.2025</v>
      </c>
      <c r="H766" s="1" t="str">
        <f ca="1">IFERROR(__xludf.DUMMYFUNCTION("""COMPUTED_VALUE"""),"Бандаж на голеностопный сустав эластичный 7035 L (Болгария) KZ.7700.02.01.00661187 / Действителен до 15.05.2025 / 0520008KZ08 / годен до 15.05.2025")</f>
        <v>Бандаж на голеностопный сустав эластичный 7035 L (Болгария) KZ.7700.02.01.00661187 / Действителен до 15.05.2025 / 0520008KZ08 / годен до 15.05.2025</v>
      </c>
    </row>
    <row r="767" spans="1:8" ht="12.75" x14ac:dyDescent="0.2">
      <c r="A767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767" s="1" t="str">
        <f ca="1">IFERROR(__xludf.DUMMYFUNCTION("""COMPUTED_VALUE"""),"KZ.7700.02.01.00661186")</f>
        <v>KZ.7700.02.01.00661186</v>
      </c>
      <c r="C767" s="1" t="str">
        <f ca="1">IFERROR(__xludf.DUMMYFUNCTION("""COMPUTED_VALUE"""),"Действителен до 15.05.2025")</f>
        <v>Действителен до 15.05.2025</v>
      </c>
      <c r="D767" s="8" t="str">
        <f ca="1">IFERROR(__xludf.DUMMYFUNCTION("""COMPUTED_VALUE"""),"0520008KZ08")</f>
        <v>0520008KZ08</v>
      </c>
      <c r="E767" s="1" t="str">
        <f ca="1">IFERROR(__xludf.DUMMYFUNCTION("""COMPUTED_VALUE"""),"годен до 15.05.2025")</f>
        <v>годен до 15.05.2025</v>
      </c>
      <c r="F767" s="1" t="str">
        <f ca="1">IFERROR(__xludf.DUMMYFUNCTION("""COMPUTED_VALUE"""),"Бандаж на голеностопный сустав эластичный 7035 M (Болгария) - 0520008KZ08")</f>
        <v>Бандаж на голеностопный сустав эластичный 7035 M (Болгария) - 0520008KZ08</v>
      </c>
      <c r="G767" s="1" t="str">
        <f ca="1">IFERROR(__xludf.DUMMYFUNCTION("""COMPUTED_VALUE"""),"KZ.7700.02.01.00661186 / Действителен до 15.05.2025 / 0520008KZ08 / годен до 15.05.2025")</f>
        <v>KZ.7700.02.01.00661186 / Действителен до 15.05.2025 / 0520008KZ08 / годен до 15.05.2025</v>
      </c>
      <c r="H767" s="1" t="str">
        <f ca="1">IFERROR(__xludf.DUMMYFUNCTION("""COMPUTED_VALUE"""),"Бандаж на голеностопный сустав эластичный 7035 M (Болгария) KZ.7700.02.01.00661186 / Действителен до 15.05.2025 / 0520008KZ08 / годен до 15.05.2025")</f>
        <v>Бандаж на голеностопный сустав эластичный 7035 M (Болгария) KZ.7700.02.01.00661186 / Действителен до 15.05.2025 / 0520008KZ08 / годен до 15.05.2025</v>
      </c>
    </row>
    <row r="768" spans="1:8" ht="12.75" x14ac:dyDescent="0.2">
      <c r="A768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768" s="1" t="str">
        <f ca="1">IFERROR(__xludf.DUMMYFUNCTION("""COMPUTED_VALUE"""),"KZ.7700.02.01.00661185")</f>
        <v>KZ.7700.02.01.00661185</v>
      </c>
      <c r="C768" s="1" t="str">
        <f ca="1">IFERROR(__xludf.DUMMYFUNCTION("""COMPUTED_VALUE"""),"Действителен до 15.05.2025")</f>
        <v>Действителен до 15.05.2025</v>
      </c>
      <c r="D768" s="8" t="str">
        <f ca="1">IFERROR(__xludf.DUMMYFUNCTION("""COMPUTED_VALUE"""),"0520008KZ08")</f>
        <v>0520008KZ08</v>
      </c>
      <c r="E768" s="1" t="str">
        <f ca="1">IFERROR(__xludf.DUMMYFUNCTION("""COMPUTED_VALUE"""),"годен до 15.05.2025")</f>
        <v>годен до 15.05.2025</v>
      </c>
      <c r="F768" s="1" t="str">
        <f ca="1">IFERROR(__xludf.DUMMYFUNCTION("""COMPUTED_VALUE"""),"Бандаж на голеностопный сустав эластичный 7035 S (Болгария) - 0520008KZ08")</f>
        <v>Бандаж на голеностопный сустав эластичный 7035 S (Болгария) - 0520008KZ08</v>
      </c>
      <c r="G768" s="1" t="str">
        <f ca="1">IFERROR(__xludf.DUMMYFUNCTION("""COMPUTED_VALUE"""),"KZ.7700.02.01.00661185 / Действителен до 15.05.2025 / 0520008KZ08 / годен до 15.05.2025")</f>
        <v>KZ.7700.02.01.00661185 / Действителен до 15.05.2025 / 0520008KZ08 / годен до 15.05.2025</v>
      </c>
      <c r="H768" s="1" t="str">
        <f ca="1">IFERROR(__xludf.DUMMYFUNCTION("""COMPUTED_VALUE"""),"Бандаж на голеностопный сустав эластичный 7035 S (Болгария) KZ.7700.02.01.00661185 / Действителен до 15.05.2025 / 0520008KZ08 / годен до 15.05.2025")</f>
        <v>Бандаж на голеностопный сустав эластичный 7035 S (Болгария) KZ.7700.02.01.00661185 / Действителен до 15.05.2025 / 0520008KZ08 / годен до 15.05.2025</v>
      </c>
    </row>
    <row r="769" spans="1:8" ht="12.75" x14ac:dyDescent="0.2">
      <c r="A769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769" s="1" t="str">
        <f ca="1">IFERROR(__xludf.DUMMYFUNCTION("""COMPUTED_VALUE"""),"KZ.7700.02.01.00661189")</f>
        <v>KZ.7700.02.01.00661189</v>
      </c>
      <c r="C769" s="1" t="str">
        <f ca="1">IFERROR(__xludf.DUMMYFUNCTION("""COMPUTED_VALUE"""),"Действителен до 15.05.2025")</f>
        <v>Действителен до 15.05.2025</v>
      </c>
      <c r="D769" s="8" t="str">
        <f ca="1">IFERROR(__xludf.DUMMYFUNCTION("""COMPUTED_VALUE"""),"0520008KZ08")</f>
        <v>0520008KZ08</v>
      </c>
      <c r="E769" s="1" t="str">
        <f ca="1">IFERROR(__xludf.DUMMYFUNCTION("""COMPUTED_VALUE"""),"годен до 15.05.2025")</f>
        <v>годен до 15.05.2025</v>
      </c>
      <c r="F769" s="1" t="str">
        <f ca="1">IFERROR(__xludf.DUMMYFUNCTION("""COMPUTED_VALUE"""),"Бандаж на локтевой сустав эластичный 8317 L (Болгария) - 0520008KZ08")</f>
        <v>Бандаж на локтевой сустав эластичный 8317 L (Болгария) - 0520008KZ08</v>
      </c>
      <c r="G769" s="1" t="str">
        <f ca="1">IFERROR(__xludf.DUMMYFUNCTION("""COMPUTED_VALUE"""),"KZ.7700.02.01.00661189 / Действителен до 15.05.2025 / 0520008KZ08 / годен до 15.05.2025")</f>
        <v>KZ.7700.02.01.00661189 / Действителен до 15.05.2025 / 0520008KZ08 / годен до 15.05.2025</v>
      </c>
      <c r="H769" s="1" t="str">
        <f ca="1">IFERROR(__xludf.DUMMYFUNCTION("""COMPUTED_VALUE"""),"Бандаж на локтевой сустав эластичный 8317 L (Болгария) KZ.7700.02.01.00661189 / Действителен до 15.05.2025 / 0520008KZ08 / годен до 15.05.2025")</f>
        <v>Бандаж на локтевой сустав эластичный 8317 L (Болгария) KZ.7700.02.01.00661189 / Действителен до 15.05.2025 / 0520008KZ08 / годен до 15.05.2025</v>
      </c>
    </row>
    <row r="770" spans="1:8" ht="12.75" x14ac:dyDescent="0.2">
      <c r="A770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770" s="1" t="str">
        <f ca="1">IFERROR(__xludf.DUMMYFUNCTION("""COMPUTED_VALUE"""),"KZ.7700.02.01.00661188")</f>
        <v>KZ.7700.02.01.00661188</v>
      </c>
      <c r="C770" s="1" t="str">
        <f ca="1">IFERROR(__xludf.DUMMYFUNCTION("""COMPUTED_VALUE"""),"Действителен до 15.05.2025")</f>
        <v>Действителен до 15.05.2025</v>
      </c>
      <c r="D770" s="8" t="str">
        <f ca="1">IFERROR(__xludf.DUMMYFUNCTION("""COMPUTED_VALUE"""),"0520008KZ08")</f>
        <v>0520008KZ08</v>
      </c>
      <c r="E770" s="1" t="str">
        <f ca="1">IFERROR(__xludf.DUMMYFUNCTION("""COMPUTED_VALUE"""),"годен до 15.05.2025")</f>
        <v>годен до 15.05.2025</v>
      </c>
      <c r="F770" s="1" t="str">
        <f ca="1">IFERROR(__xludf.DUMMYFUNCTION("""COMPUTED_VALUE"""),"Бандаж на локтевой сустав эластичный 8317 S (Болгария) - 0520008KZ08")</f>
        <v>Бандаж на локтевой сустав эластичный 8317 S (Болгария) - 0520008KZ08</v>
      </c>
      <c r="G770" s="1" t="str">
        <f ca="1">IFERROR(__xludf.DUMMYFUNCTION("""COMPUTED_VALUE"""),"KZ.7700.02.01.00661188 / Действителен до 15.05.2025 / 0520008KZ08 / годен до 15.05.2025")</f>
        <v>KZ.7700.02.01.00661188 / Действителен до 15.05.2025 / 0520008KZ08 / годен до 15.05.2025</v>
      </c>
      <c r="H770" s="1" t="str">
        <f ca="1">IFERROR(__xludf.DUMMYFUNCTION("""COMPUTED_VALUE"""),"Бандаж на локтевой сустав эластичный 8317 S (Болгария) KZ.7700.02.01.00661188 / Действителен до 15.05.2025 / 0520008KZ08 / годен до 15.05.2025")</f>
        <v>Бандаж на локтевой сустав эластичный 8317 S (Болгария) KZ.7700.02.01.00661188 / Действителен до 15.05.2025 / 0520008KZ08 / годен до 15.05.2025</v>
      </c>
    </row>
    <row r="771" spans="1:8" ht="12.75" x14ac:dyDescent="0.2">
      <c r="A771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771" s="1" t="str">
        <f ca="1">IFERROR(__xludf.DUMMYFUNCTION("""COMPUTED_VALUE"""),"KZ.7700.02.01.00661192")</f>
        <v>KZ.7700.02.01.00661192</v>
      </c>
      <c r="C771" s="1" t="str">
        <f ca="1">IFERROR(__xludf.DUMMYFUNCTION("""COMPUTED_VALUE"""),"Действителен до 15.05.2025")</f>
        <v>Действителен до 15.05.2025</v>
      </c>
      <c r="D771" s="8" t="str">
        <f ca="1">IFERROR(__xludf.DUMMYFUNCTION("""COMPUTED_VALUE"""),"0520008KZ08")</f>
        <v>0520008KZ08</v>
      </c>
      <c r="E771" s="1" t="str">
        <f ca="1">IFERROR(__xludf.DUMMYFUNCTION("""COMPUTED_VALUE"""),"годен до 15.05.2025")</f>
        <v>годен до 15.05.2025</v>
      </c>
      <c r="F771" s="1" t="str">
        <f ca="1">IFERROR(__xludf.DUMMYFUNCTION("""COMPUTED_VALUE"""),"Бандаж на лучезапястный сустав эластичный 8503 L (Болгария) - 0520008KZ08")</f>
        <v>Бандаж на лучезапястный сустав эластичный 8503 L (Болгария) - 0520008KZ08</v>
      </c>
      <c r="G771" s="1" t="str">
        <f ca="1">IFERROR(__xludf.DUMMYFUNCTION("""COMPUTED_VALUE"""),"KZ.7700.02.01.00661192 / Действителен до 15.05.2025 / 0520008KZ08 / годен до 15.05.2025")</f>
        <v>KZ.7700.02.01.00661192 / Действителен до 15.05.2025 / 0520008KZ08 / годен до 15.05.2025</v>
      </c>
      <c r="H771" s="1" t="str">
        <f ca="1">IFERROR(__xludf.DUMMYFUNCTION("""COMPUTED_VALUE"""),"Бандаж на лучезапястный сустав эластичный 8503 L (Болгария) KZ.7700.02.01.00661192 / Действителен до 15.05.2025 / 0520008KZ08 / годен до 15.05.2025")</f>
        <v>Бандаж на лучезапястный сустав эластичный 8503 L (Болгария) KZ.7700.02.01.00661192 / Действителен до 15.05.2025 / 0520008KZ08 / годен до 15.05.2025</v>
      </c>
    </row>
    <row r="772" spans="1:8" ht="12.75" x14ac:dyDescent="0.2">
      <c r="A772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772" s="1" t="str">
        <f ca="1">IFERROR(__xludf.DUMMYFUNCTION("""COMPUTED_VALUE"""),"KZ.7700.02.01.00661191")</f>
        <v>KZ.7700.02.01.00661191</v>
      </c>
      <c r="C772" s="1" t="str">
        <f ca="1">IFERROR(__xludf.DUMMYFUNCTION("""COMPUTED_VALUE"""),"Действителен до 15.05.2025")</f>
        <v>Действителен до 15.05.2025</v>
      </c>
      <c r="D772" s="8" t="str">
        <f ca="1">IFERROR(__xludf.DUMMYFUNCTION("""COMPUTED_VALUE"""),"0520008KZ08")</f>
        <v>0520008KZ08</v>
      </c>
      <c r="E772" s="1" t="str">
        <f ca="1">IFERROR(__xludf.DUMMYFUNCTION("""COMPUTED_VALUE"""),"годен до 15.05.2025")</f>
        <v>годен до 15.05.2025</v>
      </c>
      <c r="F772" s="1" t="str">
        <f ca="1">IFERROR(__xludf.DUMMYFUNCTION("""COMPUTED_VALUE"""),"Бандаж на лучезапястный сустав эластичный 8503 M (Болгария) - 0520008KZ08")</f>
        <v>Бандаж на лучезапястный сустав эластичный 8503 M (Болгария) - 0520008KZ08</v>
      </c>
      <c r="G772" s="1" t="str">
        <f ca="1">IFERROR(__xludf.DUMMYFUNCTION("""COMPUTED_VALUE"""),"KZ.7700.02.01.00661191 / Действителен до 15.05.2025 / 0520008KZ08 / годен до 15.05.2025")</f>
        <v>KZ.7700.02.01.00661191 / Действителен до 15.05.2025 / 0520008KZ08 / годен до 15.05.2025</v>
      </c>
      <c r="H772" s="1" t="str">
        <f ca="1">IFERROR(__xludf.DUMMYFUNCTION("""COMPUTED_VALUE"""),"Бандаж на лучезапястный сустав эластичный 8503 M (Болгария) KZ.7700.02.01.00661191 / Действителен до 15.05.2025 / 0520008KZ08 / годен до 15.05.2025")</f>
        <v>Бандаж на лучезапястный сустав эластичный 8503 M (Болгария) KZ.7700.02.01.00661191 / Действителен до 15.05.2025 / 0520008KZ08 / годен до 15.05.2025</v>
      </c>
    </row>
    <row r="773" spans="1:8" ht="12.75" x14ac:dyDescent="0.2">
      <c r="A773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773" s="1" t="str">
        <f ca="1">IFERROR(__xludf.DUMMYFUNCTION("""COMPUTED_VALUE"""),"KZ.7700.02.01.00661190")</f>
        <v>KZ.7700.02.01.00661190</v>
      </c>
      <c r="C773" s="1" t="str">
        <f ca="1">IFERROR(__xludf.DUMMYFUNCTION("""COMPUTED_VALUE"""),"Действителен до 15.05.2025")</f>
        <v>Действителен до 15.05.2025</v>
      </c>
      <c r="D773" s="8" t="str">
        <f ca="1">IFERROR(__xludf.DUMMYFUNCTION("""COMPUTED_VALUE"""),"0520008KZ08")</f>
        <v>0520008KZ08</v>
      </c>
      <c r="E773" s="1" t="str">
        <f ca="1">IFERROR(__xludf.DUMMYFUNCTION("""COMPUTED_VALUE"""),"годен до 15.05.2025")</f>
        <v>годен до 15.05.2025</v>
      </c>
      <c r="F773" s="1" t="str">
        <f ca="1">IFERROR(__xludf.DUMMYFUNCTION("""COMPUTED_VALUE"""),"Бандаж на лучезапястный сустав эластичный 8503 S (Болгария) - 0520008KZ08")</f>
        <v>Бандаж на лучезапястный сустав эластичный 8503 S (Болгария) - 0520008KZ08</v>
      </c>
      <c r="G773" s="1" t="str">
        <f ca="1">IFERROR(__xludf.DUMMYFUNCTION("""COMPUTED_VALUE"""),"KZ.7700.02.01.00661190 / Действителен до 15.05.2025 / 0520008KZ08 / годен до 15.05.2025")</f>
        <v>KZ.7700.02.01.00661190 / Действителен до 15.05.2025 / 0520008KZ08 / годен до 15.05.2025</v>
      </c>
      <c r="H773" s="1" t="str">
        <f ca="1">IFERROR(__xludf.DUMMYFUNCTION("""COMPUTED_VALUE"""),"Бандаж на лучезапястный сустав эластичный 8503 S (Болгария) KZ.7700.02.01.00661190 / Действителен до 15.05.2025 / 0520008KZ08 / годен до 15.05.2025")</f>
        <v>Бандаж на лучезапястный сустав эластичный 8503 S (Болгария) KZ.7700.02.01.00661190 / Действителен до 15.05.2025 / 0520008KZ08 / годен до 15.05.2025</v>
      </c>
    </row>
    <row r="774" spans="1:8" ht="12.75" x14ac:dyDescent="0.2">
      <c r="A774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774" s="1" t="str">
        <f ca="1">IFERROR(__xludf.DUMMYFUNCTION("""COMPUTED_VALUE"""),"KZ.7700.02.01.00661194")</f>
        <v>KZ.7700.02.01.00661194</v>
      </c>
      <c r="C774" s="1" t="str">
        <f ca="1">IFERROR(__xludf.DUMMYFUNCTION("""COMPUTED_VALUE"""),"Действителен до 15.05.2025")</f>
        <v>Действителен до 15.05.2025</v>
      </c>
      <c r="D774" s="8" t="str">
        <f ca="1">IFERROR(__xludf.DUMMYFUNCTION("""COMPUTED_VALUE"""),"0520008KZ08")</f>
        <v>0520008KZ08</v>
      </c>
      <c r="E774" s="1" t="str">
        <f ca="1">IFERROR(__xludf.DUMMYFUNCTION("""COMPUTED_VALUE"""),"годен до 15.05.2025")</f>
        <v>годен до 15.05.2025</v>
      </c>
      <c r="F774" s="1" t="str">
        <f ca="1">IFERROR(__xludf.DUMMYFUNCTION("""COMPUTED_VALUE"""),"Бандаж на лучезапястный сустав легкой фиксации 8505 L/XL (Бежевый) (Болгария) - 0520008KZ08")</f>
        <v>Бандаж на лучезапястный сустав легкой фиксации 8505 L/XL (Бежевый) (Болгария) - 0520008KZ08</v>
      </c>
      <c r="G774" s="1" t="str">
        <f ca="1">IFERROR(__xludf.DUMMYFUNCTION("""COMPUTED_VALUE"""),"KZ.7700.02.01.00661194 / Действителен до 15.05.2025 / 0520008KZ08 / годен до 15.05.2025")</f>
        <v>KZ.7700.02.01.00661194 / Действителен до 15.05.2025 / 0520008KZ08 / годен до 15.05.2025</v>
      </c>
      <c r="H774" s="1" t="str">
        <f ca="1">IFERROR(__xludf.DUMMYFUNCTION("""COMPUTED_VALUE"""),"Бандаж на лучезапястный сустав легкой фиксации 8505 L/XL (Бежевый) (Болгария) KZ.7700.02.01.00661194 / Действителен до 15.05.2025 / 0520008KZ08 / годен до 15.05.2025")</f>
        <v>Бандаж на лучезапястный сустав легкой фиксации 8505 L/XL (Бежевый) (Болгария) KZ.7700.02.01.00661194 / Действителен до 15.05.2025 / 0520008KZ08 / годен до 15.05.2025</v>
      </c>
    </row>
    <row r="775" spans="1:8" ht="12.75" x14ac:dyDescent="0.2">
      <c r="A775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775" s="1" t="str">
        <f ca="1">IFERROR(__xludf.DUMMYFUNCTION("""COMPUTED_VALUE"""),"KZ.7700.02.01.00661193")</f>
        <v>KZ.7700.02.01.00661193</v>
      </c>
      <c r="C775" s="1" t="str">
        <f ca="1">IFERROR(__xludf.DUMMYFUNCTION("""COMPUTED_VALUE"""),"Действителен до 15.05.2025")</f>
        <v>Действителен до 15.05.2025</v>
      </c>
      <c r="D775" s="8" t="str">
        <f ca="1">IFERROR(__xludf.DUMMYFUNCTION("""COMPUTED_VALUE"""),"0520008KZ08")</f>
        <v>0520008KZ08</v>
      </c>
      <c r="E775" s="1" t="str">
        <f ca="1">IFERROR(__xludf.DUMMYFUNCTION("""COMPUTED_VALUE"""),"годен до 15.05.2025")</f>
        <v>годен до 15.05.2025</v>
      </c>
      <c r="F775" s="1" t="str">
        <f ca="1">IFERROR(__xludf.DUMMYFUNCTION("""COMPUTED_VALUE"""),"Бандаж на лучезапястный сустав легкой фиксации 8505 S/M (Бежевый) (Болгария) - 0520008KZ08")</f>
        <v>Бандаж на лучезапястный сустав легкой фиксации 8505 S/M (Бежевый) (Болгария) - 0520008KZ08</v>
      </c>
      <c r="G775" s="1" t="str">
        <f ca="1">IFERROR(__xludf.DUMMYFUNCTION("""COMPUTED_VALUE"""),"KZ.7700.02.01.00661193 / Действителен до 15.05.2025 / 0520008KZ08 / годен до 15.05.2025")</f>
        <v>KZ.7700.02.01.00661193 / Действителен до 15.05.2025 / 0520008KZ08 / годен до 15.05.2025</v>
      </c>
      <c r="H775" s="1" t="str">
        <f ca="1">IFERROR(__xludf.DUMMYFUNCTION("""COMPUTED_VALUE"""),"Бандаж на лучезапястный сустав легкой фиксации 8505 S/M (Бежевый) (Болгария) KZ.7700.02.01.00661193 / Действителен до 15.05.2025 / 0520008KZ08 / годен до 15.05.2025")</f>
        <v>Бандаж на лучезапястный сустав легкой фиксации 8505 S/M (Бежевый) (Болгария) KZ.7700.02.01.00661193 / Действителен до 15.05.2025 / 0520008KZ08 / годен до 15.05.2025</v>
      </c>
    </row>
    <row r="776" spans="1:8" ht="12.75" x14ac:dyDescent="0.2">
      <c r="A776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776" s="1" t="str">
        <f ca="1">IFERROR(__xludf.DUMMYFUNCTION("""COMPUTED_VALUE"""),"KZ.7700.02.01.00661196")</f>
        <v>KZ.7700.02.01.00661196</v>
      </c>
      <c r="C776" s="1" t="str">
        <f ca="1">IFERROR(__xludf.DUMMYFUNCTION("""COMPUTED_VALUE"""),"Действителен до 15.05.2025")</f>
        <v>Действителен до 15.05.2025</v>
      </c>
      <c r="D776" s="8" t="str">
        <f ca="1">IFERROR(__xludf.DUMMYFUNCTION("""COMPUTED_VALUE"""),"0520008KZ08")</f>
        <v>0520008KZ08</v>
      </c>
      <c r="E776" s="1" t="str">
        <f ca="1">IFERROR(__xludf.DUMMYFUNCTION("""COMPUTED_VALUE"""),"годен до 15.05.2025")</f>
        <v>годен до 15.05.2025</v>
      </c>
      <c r="F776" s="1" t="str">
        <f ca="1">IFERROR(__xludf.DUMMYFUNCTION("""COMPUTED_VALUE"""),"Бандаж на лучезапястный сустав с фиксацией пальца 8552 L\XL (Болгария) - 0520008KZ08")</f>
        <v>Бандаж на лучезапястный сустав с фиксацией пальца 8552 L\XL (Болгария) - 0520008KZ08</v>
      </c>
      <c r="G776" s="1" t="str">
        <f ca="1">IFERROR(__xludf.DUMMYFUNCTION("""COMPUTED_VALUE"""),"KZ.7700.02.01.00661196 / Действителен до 15.05.2025 / 0520008KZ08 / годен до 15.05.2025")</f>
        <v>KZ.7700.02.01.00661196 / Действителен до 15.05.2025 / 0520008KZ08 / годен до 15.05.2025</v>
      </c>
      <c r="H776" s="1" t="str">
        <f ca="1">IFERROR(__xludf.DUMMYFUNCTION("""COMPUTED_VALUE"""),"Бандаж на лучезапястный сустав с фиксацией пальца 8552 L\XL (Болгария) KZ.7700.02.01.00661196 / Действителен до 15.05.2025 / 0520008KZ08 / годен до 15.05.2025")</f>
        <v>Бандаж на лучезапястный сустав с фиксацией пальца 8552 L\XL (Болгария) KZ.7700.02.01.00661196 / Действителен до 15.05.2025 / 0520008KZ08 / годен до 15.05.2025</v>
      </c>
    </row>
    <row r="777" spans="1:8" ht="12.75" x14ac:dyDescent="0.2">
      <c r="A777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777" s="1" t="str">
        <f ca="1">IFERROR(__xludf.DUMMYFUNCTION("""COMPUTED_VALUE"""),"KZ.7700.02.01.00661195")</f>
        <v>KZ.7700.02.01.00661195</v>
      </c>
      <c r="C777" s="1" t="str">
        <f ca="1">IFERROR(__xludf.DUMMYFUNCTION("""COMPUTED_VALUE"""),"Действителен до 15.05.2025")</f>
        <v>Действителен до 15.05.2025</v>
      </c>
      <c r="D777" s="8" t="str">
        <f ca="1">IFERROR(__xludf.DUMMYFUNCTION("""COMPUTED_VALUE"""),"0520008KZ08")</f>
        <v>0520008KZ08</v>
      </c>
      <c r="E777" s="1" t="str">
        <f ca="1">IFERROR(__xludf.DUMMYFUNCTION("""COMPUTED_VALUE"""),"годен до 15.05.2025")</f>
        <v>годен до 15.05.2025</v>
      </c>
      <c r="F777" s="1" t="str">
        <f ca="1">IFERROR(__xludf.DUMMYFUNCTION("""COMPUTED_VALUE"""),"Бандаж на лучезапястный сустав с фиксацией пальца 8552 S\M (Болгария) - 0520008KZ08")</f>
        <v>Бандаж на лучезапястный сустав с фиксацией пальца 8552 S\M (Болгария) - 0520008KZ08</v>
      </c>
      <c r="G777" s="1" t="str">
        <f ca="1">IFERROR(__xludf.DUMMYFUNCTION("""COMPUTED_VALUE"""),"KZ.7700.02.01.00661195 / Действителен до 15.05.2025 / 0520008KZ08 / годен до 15.05.2025")</f>
        <v>KZ.7700.02.01.00661195 / Действителен до 15.05.2025 / 0520008KZ08 / годен до 15.05.2025</v>
      </c>
      <c r="H777" s="1" t="str">
        <f ca="1">IFERROR(__xludf.DUMMYFUNCTION("""COMPUTED_VALUE"""),"Бандаж на лучезапястный сустав с фиксацией пальца 8552 S\M (Болгария) KZ.7700.02.01.00661195 / Действителен до 15.05.2025 / 0520008KZ08 / годен до 15.05.2025")</f>
        <v>Бандаж на лучезапястный сустав с фиксацией пальца 8552 S\M (Болгария) KZ.7700.02.01.00661195 / Действителен до 15.05.2025 / 0520008KZ08 / годен до 15.05.2025</v>
      </c>
    </row>
    <row r="778" spans="1:8" ht="12.75" x14ac:dyDescent="0.2">
      <c r="A778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778" s="1" t="str">
        <f ca="1">IFERROR(__xludf.DUMMYFUNCTION("""COMPUTED_VALUE"""),"KZ.7700.02.01.00661199")</f>
        <v>KZ.7700.02.01.00661199</v>
      </c>
      <c r="C778" s="1" t="str">
        <f ca="1">IFERROR(__xludf.DUMMYFUNCTION("""COMPUTED_VALUE"""),"Действителен до 15.05.2025")</f>
        <v>Действителен до 15.05.2025</v>
      </c>
      <c r="D778" s="8" t="str">
        <f ca="1">IFERROR(__xludf.DUMMYFUNCTION("""COMPUTED_VALUE"""),"0520008KZ08")</f>
        <v>0520008KZ08</v>
      </c>
      <c r="E778" s="1" t="str">
        <f ca="1">IFERROR(__xludf.DUMMYFUNCTION("""COMPUTED_VALUE"""),"годен до 15.05.2025")</f>
        <v>годен до 15.05.2025</v>
      </c>
      <c r="F778" s="1" t="str">
        <f ca="1">IFERROR(__xludf.DUMMYFUNCTION("""COMPUTED_VALUE"""),"Бандаж для руки поддерживающий облегченный (косынка) 9912 L (черный) (Болгария) - 0520008KZ08")</f>
        <v>Бандаж для руки поддерживающий облегченный (косынка) 9912 L (черный) (Болгария) - 0520008KZ08</v>
      </c>
      <c r="G778" s="1" t="str">
        <f ca="1">IFERROR(__xludf.DUMMYFUNCTION("""COMPUTED_VALUE"""),"KZ.7700.02.01.00661199 / Действителен до 15.05.2025 / 0520008KZ08 / годен до 15.05.2025")</f>
        <v>KZ.7700.02.01.00661199 / Действителен до 15.05.2025 / 0520008KZ08 / годен до 15.05.2025</v>
      </c>
      <c r="H778" s="1" t="str">
        <f ca="1">IFERROR(__xludf.DUMMYFUNCTION("""COMPUTED_VALUE"""),"Бандаж для руки поддерживающий облегченный (косынка) 9912 L (черный) (Болгария) KZ.7700.02.01.00661199 / Действителен до 15.05.2025 / 0520008KZ08 / годен до 15.05.2025")</f>
        <v>Бандаж для руки поддерживающий облегченный (косынка) 9912 L (черный) (Болгария) KZ.7700.02.01.00661199 / Действителен до 15.05.2025 / 0520008KZ08 / годен до 15.05.2025</v>
      </c>
    </row>
    <row r="779" spans="1:8" ht="12.75" x14ac:dyDescent="0.2">
      <c r="A779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779" s="1" t="str">
        <f ca="1">IFERROR(__xludf.DUMMYFUNCTION("""COMPUTED_VALUE"""),"KZ.7700.02.01.00661202")</f>
        <v>KZ.7700.02.01.00661202</v>
      </c>
      <c r="C779" s="1" t="str">
        <f ca="1">IFERROR(__xludf.DUMMYFUNCTION("""COMPUTED_VALUE"""),"Действителен до 15.05.2025")</f>
        <v>Действителен до 15.05.2025</v>
      </c>
      <c r="D779" s="8" t="str">
        <f ca="1">IFERROR(__xludf.DUMMYFUNCTION("""COMPUTED_VALUE"""),"0520008KZ08")</f>
        <v>0520008KZ08</v>
      </c>
      <c r="E779" s="1" t="str">
        <f ca="1">IFERROR(__xludf.DUMMYFUNCTION("""COMPUTED_VALUE"""),"годен до 15.05.2025")</f>
        <v>годен до 15.05.2025</v>
      </c>
      <c r="F779" s="1" t="str">
        <f ca="1">IFERROR(__xludf.DUMMYFUNCTION("""COMPUTED_VALUE"""),"Бандаж для руки поддерживающий облегченный (косынка) 9912 M (белый) (Болгария) - 0520008KZ08")</f>
        <v>Бандаж для руки поддерживающий облегченный (косынка) 9912 M (белый) (Болгария) - 0520008KZ08</v>
      </c>
      <c r="G779" s="1" t="str">
        <f ca="1">IFERROR(__xludf.DUMMYFUNCTION("""COMPUTED_VALUE"""),"KZ.7700.02.01.00661202 / Действителен до 15.05.2025 / 0520008KZ08 / годен до 15.05.2025")</f>
        <v>KZ.7700.02.01.00661202 / Действителен до 15.05.2025 / 0520008KZ08 / годен до 15.05.2025</v>
      </c>
      <c r="H779" s="1" t="str">
        <f ca="1">IFERROR(__xludf.DUMMYFUNCTION("""COMPUTED_VALUE"""),"Бандаж для руки поддерживающий облегченный (косынка) 9912 M (белый) (Болгария) KZ.7700.02.01.00661202 / Действителен до 15.05.2025 / 0520008KZ08 / годен до 15.05.2025")</f>
        <v>Бандаж для руки поддерживающий облегченный (косынка) 9912 M (белый) (Болгария) KZ.7700.02.01.00661202 / Действителен до 15.05.2025 / 0520008KZ08 / годен до 15.05.2025</v>
      </c>
    </row>
    <row r="780" spans="1:8" ht="12.75" x14ac:dyDescent="0.2">
      <c r="A780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780" s="1" t="str">
        <f ca="1">IFERROR(__xludf.DUMMYFUNCTION("""COMPUTED_VALUE"""),"KZ.7700.02.01.00661198")</f>
        <v>KZ.7700.02.01.00661198</v>
      </c>
      <c r="C780" s="1" t="str">
        <f ca="1">IFERROR(__xludf.DUMMYFUNCTION("""COMPUTED_VALUE"""),"Действителен до 15.05.2025")</f>
        <v>Действителен до 15.05.2025</v>
      </c>
      <c r="D780" s="8" t="str">
        <f ca="1">IFERROR(__xludf.DUMMYFUNCTION("""COMPUTED_VALUE"""),"0520008KZ08")</f>
        <v>0520008KZ08</v>
      </c>
      <c r="E780" s="1" t="str">
        <f ca="1">IFERROR(__xludf.DUMMYFUNCTION("""COMPUTED_VALUE"""),"годен до 15.05.2025")</f>
        <v>годен до 15.05.2025</v>
      </c>
      <c r="F780" s="1" t="str">
        <f ca="1">IFERROR(__xludf.DUMMYFUNCTION("""COMPUTED_VALUE"""),"Бандаж для руки поддерживающий облегченный (косынка) 9912 M (черный) (Болгария) - 0520008KZ08")</f>
        <v>Бандаж для руки поддерживающий облегченный (косынка) 9912 M (черный) (Болгария) - 0520008KZ08</v>
      </c>
      <c r="G780" s="1" t="str">
        <f ca="1">IFERROR(__xludf.DUMMYFUNCTION("""COMPUTED_VALUE"""),"KZ.7700.02.01.00661198 / Действителен до 15.05.2025 / 0520008KZ08 / годен до 15.05.2025")</f>
        <v>KZ.7700.02.01.00661198 / Действителен до 15.05.2025 / 0520008KZ08 / годен до 15.05.2025</v>
      </c>
      <c r="H780" s="1" t="str">
        <f ca="1">IFERROR(__xludf.DUMMYFUNCTION("""COMPUTED_VALUE"""),"Бандаж для руки поддерживающий облегченный (косынка) 9912 M (черный) (Болгария) KZ.7700.02.01.00661198 / Действителен до 15.05.2025 / 0520008KZ08 / годен до 15.05.2025")</f>
        <v>Бандаж для руки поддерживающий облегченный (косынка) 9912 M (черный) (Болгария) KZ.7700.02.01.00661198 / Действителен до 15.05.2025 / 0520008KZ08 / годен до 15.05.2025</v>
      </c>
    </row>
    <row r="781" spans="1:8" ht="12.75" x14ac:dyDescent="0.2">
      <c r="A781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B781" s="1" t="str">
        <f ca="1">IFERROR(__xludf.DUMMYFUNCTION("""COMPUTED_VALUE"""),"KZ.7700.02.01.00661201")</f>
        <v>KZ.7700.02.01.00661201</v>
      </c>
      <c r="C781" s="1" t="str">
        <f ca="1">IFERROR(__xludf.DUMMYFUNCTION("""COMPUTED_VALUE"""),"Действителен до 15.05.2025")</f>
        <v>Действителен до 15.05.2025</v>
      </c>
      <c r="D781" s="8" t="str">
        <f ca="1">IFERROR(__xludf.DUMMYFUNCTION("""COMPUTED_VALUE"""),"0520008KZ08")</f>
        <v>0520008KZ08</v>
      </c>
      <c r="E781" s="1" t="str">
        <f ca="1">IFERROR(__xludf.DUMMYFUNCTION("""COMPUTED_VALUE"""),"годен до 15.05.2025")</f>
        <v>годен до 15.05.2025</v>
      </c>
      <c r="F781" s="1" t="str">
        <f ca="1">IFERROR(__xludf.DUMMYFUNCTION("""COMPUTED_VALUE"""),"Бандаж для руки поддерживающий облегченный (косынка) 9912 S (белый) (Болгария) - 0520008KZ08")</f>
        <v>Бандаж для руки поддерживающий облегченный (косынка) 9912 S (белый) (Болгария) - 0520008KZ08</v>
      </c>
      <c r="G781" s="1" t="str">
        <f ca="1">IFERROR(__xludf.DUMMYFUNCTION("""COMPUTED_VALUE"""),"KZ.7700.02.01.00661201 / Действителен до 15.05.2025 / 0520008KZ08 / годен до 15.05.2025")</f>
        <v>KZ.7700.02.01.00661201 / Действителен до 15.05.2025 / 0520008KZ08 / годен до 15.05.2025</v>
      </c>
      <c r="H781" s="1" t="str">
        <f ca="1">IFERROR(__xludf.DUMMYFUNCTION("""COMPUTED_VALUE"""),"Бандаж для руки поддерживающий облегченный (косынка) 9912 S (белый) (Болгария) KZ.7700.02.01.00661201 / Действителен до 15.05.2025 / 0520008KZ08 / годен до 15.05.2025")</f>
        <v>Бандаж для руки поддерживающий облегченный (косынка) 9912 S (белый) (Болгария) KZ.7700.02.01.00661201 / Действителен до 15.05.2025 / 0520008KZ08 / годен до 15.05.2025</v>
      </c>
    </row>
    <row r="782" spans="1:8" ht="12.75" x14ac:dyDescent="0.2">
      <c r="A782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782" s="1" t="str">
        <f ca="1">IFERROR(__xludf.DUMMYFUNCTION("""COMPUTED_VALUE"""),"KZ.7700.02.01.00661197")</f>
        <v>KZ.7700.02.01.00661197</v>
      </c>
      <c r="C782" s="1" t="str">
        <f ca="1">IFERROR(__xludf.DUMMYFUNCTION("""COMPUTED_VALUE"""),"Действителен до 15.05.2025")</f>
        <v>Действителен до 15.05.2025</v>
      </c>
      <c r="D782" s="8" t="str">
        <f ca="1">IFERROR(__xludf.DUMMYFUNCTION("""COMPUTED_VALUE"""),"0520008KZ08")</f>
        <v>0520008KZ08</v>
      </c>
      <c r="E782" s="1" t="str">
        <f ca="1">IFERROR(__xludf.DUMMYFUNCTION("""COMPUTED_VALUE"""),"годен до 15.05.2025")</f>
        <v>годен до 15.05.2025</v>
      </c>
      <c r="F782" s="1" t="str">
        <f ca="1">IFERROR(__xludf.DUMMYFUNCTION("""COMPUTED_VALUE"""),"Бандаж для руки поддерживающий облегченный (косынка) 9912 S (черный) (Болгария) - 0520008KZ08")</f>
        <v>Бандаж для руки поддерживающий облегченный (косынка) 9912 S (черный) (Болгария) - 0520008KZ08</v>
      </c>
      <c r="G782" s="1" t="str">
        <f ca="1">IFERROR(__xludf.DUMMYFUNCTION("""COMPUTED_VALUE"""),"KZ.7700.02.01.00661197 / Действителен до 15.05.2025 / 0520008KZ08 / годен до 15.05.2025")</f>
        <v>KZ.7700.02.01.00661197 / Действителен до 15.05.2025 / 0520008KZ08 / годен до 15.05.2025</v>
      </c>
      <c r="H782" s="1" t="str">
        <f ca="1">IFERROR(__xludf.DUMMYFUNCTION("""COMPUTED_VALUE"""),"Бандаж для руки поддерживающий облегченный (косынка) 9912 S (черный) (Болгария) KZ.7700.02.01.00661197 / Действителен до 15.05.2025 / 0520008KZ08 / годен до 15.05.2025")</f>
        <v>Бандаж для руки поддерживающий облегченный (косынка) 9912 S (черный) (Болгария) KZ.7700.02.01.00661197 / Действителен до 15.05.2025 / 0520008KZ08 / годен до 15.05.2025</v>
      </c>
    </row>
    <row r="783" spans="1:8" ht="12.75" x14ac:dyDescent="0.2">
      <c r="A783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783" s="1" t="str">
        <f ca="1">IFERROR(__xludf.DUMMYFUNCTION("""COMPUTED_VALUE"""),"KZ.7700.02.01.00661200")</f>
        <v>KZ.7700.02.01.00661200</v>
      </c>
      <c r="C783" s="1" t="str">
        <f ca="1">IFERROR(__xludf.DUMMYFUNCTION("""COMPUTED_VALUE"""),"Действителен до 15.05.2025")</f>
        <v>Действителен до 15.05.2025</v>
      </c>
      <c r="D783" s="8" t="str">
        <f ca="1">IFERROR(__xludf.DUMMYFUNCTION("""COMPUTED_VALUE"""),"0520008KZ08")</f>
        <v>0520008KZ08</v>
      </c>
      <c r="E783" s="1" t="str">
        <f ca="1">IFERROR(__xludf.DUMMYFUNCTION("""COMPUTED_VALUE"""),"годен до 15.05.2025")</f>
        <v>годен до 15.05.2025</v>
      </c>
      <c r="F783" s="1" t="str">
        <f ca="1">IFERROR(__xludf.DUMMYFUNCTION("""COMPUTED_VALUE"""),"Бандаж для руки поддерживающий облегченный (косынка) 9912 XL (черный) (Болгария) - 0520008KZ08")</f>
        <v>Бандаж для руки поддерживающий облегченный (косынка) 9912 XL (черный) (Болгария) - 0520008KZ08</v>
      </c>
      <c r="G783" s="1" t="str">
        <f ca="1">IFERROR(__xludf.DUMMYFUNCTION("""COMPUTED_VALUE"""),"KZ.7700.02.01.00661200 / Действителен до 15.05.2025 / 0520008KZ08 / годен до 15.05.2025")</f>
        <v>KZ.7700.02.01.00661200 / Действителен до 15.05.2025 / 0520008KZ08 / годен до 15.05.2025</v>
      </c>
      <c r="H783" s="1" t="str">
        <f ca="1">IFERROR(__xludf.DUMMYFUNCTION("""COMPUTED_VALUE"""),"Бандаж для руки поддерживающий облегченный (косынка) 9912 XL (черный) (Болгария) KZ.7700.02.01.00661200 / Действителен до 15.05.2025 / 0520008KZ08 / годен до 15.05.2025")</f>
        <v>Бандаж для руки поддерживающий облегченный (косынка) 9912 XL (черный) (Болгария) KZ.7700.02.01.00661200 / Действителен до 15.05.2025 / 0520008KZ08 / годен до 15.05.2025</v>
      </c>
    </row>
    <row r="784" spans="1:8" ht="12.75" x14ac:dyDescent="0.2">
      <c r="A784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784" s="1" t="str">
        <f ca="1">IFERROR(__xludf.DUMMYFUNCTION("""COMPUTED_VALUE"""),"KZ.7700.02.01.00680469")</f>
        <v>KZ.7700.02.01.00680469</v>
      </c>
      <c r="C784" s="1" t="str">
        <f ca="1">IFERROR(__xludf.DUMMYFUNCTION("""COMPUTED_VALUE"""),"Действителен до 15.05.2025")</f>
        <v>Действителен до 15.05.2025</v>
      </c>
      <c r="D784" s="8" t="str">
        <f ca="1">IFERROR(__xludf.DUMMYFUNCTION("""COMPUTED_VALUE"""),"0520008KZ08")</f>
        <v>0520008KZ08</v>
      </c>
      <c r="E784" s="1" t="str">
        <f ca="1">IFERROR(__xludf.DUMMYFUNCTION("""COMPUTED_VALUE"""),"годен до 15.05.2025")</f>
        <v>годен до 15.05.2025</v>
      </c>
      <c r="F784" s="1" t="str">
        <f ca="1">IFERROR(__xludf.DUMMYFUNCTION("""COMPUTED_VALUE"""),"Бинт эластичный медицинский средней растяжимости (ширина 80 мм) 02х80х1 - 0520008KZ08")</f>
        <v>Бинт эластичный медицинский средней растяжимости (ширина 80 мм) 02х80х1 - 0520008KZ08</v>
      </c>
      <c r="G784" s="1" t="str">
        <f ca="1">IFERROR(__xludf.DUMMYFUNCTION("""COMPUTED_VALUE"""),"KZ.7700.02.01.00680469 / Действителен до 15.05.2025 / 0520008KZ08 / годен до 15.05.2025")</f>
        <v>KZ.7700.02.01.00680469 / Действителен до 15.05.2025 / 0520008KZ08 / годен до 15.05.2025</v>
      </c>
      <c r="H784" s="1" t="str">
        <f ca="1">IFERROR(__xludf.DUMMYFUNCTION("""COMPUTED_VALUE"""),"Бинт эластичный медицинский средней растяжимости (ширина 80 мм) 02х80х1 KZ.7700.02.01.00680469 / Действителен до 15.05.2025 / 0520008KZ08 / годен до 15.05.2025")</f>
        <v>Бинт эластичный медицинский средней растяжимости (ширина 80 мм) 02х80х1 KZ.7700.02.01.00680469 / Действителен до 15.05.2025 / 0520008KZ08 / годен до 15.05.2025</v>
      </c>
    </row>
    <row r="785" spans="1:8" ht="12.75" x14ac:dyDescent="0.2">
      <c r="A785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785" s="1" t="str">
        <f ca="1">IFERROR(__xludf.DUMMYFUNCTION("""COMPUTED_VALUE"""),"KZ.7700.02.01.00680470")</f>
        <v>KZ.7700.02.01.00680470</v>
      </c>
      <c r="C785" s="1" t="str">
        <f ca="1">IFERROR(__xludf.DUMMYFUNCTION("""COMPUTED_VALUE"""),"Действителен до 15.05.2025")</f>
        <v>Действителен до 15.05.2025</v>
      </c>
      <c r="D785" s="8" t="str">
        <f ca="1">IFERROR(__xludf.DUMMYFUNCTION("""COMPUTED_VALUE"""),"0520008KZ08")</f>
        <v>0520008KZ08</v>
      </c>
      <c r="E785" s="1" t="str">
        <f ca="1">IFERROR(__xludf.DUMMYFUNCTION("""COMPUTED_VALUE"""),"годен до 15.05.2025")</f>
        <v>годен до 15.05.2025</v>
      </c>
      <c r="F785" s="1" t="str">
        <f ca="1">IFERROR(__xludf.DUMMYFUNCTION("""COMPUTED_VALUE"""),"Бинт эластичный медицинский средней растяжимости (ширина 80 мм) 02х80х1.5 - 0520008KZ08")</f>
        <v>Бинт эластичный медицинский средней растяжимости (ширина 80 мм) 02х80х1.5 - 0520008KZ08</v>
      </c>
      <c r="G785" s="1" t="str">
        <f ca="1">IFERROR(__xludf.DUMMYFUNCTION("""COMPUTED_VALUE"""),"KZ.7700.02.01.00680470 / Действителен до 15.05.2025 / 0520008KZ08 / годен до 15.05.2025")</f>
        <v>KZ.7700.02.01.00680470 / Действителен до 15.05.2025 / 0520008KZ08 / годен до 15.05.2025</v>
      </c>
      <c r="H785" s="1" t="str">
        <f ca="1">IFERROR(__xludf.DUMMYFUNCTION("""COMPUTED_VALUE"""),"Бинт эластичный медицинский средней растяжимости (ширина 80 мм) 02х80х1.5 KZ.7700.02.01.00680470 / Действителен до 15.05.2025 / 0520008KZ08 / годен до 15.05.2025")</f>
        <v>Бинт эластичный медицинский средней растяжимости (ширина 80 мм) 02х80х1.5 KZ.7700.02.01.00680470 / Действителен до 15.05.2025 / 0520008KZ08 / годен до 15.05.2025</v>
      </c>
    </row>
    <row r="786" spans="1:8" ht="12.75" x14ac:dyDescent="0.2">
      <c r="A786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786" s="1" t="str">
        <f ca="1">IFERROR(__xludf.DUMMYFUNCTION("""COMPUTED_VALUE"""),"KZ.7700.02.01.00680471")</f>
        <v>KZ.7700.02.01.00680471</v>
      </c>
      <c r="C786" s="1" t="str">
        <f ca="1">IFERROR(__xludf.DUMMYFUNCTION("""COMPUTED_VALUE"""),"Действителен до 15.05.2025")</f>
        <v>Действителен до 15.05.2025</v>
      </c>
      <c r="D786" s="8" t="str">
        <f ca="1">IFERROR(__xludf.DUMMYFUNCTION("""COMPUTED_VALUE"""),"0520008KZ08")</f>
        <v>0520008KZ08</v>
      </c>
      <c r="E786" s="1" t="str">
        <f ca="1">IFERROR(__xludf.DUMMYFUNCTION("""COMPUTED_VALUE"""),"годен до 15.05.2025")</f>
        <v>годен до 15.05.2025</v>
      </c>
      <c r="F786" s="1" t="str">
        <f ca="1">IFERROR(__xludf.DUMMYFUNCTION("""COMPUTED_VALUE"""),"Бинт эластичный медицинский средней растяжимости (ширина 80 мм) 02х80х2 - 0520008KZ08")</f>
        <v>Бинт эластичный медицинский средней растяжимости (ширина 80 мм) 02х80х2 - 0520008KZ08</v>
      </c>
      <c r="G786" s="1" t="str">
        <f ca="1">IFERROR(__xludf.DUMMYFUNCTION("""COMPUTED_VALUE"""),"KZ.7700.02.01.00680471 / Действителен до 15.05.2025 / 0520008KZ08 / годен до 15.05.2025")</f>
        <v>KZ.7700.02.01.00680471 / Действителен до 15.05.2025 / 0520008KZ08 / годен до 15.05.2025</v>
      </c>
      <c r="H786" s="1" t="str">
        <f ca="1">IFERROR(__xludf.DUMMYFUNCTION("""COMPUTED_VALUE"""),"Бинт эластичный медицинский средней растяжимости (ширина 80 мм) 02х80х2 KZ.7700.02.01.00680471 / Действителен до 15.05.2025 / 0520008KZ08 / годен до 15.05.2025")</f>
        <v>Бинт эластичный медицинский средней растяжимости (ширина 80 мм) 02х80х2 KZ.7700.02.01.00680471 / Действителен до 15.05.2025 / 0520008KZ08 / годен до 15.05.2025</v>
      </c>
    </row>
    <row r="787" spans="1:8" ht="12.75" x14ac:dyDescent="0.2">
      <c r="A787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787" s="1" t="str">
        <f ca="1">IFERROR(__xludf.DUMMYFUNCTION("""COMPUTED_VALUE"""),"KZ.7700.02.01.00680472")</f>
        <v>KZ.7700.02.01.00680472</v>
      </c>
      <c r="C787" s="1" t="str">
        <f ca="1">IFERROR(__xludf.DUMMYFUNCTION("""COMPUTED_VALUE"""),"Действителен до 15.05.2025")</f>
        <v>Действителен до 15.05.2025</v>
      </c>
      <c r="D787" s="8" t="str">
        <f ca="1">IFERROR(__xludf.DUMMYFUNCTION("""COMPUTED_VALUE"""),"0520008KZ08")</f>
        <v>0520008KZ08</v>
      </c>
      <c r="E787" s="1" t="str">
        <f ca="1">IFERROR(__xludf.DUMMYFUNCTION("""COMPUTED_VALUE"""),"годен до 15.05.2025")</f>
        <v>годен до 15.05.2025</v>
      </c>
      <c r="F787" s="1" t="str">
        <f ca="1">IFERROR(__xludf.DUMMYFUNCTION("""COMPUTED_VALUE"""),"Бинт эластичный медицинский средней растяжимости (ширина 80 мм) 02х80х2.5 - 0520008KZ08")</f>
        <v>Бинт эластичный медицинский средней растяжимости (ширина 80 мм) 02х80х2.5 - 0520008KZ08</v>
      </c>
      <c r="G787" s="1" t="str">
        <f ca="1">IFERROR(__xludf.DUMMYFUNCTION("""COMPUTED_VALUE"""),"KZ.7700.02.01.00680472 / Действителен до 15.05.2025 / 0520008KZ08 / годен до 15.05.2025")</f>
        <v>KZ.7700.02.01.00680472 / Действителен до 15.05.2025 / 0520008KZ08 / годен до 15.05.2025</v>
      </c>
      <c r="H787" s="1" t="str">
        <f ca="1">IFERROR(__xludf.DUMMYFUNCTION("""COMPUTED_VALUE"""),"Бинт эластичный медицинский средней растяжимости (ширина 80 мм) 02х80х2.5 KZ.7700.02.01.00680472 / Действителен до 15.05.2025 / 0520008KZ08 / годен до 15.05.2025")</f>
        <v>Бинт эластичный медицинский средней растяжимости (ширина 80 мм) 02х80х2.5 KZ.7700.02.01.00680472 / Действителен до 15.05.2025 / 0520008KZ08 / годен до 15.05.2025</v>
      </c>
    </row>
    <row r="788" spans="1:8" ht="12.75" x14ac:dyDescent="0.2">
      <c r="A788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788" s="1" t="str">
        <f ca="1">IFERROR(__xludf.DUMMYFUNCTION("""COMPUTED_VALUE"""),"KZ.7700.02.01.00680473")</f>
        <v>KZ.7700.02.01.00680473</v>
      </c>
      <c r="C788" s="1" t="str">
        <f ca="1">IFERROR(__xludf.DUMMYFUNCTION("""COMPUTED_VALUE"""),"Действителен до 15.05.2025")</f>
        <v>Действителен до 15.05.2025</v>
      </c>
      <c r="D788" s="8" t="str">
        <f ca="1">IFERROR(__xludf.DUMMYFUNCTION("""COMPUTED_VALUE"""),"0520008KZ08")</f>
        <v>0520008KZ08</v>
      </c>
      <c r="E788" s="1" t="str">
        <f ca="1">IFERROR(__xludf.DUMMYFUNCTION("""COMPUTED_VALUE"""),"годен до 15.05.2025")</f>
        <v>годен до 15.05.2025</v>
      </c>
      <c r="F788" s="1" t="str">
        <f ca="1">IFERROR(__xludf.DUMMYFUNCTION("""COMPUTED_VALUE"""),"Бинт эластичный медицинский средней растяжимости (ширина 80 мм) 02х80х3 - 0520008KZ08")</f>
        <v>Бинт эластичный медицинский средней растяжимости (ширина 80 мм) 02х80х3 - 0520008KZ08</v>
      </c>
      <c r="G788" s="1" t="str">
        <f ca="1">IFERROR(__xludf.DUMMYFUNCTION("""COMPUTED_VALUE"""),"KZ.7700.02.01.00680473 / Действителен до 15.05.2025 / 0520008KZ08 / годен до 15.05.2025")</f>
        <v>KZ.7700.02.01.00680473 / Действителен до 15.05.2025 / 0520008KZ08 / годен до 15.05.2025</v>
      </c>
      <c r="H788" s="1" t="str">
        <f ca="1">IFERROR(__xludf.DUMMYFUNCTION("""COMPUTED_VALUE"""),"Бинт эластичный медицинский средней растяжимости (ширина 80 мм) 02х80х3 KZ.7700.02.01.00680473 / Действителен до 15.05.2025 / 0520008KZ08 / годен до 15.05.2025")</f>
        <v>Бинт эластичный медицинский средней растяжимости (ширина 80 мм) 02х80х3 KZ.7700.02.01.00680473 / Действителен до 15.05.2025 / 0520008KZ08 / годен до 15.05.2025</v>
      </c>
    </row>
    <row r="789" spans="1:8" ht="12.75" x14ac:dyDescent="0.2">
      <c r="A789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789" s="1" t="str">
        <f ca="1">IFERROR(__xludf.DUMMYFUNCTION("""COMPUTED_VALUE"""),"KZ.7700.02.01.00680474")</f>
        <v>KZ.7700.02.01.00680474</v>
      </c>
      <c r="C789" s="1" t="str">
        <f ca="1">IFERROR(__xludf.DUMMYFUNCTION("""COMPUTED_VALUE"""),"Действителен до 15.05.2025")</f>
        <v>Действителен до 15.05.2025</v>
      </c>
      <c r="D789" s="8" t="str">
        <f ca="1">IFERROR(__xludf.DUMMYFUNCTION("""COMPUTED_VALUE"""),"0520008KZ08")</f>
        <v>0520008KZ08</v>
      </c>
      <c r="E789" s="1" t="str">
        <f ca="1">IFERROR(__xludf.DUMMYFUNCTION("""COMPUTED_VALUE"""),"годен до 15.05.2025")</f>
        <v>годен до 15.05.2025</v>
      </c>
      <c r="F789" s="1" t="str">
        <f ca="1">IFERROR(__xludf.DUMMYFUNCTION("""COMPUTED_VALUE"""),"Бинт эластичный медицинский средней растяжимости (ширина 80 мм) 02х80х3.5 - 0520008KZ08")</f>
        <v>Бинт эластичный медицинский средней растяжимости (ширина 80 мм) 02х80х3.5 - 0520008KZ08</v>
      </c>
      <c r="G789" s="1" t="str">
        <f ca="1">IFERROR(__xludf.DUMMYFUNCTION("""COMPUTED_VALUE"""),"KZ.7700.02.01.00680474 / Действителен до 15.05.2025 / 0520008KZ08 / годен до 15.05.2025")</f>
        <v>KZ.7700.02.01.00680474 / Действителен до 15.05.2025 / 0520008KZ08 / годен до 15.05.2025</v>
      </c>
      <c r="H789" s="1" t="str">
        <f ca="1">IFERROR(__xludf.DUMMYFUNCTION("""COMPUTED_VALUE"""),"Бинт эластичный медицинский средней растяжимости (ширина 80 мм) 02х80х3.5 KZ.7700.02.01.00680474 / Действителен до 15.05.2025 / 0520008KZ08 / годен до 15.05.2025")</f>
        <v>Бинт эластичный медицинский средней растяжимости (ширина 80 мм) 02х80х3.5 KZ.7700.02.01.00680474 / Действителен до 15.05.2025 / 0520008KZ08 / годен до 15.05.2025</v>
      </c>
    </row>
    <row r="790" spans="1:8" ht="12.75" x14ac:dyDescent="0.2">
      <c r="A790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790" s="1" t="str">
        <f ca="1">IFERROR(__xludf.DUMMYFUNCTION("""COMPUTED_VALUE"""),"KZ.7700.02.01.00680476")</f>
        <v>KZ.7700.02.01.00680476</v>
      </c>
      <c r="C790" s="1" t="str">
        <f ca="1">IFERROR(__xludf.DUMMYFUNCTION("""COMPUTED_VALUE"""),"Действителен до 27.07.2025")</f>
        <v>Действителен до 27.07.2025</v>
      </c>
      <c r="D790" s="8" t="str">
        <f ca="1">IFERROR(__xludf.DUMMYFUNCTION("""COMPUTED_VALUE"""),"0720056KZ56")</f>
        <v>0720056KZ56</v>
      </c>
      <c r="E790" s="1" t="str">
        <f ca="1">IFERROR(__xludf.DUMMYFUNCTION("""COMPUTED_VALUE"""),"годен до 27.07.2025")</f>
        <v>годен до 27.07.2025</v>
      </c>
      <c r="F790" s="1" t="str">
        <f ca="1">IFERROR(__xludf.DUMMYFUNCTION("""COMPUTED_VALUE"""),"Бинт эластичный медицинский средней растяжимости (ширина 80 мм) 02х80х4 - 0720056KZ56")</f>
        <v>Бинт эластичный медицинский средней растяжимости (ширина 80 мм) 02х80х4 - 0720056KZ56</v>
      </c>
      <c r="G790" s="1" t="str">
        <f ca="1">IFERROR(__xludf.DUMMYFUNCTION("""COMPUTED_VALUE"""),"KZ.7700.02.01.00680476 / Действителен до 27.07.2025 / 0720056KZ56 / годен до 27.07.2025")</f>
        <v>KZ.7700.02.01.00680476 / Действителен до 27.07.2025 / 0720056KZ56 / годен до 27.07.2025</v>
      </c>
      <c r="H790" s="1" t="str">
        <f ca="1">IFERROR(__xludf.DUMMYFUNCTION("""COMPUTED_VALUE"""),"Бинт эластичный медицинский средней растяжимости (ширина 80 мм) 02х80х4 KZ.7700.02.01.00680476 / Действителен до 27.07.2025 / 0720056KZ56 / годен до 27.07.2025")</f>
        <v>Бинт эластичный медицинский средней растяжимости (ширина 80 мм) 02х80х4 KZ.7700.02.01.00680476 / Действителен до 27.07.2025 / 0720056KZ56 / годен до 27.07.2025</v>
      </c>
    </row>
    <row r="791" spans="1:8" ht="12.75" x14ac:dyDescent="0.2">
      <c r="A791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791" s="1" t="str">
        <f ca="1">IFERROR(__xludf.DUMMYFUNCTION("""COMPUTED_VALUE"""),"KZ.7700.02.01.00680475")</f>
        <v>KZ.7700.02.01.00680475</v>
      </c>
      <c r="C791" s="1" t="str">
        <f ca="1">IFERROR(__xludf.DUMMYFUNCTION("""COMPUTED_VALUE"""),"Действителен до 15.05.2025")</f>
        <v>Действителен до 15.05.2025</v>
      </c>
      <c r="D791" s="8" t="str">
        <f ca="1">IFERROR(__xludf.DUMMYFUNCTION("""COMPUTED_VALUE"""),"0520008KZ08")</f>
        <v>0520008KZ08</v>
      </c>
      <c r="E791" s="1" t="str">
        <f ca="1">IFERROR(__xludf.DUMMYFUNCTION("""COMPUTED_VALUE"""),"годен до 15.05.2025")</f>
        <v>годен до 15.05.2025</v>
      </c>
      <c r="F791" s="1" t="str">
        <f ca="1">IFERROR(__xludf.DUMMYFUNCTION("""COMPUTED_VALUE"""),"Бинт эластичный медицинский средней растяжимости (ширина 80 мм) 02х80х4 - 0520008KZ08")</f>
        <v>Бинт эластичный медицинский средней растяжимости (ширина 80 мм) 02х80х4 - 0520008KZ08</v>
      </c>
      <c r="G791" s="1" t="str">
        <f ca="1">IFERROR(__xludf.DUMMYFUNCTION("""COMPUTED_VALUE"""),"KZ.7700.02.01.00680475 / Действителен до 15.05.2025 / 0520008KZ08 / годен до 15.05.2025")</f>
        <v>KZ.7700.02.01.00680475 / Действителен до 15.05.2025 / 0520008KZ08 / годен до 15.05.2025</v>
      </c>
      <c r="H791" s="1" t="str">
        <f ca="1">IFERROR(__xludf.DUMMYFUNCTION("""COMPUTED_VALUE"""),"Бинт эластичный медицинский средней растяжимости (ширина 80 мм) 02х80х4 KZ.7700.02.01.00680475 / Действителен до 15.05.2025 / 0520008KZ08 / годен до 15.05.2025")</f>
        <v>Бинт эластичный медицинский средней растяжимости (ширина 80 мм) 02х80х4 KZ.7700.02.01.00680475 / Действителен до 15.05.2025 / 0520008KZ08 / годен до 15.05.2025</v>
      </c>
    </row>
    <row r="792" spans="1:8" ht="12.75" x14ac:dyDescent="0.2">
      <c r="A792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792" s="1" t="str">
        <f ca="1">IFERROR(__xludf.DUMMYFUNCTION("""COMPUTED_VALUE"""),"KZ.7700.02.01.00680477")</f>
        <v>KZ.7700.02.01.00680477</v>
      </c>
      <c r="C792" s="1" t="str">
        <f ca="1">IFERROR(__xludf.DUMMYFUNCTION("""COMPUTED_VALUE"""),"Действителен до 15.05.2025")</f>
        <v>Действителен до 15.05.2025</v>
      </c>
      <c r="D792" s="8" t="str">
        <f ca="1">IFERROR(__xludf.DUMMYFUNCTION("""COMPUTED_VALUE"""),"0520008KZ08")</f>
        <v>0520008KZ08</v>
      </c>
      <c r="E792" s="1" t="str">
        <f ca="1">IFERROR(__xludf.DUMMYFUNCTION("""COMPUTED_VALUE"""),"годен до 15.05.2025")</f>
        <v>годен до 15.05.2025</v>
      </c>
      <c r="F792" s="1" t="str">
        <f ca="1">IFERROR(__xludf.DUMMYFUNCTION("""COMPUTED_VALUE"""),"Бинт эластичный медицинский средней растяжимости (ширина 80 мм) 02х80х5 - 0520008KZ08")</f>
        <v>Бинт эластичный медицинский средней растяжимости (ширина 80 мм) 02х80х5 - 0520008KZ08</v>
      </c>
      <c r="G792" s="1" t="str">
        <f ca="1">IFERROR(__xludf.DUMMYFUNCTION("""COMPUTED_VALUE"""),"KZ.7700.02.01.00680477 / Действителен до 15.05.2025 / 0520008KZ08 / годен до 15.05.2025")</f>
        <v>KZ.7700.02.01.00680477 / Действителен до 15.05.2025 / 0520008KZ08 / годен до 15.05.2025</v>
      </c>
      <c r="H792" s="1" t="str">
        <f ca="1">IFERROR(__xludf.DUMMYFUNCTION("""COMPUTED_VALUE"""),"Бинт эластичный медицинский средней растяжимости (ширина 80 мм) 02х80х5 KZ.7700.02.01.00680477 / Действителен до 15.05.2025 / 0520008KZ08 / годен до 15.05.2025")</f>
        <v>Бинт эластичный медицинский средней растяжимости (ширина 80 мм) 02х80х5 KZ.7700.02.01.00680477 / Действителен до 15.05.2025 / 0520008KZ08 / годен до 15.05.2025</v>
      </c>
    </row>
    <row r="793" spans="1:8" ht="12.75" x14ac:dyDescent="0.2">
      <c r="A793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793" s="1" t="str">
        <f ca="1">IFERROR(__xludf.DUMMYFUNCTION("""COMPUTED_VALUE"""),"KZ.7700.02.01.00680478")</f>
        <v>KZ.7700.02.01.00680478</v>
      </c>
      <c r="C793" s="1" t="str">
        <f ca="1">IFERROR(__xludf.DUMMYFUNCTION("""COMPUTED_VALUE"""),"Действителен до 27.07.2025")</f>
        <v>Действителен до 27.07.2025</v>
      </c>
      <c r="D793" s="8" t="str">
        <f ca="1">IFERROR(__xludf.DUMMYFUNCTION("""COMPUTED_VALUE"""),"0720056KZ56")</f>
        <v>0720056KZ56</v>
      </c>
      <c r="E793" s="1" t="str">
        <f ca="1">IFERROR(__xludf.DUMMYFUNCTION("""COMPUTED_VALUE"""),"годен до 27.07.2025")</f>
        <v>годен до 27.07.2025</v>
      </c>
      <c r="F793" s="1" t="str">
        <f ca="1">IFERROR(__xludf.DUMMYFUNCTION("""COMPUTED_VALUE"""),"Бинт эластичный медицинский средней растяжимости (ширина 80 мм) 02х80х5 - 0720056KZ56")</f>
        <v>Бинт эластичный медицинский средней растяжимости (ширина 80 мм) 02х80х5 - 0720056KZ56</v>
      </c>
      <c r="G793" s="1" t="str">
        <f ca="1">IFERROR(__xludf.DUMMYFUNCTION("""COMPUTED_VALUE"""),"KZ.7700.02.01.00680478 / Действителен до 27.07.2025 / 0720056KZ56 / годен до 27.07.2025")</f>
        <v>KZ.7700.02.01.00680478 / Действителен до 27.07.2025 / 0720056KZ56 / годен до 27.07.2025</v>
      </c>
      <c r="H793" s="1" t="str">
        <f ca="1">IFERROR(__xludf.DUMMYFUNCTION("""COMPUTED_VALUE"""),"Бинт эластичный медицинский средней растяжимости (ширина 80 мм) 02х80х5 KZ.7700.02.01.00680478 / Действителен до 27.07.2025 / 0720056KZ56 / годен до 27.07.2025")</f>
        <v>Бинт эластичный медицинский средней растяжимости (ширина 80 мм) 02х80х5 KZ.7700.02.01.00680478 / Действителен до 27.07.2025 / 0720056KZ56 / годен до 27.07.2025</v>
      </c>
    </row>
    <row r="794" spans="1:8" ht="12.75" x14ac:dyDescent="0.2">
      <c r="A794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794" s="1" t="str">
        <f ca="1">IFERROR(__xludf.DUMMYFUNCTION("""COMPUTED_VALUE"""),"KZ.7700.02.01.00680405")</f>
        <v>KZ.7700.02.01.00680405</v>
      </c>
      <c r="C794" s="1" t="str">
        <f ca="1">IFERROR(__xludf.DUMMYFUNCTION("""COMPUTED_VALUE"""),"Действителен до 27.07.2025")</f>
        <v>Действителен до 27.07.2025</v>
      </c>
      <c r="D794" s="8" t="str">
        <f ca="1">IFERROR(__xludf.DUMMYFUNCTION("""COMPUTED_VALUE"""),"0720056KZ56")</f>
        <v>0720056KZ56</v>
      </c>
      <c r="E794" s="1" t="str">
        <f ca="1">IFERROR(__xludf.DUMMYFUNCTION("""COMPUTED_VALUE"""),"годен до 27.07.2025")</f>
        <v>годен до 27.07.2025</v>
      </c>
      <c r="F794" s="1" t="str">
        <f ca="1">IFERROR(__xludf.DUMMYFUNCTION("""COMPUTED_VALUE"""),"Бандаж на шейный отдел позвоночника мягкой фиксацией 1001 I(S) (Болгария) - 0720056KZ56")</f>
        <v>Бандаж на шейный отдел позвоночника мягкой фиксацией 1001 I(S) (Болгария) - 0720056KZ56</v>
      </c>
      <c r="G794" s="1" t="str">
        <f ca="1">IFERROR(__xludf.DUMMYFUNCTION("""COMPUTED_VALUE"""),"KZ.7700.02.01.00680405 / Действителен до 27.07.2025 / 0720056KZ56 / годен до 27.07.2025")</f>
        <v>KZ.7700.02.01.00680405 / Действителен до 27.07.2025 / 0720056KZ56 / годен до 27.07.2025</v>
      </c>
      <c r="H794" s="1" t="str">
        <f ca="1">IFERROR(__xludf.DUMMYFUNCTION("""COMPUTED_VALUE"""),"Бандаж на шейный отдел позвоночника мягкой фиксацией 1001 I(S) (Болгария) KZ.7700.02.01.00680405 / Действителен до 27.07.2025 / 0720056KZ56 / годен до 27.07.2025")</f>
        <v>Бандаж на шейный отдел позвоночника мягкой фиксацией 1001 I(S) (Болгария) KZ.7700.02.01.00680405 / Действителен до 27.07.2025 / 0720056KZ56 / годен до 27.07.2025</v>
      </c>
    </row>
    <row r="795" spans="1:8" ht="12.75" x14ac:dyDescent="0.2">
      <c r="A795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795" s="1" t="str">
        <f ca="1">IFERROR(__xludf.DUMMYFUNCTION("""COMPUTED_VALUE"""),"KZ.7700.02.01.00680406")</f>
        <v>KZ.7700.02.01.00680406</v>
      </c>
      <c r="C795" s="1" t="str">
        <f ca="1">IFERROR(__xludf.DUMMYFUNCTION("""COMPUTED_VALUE"""),"Действителен до 27.07.2025")</f>
        <v>Действителен до 27.07.2025</v>
      </c>
      <c r="D795" s="8" t="str">
        <f ca="1">IFERROR(__xludf.DUMMYFUNCTION("""COMPUTED_VALUE"""),"0720056KZ56")</f>
        <v>0720056KZ56</v>
      </c>
      <c r="E795" s="1" t="str">
        <f ca="1">IFERROR(__xludf.DUMMYFUNCTION("""COMPUTED_VALUE"""),"годен до 27.07.2025")</f>
        <v>годен до 27.07.2025</v>
      </c>
      <c r="F795" s="1" t="str">
        <f ca="1">IFERROR(__xludf.DUMMYFUNCTION("""COMPUTED_VALUE"""),"Бандаж на шейный отдел позвоночника мягкой фиксацией 1001 II(M) (Болгария) - 0720056KZ56")</f>
        <v>Бандаж на шейный отдел позвоночника мягкой фиксацией 1001 II(M) (Болгария) - 0720056KZ56</v>
      </c>
      <c r="G795" s="1" t="str">
        <f ca="1">IFERROR(__xludf.DUMMYFUNCTION("""COMPUTED_VALUE"""),"KZ.7700.02.01.00680406 / Действителен до 27.07.2025 / 0720056KZ56 / годен до 27.07.2025")</f>
        <v>KZ.7700.02.01.00680406 / Действителен до 27.07.2025 / 0720056KZ56 / годен до 27.07.2025</v>
      </c>
      <c r="H795" s="1" t="str">
        <f ca="1">IFERROR(__xludf.DUMMYFUNCTION("""COMPUTED_VALUE"""),"Бандаж на шейный отдел позвоночника мягкой фиксацией 1001 II(M) (Болгария) KZ.7700.02.01.00680406 / Действителен до 27.07.2025 / 0720056KZ56 / годен до 27.07.2025")</f>
        <v>Бандаж на шейный отдел позвоночника мягкой фиксацией 1001 II(M) (Болгария) KZ.7700.02.01.00680406 / Действителен до 27.07.2025 / 0720056KZ56 / годен до 27.07.2025</v>
      </c>
    </row>
    <row r="796" spans="1:8" ht="12.75" x14ac:dyDescent="0.2">
      <c r="A796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796" s="1" t="str">
        <f ca="1">IFERROR(__xludf.DUMMYFUNCTION("""COMPUTED_VALUE"""),"KZ.7700.02.01.00680407")</f>
        <v>KZ.7700.02.01.00680407</v>
      </c>
      <c r="C796" s="1" t="str">
        <f ca="1">IFERROR(__xludf.DUMMYFUNCTION("""COMPUTED_VALUE"""),"Действителен до 27.07.2025")</f>
        <v>Действителен до 27.07.2025</v>
      </c>
      <c r="D796" s="8" t="str">
        <f ca="1">IFERROR(__xludf.DUMMYFUNCTION("""COMPUTED_VALUE"""),"0720056KZ56")</f>
        <v>0720056KZ56</v>
      </c>
      <c r="E796" s="1" t="str">
        <f ca="1">IFERROR(__xludf.DUMMYFUNCTION("""COMPUTED_VALUE"""),"годен до 27.07.2025")</f>
        <v>годен до 27.07.2025</v>
      </c>
      <c r="F796" s="1" t="str">
        <f ca="1">IFERROR(__xludf.DUMMYFUNCTION("""COMPUTED_VALUE"""),"Бандаж на шейный отдел позвоночника мягкой фиксацией 1001 III(L) (Болгария) - 0720056KZ56")</f>
        <v>Бандаж на шейный отдел позвоночника мягкой фиксацией 1001 III(L) (Болгария) - 0720056KZ56</v>
      </c>
      <c r="G796" s="1" t="str">
        <f ca="1">IFERROR(__xludf.DUMMYFUNCTION("""COMPUTED_VALUE"""),"KZ.7700.02.01.00680407 / Действителен до 27.07.2025 / 0720056KZ56 / годен до 27.07.2025")</f>
        <v>KZ.7700.02.01.00680407 / Действителен до 27.07.2025 / 0720056KZ56 / годен до 27.07.2025</v>
      </c>
      <c r="H796" s="1" t="str">
        <f ca="1">IFERROR(__xludf.DUMMYFUNCTION("""COMPUTED_VALUE"""),"Бандаж на шейный отдел позвоночника мягкой фиксацией 1001 III(L) (Болгария) KZ.7700.02.01.00680407 / Действителен до 27.07.2025 / 0720056KZ56 / годен до 27.07.2025")</f>
        <v>Бандаж на шейный отдел позвоночника мягкой фиксацией 1001 III(L) (Болгария) KZ.7700.02.01.00680407 / Действителен до 27.07.2025 / 0720056KZ56 / годен до 27.07.2025</v>
      </c>
    </row>
    <row r="797" spans="1:8" ht="12.75" x14ac:dyDescent="0.2">
      <c r="A797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797" s="1" t="str">
        <f ca="1">IFERROR(__xludf.DUMMYFUNCTION("""COMPUTED_VALUE"""),"KZ.7700.02.01.00745580")</f>
        <v>KZ.7700.02.01.00745580</v>
      </c>
      <c r="C797" s="1" t="str">
        <f ca="1">IFERROR(__xludf.DUMMYFUNCTION("""COMPUTED_VALUE"""),"Действителен до 30.03.2026")</f>
        <v>Действителен до 30.03.2026</v>
      </c>
      <c r="D797" s="8" t="str">
        <f ca="1">IFERROR(__xludf.DUMMYFUNCTION("""COMPUTED_VALUE"""),"0321022KZ022")</f>
        <v>0321022KZ022</v>
      </c>
      <c r="E797" s="1" t="str">
        <f ca="1">IFERROR(__xludf.DUMMYFUNCTION("""COMPUTED_VALUE"""),"годен до 30.03.2026")</f>
        <v>годен до 30.03.2026</v>
      </c>
      <c r="F797" s="1" t="str">
        <f ca="1">IFERROR(__xludf.DUMMYFUNCTION("""COMPUTED_VALUE"""),"Бандаж на шейный отдел позвоночника мягкой фиксацией с жесткой вставкой 1005 I(S) - 0321022KZ022")</f>
        <v>Бандаж на шейный отдел позвоночника мягкой фиксацией с жесткой вставкой 1005 I(S) - 0321022KZ022</v>
      </c>
      <c r="G797" s="1" t="str">
        <f ca="1">IFERROR(__xludf.DUMMYFUNCTION("""COMPUTED_VALUE"""),"KZ.7700.02.01.00745580 / Действителен до 30.03.2026 / 0321022KZ022 / годен до 30.03.2026")</f>
        <v>KZ.7700.02.01.00745580 / Действителен до 30.03.2026 / 0321022KZ022 / годен до 30.03.2026</v>
      </c>
      <c r="H797" s="1" t="str">
        <f ca="1">IFERROR(__xludf.DUMMYFUNCTION("""COMPUTED_VALUE"""),"Бандаж на шейный отдел позвоночника мягкой фиксацией с жесткой вставкой 1005 I(S) KZ.7700.02.01.00745580 / Действителен до 30.03.2026 / 0321022KZ022 / годен до 30.03.2026")</f>
        <v>Бандаж на шейный отдел позвоночника мягкой фиксацией с жесткой вставкой 1005 I(S) KZ.7700.02.01.00745580 / Действителен до 30.03.2026 / 0321022KZ022 / годен до 30.03.2026</v>
      </c>
    </row>
    <row r="798" spans="1:8" ht="12.75" x14ac:dyDescent="0.2">
      <c r="A798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798" s="1" t="str">
        <f ca="1">IFERROR(__xludf.DUMMYFUNCTION("""COMPUTED_VALUE"""),"KZ.7700.02.01.00680479")</f>
        <v>KZ.7700.02.01.00680479</v>
      </c>
      <c r="C798" s="1" t="str">
        <f ca="1">IFERROR(__xludf.DUMMYFUNCTION("""COMPUTED_VALUE"""),"Действителен до 27.07.2025")</f>
        <v>Действителен до 27.07.2025</v>
      </c>
      <c r="D798" s="8" t="str">
        <f ca="1">IFERROR(__xludf.DUMMYFUNCTION("""COMPUTED_VALUE"""),"0720056KZ56")</f>
        <v>0720056KZ56</v>
      </c>
      <c r="E798" s="1" t="str">
        <f ca="1">IFERROR(__xludf.DUMMYFUNCTION("""COMPUTED_VALUE"""),"годен до 27.07.2025")</f>
        <v>годен до 27.07.2025</v>
      </c>
      <c r="F798" s="1" t="str">
        <f ca="1">IFERROR(__xludf.DUMMYFUNCTION("""COMPUTED_VALUE"""),"Бандаж на шейный отдел позвоночника мягкой фиксацией с жесткой вставкой 1005 II(M) - 0720056KZ56")</f>
        <v>Бандаж на шейный отдел позвоночника мягкой фиксацией с жесткой вставкой 1005 II(M) - 0720056KZ56</v>
      </c>
      <c r="G798" s="1" t="str">
        <f ca="1">IFERROR(__xludf.DUMMYFUNCTION("""COMPUTED_VALUE"""),"KZ.7700.02.01.00680479 / Действителен до 27.07.2025 / 0720056KZ56 / годен до 27.07.2025")</f>
        <v>KZ.7700.02.01.00680479 / Действителен до 27.07.2025 / 0720056KZ56 / годен до 27.07.2025</v>
      </c>
      <c r="H798" s="1" t="str">
        <f ca="1">IFERROR(__xludf.DUMMYFUNCTION("""COMPUTED_VALUE"""),"Бандаж на шейный отдел позвоночника мягкой фиксацией с жесткой вставкой 1005 II(M) KZ.7700.02.01.00680479 / Действителен до 27.07.2025 / 0720056KZ56 / годен до 27.07.2025")</f>
        <v>Бандаж на шейный отдел позвоночника мягкой фиксацией с жесткой вставкой 1005 II(M) KZ.7700.02.01.00680479 / Действителен до 27.07.2025 / 0720056KZ56 / годен до 27.07.2025</v>
      </c>
    </row>
    <row r="799" spans="1:8" ht="12.75" x14ac:dyDescent="0.2">
      <c r="A799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799" s="1" t="str">
        <f ca="1">IFERROR(__xludf.DUMMYFUNCTION("""COMPUTED_VALUE"""),"KZ.7700.02.01.00680408")</f>
        <v>KZ.7700.02.01.00680408</v>
      </c>
      <c r="C799" s="1" t="str">
        <f ca="1">IFERROR(__xludf.DUMMYFUNCTION("""COMPUTED_VALUE"""),"Действителен до 27.07.2025")</f>
        <v>Действителен до 27.07.2025</v>
      </c>
      <c r="D799" s="8" t="str">
        <f ca="1">IFERROR(__xludf.DUMMYFUNCTION("""COMPUTED_VALUE"""),"0720056KZ56")</f>
        <v>0720056KZ56</v>
      </c>
      <c r="E799" s="1" t="str">
        <f ca="1">IFERROR(__xludf.DUMMYFUNCTION("""COMPUTED_VALUE"""),"годен до 27.07.2025")</f>
        <v>годен до 27.07.2025</v>
      </c>
      <c r="F799" s="1" t="str">
        <f ca="1">IFERROR(__xludf.DUMMYFUNCTION("""COMPUTED_VALUE"""),"Бандаж на шейный отдел позвоночника мягкой фиксацией с жесткой вставкой 1005 III(L) - 0720056KZ56")</f>
        <v>Бандаж на шейный отдел позвоночника мягкой фиксацией с жесткой вставкой 1005 III(L) - 0720056KZ56</v>
      </c>
      <c r="G799" s="1" t="str">
        <f ca="1">IFERROR(__xludf.DUMMYFUNCTION("""COMPUTED_VALUE"""),"KZ.7700.02.01.00680408 / Действителен до 27.07.2025 / 0720056KZ56 / годен до 27.07.2025")</f>
        <v>KZ.7700.02.01.00680408 / Действителен до 27.07.2025 / 0720056KZ56 / годен до 27.07.2025</v>
      </c>
      <c r="H799" s="1" t="str">
        <f ca="1">IFERROR(__xludf.DUMMYFUNCTION("""COMPUTED_VALUE"""),"Бандаж на шейный отдел позвоночника мягкой фиксацией с жесткой вставкой 1005 III(L) KZ.7700.02.01.00680408 / Действителен до 27.07.2025 / 0720056KZ56 / годен до 27.07.2025")</f>
        <v>Бандаж на шейный отдел позвоночника мягкой фиксацией с жесткой вставкой 1005 III(L) KZ.7700.02.01.00680408 / Действителен до 27.07.2025 / 0720056KZ56 / годен до 27.07.2025</v>
      </c>
    </row>
    <row r="800" spans="1:8" ht="12.75" x14ac:dyDescent="0.2">
      <c r="A800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800" s="1" t="str">
        <f ca="1">IFERROR(__xludf.DUMMYFUNCTION("""COMPUTED_VALUE"""),"KZ.7700.02.01.00680410")</f>
        <v>KZ.7700.02.01.00680410</v>
      </c>
      <c r="C800" s="1" t="str">
        <f ca="1">IFERROR(__xludf.DUMMYFUNCTION("""COMPUTED_VALUE"""),"Действителен до 27.07.2025")</f>
        <v>Действителен до 27.07.2025</v>
      </c>
      <c r="D800" s="8" t="str">
        <f ca="1">IFERROR(__xludf.DUMMYFUNCTION("""COMPUTED_VALUE"""),"0720056KZ56")</f>
        <v>0720056KZ56</v>
      </c>
      <c r="E800" s="1" t="str">
        <f ca="1">IFERROR(__xludf.DUMMYFUNCTION("""COMPUTED_VALUE"""),"годен до 27.07.2025")</f>
        <v>годен до 27.07.2025</v>
      </c>
      <c r="F800" s="1" t="str">
        <f ca="1">IFERROR(__xludf.DUMMYFUNCTION("""COMPUTED_VALUE"""),"Реклинатор (корректор осанки) детский 2005 L (Болгария) - 0720056KZ56")</f>
        <v>Реклинатор (корректор осанки) детский 2005 L (Болгария) - 0720056KZ56</v>
      </c>
      <c r="G800" s="1" t="str">
        <f ca="1">IFERROR(__xludf.DUMMYFUNCTION("""COMPUTED_VALUE"""),"KZ.7700.02.01.00680410 / Действителен до 27.07.2025 / 0720056KZ56 / годен до 27.07.2025")</f>
        <v>KZ.7700.02.01.00680410 / Действителен до 27.07.2025 / 0720056KZ56 / годен до 27.07.2025</v>
      </c>
      <c r="H800" s="1" t="str">
        <f ca="1">IFERROR(__xludf.DUMMYFUNCTION("""COMPUTED_VALUE"""),"Реклинатор (корректор осанки) детский 2005 L (Болгария) KZ.7700.02.01.00680410 / Действителен до 27.07.2025 / 0720056KZ56 / годен до 27.07.2025")</f>
        <v>Реклинатор (корректор осанки) детский 2005 L (Болгария) KZ.7700.02.01.00680410 / Действителен до 27.07.2025 / 0720056KZ56 / годен до 27.07.2025</v>
      </c>
    </row>
    <row r="801" spans="1:8" ht="12.75" x14ac:dyDescent="0.2">
      <c r="A801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801" s="1" t="str">
        <f ca="1">IFERROR(__xludf.DUMMYFUNCTION("""COMPUTED_VALUE"""),"KZ.7700.02.01.00680409")</f>
        <v>KZ.7700.02.01.00680409</v>
      </c>
      <c r="C801" s="1" t="str">
        <f ca="1">IFERROR(__xludf.DUMMYFUNCTION("""COMPUTED_VALUE"""),"Действителен до 27.07.2025")</f>
        <v>Действителен до 27.07.2025</v>
      </c>
      <c r="D801" s="8" t="str">
        <f ca="1">IFERROR(__xludf.DUMMYFUNCTION("""COMPUTED_VALUE"""),"0720056KZ56")</f>
        <v>0720056KZ56</v>
      </c>
      <c r="E801" s="1" t="str">
        <f ca="1">IFERROR(__xludf.DUMMYFUNCTION("""COMPUTED_VALUE"""),"годен до 27.07.2025")</f>
        <v>годен до 27.07.2025</v>
      </c>
      <c r="F801" s="1" t="str">
        <f ca="1">IFERROR(__xludf.DUMMYFUNCTION("""COMPUTED_VALUE"""),"Реклинатор (корректор осанки) детский 2005 M (Болгария) - 0720056KZ56")</f>
        <v>Реклинатор (корректор осанки) детский 2005 M (Болгария) - 0720056KZ56</v>
      </c>
      <c r="G801" s="1" t="str">
        <f ca="1">IFERROR(__xludf.DUMMYFUNCTION("""COMPUTED_VALUE"""),"KZ.7700.02.01.00680409 / Действителен до 27.07.2025 / 0720056KZ56 / годен до 27.07.2025")</f>
        <v>KZ.7700.02.01.00680409 / Действителен до 27.07.2025 / 0720056KZ56 / годен до 27.07.2025</v>
      </c>
      <c r="H801" s="1" t="str">
        <f ca="1">IFERROR(__xludf.DUMMYFUNCTION("""COMPUTED_VALUE"""),"Реклинатор (корректор осанки) детский 2005 M (Болгария) KZ.7700.02.01.00680409 / Действителен до 27.07.2025 / 0720056KZ56 / годен до 27.07.2025")</f>
        <v>Реклинатор (корректор осанки) детский 2005 M (Болгария) KZ.7700.02.01.00680409 / Действителен до 27.07.2025 / 0720056KZ56 / годен до 27.07.2025</v>
      </c>
    </row>
    <row r="802" spans="1:8" ht="12.75" x14ac:dyDescent="0.2">
      <c r="A802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802" s="1" t="str">
        <f ca="1">IFERROR(__xludf.DUMMYFUNCTION("""COMPUTED_VALUE"""),"KZ.7700.02.01.00680413")</f>
        <v>KZ.7700.02.01.00680413</v>
      </c>
      <c r="C802" s="1" t="str">
        <f ca="1">IFERROR(__xludf.DUMMYFUNCTION("""COMPUTED_VALUE"""),"Действителен до 27.07.2025")</f>
        <v>Действителен до 27.07.2025</v>
      </c>
      <c r="D802" s="8" t="str">
        <f ca="1">IFERROR(__xludf.DUMMYFUNCTION("""COMPUTED_VALUE"""),"0720056KZ56")</f>
        <v>0720056KZ56</v>
      </c>
      <c r="E802" s="1" t="str">
        <f ca="1">IFERROR(__xludf.DUMMYFUNCTION("""COMPUTED_VALUE"""),"годен до 27.07.2025")</f>
        <v>годен до 27.07.2025</v>
      </c>
      <c r="F802" s="1" t="str">
        <f ca="1">IFERROR(__xludf.DUMMYFUNCTION("""COMPUTED_VALUE"""),"Корректор осанки с ребрами жесткости эластичный 2011 L (Болгария) - 0720056KZ56")</f>
        <v>Корректор осанки с ребрами жесткости эластичный 2011 L (Болгария) - 0720056KZ56</v>
      </c>
      <c r="G802" s="1" t="str">
        <f ca="1">IFERROR(__xludf.DUMMYFUNCTION("""COMPUTED_VALUE"""),"KZ.7700.02.01.00680413 / Действителен до 27.07.2025 / 0720056KZ56 / годен до 27.07.2025")</f>
        <v>KZ.7700.02.01.00680413 / Действителен до 27.07.2025 / 0720056KZ56 / годен до 27.07.2025</v>
      </c>
      <c r="H802" s="1" t="str">
        <f ca="1">IFERROR(__xludf.DUMMYFUNCTION("""COMPUTED_VALUE"""),"Корректор осанки с ребрами жесткости эластичный 2011 L (Болгария) KZ.7700.02.01.00680413 / Действителен до 27.07.2025 / 0720056KZ56 / годен до 27.07.2025")</f>
        <v>Корректор осанки с ребрами жесткости эластичный 2011 L (Болгария) KZ.7700.02.01.00680413 / Действителен до 27.07.2025 / 0720056KZ56 / годен до 27.07.2025</v>
      </c>
    </row>
    <row r="803" spans="1:8" ht="12.75" x14ac:dyDescent="0.2">
      <c r="A803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803" s="1" t="str">
        <f ca="1">IFERROR(__xludf.DUMMYFUNCTION("""COMPUTED_VALUE"""),"KZ.7700.02.01.00680412")</f>
        <v>KZ.7700.02.01.00680412</v>
      </c>
      <c r="C803" s="1" t="str">
        <f ca="1">IFERROR(__xludf.DUMMYFUNCTION("""COMPUTED_VALUE"""),"Действителен до 27.07.2025")</f>
        <v>Действителен до 27.07.2025</v>
      </c>
      <c r="D803" s="8" t="str">
        <f ca="1">IFERROR(__xludf.DUMMYFUNCTION("""COMPUTED_VALUE"""),"0720056KZ56")</f>
        <v>0720056KZ56</v>
      </c>
      <c r="E803" s="1" t="str">
        <f ca="1">IFERROR(__xludf.DUMMYFUNCTION("""COMPUTED_VALUE"""),"годен до 27.07.2025")</f>
        <v>годен до 27.07.2025</v>
      </c>
      <c r="F803" s="1" t="str">
        <f ca="1">IFERROR(__xludf.DUMMYFUNCTION("""COMPUTED_VALUE"""),"Корректор осанки с ребрами жесткости эластичный 2011 M (Болгария) - 0720056KZ56")</f>
        <v>Корректор осанки с ребрами жесткости эластичный 2011 M (Болгария) - 0720056KZ56</v>
      </c>
      <c r="G803" s="1" t="str">
        <f ca="1">IFERROR(__xludf.DUMMYFUNCTION("""COMPUTED_VALUE"""),"KZ.7700.02.01.00680412 / Действителен до 27.07.2025 / 0720056KZ56 / годен до 27.07.2025")</f>
        <v>KZ.7700.02.01.00680412 / Действителен до 27.07.2025 / 0720056KZ56 / годен до 27.07.2025</v>
      </c>
      <c r="H803" s="1" t="str">
        <f ca="1">IFERROR(__xludf.DUMMYFUNCTION("""COMPUTED_VALUE"""),"Корректор осанки с ребрами жесткости эластичный 2011 M (Болгария) KZ.7700.02.01.00680412 / Действителен до 27.07.2025 / 0720056KZ56 / годен до 27.07.2025")</f>
        <v>Корректор осанки с ребрами жесткости эластичный 2011 M (Болгария) KZ.7700.02.01.00680412 / Действителен до 27.07.2025 / 0720056KZ56 / годен до 27.07.2025</v>
      </c>
    </row>
    <row r="804" spans="1:8" ht="12.75" x14ac:dyDescent="0.2">
      <c r="A804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804" s="1" t="str">
        <f ca="1">IFERROR(__xludf.DUMMYFUNCTION("""COMPUTED_VALUE"""),"KZ.7700.02.01.00680411")</f>
        <v>KZ.7700.02.01.00680411</v>
      </c>
      <c r="C804" s="1" t="str">
        <f ca="1">IFERROR(__xludf.DUMMYFUNCTION("""COMPUTED_VALUE"""),"Действителен до 27.07.2025")</f>
        <v>Действителен до 27.07.2025</v>
      </c>
      <c r="D804" s="8" t="str">
        <f ca="1">IFERROR(__xludf.DUMMYFUNCTION("""COMPUTED_VALUE"""),"0720056KZ56")</f>
        <v>0720056KZ56</v>
      </c>
      <c r="E804" s="1" t="str">
        <f ca="1">IFERROR(__xludf.DUMMYFUNCTION("""COMPUTED_VALUE"""),"годен до 27.07.2025")</f>
        <v>годен до 27.07.2025</v>
      </c>
      <c r="F804" s="1" t="str">
        <f ca="1">IFERROR(__xludf.DUMMYFUNCTION("""COMPUTED_VALUE"""),"Корректор осанки с ребрами жесткости эластичный 2011 S (Болгария) - 0720056KZ56")</f>
        <v>Корректор осанки с ребрами жесткости эластичный 2011 S (Болгария) - 0720056KZ56</v>
      </c>
      <c r="G804" s="1" t="str">
        <f ca="1">IFERROR(__xludf.DUMMYFUNCTION("""COMPUTED_VALUE"""),"KZ.7700.02.01.00680411 / Действителен до 27.07.2025 / 0720056KZ56 / годен до 27.07.2025")</f>
        <v>KZ.7700.02.01.00680411 / Действителен до 27.07.2025 / 0720056KZ56 / годен до 27.07.2025</v>
      </c>
      <c r="H804" s="1" t="str">
        <f ca="1">IFERROR(__xludf.DUMMYFUNCTION("""COMPUTED_VALUE"""),"Корректор осанки с ребрами жесткости эластичный 2011 S (Болгария) KZ.7700.02.01.00680411 / Действителен до 27.07.2025 / 0720056KZ56 / годен до 27.07.2025")</f>
        <v>Корректор осанки с ребрами жесткости эластичный 2011 S (Болгария) KZ.7700.02.01.00680411 / Действителен до 27.07.2025 / 0720056KZ56 / годен до 27.07.2025</v>
      </c>
    </row>
    <row r="805" spans="1:8" ht="12.75" x14ac:dyDescent="0.2">
      <c r="A805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805" s="1" t="str">
        <f ca="1">IFERROR(__xludf.DUMMYFUNCTION("""COMPUTED_VALUE"""),"KZ.7700.02.01.00680414")</f>
        <v>KZ.7700.02.01.00680414</v>
      </c>
      <c r="C805" s="1" t="str">
        <f ca="1">IFERROR(__xludf.DUMMYFUNCTION("""COMPUTED_VALUE"""),"Действителен до 27.07.2025")</f>
        <v>Действителен до 27.07.2025</v>
      </c>
      <c r="D805" s="8" t="str">
        <f ca="1">IFERROR(__xludf.DUMMYFUNCTION("""COMPUTED_VALUE"""),"0720056KZ56")</f>
        <v>0720056KZ56</v>
      </c>
      <c r="E805" s="1" t="str">
        <f ca="1">IFERROR(__xludf.DUMMYFUNCTION("""COMPUTED_VALUE"""),"годен до 27.07.2025")</f>
        <v>годен до 27.07.2025</v>
      </c>
      <c r="F805" s="1" t="str">
        <f ca="1">IFERROR(__xludf.DUMMYFUNCTION("""COMPUTED_VALUE"""),"Корректор осанки с ребрами жесткости эластичный 2011 XL (Болгария) - 0720056KZ56")</f>
        <v>Корректор осанки с ребрами жесткости эластичный 2011 XL (Болгария) - 0720056KZ56</v>
      </c>
      <c r="G805" s="1" t="str">
        <f ca="1">IFERROR(__xludf.DUMMYFUNCTION("""COMPUTED_VALUE"""),"KZ.7700.02.01.00680414 / Действителен до 27.07.2025 / 0720056KZ56 / годен до 27.07.2025")</f>
        <v>KZ.7700.02.01.00680414 / Действителен до 27.07.2025 / 0720056KZ56 / годен до 27.07.2025</v>
      </c>
      <c r="H805" s="1" t="str">
        <f ca="1">IFERROR(__xludf.DUMMYFUNCTION("""COMPUTED_VALUE"""),"Корректор осанки с ребрами жесткости эластичный 2011 XL (Болгария) KZ.7700.02.01.00680414 / Действителен до 27.07.2025 / 0720056KZ56 / годен до 27.07.2025")</f>
        <v>Корректор осанки с ребрами жесткости эластичный 2011 XL (Болгария) KZ.7700.02.01.00680414 / Действителен до 27.07.2025 / 0720056KZ56 / годен до 27.07.2025</v>
      </c>
    </row>
    <row r="806" spans="1:8" ht="12.75" x14ac:dyDescent="0.2">
      <c r="A806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806" s="1" t="str">
        <f ca="1">IFERROR(__xludf.DUMMYFUNCTION("""COMPUTED_VALUE"""),"KZ.7700.02.01.00680416")</f>
        <v>KZ.7700.02.01.00680416</v>
      </c>
      <c r="C806" s="1" t="str">
        <f ca="1">IFERROR(__xludf.DUMMYFUNCTION("""COMPUTED_VALUE"""),"Действителен до 27.07.2025")</f>
        <v>Действителен до 27.07.2025</v>
      </c>
      <c r="D806" s="8" t="str">
        <f ca="1">IFERROR(__xludf.DUMMYFUNCTION("""COMPUTED_VALUE"""),"0720056KZ56")</f>
        <v>0720056KZ56</v>
      </c>
      <c r="E806" s="1" t="str">
        <f ca="1">IFERROR(__xludf.DUMMYFUNCTION("""COMPUTED_VALUE"""),"годен до 27.07.2025")</f>
        <v>годен до 27.07.2025</v>
      </c>
      <c r="F806" s="1" t="str">
        <f ca="1">IFERROR(__xludf.DUMMYFUNCTION("""COMPUTED_VALUE"""),"Корректор лечебно-профилактический (с 4 ребрами жесткости) эластичный 3011 - L - 0720056KZ56")</f>
        <v>Корректор лечебно-профилактический (с 4 ребрами жесткости) эластичный 3011 - L - 0720056KZ56</v>
      </c>
      <c r="G806" s="1" t="str">
        <f ca="1">IFERROR(__xludf.DUMMYFUNCTION("""COMPUTED_VALUE"""),"KZ.7700.02.01.00680416 / Действителен до 27.07.2025 / 0720056KZ56 / годен до 27.07.2025")</f>
        <v>KZ.7700.02.01.00680416 / Действителен до 27.07.2025 / 0720056KZ56 / годен до 27.07.2025</v>
      </c>
      <c r="H806" s="1" t="str">
        <f ca="1">IFERROR(__xludf.DUMMYFUNCTION("""COMPUTED_VALUE"""),"Корректор лечебно-профилактический (с 4 ребрами жесткости) эластичный 3011 - L KZ.7700.02.01.00680416 / Действителен до 27.07.2025 / 0720056KZ56 / годен до 27.07.2025")</f>
        <v>Корректор лечебно-профилактический (с 4 ребрами жесткости) эластичный 3011 - L KZ.7700.02.01.00680416 / Действителен до 27.07.2025 / 0720056KZ56 / годен до 27.07.2025</v>
      </c>
    </row>
    <row r="807" spans="1:8" ht="12.75" x14ac:dyDescent="0.2">
      <c r="A807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807" s="1" t="str">
        <f ca="1">IFERROR(__xludf.DUMMYFUNCTION("""COMPUTED_VALUE"""),"KZ.7700.02.01.00680415")</f>
        <v>KZ.7700.02.01.00680415</v>
      </c>
      <c r="C807" s="1" t="str">
        <f ca="1">IFERROR(__xludf.DUMMYFUNCTION("""COMPUTED_VALUE"""),"Действителен до 27.07.2025")</f>
        <v>Действителен до 27.07.2025</v>
      </c>
      <c r="D807" s="8" t="str">
        <f ca="1">IFERROR(__xludf.DUMMYFUNCTION("""COMPUTED_VALUE"""),"0720056KZ56")</f>
        <v>0720056KZ56</v>
      </c>
      <c r="E807" s="1" t="str">
        <f ca="1">IFERROR(__xludf.DUMMYFUNCTION("""COMPUTED_VALUE"""),"годен до 27.07.2025")</f>
        <v>годен до 27.07.2025</v>
      </c>
      <c r="F807" s="1" t="str">
        <f ca="1">IFERROR(__xludf.DUMMYFUNCTION("""COMPUTED_VALUE"""),"Корректор лечебно-профилактический (с 4 ребрами жесткости) эластичный 3011 - М - 0720056KZ56")</f>
        <v>Корректор лечебно-профилактический (с 4 ребрами жесткости) эластичный 3011 - М - 0720056KZ56</v>
      </c>
      <c r="G807" s="1" t="str">
        <f ca="1">IFERROR(__xludf.DUMMYFUNCTION("""COMPUTED_VALUE"""),"KZ.7700.02.01.00680415 / Действителен до 27.07.2025 / 0720056KZ56 / годен до 27.07.2025")</f>
        <v>KZ.7700.02.01.00680415 / Действителен до 27.07.2025 / 0720056KZ56 / годен до 27.07.2025</v>
      </c>
      <c r="H807" s="1" t="str">
        <f ca="1">IFERROR(__xludf.DUMMYFUNCTION("""COMPUTED_VALUE"""),"Корректор лечебно-профилактический (с 4 ребрами жесткости) эластичный 3011 - М KZ.7700.02.01.00680415 / Действителен до 27.07.2025 / 0720056KZ56 / годен до 27.07.2025")</f>
        <v>Корректор лечебно-профилактический (с 4 ребрами жесткости) эластичный 3011 - М KZ.7700.02.01.00680415 / Действителен до 27.07.2025 / 0720056KZ56 / годен до 27.07.2025</v>
      </c>
    </row>
    <row r="808" spans="1:8" ht="12.75" x14ac:dyDescent="0.2">
      <c r="A808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808" s="1" t="str">
        <f ca="1">IFERROR(__xludf.DUMMYFUNCTION("""COMPUTED_VALUE"""),"KZ.7700.02.01.00680417")</f>
        <v>KZ.7700.02.01.00680417</v>
      </c>
      <c r="C808" s="1" t="str">
        <f ca="1">IFERROR(__xludf.DUMMYFUNCTION("""COMPUTED_VALUE"""),"Действителен до 27.07.2025")</f>
        <v>Действителен до 27.07.2025</v>
      </c>
      <c r="D808" s="8" t="str">
        <f ca="1">IFERROR(__xludf.DUMMYFUNCTION("""COMPUTED_VALUE"""),"0720056KZ56")</f>
        <v>0720056KZ56</v>
      </c>
      <c r="E808" s="1" t="str">
        <f ca="1">IFERROR(__xludf.DUMMYFUNCTION("""COMPUTED_VALUE"""),"годен до 27.07.2025")</f>
        <v>годен до 27.07.2025</v>
      </c>
      <c r="F808" s="1" t="str">
        <f ca="1">IFERROR(__xludf.DUMMYFUNCTION("""COMPUTED_VALUE"""),"Корректор лечебно-профилактический (с 4 ребрами жесткости) эластичный 3011- XL - 0720056KZ56")</f>
        <v>Корректор лечебно-профилактический (с 4 ребрами жесткости) эластичный 3011- XL - 0720056KZ56</v>
      </c>
      <c r="G808" s="1" t="str">
        <f ca="1">IFERROR(__xludf.DUMMYFUNCTION("""COMPUTED_VALUE"""),"KZ.7700.02.01.00680417 / Действителен до 27.07.2025 / 0720056KZ56 / годен до 27.07.2025")</f>
        <v>KZ.7700.02.01.00680417 / Действителен до 27.07.2025 / 0720056KZ56 / годен до 27.07.2025</v>
      </c>
      <c r="H808" s="1" t="str">
        <f ca="1">IFERROR(__xludf.DUMMYFUNCTION("""COMPUTED_VALUE"""),"Корректор лечебно-профилактический (с 4 ребрами жесткости) эластичный 3011- XL KZ.7700.02.01.00680417 / Действителен до 27.07.2025 / 0720056KZ56 / годен до 27.07.2025")</f>
        <v>Корректор лечебно-профилактический (с 4 ребрами жесткости) эластичный 3011- XL KZ.7700.02.01.00680417 / Действителен до 27.07.2025 / 0720056KZ56 / годен до 27.07.2025</v>
      </c>
    </row>
    <row r="809" spans="1:8" ht="12.75" x14ac:dyDescent="0.2">
      <c r="A809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809" s="1" t="str">
        <f ca="1">IFERROR(__xludf.DUMMYFUNCTION("""COMPUTED_VALUE"""),"KZ.7700.02.01.00680418")</f>
        <v>KZ.7700.02.01.00680418</v>
      </c>
      <c r="C809" s="1" t="str">
        <f ca="1">IFERROR(__xludf.DUMMYFUNCTION("""COMPUTED_VALUE"""),"Действителен до 27.07.2025")</f>
        <v>Действителен до 27.07.2025</v>
      </c>
      <c r="D809" s="8" t="str">
        <f ca="1">IFERROR(__xludf.DUMMYFUNCTION("""COMPUTED_VALUE"""),"0720056KZ56")</f>
        <v>0720056KZ56</v>
      </c>
      <c r="E809" s="1" t="str">
        <f ca="1">IFERROR(__xludf.DUMMYFUNCTION("""COMPUTED_VALUE"""),"годен до 27.07.2025")</f>
        <v>годен до 27.07.2025</v>
      </c>
      <c r="F809" s="1" t="str">
        <f ca="1">IFERROR(__xludf.DUMMYFUNCTION("""COMPUTED_VALUE"""),"Корректор лечебно-профилактический (с 4 ребрами жесткости) эластичный 3011- XXL - 0720056KZ56")</f>
        <v>Корректор лечебно-профилактический (с 4 ребрами жесткости) эластичный 3011- XXL - 0720056KZ56</v>
      </c>
      <c r="G809" s="1" t="str">
        <f ca="1">IFERROR(__xludf.DUMMYFUNCTION("""COMPUTED_VALUE"""),"KZ.7700.02.01.00680418 / Действителен до 27.07.2025 / 0720056KZ56 / годен до 27.07.2025")</f>
        <v>KZ.7700.02.01.00680418 / Действителен до 27.07.2025 / 0720056KZ56 / годен до 27.07.2025</v>
      </c>
      <c r="H809" s="1" t="str">
        <f ca="1">IFERROR(__xludf.DUMMYFUNCTION("""COMPUTED_VALUE"""),"Корректор лечебно-профилактический (с 4 ребрами жесткости) эластичный 3011- XXL KZ.7700.02.01.00680418 / Действителен до 27.07.2025 / 0720056KZ56 / годен до 27.07.2025")</f>
        <v>Корректор лечебно-профилактический (с 4 ребрами жесткости) эластичный 3011- XXL KZ.7700.02.01.00680418 / Действителен до 27.07.2025 / 0720056KZ56 / годен до 27.07.2025</v>
      </c>
    </row>
    <row r="810" spans="1:8" ht="12.75" x14ac:dyDescent="0.2">
      <c r="A810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810" s="1" t="str">
        <f ca="1">IFERROR(__xludf.DUMMYFUNCTION("""COMPUTED_VALUE"""),"KZ.7700.02.01.00680419")</f>
        <v>KZ.7700.02.01.00680419</v>
      </c>
      <c r="C810" s="1" t="str">
        <f ca="1">IFERROR(__xludf.DUMMYFUNCTION("""COMPUTED_VALUE"""),"Действителен до 27.07.2025")</f>
        <v>Действителен до 27.07.2025</v>
      </c>
      <c r="D810" s="8" t="str">
        <f ca="1">IFERROR(__xludf.DUMMYFUNCTION("""COMPUTED_VALUE"""),"0720056KZ56")</f>
        <v>0720056KZ56</v>
      </c>
      <c r="E810" s="1" t="str">
        <f ca="1">IFERROR(__xludf.DUMMYFUNCTION("""COMPUTED_VALUE"""),"годен до 27.07.2025")</f>
        <v>годен до 27.07.2025</v>
      </c>
      <c r="F810" s="1" t="str">
        <f ca="1">IFERROR(__xludf.DUMMYFUNCTION("""COMPUTED_VALUE"""),"Корсет ортопедический с ребрами жесткости согревающий 3041 M/L (Болгария) - 0720056KZ56")</f>
        <v>Корсет ортопедический с ребрами жесткости согревающий 3041 M/L (Болгария) - 0720056KZ56</v>
      </c>
      <c r="G810" s="1" t="str">
        <f ca="1">IFERROR(__xludf.DUMMYFUNCTION("""COMPUTED_VALUE"""),"KZ.7700.02.01.00680419 / Действителен до 27.07.2025 / 0720056KZ56 / годен до 27.07.2025")</f>
        <v>KZ.7700.02.01.00680419 / Действителен до 27.07.2025 / 0720056KZ56 / годен до 27.07.2025</v>
      </c>
      <c r="H810" s="1" t="str">
        <f ca="1">IFERROR(__xludf.DUMMYFUNCTION("""COMPUTED_VALUE"""),"Корсет ортопедический с ребрами жесткости согревающий 3041 M/L (Болгария) KZ.7700.02.01.00680419 / Действителен до 27.07.2025 / 0720056KZ56 / годен до 27.07.2025")</f>
        <v>Корсет ортопедический с ребрами жесткости согревающий 3041 M/L (Болгария) KZ.7700.02.01.00680419 / Действителен до 27.07.2025 / 0720056KZ56 / годен до 27.07.2025</v>
      </c>
    </row>
    <row r="811" spans="1:8" ht="12.75" x14ac:dyDescent="0.2">
      <c r="A811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811" s="1" t="str">
        <f ca="1">IFERROR(__xludf.DUMMYFUNCTION("""COMPUTED_VALUE"""),"KZ.7700.02.01.00680420")</f>
        <v>KZ.7700.02.01.00680420</v>
      </c>
      <c r="C811" s="1" t="str">
        <f ca="1">IFERROR(__xludf.DUMMYFUNCTION("""COMPUTED_VALUE"""),"Действителен до 27.07.2025")</f>
        <v>Действителен до 27.07.2025</v>
      </c>
      <c r="D811" s="8" t="str">
        <f ca="1">IFERROR(__xludf.DUMMYFUNCTION("""COMPUTED_VALUE"""),"0720056KZ56")</f>
        <v>0720056KZ56</v>
      </c>
      <c r="E811" s="1" t="str">
        <f ca="1">IFERROR(__xludf.DUMMYFUNCTION("""COMPUTED_VALUE"""),"годен до 27.07.2025")</f>
        <v>годен до 27.07.2025</v>
      </c>
      <c r="F811" s="1" t="str">
        <f ca="1">IFERROR(__xludf.DUMMYFUNCTION("""COMPUTED_VALUE"""),"Корсет ортопедический с ребрами жесткости согревающий 3041 XL/XXL (Болгария) - 0720056KZ56")</f>
        <v>Корсет ортопедический с ребрами жесткости согревающий 3041 XL/XXL (Болгария) - 0720056KZ56</v>
      </c>
      <c r="G811" s="1" t="str">
        <f ca="1">IFERROR(__xludf.DUMMYFUNCTION("""COMPUTED_VALUE"""),"KZ.7700.02.01.00680420 / Действителен до 27.07.2025 / 0720056KZ56 / годен до 27.07.2025")</f>
        <v>KZ.7700.02.01.00680420 / Действителен до 27.07.2025 / 0720056KZ56 / годен до 27.07.2025</v>
      </c>
      <c r="H811" s="1" t="str">
        <f ca="1">IFERROR(__xludf.DUMMYFUNCTION("""COMPUTED_VALUE"""),"Корсет ортопедический с ребрами жесткости согревающий 3041 XL/XXL (Болгария) KZ.7700.02.01.00680420 / Действителен до 27.07.2025 / 0720056KZ56 / годен до 27.07.2025")</f>
        <v>Корсет ортопедический с ребрами жесткости согревающий 3041 XL/XXL (Болгария) KZ.7700.02.01.00680420 / Действителен до 27.07.2025 / 0720056KZ56 / годен до 27.07.2025</v>
      </c>
    </row>
    <row r="812" spans="1:8" ht="12.75" x14ac:dyDescent="0.2">
      <c r="A812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812" s="1" t="str">
        <f ca="1">IFERROR(__xludf.DUMMYFUNCTION("""COMPUTED_VALUE"""),"KZ.7700.02.01.00680421")</f>
        <v>KZ.7700.02.01.00680421</v>
      </c>
      <c r="C812" s="1" t="str">
        <f ca="1">IFERROR(__xludf.DUMMYFUNCTION("""COMPUTED_VALUE"""),"Действителен до 27.07.2025")</f>
        <v>Действителен до 27.07.2025</v>
      </c>
      <c r="D812" s="8" t="str">
        <f ca="1">IFERROR(__xludf.DUMMYFUNCTION("""COMPUTED_VALUE"""),"0720056KZ56")</f>
        <v>0720056KZ56</v>
      </c>
      <c r="E812" s="1" t="str">
        <f ca="1">IFERROR(__xludf.DUMMYFUNCTION("""COMPUTED_VALUE"""),"годен до 27.07.2025")</f>
        <v>годен до 27.07.2025</v>
      </c>
      <c r="F812" s="1" t="str">
        <f ca="1">IFERROR(__xludf.DUMMYFUNCTION("""COMPUTED_VALUE"""),"Корсет ортопедический с ребрами жесткости согревающий 3041 XXXL/XXXXL (Болгария) - 0720056KZ56")</f>
        <v>Корсет ортопедический с ребрами жесткости согревающий 3041 XXXL/XXXXL (Болгария) - 0720056KZ56</v>
      </c>
      <c r="G812" s="1" t="str">
        <f ca="1">IFERROR(__xludf.DUMMYFUNCTION("""COMPUTED_VALUE"""),"KZ.7700.02.01.00680421 / Действителен до 27.07.2025 / 0720056KZ56 / годен до 27.07.2025")</f>
        <v>KZ.7700.02.01.00680421 / Действителен до 27.07.2025 / 0720056KZ56 / годен до 27.07.2025</v>
      </c>
      <c r="H812" s="1" t="str">
        <f ca="1">IFERROR(__xludf.DUMMYFUNCTION("""COMPUTED_VALUE"""),"Корсет ортопедический с ребрами жесткости согревающий 3041 XXXL/XXXXL (Болгария) KZ.7700.02.01.00680421 / Действителен до 27.07.2025 / 0720056KZ56 / годен до 27.07.2025")</f>
        <v>Корсет ортопедический с ребрами жесткости согревающий 3041 XXXL/XXXXL (Болгария) KZ.7700.02.01.00680421 / Действителен до 27.07.2025 / 0720056KZ56 / годен до 27.07.2025</v>
      </c>
    </row>
    <row r="813" spans="1:8" ht="12.75" x14ac:dyDescent="0.2">
      <c r="A813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813" s="1" t="str">
        <f ca="1">IFERROR(__xludf.DUMMYFUNCTION("""COMPUTED_VALUE"""),"KZ.7700.02.01.00680424")</f>
        <v>KZ.7700.02.01.00680424</v>
      </c>
      <c r="C813" s="1" t="str">
        <f ca="1">IFERROR(__xludf.DUMMYFUNCTION("""COMPUTED_VALUE"""),"Действителен до 27.07.2025")</f>
        <v>Действителен до 27.07.2025</v>
      </c>
      <c r="D813" s="8" t="str">
        <f ca="1">IFERROR(__xludf.DUMMYFUNCTION("""COMPUTED_VALUE"""),"0720056KZ56")</f>
        <v>0720056KZ56</v>
      </c>
      <c r="E813" s="1" t="str">
        <f ca="1">IFERROR(__xludf.DUMMYFUNCTION("""COMPUTED_VALUE"""),"годен до 27.07.2025")</f>
        <v>годен до 27.07.2025</v>
      </c>
      <c r="F813" s="1" t="str">
        <f ca="1">IFERROR(__xludf.DUMMYFUNCTION("""COMPUTED_VALUE"""),"Бандаж лечебно–профилактический (с тремя ребрами жесткости) 4001 L (Болгария) - 0720056KZ56")</f>
        <v>Бандаж лечебно–профилактический (с тремя ребрами жесткости) 4001 L (Болгария) - 0720056KZ56</v>
      </c>
      <c r="G813" s="1" t="str">
        <f ca="1">IFERROR(__xludf.DUMMYFUNCTION("""COMPUTED_VALUE"""),"KZ.7700.02.01.00680424 / Действителен до 27.07.2025 / 0720056KZ56 / годен до 27.07.2025")</f>
        <v>KZ.7700.02.01.00680424 / Действителен до 27.07.2025 / 0720056KZ56 / годен до 27.07.2025</v>
      </c>
      <c r="H813" s="1" t="str">
        <f ca="1">IFERROR(__xludf.DUMMYFUNCTION("""COMPUTED_VALUE"""),"Бандаж лечебно–профилактический (с тремя ребрами жесткости) 4001 L (Болгария) KZ.7700.02.01.00680424 / Действителен до 27.07.2025 / 0720056KZ56 / годен до 27.07.2025")</f>
        <v>Бандаж лечебно–профилактический (с тремя ребрами жесткости) 4001 L (Болгария) KZ.7700.02.01.00680424 / Действителен до 27.07.2025 / 0720056KZ56 / годен до 27.07.2025</v>
      </c>
    </row>
    <row r="814" spans="1:8" ht="12.75" x14ac:dyDescent="0.2">
      <c r="A814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814" s="1" t="str">
        <f ca="1">IFERROR(__xludf.DUMMYFUNCTION("""COMPUTED_VALUE"""),"KZ.7700.02.01.00680423")</f>
        <v>KZ.7700.02.01.00680423</v>
      </c>
      <c r="C814" s="1" t="str">
        <f ca="1">IFERROR(__xludf.DUMMYFUNCTION("""COMPUTED_VALUE"""),"Действителен до 27.07.2025")</f>
        <v>Действителен до 27.07.2025</v>
      </c>
      <c r="D814" s="8" t="str">
        <f ca="1">IFERROR(__xludf.DUMMYFUNCTION("""COMPUTED_VALUE"""),"0720056KZ56")</f>
        <v>0720056KZ56</v>
      </c>
      <c r="E814" s="1" t="str">
        <f ca="1">IFERROR(__xludf.DUMMYFUNCTION("""COMPUTED_VALUE"""),"годен до 27.07.2025")</f>
        <v>годен до 27.07.2025</v>
      </c>
      <c r="F814" s="1" t="str">
        <f ca="1">IFERROR(__xludf.DUMMYFUNCTION("""COMPUTED_VALUE"""),"Бандаж лечебно–профилактический (с тремя ребрами жесткости) 4001 M (Болгария) - 0720056KZ56")</f>
        <v>Бандаж лечебно–профилактический (с тремя ребрами жесткости) 4001 M (Болгария) - 0720056KZ56</v>
      </c>
      <c r="G814" s="1" t="str">
        <f ca="1">IFERROR(__xludf.DUMMYFUNCTION("""COMPUTED_VALUE"""),"KZ.7700.02.01.00680423 / Действителен до 27.07.2025 / 0720056KZ56 / годен до 27.07.2025")</f>
        <v>KZ.7700.02.01.00680423 / Действителен до 27.07.2025 / 0720056KZ56 / годен до 27.07.2025</v>
      </c>
      <c r="H814" s="1" t="str">
        <f ca="1">IFERROR(__xludf.DUMMYFUNCTION("""COMPUTED_VALUE"""),"Бандаж лечебно–профилактический (с тремя ребрами жесткости) 4001 M (Болгария) KZ.7700.02.01.00680423 / Действителен до 27.07.2025 / 0720056KZ56 / годен до 27.07.2025")</f>
        <v>Бандаж лечебно–профилактический (с тремя ребрами жесткости) 4001 M (Болгария) KZ.7700.02.01.00680423 / Действителен до 27.07.2025 / 0720056KZ56 / годен до 27.07.2025</v>
      </c>
    </row>
    <row r="815" spans="1:8" ht="12.75" x14ac:dyDescent="0.2">
      <c r="A815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815" s="1" t="str">
        <f ca="1">IFERROR(__xludf.DUMMYFUNCTION("""COMPUTED_VALUE"""),"KZ.7700.02.01.00680422")</f>
        <v>KZ.7700.02.01.00680422</v>
      </c>
      <c r="C815" s="1" t="str">
        <f ca="1">IFERROR(__xludf.DUMMYFUNCTION("""COMPUTED_VALUE"""),"Действителен до 27.07.2025")</f>
        <v>Действителен до 27.07.2025</v>
      </c>
      <c r="D815" s="8" t="str">
        <f ca="1">IFERROR(__xludf.DUMMYFUNCTION("""COMPUTED_VALUE"""),"0720056KZ56")</f>
        <v>0720056KZ56</v>
      </c>
      <c r="E815" s="1" t="str">
        <f ca="1">IFERROR(__xludf.DUMMYFUNCTION("""COMPUTED_VALUE"""),"годен до 27.07.2025")</f>
        <v>годен до 27.07.2025</v>
      </c>
      <c r="F815" s="1" t="str">
        <f ca="1">IFERROR(__xludf.DUMMYFUNCTION("""COMPUTED_VALUE"""),"Бандаж лечебно–профилактический (с тремя ребрами жесткости) 4001 S (Болгария) - 0720056KZ56")</f>
        <v>Бандаж лечебно–профилактический (с тремя ребрами жесткости) 4001 S (Болгария) - 0720056KZ56</v>
      </c>
      <c r="G815" s="1" t="str">
        <f ca="1">IFERROR(__xludf.DUMMYFUNCTION("""COMPUTED_VALUE"""),"KZ.7700.02.01.00680422 / Действителен до 27.07.2025 / 0720056KZ56 / годен до 27.07.2025")</f>
        <v>KZ.7700.02.01.00680422 / Действителен до 27.07.2025 / 0720056KZ56 / годен до 27.07.2025</v>
      </c>
      <c r="H815" s="1" t="str">
        <f ca="1">IFERROR(__xludf.DUMMYFUNCTION("""COMPUTED_VALUE"""),"Бандаж лечебно–профилактический (с тремя ребрами жесткости) 4001 S (Болгария) KZ.7700.02.01.00680422 / Действителен до 27.07.2025 / 0720056KZ56 / годен до 27.07.2025")</f>
        <v>Бандаж лечебно–профилактический (с тремя ребрами жесткости) 4001 S (Болгария) KZ.7700.02.01.00680422 / Действителен до 27.07.2025 / 0720056KZ56 / годен до 27.07.2025</v>
      </c>
    </row>
    <row r="816" spans="1:8" ht="12.75" x14ac:dyDescent="0.2">
      <c r="A816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816" s="1" t="str">
        <f ca="1">IFERROR(__xludf.DUMMYFUNCTION("""COMPUTED_VALUE"""),"KZ.7700.02.01.00680425")</f>
        <v>KZ.7700.02.01.00680425</v>
      </c>
      <c r="C816" s="1" t="str">
        <f ca="1">IFERROR(__xludf.DUMMYFUNCTION("""COMPUTED_VALUE"""),"Действителен до 27.07.2025")</f>
        <v>Действителен до 27.07.2025</v>
      </c>
      <c r="D816" s="8" t="str">
        <f ca="1">IFERROR(__xludf.DUMMYFUNCTION("""COMPUTED_VALUE"""),"0720056KZ56")</f>
        <v>0720056KZ56</v>
      </c>
      <c r="E816" s="1" t="str">
        <f ca="1">IFERROR(__xludf.DUMMYFUNCTION("""COMPUTED_VALUE"""),"годен до 27.07.2025")</f>
        <v>годен до 27.07.2025</v>
      </c>
      <c r="F816" s="1" t="str">
        <f ca="1">IFERROR(__xludf.DUMMYFUNCTION("""COMPUTED_VALUE"""),"Бандаж лечебно–профилактический (с тремя ребрами жесткости) 4001 XL (Болгария) - 0720056KZ56")</f>
        <v>Бандаж лечебно–профилактический (с тремя ребрами жесткости) 4001 XL (Болгария) - 0720056KZ56</v>
      </c>
      <c r="G816" s="1" t="str">
        <f ca="1">IFERROR(__xludf.DUMMYFUNCTION("""COMPUTED_VALUE"""),"KZ.7700.02.01.00680425 / Действителен до 27.07.2025 / 0720056KZ56 / годен до 27.07.2025")</f>
        <v>KZ.7700.02.01.00680425 / Действителен до 27.07.2025 / 0720056KZ56 / годен до 27.07.2025</v>
      </c>
      <c r="H816" s="1" t="str">
        <f ca="1">IFERROR(__xludf.DUMMYFUNCTION("""COMPUTED_VALUE"""),"Бандаж лечебно–профилактический (с тремя ребрами жесткости) 4001 XL (Болгария) KZ.7700.02.01.00680425 / Действителен до 27.07.2025 / 0720056KZ56 / годен до 27.07.2025")</f>
        <v>Бандаж лечебно–профилактический (с тремя ребрами жесткости) 4001 XL (Болгария) KZ.7700.02.01.00680425 / Действителен до 27.07.2025 / 0720056KZ56 / годен до 27.07.2025</v>
      </c>
    </row>
    <row r="817" spans="1:8" ht="12.75" x14ac:dyDescent="0.2">
      <c r="A817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817" s="1" t="str">
        <f ca="1">IFERROR(__xludf.DUMMYFUNCTION("""COMPUTED_VALUE"""),"KZ.7700.02.01.00680426")</f>
        <v>KZ.7700.02.01.00680426</v>
      </c>
      <c r="C817" s="1" t="str">
        <f ca="1">IFERROR(__xludf.DUMMYFUNCTION("""COMPUTED_VALUE"""),"Действителен до 27.07.2025")</f>
        <v>Действителен до 27.07.2025</v>
      </c>
      <c r="D817" s="8" t="str">
        <f ca="1">IFERROR(__xludf.DUMMYFUNCTION("""COMPUTED_VALUE"""),"0720056KZ56")</f>
        <v>0720056KZ56</v>
      </c>
      <c r="E817" s="1" t="str">
        <f ca="1">IFERROR(__xludf.DUMMYFUNCTION("""COMPUTED_VALUE"""),"годен до 27.07.2025")</f>
        <v>годен до 27.07.2025</v>
      </c>
      <c r="F817" s="1" t="str">
        <f ca="1">IFERROR(__xludf.DUMMYFUNCTION("""COMPUTED_VALUE"""),"Бандаж лечебно–профилактический (с тремя ребрами жесткости) 4001 XXL (Болгария) - 0720056KZ56")</f>
        <v>Бандаж лечебно–профилактический (с тремя ребрами жесткости) 4001 XXL (Болгария) - 0720056KZ56</v>
      </c>
      <c r="G817" s="1" t="str">
        <f ca="1">IFERROR(__xludf.DUMMYFUNCTION("""COMPUTED_VALUE"""),"KZ.7700.02.01.00680426 / Действителен до 27.07.2025 / 0720056KZ56 / годен до 27.07.2025")</f>
        <v>KZ.7700.02.01.00680426 / Действителен до 27.07.2025 / 0720056KZ56 / годен до 27.07.2025</v>
      </c>
      <c r="H817" s="1" t="str">
        <f ca="1">IFERROR(__xludf.DUMMYFUNCTION("""COMPUTED_VALUE"""),"Бандаж лечебно–профилактический (с тремя ребрами жесткости) 4001 XXL (Болгария) KZ.7700.02.01.00680426 / Действителен до 27.07.2025 / 0720056KZ56 / годен до 27.07.2025")</f>
        <v>Бандаж лечебно–профилактический (с тремя ребрами жесткости) 4001 XXL (Болгария) KZ.7700.02.01.00680426 / Действителен до 27.07.2025 / 0720056KZ56 / годен до 27.07.2025</v>
      </c>
    </row>
    <row r="818" spans="1:8" ht="12.75" x14ac:dyDescent="0.2">
      <c r="A818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818" s="1" t="str">
        <f ca="1">IFERROR(__xludf.DUMMYFUNCTION("""COMPUTED_VALUE"""),"KZ.7700.02.01.00680427")</f>
        <v>KZ.7700.02.01.00680427</v>
      </c>
      <c r="C818" s="1" t="str">
        <f ca="1">IFERROR(__xludf.DUMMYFUNCTION("""COMPUTED_VALUE"""),"Действителен до 27.07.2025")</f>
        <v>Действителен до 27.07.2025</v>
      </c>
      <c r="D818" s="8" t="str">
        <f ca="1">IFERROR(__xludf.DUMMYFUNCTION("""COMPUTED_VALUE"""),"0720056KZ56")</f>
        <v>0720056KZ56</v>
      </c>
      <c r="E818" s="1" t="str">
        <f ca="1">IFERROR(__xludf.DUMMYFUNCTION("""COMPUTED_VALUE"""),"годен до 27.07.2025")</f>
        <v>годен до 27.07.2025</v>
      </c>
      <c r="F818" s="1" t="str">
        <f ca="1">IFERROR(__xludf.DUMMYFUNCTION("""COMPUTED_VALUE"""),"Бандаж лечебно–профилактический (с тремя ребрами жесткости) 4001 XXXL(Болгария) - 0720056KZ56")</f>
        <v>Бандаж лечебно–профилактический (с тремя ребрами жесткости) 4001 XXXL(Болгария) - 0720056KZ56</v>
      </c>
      <c r="G818" s="1" t="str">
        <f ca="1">IFERROR(__xludf.DUMMYFUNCTION("""COMPUTED_VALUE"""),"KZ.7700.02.01.00680427 / Действителен до 27.07.2025 / 0720056KZ56 / годен до 27.07.2025")</f>
        <v>KZ.7700.02.01.00680427 / Действителен до 27.07.2025 / 0720056KZ56 / годен до 27.07.2025</v>
      </c>
      <c r="H818" s="1" t="str">
        <f ca="1">IFERROR(__xludf.DUMMYFUNCTION("""COMPUTED_VALUE"""),"Бандаж лечебно–профилактический (с тремя ребрами жесткости) 4001 XXXL(Болгария) KZ.7700.02.01.00680427 / Действителен до 27.07.2025 / 0720056KZ56 / годен до 27.07.2025")</f>
        <v>Бандаж лечебно–профилактический (с тремя ребрами жесткости) 4001 XXXL(Болгария) KZ.7700.02.01.00680427 / Действителен до 27.07.2025 / 0720056KZ56 / годен до 27.07.2025</v>
      </c>
    </row>
    <row r="819" spans="1:8" ht="12.75" x14ac:dyDescent="0.2">
      <c r="A819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819" s="1" t="str">
        <f ca="1">IFERROR(__xludf.DUMMYFUNCTION("""COMPUTED_VALUE"""),"KZ.7700.02.01.00680428")</f>
        <v>KZ.7700.02.01.00680428</v>
      </c>
      <c r="C819" s="1" t="str">
        <f ca="1">IFERROR(__xludf.DUMMYFUNCTION("""COMPUTED_VALUE"""),"Действителен до 27.07.2025")</f>
        <v>Действителен до 27.07.2025</v>
      </c>
      <c r="D819" s="8" t="str">
        <f ca="1">IFERROR(__xludf.DUMMYFUNCTION("""COMPUTED_VALUE"""),"0720056KZ56")</f>
        <v>0720056KZ56</v>
      </c>
      <c r="E819" s="1" t="str">
        <f ca="1">IFERROR(__xludf.DUMMYFUNCTION("""COMPUTED_VALUE"""),"годен до 27.07.2025")</f>
        <v>годен до 27.07.2025</v>
      </c>
      <c r="F819" s="1" t="str">
        <f ca="1">IFERROR(__xludf.DUMMYFUNCTION("""COMPUTED_VALUE"""),"Бандаж лечебно–профилактический (с тремя ребрами жесткости) 4001 XXXXL(Болгария) - 0720056KZ56")</f>
        <v>Бандаж лечебно–профилактический (с тремя ребрами жесткости) 4001 XXXXL(Болгария) - 0720056KZ56</v>
      </c>
      <c r="G819" s="1" t="str">
        <f ca="1">IFERROR(__xludf.DUMMYFUNCTION("""COMPUTED_VALUE"""),"KZ.7700.02.01.00680428 / Действителен до 27.07.2025 / 0720056KZ56 / годен до 27.07.2025")</f>
        <v>KZ.7700.02.01.00680428 / Действителен до 27.07.2025 / 0720056KZ56 / годен до 27.07.2025</v>
      </c>
      <c r="H819" s="1" t="str">
        <f ca="1">IFERROR(__xludf.DUMMYFUNCTION("""COMPUTED_VALUE"""),"Бандаж лечебно–профилактический (с тремя ребрами жесткости) 4001 XXXXL(Болгария) KZ.7700.02.01.00680428 / Действителен до 27.07.2025 / 0720056KZ56 / годен до 27.07.2025")</f>
        <v>Бандаж лечебно–профилактический (с тремя ребрами жесткости) 4001 XXXXL(Болгария) KZ.7700.02.01.00680428 / Действителен до 27.07.2025 / 0720056KZ56 / годен до 27.07.2025</v>
      </c>
    </row>
    <row r="820" spans="1:8" ht="12.75" x14ac:dyDescent="0.2">
      <c r="A820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820" s="1" t="str">
        <f ca="1">IFERROR(__xludf.DUMMYFUNCTION("""COMPUTED_VALUE"""),"KZ.7700.02.01.00680433")</f>
        <v>KZ.7700.02.01.00680433</v>
      </c>
      <c r="C820" s="1" t="str">
        <f ca="1">IFERROR(__xludf.DUMMYFUNCTION("""COMPUTED_VALUE"""),"Действителен до 27.07.2025")</f>
        <v>Действителен до 27.07.2025</v>
      </c>
      <c r="D820" s="8" t="str">
        <f ca="1">IFERROR(__xludf.DUMMYFUNCTION("""COMPUTED_VALUE"""),"0720056KZ56")</f>
        <v>0720056KZ56</v>
      </c>
      <c r="E820" s="1" t="str">
        <f ca="1">IFERROR(__xludf.DUMMYFUNCTION("""COMPUTED_VALUE"""),"годен до 27.07.2025")</f>
        <v>годен до 27.07.2025</v>
      </c>
      <c r="F820" s="1" t="str">
        <f ca="1">IFERROR(__xludf.DUMMYFUNCTION("""COMPUTED_VALUE"""),"Бандаж лечебно–профилактический эластичный 4002 L (Болгария) - 0720056KZ56")</f>
        <v>Бандаж лечебно–профилактический эластичный 4002 L (Болгария) - 0720056KZ56</v>
      </c>
      <c r="G820" s="1" t="str">
        <f ca="1">IFERROR(__xludf.DUMMYFUNCTION("""COMPUTED_VALUE"""),"KZ.7700.02.01.00680433 / Действителен до 27.07.2025 / 0720056KZ56 / годен до 27.07.2025")</f>
        <v>KZ.7700.02.01.00680433 / Действителен до 27.07.2025 / 0720056KZ56 / годен до 27.07.2025</v>
      </c>
      <c r="H820" s="1" t="str">
        <f ca="1">IFERROR(__xludf.DUMMYFUNCTION("""COMPUTED_VALUE"""),"Бандаж лечебно–профилактический эластичный 4002 L (Болгария) KZ.7700.02.01.00680433 / Действителен до 27.07.2025 / 0720056KZ56 / годен до 27.07.2025")</f>
        <v>Бандаж лечебно–профилактический эластичный 4002 L (Болгария) KZ.7700.02.01.00680433 / Действителен до 27.07.2025 / 0720056KZ56 / годен до 27.07.2025</v>
      </c>
    </row>
    <row r="821" spans="1:8" ht="12.75" x14ac:dyDescent="0.2">
      <c r="A821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821" s="1" t="str">
        <f ca="1">IFERROR(__xludf.DUMMYFUNCTION("""COMPUTED_VALUE"""),"KZ.7700.02.01.00680430")</f>
        <v>KZ.7700.02.01.00680430</v>
      </c>
      <c r="C821" s="1" t="str">
        <f ca="1">IFERROR(__xludf.DUMMYFUNCTION("""COMPUTED_VALUE"""),"Действителен до 27.07.2025")</f>
        <v>Действителен до 27.07.2025</v>
      </c>
      <c r="D821" s="8" t="str">
        <f ca="1">IFERROR(__xludf.DUMMYFUNCTION("""COMPUTED_VALUE"""),"0720056KZ56")</f>
        <v>0720056KZ56</v>
      </c>
      <c r="E821" s="1" t="str">
        <f ca="1">IFERROR(__xludf.DUMMYFUNCTION("""COMPUTED_VALUE"""),"годен до 27.07.2025")</f>
        <v>годен до 27.07.2025</v>
      </c>
      <c r="F821" s="1" t="str">
        <f ca="1">IFERROR(__xludf.DUMMYFUNCTION("""COMPUTED_VALUE"""),"Бандаж лечебно–профилактический эластичный 4002 M (Болгария) - 0720056KZ56")</f>
        <v>Бандаж лечебно–профилактический эластичный 4002 M (Болгария) - 0720056KZ56</v>
      </c>
      <c r="G821" s="1" t="str">
        <f ca="1">IFERROR(__xludf.DUMMYFUNCTION("""COMPUTED_VALUE"""),"KZ.7700.02.01.00680430 / Действителен до 27.07.2025 / 0720056KZ56 / годен до 27.07.2025")</f>
        <v>KZ.7700.02.01.00680430 / Действителен до 27.07.2025 / 0720056KZ56 / годен до 27.07.2025</v>
      </c>
      <c r="H821" s="1" t="str">
        <f ca="1">IFERROR(__xludf.DUMMYFUNCTION("""COMPUTED_VALUE"""),"Бандаж лечебно–профилактический эластичный 4002 M (Болгария) KZ.7700.02.01.00680430 / Действителен до 27.07.2025 / 0720056KZ56 / годен до 27.07.2025")</f>
        <v>Бандаж лечебно–профилактический эластичный 4002 M (Болгария) KZ.7700.02.01.00680430 / Действителен до 27.07.2025 / 0720056KZ56 / годен до 27.07.2025</v>
      </c>
    </row>
    <row r="822" spans="1:8" ht="12.75" x14ac:dyDescent="0.2">
      <c r="A822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822" s="1" t="str">
        <f ca="1">IFERROR(__xludf.DUMMYFUNCTION("""COMPUTED_VALUE"""),"KZ.7700.02.01.00680429")</f>
        <v>KZ.7700.02.01.00680429</v>
      </c>
      <c r="C822" s="1" t="str">
        <f ca="1">IFERROR(__xludf.DUMMYFUNCTION("""COMPUTED_VALUE"""),"Действителен до 27.07.2025")</f>
        <v>Действителен до 27.07.2025</v>
      </c>
      <c r="D822" s="8" t="str">
        <f ca="1">IFERROR(__xludf.DUMMYFUNCTION("""COMPUTED_VALUE"""),"0720056KZ56")</f>
        <v>0720056KZ56</v>
      </c>
      <c r="E822" s="1" t="str">
        <f ca="1">IFERROR(__xludf.DUMMYFUNCTION("""COMPUTED_VALUE"""),"годен до 27.07.2025")</f>
        <v>годен до 27.07.2025</v>
      </c>
      <c r="F822" s="1" t="str">
        <f ca="1">IFERROR(__xludf.DUMMYFUNCTION("""COMPUTED_VALUE"""),"Бандаж лечебно–профилактический эластичный 4002 S (Болгария) - 0720056KZ56")</f>
        <v>Бандаж лечебно–профилактический эластичный 4002 S (Болгария) - 0720056KZ56</v>
      </c>
      <c r="G822" s="1" t="str">
        <f ca="1">IFERROR(__xludf.DUMMYFUNCTION("""COMPUTED_VALUE"""),"KZ.7700.02.01.00680429 / Действителен до 27.07.2025 / 0720056KZ56 / годен до 27.07.2025")</f>
        <v>KZ.7700.02.01.00680429 / Действителен до 27.07.2025 / 0720056KZ56 / годен до 27.07.2025</v>
      </c>
      <c r="H822" s="1" t="str">
        <f ca="1">IFERROR(__xludf.DUMMYFUNCTION("""COMPUTED_VALUE"""),"Бандаж лечебно–профилактический эластичный 4002 S (Болгария) KZ.7700.02.01.00680429 / Действителен до 27.07.2025 / 0720056KZ56 / годен до 27.07.2025")</f>
        <v>Бандаж лечебно–профилактический эластичный 4002 S (Болгария) KZ.7700.02.01.00680429 / Действителен до 27.07.2025 / 0720056KZ56 / годен до 27.07.2025</v>
      </c>
    </row>
    <row r="823" spans="1:8" ht="12.75" x14ac:dyDescent="0.2">
      <c r="A823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823" s="1" t="str">
        <f ca="1">IFERROR(__xludf.DUMMYFUNCTION("""COMPUTED_VALUE"""),"KZ.7700.02.01.00680435")</f>
        <v>KZ.7700.02.01.00680435</v>
      </c>
      <c r="C823" s="1" t="str">
        <f ca="1">IFERROR(__xludf.DUMMYFUNCTION("""COMPUTED_VALUE"""),"Действителен до 27.07.2025")</f>
        <v>Действителен до 27.07.2025</v>
      </c>
      <c r="D823" s="8" t="str">
        <f ca="1">IFERROR(__xludf.DUMMYFUNCTION("""COMPUTED_VALUE"""),"0720056KZ56")</f>
        <v>0720056KZ56</v>
      </c>
      <c r="E823" s="1" t="str">
        <f ca="1">IFERROR(__xludf.DUMMYFUNCTION("""COMPUTED_VALUE"""),"годен до 27.07.2025")</f>
        <v>годен до 27.07.2025</v>
      </c>
      <c r="F823" s="1" t="str">
        <f ca="1">IFERROR(__xludf.DUMMYFUNCTION("""COMPUTED_VALUE"""),"Бандаж лечебно–профилактический эластичный 4002 XL (Болгария) - 0720056KZ56")</f>
        <v>Бандаж лечебно–профилактический эластичный 4002 XL (Болгария) - 0720056KZ56</v>
      </c>
      <c r="G823" s="1" t="str">
        <f ca="1">IFERROR(__xludf.DUMMYFUNCTION("""COMPUTED_VALUE"""),"KZ.7700.02.01.00680435 / Действителен до 27.07.2025 / 0720056KZ56 / годен до 27.07.2025")</f>
        <v>KZ.7700.02.01.00680435 / Действителен до 27.07.2025 / 0720056KZ56 / годен до 27.07.2025</v>
      </c>
      <c r="H823" s="1" t="str">
        <f ca="1">IFERROR(__xludf.DUMMYFUNCTION("""COMPUTED_VALUE"""),"Бандаж лечебно–профилактический эластичный 4002 XL (Болгария) KZ.7700.02.01.00680435 / Действителен до 27.07.2025 / 0720056KZ56 / годен до 27.07.2025")</f>
        <v>Бандаж лечебно–профилактический эластичный 4002 XL (Болгария) KZ.7700.02.01.00680435 / Действителен до 27.07.2025 / 0720056KZ56 / годен до 27.07.2025</v>
      </c>
    </row>
    <row r="824" spans="1:8" ht="12.75" x14ac:dyDescent="0.2">
      <c r="A824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824" s="1" t="str">
        <f ca="1">IFERROR(__xludf.DUMMYFUNCTION("""COMPUTED_VALUE"""),"KZ.7700.02.01.00680437")</f>
        <v>KZ.7700.02.01.00680437</v>
      </c>
      <c r="C824" s="1" t="str">
        <f ca="1">IFERROR(__xludf.DUMMYFUNCTION("""COMPUTED_VALUE"""),"Действителен до 27.07.2025")</f>
        <v>Действителен до 27.07.2025</v>
      </c>
      <c r="D824" s="8" t="str">
        <f ca="1">IFERROR(__xludf.DUMMYFUNCTION("""COMPUTED_VALUE"""),"0720056KZ56")</f>
        <v>0720056KZ56</v>
      </c>
      <c r="E824" s="1" t="str">
        <f ca="1">IFERROR(__xludf.DUMMYFUNCTION("""COMPUTED_VALUE"""),"годен до 27.07.2025")</f>
        <v>годен до 27.07.2025</v>
      </c>
      <c r="F824" s="1" t="str">
        <f ca="1">IFERROR(__xludf.DUMMYFUNCTION("""COMPUTED_VALUE"""),"Бандаж лечебно–профилактический эластичный 4002 XXL (Болгария) - 0720056KZ56")</f>
        <v>Бандаж лечебно–профилактический эластичный 4002 XXL (Болгария) - 0720056KZ56</v>
      </c>
      <c r="G824" s="1" t="str">
        <f ca="1">IFERROR(__xludf.DUMMYFUNCTION("""COMPUTED_VALUE"""),"KZ.7700.02.01.00680437 / Действителен до 27.07.2025 / 0720056KZ56 / годен до 27.07.2025")</f>
        <v>KZ.7700.02.01.00680437 / Действителен до 27.07.2025 / 0720056KZ56 / годен до 27.07.2025</v>
      </c>
      <c r="H824" s="1" t="str">
        <f ca="1">IFERROR(__xludf.DUMMYFUNCTION("""COMPUTED_VALUE"""),"Бандаж лечебно–профилактический эластичный 4002 XXL (Болгария) KZ.7700.02.01.00680437 / Действителен до 27.07.2025 / 0720056KZ56 / годен до 27.07.2025")</f>
        <v>Бандаж лечебно–профилактический эластичный 4002 XXL (Болгария) KZ.7700.02.01.00680437 / Действителен до 27.07.2025 / 0720056KZ56 / годен до 27.07.2025</v>
      </c>
    </row>
    <row r="825" spans="1:8" ht="12.75" x14ac:dyDescent="0.2">
      <c r="A825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825" s="1" t="str">
        <f ca="1">IFERROR(__xludf.DUMMYFUNCTION("""COMPUTED_VALUE"""),"KZ.7700.02.01.00680438")</f>
        <v>KZ.7700.02.01.00680438</v>
      </c>
      <c r="C825" s="1" t="str">
        <f ca="1">IFERROR(__xludf.DUMMYFUNCTION("""COMPUTED_VALUE"""),"Действителен до 15.05.2025")</f>
        <v>Действителен до 15.05.2025</v>
      </c>
      <c r="D825" s="8" t="str">
        <f ca="1">IFERROR(__xludf.DUMMYFUNCTION("""COMPUTED_VALUE"""),"0520008KZ08")</f>
        <v>0520008KZ08</v>
      </c>
      <c r="E825" s="1" t="str">
        <f ca="1">IFERROR(__xludf.DUMMYFUNCTION("""COMPUTED_VALUE"""),"годен до 15.05.2025")</f>
        <v>годен до 15.05.2025</v>
      </c>
      <c r="F825" s="1" t="str">
        <f ca="1">IFERROR(__xludf.DUMMYFUNCTION("""COMPUTED_VALUE"""),"Бандаж лечебно–профилактический эластичный 4002 XXXL (Болгария) - 0520008KZ08")</f>
        <v>Бандаж лечебно–профилактический эластичный 4002 XXXL (Болгария) - 0520008KZ08</v>
      </c>
      <c r="G825" s="1" t="str">
        <f ca="1">IFERROR(__xludf.DUMMYFUNCTION("""COMPUTED_VALUE"""),"KZ.7700.02.01.00680438 / Действителен до 15.05.2025 / 0520008KZ08 / годен до 15.05.2025")</f>
        <v>KZ.7700.02.01.00680438 / Действителен до 15.05.2025 / 0520008KZ08 / годен до 15.05.2025</v>
      </c>
      <c r="H825" s="1" t="str">
        <f ca="1">IFERROR(__xludf.DUMMYFUNCTION("""COMPUTED_VALUE"""),"Бандаж лечебно–профилактический эластичный 4002 XXXL (Болгария) KZ.7700.02.01.00680438 / Действителен до 15.05.2025 / 0520008KZ08 / годен до 15.05.2025")</f>
        <v>Бандаж лечебно–профилактический эластичный 4002 XXXL (Болгария) KZ.7700.02.01.00680438 / Действителен до 15.05.2025 / 0520008KZ08 / годен до 15.05.2025</v>
      </c>
    </row>
    <row r="826" spans="1:8" ht="12.75" x14ac:dyDescent="0.2">
      <c r="A826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826" s="1" t="str">
        <f ca="1">IFERROR(__xludf.DUMMYFUNCTION("""COMPUTED_VALUE"""),"KZ.7700.02.01.00680441")</f>
        <v>KZ.7700.02.01.00680441</v>
      </c>
      <c r="C826" s="1" t="str">
        <f ca="1">IFERROR(__xludf.DUMMYFUNCTION("""COMPUTED_VALUE"""),"Действителен до 27.07.2025")</f>
        <v>Действителен до 27.07.2025</v>
      </c>
      <c r="D826" s="8" t="str">
        <f ca="1">IFERROR(__xludf.DUMMYFUNCTION("""COMPUTED_VALUE"""),"0720056KZ56")</f>
        <v>0720056KZ56</v>
      </c>
      <c r="E826" s="1" t="str">
        <f ca="1">IFERROR(__xludf.DUMMYFUNCTION("""COMPUTED_VALUE"""),"годен до 27.07.2025")</f>
        <v>годен до 27.07.2025</v>
      </c>
      <c r="F826" s="1" t="str">
        <f ca="1">IFERROR(__xludf.DUMMYFUNCTION("""COMPUTED_VALUE"""),"Бандаж лечебно–профилактический эластичный 4002 XXXXL (Болгария) - 0720056KZ56")</f>
        <v>Бандаж лечебно–профилактический эластичный 4002 XXXXL (Болгария) - 0720056KZ56</v>
      </c>
      <c r="G826" s="1" t="str">
        <f ca="1">IFERROR(__xludf.DUMMYFUNCTION("""COMPUTED_VALUE"""),"KZ.7700.02.01.00680441 / Действителен до 27.07.2025 / 0720056KZ56 / годен до 27.07.2025")</f>
        <v>KZ.7700.02.01.00680441 / Действителен до 27.07.2025 / 0720056KZ56 / годен до 27.07.2025</v>
      </c>
      <c r="H826" s="1" t="str">
        <f ca="1">IFERROR(__xludf.DUMMYFUNCTION("""COMPUTED_VALUE"""),"Бандаж лечебно–профилактический эластичный 4002 XXXXL (Болгария) KZ.7700.02.01.00680441 / Действителен до 27.07.2025 / 0720056KZ56 / годен до 27.07.2025")</f>
        <v>Бандаж лечебно–профилактический эластичный 4002 XXXXL (Болгария) KZ.7700.02.01.00680441 / Действителен до 27.07.2025 / 0720056KZ56 / годен до 27.07.2025</v>
      </c>
    </row>
    <row r="827" spans="1:8" ht="12.75" x14ac:dyDescent="0.2">
      <c r="A827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827" s="1" t="str">
        <f ca="1">IFERROR(__xludf.DUMMYFUNCTION("""COMPUTED_VALUE"""),"KZ.7700.02.01.00680440")</f>
        <v>KZ.7700.02.01.00680440</v>
      </c>
      <c r="C827" s="1" t="str">
        <f ca="1">IFERROR(__xludf.DUMMYFUNCTION("""COMPUTED_VALUE"""),"Действителен до 15.05.2025")</f>
        <v>Действителен до 15.05.2025</v>
      </c>
      <c r="D827" s="8" t="str">
        <f ca="1">IFERROR(__xludf.DUMMYFUNCTION("""COMPUTED_VALUE"""),"0520008KZ08")</f>
        <v>0520008KZ08</v>
      </c>
      <c r="E827" s="1" t="str">
        <f ca="1">IFERROR(__xludf.DUMMYFUNCTION("""COMPUTED_VALUE"""),"годен до 15.05.2025")</f>
        <v>годен до 15.05.2025</v>
      </c>
      <c r="F827" s="1" t="str">
        <f ca="1">IFERROR(__xludf.DUMMYFUNCTION("""COMPUTED_VALUE"""),"Бандаж лечебно–профилактический эластичный 4002 XXXXL (Болгария) - 0520008KZ08")</f>
        <v>Бандаж лечебно–профилактический эластичный 4002 XXXXL (Болгария) - 0520008KZ08</v>
      </c>
      <c r="G827" s="1" t="str">
        <f ca="1">IFERROR(__xludf.DUMMYFUNCTION("""COMPUTED_VALUE"""),"KZ.7700.02.01.00680440 / Действителен до 15.05.2025 / 0520008KZ08 / годен до 15.05.2025")</f>
        <v>KZ.7700.02.01.00680440 / Действителен до 15.05.2025 / 0520008KZ08 / годен до 15.05.2025</v>
      </c>
      <c r="H827" s="1" t="str">
        <f ca="1">IFERROR(__xludf.DUMMYFUNCTION("""COMPUTED_VALUE"""),"Бандаж лечебно–профилактический эластичный 4002 XXXXL (Болгария) KZ.7700.02.01.00680440 / Действителен до 15.05.2025 / 0520008KZ08 / годен до 15.05.2025")</f>
        <v>Бандаж лечебно–профилактический эластичный 4002 XXXXL (Болгария) KZ.7700.02.01.00680440 / Действителен до 15.05.2025 / 0520008KZ08 / годен до 15.05.2025</v>
      </c>
    </row>
    <row r="828" spans="1:8" ht="12.75" x14ac:dyDescent="0.2">
      <c r="A828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828" s="1" t="str">
        <f ca="1">IFERROR(__xludf.DUMMYFUNCTION("""COMPUTED_VALUE"""),"KZ.7700.02.01.00680442")</f>
        <v>KZ.7700.02.01.00680442</v>
      </c>
      <c r="C828" s="1" t="str">
        <f ca="1">IFERROR(__xludf.DUMMYFUNCTION("""COMPUTED_VALUE"""),"Действителен до 27.07.2025")</f>
        <v>Действителен до 27.07.2025</v>
      </c>
      <c r="D828" s="8" t="str">
        <f ca="1">IFERROR(__xludf.DUMMYFUNCTION("""COMPUTED_VALUE"""),"0720056KZ56")</f>
        <v>0720056KZ56</v>
      </c>
      <c r="E828" s="1" t="str">
        <f ca="1">IFERROR(__xludf.DUMMYFUNCTION("""COMPUTED_VALUE"""),"годен до 27.07.2025")</f>
        <v>годен до 27.07.2025</v>
      </c>
      <c r="F828" s="1" t="str">
        <f ca="1">IFERROR(__xludf.DUMMYFUNCTION("""COMPUTED_VALUE"""),"Бандаж универсальный 4011 XXXL/XXXXL (Болгария) - 0720056KZ56")</f>
        <v>Бандаж универсальный 4011 XXXL/XXXXL (Болгария) - 0720056KZ56</v>
      </c>
      <c r="G828" s="1" t="str">
        <f ca="1">IFERROR(__xludf.DUMMYFUNCTION("""COMPUTED_VALUE"""),"KZ.7700.02.01.00680442 / Действителен до 27.07.2025 / 0720056KZ56 / годен до 27.07.2025")</f>
        <v>KZ.7700.02.01.00680442 / Действителен до 27.07.2025 / 0720056KZ56 / годен до 27.07.2025</v>
      </c>
      <c r="H828" s="1" t="str">
        <f ca="1">IFERROR(__xludf.DUMMYFUNCTION("""COMPUTED_VALUE"""),"Бандаж универсальный 4011 XXXL/XXXXL (Болгария) KZ.7700.02.01.00680442 / Действителен до 27.07.2025 / 0720056KZ56 / годен до 27.07.2025")</f>
        <v>Бандаж универсальный 4011 XXXL/XXXXL (Болгария) KZ.7700.02.01.00680442 / Действителен до 27.07.2025 / 0720056KZ56 / годен до 27.07.2025</v>
      </c>
    </row>
    <row r="829" spans="1:8" ht="12.75" x14ac:dyDescent="0.2">
      <c r="A829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829" s="1" t="str">
        <f ca="1">IFERROR(__xludf.DUMMYFUNCTION("""COMPUTED_VALUE"""),"KZ.7700.02.01.00680443")</f>
        <v>KZ.7700.02.01.00680443</v>
      </c>
      <c r="C829" s="1" t="str">
        <f ca="1">IFERROR(__xludf.DUMMYFUNCTION("""COMPUTED_VALUE"""),"Действителен до 27.07.2025")</f>
        <v>Действителен до 27.07.2025</v>
      </c>
      <c r="D829" s="8" t="str">
        <f ca="1">IFERROR(__xludf.DUMMYFUNCTION("""COMPUTED_VALUE"""),"0720056KZ56")</f>
        <v>0720056KZ56</v>
      </c>
      <c r="E829" s="1" t="str">
        <f ca="1">IFERROR(__xludf.DUMMYFUNCTION("""COMPUTED_VALUE"""),"годен до 27.07.2025")</f>
        <v>годен до 27.07.2025</v>
      </c>
      <c r="F829" s="1" t="str">
        <f ca="1">IFERROR(__xludf.DUMMYFUNCTION("""COMPUTED_VALUE"""),"Бандаж грыжевой лево-и правосторонний 5001 M/L (Болгария) - 0720056KZ56")</f>
        <v>Бандаж грыжевой лево-и правосторонний 5001 M/L (Болгария) - 0720056KZ56</v>
      </c>
      <c r="G829" s="1" t="str">
        <f ca="1">IFERROR(__xludf.DUMMYFUNCTION("""COMPUTED_VALUE"""),"KZ.7700.02.01.00680443 / Действителен до 27.07.2025 / 0720056KZ56 / годен до 27.07.2025")</f>
        <v>KZ.7700.02.01.00680443 / Действителен до 27.07.2025 / 0720056KZ56 / годен до 27.07.2025</v>
      </c>
      <c r="H829" s="1" t="str">
        <f ca="1">IFERROR(__xludf.DUMMYFUNCTION("""COMPUTED_VALUE"""),"Бандаж грыжевой лево-и правосторонний 5001 M/L (Болгария) KZ.7700.02.01.00680443 / Действителен до 27.07.2025 / 0720056KZ56 / годен до 27.07.2025")</f>
        <v>Бандаж грыжевой лево-и правосторонний 5001 M/L (Болгария) KZ.7700.02.01.00680443 / Действителен до 27.07.2025 / 0720056KZ56 / годен до 27.07.2025</v>
      </c>
    </row>
    <row r="830" spans="1:8" ht="12.75" x14ac:dyDescent="0.2">
      <c r="A830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830" s="1" t="str">
        <f ca="1">IFERROR(__xludf.DUMMYFUNCTION("""COMPUTED_VALUE"""),"KZ.7700.02.01.00680444")</f>
        <v>KZ.7700.02.01.00680444</v>
      </c>
      <c r="C830" s="1" t="str">
        <f ca="1">IFERROR(__xludf.DUMMYFUNCTION("""COMPUTED_VALUE"""),"Действителен до 27.07.2025")</f>
        <v>Действителен до 27.07.2025</v>
      </c>
      <c r="D830" s="8" t="str">
        <f ca="1">IFERROR(__xludf.DUMMYFUNCTION("""COMPUTED_VALUE"""),"0720056KZ56")</f>
        <v>0720056KZ56</v>
      </c>
      <c r="E830" s="1" t="str">
        <f ca="1">IFERROR(__xludf.DUMMYFUNCTION("""COMPUTED_VALUE"""),"годен до 27.07.2025")</f>
        <v>годен до 27.07.2025</v>
      </c>
      <c r="F830" s="1" t="str">
        <f ca="1">IFERROR(__xludf.DUMMYFUNCTION("""COMPUTED_VALUE"""),"Бандаж при пупочной грыже 5051 M/L (Болгария) - 0720056KZ56")</f>
        <v>Бандаж при пупочной грыже 5051 M/L (Болгария) - 0720056KZ56</v>
      </c>
      <c r="G830" s="1" t="str">
        <f ca="1">IFERROR(__xludf.DUMMYFUNCTION("""COMPUTED_VALUE"""),"KZ.7700.02.01.00680444 / Действителен до 27.07.2025 / 0720056KZ56 / годен до 27.07.2025")</f>
        <v>KZ.7700.02.01.00680444 / Действителен до 27.07.2025 / 0720056KZ56 / годен до 27.07.2025</v>
      </c>
      <c r="H830" s="1" t="str">
        <f ca="1">IFERROR(__xludf.DUMMYFUNCTION("""COMPUTED_VALUE"""),"Бандаж при пупочной грыже 5051 M/L (Болгария) KZ.7700.02.01.00680444 / Действителен до 27.07.2025 / 0720056KZ56 / годен до 27.07.2025")</f>
        <v>Бандаж при пупочной грыже 5051 M/L (Болгария) KZ.7700.02.01.00680444 / Действителен до 27.07.2025 / 0720056KZ56 / годен до 27.07.2025</v>
      </c>
    </row>
    <row r="831" spans="1:8" ht="12.75" x14ac:dyDescent="0.2">
      <c r="A831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831" s="1" t="str">
        <f ca="1">IFERROR(__xludf.DUMMYFUNCTION("""COMPUTED_VALUE"""),"KZ.7700.02.01.00680445")</f>
        <v>KZ.7700.02.01.00680445</v>
      </c>
      <c r="C831" s="1" t="str">
        <f ca="1">IFERROR(__xludf.DUMMYFUNCTION("""COMPUTED_VALUE"""),"Действителен до 15.05.2025")</f>
        <v>Действителен до 15.05.2025</v>
      </c>
      <c r="D831" s="8" t="str">
        <f ca="1">IFERROR(__xludf.DUMMYFUNCTION("""COMPUTED_VALUE"""),"0520008KZ08")</f>
        <v>0520008KZ08</v>
      </c>
      <c r="E831" s="1" t="str">
        <f ca="1">IFERROR(__xludf.DUMMYFUNCTION("""COMPUTED_VALUE"""),"годен до 15.05.2025")</f>
        <v>годен до 15.05.2025</v>
      </c>
      <c r="F831" s="1" t="str">
        <f ca="1">IFERROR(__xludf.DUMMYFUNCTION("""COMPUTED_VALUE"""),"Бандаж при пупочной грыже 5051 XL/XXL (Болгария) - 0520008KZ08")</f>
        <v>Бандаж при пупочной грыже 5051 XL/XXL (Болгария) - 0520008KZ08</v>
      </c>
      <c r="G831" s="1" t="str">
        <f ca="1">IFERROR(__xludf.DUMMYFUNCTION("""COMPUTED_VALUE"""),"KZ.7700.02.01.00680445 / Действителен до 15.05.2025 / 0520008KZ08 / годен до 15.05.2025")</f>
        <v>KZ.7700.02.01.00680445 / Действителен до 15.05.2025 / 0520008KZ08 / годен до 15.05.2025</v>
      </c>
      <c r="H831" s="1" t="str">
        <f ca="1">IFERROR(__xludf.DUMMYFUNCTION("""COMPUTED_VALUE"""),"Бандаж при пупочной грыже 5051 XL/XXL (Болгария) KZ.7700.02.01.00680445 / Действителен до 15.05.2025 / 0520008KZ08 / годен до 15.05.2025")</f>
        <v>Бандаж при пупочной грыже 5051 XL/XXL (Болгария) KZ.7700.02.01.00680445 / Действителен до 15.05.2025 / 0520008KZ08 / годен до 15.05.2025</v>
      </c>
    </row>
    <row r="832" spans="1:8" ht="12.75" x14ac:dyDescent="0.2">
      <c r="A832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832" s="1" t="str">
        <f ca="1">IFERROR(__xludf.DUMMYFUNCTION("""COMPUTED_VALUE"""),"KZ.7700.02.01.00680446")</f>
        <v>KZ.7700.02.01.00680446</v>
      </c>
      <c r="C832" s="1" t="str">
        <f ca="1">IFERROR(__xludf.DUMMYFUNCTION("""COMPUTED_VALUE"""),"Действителен до 27.07.2025")</f>
        <v>Действителен до 27.07.2025</v>
      </c>
      <c r="D832" s="8" t="str">
        <f ca="1">IFERROR(__xludf.DUMMYFUNCTION("""COMPUTED_VALUE"""),"0720056KZ56")</f>
        <v>0720056KZ56</v>
      </c>
      <c r="E832" s="1" t="str">
        <f ca="1">IFERROR(__xludf.DUMMYFUNCTION("""COMPUTED_VALUE"""),"годен до 27.07.2025")</f>
        <v>годен до 27.07.2025</v>
      </c>
      <c r="F832" s="1" t="str">
        <f ca="1">IFERROR(__xludf.DUMMYFUNCTION("""COMPUTED_VALUE"""),"Бандаж при пупочной грыже 5051 XL/XXL (Болгария) - 0720056KZ56")</f>
        <v>Бандаж при пупочной грыже 5051 XL/XXL (Болгария) - 0720056KZ56</v>
      </c>
      <c r="G832" s="1" t="str">
        <f ca="1">IFERROR(__xludf.DUMMYFUNCTION("""COMPUTED_VALUE"""),"KZ.7700.02.01.00680446 / Действителен до 27.07.2025 / 0720056KZ56 / годен до 27.07.2025")</f>
        <v>KZ.7700.02.01.00680446 / Действителен до 27.07.2025 / 0720056KZ56 / годен до 27.07.2025</v>
      </c>
      <c r="H832" s="1" t="str">
        <f ca="1">IFERROR(__xludf.DUMMYFUNCTION("""COMPUTED_VALUE"""),"Бандаж при пупочной грыже 5051 XL/XXL (Болгария) KZ.7700.02.01.00680446 / Действителен до 27.07.2025 / 0720056KZ56 / годен до 27.07.2025")</f>
        <v>Бандаж при пупочной грыже 5051 XL/XXL (Болгария) KZ.7700.02.01.00680446 / Действителен до 27.07.2025 / 0720056KZ56 / годен до 27.07.2025</v>
      </c>
    </row>
    <row r="833" spans="1:8" ht="12.75" x14ac:dyDescent="0.2">
      <c r="A833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833" s="1" t="str">
        <f ca="1">IFERROR(__xludf.DUMMYFUNCTION("""COMPUTED_VALUE"""),"KZ.7700.02.01.00680447")</f>
        <v>KZ.7700.02.01.00680447</v>
      </c>
      <c r="C833" s="1" t="str">
        <f ca="1">IFERROR(__xludf.DUMMYFUNCTION("""COMPUTED_VALUE"""),"Действителен до 15.05.2025")</f>
        <v>Действителен до 15.05.2025</v>
      </c>
      <c r="D833" s="8" t="str">
        <f ca="1">IFERROR(__xludf.DUMMYFUNCTION("""COMPUTED_VALUE"""),"0520008KZ08")</f>
        <v>0520008KZ08</v>
      </c>
      <c r="E833" s="1" t="str">
        <f ca="1">IFERROR(__xludf.DUMMYFUNCTION("""COMPUTED_VALUE"""),"годен до 15.05.2025")</f>
        <v>годен до 15.05.2025</v>
      </c>
      <c r="F833" s="1" t="str">
        <f ca="1">IFERROR(__xludf.DUMMYFUNCTION("""COMPUTED_VALUE"""),"Бандаж при пупочной грыже 5051 XXXL/XXXXL (Болгария) - 0520008KZ08")</f>
        <v>Бандаж при пупочной грыже 5051 XXXL/XXXXL (Болгария) - 0520008KZ08</v>
      </c>
      <c r="G833" s="1" t="str">
        <f ca="1">IFERROR(__xludf.DUMMYFUNCTION("""COMPUTED_VALUE"""),"KZ.7700.02.01.00680447 / Действителен до 15.05.2025 / 0520008KZ08 / годен до 15.05.2025")</f>
        <v>KZ.7700.02.01.00680447 / Действителен до 15.05.2025 / 0520008KZ08 / годен до 15.05.2025</v>
      </c>
      <c r="H833" s="1" t="str">
        <f ca="1">IFERROR(__xludf.DUMMYFUNCTION("""COMPUTED_VALUE"""),"Бандаж при пупочной грыже 5051 XXXL/XXXXL (Болгария) KZ.7700.02.01.00680447 / Действителен до 15.05.2025 / 0520008KZ08 / годен до 15.05.2025")</f>
        <v>Бандаж при пупочной грыже 5051 XXXL/XXXXL (Болгария) KZ.7700.02.01.00680447 / Действителен до 15.05.2025 / 0520008KZ08 / годен до 15.05.2025</v>
      </c>
    </row>
    <row r="834" spans="1:8" ht="12.75" x14ac:dyDescent="0.2">
      <c r="A834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834" s="1" t="str">
        <f ca="1">IFERROR(__xludf.DUMMYFUNCTION("""COMPUTED_VALUE"""),"KZ.7700.02.01.00680448")</f>
        <v>KZ.7700.02.01.00680448</v>
      </c>
      <c r="C834" s="1" t="str">
        <f ca="1">IFERROR(__xludf.DUMMYFUNCTION("""COMPUTED_VALUE"""),"Действителен до 27.07.2025")</f>
        <v>Действителен до 27.07.2025</v>
      </c>
      <c r="D834" s="8" t="str">
        <f ca="1">IFERROR(__xludf.DUMMYFUNCTION("""COMPUTED_VALUE"""),"0720056KZ56")</f>
        <v>0720056KZ56</v>
      </c>
      <c r="E834" s="1" t="str">
        <f ca="1">IFERROR(__xludf.DUMMYFUNCTION("""COMPUTED_VALUE"""),"годен до 27.07.2025")</f>
        <v>годен до 27.07.2025</v>
      </c>
      <c r="F834" s="1" t="str">
        <f ca="1">IFERROR(__xludf.DUMMYFUNCTION("""COMPUTED_VALUE"""),"Бандаж при пупочной грыже 5051 XXXL/XXXXL (Болгария) - 0720056KZ56")</f>
        <v>Бандаж при пупочной грыже 5051 XXXL/XXXXL (Болгария) - 0720056KZ56</v>
      </c>
      <c r="G834" s="1" t="str">
        <f ca="1">IFERROR(__xludf.DUMMYFUNCTION("""COMPUTED_VALUE"""),"KZ.7700.02.01.00680448 / Действителен до 27.07.2025 / 0720056KZ56 / годен до 27.07.2025")</f>
        <v>KZ.7700.02.01.00680448 / Действителен до 27.07.2025 / 0720056KZ56 / годен до 27.07.2025</v>
      </c>
      <c r="H834" s="1" t="str">
        <f ca="1">IFERROR(__xludf.DUMMYFUNCTION("""COMPUTED_VALUE"""),"Бандаж при пупочной грыже 5051 XXXL/XXXXL (Болгария) KZ.7700.02.01.00680448 / Действителен до 27.07.2025 / 0720056KZ56 / годен до 27.07.2025")</f>
        <v>Бандаж при пупочной грыже 5051 XXXL/XXXXL (Болгария) KZ.7700.02.01.00680448 / Действителен до 27.07.2025 / 0720056KZ56 / годен до 27.07.2025</v>
      </c>
    </row>
    <row r="835" spans="1:8" ht="12.75" x14ac:dyDescent="0.2">
      <c r="A835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835" s="1" t="str">
        <f ca="1">IFERROR(__xludf.DUMMYFUNCTION("""COMPUTED_VALUE"""),"KZ.7700.02.01.00680451")</f>
        <v>KZ.7700.02.01.00680451</v>
      </c>
      <c r="C835" s="1" t="str">
        <f ca="1">IFERROR(__xludf.DUMMYFUNCTION("""COMPUTED_VALUE"""),"Действителен до 27.07.2025")</f>
        <v>Действителен до 27.07.2025</v>
      </c>
      <c r="D835" s="8" t="str">
        <f ca="1">IFERROR(__xludf.DUMMYFUNCTION("""COMPUTED_VALUE"""),"0720056KZ56")</f>
        <v>0720056KZ56</v>
      </c>
      <c r="E835" s="1" t="str">
        <f ca="1">IFERROR(__xludf.DUMMYFUNCTION("""COMPUTED_VALUE"""),"годен до 27.07.2025")</f>
        <v>годен до 27.07.2025</v>
      </c>
      <c r="F835" s="1" t="str">
        <f ca="1">IFERROR(__xludf.DUMMYFUNCTION("""COMPUTED_VALUE"""),"Бандаж на коленный сустав эластичный 6040 L (Болгария) - 0720056KZ56")</f>
        <v>Бандаж на коленный сустав эластичный 6040 L (Болгария) - 0720056KZ56</v>
      </c>
      <c r="G835" s="1" t="str">
        <f ca="1">IFERROR(__xludf.DUMMYFUNCTION("""COMPUTED_VALUE"""),"KZ.7700.02.01.00680451 / Действителен до 27.07.2025 / 0720056KZ56 / годен до 27.07.2025")</f>
        <v>KZ.7700.02.01.00680451 / Действителен до 27.07.2025 / 0720056KZ56 / годен до 27.07.2025</v>
      </c>
      <c r="H835" s="1" t="str">
        <f ca="1">IFERROR(__xludf.DUMMYFUNCTION("""COMPUTED_VALUE"""),"Бандаж на коленный сустав эластичный 6040 L (Болгария) KZ.7700.02.01.00680451 / Действителен до 27.07.2025 / 0720056KZ56 / годен до 27.07.2025")</f>
        <v>Бандаж на коленный сустав эластичный 6040 L (Болгария) KZ.7700.02.01.00680451 / Действителен до 27.07.2025 / 0720056KZ56 / годен до 27.07.2025</v>
      </c>
    </row>
    <row r="836" spans="1:8" ht="12.75" x14ac:dyDescent="0.2">
      <c r="A836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836" s="1" t="str">
        <f ca="1">IFERROR(__xludf.DUMMYFUNCTION("""COMPUTED_VALUE"""),"KZ.7700.02.01.00680450")</f>
        <v>KZ.7700.02.01.00680450</v>
      </c>
      <c r="C836" s="1" t="str">
        <f ca="1">IFERROR(__xludf.DUMMYFUNCTION("""COMPUTED_VALUE"""),"Действителен до 27.07.2025")</f>
        <v>Действителен до 27.07.2025</v>
      </c>
      <c r="D836" s="8" t="str">
        <f ca="1">IFERROR(__xludf.DUMMYFUNCTION("""COMPUTED_VALUE"""),"0720056KZ56")</f>
        <v>0720056KZ56</v>
      </c>
      <c r="E836" s="1" t="str">
        <f ca="1">IFERROR(__xludf.DUMMYFUNCTION("""COMPUTED_VALUE"""),"годен до 27.07.2025")</f>
        <v>годен до 27.07.2025</v>
      </c>
      <c r="F836" s="1" t="str">
        <f ca="1">IFERROR(__xludf.DUMMYFUNCTION("""COMPUTED_VALUE"""),"Бандаж на коленный сустав эластичный 6040 M (Болгария) - 0720056KZ56")</f>
        <v>Бандаж на коленный сустав эластичный 6040 M (Болгария) - 0720056KZ56</v>
      </c>
      <c r="G836" s="1" t="str">
        <f ca="1">IFERROR(__xludf.DUMMYFUNCTION("""COMPUTED_VALUE"""),"KZ.7700.02.01.00680450 / Действителен до 27.07.2025 / 0720056KZ56 / годен до 27.07.2025")</f>
        <v>KZ.7700.02.01.00680450 / Действителен до 27.07.2025 / 0720056KZ56 / годен до 27.07.2025</v>
      </c>
      <c r="H836" s="1" t="str">
        <f ca="1">IFERROR(__xludf.DUMMYFUNCTION("""COMPUTED_VALUE"""),"Бандаж на коленный сустав эластичный 6040 M (Болгария) KZ.7700.02.01.00680450 / Действителен до 27.07.2025 / 0720056KZ56 / годен до 27.07.2025")</f>
        <v>Бандаж на коленный сустав эластичный 6040 M (Болгария) KZ.7700.02.01.00680450 / Действителен до 27.07.2025 / 0720056KZ56 / годен до 27.07.2025</v>
      </c>
    </row>
    <row r="837" spans="1:8" ht="12.75" x14ac:dyDescent="0.2">
      <c r="A837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837" s="1" t="str">
        <f ca="1">IFERROR(__xludf.DUMMYFUNCTION("""COMPUTED_VALUE"""),"KZ.7700.02.01.00680449")</f>
        <v>KZ.7700.02.01.00680449</v>
      </c>
      <c r="C837" s="1" t="str">
        <f ca="1">IFERROR(__xludf.DUMMYFUNCTION("""COMPUTED_VALUE"""),"Действителен до 27.07.2025")</f>
        <v>Действителен до 27.07.2025</v>
      </c>
      <c r="D837" s="8" t="str">
        <f ca="1">IFERROR(__xludf.DUMMYFUNCTION("""COMPUTED_VALUE"""),"0720056KZ56")</f>
        <v>0720056KZ56</v>
      </c>
      <c r="E837" s="1" t="str">
        <f ca="1">IFERROR(__xludf.DUMMYFUNCTION("""COMPUTED_VALUE"""),"годен до 27.07.2025")</f>
        <v>годен до 27.07.2025</v>
      </c>
      <c r="F837" s="1" t="str">
        <f ca="1">IFERROR(__xludf.DUMMYFUNCTION("""COMPUTED_VALUE"""),"Бандаж на коленный сустав эластичный 6040 S (Болгария) - 0720056KZ56")</f>
        <v>Бандаж на коленный сустав эластичный 6040 S (Болгария) - 0720056KZ56</v>
      </c>
      <c r="G837" s="1" t="str">
        <f ca="1">IFERROR(__xludf.DUMMYFUNCTION("""COMPUTED_VALUE"""),"KZ.7700.02.01.00680449 / Действителен до 27.07.2025 / 0720056KZ56 / годен до 27.07.2025")</f>
        <v>KZ.7700.02.01.00680449 / Действителен до 27.07.2025 / 0720056KZ56 / годен до 27.07.2025</v>
      </c>
      <c r="H837" s="1" t="str">
        <f ca="1">IFERROR(__xludf.DUMMYFUNCTION("""COMPUTED_VALUE"""),"Бандаж на коленный сустав эластичный 6040 S (Болгария) KZ.7700.02.01.00680449 / Действителен до 27.07.2025 / 0720056KZ56 / годен до 27.07.2025")</f>
        <v>Бандаж на коленный сустав эластичный 6040 S (Болгария) KZ.7700.02.01.00680449 / Действителен до 27.07.2025 / 0720056KZ56 / годен до 27.07.2025</v>
      </c>
    </row>
    <row r="838" spans="1:8" ht="12.75" x14ac:dyDescent="0.2">
      <c r="A838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838" s="1" t="str">
        <f ca="1">IFERROR(__xludf.DUMMYFUNCTION("""COMPUTED_VALUE"""),"KZ.7700.02.01.00680452")</f>
        <v>KZ.7700.02.01.00680452</v>
      </c>
      <c r="C838" s="1" t="str">
        <f ca="1">IFERROR(__xludf.DUMMYFUNCTION("""COMPUTED_VALUE"""),"Действителен до 27.07.2025")</f>
        <v>Действителен до 27.07.2025</v>
      </c>
      <c r="D838" s="8" t="str">
        <f ca="1">IFERROR(__xludf.DUMMYFUNCTION("""COMPUTED_VALUE"""),"0720056KZ56")</f>
        <v>0720056KZ56</v>
      </c>
      <c r="E838" s="1" t="str">
        <f ca="1">IFERROR(__xludf.DUMMYFUNCTION("""COMPUTED_VALUE"""),"годен до 27.07.2025")</f>
        <v>годен до 27.07.2025</v>
      </c>
      <c r="F838" s="1" t="str">
        <f ca="1">IFERROR(__xludf.DUMMYFUNCTION("""COMPUTED_VALUE"""),"Бандаж на коленный сустав эластичный 6040 XL (Болгария) - 0720056KZ56")</f>
        <v>Бандаж на коленный сустав эластичный 6040 XL (Болгария) - 0720056KZ56</v>
      </c>
      <c r="G838" s="1" t="str">
        <f ca="1">IFERROR(__xludf.DUMMYFUNCTION("""COMPUTED_VALUE"""),"KZ.7700.02.01.00680452 / Действителен до 27.07.2025 / 0720056KZ56 / годен до 27.07.2025")</f>
        <v>KZ.7700.02.01.00680452 / Действителен до 27.07.2025 / 0720056KZ56 / годен до 27.07.2025</v>
      </c>
      <c r="H838" s="1" t="str">
        <f ca="1">IFERROR(__xludf.DUMMYFUNCTION("""COMPUTED_VALUE"""),"Бандаж на коленный сустав эластичный 6040 XL (Болгария) KZ.7700.02.01.00680452 / Действителен до 27.07.2025 / 0720056KZ56 / годен до 27.07.2025")</f>
        <v>Бандаж на коленный сустав эластичный 6040 XL (Болгария) KZ.7700.02.01.00680452 / Действителен до 27.07.2025 / 0720056KZ56 / годен до 27.07.2025</v>
      </c>
    </row>
    <row r="839" spans="1:8" ht="12.75" x14ac:dyDescent="0.2">
      <c r="A839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839" s="1" t="str">
        <f ca="1">IFERROR(__xludf.DUMMYFUNCTION("""COMPUTED_VALUE"""),"KZ.7700.02.01.00680454")</f>
        <v>KZ.7700.02.01.00680454</v>
      </c>
      <c r="C839" s="1" t="str">
        <f ca="1">IFERROR(__xludf.DUMMYFUNCTION("""COMPUTED_VALUE"""),"Действителен до 27.07.2025")</f>
        <v>Действителен до 27.07.2025</v>
      </c>
      <c r="D839" s="8" t="str">
        <f ca="1">IFERROR(__xludf.DUMMYFUNCTION("""COMPUTED_VALUE"""),"0720056KZ56")</f>
        <v>0720056KZ56</v>
      </c>
      <c r="E839" s="1" t="str">
        <f ca="1">IFERROR(__xludf.DUMMYFUNCTION("""COMPUTED_VALUE"""),"годен до 27.07.2025")</f>
        <v>годен до 27.07.2025</v>
      </c>
      <c r="F839" s="1" t="str">
        <f ca="1">IFERROR(__xludf.DUMMYFUNCTION("""COMPUTED_VALUE"""),"Бандаж на коленный сустав разъемный 6058 L\XL (Болгария) - 0720056KZ56")</f>
        <v>Бандаж на коленный сустав разъемный 6058 L\XL (Болгария) - 0720056KZ56</v>
      </c>
      <c r="G839" s="1" t="str">
        <f ca="1">IFERROR(__xludf.DUMMYFUNCTION("""COMPUTED_VALUE"""),"KZ.7700.02.01.00680454 / Действителен до 27.07.2025 / 0720056KZ56 / годен до 27.07.2025")</f>
        <v>KZ.7700.02.01.00680454 / Действителен до 27.07.2025 / 0720056KZ56 / годен до 27.07.2025</v>
      </c>
      <c r="H839" s="1" t="str">
        <f ca="1">IFERROR(__xludf.DUMMYFUNCTION("""COMPUTED_VALUE"""),"Бандаж на коленный сустав разъемный 6058 L\XL (Болгария) KZ.7700.02.01.00680454 / Действителен до 27.07.2025 / 0720056KZ56 / годен до 27.07.2025")</f>
        <v>Бандаж на коленный сустав разъемный 6058 L\XL (Болгария) KZ.7700.02.01.00680454 / Действителен до 27.07.2025 / 0720056KZ56 / годен до 27.07.2025</v>
      </c>
    </row>
    <row r="840" spans="1:8" ht="12.75" x14ac:dyDescent="0.2">
      <c r="A840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840" s="1" t="str">
        <f ca="1">IFERROR(__xludf.DUMMYFUNCTION("""COMPUTED_VALUE"""),"KZ.7700.02.01.00680453")</f>
        <v>KZ.7700.02.01.00680453</v>
      </c>
      <c r="C840" s="1" t="str">
        <f ca="1">IFERROR(__xludf.DUMMYFUNCTION("""COMPUTED_VALUE"""),"Действителен до 27.07.2025")</f>
        <v>Действителен до 27.07.2025</v>
      </c>
      <c r="D840" s="8" t="str">
        <f ca="1">IFERROR(__xludf.DUMMYFUNCTION("""COMPUTED_VALUE"""),"0720056KZ56")</f>
        <v>0720056KZ56</v>
      </c>
      <c r="E840" s="1" t="str">
        <f ca="1">IFERROR(__xludf.DUMMYFUNCTION("""COMPUTED_VALUE"""),"годен до 27.07.2025")</f>
        <v>годен до 27.07.2025</v>
      </c>
      <c r="F840" s="1" t="str">
        <f ca="1">IFERROR(__xludf.DUMMYFUNCTION("""COMPUTED_VALUE"""),"Бандаж на коленный сустав разъемный 6058 S\M (Болгария) - 0720056KZ56")</f>
        <v>Бандаж на коленный сустав разъемный 6058 S\M (Болгария) - 0720056KZ56</v>
      </c>
      <c r="G840" s="1" t="str">
        <f ca="1">IFERROR(__xludf.DUMMYFUNCTION("""COMPUTED_VALUE"""),"KZ.7700.02.01.00680453 / Действителен до 27.07.2025 / 0720056KZ56 / годен до 27.07.2025")</f>
        <v>KZ.7700.02.01.00680453 / Действителен до 27.07.2025 / 0720056KZ56 / годен до 27.07.2025</v>
      </c>
      <c r="H840" s="1" t="str">
        <f ca="1">IFERROR(__xludf.DUMMYFUNCTION("""COMPUTED_VALUE"""),"Бандаж на коленный сустав разъемный 6058 S\M (Болгария) KZ.7700.02.01.00680453 / Действителен до 27.07.2025 / 0720056KZ56 / годен до 27.07.2025")</f>
        <v>Бандаж на коленный сустав разъемный 6058 S\M (Болгария) KZ.7700.02.01.00680453 / Действителен до 27.07.2025 / 0720056KZ56 / годен до 27.07.2025</v>
      </c>
    </row>
    <row r="841" spans="1:8" ht="12.75" x14ac:dyDescent="0.2">
      <c r="A841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841" s="1" t="str">
        <f ca="1">IFERROR(__xludf.DUMMYFUNCTION("""COMPUTED_VALUE"""),"KZ.7700.02.01.00680455")</f>
        <v>KZ.7700.02.01.00680455</v>
      </c>
      <c r="C841" s="1" t="str">
        <f ca="1">IFERROR(__xludf.DUMMYFUNCTION("""COMPUTED_VALUE"""),"Действителен до 27.07.2025")</f>
        <v>Действителен до 27.07.2025</v>
      </c>
      <c r="D841" s="8" t="str">
        <f ca="1">IFERROR(__xludf.DUMMYFUNCTION("""COMPUTED_VALUE"""),"0720056KZ56")</f>
        <v>0720056KZ56</v>
      </c>
      <c r="E841" s="1" t="str">
        <f ca="1">IFERROR(__xludf.DUMMYFUNCTION("""COMPUTED_VALUE"""),"годен до 27.07.2025")</f>
        <v>годен до 27.07.2025</v>
      </c>
      <c r="F841" s="1" t="str">
        <f ca="1">IFERROR(__xludf.DUMMYFUNCTION("""COMPUTED_VALUE"""),"Бандаж на коленный сустав разъемный 6058 XXL (Болгария) - 0720056KZ56")</f>
        <v>Бандаж на коленный сустав разъемный 6058 XXL (Болгария) - 0720056KZ56</v>
      </c>
      <c r="G841" s="1" t="str">
        <f ca="1">IFERROR(__xludf.DUMMYFUNCTION("""COMPUTED_VALUE"""),"KZ.7700.02.01.00680455 / Действителен до 27.07.2025 / 0720056KZ56 / годен до 27.07.2025")</f>
        <v>KZ.7700.02.01.00680455 / Действителен до 27.07.2025 / 0720056KZ56 / годен до 27.07.2025</v>
      </c>
      <c r="H841" s="1" t="str">
        <f ca="1">IFERROR(__xludf.DUMMYFUNCTION("""COMPUTED_VALUE"""),"Бандаж на коленный сустав разъемный 6058 XXL (Болгария) KZ.7700.02.01.00680455 / Действителен до 27.07.2025 / 0720056KZ56 / годен до 27.07.2025")</f>
        <v>Бандаж на коленный сустав разъемный 6058 XXL (Болгария) KZ.7700.02.01.00680455 / Действителен до 27.07.2025 / 0720056KZ56 / годен до 27.07.2025</v>
      </c>
    </row>
    <row r="842" spans="1:8" ht="12.75" x14ac:dyDescent="0.2">
      <c r="A842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842" s="1" t="str">
        <f ca="1">IFERROR(__xludf.DUMMYFUNCTION("""COMPUTED_VALUE"""),"KZ.7700.02.01.00680456")</f>
        <v>KZ.7700.02.01.00680456</v>
      </c>
      <c r="C842" s="1" t="str">
        <f ca="1">IFERROR(__xludf.DUMMYFUNCTION("""COMPUTED_VALUE"""),"Действителен до 27.07.2025")</f>
        <v>Действителен до 27.07.2025</v>
      </c>
      <c r="D842" s="8" t="str">
        <f ca="1">IFERROR(__xludf.DUMMYFUNCTION("""COMPUTED_VALUE"""),"0720056KZ56")</f>
        <v>0720056KZ56</v>
      </c>
      <c r="E842" s="1" t="str">
        <f ca="1">IFERROR(__xludf.DUMMYFUNCTION("""COMPUTED_VALUE"""),"годен до 27.07.2025")</f>
        <v>годен до 27.07.2025</v>
      </c>
      <c r="F842" s="1" t="str">
        <f ca="1">IFERROR(__xludf.DUMMYFUNCTION("""COMPUTED_VALUE"""),"Бандаж на голеностопный сустав легкой фиксации 7034 L (бежевый) (Болгария) - 0720056KZ56")</f>
        <v>Бандаж на голеностопный сустав легкой фиксации 7034 L (бежевый) (Болгария) - 0720056KZ56</v>
      </c>
      <c r="G842" s="1" t="str">
        <f ca="1">IFERROR(__xludf.DUMMYFUNCTION("""COMPUTED_VALUE"""),"KZ.7700.02.01.00680456 / Действителен до 27.07.2025 / 0720056KZ56 / годен до 27.07.2025")</f>
        <v>KZ.7700.02.01.00680456 / Действителен до 27.07.2025 / 0720056KZ56 / годен до 27.07.2025</v>
      </c>
      <c r="H842" s="1" t="str">
        <f ca="1">IFERROR(__xludf.DUMMYFUNCTION("""COMPUTED_VALUE"""),"Бандаж на голеностопный сустав легкой фиксации 7034 L (бежевый) (Болгария) KZ.7700.02.01.00680456 / Действителен до 27.07.2025 / 0720056KZ56 / годен до 27.07.2025")</f>
        <v>Бандаж на голеностопный сустав легкой фиксации 7034 L (бежевый) (Болгария) KZ.7700.02.01.00680456 / Действителен до 27.07.2025 / 0720056KZ56 / годен до 27.07.2025</v>
      </c>
    </row>
    <row r="843" spans="1:8" ht="12.75" x14ac:dyDescent="0.2">
      <c r="A843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843" s="1" t="str">
        <f ca="1">IFERROR(__xludf.DUMMYFUNCTION("""COMPUTED_VALUE"""),"KZ.7700.02.01.00680458")</f>
        <v>KZ.7700.02.01.00680458</v>
      </c>
      <c r="C843" s="1" t="str">
        <f ca="1">IFERROR(__xludf.DUMMYFUNCTION("""COMPUTED_VALUE"""),"Действителен до 27.07.2025")</f>
        <v>Действителен до 27.07.2025</v>
      </c>
      <c r="D843" s="8" t="str">
        <f ca="1">IFERROR(__xludf.DUMMYFUNCTION("""COMPUTED_VALUE"""),"0720056KZ56")</f>
        <v>0720056KZ56</v>
      </c>
      <c r="E843" s="1" t="str">
        <f ca="1">IFERROR(__xludf.DUMMYFUNCTION("""COMPUTED_VALUE"""),"годен до 27.07.2025")</f>
        <v>годен до 27.07.2025</v>
      </c>
      <c r="F843" s="1" t="str">
        <f ca="1">IFERROR(__xludf.DUMMYFUNCTION("""COMPUTED_VALUE"""),"Бандаж на голеностопный сустав эластичный 7035 L (Болгария) - 0720056KZ56")</f>
        <v>Бандаж на голеностопный сустав эластичный 7035 L (Болгария) - 0720056KZ56</v>
      </c>
      <c r="G843" s="1" t="str">
        <f ca="1">IFERROR(__xludf.DUMMYFUNCTION("""COMPUTED_VALUE"""),"KZ.7700.02.01.00680458 / Действителен до 27.07.2025 / 0720056KZ56 / годен до 27.07.2025")</f>
        <v>KZ.7700.02.01.00680458 / Действителен до 27.07.2025 / 0720056KZ56 / годен до 27.07.2025</v>
      </c>
      <c r="H843" s="1" t="str">
        <f ca="1">IFERROR(__xludf.DUMMYFUNCTION("""COMPUTED_VALUE"""),"Бандаж на голеностопный сустав эластичный 7035 L (Болгария) KZ.7700.02.01.00680458 / Действителен до 27.07.2025 / 0720056KZ56 / годен до 27.07.2025")</f>
        <v>Бандаж на голеностопный сустав эластичный 7035 L (Болгария) KZ.7700.02.01.00680458 / Действителен до 27.07.2025 / 0720056KZ56 / годен до 27.07.2025</v>
      </c>
    </row>
    <row r="844" spans="1:8" ht="12.75" x14ac:dyDescent="0.2">
      <c r="A844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844" s="1" t="str">
        <f ca="1">IFERROR(__xludf.DUMMYFUNCTION("""COMPUTED_VALUE"""),"KZ.7700.02.01.00680457")</f>
        <v>KZ.7700.02.01.00680457</v>
      </c>
      <c r="C844" s="1" t="str">
        <f ca="1">IFERROR(__xludf.DUMMYFUNCTION("""COMPUTED_VALUE"""),"Действителен до 27.07.2025")</f>
        <v>Действителен до 27.07.2025</v>
      </c>
      <c r="D844" s="8" t="str">
        <f ca="1">IFERROR(__xludf.DUMMYFUNCTION("""COMPUTED_VALUE"""),"0720056KZ56")</f>
        <v>0720056KZ56</v>
      </c>
      <c r="E844" s="1" t="str">
        <f ca="1">IFERROR(__xludf.DUMMYFUNCTION("""COMPUTED_VALUE"""),"годен до 27.07.2025")</f>
        <v>годен до 27.07.2025</v>
      </c>
      <c r="F844" s="1" t="str">
        <f ca="1">IFERROR(__xludf.DUMMYFUNCTION("""COMPUTED_VALUE"""),"Бандаж на голеностопный сустав эластичный 7035 M (Болгария) - 0720056KZ56")</f>
        <v>Бандаж на голеностопный сустав эластичный 7035 M (Болгария) - 0720056KZ56</v>
      </c>
      <c r="G844" s="1" t="str">
        <f ca="1">IFERROR(__xludf.DUMMYFUNCTION("""COMPUTED_VALUE"""),"KZ.7700.02.01.00680457 / Действителен до 27.07.2025 / 0720056KZ56 / годен до 27.07.2025")</f>
        <v>KZ.7700.02.01.00680457 / Действителен до 27.07.2025 / 0720056KZ56 / годен до 27.07.2025</v>
      </c>
      <c r="H844" s="1" t="str">
        <f ca="1">IFERROR(__xludf.DUMMYFUNCTION("""COMPUTED_VALUE"""),"Бандаж на голеностопный сустав эластичный 7035 M (Болгария) KZ.7700.02.01.00680457 / Действителен до 27.07.2025 / 0720056KZ56 / годен до 27.07.2025")</f>
        <v>Бандаж на голеностопный сустав эластичный 7035 M (Болгария) KZ.7700.02.01.00680457 / Действителен до 27.07.2025 / 0720056KZ56 / годен до 27.07.2025</v>
      </c>
    </row>
    <row r="845" spans="1:8" ht="12.75" x14ac:dyDescent="0.2">
      <c r="A845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845" s="1" t="str">
        <f ca="1">IFERROR(__xludf.DUMMYFUNCTION("""COMPUTED_VALUE"""),"KZ.7700.02.01.00680459")</f>
        <v>KZ.7700.02.01.00680459</v>
      </c>
      <c r="C845" s="1" t="str">
        <f ca="1">IFERROR(__xludf.DUMMYFUNCTION("""COMPUTED_VALUE"""),"Действителен до 27.07.2025")</f>
        <v>Действителен до 27.07.2025</v>
      </c>
      <c r="D845" s="8" t="str">
        <f ca="1">IFERROR(__xludf.DUMMYFUNCTION("""COMPUTED_VALUE"""),"0720056KZ56")</f>
        <v>0720056KZ56</v>
      </c>
      <c r="E845" s="1" t="str">
        <f ca="1">IFERROR(__xludf.DUMMYFUNCTION("""COMPUTED_VALUE"""),"годен до 27.07.2025")</f>
        <v>годен до 27.07.2025</v>
      </c>
      <c r="F845" s="1" t="str">
        <f ca="1">IFERROR(__xludf.DUMMYFUNCTION("""COMPUTED_VALUE"""),"Бандаж на голеностопный сустав эластичный 7035 XL (Болгария) - 0720056KZ56")</f>
        <v>Бандаж на голеностопный сустав эластичный 7035 XL (Болгария) - 0720056KZ56</v>
      </c>
      <c r="G845" s="1" t="str">
        <f ca="1">IFERROR(__xludf.DUMMYFUNCTION("""COMPUTED_VALUE"""),"KZ.7700.02.01.00680459 / Действителен до 27.07.2025 / 0720056KZ56 / годен до 27.07.2025")</f>
        <v>KZ.7700.02.01.00680459 / Действителен до 27.07.2025 / 0720056KZ56 / годен до 27.07.2025</v>
      </c>
      <c r="H845" s="1" t="str">
        <f ca="1">IFERROR(__xludf.DUMMYFUNCTION("""COMPUTED_VALUE"""),"Бандаж на голеностопный сустав эластичный 7035 XL (Болгария) KZ.7700.02.01.00680459 / Действителен до 27.07.2025 / 0720056KZ56 / годен до 27.07.2025")</f>
        <v>Бандаж на голеностопный сустав эластичный 7035 XL (Болгария) KZ.7700.02.01.00680459 / Действителен до 27.07.2025 / 0720056KZ56 / годен до 27.07.2025</v>
      </c>
    </row>
    <row r="846" spans="1:8" ht="12.75" x14ac:dyDescent="0.2">
      <c r="A846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846" s="1" t="str">
        <f ca="1">IFERROR(__xludf.DUMMYFUNCTION("""COMPUTED_VALUE"""),"KZ.7700.02.01.00680461")</f>
        <v>KZ.7700.02.01.00680461</v>
      </c>
      <c r="C846" s="1" t="str">
        <f ca="1">IFERROR(__xludf.DUMMYFUNCTION("""COMPUTED_VALUE"""),"Действителен до 27.07.2025")</f>
        <v>Действителен до 27.07.2025</v>
      </c>
      <c r="D846" s="8" t="str">
        <f ca="1">IFERROR(__xludf.DUMMYFUNCTION("""COMPUTED_VALUE"""),"0720056KZ56")</f>
        <v>0720056KZ56</v>
      </c>
      <c r="E846" s="1" t="str">
        <f ca="1">IFERROR(__xludf.DUMMYFUNCTION("""COMPUTED_VALUE"""),"годен до 27.07.2025")</f>
        <v>годен до 27.07.2025</v>
      </c>
      <c r="F846" s="1" t="str">
        <f ca="1">IFERROR(__xludf.DUMMYFUNCTION("""COMPUTED_VALUE"""),"Бандаж на локтевой сустав эластичный 8317 M (Болгария) - 0720056KZ56")</f>
        <v>Бандаж на локтевой сустав эластичный 8317 M (Болгария) - 0720056KZ56</v>
      </c>
      <c r="G846" s="1" t="str">
        <f ca="1">IFERROR(__xludf.DUMMYFUNCTION("""COMPUTED_VALUE"""),"KZ.7700.02.01.00680461 / Действителен до 27.07.2025 / 0720056KZ56 / годен до 27.07.2025")</f>
        <v>KZ.7700.02.01.00680461 / Действителен до 27.07.2025 / 0720056KZ56 / годен до 27.07.2025</v>
      </c>
      <c r="H846" s="1" t="str">
        <f ca="1">IFERROR(__xludf.DUMMYFUNCTION("""COMPUTED_VALUE"""),"Бандаж на локтевой сустав эластичный 8317 M (Болгария) KZ.7700.02.01.00680461 / Действителен до 27.07.2025 / 0720056KZ56 / годен до 27.07.2025")</f>
        <v>Бандаж на локтевой сустав эластичный 8317 M (Болгария) KZ.7700.02.01.00680461 / Действителен до 27.07.2025 / 0720056KZ56 / годен до 27.07.2025</v>
      </c>
    </row>
    <row r="847" spans="1:8" ht="12.75" x14ac:dyDescent="0.2">
      <c r="A847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847" s="1" t="str">
        <f ca="1">IFERROR(__xludf.DUMMYFUNCTION("""COMPUTED_VALUE"""),"KZ.7700.02.01.00680460")</f>
        <v>KZ.7700.02.01.00680460</v>
      </c>
      <c r="C847" s="1" t="str">
        <f ca="1">IFERROR(__xludf.DUMMYFUNCTION("""COMPUTED_VALUE"""),"Действителен до 27.07.2025")</f>
        <v>Действителен до 27.07.2025</v>
      </c>
      <c r="D847" s="8" t="str">
        <f ca="1">IFERROR(__xludf.DUMMYFUNCTION("""COMPUTED_VALUE"""),"0720056KZ56")</f>
        <v>0720056KZ56</v>
      </c>
      <c r="E847" s="1" t="str">
        <f ca="1">IFERROR(__xludf.DUMMYFUNCTION("""COMPUTED_VALUE"""),"годен до 27.07.2025")</f>
        <v>годен до 27.07.2025</v>
      </c>
      <c r="F847" s="1" t="str">
        <f ca="1">IFERROR(__xludf.DUMMYFUNCTION("""COMPUTED_VALUE"""),"Бандаж на локтевой сустав эластичный 8317 S (Болгария) - 0720056KZ56")</f>
        <v>Бандаж на локтевой сустав эластичный 8317 S (Болгария) - 0720056KZ56</v>
      </c>
      <c r="G847" s="1" t="str">
        <f ca="1">IFERROR(__xludf.DUMMYFUNCTION("""COMPUTED_VALUE"""),"KZ.7700.02.01.00680460 / Действителен до 27.07.2025 / 0720056KZ56 / годен до 27.07.2025")</f>
        <v>KZ.7700.02.01.00680460 / Действителен до 27.07.2025 / 0720056KZ56 / годен до 27.07.2025</v>
      </c>
      <c r="H847" s="1" t="str">
        <f ca="1">IFERROR(__xludf.DUMMYFUNCTION("""COMPUTED_VALUE"""),"Бандаж на локтевой сустав эластичный 8317 S (Болгария) KZ.7700.02.01.00680460 / Действителен до 27.07.2025 / 0720056KZ56 / годен до 27.07.2025")</f>
        <v>Бандаж на локтевой сустав эластичный 8317 S (Болгария) KZ.7700.02.01.00680460 / Действителен до 27.07.2025 / 0720056KZ56 / годен до 27.07.2025</v>
      </c>
    </row>
    <row r="848" spans="1:8" ht="12.75" x14ac:dyDescent="0.2">
      <c r="A848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848" s="1" t="str">
        <f ca="1">IFERROR(__xludf.DUMMYFUNCTION("""COMPUTED_VALUE"""),"KZ.7700.02.01.00680462")</f>
        <v>KZ.7700.02.01.00680462</v>
      </c>
      <c r="C848" s="1" t="str">
        <f ca="1">IFERROR(__xludf.DUMMYFUNCTION("""COMPUTED_VALUE"""),"Действителен до 27.07.2025")</f>
        <v>Действителен до 27.07.2025</v>
      </c>
      <c r="D848" s="8" t="str">
        <f ca="1">IFERROR(__xludf.DUMMYFUNCTION("""COMPUTED_VALUE"""),"0720056KZ56")</f>
        <v>0720056KZ56</v>
      </c>
      <c r="E848" s="1" t="str">
        <f ca="1">IFERROR(__xludf.DUMMYFUNCTION("""COMPUTED_VALUE"""),"годен до 27.07.2025")</f>
        <v>годен до 27.07.2025</v>
      </c>
      <c r="F848" s="1" t="str">
        <f ca="1">IFERROR(__xludf.DUMMYFUNCTION("""COMPUTED_VALUE"""),"Бандаж на лучезапястный сустав эластичный 8503 S (Болгария) - 0720056KZ56")</f>
        <v>Бандаж на лучезапястный сустав эластичный 8503 S (Болгария) - 0720056KZ56</v>
      </c>
      <c r="G848" s="1" t="str">
        <f ca="1">IFERROR(__xludf.DUMMYFUNCTION("""COMPUTED_VALUE"""),"KZ.7700.02.01.00680462 / Действителен до 27.07.2025 / 0720056KZ56 / годен до 27.07.2025")</f>
        <v>KZ.7700.02.01.00680462 / Действителен до 27.07.2025 / 0720056KZ56 / годен до 27.07.2025</v>
      </c>
      <c r="H848" s="1" t="str">
        <f ca="1">IFERROR(__xludf.DUMMYFUNCTION("""COMPUTED_VALUE"""),"Бандаж на лучезапястный сустав эластичный 8503 S (Болгария) KZ.7700.02.01.00680462 / Действителен до 27.07.2025 / 0720056KZ56 / годен до 27.07.2025")</f>
        <v>Бандаж на лучезапястный сустав эластичный 8503 S (Болгария) KZ.7700.02.01.00680462 / Действителен до 27.07.2025 / 0720056KZ56 / годен до 27.07.2025</v>
      </c>
    </row>
    <row r="849" spans="1:8" ht="12.75" x14ac:dyDescent="0.2">
      <c r="A849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849" s="1" t="str">
        <f ca="1">IFERROR(__xludf.DUMMYFUNCTION("""COMPUTED_VALUE"""),"KZ.7700.02.01.00680463")</f>
        <v>KZ.7700.02.01.00680463</v>
      </c>
      <c r="C849" s="1" t="str">
        <f ca="1">IFERROR(__xludf.DUMMYFUNCTION("""COMPUTED_VALUE"""),"Действителен до 27.07.2025")</f>
        <v>Действителен до 27.07.2025</v>
      </c>
      <c r="D849" s="8" t="str">
        <f ca="1">IFERROR(__xludf.DUMMYFUNCTION("""COMPUTED_VALUE"""),"0720056KZ56")</f>
        <v>0720056KZ56</v>
      </c>
      <c r="E849" s="1" t="str">
        <f ca="1">IFERROR(__xludf.DUMMYFUNCTION("""COMPUTED_VALUE"""),"годен до 27.07.2025")</f>
        <v>годен до 27.07.2025</v>
      </c>
      <c r="F849" s="1" t="str">
        <f ca="1">IFERROR(__xludf.DUMMYFUNCTION("""COMPUTED_VALUE"""),"Бандаж на лучезапястный сустав легкой фиксации 8505 S/M (Бежевый) (Болгария) - 0720056KZ56")</f>
        <v>Бандаж на лучезапястный сустав легкой фиксации 8505 S/M (Бежевый) (Болгария) - 0720056KZ56</v>
      </c>
      <c r="G849" s="1" t="str">
        <f ca="1">IFERROR(__xludf.DUMMYFUNCTION("""COMPUTED_VALUE"""),"KZ.7700.02.01.00680463 / Действителен до 27.07.2025 / 0720056KZ56 / годен до 27.07.2025")</f>
        <v>KZ.7700.02.01.00680463 / Действителен до 27.07.2025 / 0720056KZ56 / годен до 27.07.2025</v>
      </c>
      <c r="H849" s="1" t="str">
        <f ca="1">IFERROR(__xludf.DUMMYFUNCTION("""COMPUTED_VALUE"""),"Бандаж на лучезапястный сустав легкой фиксации 8505 S/M (Бежевый) (Болгария) KZ.7700.02.01.00680463 / Действителен до 27.07.2025 / 0720056KZ56 / годен до 27.07.2025")</f>
        <v>Бандаж на лучезапястный сустав легкой фиксации 8505 S/M (Бежевый) (Болгария) KZ.7700.02.01.00680463 / Действителен до 27.07.2025 / 0720056KZ56 / годен до 27.07.2025</v>
      </c>
    </row>
    <row r="850" spans="1:8" ht="12.75" x14ac:dyDescent="0.2">
      <c r="A850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850" s="1" t="str">
        <f ca="1">IFERROR(__xludf.DUMMYFUNCTION("""COMPUTED_VALUE"""),"KZ.7700.02.01.00680465")</f>
        <v>KZ.7700.02.01.00680465</v>
      </c>
      <c r="C850" s="1" t="str">
        <f ca="1">IFERROR(__xludf.DUMMYFUNCTION("""COMPUTED_VALUE"""),"Действителен до 27.07.2025")</f>
        <v>Действителен до 27.07.2025</v>
      </c>
      <c r="D850" s="8" t="str">
        <f ca="1">IFERROR(__xludf.DUMMYFUNCTION("""COMPUTED_VALUE"""),"0720056KZ56")</f>
        <v>0720056KZ56</v>
      </c>
      <c r="E850" s="1" t="str">
        <f ca="1">IFERROR(__xludf.DUMMYFUNCTION("""COMPUTED_VALUE"""),"годен до 27.07.2025")</f>
        <v>годен до 27.07.2025</v>
      </c>
      <c r="F850" s="1" t="str">
        <f ca="1">IFERROR(__xludf.DUMMYFUNCTION("""COMPUTED_VALUE"""),"Бандаж на лучезапястный сустав с фиксацией пальца 8552 L\XL (Болгария) - 0720056KZ56")</f>
        <v>Бандаж на лучезапястный сустав с фиксацией пальца 8552 L\XL (Болгария) - 0720056KZ56</v>
      </c>
      <c r="G850" s="1" t="str">
        <f ca="1">IFERROR(__xludf.DUMMYFUNCTION("""COMPUTED_VALUE"""),"KZ.7700.02.01.00680465 / Действителен до 27.07.2025 / 0720056KZ56 / годен до 27.07.2025")</f>
        <v>KZ.7700.02.01.00680465 / Действителен до 27.07.2025 / 0720056KZ56 / годен до 27.07.2025</v>
      </c>
      <c r="H850" s="1" t="str">
        <f ca="1">IFERROR(__xludf.DUMMYFUNCTION("""COMPUTED_VALUE"""),"Бандаж на лучезапястный сустав с фиксацией пальца 8552 L\XL (Болгария) KZ.7700.02.01.00680465 / Действителен до 27.07.2025 / 0720056KZ56 / годен до 27.07.2025")</f>
        <v>Бандаж на лучезапястный сустав с фиксацией пальца 8552 L\XL (Болгария) KZ.7700.02.01.00680465 / Действителен до 27.07.2025 / 0720056KZ56 / годен до 27.07.2025</v>
      </c>
    </row>
    <row r="851" spans="1:8" ht="12.75" x14ac:dyDescent="0.2">
      <c r="A851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851" s="1" t="str">
        <f ca="1">IFERROR(__xludf.DUMMYFUNCTION("""COMPUTED_VALUE"""),"KZ.7700.02.01.00680464")</f>
        <v>KZ.7700.02.01.00680464</v>
      </c>
      <c r="C851" s="1" t="str">
        <f ca="1">IFERROR(__xludf.DUMMYFUNCTION("""COMPUTED_VALUE"""),"Действителен до 27.07.2025")</f>
        <v>Действителен до 27.07.2025</v>
      </c>
      <c r="D851" s="8" t="str">
        <f ca="1">IFERROR(__xludf.DUMMYFUNCTION("""COMPUTED_VALUE"""),"0720056KZ56")</f>
        <v>0720056KZ56</v>
      </c>
      <c r="E851" s="1" t="str">
        <f ca="1">IFERROR(__xludf.DUMMYFUNCTION("""COMPUTED_VALUE"""),"годен до 27.07.2025")</f>
        <v>годен до 27.07.2025</v>
      </c>
      <c r="F851" s="1" t="str">
        <f ca="1">IFERROR(__xludf.DUMMYFUNCTION("""COMPUTED_VALUE"""),"Бандаж на лучезапястный сустав с фиксацией пальца 8552 S\M (Болгария) - 0720056KZ56")</f>
        <v>Бандаж на лучезапястный сустав с фиксацией пальца 8552 S\M (Болгария) - 0720056KZ56</v>
      </c>
      <c r="G851" s="1" t="str">
        <f ca="1">IFERROR(__xludf.DUMMYFUNCTION("""COMPUTED_VALUE"""),"KZ.7700.02.01.00680464 / Действителен до 27.07.2025 / 0720056KZ56 / годен до 27.07.2025")</f>
        <v>KZ.7700.02.01.00680464 / Действителен до 27.07.2025 / 0720056KZ56 / годен до 27.07.2025</v>
      </c>
      <c r="H851" s="1" t="str">
        <f ca="1">IFERROR(__xludf.DUMMYFUNCTION("""COMPUTED_VALUE"""),"Бандаж на лучезапястный сустав с фиксацией пальца 8552 S\M (Болгария) KZ.7700.02.01.00680464 / Действителен до 27.07.2025 / 0720056KZ56 / годен до 27.07.2025")</f>
        <v>Бандаж на лучезапястный сустав с фиксацией пальца 8552 S\M (Болгария) KZ.7700.02.01.00680464 / Действителен до 27.07.2025 / 0720056KZ56 / годен до 27.07.2025</v>
      </c>
    </row>
    <row r="852" spans="1:8" ht="12.75" x14ac:dyDescent="0.2">
      <c r="A852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852" s="1" t="str">
        <f ca="1">IFERROR(__xludf.DUMMYFUNCTION("""COMPUTED_VALUE"""),"KZ.7700.02.01.00680467")</f>
        <v>KZ.7700.02.01.00680467</v>
      </c>
      <c r="C852" s="1" t="str">
        <f ca="1">IFERROR(__xludf.DUMMYFUNCTION("""COMPUTED_VALUE"""),"Действителен до 27.07.2025")</f>
        <v>Действителен до 27.07.2025</v>
      </c>
      <c r="D852" s="8" t="str">
        <f ca="1">IFERROR(__xludf.DUMMYFUNCTION("""COMPUTED_VALUE"""),"0720056KZ56")</f>
        <v>0720056KZ56</v>
      </c>
      <c r="E852" s="1" t="str">
        <f ca="1">IFERROR(__xludf.DUMMYFUNCTION("""COMPUTED_VALUE"""),"годен до 27.07.2025")</f>
        <v>годен до 27.07.2025</v>
      </c>
      <c r="F852" s="1" t="str">
        <f ca="1">IFERROR(__xludf.DUMMYFUNCTION("""COMPUTED_VALUE"""),"Бандаж для руки поддерживающий облегченный (косынка) 9912 L (черный) (Болгария) - 0720056KZ56")</f>
        <v>Бандаж для руки поддерживающий облегченный (косынка) 9912 L (черный) (Болгария) - 0720056KZ56</v>
      </c>
      <c r="G852" s="1" t="str">
        <f ca="1">IFERROR(__xludf.DUMMYFUNCTION("""COMPUTED_VALUE"""),"KZ.7700.02.01.00680467 / Действителен до 27.07.2025 / 0720056KZ56 / годен до 27.07.2025")</f>
        <v>KZ.7700.02.01.00680467 / Действителен до 27.07.2025 / 0720056KZ56 / годен до 27.07.2025</v>
      </c>
      <c r="H852" s="1" t="str">
        <f ca="1">IFERROR(__xludf.DUMMYFUNCTION("""COMPUTED_VALUE"""),"Бандаж для руки поддерживающий облегченный (косынка) 9912 L (черный) (Болгария) KZ.7700.02.01.00680467 / Действителен до 27.07.2025 / 0720056KZ56 / годен до 27.07.2025")</f>
        <v>Бандаж для руки поддерживающий облегченный (косынка) 9912 L (черный) (Болгария) KZ.7700.02.01.00680467 / Действителен до 27.07.2025 / 0720056KZ56 / годен до 27.07.2025</v>
      </c>
    </row>
    <row r="853" spans="1:8" ht="12.75" x14ac:dyDescent="0.2">
      <c r="A853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853" s="1" t="str">
        <f ca="1">IFERROR(__xludf.DUMMYFUNCTION("""COMPUTED_VALUE"""),"KZ.7700.02.01.00680466")</f>
        <v>KZ.7700.02.01.00680466</v>
      </c>
      <c r="C853" s="1" t="str">
        <f ca="1">IFERROR(__xludf.DUMMYFUNCTION("""COMPUTED_VALUE"""),"Действителен до 27.07.2025")</f>
        <v>Действителен до 27.07.2025</v>
      </c>
      <c r="D853" s="8" t="str">
        <f ca="1">IFERROR(__xludf.DUMMYFUNCTION("""COMPUTED_VALUE"""),"0720056KZ56")</f>
        <v>0720056KZ56</v>
      </c>
      <c r="E853" s="1" t="str">
        <f ca="1">IFERROR(__xludf.DUMMYFUNCTION("""COMPUTED_VALUE"""),"годен до 27.07.2025")</f>
        <v>годен до 27.07.2025</v>
      </c>
      <c r="F853" s="1" t="str">
        <f ca="1">IFERROR(__xludf.DUMMYFUNCTION("""COMPUTED_VALUE"""),"Бандаж для руки поддерживающий облегченный (косынка) 9912 M (черный) (Болгария) - 0720056KZ56")</f>
        <v>Бандаж для руки поддерживающий облегченный (косынка) 9912 M (черный) (Болгария) - 0720056KZ56</v>
      </c>
      <c r="G853" s="1" t="str">
        <f ca="1">IFERROR(__xludf.DUMMYFUNCTION("""COMPUTED_VALUE"""),"KZ.7700.02.01.00680466 / Действителен до 27.07.2025 / 0720056KZ56 / годен до 27.07.2025")</f>
        <v>KZ.7700.02.01.00680466 / Действителен до 27.07.2025 / 0720056KZ56 / годен до 27.07.2025</v>
      </c>
      <c r="H853" s="1" t="str">
        <f ca="1">IFERROR(__xludf.DUMMYFUNCTION("""COMPUTED_VALUE"""),"Бандаж для руки поддерживающий облегченный (косынка) 9912 M (черный) (Болгария) KZ.7700.02.01.00680466 / Действителен до 27.07.2025 / 0720056KZ56 / годен до 27.07.2025")</f>
        <v>Бандаж для руки поддерживающий облегченный (косынка) 9912 M (черный) (Болгария) KZ.7700.02.01.00680466 / Действителен до 27.07.2025 / 0720056KZ56 / годен до 27.07.2025</v>
      </c>
    </row>
    <row r="854" spans="1:8" ht="12.75" x14ac:dyDescent="0.2">
      <c r="A854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854" s="1" t="str">
        <f ca="1">IFERROR(__xludf.DUMMYFUNCTION("""COMPUTED_VALUE"""),"KZ.7700.02.01.00680468")</f>
        <v>KZ.7700.02.01.00680468</v>
      </c>
      <c r="C854" s="1" t="str">
        <f ca="1">IFERROR(__xludf.DUMMYFUNCTION("""COMPUTED_VALUE"""),"Действителен до 27.07.2025")</f>
        <v>Действителен до 27.07.2025</v>
      </c>
      <c r="D854" s="8" t="str">
        <f ca="1">IFERROR(__xludf.DUMMYFUNCTION("""COMPUTED_VALUE"""),"0720056KZ56")</f>
        <v>0720056KZ56</v>
      </c>
      <c r="E854" s="1" t="str">
        <f ca="1">IFERROR(__xludf.DUMMYFUNCTION("""COMPUTED_VALUE"""),"годен до 27.07.2025")</f>
        <v>годен до 27.07.2025</v>
      </c>
      <c r="F854" s="1" t="str">
        <f ca="1">IFERROR(__xludf.DUMMYFUNCTION("""COMPUTED_VALUE"""),"Бандаж для руки поддерживающий облегченный (косынка) 9912 M (белый) (Болгария) - 0720056KZ56")</f>
        <v>Бандаж для руки поддерживающий облегченный (косынка) 9912 M (белый) (Болгария) - 0720056KZ56</v>
      </c>
      <c r="G854" s="1" t="str">
        <f ca="1">IFERROR(__xludf.DUMMYFUNCTION("""COMPUTED_VALUE"""),"KZ.7700.02.01.00680468 / Действителен до 27.07.2025 / 0720056KZ56 / годен до 27.07.2025")</f>
        <v>KZ.7700.02.01.00680468 / Действителен до 27.07.2025 / 0720056KZ56 / годен до 27.07.2025</v>
      </c>
      <c r="H854" s="1" t="str">
        <f ca="1">IFERROR(__xludf.DUMMYFUNCTION("""COMPUTED_VALUE"""),"Бандаж для руки поддерживающий облегченный (косынка) 9912 M (белый) (Болгария) KZ.7700.02.01.00680468 / Действителен до 27.07.2025 / 0720056KZ56 / годен до 27.07.2025")</f>
        <v>Бандаж для руки поддерживающий облегченный (косынка) 9912 M (белый) (Болгария) KZ.7700.02.01.00680468 / Действителен до 27.07.2025 / 0720056KZ56 / годен до 27.07.2025</v>
      </c>
    </row>
    <row r="855" spans="1:8" ht="12.75" x14ac:dyDescent="0.2">
      <c r="A855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855" s="1" t="str">
        <f ca="1">IFERROR(__xludf.DUMMYFUNCTION("""COMPUTED_VALUE"""),"KZ.7700.02.01.00680432")</f>
        <v>KZ.7700.02.01.00680432</v>
      </c>
      <c r="C855" s="1" t="str">
        <f ca="1">IFERROR(__xludf.DUMMYFUNCTION("""COMPUTED_VALUE"""),"Действителен до15.05.2025")</f>
        <v>Действителен до15.05.2025</v>
      </c>
      <c r="D855" s="8" t="str">
        <f ca="1">IFERROR(__xludf.DUMMYFUNCTION("""COMPUTED_VALUE"""),"0520008KZ08")</f>
        <v>0520008KZ08</v>
      </c>
      <c r="E855" s="1" t="str">
        <f ca="1">IFERROR(__xludf.DUMMYFUNCTION("""COMPUTED_VALUE"""),"годен до 15.05.2025")</f>
        <v>годен до 15.05.2025</v>
      </c>
      <c r="F855" s="1" t="str">
        <f ca="1">IFERROR(__xludf.DUMMYFUNCTION("""COMPUTED_VALUE"""),"Бандаж лечебно–профилактический эластичный 4002 L (Болгария) - 0520008KZ08")</f>
        <v>Бандаж лечебно–профилактический эластичный 4002 L (Болгария) - 0520008KZ08</v>
      </c>
      <c r="G855" s="1" t="str">
        <f ca="1">IFERROR(__xludf.DUMMYFUNCTION("""COMPUTED_VALUE"""),"KZ.7700.02.01.00680432 / Действителен до15.05.2025 / 0520008KZ08 / годен до 15.05.2025")</f>
        <v>KZ.7700.02.01.00680432 / Действителен до15.05.2025 / 0520008KZ08 / годен до 15.05.2025</v>
      </c>
      <c r="H855" s="1" t="str">
        <f ca="1">IFERROR(__xludf.DUMMYFUNCTION("""COMPUTED_VALUE"""),"Бандаж лечебно–профилактический эластичный 4002 L (Болгария) KZ.7700.02.01.00680432 / Действителен до15.05.2025 / 0520008KZ08 / годен до 15.05.2025")</f>
        <v>Бандаж лечебно–профилактический эластичный 4002 L (Болгария) KZ.7700.02.01.00680432 / Действителен до15.05.2025 / 0520008KZ08 / годен до 15.05.2025</v>
      </c>
    </row>
    <row r="856" spans="1:8" ht="12.75" x14ac:dyDescent="0.2">
      <c r="A856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856" s="1" t="str">
        <f ca="1">IFERROR(__xludf.DUMMYFUNCTION("""COMPUTED_VALUE"""),"KZ.7700.02.01.00680431")</f>
        <v>KZ.7700.02.01.00680431</v>
      </c>
      <c r="C856" s="1" t="str">
        <f ca="1">IFERROR(__xludf.DUMMYFUNCTION("""COMPUTED_VALUE"""),"Действителен до 15.05.2025")</f>
        <v>Действителен до 15.05.2025</v>
      </c>
      <c r="D856" s="8" t="str">
        <f ca="1">IFERROR(__xludf.DUMMYFUNCTION("""COMPUTED_VALUE"""),"0520008KZ08")</f>
        <v>0520008KZ08</v>
      </c>
      <c r="E856" s="1" t="str">
        <f ca="1">IFERROR(__xludf.DUMMYFUNCTION("""COMPUTED_VALUE"""),"годен до 15.05.2025")</f>
        <v>годен до 15.05.2025</v>
      </c>
      <c r="F856" s="1" t="str">
        <f ca="1">IFERROR(__xludf.DUMMYFUNCTION("""COMPUTED_VALUE"""),"Бандаж лечебно–профилактический эластичный 4002 M (Болгария) - 0520008KZ08")</f>
        <v>Бандаж лечебно–профилактический эластичный 4002 M (Болгария) - 0520008KZ08</v>
      </c>
      <c r="G856" s="1" t="str">
        <f ca="1">IFERROR(__xludf.DUMMYFUNCTION("""COMPUTED_VALUE"""),"KZ.7700.02.01.00680431 / Действителен до 15.05.2025 / 0520008KZ08 / годен до 15.05.2025")</f>
        <v>KZ.7700.02.01.00680431 / Действителен до 15.05.2025 / 0520008KZ08 / годен до 15.05.2025</v>
      </c>
      <c r="H856" s="1" t="str">
        <f ca="1">IFERROR(__xludf.DUMMYFUNCTION("""COMPUTED_VALUE"""),"Бандаж лечебно–профилактический эластичный 4002 M (Болгария) KZ.7700.02.01.00680431 / Действителен до 15.05.2025 / 0520008KZ08 / годен до 15.05.2025")</f>
        <v>Бандаж лечебно–профилактический эластичный 4002 M (Болгария) KZ.7700.02.01.00680431 / Действителен до 15.05.2025 / 0520008KZ08 / годен до 15.05.2025</v>
      </c>
    </row>
    <row r="857" spans="1:8" ht="12.75" x14ac:dyDescent="0.2">
      <c r="A857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857" s="1" t="str">
        <f ca="1">IFERROR(__xludf.DUMMYFUNCTION("""COMPUTED_VALUE"""),"KZ.7700.02.01.00680434")</f>
        <v>KZ.7700.02.01.00680434</v>
      </c>
      <c r="C857" s="1" t="str">
        <f ca="1">IFERROR(__xludf.DUMMYFUNCTION("""COMPUTED_VALUE"""),"Действителен до 15.05.2025")</f>
        <v>Действителен до 15.05.2025</v>
      </c>
      <c r="D857" s="8" t="str">
        <f ca="1">IFERROR(__xludf.DUMMYFUNCTION("""COMPUTED_VALUE"""),"0520008KZ08")</f>
        <v>0520008KZ08</v>
      </c>
      <c r="E857" s="1" t="str">
        <f ca="1">IFERROR(__xludf.DUMMYFUNCTION("""COMPUTED_VALUE"""),"годен до 15.05.2025")</f>
        <v>годен до 15.05.2025</v>
      </c>
      <c r="F857" s="1" t="str">
        <f ca="1">IFERROR(__xludf.DUMMYFUNCTION("""COMPUTED_VALUE"""),"Бандаж лечебно–профилактический эластичный 4002 XL (Болгария) - 0520008KZ08")</f>
        <v>Бандаж лечебно–профилактический эластичный 4002 XL (Болгария) - 0520008KZ08</v>
      </c>
      <c r="G857" s="1" t="str">
        <f ca="1">IFERROR(__xludf.DUMMYFUNCTION("""COMPUTED_VALUE"""),"KZ.7700.02.01.00680434 / Действителен до 15.05.2025 / 0520008KZ08 / годен до 15.05.2025")</f>
        <v>KZ.7700.02.01.00680434 / Действителен до 15.05.2025 / 0520008KZ08 / годен до 15.05.2025</v>
      </c>
      <c r="H857" s="1" t="str">
        <f ca="1">IFERROR(__xludf.DUMMYFUNCTION("""COMPUTED_VALUE"""),"Бандаж лечебно–профилактический эластичный 4002 XL (Болгария) KZ.7700.02.01.00680434 / Действителен до 15.05.2025 / 0520008KZ08 / годен до 15.05.2025")</f>
        <v>Бандаж лечебно–профилактический эластичный 4002 XL (Болгария) KZ.7700.02.01.00680434 / Действителен до 15.05.2025 / 0520008KZ08 / годен до 15.05.2025</v>
      </c>
    </row>
    <row r="858" spans="1:8" ht="12.75" x14ac:dyDescent="0.2">
      <c r="A858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858" s="1" t="str">
        <f ca="1">IFERROR(__xludf.DUMMYFUNCTION("""COMPUTED_VALUE"""),"KZ.7700.02.01.00680436")</f>
        <v>KZ.7700.02.01.00680436</v>
      </c>
      <c r="C858" s="1" t="str">
        <f ca="1">IFERROR(__xludf.DUMMYFUNCTION("""COMPUTED_VALUE"""),"Действителен до 15.05.2025")</f>
        <v>Действителен до 15.05.2025</v>
      </c>
      <c r="D858" s="8" t="str">
        <f ca="1">IFERROR(__xludf.DUMMYFUNCTION("""COMPUTED_VALUE"""),"0520008KZ08")</f>
        <v>0520008KZ08</v>
      </c>
      <c r="E858" s="1" t="str">
        <f ca="1">IFERROR(__xludf.DUMMYFUNCTION("""COMPUTED_VALUE"""),"годен до 15.05.2025")</f>
        <v>годен до 15.05.2025</v>
      </c>
      <c r="F858" s="1" t="str">
        <f ca="1">IFERROR(__xludf.DUMMYFUNCTION("""COMPUTED_VALUE"""),"Бандаж лечебно–профилактический эластичный 4002 XXL (Болгария) - 0520008KZ08")</f>
        <v>Бандаж лечебно–профилактический эластичный 4002 XXL (Болгария) - 0520008KZ08</v>
      </c>
      <c r="G858" s="1" t="str">
        <f ca="1">IFERROR(__xludf.DUMMYFUNCTION("""COMPUTED_VALUE"""),"KZ.7700.02.01.00680436 / Действителен до 15.05.2025 / 0520008KZ08 / годен до 15.05.2025")</f>
        <v>KZ.7700.02.01.00680436 / Действителен до 15.05.2025 / 0520008KZ08 / годен до 15.05.2025</v>
      </c>
      <c r="H858" s="1" t="str">
        <f ca="1">IFERROR(__xludf.DUMMYFUNCTION("""COMPUTED_VALUE"""),"Бандаж лечебно–профилактический эластичный 4002 XXL (Болгария) KZ.7700.02.01.00680436 / Действителен до 15.05.2025 / 0520008KZ08 / годен до 15.05.2025")</f>
        <v>Бандаж лечебно–профилактический эластичный 4002 XXL (Болгария) KZ.7700.02.01.00680436 / Действителен до 15.05.2025 / 0520008KZ08 / годен до 15.05.2025</v>
      </c>
    </row>
    <row r="859" spans="1:8" ht="12.75" x14ac:dyDescent="0.2">
      <c r="A859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859" s="1" t="str">
        <f ca="1">IFERROR(__xludf.DUMMYFUNCTION("""COMPUTED_VALUE"""),"KZ.7700.02.01.00680439")</f>
        <v>KZ.7700.02.01.00680439</v>
      </c>
      <c r="C859" s="1" t="str">
        <f ca="1">IFERROR(__xludf.DUMMYFUNCTION("""COMPUTED_VALUE"""),"Действителен до 27.07.2025")</f>
        <v>Действителен до 27.07.2025</v>
      </c>
      <c r="D859" s="8" t="str">
        <f ca="1">IFERROR(__xludf.DUMMYFUNCTION("""COMPUTED_VALUE"""),"0720056KZ56")</f>
        <v>0720056KZ56</v>
      </c>
      <c r="E859" s="1" t="str">
        <f ca="1">IFERROR(__xludf.DUMMYFUNCTION("""COMPUTED_VALUE"""),"годен до 27.07.2025")</f>
        <v>годен до 27.07.2025</v>
      </c>
      <c r="F859" s="1" t="str">
        <f ca="1">IFERROR(__xludf.DUMMYFUNCTION("""COMPUTED_VALUE"""),"Бандаж лечебно–профилактический эластичный 4002 XXXL (Болгария) - 0720056KZ56")</f>
        <v>Бандаж лечебно–профилактический эластичный 4002 XXXL (Болгария) - 0720056KZ56</v>
      </c>
      <c r="G859" s="1" t="str">
        <f ca="1">IFERROR(__xludf.DUMMYFUNCTION("""COMPUTED_VALUE"""),"KZ.7700.02.01.00680439 / Действителен до 27.07.2025 / 0720056KZ56 / годен до 27.07.2025")</f>
        <v>KZ.7700.02.01.00680439 / Действителен до 27.07.2025 / 0720056KZ56 / годен до 27.07.2025</v>
      </c>
      <c r="H859" s="1" t="str">
        <f ca="1">IFERROR(__xludf.DUMMYFUNCTION("""COMPUTED_VALUE"""),"Бандаж лечебно–профилактический эластичный 4002 XXXL (Болгария) KZ.7700.02.01.00680439 / Действителен до 27.07.2025 / 0720056KZ56 / годен до 27.07.2025")</f>
        <v>Бандаж лечебно–профилактический эластичный 4002 XXXL (Болгария) KZ.7700.02.01.00680439 / Действителен до 27.07.2025 / 0720056KZ56 / годен до 27.07.2025</v>
      </c>
    </row>
    <row r="860" spans="1:8" ht="12.75" x14ac:dyDescent="0.2">
      <c r="A860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860" s="1" t="str">
        <f ca="1">IFERROR(__xludf.DUMMYFUNCTION("""COMPUTED_VALUE"""),"KZ.7700.02.01.00615681")</f>
        <v>KZ.7700.02.01.00615681</v>
      </c>
      <c r="C860" s="1" t="str">
        <f ca="1">IFERROR(__xludf.DUMMYFUNCTION("""COMPUTED_VALUE"""),"Действителен до 02.12.2024")</f>
        <v>Действителен до 02.12.2024</v>
      </c>
      <c r="D860" s="8" t="str">
        <f ca="1">IFERROR(__xludf.DUMMYFUNCTION("""COMPUTED_VALUE"""),"1219046KZ46")</f>
        <v>1219046KZ46</v>
      </c>
      <c r="E860" s="1" t="str">
        <f ca="1">IFERROR(__xludf.DUMMYFUNCTION("""COMPUTED_VALUE"""),"годен до 02.12.2024")</f>
        <v>годен до 02.12.2024</v>
      </c>
      <c r="F860" s="1" t="str">
        <f ca="1">IFERROR(__xludf.DUMMYFUNCTION("""COMPUTED_VALUE"""),"Бинт эластичный медицинский средней растяжимости (ширина 80 мм) 02х80х1.5 - 1219046KZ46")</f>
        <v>Бинт эластичный медицинский средней растяжимости (ширина 80 мм) 02х80х1.5 - 1219046KZ46</v>
      </c>
      <c r="G860" s="1" t="str">
        <f ca="1">IFERROR(__xludf.DUMMYFUNCTION("""COMPUTED_VALUE"""),"KZ.7700.02.01.00615681 / Действителен до 02.12.2024 / 1219046KZ46 / годен до 02.12.2024")</f>
        <v>KZ.7700.02.01.00615681 / Действителен до 02.12.2024 / 1219046KZ46 / годен до 02.12.2024</v>
      </c>
      <c r="H860" s="1" t="str">
        <f ca="1">IFERROR(__xludf.DUMMYFUNCTION("""COMPUTED_VALUE"""),"Бинт эластичный медицинский средней растяжимости (ширина 80 мм) 02х80х1.5 KZ.7700.02.01.00615681 / Действителен до 02.12.2024 / 1219046KZ46 / годен до 02.12.2024")</f>
        <v>Бинт эластичный медицинский средней растяжимости (ширина 80 мм) 02х80х1.5 KZ.7700.02.01.00615681 / Действителен до 02.12.2024 / 1219046KZ46 / годен до 02.12.2024</v>
      </c>
    </row>
    <row r="861" spans="1:8" ht="12.75" x14ac:dyDescent="0.2">
      <c r="A861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861" s="1" t="str">
        <f ca="1">IFERROR(__xludf.DUMMYFUNCTION("""COMPUTED_VALUE"""),"KZ.7700.02.01.00615680")</f>
        <v>KZ.7700.02.01.00615680</v>
      </c>
      <c r="C861" s="1" t="str">
        <f ca="1">IFERROR(__xludf.DUMMYFUNCTION("""COMPUTED_VALUE"""),"Действителен до 02.12.2024")</f>
        <v>Действителен до 02.12.2024</v>
      </c>
      <c r="D861" s="8" t="str">
        <f ca="1">IFERROR(__xludf.DUMMYFUNCTION("""COMPUTED_VALUE"""),"1219046KZ46")</f>
        <v>1219046KZ46</v>
      </c>
      <c r="E861" s="1" t="str">
        <f ca="1">IFERROR(__xludf.DUMMYFUNCTION("""COMPUTED_VALUE"""),"годен до 02.12.2024")</f>
        <v>годен до 02.12.2024</v>
      </c>
      <c r="F861" s="1" t="str">
        <f ca="1">IFERROR(__xludf.DUMMYFUNCTION("""COMPUTED_VALUE"""),"Бинт эластичный медицинский средней растяжимости (ширина 80 мм) 02х80х1 - 1219046KZ46")</f>
        <v>Бинт эластичный медицинский средней растяжимости (ширина 80 мм) 02х80х1 - 1219046KZ46</v>
      </c>
      <c r="G861" s="1" t="str">
        <f ca="1">IFERROR(__xludf.DUMMYFUNCTION("""COMPUTED_VALUE"""),"KZ.7700.02.01.00615680 / Действителен до 02.12.2024 / 1219046KZ46 / годен до 02.12.2024")</f>
        <v>KZ.7700.02.01.00615680 / Действителен до 02.12.2024 / 1219046KZ46 / годен до 02.12.2024</v>
      </c>
      <c r="H861" s="1" t="str">
        <f ca="1">IFERROR(__xludf.DUMMYFUNCTION("""COMPUTED_VALUE"""),"Бинт эластичный медицинский средней растяжимости (ширина 80 мм) 02х80х1 KZ.7700.02.01.00615680 / Действителен до 02.12.2024 / 1219046KZ46 / годен до 02.12.2024")</f>
        <v>Бинт эластичный медицинский средней растяжимости (ширина 80 мм) 02х80х1 KZ.7700.02.01.00615680 / Действителен до 02.12.2024 / 1219046KZ46 / годен до 02.12.2024</v>
      </c>
    </row>
    <row r="862" spans="1:8" ht="12.75" x14ac:dyDescent="0.2">
      <c r="A862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862" s="1" t="str">
        <f ca="1">IFERROR(__xludf.DUMMYFUNCTION("""COMPUTED_VALUE"""),"KZ.7700.02.01.00615683")</f>
        <v>KZ.7700.02.01.00615683</v>
      </c>
      <c r="C862" s="1" t="str">
        <f ca="1">IFERROR(__xludf.DUMMYFUNCTION("""COMPUTED_VALUE"""),"Действителен до 02.12.2024")</f>
        <v>Действителен до 02.12.2024</v>
      </c>
      <c r="D862" s="8" t="str">
        <f ca="1">IFERROR(__xludf.DUMMYFUNCTION("""COMPUTED_VALUE"""),"1219046KZ46")</f>
        <v>1219046KZ46</v>
      </c>
      <c r="E862" s="1" t="str">
        <f ca="1">IFERROR(__xludf.DUMMYFUNCTION("""COMPUTED_VALUE"""),"годен до 02.12.2024")</f>
        <v>годен до 02.12.2024</v>
      </c>
      <c r="F862" s="1" t="str">
        <f ca="1">IFERROR(__xludf.DUMMYFUNCTION("""COMPUTED_VALUE"""),"Бинт эластичный медицинский средней растяжимости (ширина 80 мм) 02х80х2.5 - 1219046KZ46")</f>
        <v>Бинт эластичный медицинский средней растяжимости (ширина 80 мм) 02х80х2.5 - 1219046KZ46</v>
      </c>
      <c r="G862" s="1" t="str">
        <f ca="1">IFERROR(__xludf.DUMMYFUNCTION("""COMPUTED_VALUE"""),"KZ.7700.02.01.00615683 / Действителен до 02.12.2024 / 1219046KZ46 / годен до 02.12.2024")</f>
        <v>KZ.7700.02.01.00615683 / Действителен до 02.12.2024 / 1219046KZ46 / годен до 02.12.2024</v>
      </c>
      <c r="H862" s="1" t="str">
        <f ca="1">IFERROR(__xludf.DUMMYFUNCTION("""COMPUTED_VALUE"""),"Бинт эластичный медицинский средней растяжимости (ширина 80 мм) 02х80х2.5 KZ.7700.02.01.00615683 / Действителен до 02.12.2024 / 1219046KZ46 / годен до 02.12.2024")</f>
        <v>Бинт эластичный медицинский средней растяжимости (ширина 80 мм) 02х80х2.5 KZ.7700.02.01.00615683 / Действителен до 02.12.2024 / 1219046KZ46 / годен до 02.12.2024</v>
      </c>
    </row>
    <row r="863" spans="1:8" ht="12.75" x14ac:dyDescent="0.2">
      <c r="A863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863" s="1" t="str">
        <f ca="1">IFERROR(__xludf.DUMMYFUNCTION("""COMPUTED_VALUE"""),"KZ.7700.02.01.00615682")</f>
        <v>KZ.7700.02.01.00615682</v>
      </c>
      <c r="C863" s="1" t="str">
        <f ca="1">IFERROR(__xludf.DUMMYFUNCTION("""COMPUTED_VALUE"""),"Действителен до 02.12.2024")</f>
        <v>Действителен до 02.12.2024</v>
      </c>
      <c r="D863" s="8" t="str">
        <f ca="1">IFERROR(__xludf.DUMMYFUNCTION("""COMPUTED_VALUE"""),"1219046KZ46")</f>
        <v>1219046KZ46</v>
      </c>
      <c r="E863" s="1" t="str">
        <f ca="1">IFERROR(__xludf.DUMMYFUNCTION("""COMPUTED_VALUE"""),"годен до 02.12.2024")</f>
        <v>годен до 02.12.2024</v>
      </c>
      <c r="F863" s="1" t="str">
        <f ca="1">IFERROR(__xludf.DUMMYFUNCTION("""COMPUTED_VALUE"""),"Бинт эластичный медицинский средней растяжимости (ширина 80 мм) 02х80х2 - 1219046KZ46")</f>
        <v>Бинт эластичный медицинский средней растяжимости (ширина 80 мм) 02х80х2 - 1219046KZ46</v>
      </c>
      <c r="G863" s="1" t="str">
        <f ca="1">IFERROR(__xludf.DUMMYFUNCTION("""COMPUTED_VALUE"""),"KZ.7700.02.01.00615682 / Действителен до 02.12.2024 / 1219046KZ46 / годен до 02.12.2024")</f>
        <v>KZ.7700.02.01.00615682 / Действителен до 02.12.2024 / 1219046KZ46 / годен до 02.12.2024</v>
      </c>
      <c r="H863" s="1" t="str">
        <f ca="1">IFERROR(__xludf.DUMMYFUNCTION("""COMPUTED_VALUE"""),"Бинт эластичный медицинский средней растяжимости (ширина 80 мм) 02х80х2 KZ.7700.02.01.00615682 / Действителен до 02.12.2024 / 1219046KZ46 / годен до 02.12.2024")</f>
        <v>Бинт эластичный медицинский средней растяжимости (ширина 80 мм) 02х80х2 KZ.7700.02.01.00615682 / Действителен до 02.12.2024 / 1219046KZ46 / годен до 02.12.2024</v>
      </c>
    </row>
    <row r="864" spans="1:8" ht="12.75" x14ac:dyDescent="0.2">
      <c r="A864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864" s="1" t="str">
        <f ca="1">IFERROR(__xludf.DUMMYFUNCTION("""COMPUTED_VALUE"""),"KZ.7700.02.01.00615685")</f>
        <v>KZ.7700.02.01.00615685</v>
      </c>
      <c r="C864" s="1" t="str">
        <f ca="1">IFERROR(__xludf.DUMMYFUNCTION("""COMPUTED_VALUE"""),"Действителен до 02.12.2024")</f>
        <v>Действителен до 02.12.2024</v>
      </c>
      <c r="D864" s="8" t="str">
        <f ca="1">IFERROR(__xludf.DUMMYFUNCTION("""COMPUTED_VALUE"""),"1219046KZ46")</f>
        <v>1219046KZ46</v>
      </c>
      <c r="E864" s="1" t="str">
        <f ca="1">IFERROR(__xludf.DUMMYFUNCTION("""COMPUTED_VALUE"""),"годен до 02.12.2024")</f>
        <v>годен до 02.12.2024</v>
      </c>
      <c r="F864" s="1" t="str">
        <f ca="1">IFERROR(__xludf.DUMMYFUNCTION("""COMPUTED_VALUE"""),"Бинт эластичный медицинский средней растяжимости (ширина 80 мм) 02х80х3.5 - 1219046KZ46")</f>
        <v>Бинт эластичный медицинский средней растяжимости (ширина 80 мм) 02х80х3.5 - 1219046KZ46</v>
      </c>
      <c r="G864" s="1" t="str">
        <f ca="1">IFERROR(__xludf.DUMMYFUNCTION("""COMPUTED_VALUE"""),"KZ.7700.02.01.00615685 / Действителен до 02.12.2024 / 1219046KZ46 / годен до 02.12.2024")</f>
        <v>KZ.7700.02.01.00615685 / Действителен до 02.12.2024 / 1219046KZ46 / годен до 02.12.2024</v>
      </c>
      <c r="H864" s="1" t="str">
        <f ca="1">IFERROR(__xludf.DUMMYFUNCTION("""COMPUTED_VALUE"""),"Бинт эластичный медицинский средней растяжимости (ширина 80 мм) 02х80х3.5 KZ.7700.02.01.00615685 / Действителен до 02.12.2024 / 1219046KZ46 / годен до 02.12.2024")</f>
        <v>Бинт эластичный медицинский средней растяжимости (ширина 80 мм) 02х80х3.5 KZ.7700.02.01.00615685 / Действителен до 02.12.2024 / 1219046KZ46 / годен до 02.12.2024</v>
      </c>
    </row>
    <row r="865" spans="1:8" ht="12.75" x14ac:dyDescent="0.2">
      <c r="A865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865" s="1" t="str">
        <f ca="1">IFERROR(__xludf.DUMMYFUNCTION("""COMPUTED_VALUE"""),"KZ.7700.02.01.00615684")</f>
        <v>KZ.7700.02.01.00615684</v>
      </c>
      <c r="C865" s="1" t="str">
        <f ca="1">IFERROR(__xludf.DUMMYFUNCTION("""COMPUTED_VALUE"""),"Действителен до 02.12.2024")</f>
        <v>Действителен до 02.12.2024</v>
      </c>
      <c r="D865" s="8" t="str">
        <f ca="1">IFERROR(__xludf.DUMMYFUNCTION("""COMPUTED_VALUE"""),"1219046KZ46")</f>
        <v>1219046KZ46</v>
      </c>
      <c r="E865" s="1" t="str">
        <f ca="1">IFERROR(__xludf.DUMMYFUNCTION("""COMPUTED_VALUE"""),"годен до 02.12.2024")</f>
        <v>годен до 02.12.2024</v>
      </c>
      <c r="F865" s="1" t="str">
        <f ca="1">IFERROR(__xludf.DUMMYFUNCTION("""COMPUTED_VALUE"""),"Бинт эластичный медицинский средней растяжимости (ширина 80 мм) 02х80х3 - 1219046KZ46")</f>
        <v>Бинт эластичный медицинский средней растяжимости (ширина 80 мм) 02х80х3 - 1219046KZ46</v>
      </c>
      <c r="G865" s="1" t="str">
        <f ca="1">IFERROR(__xludf.DUMMYFUNCTION("""COMPUTED_VALUE"""),"KZ.7700.02.01.00615684 / Действителен до 02.12.2024 / 1219046KZ46 / годен до 02.12.2024")</f>
        <v>KZ.7700.02.01.00615684 / Действителен до 02.12.2024 / 1219046KZ46 / годен до 02.12.2024</v>
      </c>
      <c r="H865" s="1" t="str">
        <f ca="1">IFERROR(__xludf.DUMMYFUNCTION("""COMPUTED_VALUE"""),"Бинт эластичный медицинский средней растяжимости (ширина 80 мм) 02х80х3 KZ.7700.02.01.00615684 / Действителен до 02.12.2024 / 1219046KZ46 / годен до 02.12.2024")</f>
        <v>Бинт эластичный медицинский средней растяжимости (ширина 80 мм) 02х80х3 KZ.7700.02.01.00615684 / Действителен до 02.12.2024 / 1219046KZ46 / годен до 02.12.2024</v>
      </c>
    </row>
    <row r="866" spans="1:8" ht="12.75" x14ac:dyDescent="0.2">
      <c r="A866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866" s="1" t="str">
        <f ca="1">IFERROR(__xludf.DUMMYFUNCTION("""COMPUTED_VALUE"""),"KZ.7700.02.01.00615686")</f>
        <v>KZ.7700.02.01.00615686</v>
      </c>
      <c r="C866" s="1" t="str">
        <f ca="1">IFERROR(__xludf.DUMMYFUNCTION("""COMPUTED_VALUE"""),"Действителен до 02.12.2024")</f>
        <v>Действителен до 02.12.2024</v>
      </c>
      <c r="D866" s="8" t="str">
        <f ca="1">IFERROR(__xludf.DUMMYFUNCTION("""COMPUTED_VALUE"""),"1219046KZ46")</f>
        <v>1219046KZ46</v>
      </c>
      <c r="E866" s="1" t="str">
        <f ca="1">IFERROR(__xludf.DUMMYFUNCTION("""COMPUTED_VALUE"""),"годен до 02.12.2024")</f>
        <v>годен до 02.12.2024</v>
      </c>
      <c r="F866" s="1" t="str">
        <f ca="1">IFERROR(__xludf.DUMMYFUNCTION("""COMPUTED_VALUE"""),"Бинт эластичный медицинский средней растяжимости (ширина 80 мм) 02х80х4 - 1219046KZ46")</f>
        <v>Бинт эластичный медицинский средней растяжимости (ширина 80 мм) 02х80х4 - 1219046KZ46</v>
      </c>
      <c r="G866" s="1" t="str">
        <f ca="1">IFERROR(__xludf.DUMMYFUNCTION("""COMPUTED_VALUE"""),"KZ.7700.02.01.00615686 / Действителен до 02.12.2024 / 1219046KZ46 / годен до 02.12.2024")</f>
        <v>KZ.7700.02.01.00615686 / Действителен до 02.12.2024 / 1219046KZ46 / годен до 02.12.2024</v>
      </c>
      <c r="H866" s="1" t="str">
        <f ca="1">IFERROR(__xludf.DUMMYFUNCTION("""COMPUTED_VALUE"""),"Бинт эластичный медицинский средней растяжимости (ширина 80 мм) 02х80х4 KZ.7700.02.01.00615686 / Действителен до 02.12.2024 / 1219046KZ46 / годен до 02.12.2024")</f>
        <v>Бинт эластичный медицинский средней растяжимости (ширина 80 мм) 02х80х4 KZ.7700.02.01.00615686 / Действителен до 02.12.2024 / 1219046KZ46 / годен до 02.12.2024</v>
      </c>
    </row>
    <row r="867" spans="1:8" ht="12.75" x14ac:dyDescent="0.2">
      <c r="A867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867" s="1" t="str">
        <f ca="1">IFERROR(__xludf.DUMMYFUNCTION("""COMPUTED_VALUE"""),"KZ.7700.02.01.00615687")</f>
        <v>KZ.7700.02.01.00615687</v>
      </c>
      <c r="C867" s="1" t="str">
        <f ca="1">IFERROR(__xludf.DUMMYFUNCTION("""COMPUTED_VALUE"""),"Действителен до 02.12.2024")</f>
        <v>Действителен до 02.12.2024</v>
      </c>
      <c r="D867" s="8" t="str">
        <f ca="1">IFERROR(__xludf.DUMMYFUNCTION("""COMPUTED_VALUE"""),"1219046KZ46")</f>
        <v>1219046KZ46</v>
      </c>
      <c r="E867" s="1" t="str">
        <f ca="1">IFERROR(__xludf.DUMMYFUNCTION("""COMPUTED_VALUE"""),"годен до 02.12.2024")</f>
        <v>годен до 02.12.2024</v>
      </c>
      <c r="F867" s="1" t="str">
        <f ca="1">IFERROR(__xludf.DUMMYFUNCTION("""COMPUTED_VALUE"""),"Бинт эластичный медицинский средней растяжимости (ширина 80 мм) 02х80х5 - 1219046KZ46")</f>
        <v>Бинт эластичный медицинский средней растяжимости (ширина 80 мм) 02х80х5 - 1219046KZ46</v>
      </c>
      <c r="G867" s="1" t="str">
        <f ca="1">IFERROR(__xludf.DUMMYFUNCTION("""COMPUTED_VALUE"""),"KZ.7700.02.01.00615687 / Действителен до 02.12.2024 / 1219046KZ46 / годен до 02.12.2024")</f>
        <v>KZ.7700.02.01.00615687 / Действителен до 02.12.2024 / 1219046KZ46 / годен до 02.12.2024</v>
      </c>
      <c r="H867" s="1" t="str">
        <f ca="1">IFERROR(__xludf.DUMMYFUNCTION("""COMPUTED_VALUE"""),"Бинт эластичный медицинский средней растяжимости (ширина 80 мм) 02х80х5 KZ.7700.02.01.00615687 / Действителен до 02.12.2024 / 1219046KZ46 / годен до 02.12.2024")</f>
        <v>Бинт эластичный медицинский средней растяжимости (ширина 80 мм) 02х80х5 KZ.7700.02.01.00615687 / Действителен до 02.12.2024 / 1219046KZ46 / годен до 02.12.2024</v>
      </c>
    </row>
    <row r="868" spans="1:8" ht="12.75" x14ac:dyDescent="0.2">
      <c r="A868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868" s="1" t="str">
        <f ca="1">IFERROR(__xludf.DUMMYFUNCTION("""COMPUTED_VALUE"""),"KZ.7700.02.01.00637872")</f>
        <v>KZ.7700.02.01.00637872</v>
      </c>
      <c r="C868" s="1" t="str">
        <f ca="1">IFERROR(__xludf.DUMMYFUNCTION("""COMPUTED_VALUE"""),"Действителен до 26.02.2025")</f>
        <v>Действителен до 26.02.2025</v>
      </c>
      <c r="D868" s="8" t="str">
        <f ca="1">IFERROR(__xludf.DUMMYFUNCTION("""COMPUTED_VALUE"""),"0220058KZ58")</f>
        <v>0220058KZ58</v>
      </c>
      <c r="E868" s="1" t="str">
        <f ca="1">IFERROR(__xludf.DUMMYFUNCTION("""COMPUTED_VALUE"""),"годен до 26.02.2025")</f>
        <v>годен до 26.02.2025</v>
      </c>
      <c r="F868" s="1" t="str">
        <f ca="1">IFERROR(__xludf.DUMMYFUNCTION("""COMPUTED_VALUE"""),"Бандаж на шейный отдел позвоночника мягкой фиксацией 1001 III(L) (Болгария) - 0220058KZ58")</f>
        <v>Бандаж на шейный отдел позвоночника мягкой фиксацией 1001 III(L) (Болгария) - 0220058KZ58</v>
      </c>
      <c r="G868" s="1" t="str">
        <f ca="1">IFERROR(__xludf.DUMMYFUNCTION("""COMPUTED_VALUE"""),"KZ.7700.02.01.00637872 / Действителен до 26.02.2025 / 0220058KZ58 / годен до 26.02.2025")</f>
        <v>KZ.7700.02.01.00637872 / Действителен до 26.02.2025 / 0220058KZ58 / годен до 26.02.2025</v>
      </c>
      <c r="H868" s="1" t="str">
        <f ca="1">IFERROR(__xludf.DUMMYFUNCTION("""COMPUTED_VALUE"""),"Бандаж на шейный отдел позвоночника мягкой фиксацией 1001 III(L) (Болгария) KZ.7700.02.01.00637872 / Действителен до 26.02.2025 / 0220058KZ58 / годен до 26.02.2025")</f>
        <v>Бандаж на шейный отдел позвоночника мягкой фиксацией 1001 III(L) (Болгария) KZ.7700.02.01.00637872 / Действителен до 26.02.2025 / 0220058KZ58 / годен до 26.02.2025</v>
      </c>
    </row>
    <row r="869" spans="1:8" ht="12.75" x14ac:dyDescent="0.2">
      <c r="A869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869" s="1" t="str">
        <f ca="1">IFERROR(__xludf.DUMMYFUNCTION("""COMPUTED_VALUE"""),"KZ.7700.02.01.00637871")</f>
        <v>KZ.7700.02.01.00637871</v>
      </c>
      <c r="C869" s="1" t="str">
        <f ca="1">IFERROR(__xludf.DUMMYFUNCTION("""COMPUTED_VALUE"""),"Действителен до 26.02.2025")</f>
        <v>Действителен до 26.02.2025</v>
      </c>
      <c r="D869" s="8" t="str">
        <f ca="1">IFERROR(__xludf.DUMMYFUNCTION("""COMPUTED_VALUE"""),"0220058KZ58")</f>
        <v>0220058KZ58</v>
      </c>
      <c r="E869" s="1" t="str">
        <f ca="1">IFERROR(__xludf.DUMMYFUNCTION("""COMPUTED_VALUE"""),"годен до 26.02.2025")</f>
        <v>годен до 26.02.2025</v>
      </c>
      <c r="F869" s="1" t="str">
        <f ca="1">IFERROR(__xludf.DUMMYFUNCTION("""COMPUTED_VALUE"""),"Бандаж на шейный отдел позвоночника мягкой фиксацией 1001 II(M) (Болгария) - 0220058KZ58")</f>
        <v>Бандаж на шейный отдел позвоночника мягкой фиксацией 1001 II(M) (Болгария) - 0220058KZ58</v>
      </c>
      <c r="G869" s="1" t="str">
        <f ca="1">IFERROR(__xludf.DUMMYFUNCTION("""COMPUTED_VALUE"""),"KZ.7700.02.01.00637871 / Действителен до 26.02.2025 / 0220058KZ58 / годен до 26.02.2025")</f>
        <v>KZ.7700.02.01.00637871 / Действителен до 26.02.2025 / 0220058KZ58 / годен до 26.02.2025</v>
      </c>
      <c r="H869" s="1" t="str">
        <f ca="1">IFERROR(__xludf.DUMMYFUNCTION("""COMPUTED_VALUE"""),"Бандаж на шейный отдел позвоночника мягкой фиксацией 1001 II(M) (Болгария) KZ.7700.02.01.00637871 / Действителен до 26.02.2025 / 0220058KZ58 / годен до 26.02.2025")</f>
        <v>Бандаж на шейный отдел позвоночника мягкой фиксацией 1001 II(M) (Болгария) KZ.7700.02.01.00637871 / Действителен до 26.02.2025 / 0220058KZ58 / годен до 26.02.2025</v>
      </c>
    </row>
    <row r="870" spans="1:8" ht="12.75" x14ac:dyDescent="0.2">
      <c r="A870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870" s="1" t="str">
        <f ca="1">IFERROR(__xludf.DUMMYFUNCTION("""COMPUTED_VALUE"""),"KZ.7700.02.01.00637870")</f>
        <v>KZ.7700.02.01.00637870</v>
      </c>
      <c r="C870" s="1" t="str">
        <f ca="1">IFERROR(__xludf.DUMMYFUNCTION("""COMPUTED_VALUE"""),"Действителен до 26.02.2025")</f>
        <v>Действителен до 26.02.2025</v>
      </c>
      <c r="D870" s="8" t="str">
        <f ca="1">IFERROR(__xludf.DUMMYFUNCTION("""COMPUTED_VALUE"""),"0220058KZ58")</f>
        <v>0220058KZ58</v>
      </c>
      <c r="E870" s="1" t="str">
        <f ca="1">IFERROR(__xludf.DUMMYFUNCTION("""COMPUTED_VALUE"""),"годен до 26.02.2025")</f>
        <v>годен до 26.02.2025</v>
      </c>
      <c r="F870" s="1" t="str">
        <f ca="1">IFERROR(__xludf.DUMMYFUNCTION("""COMPUTED_VALUE"""),"Бандаж на шейный отдел позвоночника мягкой фиксацией 1001 I(S) (Болгария) - 0220058KZ58")</f>
        <v>Бандаж на шейный отдел позвоночника мягкой фиксацией 1001 I(S) (Болгария) - 0220058KZ58</v>
      </c>
      <c r="G870" s="1" t="str">
        <f ca="1">IFERROR(__xludf.DUMMYFUNCTION("""COMPUTED_VALUE"""),"KZ.7700.02.01.00637870 / Действителен до 26.02.2025 / 0220058KZ58 / годен до 26.02.2025")</f>
        <v>KZ.7700.02.01.00637870 / Действителен до 26.02.2025 / 0220058KZ58 / годен до 26.02.2025</v>
      </c>
      <c r="H870" s="1" t="str">
        <f ca="1">IFERROR(__xludf.DUMMYFUNCTION("""COMPUTED_VALUE"""),"Бандаж на шейный отдел позвоночника мягкой фиксацией 1001 I(S) (Болгария) KZ.7700.02.01.00637870 / Действителен до 26.02.2025 / 0220058KZ58 / годен до 26.02.2025")</f>
        <v>Бандаж на шейный отдел позвоночника мягкой фиксацией 1001 I(S) (Болгария) KZ.7700.02.01.00637870 / Действителен до 26.02.2025 / 0220058KZ58 / годен до 26.02.2025</v>
      </c>
    </row>
    <row r="871" spans="1:8" ht="12.75" x14ac:dyDescent="0.2">
      <c r="A871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871" s="1" t="str">
        <f ca="1">IFERROR(__xludf.DUMMYFUNCTION("""COMPUTED_VALUE"""),"KZ.7700.02.01.00637875")</f>
        <v>KZ.7700.02.01.00637875</v>
      </c>
      <c r="C871" s="1" t="str">
        <f ca="1">IFERROR(__xludf.DUMMYFUNCTION("""COMPUTED_VALUE"""),"Действителен до 26.02.2025")</f>
        <v>Действителен до 26.02.2025</v>
      </c>
      <c r="D871" s="8" t="str">
        <f ca="1">IFERROR(__xludf.DUMMYFUNCTION("""COMPUTED_VALUE"""),"0220058KZ58")</f>
        <v>0220058KZ58</v>
      </c>
      <c r="E871" s="1" t="str">
        <f ca="1">IFERROR(__xludf.DUMMYFUNCTION("""COMPUTED_VALUE"""),"годен до 26.02.2025")</f>
        <v>годен до 26.02.2025</v>
      </c>
      <c r="F871" s="1" t="str">
        <f ca="1">IFERROR(__xludf.DUMMYFUNCTION("""COMPUTED_VALUE"""),"Бандаж на шейный отдел позвоночника мягкой фиксацией с жесткой вставкой 1005 III(L) - 0220058KZ58")</f>
        <v>Бандаж на шейный отдел позвоночника мягкой фиксацией с жесткой вставкой 1005 III(L) - 0220058KZ58</v>
      </c>
      <c r="G871" s="1" t="str">
        <f ca="1">IFERROR(__xludf.DUMMYFUNCTION("""COMPUTED_VALUE"""),"KZ.7700.02.01.00637875 / Действителен до 26.02.2025 / 0220058KZ58 / годен до 26.02.2025")</f>
        <v>KZ.7700.02.01.00637875 / Действителен до 26.02.2025 / 0220058KZ58 / годен до 26.02.2025</v>
      </c>
      <c r="H871" s="1" t="str">
        <f ca="1">IFERROR(__xludf.DUMMYFUNCTION("""COMPUTED_VALUE"""),"Бандаж на шейный отдел позвоночника мягкой фиксацией с жесткой вставкой 1005 III(L) KZ.7700.02.01.00637875 / Действителен до 26.02.2025 / 0220058KZ58 / годен до 26.02.2025")</f>
        <v>Бандаж на шейный отдел позвоночника мягкой фиксацией с жесткой вставкой 1005 III(L) KZ.7700.02.01.00637875 / Действителен до 26.02.2025 / 0220058KZ58 / годен до 26.02.2025</v>
      </c>
    </row>
    <row r="872" spans="1:8" ht="12.75" x14ac:dyDescent="0.2">
      <c r="A872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872" s="1" t="str">
        <f ca="1">IFERROR(__xludf.DUMMYFUNCTION("""COMPUTED_VALUE"""),"KZ.7700.02.01.00637874")</f>
        <v>KZ.7700.02.01.00637874</v>
      </c>
      <c r="C872" s="1" t="str">
        <f ca="1">IFERROR(__xludf.DUMMYFUNCTION("""COMPUTED_VALUE"""),"Действителен до 26.02.2025")</f>
        <v>Действителен до 26.02.2025</v>
      </c>
      <c r="D872" s="8" t="str">
        <f ca="1">IFERROR(__xludf.DUMMYFUNCTION("""COMPUTED_VALUE"""),"0220058KZ58")</f>
        <v>0220058KZ58</v>
      </c>
      <c r="E872" s="1" t="str">
        <f ca="1">IFERROR(__xludf.DUMMYFUNCTION("""COMPUTED_VALUE"""),"годен до 26.02.2025")</f>
        <v>годен до 26.02.2025</v>
      </c>
      <c r="F872" s="1" t="str">
        <f ca="1">IFERROR(__xludf.DUMMYFUNCTION("""COMPUTED_VALUE"""),"Бандаж на шейный отдел позвоночника мягкой фиксацией с жесткой вставкой 1005 II(M) - 0220058KZ58")</f>
        <v>Бандаж на шейный отдел позвоночника мягкой фиксацией с жесткой вставкой 1005 II(M) - 0220058KZ58</v>
      </c>
      <c r="G872" s="1" t="str">
        <f ca="1">IFERROR(__xludf.DUMMYFUNCTION("""COMPUTED_VALUE"""),"KZ.7700.02.01.00637874 / Действителен до 26.02.2025 / 0220058KZ58 / годен до 26.02.2025")</f>
        <v>KZ.7700.02.01.00637874 / Действителен до 26.02.2025 / 0220058KZ58 / годен до 26.02.2025</v>
      </c>
      <c r="H872" s="1" t="str">
        <f ca="1">IFERROR(__xludf.DUMMYFUNCTION("""COMPUTED_VALUE"""),"Бандаж на шейный отдел позвоночника мягкой фиксацией с жесткой вставкой 1005 II(M) KZ.7700.02.01.00637874 / Действителен до 26.02.2025 / 0220058KZ58 / годен до 26.02.2025")</f>
        <v>Бандаж на шейный отдел позвоночника мягкой фиксацией с жесткой вставкой 1005 II(M) KZ.7700.02.01.00637874 / Действителен до 26.02.2025 / 0220058KZ58 / годен до 26.02.2025</v>
      </c>
    </row>
    <row r="873" spans="1:8" ht="12.75" x14ac:dyDescent="0.2">
      <c r="A873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873" s="1" t="str">
        <f ca="1">IFERROR(__xludf.DUMMYFUNCTION("""COMPUTED_VALUE"""),"KZ.7700.02.01.00637873")</f>
        <v>KZ.7700.02.01.00637873</v>
      </c>
      <c r="C873" s="1" t="str">
        <f ca="1">IFERROR(__xludf.DUMMYFUNCTION("""COMPUTED_VALUE"""),"Действителен до 26.02.2025")</f>
        <v>Действителен до 26.02.2025</v>
      </c>
      <c r="D873" s="8" t="str">
        <f ca="1">IFERROR(__xludf.DUMMYFUNCTION("""COMPUTED_VALUE"""),"0220058KZ58")</f>
        <v>0220058KZ58</v>
      </c>
      <c r="E873" s="1" t="str">
        <f ca="1">IFERROR(__xludf.DUMMYFUNCTION("""COMPUTED_VALUE"""),"годен до 26.02.2025")</f>
        <v>годен до 26.02.2025</v>
      </c>
      <c r="F873" s="1" t="str">
        <f ca="1">IFERROR(__xludf.DUMMYFUNCTION("""COMPUTED_VALUE"""),"Бандаж на шейный отдел позвоночника мягкой фиксацией с жесткой вставкой 1005 I(S) - 0220058KZ58")</f>
        <v>Бандаж на шейный отдел позвоночника мягкой фиксацией с жесткой вставкой 1005 I(S) - 0220058KZ58</v>
      </c>
      <c r="G873" s="1" t="str">
        <f ca="1">IFERROR(__xludf.DUMMYFUNCTION("""COMPUTED_VALUE"""),"KZ.7700.02.01.00637873 / Действителен до 26.02.2025 / 0220058KZ58 / годен до 26.02.2025")</f>
        <v>KZ.7700.02.01.00637873 / Действителен до 26.02.2025 / 0220058KZ58 / годен до 26.02.2025</v>
      </c>
      <c r="H873" s="1" t="str">
        <f ca="1">IFERROR(__xludf.DUMMYFUNCTION("""COMPUTED_VALUE"""),"Бандаж на шейный отдел позвоночника мягкой фиксацией с жесткой вставкой 1005 I(S) KZ.7700.02.01.00637873 / Действителен до 26.02.2025 / 0220058KZ58 / годен до 26.02.2025")</f>
        <v>Бандаж на шейный отдел позвоночника мягкой фиксацией с жесткой вставкой 1005 I(S) KZ.7700.02.01.00637873 / Действителен до 26.02.2025 / 0220058KZ58 / годен до 26.02.2025</v>
      </c>
    </row>
    <row r="874" spans="1:8" ht="12.75" x14ac:dyDescent="0.2">
      <c r="A874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874" s="1" t="str">
        <f ca="1">IFERROR(__xludf.DUMMYFUNCTION("""COMPUTED_VALUE"""),"KZ.7700.02.01.00637877")</f>
        <v>KZ.7700.02.01.00637877</v>
      </c>
      <c r="C874" s="1" t="str">
        <f ca="1">IFERROR(__xludf.DUMMYFUNCTION("""COMPUTED_VALUE"""),"Действителен до 26.02.2025")</f>
        <v>Действителен до 26.02.2025</v>
      </c>
      <c r="D874" s="8" t="str">
        <f ca="1">IFERROR(__xludf.DUMMYFUNCTION("""COMPUTED_VALUE"""),"0220058KZ58")</f>
        <v>0220058KZ58</v>
      </c>
      <c r="E874" s="1" t="str">
        <f ca="1">IFERROR(__xludf.DUMMYFUNCTION("""COMPUTED_VALUE"""),"годен до 26.02.2025")</f>
        <v>годен до 26.02.2025</v>
      </c>
      <c r="F874" s="1" t="str">
        <f ca="1">IFERROR(__xludf.DUMMYFUNCTION("""COMPUTED_VALUE"""),"Реклинатор (корректор осанки) детский 2005 L (Болгария) - 0220058KZ58")</f>
        <v>Реклинатор (корректор осанки) детский 2005 L (Болгария) - 0220058KZ58</v>
      </c>
      <c r="G874" s="1" t="str">
        <f ca="1">IFERROR(__xludf.DUMMYFUNCTION("""COMPUTED_VALUE"""),"KZ.7700.02.01.00637877 / Действителен до 26.02.2025 / 0220058KZ58 / годен до 26.02.2025")</f>
        <v>KZ.7700.02.01.00637877 / Действителен до 26.02.2025 / 0220058KZ58 / годен до 26.02.2025</v>
      </c>
      <c r="H874" s="1" t="str">
        <f ca="1">IFERROR(__xludf.DUMMYFUNCTION("""COMPUTED_VALUE"""),"Реклинатор (корректор осанки) детский 2005 L (Болгария) KZ.7700.02.01.00637877 / Действителен до 26.02.2025 / 0220058KZ58 / годен до 26.02.2025")</f>
        <v>Реклинатор (корректор осанки) детский 2005 L (Болгария) KZ.7700.02.01.00637877 / Действителен до 26.02.2025 / 0220058KZ58 / годен до 26.02.2025</v>
      </c>
    </row>
    <row r="875" spans="1:8" ht="12.75" x14ac:dyDescent="0.2">
      <c r="A875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875" s="1" t="str">
        <f ca="1">IFERROR(__xludf.DUMMYFUNCTION("""COMPUTED_VALUE"""),"KZ.7700.02.01.00637876")</f>
        <v>KZ.7700.02.01.00637876</v>
      </c>
      <c r="C875" s="1" t="str">
        <f ca="1">IFERROR(__xludf.DUMMYFUNCTION("""COMPUTED_VALUE"""),"Действителен до 26.02.2025")</f>
        <v>Действителен до 26.02.2025</v>
      </c>
      <c r="D875" s="8" t="str">
        <f ca="1">IFERROR(__xludf.DUMMYFUNCTION("""COMPUTED_VALUE"""),"0220058KZ58")</f>
        <v>0220058KZ58</v>
      </c>
      <c r="E875" s="1" t="str">
        <f ca="1">IFERROR(__xludf.DUMMYFUNCTION("""COMPUTED_VALUE"""),"годен до 26.02.2025")</f>
        <v>годен до 26.02.2025</v>
      </c>
      <c r="F875" s="1" t="str">
        <f ca="1">IFERROR(__xludf.DUMMYFUNCTION("""COMPUTED_VALUE"""),"Реклинатор (корректор осанки) детский 2005 M (Болгария) - 0220058KZ58")</f>
        <v>Реклинатор (корректор осанки) детский 2005 M (Болгария) - 0220058KZ58</v>
      </c>
      <c r="G875" s="1" t="str">
        <f ca="1">IFERROR(__xludf.DUMMYFUNCTION("""COMPUTED_VALUE"""),"KZ.7700.02.01.00637876 / Действителен до 26.02.2025 / 0220058KZ58 / годен до 26.02.2025")</f>
        <v>KZ.7700.02.01.00637876 / Действителен до 26.02.2025 / 0220058KZ58 / годен до 26.02.2025</v>
      </c>
      <c r="H875" s="1" t="str">
        <f ca="1">IFERROR(__xludf.DUMMYFUNCTION("""COMPUTED_VALUE"""),"Реклинатор (корректор осанки) детский 2005 M (Болгария) KZ.7700.02.01.00637876 / Действителен до 26.02.2025 / 0220058KZ58 / годен до 26.02.2025")</f>
        <v>Реклинатор (корректор осанки) детский 2005 M (Болгария) KZ.7700.02.01.00637876 / Действителен до 26.02.2025 / 0220058KZ58 / годен до 26.02.2025</v>
      </c>
    </row>
    <row r="876" spans="1:8" ht="12.75" x14ac:dyDescent="0.2">
      <c r="A876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876" s="1" t="str">
        <f ca="1">IFERROR(__xludf.DUMMYFUNCTION("""COMPUTED_VALUE"""),"KZ.7700.02.01.00637882")</f>
        <v>KZ.7700.02.01.00637882</v>
      </c>
      <c r="C876" s="1" t="str">
        <f ca="1">IFERROR(__xludf.DUMMYFUNCTION("""COMPUTED_VALUE"""),"Действителен до 26.02.2025")</f>
        <v>Действителен до 26.02.2025</v>
      </c>
      <c r="D876" s="8" t="str">
        <f ca="1">IFERROR(__xludf.DUMMYFUNCTION("""COMPUTED_VALUE"""),"0220058KZ58")</f>
        <v>0220058KZ58</v>
      </c>
      <c r="E876" s="1" t="str">
        <f ca="1">IFERROR(__xludf.DUMMYFUNCTION("""COMPUTED_VALUE"""),"годен до 26.02.2025")</f>
        <v>годен до 26.02.2025</v>
      </c>
      <c r="F876" s="1" t="str">
        <f ca="1">IFERROR(__xludf.DUMMYFUNCTION("""COMPUTED_VALUE"""),"Корректор осанки с ребрами жесткости эластичный 2011 L (Болгария) - 0220058KZ58")</f>
        <v>Корректор осанки с ребрами жесткости эластичный 2011 L (Болгария) - 0220058KZ58</v>
      </c>
      <c r="G876" s="1" t="str">
        <f ca="1">IFERROR(__xludf.DUMMYFUNCTION("""COMPUTED_VALUE"""),"KZ.7700.02.01.00637882 / Действителен до 26.02.2025 / 0220058KZ58 / годен до 26.02.2025")</f>
        <v>KZ.7700.02.01.00637882 / Действителен до 26.02.2025 / 0220058KZ58 / годен до 26.02.2025</v>
      </c>
      <c r="H876" s="1" t="str">
        <f ca="1">IFERROR(__xludf.DUMMYFUNCTION("""COMPUTED_VALUE"""),"Корректор осанки с ребрами жесткости эластичный 2011 L (Болгария) KZ.7700.02.01.00637882 / Действителен до 26.02.2025 / 0220058KZ58 / годен до 26.02.2025")</f>
        <v>Корректор осанки с ребрами жесткости эластичный 2011 L (Болгария) KZ.7700.02.01.00637882 / Действителен до 26.02.2025 / 0220058KZ58 / годен до 26.02.2025</v>
      </c>
    </row>
    <row r="877" spans="1:8" ht="12.75" x14ac:dyDescent="0.2">
      <c r="A877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877" s="1" t="str">
        <f ca="1">IFERROR(__xludf.DUMMYFUNCTION("""COMPUTED_VALUE"""),"KZ.7700.02.01.00637881")</f>
        <v>KZ.7700.02.01.00637881</v>
      </c>
      <c r="C877" s="1" t="str">
        <f ca="1">IFERROR(__xludf.DUMMYFUNCTION("""COMPUTED_VALUE"""),"Действителен до 26.02.2025")</f>
        <v>Действителен до 26.02.2025</v>
      </c>
      <c r="D877" s="8" t="str">
        <f ca="1">IFERROR(__xludf.DUMMYFUNCTION("""COMPUTED_VALUE"""),"0220058KZ58")</f>
        <v>0220058KZ58</v>
      </c>
      <c r="E877" s="1" t="str">
        <f ca="1">IFERROR(__xludf.DUMMYFUNCTION("""COMPUTED_VALUE"""),"годен до 26.02.2025")</f>
        <v>годен до 26.02.2025</v>
      </c>
      <c r="F877" s="1" t="str">
        <f ca="1">IFERROR(__xludf.DUMMYFUNCTION("""COMPUTED_VALUE"""),"Корректор осанки с ребрами жесткости эластичный 2011 M (Болгария) - 0220058KZ58")</f>
        <v>Корректор осанки с ребрами жесткости эластичный 2011 M (Болгария) - 0220058KZ58</v>
      </c>
      <c r="G877" s="1" t="str">
        <f ca="1">IFERROR(__xludf.DUMMYFUNCTION("""COMPUTED_VALUE"""),"KZ.7700.02.01.00637881 / Действителен до 26.02.2025 / 0220058KZ58 / годен до 26.02.2025")</f>
        <v>KZ.7700.02.01.00637881 / Действителен до 26.02.2025 / 0220058KZ58 / годен до 26.02.2025</v>
      </c>
      <c r="H877" s="1" t="str">
        <f ca="1">IFERROR(__xludf.DUMMYFUNCTION("""COMPUTED_VALUE"""),"Корректор осанки с ребрами жесткости эластичный 2011 M (Болгария) KZ.7700.02.01.00637881 / Действителен до 26.02.2025 / 0220058KZ58 / годен до 26.02.2025")</f>
        <v>Корректор осанки с ребрами жесткости эластичный 2011 M (Болгария) KZ.7700.02.01.00637881 / Действителен до 26.02.2025 / 0220058KZ58 / годен до 26.02.2025</v>
      </c>
    </row>
    <row r="878" spans="1:8" ht="12.75" x14ac:dyDescent="0.2">
      <c r="A878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878" s="1" t="str">
        <f ca="1">IFERROR(__xludf.DUMMYFUNCTION("""COMPUTED_VALUE"""),"KZ.7700.02.01.00637879")</f>
        <v>KZ.7700.02.01.00637879</v>
      </c>
      <c r="C878" s="1" t="str">
        <f ca="1">IFERROR(__xludf.DUMMYFUNCTION("""COMPUTED_VALUE"""),"Действителен до 26.02.2025")</f>
        <v>Действителен до 26.02.2025</v>
      </c>
      <c r="D878" s="8" t="str">
        <f ca="1">IFERROR(__xludf.DUMMYFUNCTION("""COMPUTED_VALUE"""),"0220058KZ58")</f>
        <v>0220058KZ58</v>
      </c>
      <c r="E878" s="1" t="str">
        <f ca="1">IFERROR(__xludf.DUMMYFUNCTION("""COMPUTED_VALUE"""),"годен до 26.02.2025")</f>
        <v>годен до 26.02.2025</v>
      </c>
      <c r="F878" s="1" t="str">
        <f ca="1">IFERROR(__xludf.DUMMYFUNCTION("""COMPUTED_VALUE"""),"Корректор осанки с ребрами жесткости эластичный 2011 S (Болгария) - 0220058KZ58")</f>
        <v>Корректор осанки с ребрами жесткости эластичный 2011 S (Болгария) - 0220058KZ58</v>
      </c>
      <c r="G878" s="1" t="str">
        <f ca="1">IFERROR(__xludf.DUMMYFUNCTION("""COMPUTED_VALUE"""),"KZ.7700.02.01.00637879 / Действителен до 26.02.2025 / 0220058KZ58 / годен до 26.02.2025")</f>
        <v>KZ.7700.02.01.00637879 / Действителен до 26.02.2025 / 0220058KZ58 / годен до 26.02.2025</v>
      </c>
      <c r="H878" s="1" t="str">
        <f ca="1">IFERROR(__xludf.DUMMYFUNCTION("""COMPUTED_VALUE"""),"Корректор осанки с ребрами жесткости эластичный 2011 S (Болгария) KZ.7700.02.01.00637879 / Действителен до 26.02.2025 / 0220058KZ58 / годен до 26.02.2025")</f>
        <v>Корректор осанки с ребрами жесткости эластичный 2011 S (Болгария) KZ.7700.02.01.00637879 / Действителен до 26.02.2025 / 0220058KZ58 / годен до 26.02.2025</v>
      </c>
    </row>
    <row r="879" spans="1:8" ht="12.75" x14ac:dyDescent="0.2">
      <c r="A879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879" s="1" t="str">
        <f ca="1">IFERROR(__xludf.DUMMYFUNCTION("""COMPUTED_VALUE"""),"KZ.7700.02.01.00637883")</f>
        <v>KZ.7700.02.01.00637883</v>
      </c>
      <c r="C879" s="1" t="str">
        <f ca="1">IFERROR(__xludf.DUMMYFUNCTION("""COMPUTED_VALUE"""),"Действителен до 26.02.2025")</f>
        <v>Действителен до 26.02.2025</v>
      </c>
      <c r="D879" s="8" t="str">
        <f ca="1">IFERROR(__xludf.DUMMYFUNCTION("""COMPUTED_VALUE"""),"0220058KZ58")</f>
        <v>0220058KZ58</v>
      </c>
      <c r="E879" s="1" t="str">
        <f ca="1">IFERROR(__xludf.DUMMYFUNCTION("""COMPUTED_VALUE"""),"годен до 26.02.2025")</f>
        <v>годен до 26.02.2025</v>
      </c>
      <c r="F879" s="1" t="str">
        <f ca="1">IFERROR(__xludf.DUMMYFUNCTION("""COMPUTED_VALUE"""),"Корректор осанки с ребрами жесткости эластичный 2011 XL (Болгария) - 0220058KZ58")</f>
        <v>Корректор осанки с ребрами жесткости эластичный 2011 XL (Болгария) - 0220058KZ58</v>
      </c>
      <c r="G879" s="1" t="str">
        <f ca="1">IFERROR(__xludf.DUMMYFUNCTION("""COMPUTED_VALUE"""),"KZ.7700.02.01.00637883 / Действителен до 26.02.2025 / 0220058KZ58 / годен до 26.02.2025")</f>
        <v>KZ.7700.02.01.00637883 / Действителен до 26.02.2025 / 0220058KZ58 / годен до 26.02.2025</v>
      </c>
      <c r="H879" s="1" t="str">
        <f ca="1">IFERROR(__xludf.DUMMYFUNCTION("""COMPUTED_VALUE"""),"Корректор осанки с ребрами жесткости эластичный 2011 XL (Болгария) KZ.7700.02.01.00637883 / Действителен до 26.02.2025 / 0220058KZ58 / годен до 26.02.2025")</f>
        <v>Корректор осанки с ребрами жесткости эластичный 2011 XL (Болгария) KZ.7700.02.01.00637883 / Действителен до 26.02.2025 / 0220058KZ58 / годен до 26.02.2025</v>
      </c>
    </row>
    <row r="880" spans="1:8" ht="12.75" x14ac:dyDescent="0.2">
      <c r="A880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880" s="1" t="str">
        <f ca="1">IFERROR(__xludf.DUMMYFUNCTION("""COMPUTED_VALUE"""),"KZ.7700.02.01.00637884")</f>
        <v>KZ.7700.02.01.00637884</v>
      </c>
      <c r="C880" s="1" t="str">
        <f ca="1">IFERROR(__xludf.DUMMYFUNCTION("""COMPUTED_VALUE"""),"Действителен до 26.02.2025")</f>
        <v>Действителен до 26.02.2025</v>
      </c>
      <c r="D880" s="8" t="str">
        <f ca="1">IFERROR(__xludf.DUMMYFUNCTION("""COMPUTED_VALUE"""),"0220058KZ58")</f>
        <v>0220058KZ58</v>
      </c>
      <c r="E880" s="1" t="str">
        <f ca="1">IFERROR(__xludf.DUMMYFUNCTION("""COMPUTED_VALUE"""),"годен до 26.02.2025")</f>
        <v>годен до 26.02.2025</v>
      </c>
      <c r="F880" s="1" t="str">
        <f ca="1">IFERROR(__xludf.DUMMYFUNCTION("""COMPUTED_VALUE"""),"Корректор осанки с ребрами жесткости эластичный 2011 XXL (Болгария) - 0220058KZ58")</f>
        <v>Корректор осанки с ребрами жесткости эластичный 2011 XXL (Болгария) - 0220058KZ58</v>
      </c>
      <c r="G880" s="1" t="str">
        <f ca="1">IFERROR(__xludf.DUMMYFUNCTION("""COMPUTED_VALUE"""),"KZ.7700.02.01.00637884 / Действителен до 26.02.2025 / 0220058KZ58 / годен до 26.02.2025")</f>
        <v>KZ.7700.02.01.00637884 / Действителен до 26.02.2025 / 0220058KZ58 / годен до 26.02.2025</v>
      </c>
      <c r="H880" s="1" t="str">
        <f ca="1">IFERROR(__xludf.DUMMYFUNCTION("""COMPUTED_VALUE"""),"Корректор осанки с ребрами жесткости эластичный 2011 XXL (Болгария) KZ.7700.02.01.00637884 / Действителен до 26.02.2025 / 0220058KZ58 / годен до 26.02.2025")</f>
        <v>Корректор осанки с ребрами жесткости эластичный 2011 XXL (Болгария) KZ.7700.02.01.00637884 / Действителен до 26.02.2025 / 0220058KZ58 / годен до 26.02.2025</v>
      </c>
    </row>
    <row r="881" spans="1:8" ht="12.75" x14ac:dyDescent="0.2">
      <c r="A881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881" s="1" t="str">
        <f ca="1">IFERROR(__xludf.DUMMYFUNCTION("""COMPUTED_VALUE"""),"KZ.7700.02.01.00637886")</f>
        <v>KZ.7700.02.01.00637886</v>
      </c>
      <c r="C881" s="1" t="str">
        <f ca="1">IFERROR(__xludf.DUMMYFUNCTION("""COMPUTED_VALUE"""),"Действителен до 26.02.2025")</f>
        <v>Действителен до 26.02.2025</v>
      </c>
      <c r="D881" s="8" t="str">
        <f ca="1">IFERROR(__xludf.DUMMYFUNCTION("""COMPUTED_VALUE"""),"0220058KZ58")</f>
        <v>0220058KZ58</v>
      </c>
      <c r="E881" s="1" t="str">
        <f ca="1">IFERROR(__xludf.DUMMYFUNCTION("""COMPUTED_VALUE"""),"годен до 26.02.2025")</f>
        <v>годен до 26.02.2025</v>
      </c>
      <c r="F881" s="1" t="str">
        <f ca="1">IFERROR(__xludf.DUMMYFUNCTION("""COMPUTED_VALUE"""),"Корректор лечебно-профилактический (с 4 ребрами жесткости) эластичный 3011 - L - 0220058KZ58")</f>
        <v>Корректор лечебно-профилактический (с 4 ребрами жесткости) эластичный 3011 - L - 0220058KZ58</v>
      </c>
      <c r="G881" s="1" t="str">
        <f ca="1">IFERROR(__xludf.DUMMYFUNCTION("""COMPUTED_VALUE"""),"KZ.7700.02.01.00637886 / Действителен до 26.02.2025 / 0220058KZ58 / годен до 26.02.2025")</f>
        <v>KZ.7700.02.01.00637886 / Действителен до 26.02.2025 / 0220058KZ58 / годен до 26.02.2025</v>
      </c>
      <c r="H881" s="1" t="str">
        <f ca="1">IFERROR(__xludf.DUMMYFUNCTION("""COMPUTED_VALUE"""),"Корректор лечебно-профилактический (с 4 ребрами жесткости) эластичный 3011 - L KZ.7700.02.01.00637886 / Действителен до 26.02.2025 / 0220058KZ58 / годен до 26.02.2025")</f>
        <v>Корректор лечебно-профилактический (с 4 ребрами жесткости) эластичный 3011 - L KZ.7700.02.01.00637886 / Действителен до 26.02.2025 / 0220058KZ58 / годен до 26.02.2025</v>
      </c>
    </row>
    <row r="882" spans="1:8" ht="12.75" x14ac:dyDescent="0.2">
      <c r="A882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882" s="1" t="str">
        <f ca="1">IFERROR(__xludf.DUMMYFUNCTION("""COMPUTED_VALUE"""),"KZ.7700.02.01.00637885")</f>
        <v>KZ.7700.02.01.00637885</v>
      </c>
      <c r="C882" s="1" t="str">
        <f ca="1">IFERROR(__xludf.DUMMYFUNCTION("""COMPUTED_VALUE"""),"Действителен до 26.02.2025")</f>
        <v>Действителен до 26.02.2025</v>
      </c>
      <c r="D882" s="8" t="str">
        <f ca="1">IFERROR(__xludf.DUMMYFUNCTION("""COMPUTED_VALUE"""),"0220058KZ58")</f>
        <v>0220058KZ58</v>
      </c>
      <c r="E882" s="1" t="str">
        <f ca="1">IFERROR(__xludf.DUMMYFUNCTION("""COMPUTED_VALUE"""),"годен до 26.02.2025")</f>
        <v>годен до 26.02.2025</v>
      </c>
      <c r="F882" s="1" t="str">
        <f ca="1">IFERROR(__xludf.DUMMYFUNCTION("""COMPUTED_VALUE"""),"Корректор лечебно-профилактический (с 4 ребрами жесткости) эластичный 3011 - М - 0220058KZ58")</f>
        <v>Корректор лечебно-профилактический (с 4 ребрами жесткости) эластичный 3011 - М - 0220058KZ58</v>
      </c>
      <c r="G882" s="1" t="str">
        <f ca="1">IFERROR(__xludf.DUMMYFUNCTION("""COMPUTED_VALUE"""),"KZ.7700.02.01.00637885 / Действителен до 26.02.2025 / 0220058KZ58 / годен до 26.02.2025")</f>
        <v>KZ.7700.02.01.00637885 / Действителен до 26.02.2025 / 0220058KZ58 / годен до 26.02.2025</v>
      </c>
      <c r="H882" s="1" t="str">
        <f ca="1">IFERROR(__xludf.DUMMYFUNCTION("""COMPUTED_VALUE"""),"Корректор лечебно-профилактический (с 4 ребрами жесткости) эластичный 3011 - М KZ.7700.02.01.00637885 / Действителен до 26.02.2025 / 0220058KZ58 / годен до 26.02.2025")</f>
        <v>Корректор лечебно-профилактический (с 4 ребрами жесткости) эластичный 3011 - М KZ.7700.02.01.00637885 / Действителен до 26.02.2025 / 0220058KZ58 / годен до 26.02.2025</v>
      </c>
    </row>
    <row r="883" spans="1:8" ht="12.75" x14ac:dyDescent="0.2">
      <c r="A883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883" s="1" t="str">
        <f ca="1">IFERROR(__xludf.DUMMYFUNCTION("""COMPUTED_VALUE"""),"KZ.7700.02.01.00637887")</f>
        <v>KZ.7700.02.01.00637887</v>
      </c>
      <c r="C883" s="1" t="str">
        <f ca="1">IFERROR(__xludf.DUMMYFUNCTION("""COMPUTED_VALUE"""),"Действителен до 26.02.2025")</f>
        <v>Действителен до 26.02.2025</v>
      </c>
      <c r="D883" s="8" t="str">
        <f ca="1">IFERROR(__xludf.DUMMYFUNCTION("""COMPUTED_VALUE"""),"0220058KZ58")</f>
        <v>0220058KZ58</v>
      </c>
      <c r="E883" s="1" t="str">
        <f ca="1">IFERROR(__xludf.DUMMYFUNCTION("""COMPUTED_VALUE"""),"годен до 26.02.2025")</f>
        <v>годен до 26.02.2025</v>
      </c>
      <c r="F883" s="1" t="str">
        <f ca="1">IFERROR(__xludf.DUMMYFUNCTION("""COMPUTED_VALUE"""),"Корректор лечебно-профилактический (с 4 ребрами жесткости) эластичный 3011- XL - 0220058KZ58")</f>
        <v>Корректор лечебно-профилактический (с 4 ребрами жесткости) эластичный 3011- XL - 0220058KZ58</v>
      </c>
      <c r="G883" s="1" t="str">
        <f ca="1">IFERROR(__xludf.DUMMYFUNCTION("""COMPUTED_VALUE"""),"KZ.7700.02.01.00637887 / Действителен до 26.02.2025 / 0220058KZ58 / годен до 26.02.2025")</f>
        <v>KZ.7700.02.01.00637887 / Действителен до 26.02.2025 / 0220058KZ58 / годен до 26.02.2025</v>
      </c>
      <c r="H883" s="1" t="str">
        <f ca="1">IFERROR(__xludf.DUMMYFUNCTION("""COMPUTED_VALUE"""),"Корректор лечебно-профилактический (с 4 ребрами жесткости) эластичный 3011- XL KZ.7700.02.01.00637887 / Действителен до 26.02.2025 / 0220058KZ58 / годен до 26.02.2025")</f>
        <v>Корректор лечебно-профилактический (с 4 ребрами жесткости) эластичный 3011- XL KZ.7700.02.01.00637887 / Действителен до 26.02.2025 / 0220058KZ58 / годен до 26.02.2025</v>
      </c>
    </row>
    <row r="884" spans="1:8" ht="12.75" x14ac:dyDescent="0.2">
      <c r="A884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884" s="1" t="str">
        <f ca="1">IFERROR(__xludf.DUMMYFUNCTION("""COMPUTED_VALUE"""),"KZ.7700.02.01.00637888")</f>
        <v>KZ.7700.02.01.00637888</v>
      </c>
      <c r="C884" s="1" t="str">
        <f ca="1">IFERROR(__xludf.DUMMYFUNCTION("""COMPUTED_VALUE"""),"Действителен до 26.02.2025")</f>
        <v>Действителен до 26.02.2025</v>
      </c>
      <c r="D884" s="8" t="str">
        <f ca="1">IFERROR(__xludf.DUMMYFUNCTION("""COMPUTED_VALUE"""),"0220058KZ58")</f>
        <v>0220058KZ58</v>
      </c>
      <c r="E884" s="1" t="str">
        <f ca="1">IFERROR(__xludf.DUMMYFUNCTION("""COMPUTED_VALUE"""),"годен до 26.02.2025")</f>
        <v>годен до 26.02.2025</v>
      </c>
      <c r="F884" s="1" t="str">
        <f ca="1">IFERROR(__xludf.DUMMYFUNCTION("""COMPUTED_VALUE"""),"Корректор лечебно-профилактический (с 4 ребрами жесткости) эластичный 3011- XXL - 0220058KZ58")</f>
        <v>Корректор лечебно-профилактический (с 4 ребрами жесткости) эластичный 3011- XXL - 0220058KZ58</v>
      </c>
      <c r="G884" s="1" t="str">
        <f ca="1">IFERROR(__xludf.DUMMYFUNCTION("""COMPUTED_VALUE"""),"KZ.7700.02.01.00637888 / Действителен до 26.02.2025 / 0220058KZ58 / годен до 26.02.2025")</f>
        <v>KZ.7700.02.01.00637888 / Действителен до 26.02.2025 / 0220058KZ58 / годен до 26.02.2025</v>
      </c>
      <c r="H884" s="1" t="str">
        <f ca="1">IFERROR(__xludf.DUMMYFUNCTION("""COMPUTED_VALUE"""),"Корректор лечебно-профилактический (с 4 ребрами жесткости) эластичный 3011- XXL KZ.7700.02.01.00637888 / Действителен до 26.02.2025 / 0220058KZ58 / годен до 26.02.2025")</f>
        <v>Корректор лечебно-профилактический (с 4 ребрами жесткости) эластичный 3011- XXL KZ.7700.02.01.00637888 / Действителен до 26.02.2025 / 0220058KZ58 / годен до 26.02.2025</v>
      </c>
    </row>
    <row r="885" spans="1:8" ht="12.75" x14ac:dyDescent="0.2">
      <c r="A885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885" s="1" t="str">
        <f ca="1">IFERROR(__xludf.DUMMYFUNCTION("""COMPUTED_VALUE"""),"KZ.7700.02.01.00637889")</f>
        <v>KZ.7700.02.01.00637889</v>
      </c>
      <c r="C885" s="1" t="str">
        <f ca="1">IFERROR(__xludf.DUMMYFUNCTION("""COMPUTED_VALUE"""),"Действителен до 26.02.2025")</f>
        <v>Действителен до 26.02.2025</v>
      </c>
      <c r="D885" s="8" t="str">
        <f ca="1">IFERROR(__xludf.DUMMYFUNCTION("""COMPUTED_VALUE"""),"0220058KZ58")</f>
        <v>0220058KZ58</v>
      </c>
      <c r="E885" s="1" t="str">
        <f ca="1">IFERROR(__xludf.DUMMYFUNCTION("""COMPUTED_VALUE"""),"годен до 26.02.2025")</f>
        <v>годен до 26.02.2025</v>
      </c>
      <c r="F885" s="1" t="str">
        <f ca="1">IFERROR(__xludf.DUMMYFUNCTION("""COMPUTED_VALUE"""),"Корректор лечебно-профилактический (с 4 ребрами жесткости) эластичный 3011- XXXL - 0220058KZ58")</f>
        <v>Корректор лечебно-профилактический (с 4 ребрами жесткости) эластичный 3011- XXXL - 0220058KZ58</v>
      </c>
      <c r="G885" s="1" t="str">
        <f ca="1">IFERROR(__xludf.DUMMYFUNCTION("""COMPUTED_VALUE"""),"KZ.7700.02.01.00637889 / Действителен до 26.02.2025 / 0220058KZ58 / годен до 26.02.2025")</f>
        <v>KZ.7700.02.01.00637889 / Действителен до 26.02.2025 / 0220058KZ58 / годен до 26.02.2025</v>
      </c>
      <c r="H885" s="1" t="str">
        <f ca="1">IFERROR(__xludf.DUMMYFUNCTION("""COMPUTED_VALUE"""),"Корректор лечебно-профилактический (с 4 ребрами жесткости) эластичный 3011- XXXL KZ.7700.02.01.00637889 / Действителен до 26.02.2025 / 0220058KZ58 / годен до 26.02.2025")</f>
        <v>Корректор лечебно-профилактический (с 4 ребрами жесткости) эластичный 3011- XXXL KZ.7700.02.01.00637889 / Действителен до 26.02.2025 / 0220058KZ58 / годен до 26.02.2025</v>
      </c>
    </row>
    <row r="886" spans="1:8" ht="12.75" x14ac:dyDescent="0.2">
      <c r="A886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886" s="1" t="str">
        <f ca="1">IFERROR(__xludf.DUMMYFUNCTION("""COMPUTED_VALUE"""),"KZ.7700.02.01.00637890")</f>
        <v>KZ.7700.02.01.00637890</v>
      </c>
      <c r="C886" s="1" t="str">
        <f ca="1">IFERROR(__xludf.DUMMYFUNCTION("""COMPUTED_VALUE"""),"Действителен до 26.02.2025")</f>
        <v>Действителен до 26.02.2025</v>
      </c>
      <c r="D886" s="8" t="str">
        <f ca="1">IFERROR(__xludf.DUMMYFUNCTION("""COMPUTED_VALUE"""),"0220058KZ58")</f>
        <v>0220058KZ58</v>
      </c>
      <c r="E886" s="1" t="str">
        <f ca="1">IFERROR(__xludf.DUMMYFUNCTION("""COMPUTED_VALUE"""),"годен до 26.02.2025")</f>
        <v>годен до 26.02.2025</v>
      </c>
      <c r="F886" s="1" t="str">
        <f ca="1">IFERROR(__xludf.DUMMYFUNCTION("""COMPUTED_VALUE"""),"Корректор лечебно-профилактический (с 4 ребрами жесткости) эластичный 3011 XXXXL - 0220058KZ58")</f>
        <v>Корректор лечебно-профилактический (с 4 ребрами жесткости) эластичный 3011 XXXXL - 0220058KZ58</v>
      </c>
      <c r="G886" s="1" t="str">
        <f ca="1">IFERROR(__xludf.DUMMYFUNCTION("""COMPUTED_VALUE"""),"KZ.7700.02.01.00637890 / Действителен до 26.02.2025 / 0220058KZ58 / годен до 26.02.2025")</f>
        <v>KZ.7700.02.01.00637890 / Действителен до 26.02.2025 / 0220058KZ58 / годен до 26.02.2025</v>
      </c>
      <c r="H886" s="1" t="str">
        <f ca="1">IFERROR(__xludf.DUMMYFUNCTION("""COMPUTED_VALUE"""),"Корректор лечебно-профилактический (с 4 ребрами жесткости) эластичный 3011 XXXXL KZ.7700.02.01.00637890 / Действителен до 26.02.2025 / 0220058KZ58 / годен до 26.02.2025")</f>
        <v>Корректор лечебно-профилактический (с 4 ребрами жесткости) эластичный 3011 XXXXL KZ.7700.02.01.00637890 / Действителен до 26.02.2025 / 0220058KZ58 / годен до 26.02.2025</v>
      </c>
    </row>
    <row r="887" spans="1:8" ht="12.75" x14ac:dyDescent="0.2">
      <c r="A887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887" s="1" t="str">
        <f ca="1">IFERROR(__xludf.DUMMYFUNCTION("""COMPUTED_VALUE"""),"KZ.7700.02.01.00637891")</f>
        <v>KZ.7700.02.01.00637891</v>
      </c>
      <c r="C887" s="1" t="str">
        <f ca="1">IFERROR(__xludf.DUMMYFUNCTION("""COMPUTED_VALUE"""),"Действителен до 26.02.2025")</f>
        <v>Действителен до 26.02.2025</v>
      </c>
      <c r="D887" s="8" t="str">
        <f ca="1">IFERROR(__xludf.DUMMYFUNCTION("""COMPUTED_VALUE"""),"0220058KZ58")</f>
        <v>0220058KZ58</v>
      </c>
      <c r="E887" s="1" t="str">
        <f ca="1">IFERROR(__xludf.DUMMYFUNCTION("""COMPUTED_VALUE"""),"годен до 26.02.2025")</f>
        <v>годен до 26.02.2025</v>
      </c>
      <c r="F887" s="1" t="str">
        <f ca="1">IFERROR(__xludf.DUMMYFUNCTION("""COMPUTED_VALUE"""),"Корсет ортопедический с ребрами жесткости согревающий 3041 M/L (Болгария) - 0220058KZ58")</f>
        <v>Корсет ортопедический с ребрами жесткости согревающий 3041 M/L (Болгария) - 0220058KZ58</v>
      </c>
      <c r="G887" s="1" t="str">
        <f ca="1">IFERROR(__xludf.DUMMYFUNCTION("""COMPUTED_VALUE"""),"KZ.7700.02.01.00637891 / Действителен до 26.02.2025 / 0220058KZ58 / годен до 26.02.2025")</f>
        <v>KZ.7700.02.01.00637891 / Действителен до 26.02.2025 / 0220058KZ58 / годен до 26.02.2025</v>
      </c>
      <c r="H887" s="1" t="str">
        <f ca="1">IFERROR(__xludf.DUMMYFUNCTION("""COMPUTED_VALUE"""),"Корсет ортопедический с ребрами жесткости согревающий 3041 M/L (Болгария) KZ.7700.02.01.00637891 / Действителен до 26.02.2025 / 0220058KZ58 / годен до 26.02.2025")</f>
        <v>Корсет ортопедический с ребрами жесткости согревающий 3041 M/L (Болгария) KZ.7700.02.01.00637891 / Действителен до 26.02.2025 / 0220058KZ58 / годен до 26.02.2025</v>
      </c>
    </row>
    <row r="888" spans="1:8" ht="12.75" x14ac:dyDescent="0.2">
      <c r="A888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888" s="1" t="str">
        <f ca="1">IFERROR(__xludf.DUMMYFUNCTION("""COMPUTED_VALUE"""),"KZ.7700.02.01.00637892")</f>
        <v>KZ.7700.02.01.00637892</v>
      </c>
      <c r="C888" s="1" t="str">
        <f ca="1">IFERROR(__xludf.DUMMYFUNCTION("""COMPUTED_VALUE"""),"Действителен до 26.02.2025")</f>
        <v>Действителен до 26.02.2025</v>
      </c>
      <c r="D888" s="8" t="str">
        <f ca="1">IFERROR(__xludf.DUMMYFUNCTION("""COMPUTED_VALUE"""),"0220058KZ58")</f>
        <v>0220058KZ58</v>
      </c>
      <c r="E888" s="1" t="str">
        <f ca="1">IFERROR(__xludf.DUMMYFUNCTION("""COMPUTED_VALUE"""),"годен до 26.02.2025")</f>
        <v>годен до 26.02.2025</v>
      </c>
      <c r="F888" s="1" t="str">
        <f ca="1">IFERROR(__xludf.DUMMYFUNCTION("""COMPUTED_VALUE"""),"Корсет ортопедический с ребрами жесткости согревающий 3041 XL/XXL (Болгария) - 0220058KZ58")</f>
        <v>Корсет ортопедический с ребрами жесткости согревающий 3041 XL/XXL (Болгария) - 0220058KZ58</v>
      </c>
      <c r="G888" s="1" t="str">
        <f ca="1">IFERROR(__xludf.DUMMYFUNCTION("""COMPUTED_VALUE"""),"KZ.7700.02.01.00637892 / Действителен до 26.02.2025 / 0220058KZ58 / годен до 26.02.2025")</f>
        <v>KZ.7700.02.01.00637892 / Действителен до 26.02.2025 / 0220058KZ58 / годен до 26.02.2025</v>
      </c>
      <c r="H888" s="1" t="str">
        <f ca="1">IFERROR(__xludf.DUMMYFUNCTION("""COMPUTED_VALUE"""),"Корсет ортопедический с ребрами жесткости согревающий 3041 XL/XXL (Болгария) KZ.7700.02.01.00637892 / Действителен до 26.02.2025 / 0220058KZ58 / годен до 26.02.2025")</f>
        <v>Корсет ортопедический с ребрами жесткости согревающий 3041 XL/XXL (Болгария) KZ.7700.02.01.00637892 / Действителен до 26.02.2025 / 0220058KZ58 / годен до 26.02.2025</v>
      </c>
    </row>
    <row r="889" spans="1:8" ht="12.75" x14ac:dyDescent="0.2">
      <c r="A889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889" s="1" t="str">
        <f ca="1">IFERROR(__xludf.DUMMYFUNCTION("""COMPUTED_VALUE"""),"KZ.7700.02.01.00637893")</f>
        <v>KZ.7700.02.01.00637893</v>
      </c>
      <c r="C889" s="1" t="str">
        <f ca="1">IFERROR(__xludf.DUMMYFUNCTION("""COMPUTED_VALUE"""),"Действителен до 26.02.2025")</f>
        <v>Действителен до 26.02.2025</v>
      </c>
      <c r="D889" s="8" t="str">
        <f ca="1">IFERROR(__xludf.DUMMYFUNCTION("""COMPUTED_VALUE"""),"0220058KZ58")</f>
        <v>0220058KZ58</v>
      </c>
      <c r="E889" s="1" t="str">
        <f ca="1">IFERROR(__xludf.DUMMYFUNCTION("""COMPUTED_VALUE"""),"годен до 26.02.2025")</f>
        <v>годен до 26.02.2025</v>
      </c>
      <c r="F889" s="1" t="str">
        <f ca="1">IFERROR(__xludf.DUMMYFUNCTION("""COMPUTED_VALUE"""),"Корсет ортопедический с ребрами жесткости согревающий 3041 XXXL/XXXXL (Болгария) - 0220058KZ58")</f>
        <v>Корсет ортопедический с ребрами жесткости согревающий 3041 XXXL/XXXXL (Болгария) - 0220058KZ58</v>
      </c>
      <c r="G889" s="1" t="str">
        <f ca="1">IFERROR(__xludf.DUMMYFUNCTION("""COMPUTED_VALUE"""),"KZ.7700.02.01.00637893 / Действителен до 26.02.2025 / 0220058KZ58 / годен до 26.02.2025")</f>
        <v>KZ.7700.02.01.00637893 / Действителен до 26.02.2025 / 0220058KZ58 / годен до 26.02.2025</v>
      </c>
      <c r="H889" s="1" t="str">
        <f ca="1">IFERROR(__xludf.DUMMYFUNCTION("""COMPUTED_VALUE"""),"Корсет ортопедический с ребрами жесткости согревающий 3041 XXXL/XXXXL (Болгария) KZ.7700.02.01.00637893 / Действителен до 26.02.2025 / 0220058KZ58 / годен до 26.02.2025")</f>
        <v>Корсет ортопедический с ребрами жесткости согревающий 3041 XXXL/XXXXL (Болгария) KZ.7700.02.01.00637893 / Действителен до 26.02.2025 / 0220058KZ58 / годен до 26.02.2025</v>
      </c>
    </row>
    <row r="890" spans="1:8" ht="12.75" x14ac:dyDescent="0.2">
      <c r="A890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890" s="1" t="str">
        <f ca="1">IFERROR(__xludf.DUMMYFUNCTION("""COMPUTED_VALUE"""),"KZ.7700.02.01.00637895")</f>
        <v>KZ.7700.02.01.00637895</v>
      </c>
      <c r="C890" s="1" t="str">
        <f ca="1">IFERROR(__xludf.DUMMYFUNCTION("""COMPUTED_VALUE"""),"Действителен до 26.02.2025")</f>
        <v>Действителен до 26.02.2025</v>
      </c>
      <c r="D890" s="8" t="str">
        <f ca="1">IFERROR(__xludf.DUMMYFUNCTION("""COMPUTED_VALUE"""),"0220058KZ58")</f>
        <v>0220058KZ58</v>
      </c>
      <c r="E890" s="1" t="str">
        <f ca="1">IFERROR(__xludf.DUMMYFUNCTION("""COMPUTED_VALUE"""),"годен до 26.02.2025")</f>
        <v>годен до 26.02.2025</v>
      </c>
      <c r="F890" s="1" t="str">
        <f ca="1">IFERROR(__xludf.DUMMYFUNCTION("""COMPUTED_VALUE"""),"Бандаж лечебно–профилактический (с тремя ребрами жесткости) 4001 L (Болгария) - 0220058KZ58")</f>
        <v>Бандаж лечебно–профилактический (с тремя ребрами жесткости) 4001 L (Болгария) - 0220058KZ58</v>
      </c>
      <c r="G890" s="1" t="str">
        <f ca="1">IFERROR(__xludf.DUMMYFUNCTION("""COMPUTED_VALUE"""),"KZ.7700.02.01.00637895 / Действителен до 26.02.2025 / 0220058KZ58 / годен до 26.02.2025")</f>
        <v>KZ.7700.02.01.00637895 / Действителен до 26.02.2025 / 0220058KZ58 / годен до 26.02.2025</v>
      </c>
      <c r="H890" s="1" t="str">
        <f ca="1">IFERROR(__xludf.DUMMYFUNCTION("""COMPUTED_VALUE"""),"Бандаж лечебно–профилактический (с тремя ребрами жесткости) 4001 L (Болгария) KZ.7700.02.01.00637895 / Действителен до 26.02.2025 / 0220058KZ58 / годен до 26.02.2025")</f>
        <v>Бандаж лечебно–профилактический (с тремя ребрами жесткости) 4001 L (Болгария) KZ.7700.02.01.00637895 / Действителен до 26.02.2025 / 0220058KZ58 / годен до 26.02.2025</v>
      </c>
    </row>
    <row r="891" spans="1:8" ht="12.75" x14ac:dyDescent="0.2">
      <c r="A891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891" s="1" t="str">
        <f ca="1">IFERROR(__xludf.DUMMYFUNCTION("""COMPUTED_VALUE"""),"KZ.7700.02.01.00637894")</f>
        <v>KZ.7700.02.01.00637894</v>
      </c>
      <c r="C891" s="1" t="str">
        <f ca="1">IFERROR(__xludf.DUMMYFUNCTION("""COMPUTED_VALUE"""),"Действителен до 26.02.2025")</f>
        <v>Действителен до 26.02.2025</v>
      </c>
      <c r="D891" s="8" t="str">
        <f ca="1">IFERROR(__xludf.DUMMYFUNCTION("""COMPUTED_VALUE"""),"0220058KZ58")</f>
        <v>0220058KZ58</v>
      </c>
      <c r="E891" s="1" t="str">
        <f ca="1">IFERROR(__xludf.DUMMYFUNCTION("""COMPUTED_VALUE"""),"годен до 26.02.2025")</f>
        <v>годен до 26.02.2025</v>
      </c>
      <c r="F891" s="1" t="str">
        <f ca="1">IFERROR(__xludf.DUMMYFUNCTION("""COMPUTED_VALUE"""),"Бандаж лечебно–профилактический (с тремя ребрами жесткости) 4001 M (Болгария) - 0220058KZ58")</f>
        <v>Бандаж лечебно–профилактический (с тремя ребрами жесткости) 4001 M (Болгария) - 0220058KZ58</v>
      </c>
      <c r="G891" s="1" t="str">
        <f ca="1">IFERROR(__xludf.DUMMYFUNCTION("""COMPUTED_VALUE"""),"KZ.7700.02.01.00637894 / Действителен до 26.02.2025 / 0220058KZ58 / годен до 26.02.2025")</f>
        <v>KZ.7700.02.01.00637894 / Действителен до 26.02.2025 / 0220058KZ58 / годен до 26.02.2025</v>
      </c>
      <c r="H891" s="1" t="str">
        <f ca="1">IFERROR(__xludf.DUMMYFUNCTION("""COMPUTED_VALUE"""),"Бандаж лечебно–профилактический (с тремя ребрами жесткости) 4001 M (Болгария) KZ.7700.02.01.00637894 / Действителен до 26.02.2025 / 0220058KZ58 / годен до 26.02.2025")</f>
        <v>Бандаж лечебно–профилактический (с тремя ребрами жесткости) 4001 M (Болгария) KZ.7700.02.01.00637894 / Действителен до 26.02.2025 / 0220058KZ58 / годен до 26.02.2025</v>
      </c>
    </row>
    <row r="892" spans="1:8" ht="12.75" x14ac:dyDescent="0.2">
      <c r="A892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892" s="1" t="str">
        <f ca="1">IFERROR(__xludf.DUMMYFUNCTION("""COMPUTED_VALUE"""),"KZ.7700.02.01.00637896")</f>
        <v>KZ.7700.02.01.00637896</v>
      </c>
      <c r="C892" s="1" t="str">
        <f ca="1">IFERROR(__xludf.DUMMYFUNCTION("""COMPUTED_VALUE"""),"Действителен до 26.02.2025")</f>
        <v>Действителен до 26.02.2025</v>
      </c>
      <c r="D892" s="8" t="str">
        <f ca="1">IFERROR(__xludf.DUMMYFUNCTION("""COMPUTED_VALUE"""),"0220058KZ58")</f>
        <v>0220058KZ58</v>
      </c>
      <c r="E892" s="1" t="str">
        <f ca="1">IFERROR(__xludf.DUMMYFUNCTION("""COMPUTED_VALUE"""),"годен до 26.02.2025")</f>
        <v>годен до 26.02.2025</v>
      </c>
      <c r="F892" s="1" t="str">
        <f ca="1">IFERROR(__xludf.DUMMYFUNCTION("""COMPUTED_VALUE"""),"Бандаж лечебно–профилактический (с тремя ребрами жесткости) 4001 XL (Болгария) - 0220058KZ58")</f>
        <v>Бандаж лечебно–профилактический (с тремя ребрами жесткости) 4001 XL (Болгария) - 0220058KZ58</v>
      </c>
      <c r="G892" s="1" t="str">
        <f ca="1">IFERROR(__xludf.DUMMYFUNCTION("""COMPUTED_VALUE"""),"KZ.7700.02.01.00637896 / Действителен до 26.02.2025 / 0220058KZ58 / годен до 26.02.2025")</f>
        <v>KZ.7700.02.01.00637896 / Действителен до 26.02.2025 / 0220058KZ58 / годен до 26.02.2025</v>
      </c>
      <c r="H892" s="1" t="str">
        <f ca="1">IFERROR(__xludf.DUMMYFUNCTION("""COMPUTED_VALUE"""),"Бандаж лечебно–профилактический (с тремя ребрами жесткости) 4001 XL (Болгария) KZ.7700.02.01.00637896 / Действителен до 26.02.2025 / 0220058KZ58 / годен до 26.02.2025")</f>
        <v>Бандаж лечебно–профилактический (с тремя ребрами жесткости) 4001 XL (Болгария) KZ.7700.02.01.00637896 / Действителен до 26.02.2025 / 0220058KZ58 / годен до 26.02.2025</v>
      </c>
    </row>
    <row r="893" spans="1:8" ht="12.75" x14ac:dyDescent="0.2">
      <c r="A893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893" s="1" t="str">
        <f ca="1">IFERROR(__xludf.DUMMYFUNCTION("""COMPUTED_VALUE"""),"KZ.7700.02.01.00637897")</f>
        <v>KZ.7700.02.01.00637897</v>
      </c>
      <c r="C893" s="1" t="str">
        <f ca="1">IFERROR(__xludf.DUMMYFUNCTION("""COMPUTED_VALUE"""),"Действителен до 26.02.2025")</f>
        <v>Действителен до 26.02.2025</v>
      </c>
      <c r="D893" s="8" t="str">
        <f ca="1">IFERROR(__xludf.DUMMYFUNCTION("""COMPUTED_VALUE"""),"0220058KZ58")</f>
        <v>0220058KZ58</v>
      </c>
      <c r="E893" s="1" t="str">
        <f ca="1">IFERROR(__xludf.DUMMYFUNCTION("""COMPUTED_VALUE"""),"годен до 26.02.2025")</f>
        <v>годен до 26.02.2025</v>
      </c>
      <c r="F893" s="1" t="str">
        <f ca="1">IFERROR(__xludf.DUMMYFUNCTION("""COMPUTED_VALUE"""),"Бандаж лечебно–профилактический (с тремя ребрами жесткости) 4001 XXL (Болгария) - 0220058KZ58")</f>
        <v>Бандаж лечебно–профилактический (с тремя ребрами жесткости) 4001 XXL (Болгария) - 0220058KZ58</v>
      </c>
      <c r="G893" s="1" t="str">
        <f ca="1">IFERROR(__xludf.DUMMYFUNCTION("""COMPUTED_VALUE"""),"KZ.7700.02.01.00637897 / Действителен до 26.02.2025 / 0220058KZ58 / годен до 26.02.2025")</f>
        <v>KZ.7700.02.01.00637897 / Действителен до 26.02.2025 / 0220058KZ58 / годен до 26.02.2025</v>
      </c>
      <c r="H893" s="1" t="str">
        <f ca="1">IFERROR(__xludf.DUMMYFUNCTION("""COMPUTED_VALUE"""),"Бандаж лечебно–профилактический (с тремя ребрами жесткости) 4001 XXL (Болгария) KZ.7700.02.01.00637897 / Действителен до 26.02.2025 / 0220058KZ58 / годен до 26.02.2025")</f>
        <v>Бандаж лечебно–профилактический (с тремя ребрами жесткости) 4001 XXL (Болгария) KZ.7700.02.01.00637897 / Действителен до 26.02.2025 / 0220058KZ58 / годен до 26.02.2025</v>
      </c>
    </row>
    <row r="894" spans="1:8" ht="12.75" x14ac:dyDescent="0.2">
      <c r="A894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894" s="1" t="str">
        <f ca="1">IFERROR(__xludf.DUMMYFUNCTION("""COMPUTED_VALUE"""),"KZ.7700.02.01.00637898")</f>
        <v>KZ.7700.02.01.00637898</v>
      </c>
      <c r="C894" s="1" t="str">
        <f ca="1">IFERROR(__xludf.DUMMYFUNCTION("""COMPUTED_VALUE"""),"Действителен до 26.02.2025")</f>
        <v>Действителен до 26.02.2025</v>
      </c>
      <c r="D894" s="8" t="str">
        <f ca="1">IFERROR(__xludf.DUMMYFUNCTION("""COMPUTED_VALUE"""),"0220058KZ58")</f>
        <v>0220058KZ58</v>
      </c>
      <c r="E894" s="1" t="str">
        <f ca="1">IFERROR(__xludf.DUMMYFUNCTION("""COMPUTED_VALUE"""),"годен до 26.02.2025")</f>
        <v>годен до 26.02.2025</v>
      </c>
      <c r="F894" s="1" t="str">
        <f ca="1">IFERROR(__xludf.DUMMYFUNCTION("""COMPUTED_VALUE"""),"Бандаж лечебно–профилактический (с тремя ребрами жесткости) 4001 XXXL(Болгария) - 0220058KZ58")</f>
        <v>Бандаж лечебно–профилактический (с тремя ребрами жесткости) 4001 XXXL(Болгария) - 0220058KZ58</v>
      </c>
      <c r="G894" s="1" t="str">
        <f ca="1">IFERROR(__xludf.DUMMYFUNCTION("""COMPUTED_VALUE"""),"KZ.7700.02.01.00637898 / Действителен до 26.02.2025 / 0220058KZ58 / годен до 26.02.2025")</f>
        <v>KZ.7700.02.01.00637898 / Действителен до 26.02.2025 / 0220058KZ58 / годен до 26.02.2025</v>
      </c>
      <c r="H894" s="1" t="str">
        <f ca="1">IFERROR(__xludf.DUMMYFUNCTION("""COMPUTED_VALUE"""),"Бандаж лечебно–профилактический (с тремя ребрами жесткости) 4001 XXXL(Болгария) KZ.7700.02.01.00637898 / Действителен до 26.02.2025 / 0220058KZ58 / годен до 26.02.2025")</f>
        <v>Бандаж лечебно–профилактический (с тремя ребрами жесткости) 4001 XXXL(Болгария) KZ.7700.02.01.00637898 / Действителен до 26.02.2025 / 0220058KZ58 / годен до 26.02.2025</v>
      </c>
    </row>
    <row r="895" spans="1:8" ht="12.75" x14ac:dyDescent="0.2">
      <c r="A895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895" s="1" t="str">
        <f ca="1">IFERROR(__xludf.DUMMYFUNCTION("""COMPUTED_VALUE"""),"KZ.7700.02.01.00637899")</f>
        <v>KZ.7700.02.01.00637899</v>
      </c>
      <c r="C895" s="1" t="str">
        <f ca="1">IFERROR(__xludf.DUMMYFUNCTION("""COMPUTED_VALUE"""),"Действителен до 26.02.2025")</f>
        <v>Действителен до 26.02.2025</v>
      </c>
      <c r="D895" s="8" t="str">
        <f ca="1">IFERROR(__xludf.DUMMYFUNCTION("""COMPUTED_VALUE"""),"0220058KZ58")</f>
        <v>0220058KZ58</v>
      </c>
      <c r="E895" s="1" t="str">
        <f ca="1">IFERROR(__xludf.DUMMYFUNCTION("""COMPUTED_VALUE"""),"годен до 26.02.2025")</f>
        <v>годен до 26.02.2025</v>
      </c>
      <c r="F895" s="1" t="str">
        <f ca="1">IFERROR(__xludf.DUMMYFUNCTION("""COMPUTED_VALUE"""),"Бандаж лечебно–профилактический (с тремя ребрами жесткости) 4001 XXXXL(Болгария) - 0220058KZ58")</f>
        <v>Бандаж лечебно–профилактический (с тремя ребрами жесткости) 4001 XXXXL(Болгария) - 0220058KZ58</v>
      </c>
      <c r="G895" s="1" t="str">
        <f ca="1">IFERROR(__xludf.DUMMYFUNCTION("""COMPUTED_VALUE"""),"KZ.7700.02.01.00637899 / Действителен до 26.02.2025 / 0220058KZ58 / годен до 26.02.2025")</f>
        <v>KZ.7700.02.01.00637899 / Действителен до 26.02.2025 / 0220058KZ58 / годен до 26.02.2025</v>
      </c>
      <c r="H895" s="1" t="str">
        <f ca="1">IFERROR(__xludf.DUMMYFUNCTION("""COMPUTED_VALUE"""),"Бандаж лечебно–профилактический (с тремя ребрами жесткости) 4001 XXXXL(Болгария) KZ.7700.02.01.00637899 / Действителен до 26.02.2025 / 0220058KZ58 / годен до 26.02.2025")</f>
        <v>Бандаж лечебно–профилактический (с тремя ребрами жесткости) 4001 XXXXL(Болгария) KZ.7700.02.01.00637899 / Действителен до 26.02.2025 / 0220058KZ58 / годен до 26.02.2025</v>
      </c>
    </row>
    <row r="896" spans="1:8" ht="12.75" x14ac:dyDescent="0.2">
      <c r="A896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896" s="1" t="str">
        <f ca="1">IFERROR(__xludf.DUMMYFUNCTION("""COMPUTED_VALUE"""),"KZ.7700.02.01.00637902")</f>
        <v>KZ.7700.02.01.00637902</v>
      </c>
      <c r="C896" s="1" t="str">
        <f ca="1">IFERROR(__xludf.DUMMYFUNCTION("""COMPUTED_VALUE"""),"Действителен до 26.02.2025")</f>
        <v>Действителен до 26.02.2025</v>
      </c>
      <c r="D896" s="8" t="str">
        <f ca="1">IFERROR(__xludf.DUMMYFUNCTION("""COMPUTED_VALUE"""),"0220058KZ58")</f>
        <v>0220058KZ58</v>
      </c>
      <c r="E896" s="1" t="str">
        <f ca="1">IFERROR(__xludf.DUMMYFUNCTION("""COMPUTED_VALUE"""),"годен до 26.02.2025")</f>
        <v>годен до 26.02.2025</v>
      </c>
      <c r="F896" s="1" t="str">
        <f ca="1">IFERROR(__xludf.DUMMYFUNCTION("""COMPUTED_VALUE"""),"Бандаж лечебно–профилактический эластичный 4002 L (Болгария) - 0220058KZ58")</f>
        <v>Бандаж лечебно–профилактический эластичный 4002 L (Болгария) - 0220058KZ58</v>
      </c>
      <c r="G896" s="1" t="str">
        <f ca="1">IFERROR(__xludf.DUMMYFUNCTION("""COMPUTED_VALUE"""),"KZ.7700.02.01.00637902 / Действителен до 26.02.2025 / 0220058KZ58 / годен до 26.02.2025")</f>
        <v>KZ.7700.02.01.00637902 / Действителен до 26.02.2025 / 0220058KZ58 / годен до 26.02.2025</v>
      </c>
      <c r="H896" s="1" t="str">
        <f ca="1">IFERROR(__xludf.DUMMYFUNCTION("""COMPUTED_VALUE"""),"Бандаж лечебно–профилактический эластичный 4002 L (Болгария) KZ.7700.02.01.00637902 / Действителен до 26.02.2025 / 0220058KZ58 / годен до 26.02.2025")</f>
        <v>Бандаж лечебно–профилактический эластичный 4002 L (Болгария) KZ.7700.02.01.00637902 / Действителен до 26.02.2025 / 0220058KZ58 / годен до 26.02.2025</v>
      </c>
    </row>
    <row r="897" spans="1:8" ht="12.75" x14ac:dyDescent="0.2">
      <c r="A897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897" s="1" t="str">
        <f ca="1">IFERROR(__xludf.DUMMYFUNCTION("""COMPUTED_VALUE"""),"KZ.7700.02.01.00637901")</f>
        <v>KZ.7700.02.01.00637901</v>
      </c>
      <c r="C897" s="1" t="str">
        <f ca="1">IFERROR(__xludf.DUMMYFUNCTION("""COMPUTED_VALUE"""),"Действителен до 26.02.2025")</f>
        <v>Действителен до 26.02.2025</v>
      </c>
      <c r="D897" s="8" t="str">
        <f ca="1">IFERROR(__xludf.DUMMYFUNCTION("""COMPUTED_VALUE"""),"0220058KZ58")</f>
        <v>0220058KZ58</v>
      </c>
      <c r="E897" s="1" t="str">
        <f ca="1">IFERROR(__xludf.DUMMYFUNCTION("""COMPUTED_VALUE"""),"годен до 26.02.2025")</f>
        <v>годен до 26.02.2025</v>
      </c>
      <c r="F897" s="1" t="str">
        <f ca="1">IFERROR(__xludf.DUMMYFUNCTION("""COMPUTED_VALUE"""),"Бандаж лечебно–профилактический эластичный 4002 M (Болгария) - 0220058KZ58")</f>
        <v>Бандаж лечебно–профилактический эластичный 4002 M (Болгария) - 0220058KZ58</v>
      </c>
      <c r="G897" s="1" t="str">
        <f ca="1">IFERROR(__xludf.DUMMYFUNCTION("""COMPUTED_VALUE"""),"KZ.7700.02.01.00637901 / Действителен до 26.02.2025 / 0220058KZ58 / годен до 26.02.2025")</f>
        <v>KZ.7700.02.01.00637901 / Действителен до 26.02.2025 / 0220058KZ58 / годен до 26.02.2025</v>
      </c>
      <c r="H897" s="1" t="str">
        <f ca="1">IFERROR(__xludf.DUMMYFUNCTION("""COMPUTED_VALUE"""),"Бандаж лечебно–профилактический эластичный 4002 M (Болгария) KZ.7700.02.01.00637901 / Действителен до 26.02.2025 / 0220058KZ58 / годен до 26.02.2025")</f>
        <v>Бандаж лечебно–профилактический эластичный 4002 M (Болгария) KZ.7700.02.01.00637901 / Действителен до 26.02.2025 / 0220058KZ58 / годен до 26.02.2025</v>
      </c>
    </row>
    <row r="898" spans="1:8" ht="12.75" x14ac:dyDescent="0.2">
      <c r="A898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898" s="1" t="str">
        <f ca="1">IFERROR(__xludf.DUMMYFUNCTION("""COMPUTED_VALUE"""),"KZ.7700.02.01.00637900")</f>
        <v>KZ.7700.02.01.00637900</v>
      </c>
      <c r="C898" s="1" t="str">
        <f ca="1">IFERROR(__xludf.DUMMYFUNCTION("""COMPUTED_VALUE"""),"Действителен до 26.02.2025")</f>
        <v>Действителен до 26.02.2025</v>
      </c>
      <c r="D898" s="8" t="str">
        <f ca="1">IFERROR(__xludf.DUMMYFUNCTION("""COMPUTED_VALUE"""),"0220058KZ58")</f>
        <v>0220058KZ58</v>
      </c>
      <c r="E898" s="1" t="str">
        <f ca="1">IFERROR(__xludf.DUMMYFUNCTION("""COMPUTED_VALUE"""),"годен до 26.02.2025")</f>
        <v>годен до 26.02.2025</v>
      </c>
      <c r="F898" s="1" t="str">
        <f ca="1">IFERROR(__xludf.DUMMYFUNCTION("""COMPUTED_VALUE"""),"Бандаж лечебно–профилактический эластичный 4002 S (Болгария) - 0220058KZ58")</f>
        <v>Бандаж лечебно–профилактический эластичный 4002 S (Болгария) - 0220058KZ58</v>
      </c>
      <c r="G898" s="1" t="str">
        <f ca="1">IFERROR(__xludf.DUMMYFUNCTION("""COMPUTED_VALUE"""),"KZ.7700.02.01.00637900 / Действителен до 26.02.2025 / 0220058KZ58 / годен до 26.02.2025")</f>
        <v>KZ.7700.02.01.00637900 / Действителен до 26.02.2025 / 0220058KZ58 / годен до 26.02.2025</v>
      </c>
      <c r="H898" s="1" t="str">
        <f ca="1">IFERROR(__xludf.DUMMYFUNCTION("""COMPUTED_VALUE"""),"Бандаж лечебно–профилактический эластичный 4002 S (Болгария) KZ.7700.02.01.00637900 / Действителен до 26.02.2025 / 0220058KZ58 / годен до 26.02.2025")</f>
        <v>Бандаж лечебно–профилактический эластичный 4002 S (Болгария) KZ.7700.02.01.00637900 / Действителен до 26.02.2025 / 0220058KZ58 / годен до 26.02.2025</v>
      </c>
    </row>
    <row r="899" spans="1:8" ht="12.75" x14ac:dyDescent="0.2">
      <c r="A899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899" s="1" t="str">
        <f ca="1">IFERROR(__xludf.DUMMYFUNCTION("""COMPUTED_VALUE"""),"KZ.7700.02.01.00637903")</f>
        <v>KZ.7700.02.01.00637903</v>
      </c>
      <c r="C899" s="1" t="str">
        <f ca="1">IFERROR(__xludf.DUMMYFUNCTION("""COMPUTED_VALUE"""),"Действителен до 26.02.2025")</f>
        <v>Действителен до 26.02.2025</v>
      </c>
      <c r="D899" s="8" t="str">
        <f ca="1">IFERROR(__xludf.DUMMYFUNCTION("""COMPUTED_VALUE"""),"0220058KZ58")</f>
        <v>0220058KZ58</v>
      </c>
      <c r="E899" s="1" t="str">
        <f ca="1">IFERROR(__xludf.DUMMYFUNCTION("""COMPUTED_VALUE"""),"годен до 26.02.2025")</f>
        <v>годен до 26.02.2025</v>
      </c>
      <c r="F899" s="1" t="str">
        <f ca="1">IFERROR(__xludf.DUMMYFUNCTION("""COMPUTED_VALUE"""),"Бандаж лечебно–профилактический эластичный 4002 XL (Болгария) - 0220058KZ58")</f>
        <v>Бандаж лечебно–профилактический эластичный 4002 XL (Болгария) - 0220058KZ58</v>
      </c>
      <c r="G899" s="1" t="str">
        <f ca="1">IFERROR(__xludf.DUMMYFUNCTION("""COMPUTED_VALUE"""),"KZ.7700.02.01.00637903 / Действителен до 26.02.2025 / 0220058KZ58 / годен до 26.02.2025")</f>
        <v>KZ.7700.02.01.00637903 / Действителен до 26.02.2025 / 0220058KZ58 / годен до 26.02.2025</v>
      </c>
      <c r="H899" s="1" t="str">
        <f ca="1">IFERROR(__xludf.DUMMYFUNCTION("""COMPUTED_VALUE"""),"Бандаж лечебно–профилактический эластичный 4002 XL (Болгария) KZ.7700.02.01.00637903 / Действителен до 26.02.2025 / 0220058KZ58 / годен до 26.02.2025")</f>
        <v>Бандаж лечебно–профилактический эластичный 4002 XL (Болгария) KZ.7700.02.01.00637903 / Действителен до 26.02.2025 / 0220058KZ58 / годен до 26.02.2025</v>
      </c>
    </row>
    <row r="900" spans="1:8" ht="12.75" x14ac:dyDescent="0.2">
      <c r="A900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900" s="1" t="str">
        <f ca="1">IFERROR(__xludf.DUMMYFUNCTION("""COMPUTED_VALUE"""),"KZ.7700.02.01.00637904")</f>
        <v>KZ.7700.02.01.00637904</v>
      </c>
      <c r="C900" s="1" t="str">
        <f ca="1">IFERROR(__xludf.DUMMYFUNCTION("""COMPUTED_VALUE"""),"Действителен до 26.02.2025")</f>
        <v>Действителен до 26.02.2025</v>
      </c>
      <c r="D900" s="8" t="str">
        <f ca="1">IFERROR(__xludf.DUMMYFUNCTION("""COMPUTED_VALUE"""),"0220058KZ58")</f>
        <v>0220058KZ58</v>
      </c>
      <c r="E900" s="1" t="str">
        <f ca="1">IFERROR(__xludf.DUMMYFUNCTION("""COMPUTED_VALUE"""),"годен до 26.02.2025")</f>
        <v>годен до 26.02.2025</v>
      </c>
      <c r="F900" s="1" t="str">
        <f ca="1">IFERROR(__xludf.DUMMYFUNCTION("""COMPUTED_VALUE"""),"Бандаж лечебно–профилактический эластичный 4002 XXL (Болгария) - 0220058KZ58")</f>
        <v>Бандаж лечебно–профилактический эластичный 4002 XXL (Болгария) - 0220058KZ58</v>
      </c>
      <c r="G900" s="1" t="str">
        <f ca="1">IFERROR(__xludf.DUMMYFUNCTION("""COMPUTED_VALUE"""),"KZ.7700.02.01.00637904 / Действителен до 26.02.2025 / 0220058KZ58 / годен до 26.02.2025")</f>
        <v>KZ.7700.02.01.00637904 / Действителен до 26.02.2025 / 0220058KZ58 / годен до 26.02.2025</v>
      </c>
      <c r="H900" s="1" t="str">
        <f ca="1">IFERROR(__xludf.DUMMYFUNCTION("""COMPUTED_VALUE"""),"Бандаж лечебно–профилактический эластичный 4002 XXL (Болгария) KZ.7700.02.01.00637904 / Действителен до 26.02.2025 / 0220058KZ58 / годен до 26.02.2025")</f>
        <v>Бандаж лечебно–профилактический эластичный 4002 XXL (Болгария) KZ.7700.02.01.00637904 / Действителен до 26.02.2025 / 0220058KZ58 / годен до 26.02.2025</v>
      </c>
    </row>
    <row r="901" spans="1:8" ht="12.75" x14ac:dyDescent="0.2">
      <c r="A901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901" s="1" t="str">
        <f ca="1">IFERROR(__xludf.DUMMYFUNCTION("""COMPUTED_VALUE"""),"KZ.7700.02.01.00637905")</f>
        <v>KZ.7700.02.01.00637905</v>
      </c>
      <c r="C901" s="1" t="str">
        <f ca="1">IFERROR(__xludf.DUMMYFUNCTION("""COMPUTED_VALUE"""),"Действителен до 26.02.2025")</f>
        <v>Действителен до 26.02.2025</v>
      </c>
      <c r="D901" s="8" t="str">
        <f ca="1">IFERROR(__xludf.DUMMYFUNCTION("""COMPUTED_VALUE"""),"0220058KZ58")</f>
        <v>0220058KZ58</v>
      </c>
      <c r="E901" s="1" t="str">
        <f ca="1">IFERROR(__xludf.DUMMYFUNCTION("""COMPUTED_VALUE"""),"годен до 26.02.2025")</f>
        <v>годен до 26.02.2025</v>
      </c>
      <c r="F901" s="1" t="str">
        <f ca="1">IFERROR(__xludf.DUMMYFUNCTION("""COMPUTED_VALUE"""),"Бандаж лечебно–профилактический эластичный 4002 XXXL (Болгария) - 0220058KZ58")</f>
        <v>Бандаж лечебно–профилактический эластичный 4002 XXXL (Болгария) - 0220058KZ58</v>
      </c>
      <c r="G901" s="1" t="str">
        <f ca="1">IFERROR(__xludf.DUMMYFUNCTION("""COMPUTED_VALUE"""),"KZ.7700.02.01.00637905 / Действителен до 26.02.2025 / 0220058KZ58 / годен до 26.02.2025")</f>
        <v>KZ.7700.02.01.00637905 / Действителен до 26.02.2025 / 0220058KZ58 / годен до 26.02.2025</v>
      </c>
      <c r="H901" s="1" t="str">
        <f ca="1">IFERROR(__xludf.DUMMYFUNCTION("""COMPUTED_VALUE"""),"Бандаж лечебно–профилактический эластичный 4002 XXXL (Болгария) KZ.7700.02.01.00637905 / Действителен до 26.02.2025 / 0220058KZ58 / годен до 26.02.2025")</f>
        <v>Бандаж лечебно–профилактический эластичный 4002 XXXL (Болгария) KZ.7700.02.01.00637905 / Действителен до 26.02.2025 / 0220058KZ58 / годен до 26.02.2025</v>
      </c>
    </row>
    <row r="902" spans="1:8" ht="12.75" x14ac:dyDescent="0.2">
      <c r="A902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902" s="1" t="str">
        <f ca="1">IFERROR(__xludf.DUMMYFUNCTION("""COMPUTED_VALUE"""),"KZ.7700.02.01.00637906")</f>
        <v>KZ.7700.02.01.00637906</v>
      </c>
      <c r="C902" s="1" t="str">
        <f ca="1">IFERROR(__xludf.DUMMYFUNCTION("""COMPUTED_VALUE"""),"Действителен до 26.02.2025")</f>
        <v>Действителен до 26.02.2025</v>
      </c>
      <c r="D902" s="8" t="str">
        <f ca="1">IFERROR(__xludf.DUMMYFUNCTION("""COMPUTED_VALUE"""),"0220058KZ58")</f>
        <v>0220058KZ58</v>
      </c>
      <c r="E902" s="1" t="str">
        <f ca="1">IFERROR(__xludf.DUMMYFUNCTION("""COMPUTED_VALUE"""),"годен до 26.02.2025")</f>
        <v>годен до 26.02.2025</v>
      </c>
      <c r="F902" s="1" t="str">
        <f ca="1">IFERROR(__xludf.DUMMYFUNCTION("""COMPUTED_VALUE"""),"Бандаж лечебно–профилактический эластичный 4002 XXXXL (Болгария) - 0220058KZ58")</f>
        <v>Бандаж лечебно–профилактический эластичный 4002 XXXXL (Болгария) - 0220058KZ58</v>
      </c>
      <c r="G902" s="1" t="str">
        <f ca="1">IFERROR(__xludf.DUMMYFUNCTION("""COMPUTED_VALUE"""),"KZ.7700.02.01.00637906 / Действителен до 26.02.2025 / 0220058KZ58 / годен до 26.02.2025")</f>
        <v>KZ.7700.02.01.00637906 / Действителен до 26.02.2025 / 0220058KZ58 / годен до 26.02.2025</v>
      </c>
      <c r="H902" s="1" t="str">
        <f ca="1">IFERROR(__xludf.DUMMYFUNCTION("""COMPUTED_VALUE"""),"Бандаж лечебно–профилактический эластичный 4002 XXXXL (Болгария) KZ.7700.02.01.00637906 / Действителен до 26.02.2025 / 0220058KZ58 / годен до 26.02.2025")</f>
        <v>Бандаж лечебно–профилактический эластичный 4002 XXXXL (Болгария) KZ.7700.02.01.00637906 / Действителен до 26.02.2025 / 0220058KZ58 / годен до 26.02.2025</v>
      </c>
    </row>
    <row r="903" spans="1:8" ht="12.75" x14ac:dyDescent="0.2">
      <c r="A903" s="1" t="str">
        <f ca="1">IFERROR(__xludf.DUMMYFUNCTION("""COMPUTED_VALUE"""),"Бандаж универсальный 4011 M/L (Болгария)")</f>
        <v>Бандаж универсальный 4011 M/L (Болгария)</v>
      </c>
      <c r="B903" s="1" t="str">
        <f ca="1">IFERROR(__xludf.DUMMYFUNCTION("""COMPUTED_VALUE"""),"KZ.7700.02.01.00637907")</f>
        <v>KZ.7700.02.01.00637907</v>
      </c>
      <c r="C903" s="1" t="str">
        <f ca="1">IFERROR(__xludf.DUMMYFUNCTION("""COMPUTED_VALUE"""),"Действителен до 26.02.2025")</f>
        <v>Действителен до 26.02.2025</v>
      </c>
      <c r="D903" s="8" t="str">
        <f ca="1">IFERROR(__xludf.DUMMYFUNCTION("""COMPUTED_VALUE"""),"0220058KZ58")</f>
        <v>0220058KZ58</v>
      </c>
      <c r="E903" s="1" t="str">
        <f ca="1">IFERROR(__xludf.DUMMYFUNCTION("""COMPUTED_VALUE"""),"годен до 26.02.2025")</f>
        <v>годен до 26.02.2025</v>
      </c>
      <c r="F903" s="1" t="str">
        <f ca="1">IFERROR(__xludf.DUMMYFUNCTION("""COMPUTED_VALUE"""),"Бандаж универсальный 4011 M/L (Болгария) - 0220058KZ58")</f>
        <v>Бандаж универсальный 4011 M/L (Болгария) - 0220058KZ58</v>
      </c>
      <c r="G903" s="1" t="str">
        <f ca="1">IFERROR(__xludf.DUMMYFUNCTION("""COMPUTED_VALUE"""),"KZ.7700.02.01.00637907 / Действителен до 26.02.2025 / 0220058KZ58 / годен до 26.02.2025")</f>
        <v>KZ.7700.02.01.00637907 / Действителен до 26.02.2025 / 0220058KZ58 / годен до 26.02.2025</v>
      </c>
      <c r="H903" s="1" t="str">
        <f ca="1">IFERROR(__xludf.DUMMYFUNCTION("""COMPUTED_VALUE"""),"Бандаж универсальный 4011 M/L (Болгария) KZ.7700.02.01.00637907 / Действителен до 26.02.2025 / 0220058KZ58 / годен до 26.02.2025")</f>
        <v>Бандаж универсальный 4011 M/L (Болгария) KZ.7700.02.01.00637907 / Действителен до 26.02.2025 / 0220058KZ58 / годен до 26.02.2025</v>
      </c>
    </row>
    <row r="904" spans="1:8" ht="12.75" x14ac:dyDescent="0.2">
      <c r="A904" s="1" t="str">
        <f ca="1">IFERROR(__xludf.DUMMYFUNCTION("""COMPUTED_VALUE"""),"Бандаж универсальный 4011 XL/XXL (Болгария)")</f>
        <v>Бандаж универсальный 4011 XL/XXL (Болгария)</v>
      </c>
      <c r="B904" s="1" t="str">
        <f ca="1">IFERROR(__xludf.DUMMYFUNCTION("""COMPUTED_VALUE"""),"KZ.7700.02.01.00637908")</f>
        <v>KZ.7700.02.01.00637908</v>
      </c>
      <c r="C904" s="1" t="str">
        <f ca="1">IFERROR(__xludf.DUMMYFUNCTION("""COMPUTED_VALUE"""),"Действителен до 26.02.2025")</f>
        <v>Действителен до 26.02.2025</v>
      </c>
      <c r="D904" s="8" t="str">
        <f ca="1">IFERROR(__xludf.DUMMYFUNCTION("""COMPUTED_VALUE"""),"0220058KZ58")</f>
        <v>0220058KZ58</v>
      </c>
      <c r="E904" s="1" t="str">
        <f ca="1">IFERROR(__xludf.DUMMYFUNCTION("""COMPUTED_VALUE"""),"годен до 26.02.2025")</f>
        <v>годен до 26.02.2025</v>
      </c>
      <c r="F904" s="1" t="str">
        <f ca="1">IFERROR(__xludf.DUMMYFUNCTION("""COMPUTED_VALUE"""),"Бандаж универсальный 4011 XL/XXL (Болгария) - 0220058KZ58")</f>
        <v>Бандаж универсальный 4011 XL/XXL (Болгария) - 0220058KZ58</v>
      </c>
      <c r="G904" s="1" t="str">
        <f ca="1">IFERROR(__xludf.DUMMYFUNCTION("""COMPUTED_VALUE"""),"KZ.7700.02.01.00637908 / Действителен до 26.02.2025 / 0220058KZ58 / годен до 26.02.2025")</f>
        <v>KZ.7700.02.01.00637908 / Действителен до 26.02.2025 / 0220058KZ58 / годен до 26.02.2025</v>
      </c>
      <c r="H904" s="1" t="str">
        <f ca="1">IFERROR(__xludf.DUMMYFUNCTION("""COMPUTED_VALUE"""),"Бандаж универсальный 4011 XL/XXL (Болгария) KZ.7700.02.01.00637908 / Действителен до 26.02.2025 / 0220058KZ58 / годен до 26.02.2025")</f>
        <v>Бандаж универсальный 4011 XL/XXL (Болгария) KZ.7700.02.01.00637908 / Действителен до 26.02.2025 / 0220058KZ58 / годен до 26.02.2025</v>
      </c>
    </row>
    <row r="905" spans="1:8" ht="12.75" x14ac:dyDescent="0.2">
      <c r="A905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905" s="1" t="str">
        <f ca="1">IFERROR(__xludf.DUMMYFUNCTION("""COMPUTED_VALUE"""),"KZ.7700.02.01.00637920")</f>
        <v>KZ.7700.02.01.00637920</v>
      </c>
      <c r="C905" s="1" t="str">
        <f ca="1">IFERROR(__xludf.DUMMYFUNCTION("""COMPUTED_VALUE"""),"Действителен до 26.02.2025")</f>
        <v>Действителен до 26.02.2025</v>
      </c>
      <c r="D905" s="8" t="str">
        <f ca="1">IFERROR(__xludf.DUMMYFUNCTION("""COMPUTED_VALUE"""),"0220058KZ58")</f>
        <v>0220058KZ58</v>
      </c>
      <c r="E905" s="1" t="str">
        <f ca="1">IFERROR(__xludf.DUMMYFUNCTION("""COMPUTED_VALUE"""),"годен до 26.02.2025")</f>
        <v>годен до 26.02.2025</v>
      </c>
      <c r="F905" s="1" t="str">
        <f ca="1">IFERROR(__xludf.DUMMYFUNCTION("""COMPUTED_VALUE"""),"Бандаж универсальный 4011 XXXL/XXXXL (Болгария) - 0220058KZ58")</f>
        <v>Бандаж универсальный 4011 XXXL/XXXXL (Болгария) - 0220058KZ58</v>
      </c>
      <c r="G905" s="1" t="str">
        <f ca="1">IFERROR(__xludf.DUMMYFUNCTION("""COMPUTED_VALUE"""),"KZ.7700.02.01.00637920 / Действителен до 26.02.2025 / 0220058KZ58 / годен до 26.02.2025")</f>
        <v>KZ.7700.02.01.00637920 / Действителен до 26.02.2025 / 0220058KZ58 / годен до 26.02.2025</v>
      </c>
      <c r="H905" s="1" t="str">
        <f ca="1">IFERROR(__xludf.DUMMYFUNCTION("""COMPUTED_VALUE"""),"Бандаж универсальный 4011 XXXL/XXXXL (Болгария) KZ.7700.02.01.00637920 / Действителен до 26.02.2025 / 0220058KZ58 / годен до 26.02.2025")</f>
        <v>Бандаж универсальный 4011 XXXL/XXXXL (Болгария) KZ.7700.02.01.00637920 / Действителен до 26.02.2025 / 0220058KZ58 / годен до 26.02.2025</v>
      </c>
    </row>
    <row r="906" spans="1:8" ht="12.75" x14ac:dyDescent="0.2">
      <c r="A906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906" s="1" t="str">
        <f ca="1">IFERROR(__xludf.DUMMYFUNCTION("""COMPUTED_VALUE"""),"KZ.7700.02.01.00637921")</f>
        <v>KZ.7700.02.01.00637921</v>
      </c>
      <c r="C906" s="1" t="str">
        <f ca="1">IFERROR(__xludf.DUMMYFUNCTION("""COMPUTED_VALUE"""),"Действителен до 26.02.2025")</f>
        <v>Действителен до 26.02.2025</v>
      </c>
      <c r="D906" s="8" t="str">
        <f ca="1">IFERROR(__xludf.DUMMYFUNCTION("""COMPUTED_VALUE"""),"0220058KZ58")</f>
        <v>0220058KZ58</v>
      </c>
      <c r="E906" s="1" t="str">
        <f ca="1">IFERROR(__xludf.DUMMYFUNCTION("""COMPUTED_VALUE"""),"годен до 26.02.2025")</f>
        <v>годен до 26.02.2025</v>
      </c>
      <c r="F906" s="1" t="str">
        <f ca="1">IFERROR(__xludf.DUMMYFUNCTION("""COMPUTED_VALUE"""),"Бандаж грыжевой лево-и правосторонний 5001 XL/XXL (Болгария) - 0220058KZ58")</f>
        <v>Бандаж грыжевой лево-и правосторонний 5001 XL/XXL (Болгария) - 0220058KZ58</v>
      </c>
      <c r="G906" s="1" t="str">
        <f ca="1">IFERROR(__xludf.DUMMYFUNCTION("""COMPUTED_VALUE"""),"KZ.7700.02.01.00637921 / Действителен до 26.02.2025 / 0220058KZ58 / годен до 26.02.2025")</f>
        <v>KZ.7700.02.01.00637921 / Действителен до 26.02.2025 / 0220058KZ58 / годен до 26.02.2025</v>
      </c>
      <c r="H906" s="1" t="str">
        <f ca="1">IFERROR(__xludf.DUMMYFUNCTION("""COMPUTED_VALUE"""),"Бандаж грыжевой лево-и правосторонний 5001 XL/XXL (Болгария) KZ.7700.02.01.00637921 / Действителен до 26.02.2025 / 0220058KZ58 / годен до 26.02.2025")</f>
        <v>Бандаж грыжевой лево-и правосторонний 5001 XL/XXL (Болгария) KZ.7700.02.01.00637921 / Действителен до 26.02.2025 / 0220058KZ58 / годен до 26.02.2025</v>
      </c>
    </row>
    <row r="907" spans="1:8" ht="12.75" x14ac:dyDescent="0.2">
      <c r="A907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907" s="1" t="str">
        <f ca="1">IFERROR(__xludf.DUMMYFUNCTION("""COMPUTED_VALUE"""),"KZ.7700.02.01.00637922")</f>
        <v>KZ.7700.02.01.00637922</v>
      </c>
      <c r="C907" s="1" t="str">
        <f ca="1">IFERROR(__xludf.DUMMYFUNCTION("""COMPUTED_VALUE"""),"Действителен до 26.02.2025")</f>
        <v>Действителен до 26.02.2025</v>
      </c>
      <c r="D907" s="8" t="str">
        <f ca="1">IFERROR(__xludf.DUMMYFUNCTION("""COMPUTED_VALUE"""),"0220058KZ58")</f>
        <v>0220058KZ58</v>
      </c>
      <c r="E907" s="1" t="str">
        <f ca="1">IFERROR(__xludf.DUMMYFUNCTION("""COMPUTED_VALUE"""),"годен до 26.02.2025")</f>
        <v>годен до 26.02.2025</v>
      </c>
      <c r="F907" s="1" t="str">
        <f ca="1">IFERROR(__xludf.DUMMYFUNCTION("""COMPUTED_VALUE"""),"Бандаж при пупочной грыже 5051 M/L (Болгария) - 0220058KZ58")</f>
        <v>Бандаж при пупочной грыже 5051 M/L (Болгария) - 0220058KZ58</v>
      </c>
      <c r="G907" s="1" t="str">
        <f ca="1">IFERROR(__xludf.DUMMYFUNCTION("""COMPUTED_VALUE"""),"KZ.7700.02.01.00637922 / Действителен до 26.02.2025 / 0220058KZ58 / годен до 26.02.2025")</f>
        <v>KZ.7700.02.01.00637922 / Действителен до 26.02.2025 / 0220058KZ58 / годен до 26.02.2025</v>
      </c>
      <c r="H907" s="1" t="str">
        <f ca="1">IFERROR(__xludf.DUMMYFUNCTION("""COMPUTED_VALUE"""),"Бандаж при пупочной грыже 5051 M/L (Болгария) KZ.7700.02.01.00637922 / Действителен до 26.02.2025 / 0220058KZ58 / годен до 26.02.2025")</f>
        <v>Бандаж при пупочной грыже 5051 M/L (Болгария) KZ.7700.02.01.00637922 / Действителен до 26.02.2025 / 0220058KZ58 / годен до 26.02.2025</v>
      </c>
    </row>
    <row r="908" spans="1:8" ht="12.75" x14ac:dyDescent="0.2">
      <c r="A908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908" s="1" t="str">
        <f ca="1">IFERROR(__xludf.DUMMYFUNCTION("""COMPUTED_VALUE"""),"KZ.7700.02.01.00637970")</f>
        <v>KZ.7700.02.01.00637970</v>
      </c>
      <c r="C908" s="1" t="str">
        <f ca="1">IFERROR(__xludf.DUMMYFUNCTION("""COMPUTED_VALUE"""),"Действителен до 26.02.2025")</f>
        <v>Действителен до 26.02.2025</v>
      </c>
      <c r="D908" s="8" t="str">
        <f ca="1">IFERROR(__xludf.DUMMYFUNCTION("""COMPUTED_VALUE"""),"0220058KZ58")</f>
        <v>0220058KZ58</v>
      </c>
      <c r="E908" s="1" t="str">
        <f ca="1">IFERROR(__xludf.DUMMYFUNCTION("""COMPUTED_VALUE"""),"годен до 26.02.2025")</f>
        <v>годен до 26.02.2025</v>
      </c>
      <c r="F908" s="1" t="str">
        <f ca="1">IFERROR(__xludf.DUMMYFUNCTION("""COMPUTED_VALUE"""),"Бандаж при пупочной грыже 5051 XL/XXL (Болгария) - 0220058KZ58")</f>
        <v>Бандаж при пупочной грыже 5051 XL/XXL (Болгария) - 0220058KZ58</v>
      </c>
      <c r="G908" s="1" t="str">
        <f ca="1">IFERROR(__xludf.DUMMYFUNCTION("""COMPUTED_VALUE"""),"KZ.7700.02.01.00637970 / Действителен до 26.02.2025 / 0220058KZ58 / годен до 26.02.2025")</f>
        <v>KZ.7700.02.01.00637970 / Действителен до 26.02.2025 / 0220058KZ58 / годен до 26.02.2025</v>
      </c>
      <c r="H908" s="1" t="str">
        <f ca="1">IFERROR(__xludf.DUMMYFUNCTION("""COMPUTED_VALUE"""),"Бандаж при пупочной грыже 5051 XL/XXL (Болгария) KZ.7700.02.01.00637970 / Действителен до 26.02.2025 / 0220058KZ58 / годен до 26.02.2025")</f>
        <v>Бандаж при пупочной грыже 5051 XL/XXL (Болгария) KZ.7700.02.01.00637970 / Действителен до 26.02.2025 / 0220058KZ58 / годен до 26.02.2025</v>
      </c>
    </row>
    <row r="909" spans="1:8" ht="12.75" x14ac:dyDescent="0.2">
      <c r="A909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909" s="1" t="str">
        <f ca="1">IFERROR(__xludf.DUMMYFUNCTION("""COMPUTED_VALUE"""),"KZ.7700.02.01.00637971")</f>
        <v>KZ.7700.02.01.00637971</v>
      </c>
      <c r="C909" s="1" t="str">
        <f ca="1">IFERROR(__xludf.DUMMYFUNCTION("""COMPUTED_VALUE"""),"Действителен до 26.02.2025")</f>
        <v>Действителен до 26.02.2025</v>
      </c>
      <c r="D909" s="8" t="str">
        <f ca="1">IFERROR(__xludf.DUMMYFUNCTION("""COMPUTED_VALUE"""),"0220058KZ58")</f>
        <v>0220058KZ58</v>
      </c>
      <c r="E909" s="1" t="str">
        <f ca="1">IFERROR(__xludf.DUMMYFUNCTION("""COMPUTED_VALUE"""),"годен до 26.02.2025")</f>
        <v>годен до 26.02.2025</v>
      </c>
      <c r="F909" s="1" t="str">
        <f ca="1">IFERROR(__xludf.DUMMYFUNCTION("""COMPUTED_VALUE"""),"Бандаж при пупочной грыже 5051 XXXL/XXXXL (Болгария) - 0220058KZ58")</f>
        <v>Бандаж при пупочной грыже 5051 XXXL/XXXXL (Болгария) - 0220058KZ58</v>
      </c>
      <c r="G909" s="1" t="str">
        <f ca="1">IFERROR(__xludf.DUMMYFUNCTION("""COMPUTED_VALUE"""),"KZ.7700.02.01.00637971 / Действителен до 26.02.2025 / 0220058KZ58 / годен до 26.02.2025")</f>
        <v>KZ.7700.02.01.00637971 / Действителен до 26.02.2025 / 0220058KZ58 / годен до 26.02.2025</v>
      </c>
      <c r="H909" s="1" t="str">
        <f ca="1">IFERROR(__xludf.DUMMYFUNCTION("""COMPUTED_VALUE"""),"Бандаж при пупочной грыже 5051 XXXL/XXXXL (Болгария) KZ.7700.02.01.00637971 / Действителен до 26.02.2025 / 0220058KZ58 / годен до 26.02.2025")</f>
        <v>Бандаж при пупочной грыже 5051 XXXL/XXXXL (Болгария) KZ.7700.02.01.00637971 / Действителен до 26.02.2025 / 0220058KZ58 / годен до 26.02.2025</v>
      </c>
    </row>
    <row r="910" spans="1:8" ht="12.75" x14ac:dyDescent="0.2">
      <c r="A910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910" s="1" t="str">
        <f ca="1">IFERROR(__xludf.DUMMYFUNCTION("""COMPUTED_VALUE"""),"KZ.7700.02.01.00637992")</f>
        <v>KZ.7700.02.01.00637992</v>
      </c>
      <c r="C910" s="1" t="str">
        <f ca="1">IFERROR(__xludf.DUMMYFUNCTION("""COMPUTED_VALUE"""),"Действителен до 26.02.2025")</f>
        <v>Действителен до 26.02.2025</v>
      </c>
      <c r="D910" s="8" t="str">
        <f ca="1">IFERROR(__xludf.DUMMYFUNCTION("""COMPUTED_VALUE"""),"0220058KZ58")</f>
        <v>0220058KZ58</v>
      </c>
      <c r="E910" s="1" t="str">
        <f ca="1">IFERROR(__xludf.DUMMYFUNCTION("""COMPUTED_VALUE"""),"годен до 26.02.2025")</f>
        <v>годен до 26.02.2025</v>
      </c>
      <c r="F910" s="1" t="str">
        <f ca="1">IFERROR(__xludf.DUMMYFUNCTION("""COMPUTED_VALUE"""),"Бандаж на коленный сустав эластичный 6040 L (Болгария) - 0220058KZ58")</f>
        <v>Бандаж на коленный сустав эластичный 6040 L (Болгария) - 0220058KZ58</v>
      </c>
      <c r="G910" s="1" t="str">
        <f ca="1">IFERROR(__xludf.DUMMYFUNCTION("""COMPUTED_VALUE"""),"KZ.7700.02.01.00637992 / Действителен до 26.02.2025 / 0220058KZ58 / годен до 26.02.2025")</f>
        <v>KZ.7700.02.01.00637992 / Действителен до 26.02.2025 / 0220058KZ58 / годен до 26.02.2025</v>
      </c>
      <c r="H910" s="1" t="str">
        <f ca="1">IFERROR(__xludf.DUMMYFUNCTION("""COMPUTED_VALUE"""),"Бандаж на коленный сустав эластичный 6040 L (Болгария) KZ.7700.02.01.00637992 / Действителен до 26.02.2025 / 0220058KZ58 / годен до 26.02.2025")</f>
        <v>Бандаж на коленный сустав эластичный 6040 L (Болгария) KZ.7700.02.01.00637992 / Действителен до 26.02.2025 / 0220058KZ58 / годен до 26.02.2025</v>
      </c>
    </row>
    <row r="911" spans="1:8" ht="12.75" x14ac:dyDescent="0.2">
      <c r="A911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911" s="1" t="str">
        <f ca="1">IFERROR(__xludf.DUMMYFUNCTION("""COMPUTED_VALUE"""),"KZ.7700.02.01.00637991")</f>
        <v>KZ.7700.02.01.00637991</v>
      </c>
      <c r="C911" s="1" t="str">
        <f ca="1">IFERROR(__xludf.DUMMYFUNCTION("""COMPUTED_VALUE"""),"Действителен до 26.02.2025")</f>
        <v>Действителен до 26.02.2025</v>
      </c>
      <c r="D911" s="8" t="str">
        <f ca="1">IFERROR(__xludf.DUMMYFUNCTION("""COMPUTED_VALUE"""),"0220058KZ58")</f>
        <v>0220058KZ58</v>
      </c>
      <c r="E911" s="1" t="str">
        <f ca="1">IFERROR(__xludf.DUMMYFUNCTION("""COMPUTED_VALUE"""),"годен до 26.02.2025")</f>
        <v>годен до 26.02.2025</v>
      </c>
      <c r="F911" s="1" t="str">
        <f ca="1">IFERROR(__xludf.DUMMYFUNCTION("""COMPUTED_VALUE"""),"Бандаж на коленный сустав эластичный 6040 M (Болгария) - 0220058KZ58")</f>
        <v>Бандаж на коленный сустав эластичный 6040 M (Болгария) - 0220058KZ58</v>
      </c>
      <c r="G911" s="1" t="str">
        <f ca="1">IFERROR(__xludf.DUMMYFUNCTION("""COMPUTED_VALUE"""),"KZ.7700.02.01.00637991 / Действителен до 26.02.2025 / 0220058KZ58 / годен до 26.02.2025")</f>
        <v>KZ.7700.02.01.00637991 / Действителен до 26.02.2025 / 0220058KZ58 / годен до 26.02.2025</v>
      </c>
      <c r="H911" s="1" t="str">
        <f ca="1">IFERROR(__xludf.DUMMYFUNCTION("""COMPUTED_VALUE"""),"Бандаж на коленный сустав эластичный 6040 M (Болгария) KZ.7700.02.01.00637991 / Действителен до 26.02.2025 / 0220058KZ58 / годен до 26.02.2025")</f>
        <v>Бандаж на коленный сустав эластичный 6040 M (Болгария) KZ.7700.02.01.00637991 / Действителен до 26.02.2025 / 0220058KZ58 / годен до 26.02.2025</v>
      </c>
    </row>
    <row r="912" spans="1:8" ht="12.75" x14ac:dyDescent="0.2">
      <c r="A912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912" s="1" t="str">
        <f ca="1">IFERROR(__xludf.DUMMYFUNCTION("""COMPUTED_VALUE"""),"KZ.7700.02.01.00637990")</f>
        <v>KZ.7700.02.01.00637990</v>
      </c>
      <c r="C912" s="1" t="str">
        <f ca="1">IFERROR(__xludf.DUMMYFUNCTION("""COMPUTED_VALUE"""),"Действителен до 26.02.2025")</f>
        <v>Действителен до 26.02.2025</v>
      </c>
      <c r="D912" s="8" t="str">
        <f ca="1">IFERROR(__xludf.DUMMYFUNCTION("""COMPUTED_VALUE"""),"0220058KZ58")</f>
        <v>0220058KZ58</v>
      </c>
      <c r="E912" s="1" t="str">
        <f ca="1">IFERROR(__xludf.DUMMYFUNCTION("""COMPUTED_VALUE"""),"годен до 26.02.2025")</f>
        <v>годен до 26.02.2025</v>
      </c>
      <c r="F912" s="1" t="str">
        <f ca="1">IFERROR(__xludf.DUMMYFUNCTION("""COMPUTED_VALUE"""),"Бандаж на коленный сустав эластичный 6040 S (Болгария) - 0220058KZ58")</f>
        <v>Бандаж на коленный сустав эластичный 6040 S (Болгария) - 0220058KZ58</v>
      </c>
      <c r="G912" s="1" t="str">
        <f ca="1">IFERROR(__xludf.DUMMYFUNCTION("""COMPUTED_VALUE"""),"KZ.7700.02.01.00637990 / Действителен до 26.02.2025 / 0220058KZ58 / годен до 26.02.2025")</f>
        <v>KZ.7700.02.01.00637990 / Действителен до 26.02.2025 / 0220058KZ58 / годен до 26.02.2025</v>
      </c>
      <c r="H912" s="1" t="str">
        <f ca="1">IFERROR(__xludf.DUMMYFUNCTION("""COMPUTED_VALUE"""),"Бандаж на коленный сустав эластичный 6040 S (Болгария) KZ.7700.02.01.00637990 / Действителен до 26.02.2025 / 0220058KZ58 / годен до 26.02.2025")</f>
        <v>Бандаж на коленный сустав эластичный 6040 S (Болгария) KZ.7700.02.01.00637990 / Действителен до 26.02.2025 / 0220058KZ58 / годен до 26.02.2025</v>
      </c>
    </row>
    <row r="913" spans="1:8" ht="12.75" x14ac:dyDescent="0.2">
      <c r="A913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913" s="1" t="str">
        <f ca="1">IFERROR(__xludf.DUMMYFUNCTION("""COMPUTED_VALUE"""),"KZ.7700.02.01.00637993")</f>
        <v>KZ.7700.02.01.00637993</v>
      </c>
      <c r="C913" s="1" t="str">
        <f ca="1">IFERROR(__xludf.DUMMYFUNCTION("""COMPUTED_VALUE"""),"Действителен до 26.02.2025")</f>
        <v>Действителен до 26.02.2025</v>
      </c>
      <c r="D913" s="8" t="str">
        <f ca="1">IFERROR(__xludf.DUMMYFUNCTION("""COMPUTED_VALUE"""),"0220058KZ58")</f>
        <v>0220058KZ58</v>
      </c>
      <c r="E913" s="1" t="str">
        <f ca="1">IFERROR(__xludf.DUMMYFUNCTION("""COMPUTED_VALUE"""),"годен до 26.02.2025")</f>
        <v>годен до 26.02.2025</v>
      </c>
      <c r="F913" s="1" t="str">
        <f ca="1">IFERROR(__xludf.DUMMYFUNCTION("""COMPUTED_VALUE"""),"Бандаж на коленный сустав эластичный 6040 XL (Болгария) - 0220058KZ58")</f>
        <v>Бандаж на коленный сустав эластичный 6040 XL (Болгария) - 0220058KZ58</v>
      </c>
      <c r="G913" s="1" t="str">
        <f ca="1">IFERROR(__xludf.DUMMYFUNCTION("""COMPUTED_VALUE"""),"KZ.7700.02.01.00637993 / Действителен до 26.02.2025 / 0220058KZ58 / годен до 26.02.2025")</f>
        <v>KZ.7700.02.01.00637993 / Действителен до 26.02.2025 / 0220058KZ58 / годен до 26.02.2025</v>
      </c>
      <c r="H913" s="1" t="str">
        <f ca="1">IFERROR(__xludf.DUMMYFUNCTION("""COMPUTED_VALUE"""),"Бандаж на коленный сустав эластичный 6040 XL (Болгария) KZ.7700.02.01.00637993 / Действителен до 26.02.2025 / 0220058KZ58 / годен до 26.02.2025")</f>
        <v>Бандаж на коленный сустав эластичный 6040 XL (Болгария) KZ.7700.02.01.00637993 / Действителен до 26.02.2025 / 0220058KZ58 / годен до 26.02.2025</v>
      </c>
    </row>
    <row r="914" spans="1:8" ht="12.75" x14ac:dyDescent="0.2">
      <c r="A914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914" s="1" t="str">
        <f ca="1">IFERROR(__xludf.DUMMYFUNCTION("""COMPUTED_VALUE"""),"KZ.7700.02.01.00637973")</f>
        <v>KZ.7700.02.01.00637973</v>
      </c>
      <c r="C914" s="1" t="str">
        <f ca="1">IFERROR(__xludf.DUMMYFUNCTION("""COMPUTED_VALUE"""),"Действителен до 26.02.2025")</f>
        <v>Действителен до 26.02.2025</v>
      </c>
      <c r="D914" s="8" t="str">
        <f ca="1">IFERROR(__xludf.DUMMYFUNCTION("""COMPUTED_VALUE"""),"0220058KZ58")</f>
        <v>0220058KZ58</v>
      </c>
      <c r="E914" s="1" t="str">
        <f ca="1">IFERROR(__xludf.DUMMYFUNCTION("""COMPUTED_VALUE"""),"годен до 26.02.2025")</f>
        <v>годен до 26.02.2025</v>
      </c>
      <c r="F914" s="1" t="str">
        <f ca="1">IFERROR(__xludf.DUMMYFUNCTION("""COMPUTED_VALUE"""),"Бандаж на коленный сустав разъемный 6058 L\XL (Болгария) - 0220058KZ58")</f>
        <v>Бандаж на коленный сустав разъемный 6058 L\XL (Болгария) - 0220058KZ58</v>
      </c>
      <c r="G914" s="1" t="str">
        <f ca="1">IFERROR(__xludf.DUMMYFUNCTION("""COMPUTED_VALUE"""),"KZ.7700.02.01.00637973 / Действителен до 26.02.2025 / 0220058KZ58 / годен до 26.02.2025")</f>
        <v>KZ.7700.02.01.00637973 / Действителен до 26.02.2025 / 0220058KZ58 / годен до 26.02.2025</v>
      </c>
      <c r="H914" s="1" t="str">
        <f ca="1">IFERROR(__xludf.DUMMYFUNCTION("""COMPUTED_VALUE"""),"Бандаж на коленный сустав разъемный 6058 L\XL (Болгария) KZ.7700.02.01.00637973 / Действителен до 26.02.2025 / 0220058KZ58 / годен до 26.02.2025")</f>
        <v>Бандаж на коленный сустав разъемный 6058 L\XL (Болгария) KZ.7700.02.01.00637973 / Действителен до 26.02.2025 / 0220058KZ58 / годен до 26.02.2025</v>
      </c>
    </row>
    <row r="915" spans="1:8" ht="12.75" x14ac:dyDescent="0.2">
      <c r="A915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915" s="1" t="str">
        <f ca="1">IFERROR(__xludf.DUMMYFUNCTION("""COMPUTED_VALUE"""),"KZ.7700.02.01.00637972")</f>
        <v>KZ.7700.02.01.00637972</v>
      </c>
      <c r="C915" s="1" t="str">
        <f ca="1">IFERROR(__xludf.DUMMYFUNCTION("""COMPUTED_VALUE"""),"Действителен до 26.02.2025")</f>
        <v>Действителен до 26.02.2025</v>
      </c>
      <c r="D915" s="8" t="str">
        <f ca="1">IFERROR(__xludf.DUMMYFUNCTION("""COMPUTED_VALUE"""),"0220058KZ58")</f>
        <v>0220058KZ58</v>
      </c>
      <c r="E915" s="1" t="str">
        <f ca="1">IFERROR(__xludf.DUMMYFUNCTION("""COMPUTED_VALUE"""),"годен до 26.02.2025")</f>
        <v>годен до 26.02.2025</v>
      </c>
      <c r="F915" s="1" t="str">
        <f ca="1">IFERROR(__xludf.DUMMYFUNCTION("""COMPUTED_VALUE"""),"Бандаж на коленный сустав разъемный 6058 S\M (Болгария) - 0220058KZ58")</f>
        <v>Бандаж на коленный сустав разъемный 6058 S\M (Болгария) - 0220058KZ58</v>
      </c>
      <c r="G915" s="1" t="str">
        <f ca="1">IFERROR(__xludf.DUMMYFUNCTION("""COMPUTED_VALUE"""),"KZ.7700.02.01.00637972 / Действителен до 26.02.2025 / 0220058KZ58 / годен до 26.02.2025")</f>
        <v>KZ.7700.02.01.00637972 / Действителен до 26.02.2025 / 0220058KZ58 / годен до 26.02.2025</v>
      </c>
      <c r="H915" s="1" t="str">
        <f ca="1">IFERROR(__xludf.DUMMYFUNCTION("""COMPUTED_VALUE"""),"Бандаж на коленный сустав разъемный 6058 S\M (Болгария) KZ.7700.02.01.00637972 / Действителен до 26.02.2025 / 0220058KZ58 / годен до 26.02.2025")</f>
        <v>Бандаж на коленный сустав разъемный 6058 S\M (Болгария) KZ.7700.02.01.00637972 / Действителен до 26.02.2025 / 0220058KZ58 / годен до 26.02.2025</v>
      </c>
    </row>
    <row r="916" spans="1:8" ht="12.75" x14ac:dyDescent="0.2">
      <c r="A916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916" s="1" t="str">
        <f ca="1">IFERROR(__xludf.DUMMYFUNCTION("""COMPUTED_VALUE"""),"KZ.7700.02.01.00637974")</f>
        <v>KZ.7700.02.01.00637974</v>
      </c>
      <c r="C916" s="1" t="str">
        <f ca="1">IFERROR(__xludf.DUMMYFUNCTION("""COMPUTED_VALUE"""),"Действителен до 26.02.2025")</f>
        <v>Действителен до 26.02.2025</v>
      </c>
      <c r="D916" s="8" t="str">
        <f ca="1">IFERROR(__xludf.DUMMYFUNCTION("""COMPUTED_VALUE"""),"0220058KZ58")</f>
        <v>0220058KZ58</v>
      </c>
      <c r="E916" s="1" t="str">
        <f ca="1">IFERROR(__xludf.DUMMYFUNCTION("""COMPUTED_VALUE"""),"годен до 26.02.2025")</f>
        <v>годен до 26.02.2025</v>
      </c>
      <c r="F916" s="1" t="str">
        <f ca="1">IFERROR(__xludf.DUMMYFUNCTION("""COMPUTED_VALUE"""),"Бандаж на коленный сустав разъемный 6058 XXL (Болгария) - 0220058KZ58")</f>
        <v>Бандаж на коленный сустав разъемный 6058 XXL (Болгария) - 0220058KZ58</v>
      </c>
      <c r="G916" s="1" t="str">
        <f ca="1">IFERROR(__xludf.DUMMYFUNCTION("""COMPUTED_VALUE"""),"KZ.7700.02.01.00637974 / Действителен до 26.02.2025 / 0220058KZ58 / годен до 26.02.2025")</f>
        <v>KZ.7700.02.01.00637974 / Действителен до 26.02.2025 / 0220058KZ58 / годен до 26.02.2025</v>
      </c>
      <c r="H916" s="1" t="str">
        <f ca="1">IFERROR(__xludf.DUMMYFUNCTION("""COMPUTED_VALUE"""),"Бандаж на коленный сустав разъемный 6058 XXL (Болгария) KZ.7700.02.01.00637974 / Действителен до 26.02.2025 / 0220058KZ58 / годен до 26.02.2025")</f>
        <v>Бандаж на коленный сустав разъемный 6058 XXL (Болгария) KZ.7700.02.01.00637974 / Действителен до 26.02.2025 / 0220058KZ58 / годен до 26.02.2025</v>
      </c>
    </row>
    <row r="917" spans="1:8" ht="12.75" x14ac:dyDescent="0.2">
      <c r="A917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917" s="1" t="str">
        <f ca="1">IFERROR(__xludf.DUMMYFUNCTION("""COMPUTED_VALUE"""),"KZ.7700.02.01.00637976")</f>
        <v>KZ.7700.02.01.00637976</v>
      </c>
      <c r="C917" s="1" t="str">
        <f ca="1">IFERROR(__xludf.DUMMYFUNCTION("""COMPUTED_VALUE"""),"Действителен до 26.02.2025")</f>
        <v>Действителен до 26.02.2025</v>
      </c>
      <c r="D917" s="8" t="str">
        <f ca="1">IFERROR(__xludf.DUMMYFUNCTION("""COMPUTED_VALUE"""),"0220058KZ58")</f>
        <v>0220058KZ58</v>
      </c>
      <c r="E917" s="1" t="str">
        <f ca="1">IFERROR(__xludf.DUMMYFUNCTION("""COMPUTED_VALUE"""),"годен до 26.02.2025")</f>
        <v>годен до 26.02.2025</v>
      </c>
      <c r="F917" s="1" t="str">
        <f ca="1">IFERROR(__xludf.DUMMYFUNCTION("""COMPUTED_VALUE"""),"Бандаж на голеностопный сустав легкой фиксации 7034 L (бежевый) (Болгария) - 0220058KZ58")</f>
        <v>Бандаж на голеностопный сустав легкой фиксации 7034 L (бежевый) (Болгария) - 0220058KZ58</v>
      </c>
      <c r="G917" s="1" t="str">
        <f ca="1">IFERROR(__xludf.DUMMYFUNCTION("""COMPUTED_VALUE"""),"KZ.7700.02.01.00637976 / Действителен до 26.02.2025 / 0220058KZ58 / годен до 26.02.2025")</f>
        <v>KZ.7700.02.01.00637976 / Действителен до 26.02.2025 / 0220058KZ58 / годен до 26.02.2025</v>
      </c>
      <c r="H917" s="1" t="str">
        <f ca="1">IFERROR(__xludf.DUMMYFUNCTION("""COMPUTED_VALUE"""),"Бандаж на голеностопный сустав легкой фиксации 7034 L (бежевый) (Болгария) KZ.7700.02.01.00637976 / Действителен до 26.02.2025 / 0220058KZ58 / годен до 26.02.2025")</f>
        <v>Бандаж на голеностопный сустав легкой фиксации 7034 L (бежевый) (Болгария) KZ.7700.02.01.00637976 / Действителен до 26.02.2025 / 0220058KZ58 / годен до 26.02.2025</v>
      </c>
    </row>
    <row r="918" spans="1:8" ht="12.75" x14ac:dyDescent="0.2">
      <c r="A918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918" s="1" t="str">
        <f ca="1">IFERROR(__xludf.DUMMYFUNCTION("""COMPUTED_VALUE"""),"KZ.7700.02.01.00637975")</f>
        <v>KZ.7700.02.01.00637975</v>
      </c>
      <c r="C918" s="1" t="str">
        <f ca="1">IFERROR(__xludf.DUMMYFUNCTION("""COMPUTED_VALUE"""),"Действителен до 26.02.2025")</f>
        <v>Действителен до 26.02.2025</v>
      </c>
      <c r="D918" s="8" t="str">
        <f ca="1">IFERROR(__xludf.DUMMYFUNCTION("""COMPUTED_VALUE"""),"0220058KZ58")</f>
        <v>0220058KZ58</v>
      </c>
      <c r="E918" s="1" t="str">
        <f ca="1">IFERROR(__xludf.DUMMYFUNCTION("""COMPUTED_VALUE"""),"годен до 26.02.2025")</f>
        <v>годен до 26.02.2025</v>
      </c>
      <c r="F918" s="1" t="str">
        <f ca="1">IFERROR(__xludf.DUMMYFUNCTION("""COMPUTED_VALUE"""),"Бандаж на голеностопный сустав легкой фиксации 7034 M (бежевый) (Болгария) - 0220058KZ58")</f>
        <v>Бандаж на голеностопный сустав легкой фиксации 7034 M (бежевый) (Болгария) - 0220058KZ58</v>
      </c>
      <c r="G918" s="1" t="str">
        <f ca="1">IFERROR(__xludf.DUMMYFUNCTION("""COMPUTED_VALUE"""),"KZ.7700.02.01.00637975 / Действителен до 26.02.2025 / 0220058KZ58 / годен до 26.02.2025")</f>
        <v>KZ.7700.02.01.00637975 / Действителен до 26.02.2025 / 0220058KZ58 / годен до 26.02.2025</v>
      </c>
      <c r="H918" s="1" t="str">
        <f ca="1">IFERROR(__xludf.DUMMYFUNCTION("""COMPUTED_VALUE"""),"Бандаж на голеностопный сустав легкой фиксации 7034 M (бежевый) (Болгария) KZ.7700.02.01.00637975 / Действителен до 26.02.2025 / 0220058KZ58 / годен до 26.02.2025")</f>
        <v>Бандаж на голеностопный сустав легкой фиксации 7034 M (бежевый) (Болгария) KZ.7700.02.01.00637975 / Действителен до 26.02.2025 / 0220058KZ58 / годен до 26.02.2025</v>
      </c>
    </row>
    <row r="919" spans="1:8" ht="12.75" x14ac:dyDescent="0.2">
      <c r="A919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919" s="1" t="str">
        <f ca="1">IFERROR(__xludf.DUMMYFUNCTION("""COMPUTED_VALUE"""),"KZ.7700.02.01.00637977")</f>
        <v>KZ.7700.02.01.00637977</v>
      </c>
      <c r="C919" s="1" t="str">
        <f ca="1">IFERROR(__xludf.DUMMYFUNCTION("""COMPUTED_VALUE"""),"Действителен до 26.02.2025")</f>
        <v>Действителен до 26.02.2025</v>
      </c>
      <c r="D919" s="8" t="str">
        <f ca="1">IFERROR(__xludf.DUMMYFUNCTION("""COMPUTED_VALUE"""),"0220058KZ58")</f>
        <v>0220058KZ58</v>
      </c>
      <c r="E919" s="1" t="str">
        <f ca="1">IFERROR(__xludf.DUMMYFUNCTION("""COMPUTED_VALUE"""),"годен до 26.02.2025")</f>
        <v>годен до 26.02.2025</v>
      </c>
      <c r="F919" s="1" t="str">
        <f ca="1">IFERROR(__xludf.DUMMYFUNCTION("""COMPUTED_VALUE"""),"Бандаж на голеностопный сустав легкой фиксации 7034 XL (бежевый) (Болгария) - 0220058KZ58")</f>
        <v>Бандаж на голеностопный сустав легкой фиксации 7034 XL (бежевый) (Болгария) - 0220058KZ58</v>
      </c>
      <c r="G919" s="1" t="str">
        <f ca="1">IFERROR(__xludf.DUMMYFUNCTION("""COMPUTED_VALUE"""),"KZ.7700.02.01.00637977 / Действителен до 26.02.2025 / 0220058KZ58 / годен до 26.02.2025")</f>
        <v>KZ.7700.02.01.00637977 / Действителен до 26.02.2025 / 0220058KZ58 / годен до 26.02.2025</v>
      </c>
      <c r="H919" s="1" t="str">
        <f ca="1">IFERROR(__xludf.DUMMYFUNCTION("""COMPUTED_VALUE"""),"Бандаж на голеностопный сустав легкой фиксации 7034 XL (бежевый) (Болгария) KZ.7700.02.01.00637977 / Действителен до 26.02.2025 / 0220058KZ58 / годен до 26.02.2025")</f>
        <v>Бандаж на голеностопный сустав легкой фиксации 7034 XL (бежевый) (Болгария) KZ.7700.02.01.00637977 / Действителен до 26.02.2025 / 0220058KZ58 / годен до 26.02.2025</v>
      </c>
    </row>
    <row r="920" spans="1:8" ht="12.75" x14ac:dyDescent="0.2">
      <c r="A920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920" s="1" t="str">
        <f ca="1">IFERROR(__xludf.DUMMYFUNCTION("""COMPUTED_VALUE"""),"KZ.7700.02.01.00637996")</f>
        <v>KZ.7700.02.01.00637996</v>
      </c>
      <c r="C920" s="1" t="str">
        <f ca="1">IFERROR(__xludf.DUMMYFUNCTION("""COMPUTED_VALUE"""),"Действителен до 26.02.2025")</f>
        <v>Действителен до 26.02.2025</v>
      </c>
      <c r="D920" s="8" t="str">
        <f ca="1">IFERROR(__xludf.DUMMYFUNCTION("""COMPUTED_VALUE"""),"0220058KZ58")</f>
        <v>0220058KZ58</v>
      </c>
      <c r="E920" s="1" t="str">
        <f ca="1">IFERROR(__xludf.DUMMYFUNCTION("""COMPUTED_VALUE"""),"годен до 26.02.2025")</f>
        <v>годен до 26.02.2025</v>
      </c>
      <c r="F920" s="1" t="str">
        <f ca="1">IFERROR(__xludf.DUMMYFUNCTION("""COMPUTED_VALUE"""),"Бандаж на голеностопный сустав эластичный 7035 L (Болгария) - 0220058KZ58")</f>
        <v>Бандаж на голеностопный сустав эластичный 7035 L (Болгария) - 0220058KZ58</v>
      </c>
      <c r="G920" s="1" t="str">
        <f ca="1">IFERROR(__xludf.DUMMYFUNCTION("""COMPUTED_VALUE"""),"KZ.7700.02.01.00637996 / Действителен до 26.02.2025 / 0220058KZ58 / годен до 26.02.2025")</f>
        <v>KZ.7700.02.01.00637996 / Действителен до 26.02.2025 / 0220058KZ58 / годен до 26.02.2025</v>
      </c>
      <c r="H920" s="1" t="str">
        <f ca="1">IFERROR(__xludf.DUMMYFUNCTION("""COMPUTED_VALUE"""),"Бандаж на голеностопный сустав эластичный 7035 L (Болгария) KZ.7700.02.01.00637996 / Действителен до 26.02.2025 / 0220058KZ58 / годен до 26.02.2025")</f>
        <v>Бандаж на голеностопный сустав эластичный 7035 L (Болгария) KZ.7700.02.01.00637996 / Действителен до 26.02.2025 / 0220058KZ58 / годен до 26.02.2025</v>
      </c>
    </row>
    <row r="921" spans="1:8" ht="12.75" x14ac:dyDescent="0.2">
      <c r="A921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921" s="1" t="str">
        <f ca="1">IFERROR(__xludf.DUMMYFUNCTION("""COMPUTED_VALUE"""),"KZ.7700.02.01.00637995")</f>
        <v>KZ.7700.02.01.00637995</v>
      </c>
      <c r="C921" s="1" t="str">
        <f ca="1">IFERROR(__xludf.DUMMYFUNCTION("""COMPUTED_VALUE"""),"Действителен до 26.02.2025")</f>
        <v>Действителен до 26.02.2025</v>
      </c>
      <c r="D921" s="8" t="str">
        <f ca="1">IFERROR(__xludf.DUMMYFUNCTION("""COMPUTED_VALUE"""),"0220058KZ58")</f>
        <v>0220058KZ58</v>
      </c>
      <c r="E921" s="1" t="str">
        <f ca="1">IFERROR(__xludf.DUMMYFUNCTION("""COMPUTED_VALUE"""),"годен до 26.02.2025")</f>
        <v>годен до 26.02.2025</v>
      </c>
      <c r="F921" s="1" t="str">
        <f ca="1">IFERROR(__xludf.DUMMYFUNCTION("""COMPUTED_VALUE"""),"Бандаж на голеностопный сустав эластичный 7035 M (Болгария) - 0220058KZ58")</f>
        <v>Бандаж на голеностопный сустав эластичный 7035 M (Болгария) - 0220058KZ58</v>
      </c>
      <c r="G921" s="1" t="str">
        <f ca="1">IFERROR(__xludf.DUMMYFUNCTION("""COMPUTED_VALUE"""),"KZ.7700.02.01.00637995 / Действителен до 26.02.2025 / 0220058KZ58 / годен до 26.02.2025")</f>
        <v>KZ.7700.02.01.00637995 / Действителен до 26.02.2025 / 0220058KZ58 / годен до 26.02.2025</v>
      </c>
      <c r="H921" s="1" t="str">
        <f ca="1">IFERROR(__xludf.DUMMYFUNCTION("""COMPUTED_VALUE"""),"Бандаж на голеностопный сустав эластичный 7035 M (Болгария) KZ.7700.02.01.00637995 / Действителен до 26.02.2025 / 0220058KZ58 / годен до 26.02.2025")</f>
        <v>Бандаж на голеностопный сустав эластичный 7035 M (Болгария) KZ.7700.02.01.00637995 / Действителен до 26.02.2025 / 0220058KZ58 / годен до 26.02.2025</v>
      </c>
    </row>
    <row r="922" spans="1:8" ht="12.75" x14ac:dyDescent="0.2">
      <c r="A922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922" s="1" t="str">
        <f ca="1">IFERROR(__xludf.DUMMYFUNCTION("""COMPUTED_VALUE"""),"KZ.7700.02.01.00637994")</f>
        <v>KZ.7700.02.01.00637994</v>
      </c>
      <c r="C922" s="1" t="str">
        <f ca="1">IFERROR(__xludf.DUMMYFUNCTION("""COMPUTED_VALUE"""),"Действителен до 26.02.2025")</f>
        <v>Действителен до 26.02.2025</v>
      </c>
      <c r="D922" s="8" t="str">
        <f ca="1">IFERROR(__xludf.DUMMYFUNCTION("""COMPUTED_VALUE"""),"0220058KZ58")</f>
        <v>0220058KZ58</v>
      </c>
      <c r="E922" s="1" t="str">
        <f ca="1">IFERROR(__xludf.DUMMYFUNCTION("""COMPUTED_VALUE"""),"годен до 26.02.2025")</f>
        <v>годен до 26.02.2025</v>
      </c>
      <c r="F922" s="1" t="str">
        <f ca="1">IFERROR(__xludf.DUMMYFUNCTION("""COMPUTED_VALUE"""),"Бандаж на голеностопный сустав эластичный 7035 S (Болгария) - 0220058KZ58")</f>
        <v>Бандаж на голеностопный сустав эластичный 7035 S (Болгария) - 0220058KZ58</v>
      </c>
      <c r="G922" s="1" t="str">
        <f ca="1">IFERROR(__xludf.DUMMYFUNCTION("""COMPUTED_VALUE"""),"KZ.7700.02.01.00637994 / Действителен до 26.02.2025 / 0220058KZ58 / годен до 26.02.2025")</f>
        <v>KZ.7700.02.01.00637994 / Действителен до 26.02.2025 / 0220058KZ58 / годен до 26.02.2025</v>
      </c>
      <c r="H922" s="1" t="str">
        <f ca="1">IFERROR(__xludf.DUMMYFUNCTION("""COMPUTED_VALUE"""),"Бандаж на голеностопный сустав эластичный 7035 S (Болгария) KZ.7700.02.01.00637994 / Действителен до 26.02.2025 / 0220058KZ58 / годен до 26.02.2025")</f>
        <v>Бандаж на голеностопный сустав эластичный 7035 S (Болгария) KZ.7700.02.01.00637994 / Действителен до 26.02.2025 / 0220058KZ58 / годен до 26.02.2025</v>
      </c>
    </row>
    <row r="923" spans="1:8" ht="12.75" x14ac:dyDescent="0.2">
      <c r="A923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923" s="1" t="str">
        <f ca="1">IFERROR(__xludf.DUMMYFUNCTION("""COMPUTED_VALUE"""),"KZ.7700.02.01.00637997")</f>
        <v>KZ.7700.02.01.00637997</v>
      </c>
      <c r="C923" s="1" t="str">
        <f ca="1">IFERROR(__xludf.DUMMYFUNCTION("""COMPUTED_VALUE"""),"Действителен до 26.02.2025")</f>
        <v>Действителен до 26.02.2025</v>
      </c>
      <c r="D923" s="8" t="str">
        <f ca="1">IFERROR(__xludf.DUMMYFUNCTION("""COMPUTED_VALUE"""),"0220058KZ58")</f>
        <v>0220058KZ58</v>
      </c>
      <c r="E923" s="1" t="str">
        <f ca="1">IFERROR(__xludf.DUMMYFUNCTION("""COMPUTED_VALUE"""),"годен до 26.02.2025")</f>
        <v>годен до 26.02.2025</v>
      </c>
      <c r="F923" s="1" t="str">
        <f ca="1">IFERROR(__xludf.DUMMYFUNCTION("""COMPUTED_VALUE"""),"Бандаж на голеностопный сустав эластичный 7035 XL (Болгария) - 0220058KZ58")</f>
        <v>Бандаж на голеностопный сустав эластичный 7035 XL (Болгария) - 0220058KZ58</v>
      </c>
      <c r="G923" s="1" t="str">
        <f ca="1">IFERROR(__xludf.DUMMYFUNCTION("""COMPUTED_VALUE"""),"KZ.7700.02.01.00637997 / Действителен до 26.02.2025 / 0220058KZ58 / годен до 26.02.2025")</f>
        <v>KZ.7700.02.01.00637997 / Действителен до 26.02.2025 / 0220058KZ58 / годен до 26.02.2025</v>
      </c>
      <c r="H923" s="1" t="str">
        <f ca="1">IFERROR(__xludf.DUMMYFUNCTION("""COMPUTED_VALUE"""),"Бандаж на голеностопный сустав эластичный 7035 XL (Болгария) KZ.7700.02.01.00637997 / Действителен до 26.02.2025 / 0220058KZ58 / годен до 26.02.2025")</f>
        <v>Бандаж на голеностопный сустав эластичный 7035 XL (Болгария) KZ.7700.02.01.00637997 / Действителен до 26.02.2025 / 0220058KZ58 / годен до 26.02.2025</v>
      </c>
    </row>
    <row r="924" spans="1:8" ht="12.75" x14ac:dyDescent="0.2">
      <c r="A924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924" s="1" t="str">
        <f ca="1">IFERROR(__xludf.DUMMYFUNCTION("""COMPUTED_VALUE"""),"KZ.7700.02.01.00637999")</f>
        <v>KZ.7700.02.01.00637999</v>
      </c>
      <c r="C924" s="1" t="str">
        <f ca="1">IFERROR(__xludf.DUMMYFUNCTION("""COMPUTED_VALUE"""),"Действителен до 26.02.2025")</f>
        <v>Действителен до 26.02.2025</v>
      </c>
      <c r="D924" s="8" t="str">
        <f ca="1">IFERROR(__xludf.DUMMYFUNCTION("""COMPUTED_VALUE"""),"0220058KZ58")</f>
        <v>0220058KZ58</v>
      </c>
      <c r="E924" s="1" t="str">
        <f ca="1">IFERROR(__xludf.DUMMYFUNCTION("""COMPUTED_VALUE"""),"годен до 26.02.2025")</f>
        <v>годен до 26.02.2025</v>
      </c>
      <c r="F924" s="1" t="str">
        <f ca="1">IFERROR(__xludf.DUMMYFUNCTION("""COMPUTED_VALUE"""),"Бандаж на локтевой сустав эластичный 8317 M (Болгария) - 0220058KZ58")</f>
        <v>Бандаж на локтевой сустав эластичный 8317 M (Болгария) - 0220058KZ58</v>
      </c>
      <c r="G924" s="1" t="str">
        <f ca="1">IFERROR(__xludf.DUMMYFUNCTION("""COMPUTED_VALUE"""),"KZ.7700.02.01.00637999 / Действителен до 26.02.2025 / 0220058KZ58 / годен до 26.02.2025")</f>
        <v>KZ.7700.02.01.00637999 / Действителен до 26.02.2025 / 0220058KZ58 / годен до 26.02.2025</v>
      </c>
      <c r="H924" s="1" t="str">
        <f ca="1">IFERROR(__xludf.DUMMYFUNCTION("""COMPUTED_VALUE"""),"Бандаж на локтевой сустав эластичный 8317 M (Болгария) KZ.7700.02.01.00637999 / Действителен до 26.02.2025 / 0220058KZ58 / годен до 26.02.2025")</f>
        <v>Бандаж на локтевой сустав эластичный 8317 M (Болгария) KZ.7700.02.01.00637999 / Действителен до 26.02.2025 / 0220058KZ58 / годен до 26.02.2025</v>
      </c>
    </row>
    <row r="925" spans="1:8" ht="12.75" x14ac:dyDescent="0.2">
      <c r="A925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925" s="1" t="str">
        <f ca="1">IFERROR(__xludf.DUMMYFUNCTION("""COMPUTED_VALUE"""),"KZ.7700.02.01.00637998")</f>
        <v>KZ.7700.02.01.00637998</v>
      </c>
      <c r="C925" s="1" t="str">
        <f ca="1">IFERROR(__xludf.DUMMYFUNCTION("""COMPUTED_VALUE"""),"Действителен до 26.02.2025")</f>
        <v>Действителен до 26.02.2025</v>
      </c>
      <c r="D925" s="8" t="str">
        <f ca="1">IFERROR(__xludf.DUMMYFUNCTION("""COMPUTED_VALUE"""),"0220058KZ58")</f>
        <v>0220058KZ58</v>
      </c>
      <c r="E925" s="1" t="str">
        <f ca="1">IFERROR(__xludf.DUMMYFUNCTION("""COMPUTED_VALUE"""),"годен до 26.02.2025")</f>
        <v>годен до 26.02.2025</v>
      </c>
      <c r="F925" s="1" t="str">
        <f ca="1">IFERROR(__xludf.DUMMYFUNCTION("""COMPUTED_VALUE"""),"Бандаж на локтевой сустав эластичный 8317 S (Болгария) - 0220058KZ58")</f>
        <v>Бандаж на локтевой сустав эластичный 8317 S (Болгария) - 0220058KZ58</v>
      </c>
      <c r="G925" s="1" t="str">
        <f ca="1">IFERROR(__xludf.DUMMYFUNCTION("""COMPUTED_VALUE"""),"KZ.7700.02.01.00637998 / Действителен до 26.02.2025 / 0220058KZ58 / годен до 26.02.2025")</f>
        <v>KZ.7700.02.01.00637998 / Действителен до 26.02.2025 / 0220058KZ58 / годен до 26.02.2025</v>
      </c>
      <c r="H925" s="1" t="str">
        <f ca="1">IFERROR(__xludf.DUMMYFUNCTION("""COMPUTED_VALUE"""),"Бандаж на локтевой сустав эластичный 8317 S (Болгария) KZ.7700.02.01.00637998 / Действителен до 26.02.2025 / 0220058KZ58 / годен до 26.02.2025")</f>
        <v>Бандаж на локтевой сустав эластичный 8317 S (Болгария) KZ.7700.02.01.00637998 / Действителен до 26.02.2025 / 0220058KZ58 / годен до 26.02.2025</v>
      </c>
    </row>
    <row r="926" spans="1:8" ht="12.75" x14ac:dyDescent="0.2">
      <c r="A926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926" s="1" t="str">
        <f ca="1">IFERROR(__xludf.DUMMYFUNCTION("""COMPUTED_VALUE"""),"KZ.7700.02.01.00638003")</f>
        <v>KZ.7700.02.01.00638003</v>
      </c>
      <c r="C926" s="1" t="str">
        <f ca="1">IFERROR(__xludf.DUMMYFUNCTION("""COMPUTED_VALUE"""),"Действителен до 26.02.2025")</f>
        <v>Действителен до 26.02.2025</v>
      </c>
      <c r="D926" s="8" t="str">
        <f ca="1">IFERROR(__xludf.DUMMYFUNCTION("""COMPUTED_VALUE"""),"0220058KZ58")</f>
        <v>0220058KZ58</v>
      </c>
      <c r="E926" s="1" t="str">
        <f ca="1">IFERROR(__xludf.DUMMYFUNCTION("""COMPUTED_VALUE"""),"годен до 26.02.2025")</f>
        <v>годен до 26.02.2025</v>
      </c>
      <c r="F926" s="1" t="str">
        <f ca="1">IFERROR(__xludf.DUMMYFUNCTION("""COMPUTED_VALUE"""),"Бандаж на лучезапястный сустав эластичный 8503 L (Болгария) - 0220058KZ58")</f>
        <v>Бандаж на лучезапястный сустав эластичный 8503 L (Болгария) - 0220058KZ58</v>
      </c>
      <c r="G926" s="1" t="str">
        <f ca="1">IFERROR(__xludf.DUMMYFUNCTION("""COMPUTED_VALUE"""),"KZ.7700.02.01.00638003 / Действителен до 26.02.2025 / 0220058KZ58 / годен до 26.02.2025")</f>
        <v>KZ.7700.02.01.00638003 / Действителен до 26.02.2025 / 0220058KZ58 / годен до 26.02.2025</v>
      </c>
      <c r="H926" s="1" t="str">
        <f ca="1">IFERROR(__xludf.DUMMYFUNCTION("""COMPUTED_VALUE"""),"Бандаж на лучезапястный сустав эластичный 8503 L (Болгария) KZ.7700.02.01.00638003 / Действителен до 26.02.2025 / 0220058KZ58 / годен до 26.02.2025")</f>
        <v>Бандаж на лучезапястный сустав эластичный 8503 L (Болгария) KZ.7700.02.01.00638003 / Действителен до 26.02.2025 / 0220058KZ58 / годен до 26.02.2025</v>
      </c>
    </row>
    <row r="927" spans="1:8" ht="12.75" x14ac:dyDescent="0.2">
      <c r="A927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927" s="1" t="str">
        <f ca="1">IFERROR(__xludf.DUMMYFUNCTION("""COMPUTED_VALUE"""),"KZ.7700.02.01.00638001")</f>
        <v>KZ.7700.02.01.00638001</v>
      </c>
      <c r="C927" s="1" t="str">
        <f ca="1">IFERROR(__xludf.DUMMYFUNCTION("""COMPUTED_VALUE"""),"Действителен до 26.02.2025")</f>
        <v>Действителен до 26.02.2025</v>
      </c>
      <c r="D927" s="8" t="str">
        <f ca="1">IFERROR(__xludf.DUMMYFUNCTION("""COMPUTED_VALUE"""),"0220058KZ58")</f>
        <v>0220058KZ58</v>
      </c>
      <c r="E927" s="1" t="str">
        <f ca="1">IFERROR(__xludf.DUMMYFUNCTION("""COMPUTED_VALUE"""),"годен до 26.02.2025")</f>
        <v>годен до 26.02.2025</v>
      </c>
      <c r="F927" s="1" t="str">
        <f ca="1">IFERROR(__xludf.DUMMYFUNCTION("""COMPUTED_VALUE"""),"Бандаж на лучезапястный сустав эластичный 8503 M (Болгария) - 0220058KZ58")</f>
        <v>Бандаж на лучезапястный сустав эластичный 8503 M (Болгария) - 0220058KZ58</v>
      </c>
      <c r="G927" s="1" t="str">
        <f ca="1">IFERROR(__xludf.DUMMYFUNCTION("""COMPUTED_VALUE"""),"KZ.7700.02.01.00638001 / Действителен до 26.02.2025 / 0220058KZ58 / годен до 26.02.2025")</f>
        <v>KZ.7700.02.01.00638001 / Действителен до 26.02.2025 / 0220058KZ58 / годен до 26.02.2025</v>
      </c>
      <c r="H927" s="1" t="str">
        <f ca="1">IFERROR(__xludf.DUMMYFUNCTION("""COMPUTED_VALUE"""),"Бандаж на лучезапястный сустав эластичный 8503 M (Болгария) KZ.7700.02.01.00638001 / Действителен до 26.02.2025 / 0220058KZ58 / годен до 26.02.2025")</f>
        <v>Бандаж на лучезапястный сустав эластичный 8503 M (Болгария) KZ.7700.02.01.00638001 / Действителен до 26.02.2025 / 0220058KZ58 / годен до 26.02.2025</v>
      </c>
    </row>
    <row r="928" spans="1:8" ht="12.75" x14ac:dyDescent="0.2">
      <c r="A928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928" s="1" t="str">
        <f ca="1">IFERROR(__xludf.DUMMYFUNCTION("""COMPUTED_VALUE"""),"KZ.7700.02.01.00638000")</f>
        <v>KZ.7700.02.01.00638000</v>
      </c>
      <c r="C928" s="1" t="str">
        <f ca="1">IFERROR(__xludf.DUMMYFUNCTION("""COMPUTED_VALUE"""),"Действителен до 26.02.2025")</f>
        <v>Действителен до 26.02.2025</v>
      </c>
      <c r="D928" s="8" t="str">
        <f ca="1">IFERROR(__xludf.DUMMYFUNCTION("""COMPUTED_VALUE"""),"0220058KZ58")</f>
        <v>0220058KZ58</v>
      </c>
      <c r="E928" s="1" t="str">
        <f ca="1">IFERROR(__xludf.DUMMYFUNCTION("""COMPUTED_VALUE"""),"годен до 26.02.2025")</f>
        <v>годен до 26.02.2025</v>
      </c>
      <c r="F928" s="1" t="str">
        <f ca="1">IFERROR(__xludf.DUMMYFUNCTION("""COMPUTED_VALUE"""),"Бандаж на лучезапястный сустав эластичный 8503 S (Болгария) - 0220058KZ58")</f>
        <v>Бандаж на лучезапястный сустав эластичный 8503 S (Болгария) - 0220058KZ58</v>
      </c>
      <c r="G928" s="1" t="str">
        <f ca="1">IFERROR(__xludf.DUMMYFUNCTION("""COMPUTED_VALUE"""),"KZ.7700.02.01.00638000 / Действителен до 26.02.2025 / 0220058KZ58 / годен до 26.02.2025")</f>
        <v>KZ.7700.02.01.00638000 / Действителен до 26.02.2025 / 0220058KZ58 / годен до 26.02.2025</v>
      </c>
      <c r="H928" s="1" t="str">
        <f ca="1">IFERROR(__xludf.DUMMYFUNCTION("""COMPUTED_VALUE"""),"Бандаж на лучезапястный сустав эластичный 8503 S (Болгария) KZ.7700.02.01.00638000 / Действителен до 26.02.2025 / 0220058KZ58 / годен до 26.02.2025")</f>
        <v>Бандаж на лучезапястный сустав эластичный 8503 S (Болгария) KZ.7700.02.01.00638000 / Действителен до 26.02.2025 / 0220058KZ58 / годен до 26.02.2025</v>
      </c>
    </row>
    <row r="929" spans="1:8" ht="12.75" x14ac:dyDescent="0.2">
      <c r="A929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929" s="1" t="str">
        <f ca="1">IFERROR(__xludf.DUMMYFUNCTION("""COMPUTED_VALUE"""),"KZ.7700.02.01.00637979")</f>
        <v>KZ.7700.02.01.00637979</v>
      </c>
      <c r="C929" s="1" t="str">
        <f ca="1">IFERROR(__xludf.DUMMYFUNCTION("""COMPUTED_VALUE"""),"Действителен до 26.02.2025")</f>
        <v>Действителен до 26.02.2025</v>
      </c>
      <c r="D929" s="8" t="str">
        <f ca="1">IFERROR(__xludf.DUMMYFUNCTION("""COMPUTED_VALUE"""),"0220058KZ58")</f>
        <v>0220058KZ58</v>
      </c>
      <c r="E929" s="1" t="str">
        <f ca="1">IFERROR(__xludf.DUMMYFUNCTION("""COMPUTED_VALUE"""),"годен до 26.02.2025")</f>
        <v>годен до 26.02.2025</v>
      </c>
      <c r="F929" s="1" t="str">
        <f ca="1">IFERROR(__xludf.DUMMYFUNCTION("""COMPUTED_VALUE"""),"Бандаж на лучезапястный сустав легкой фиксации 8505 L/XL (Бежевый) (Болгария) - 0220058KZ58")</f>
        <v>Бандаж на лучезапястный сустав легкой фиксации 8505 L/XL (Бежевый) (Болгария) - 0220058KZ58</v>
      </c>
      <c r="G929" s="1" t="str">
        <f ca="1">IFERROR(__xludf.DUMMYFUNCTION("""COMPUTED_VALUE"""),"KZ.7700.02.01.00637979 / Действителен до 26.02.2025 / 0220058KZ58 / годен до 26.02.2025")</f>
        <v>KZ.7700.02.01.00637979 / Действителен до 26.02.2025 / 0220058KZ58 / годен до 26.02.2025</v>
      </c>
      <c r="H929" s="1" t="str">
        <f ca="1">IFERROR(__xludf.DUMMYFUNCTION("""COMPUTED_VALUE"""),"Бандаж на лучезапястный сустав легкой фиксации 8505 L/XL (Бежевый) (Болгария) KZ.7700.02.01.00637979 / Действителен до 26.02.2025 / 0220058KZ58 / годен до 26.02.2025")</f>
        <v>Бандаж на лучезапястный сустав легкой фиксации 8505 L/XL (Бежевый) (Болгария) KZ.7700.02.01.00637979 / Действителен до 26.02.2025 / 0220058KZ58 / годен до 26.02.2025</v>
      </c>
    </row>
    <row r="930" spans="1:8" ht="12.75" x14ac:dyDescent="0.2">
      <c r="A930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930" s="1" t="str">
        <f ca="1">IFERROR(__xludf.DUMMYFUNCTION("""COMPUTED_VALUE"""),"KZ.7700.02.01.00637978")</f>
        <v>KZ.7700.02.01.00637978</v>
      </c>
      <c r="C930" s="1" t="str">
        <f ca="1">IFERROR(__xludf.DUMMYFUNCTION("""COMPUTED_VALUE"""),"Действителен до 26.02.2025")</f>
        <v>Действителен до 26.02.2025</v>
      </c>
      <c r="D930" s="8" t="str">
        <f ca="1">IFERROR(__xludf.DUMMYFUNCTION("""COMPUTED_VALUE"""),"0220058KZ58")</f>
        <v>0220058KZ58</v>
      </c>
      <c r="E930" s="1" t="str">
        <f ca="1">IFERROR(__xludf.DUMMYFUNCTION("""COMPUTED_VALUE"""),"годен до 26.02.2025")</f>
        <v>годен до 26.02.2025</v>
      </c>
      <c r="F930" s="1" t="str">
        <f ca="1">IFERROR(__xludf.DUMMYFUNCTION("""COMPUTED_VALUE"""),"Бандаж на лучезапястный сустав легкой фиксации 8505 S/M (Бежевый) (Болгария) - 0220058KZ58")</f>
        <v>Бандаж на лучезапястный сустав легкой фиксации 8505 S/M (Бежевый) (Болгария) - 0220058KZ58</v>
      </c>
      <c r="G930" s="1" t="str">
        <f ca="1">IFERROR(__xludf.DUMMYFUNCTION("""COMPUTED_VALUE"""),"KZ.7700.02.01.00637978 / Действителен до 26.02.2025 / 0220058KZ58 / годен до 26.02.2025")</f>
        <v>KZ.7700.02.01.00637978 / Действителен до 26.02.2025 / 0220058KZ58 / годен до 26.02.2025</v>
      </c>
      <c r="H930" s="1" t="str">
        <f ca="1">IFERROR(__xludf.DUMMYFUNCTION("""COMPUTED_VALUE"""),"Бандаж на лучезапястный сустав легкой фиксации 8505 S/M (Бежевый) (Болгария) KZ.7700.02.01.00637978 / Действителен до 26.02.2025 / 0220058KZ58 / годен до 26.02.2025")</f>
        <v>Бандаж на лучезапястный сустав легкой фиксации 8505 S/M (Бежевый) (Болгария) KZ.7700.02.01.00637978 / Действителен до 26.02.2025 / 0220058KZ58 / годен до 26.02.2025</v>
      </c>
    </row>
    <row r="931" spans="1:8" ht="12.75" x14ac:dyDescent="0.2">
      <c r="A931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931" s="1" t="str">
        <f ca="1">IFERROR(__xludf.DUMMYFUNCTION("""COMPUTED_VALUE"""),"KZ.7700.02.01.00637981")</f>
        <v>KZ.7700.02.01.00637981</v>
      </c>
      <c r="C931" s="1" t="str">
        <f ca="1">IFERROR(__xludf.DUMMYFUNCTION("""COMPUTED_VALUE"""),"Действителен до 26.02.2025")</f>
        <v>Действителен до 26.02.2025</v>
      </c>
      <c r="D931" s="8" t="str">
        <f ca="1">IFERROR(__xludf.DUMMYFUNCTION("""COMPUTED_VALUE"""),"0220058KZ58")</f>
        <v>0220058KZ58</v>
      </c>
      <c r="E931" s="1" t="str">
        <f ca="1">IFERROR(__xludf.DUMMYFUNCTION("""COMPUTED_VALUE"""),"годен до 26.02.2025")</f>
        <v>годен до 26.02.2025</v>
      </c>
      <c r="F931" s="1" t="str">
        <f ca="1">IFERROR(__xludf.DUMMYFUNCTION("""COMPUTED_VALUE"""),"Бандаж на лучезапястный сустав с фиксацией пальца 8552 L\XL (Болгария) - 0220058KZ58")</f>
        <v>Бандаж на лучезапястный сустав с фиксацией пальца 8552 L\XL (Болгария) - 0220058KZ58</v>
      </c>
      <c r="G931" s="1" t="str">
        <f ca="1">IFERROR(__xludf.DUMMYFUNCTION("""COMPUTED_VALUE"""),"KZ.7700.02.01.00637981 / Действителен до 26.02.2025 / 0220058KZ58 / годен до 26.02.2025")</f>
        <v>KZ.7700.02.01.00637981 / Действителен до 26.02.2025 / 0220058KZ58 / годен до 26.02.2025</v>
      </c>
      <c r="H931" s="1" t="str">
        <f ca="1">IFERROR(__xludf.DUMMYFUNCTION("""COMPUTED_VALUE"""),"Бандаж на лучезапястный сустав с фиксацией пальца 8552 L\XL (Болгария) KZ.7700.02.01.00637981 / Действителен до 26.02.2025 / 0220058KZ58 / годен до 26.02.2025")</f>
        <v>Бандаж на лучезапястный сустав с фиксацией пальца 8552 L\XL (Болгария) KZ.7700.02.01.00637981 / Действителен до 26.02.2025 / 0220058KZ58 / годен до 26.02.2025</v>
      </c>
    </row>
    <row r="932" spans="1:8" ht="12.75" x14ac:dyDescent="0.2">
      <c r="A932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932" s="1" t="str">
        <f ca="1">IFERROR(__xludf.DUMMYFUNCTION("""COMPUTED_VALUE"""),"KZ.7700.02.01.00637980")</f>
        <v>KZ.7700.02.01.00637980</v>
      </c>
      <c r="C932" s="1" t="str">
        <f ca="1">IFERROR(__xludf.DUMMYFUNCTION("""COMPUTED_VALUE"""),"Действителен до 26.02.2025")</f>
        <v>Действителен до 26.02.2025</v>
      </c>
      <c r="D932" s="8" t="str">
        <f ca="1">IFERROR(__xludf.DUMMYFUNCTION("""COMPUTED_VALUE"""),"0220058KZ58")</f>
        <v>0220058KZ58</v>
      </c>
      <c r="E932" s="1" t="str">
        <f ca="1">IFERROR(__xludf.DUMMYFUNCTION("""COMPUTED_VALUE"""),"годен до 26.02.2025")</f>
        <v>годен до 26.02.2025</v>
      </c>
      <c r="F932" s="1" t="str">
        <f ca="1">IFERROR(__xludf.DUMMYFUNCTION("""COMPUTED_VALUE"""),"Бандаж на лучезапястный сустав с фиксацией пальца 8552 S\M (Болгария) - 0220058KZ58")</f>
        <v>Бандаж на лучезапястный сустав с фиксацией пальца 8552 S\M (Болгария) - 0220058KZ58</v>
      </c>
      <c r="G932" s="1" t="str">
        <f ca="1">IFERROR(__xludf.DUMMYFUNCTION("""COMPUTED_VALUE"""),"KZ.7700.02.01.00637980 / Действителен до 26.02.2025 / 0220058KZ58 / годен до 26.02.2025")</f>
        <v>KZ.7700.02.01.00637980 / Действителен до 26.02.2025 / 0220058KZ58 / годен до 26.02.2025</v>
      </c>
      <c r="H932" s="1" t="str">
        <f ca="1">IFERROR(__xludf.DUMMYFUNCTION("""COMPUTED_VALUE"""),"Бандаж на лучезапястный сустав с фиксацией пальца 8552 S\M (Болгария) KZ.7700.02.01.00637980 / Действителен до 26.02.2025 / 0220058KZ58 / годен до 26.02.2025")</f>
        <v>Бандаж на лучезапястный сустав с фиксацией пальца 8552 S\M (Болгария) KZ.7700.02.01.00637980 / Действителен до 26.02.2025 / 0220058KZ58 / годен до 26.02.2025</v>
      </c>
    </row>
    <row r="933" spans="1:8" ht="12.75" x14ac:dyDescent="0.2">
      <c r="A933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933" s="1" t="str">
        <f ca="1">IFERROR(__xludf.DUMMYFUNCTION("""COMPUTED_VALUE"""),"KZ.7700.02.01.00637989")</f>
        <v>KZ.7700.02.01.00637989</v>
      </c>
      <c r="C933" s="1" t="str">
        <f ca="1">IFERROR(__xludf.DUMMYFUNCTION("""COMPUTED_VALUE"""),"Действителен до 26.02.2025")</f>
        <v>Действителен до 26.02.2025</v>
      </c>
      <c r="D933" s="8" t="str">
        <f ca="1">IFERROR(__xludf.DUMMYFUNCTION("""COMPUTED_VALUE"""),"0220058KZ58")</f>
        <v>0220058KZ58</v>
      </c>
      <c r="E933" s="1" t="str">
        <f ca="1">IFERROR(__xludf.DUMMYFUNCTION("""COMPUTED_VALUE"""),"годен до 26.02.2025")</f>
        <v>годен до 26.02.2025</v>
      </c>
      <c r="F933" s="1" t="str">
        <f ca="1">IFERROR(__xludf.DUMMYFUNCTION("""COMPUTED_VALUE"""),"Бандаж для руки поддерживающий облегченный (косынка) 9912 L (белый) (Болгария) - 0220058KZ58")</f>
        <v>Бандаж для руки поддерживающий облегченный (косынка) 9912 L (белый) (Болгария) - 0220058KZ58</v>
      </c>
      <c r="G933" s="1" t="str">
        <f ca="1">IFERROR(__xludf.DUMMYFUNCTION("""COMPUTED_VALUE"""),"KZ.7700.02.01.00637989 / Действителен до 26.02.2025 / 0220058KZ58 / годен до 26.02.2025")</f>
        <v>KZ.7700.02.01.00637989 / Действителен до 26.02.2025 / 0220058KZ58 / годен до 26.02.2025</v>
      </c>
      <c r="H933" s="1" t="str">
        <f ca="1">IFERROR(__xludf.DUMMYFUNCTION("""COMPUTED_VALUE"""),"Бандаж для руки поддерживающий облегченный (косынка) 9912 L (белый) (Болгария) KZ.7700.02.01.00637989 / Действителен до 26.02.2025 / 0220058KZ58 / годен до 26.02.2025")</f>
        <v>Бандаж для руки поддерживающий облегченный (косынка) 9912 L (белый) (Болгария) KZ.7700.02.01.00637989 / Действителен до 26.02.2025 / 0220058KZ58 / годен до 26.02.2025</v>
      </c>
    </row>
    <row r="934" spans="1:8" ht="12.75" x14ac:dyDescent="0.2">
      <c r="A934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934" s="1" t="str">
        <f ca="1">IFERROR(__xludf.DUMMYFUNCTION("""COMPUTED_VALUE"""),"KZ.7700.02.01.00637985")</f>
        <v>KZ.7700.02.01.00637985</v>
      </c>
      <c r="C934" s="1" t="str">
        <f ca="1">IFERROR(__xludf.DUMMYFUNCTION("""COMPUTED_VALUE"""),"Действителен до 26.02.2025")</f>
        <v>Действителен до 26.02.2025</v>
      </c>
      <c r="D934" s="8" t="str">
        <f ca="1">IFERROR(__xludf.DUMMYFUNCTION("""COMPUTED_VALUE"""),"0220058KZ58")</f>
        <v>0220058KZ58</v>
      </c>
      <c r="E934" s="1" t="str">
        <f ca="1">IFERROR(__xludf.DUMMYFUNCTION("""COMPUTED_VALUE"""),"годен до 26.02.2025")</f>
        <v>годен до 26.02.2025</v>
      </c>
      <c r="F934" s="1" t="str">
        <f ca="1">IFERROR(__xludf.DUMMYFUNCTION("""COMPUTED_VALUE"""),"Бандаж для руки поддерживающий облегченный (косынка) 9912 L (черный) (Болгария) - 0220058KZ58")</f>
        <v>Бандаж для руки поддерживающий облегченный (косынка) 9912 L (черный) (Болгария) - 0220058KZ58</v>
      </c>
      <c r="G934" s="1" t="str">
        <f ca="1">IFERROR(__xludf.DUMMYFUNCTION("""COMPUTED_VALUE"""),"KZ.7700.02.01.00637985 / Действителен до 26.02.2025 / 0220058KZ58 / годен до 26.02.2025")</f>
        <v>KZ.7700.02.01.00637985 / Действителен до 26.02.2025 / 0220058KZ58 / годен до 26.02.2025</v>
      </c>
      <c r="H934" s="1" t="str">
        <f ca="1">IFERROR(__xludf.DUMMYFUNCTION("""COMPUTED_VALUE"""),"Бандаж для руки поддерживающий облегченный (косынка) 9912 L (черный) (Болгария) KZ.7700.02.01.00637985 / Действителен до 26.02.2025 / 0220058KZ58 / годен до 26.02.2025")</f>
        <v>Бандаж для руки поддерживающий облегченный (косынка) 9912 L (черный) (Болгария) KZ.7700.02.01.00637985 / Действителен до 26.02.2025 / 0220058KZ58 / годен до 26.02.2025</v>
      </c>
    </row>
    <row r="935" spans="1:8" ht="12.75" x14ac:dyDescent="0.2">
      <c r="A935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935" s="1" t="str">
        <f ca="1">IFERROR(__xludf.DUMMYFUNCTION("""COMPUTED_VALUE"""),"KZ.7700.02.01.00637988")</f>
        <v>KZ.7700.02.01.00637988</v>
      </c>
      <c r="C935" s="1" t="str">
        <f ca="1">IFERROR(__xludf.DUMMYFUNCTION("""COMPUTED_VALUE"""),"Действителен до 26.02.2025")</f>
        <v>Действителен до 26.02.2025</v>
      </c>
      <c r="D935" s="8" t="str">
        <f ca="1">IFERROR(__xludf.DUMMYFUNCTION("""COMPUTED_VALUE"""),"0220058KZ58")</f>
        <v>0220058KZ58</v>
      </c>
      <c r="E935" s="1" t="str">
        <f ca="1">IFERROR(__xludf.DUMMYFUNCTION("""COMPUTED_VALUE"""),"годен до 26.02.2025")</f>
        <v>годен до 26.02.2025</v>
      </c>
      <c r="F935" s="1" t="str">
        <f ca="1">IFERROR(__xludf.DUMMYFUNCTION("""COMPUTED_VALUE"""),"Бандаж для руки поддерживающий облегченный (косынка) 9912 M (белый) (Болгария) - 0220058KZ58")</f>
        <v>Бандаж для руки поддерживающий облегченный (косынка) 9912 M (белый) (Болгария) - 0220058KZ58</v>
      </c>
      <c r="G935" s="1" t="str">
        <f ca="1">IFERROR(__xludf.DUMMYFUNCTION("""COMPUTED_VALUE"""),"KZ.7700.02.01.00637988 / Действителен до 26.02.2025 / 0220058KZ58 / годен до 26.02.2025")</f>
        <v>KZ.7700.02.01.00637988 / Действителен до 26.02.2025 / 0220058KZ58 / годен до 26.02.2025</v>
      </c>
      <c r="H935" s="1" t="str">
        <f ca="1">IFERROR(__xludf.DUMMYFUNCTION("""COMPUTED_VALUE"""),"Бандаж для руки поддерживающий облегченный (косынка) 9912 M (белый) (Болгария) KZ.7700.02.01.00637988 / Действителен до 26.02.2025 / 0220058KZ58 / годен до 26.02.2025")</f>
        <v>Бандаж для руки поддерживающий облегченный (косынка) 9912 M (белый) (Болгария) KZ.7700.02.01.00637988 / Действителен до 26.02.2025 / 0220058KZ58 / годен до 26.02.2025</v>
      </c>
    </row>
    <row r="936" spans="1:8" ht="12.75" x14ac:dyDescent="0.2">
      <c r="A936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B936" s="1" t="str">
        <f ca="1">IFERROR(__xludf.DUMMYFUNCTION("""COMPUTED_VALUE"""),"KZ.7700.02.01.00637987")</f>
        <v>KZ.7700.02.01.00637987</v>
      </c>
      <c r="C936" s="1" t="str">
        <f ca="1">IFERROR(__xludf.DUMMYFUNCTION("""COMPUTED_VALUE"""),"Действителен до 26.02.2025")</f>
        <v>Действителен до 26.02.2025</v>
      </c>
      <c r="D936" s="8" t="str">
        <f ca="1">IFERROR(__xludf.DUMMYFUNCTION("""COMPUTED_VALUE"""),"0220058KZ58")</f>
        <v>0220058KZ58</v>
      </c>
      <c r="E936" s="1" t="str">
        <f ca="1">IFERROR(__xludf.DUMMYFUNCTION("""COMPUTED_VALUE"""),"годен до 26.02.2025")</f>
        <v>годен до 26.02.2025</v>
      </c>
      <c r="F936" s="1" t="str">
        <f ca="1">IFERROR(__xludf.DUMMYFUNCTION("""COMPUTED_VALUE"""),"Бандаж для руки поддерживающий облегченный (косынка) 9912 S (белый) (Болгария) - 0220058KZ58")</f>
        <v>Бандаж для руки поддерживающий облегченный (косынка) 9912 S (белый) (Болгария) - 0220058KZ58</v>
      </c>
      <c r="G936" s="1" t="str">
        <f ca="1">IFERROR(__xludf.DUMMYFUNCTION("""COMPUTED_VALUE"""),"KZ.7700.02.01.00637987 / Действителен до 26.02.2025 / 0220058KZ58 / годен до 26.02.2025")</f>
        <v>KZ.7700.02.01.00637987 / Действителен до 26.02.2025 / 0220058KZ58 / годен до 26.02.2025</v>
      </c>
      <c r="H936" s="1" t="str">
        <f ca="1">IFERROR(__xludf.DUMMYFUNCTION("""COMPUTED_VALUE"""),"Бандаж для руки поддерживающий облегченный (косынка) 9912 S (белый) (Болгария) KZ.7700.02.01.00637987 / Действителен до 26.02.2025 / 0220058KZ58 / годен до 26.02.2025")</f>
        <v>Бандаж для руки поддерживающий облегченный (косынка) 9912 S (белый) (Болгария) KZ.7700.02.01.00637987 / Действителен до 26.02.2025 / 0220058KZ58 / годен до 26.02.2025</v>
      </c>
    </row>
    <row r="937" spans="1:8" ht="12.75" x14ac:dyDescent="0.2">
      <c r="A937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937" s="1" t="str">
        <f ca="1">IFERROR(__xludf.DUMMYFUNCTION("""COMPUTED_VALUE"""),"KZ.7700.02.01.00637982")</f>
        <v>KZ.7700.02.01.00637982</v>
      </c>
      <c r="C937" s="1" t="str">
        <f ca="1">IFERROR(__xludf.DUMMYFUNCTION("""COMPUTED_VALUE"""),"Действителен до 26.02.2025")</f>
        <v>Действителен до 26.02.2025</v>
      </c>
      <c r="D937" s="8" t="str">
        <f ca="1">IFERROR(__xludf.DUMMYFUNCTION("""COMPUTED_VALUE"""),"0220058KZ58")</f>
        <v>0220058KZ58</v>
      </c>
      <c r="E937" s="1" t="str">
        <f ca="1">IFERROR(__xludf.DUMMYFUNCTION("""COMPUTED_VALUE"""),"годен до 26.02.2025")</f>
        <v>годен до 26.02.2025</v>
      </c>
      <c r="F937" s="1" t="str">
        <f ca="1">IFERROR(__xludf.DUMMYFUNCTION("""COMPUTED_VALUE"""),"Бандаж для руки поддерживающий облегченный (косынка) 9912 S (черный) (Болгария) - 0220058KZ58")</f>
        <v>Бандаж для руки поддерживающий облегченный (косынка) 9912 S (черный) (Болгария) - 0220058KZ58</v>
      </c>
      <c r="G937" s="1" t="str">
        <f ca="1">IFERROR(__xludf.DUMMYFUNCTION("""COMPUTED_VALUE"""),"KZ.7700.02.01.00637982 / Действителен до 26.02.2025 / 0220058KZ58 / годен до 26.02.2025")</f>
        <v>KZ.7700.02.01.00637982 / Действителен до 26.02.2025 / 0220058KZ58 / годен до 26.02.2025</v>
      </c>
      <c r="H937" s="1" t="str">
        <f ca="1">IFERROR(__xludf.DUMMYFUNCTION("""COMPUTED_VALUE"""),"Бандаж для руки поддерживающий облегченный (косынка) 9912 S (черный) (Болгария) KZ.7700.02.01.00637982 / Действителен до 26.02.2025 / 0220058KZ58 / годен до 26.02.2025")</f>
        <v>Бандаж для руки поддерживающий облегченный (косынка) 9912 S (черный) (Болгария) KZ.7700.02.01.00637982 / Действителен до 26.02.2025 / 0220058KZ58 / годен до 26.02.2025</v>
      </c>
    </row>
    <row r="938" spans="1:8" ht="12.75" x14ac:dyDescent="0.2">
      <c r="A938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938" s="1" t="str">
        <f ca="1">IFERROR(__xludf.DUMMYFUNCTION("""COMPUTED_VALUE"""),"KZ.7700.02.01.00637986")</f>
        <v>KZ.7700.02.01.00637986</v>
      </c>
      <c r="C938" s="1" t="str">
        <f ca="1">IFERROR(__xludf.DUMMYFUNCTION("""COMPUTED_VALUE"""),"Действителен до 26.02.2025")</f>
        <v>Действителен до 26.02.2025</v>
      </c>
      <c r="D938" s="8" t="str">
        <f ca="1">IFERROR(__xludf.DUMMYFUNCTION("""COMPUTED_VALUE"""),"0220058KZ58")</f>
        <v>0220058KZ58</v>
      </c>
      <c r="E938" s="1" t="str">
        <f ca="1">IFERROR(__xludf.DUMMYFUNCTION("""COMPUTED_VALUE"""),"годен до 26.02.2025")</f>
        <v>годен до 26.02.2025</v>
      </c>
      <c r="F938" s="1" t="str">
        <f ca="1">IFERROR(__xludf.DUMMYFUNCTION("""COMPUTED_VALUE"""),"Бандаж для руки поддерживающий облегченный (косынка) 9912 XL (черный) (Болгария) - 0220058KZ58")</f>
        <v>Бандаж для руки поддерживающий облегченный (косынка) 9912 XL (черный) (Болгария) - 0220058KZ58</v>
      </c>
      <c r="G938" s="1" t="str">
        <f ca="1">IFERROR(__xludf.DUMMYFUNCTION("""COMPUTED_VALUE"""),"KZ.7700.02.01.00637986 / Действителен до 26.02.2025 / 0220058KZ58 / годен до 26.02.2025")</f>
        <v>KZ.7700.02.01.00637986 / Действителен до 26.02.2025 / 0220058KZ58 / годен до 26.02.2025</v>
      </c>
      <c r="H938" s="1" t="str">
        <f ca="1">IFERROR(__xludf.DUMMYFUNCTION("""COMPUTED_VALUE"""),"Бандаж для руки поддерживающий облегченный (косынка) 9912 XL (черный) (Болгария) KZ.7700.02.01.00637986 / Действителен до 26.02.2025 / 0220058KZ58 / годен до 26.02.2025")</f>
        <v>Бандаж для руки поддерживающий облегченный (косынка) 9912 XL (черный) (Болгария) KZ.7700.02.01.00637986 / Действителен до 26.02.2025 / 0220058KZ58 / годен до 26.02.2025</v>
      </c>
    </row>
    <row r="939" spans="1:8" ht="12.75" x14ac:dyDescent="0.2">
      <c r="A939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939" s="1" t="str">
        <f ca="1">IFERROR(__xludf.DUMMYFUNCTION("""COMPUTED_VALUE"""),"KZ.7700.02.01.00637984")</f>
        <v>KZ.7700.02.01.00637984</v>
      </c>
      <c r="C939" s="1" t="str">
        <f ca="1">IFERROR(__xludf.DUMMYFUNCTION("""COMPUTED_VALUE"""),"Действителен до 26.02.2025")</f>
        <v>Действителен до 26.02.2025</v>
      </c>
      <c r="D939" s="8" t="str">
        <f ca="1">IFERROR(__xludf.DUMMYFUNCTION("""COMPUTED_VALUE"""),"0220058KZ58")</f>
        <v>0220058KZ58</v>
      </c>
      <c r="E939" s="1" t="str">
        <f ca="1">IFERROR(__xludf.DUMMYFUNCTION("""COMPUTED_VALUE"""),"годен до 26.02.2025")</f>
        <v>годен до 26.02.2025</v>
      </c>
      <c r="F939" s="1" t="str">
        <f ca="1">IFERROR(__xludf.DUMMYFUNCTION("""COMPUTED_VALUE"""),"Бандаж для руки поддерживающий облегченный (косынка) 9912 M (черный) (Болгария) - 0220058KZ58")</f>
        <v>Бандаж для руки поддерживающий облегченный (косынка) 9912 M (черный) (Болгария) - 0220058KZ58</v>
      </c>
      <c r="G939" s="1" t="str">
        <f ca="1">IFERROR(__xludf.DUMMYFUNCTION("""COMPUTED_VALUE"""),"KZ.7700.02.01.00637984 / Действителен до 26.02.2025 / 0220058KZ58 / годен до 26.02.2025")</f>
        <v>KZ.7700.02.01.00637984 / Действителен до 26.02.2025 / 0220058KZ58 / годен до 26.02.2025</v>
      </c>
      <c r="H939" s="1" t="str">
        <f ca="1">IFERROR(__xludf.DUMMYFUNCTION("""COMPUTED_VALUE"""),"Бандаж для руки поддерживающий облегченный (косынка) 9912 M (черный) (Болгария) KZ.7700.02.01.00637984 / Действителен до 26.02.2025 / 0220058KZ58 / годен до 26.02.2025")</f>
        <v>Бандаж для руки поддерживающий облегченный (косынка) 9912 M (черный) (Болгария) KZ.7700.02.01.00637984 / Действителен до 26.02.2025 / 0220058KZ58 / годен до 26.02.2025</v>
      </c>
    </row>
    <row r="940" spans="1:8" ht="12.75" x14ac:dyDescent="0.2">
      <c r="A940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940" s="1" t="str">
        <f ca="1">IFERROR(__xludf.DUMMYFUNCTION("""COMPUTED_VALUE"""),"KZ.7700.02.01.00638002")</f>
        <v>KZ.7700.02.01.00638002</v>
      </c>
      <c r="C940" s="1" t="str">
        <f ca="1">IFERROR(__xludf.DUMMYFUNCTION("""COMPUTED_VALUE"""),"Действителен до 26.02.2025")</f>
        <v>Действителен до 26.02.2025</v>
      </c>
      <c r="D940" s="8" t="str">
        <f ca="1">IFERROR(__xludf.DUMMYFUNCTION("""COMPUTED_VALUE"""),"0220058KZ58")</f>
        <v>0220058KZ58</v>
      </c>
      <c r="E940" s="1" t="str">
        <f ca="1">IFERROR(__xludf.DUMMYFUNCTION("""COMPUTED_VALUE"""),"годен до 26.02.2025")</f>
        <v>годен до 26.02.2025</v>
      </c>
      <c r="F940" s="1" t="str">
        <f ca="1">IFERROR(__xludf.DUMMYFUNCTION("""COMPUTED_VALUE"""),"Бинт эластичный медицинский средней растяжимости (ширина 80 мм) 02х80х1 - 0220058KZ58")</f>
        <v>Бинт эластичный медицинский средней растяжимости (ширина 80 мм) 02х80х1 - 0220058KZ58</v>
      </c>
      <c r="G940" s="1" t="str">
        <f ca="1">IFERROR(__xludf.DUMMYFUNCTION("""COMPUTED_VALUE"""),"KZ.7700.02.01.00638002 / Действителен до 26.02.2025 / 0220058KZ58 / годен до 26.02.2025")</f>
        <v>KZ.7700.02.01.00638002 / Действителен до 26.02.2025 / 0220058KZ58 / годен до 26.02.2025</v>
      </c>
      <c r="H940" s="1" t="str">
        <f ca="1">IFERROR(__xludf.DUMMYFUNCTION("""COMPUTED_VALUE"""),"Бинт эластичный медицинский средней растяжимости (ширина 80 мм) 02х80х1 KZ.7700.02.01.00638002 / Действителен до 26.02.2025 / 0220058KZ58 / годен до 26.02.2025")</f>
        <v>Бинт эластичный медицинский средней растяжимости (ширина 80 мм) 02х80х1 KZ.7700.02.01.00638002 / Действителен до 26.02.2025 / 0220058KZ58 / годен до 26.02.2025</v>
      </c>
    </row>
    <row r="941" spans="1:8" ht="12.75" x14ac:dyDescent="0.2">
      <c r="A941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941" s="1" t="str">
        <f ca="1">IFERROR(__xludf.DUMMYFUNCTION("""COMPUTED_VALUE"""),"KZ.7700.02.01.00638004")</f>
        <v>KZ.7700.02.01.00638004</v>
      </c>
      <c r="C941" s="1" t="str">
        <f ca="1">IFERROR(__xludf.DUMMYFUNCTION("""COMPUTED_VALUE"""),"Действителен до 26.02.2025")</f>
        <v>Действителен до 26.02.2025</v>
      </c>
      <c r="D941" s="8" t="str">
        <f ca="1">IFERROR(__xludf.DUMMYFUNCTION("""COMPUTED_VALUE"""),"0220058KZ58")</f>
        <v>0220058KZ58</v>
      </c>
      <c r="E941" s="1" t="str">
        <f ca="1">IFERROR(__xludf.DUMMYFUNCTION("""COMPUTED_VALUE"""),"годен до 26.02.2025")</f>
        <v>годен до 26.02.2025</v>
      </c>
      <c r="F941" s="1" t="str">
        <f ca="1">IFERROR(__xludf.DUMMYFUNCTION("""COMPUTED_VALUE"""),"Бинт эластичный медицинский средней растяжимости (ширина 80 мм) 02х80х2.5 - 0220058KZ58")</f>
        <v>Бинт эластичный медицинский средней растяжимости (ширина 80 мм) 02х80х2.5 - 0220058KZ58</v>
      </c>
      <c r="G941" s="1" t="str">
        <f ca="1">IFERROR(__xludf.DUMMYFUNCTION("""COMPUTED_VALUE"""),"KZ.7700.02.01.00638004 / Действителен до 26.02.2025 / 0220058KZ58 / годен до 26.02.2025")</f>
        <v>KZ.7700.02.01.00638004 / Действителен до 26.02.2025 / 0220058KZ58 / годен до 26.02.2025</v>
      </c>
      <c r="H941" s="1" t="str">
        <f ca="1">IFERROR(__xludf.DUMMYFUNCTION("""COMPUTED_VALUE"""),"Бинт эластичный медицинский средней растяжимости (ширина 80 мм) 02х80х2.5 KZ.7700.02.01.00638004 / Действителен до 26.02.2025 / 0220058KZ58 / годен до 26.02.2025")</f>
        <v>Бинт эластичный медицинский средней растяжимости (ширина 80 мм) 02х80х2.5 KZ.7700.02.01.00638004 / Действителен до 26.02.2025 / 0220058KZ58 / годен до 26.02.2025</v>
      </c>
    </row>
    <row r="942" spans="1:8" ht="12.75" x14ac:dyDescent="0.2">
      <c r="A942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942" s="1" t="str">
        <f ca="1">IFERROR(__xludf.DUMMYFUNCTION("""COMPUTED_VALUE"""),"KZ.7700.02.01.00637969")</f>
        <v>KZ.7700.02.01.00637969</v>
      </c>
      <c r="C942" s="1" t="str">
        <f ca="1">IFERROR(__xludf.DUMMYFUNCTION("""COMPUTED_VALUE"""),"Действителен до 26.02.2025")</f>
        <v>Действителен до 26.02.2025</v>
      </c>
      <c r="D942" s="8" t="str">
        <f ca="1">IFERROR(__xludf.DUMMYFUNCTION("""COMPUTED_VALUE"""),"0220058KZ58")</f>
        <v>0220058KZ58</v>
      </c>
      <c r="E942" s="1" t="str">
        <f ca="1">IFERROR(__xludf.DUMMYFUNCTION("""COMPUTED_VALUE"""),"годен до 26.02.2025")</f>
        <v>годен до 26.02.2025</v>
      </c>
      <c r="F942" s="1" t="str">
        <f ca="1">IFERROR(__xludf.DUMMYFUNCTION("""COMPUTED_VALUE"""),"Бинт эластичный медицинский средней растяжимости (ширина 80 мм) 02х80х2 - 0220058KZ58")</f>
        <v>Бинт эластичный медицинский средней растяжимости (ширина 80 мм) 02х80х2 - 0220058KZ58</v>
      </c>
      <c r="G942" s="1" t="str">
        <f ca="1">IFERROR(__xludf.DUMMYFUNCTION("""COMPUTED_VALUE"""),"KZ.7700.02.01.00637969 / Действителен до 26.02.2025 / 0220058KZ58 / годен до 26.02.2025")</f>
        <v>KZ.7700.02.01.00637969 / Действителен до 26.02.2025 / 0220058KZ58 / годен до 26.02.2025</v>
      </c>
      <c r="H942" s="1" t="str">
        <f ca="1">IFERROR(__xludf.DUMMYFUNCTION("""COMPUTED_VALUE"""),"Бинт эластичный медицинский средней растяжимости (ширина 80 мм) 02х80х2 KZ.7700.02.01.00637969 / Действителен до 26.02.2025 / 0220058KZ58 / годен до 26.02.2025")</f>
        <v>Бинт эластичный медицинский средней растяжимости (ширина 80 мм) 02х80х2 KZ.7700.02.01.00637969 / Действителен до 26.02.2025 / 0220058KZ58 / годен до 26.02.2025</v>
      </c>
    </row>
    <row r="943" spans="1:8" ht="12.75" x14ac:dyDescent="0.2">
      <c r="A943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943" s="1" t="str">
        <f ca="1">IFERROR(__xludf.DUMMYFUNCTION("""COMPUTED_VALUE"""),"KZ.7700.02.01.00638006")</f>
        <v>KZ.7700.02.01.00638006</v>
      </c>
      <c r="C943" s="1" t="str">
        <f ca="1">IFERROR(__xludf.DUMMYFUNCTION("""COMPUTED_VALUE"""),"Действителен до 26.02.2025")</f>
        <v>Действителен до 26.02.2025</v>
      </c>
      <c r="D943" s="8" t="str">
        <f ca="1">IFERROR(__xludf.DUMMYFUNCTION("""COMPUTED_VALUE"""),"0220058KZ58")</f>
        <v>0220058KZ58</v>
      </c>
      <c r="E943" s="1" t="str">
        <f ca="1">IFERROR(__xludf.DUMMYFUNCTION("""COMPUTED_VALUE"""),"годен до 26.02.2025")</f>
        <v>годен до 26.02.2025</v>
      </c>
      <c r="F943" s="1" t="str">
        <f ca="1">IFERROR(__xludf.DUMMYFUNCTION("""COMPUTED_VALUE"""),"Бинт эластичный медицинский средней растяжимости (ширина 80 мм) 02х80х3.5 - 0220058KZ58")</f>
        <v>Бинт эластичный медицинский средней растяжимости (ширина 80 мм) 02х80х3.5 - 0220058KZ58</v>
      </c>
      <c r="G943" s="1" t="str">
        <f ca="1">IFERROR(__xludf.DUMMYFUNCTION("""COMPUTED_VALUE"""),"KZ.7700.02.01.00638006 / Действителен до 26.02.2025 / 0220058KZ58 / годен до 26.02.2025")</f>
        <v>KZ.7700.02.01.00638006 / Действителен до 26.02.2025 / 0220058KZ58 / годен до 26.02.2025</v>
      </c>
      <c r="H943" s="1" t="str">
        <f ca="1">IFERROR(__xludf.DUMMYFUNCTION("""COMPUTED_VALUE"""),"Бинт эластичный медицинский средней растяжимости (ширина 80 мм) 02х80х3.5 KZ.7700.02.01.00638006 / Действителен до 26.02.2025 / 0220058KZ58 / годен до 26.02.2025")</f>
        <v>Бинт эластичный медицинский средней растяжимости (ширина 80 мм) 02х80х3.5 KZ.7700.02.01.00638006 / Действителен до 26.02.2025 / 0220058KZ58 / годен до 26.02.2025</v>
      </c>
    </row>
    <row r="944" spans="1:8" ht="12.75" x14ac:dyDescent="0.2">
      <c r="A944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944" s="1" t="str">
        <f ca="1">IFERROR(__xludf.DUMMYFUNCTION("""COMPUTED_VALUE"""),"KZ.7700.02.01.00638005")</f>
        <v>KZ.7700.02.01.00638005</v>
      </c>
      <c r="C944" s="1" t="str">
        <f ca="1">IFERROR(__xludf.DUMMYFUNCTION("""COMPUTED_VALUE"""),"Действителен до 26.02.2025")</f>
        <v>Действителен до 26.02.2025</v>
      </c>
      <c r="D944" s="8" t="str">
        <f ca="1">IFERROR(__xludf.DUMMYFUNCTION("""COMPUTED_VALUE"""),"0220058KZ58")</f>
        <v>0220058KZ58</v>
      </c>
      <c r="E944" s="1" t="str">
        <f ca="1">IFERROR(__xludf.DUMMYFUNCTION("""COMPUTED_VALUE"""),"годен до 26.02.2025")</f>
        <v>годен до 26.02.2025</v>
      </c>
      <c r="F944" s="1" t="str">
        <f ca="1">IFERROR(__xludf.DUMMYFUNCTION("""COMPUTED_VALUE"""),"Бинт эластичный медицинский средней растяжимости (ширина 80 мм) 02х80х3 - 0220058KZ58")</f>
        <v>Бинт эластичный медицинский средней растяжимости (ширина 80 мм) 02х80х3 - 0220058KZ58</v>
      </c>
      <c r="G944" s="1" t="str">
        <f ca="1">IFERROR(__xludf.DUMMYFUNCTION("""COMPUTED_VALUE"""),"KZ.7700.02.01.00638005 / Действителен до 26.02.2025 / 0220058KZ58 / годен до 26.02.2025")</f>
        <v>KZ.7700.02.01.00638005 / Действителен до 26.02.2025 / 0220058KZ58 / годен до 26.02.2025</v>
      </c>
      <c r="H944" s="1" t="str">
        <f ca="1">IFERROR(__xludf.DUMMYFUNCTION("""COMPUTED_VALUE"""),"Бинт эластичный медицинский средней растяжимости (ширина 80 мм) 02х80х3 KZ.7700.02.01.00638005 / Действителен до 26.02.2025 / 0220058KZ58 / годен до 26.02.2025")</f>
        <v>Бинт эластичный медицинский средней растяжимости (ширина 80 мм) 02х80х3 KZ.7700.02.01.00638005 / Действителен до 26.02.2025 / 0220058KZ58 / годен до 26.02.2025</v>
      </c>
    </row>
    <row r="945" spans="1:8" ht="12.75" x14ac:dyDescent="0.2">
      <c r="A945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945" s="1" t="str">
        <f ca="1">IFERROR(__xludf.DUMMYFUNCTION("""COMPUTED_VALUE"""),"KZ.7700.02.01.00638007")</f>
        <v>KZ.7700.02.01.00638007</v>
      </c>
      <c r="C945" s="1" t="str">
        <f ca="1">IFERROR(__xludf.DUMMYFUNCTION("""COMPUTED_VALUE"""),"Действителен до 26.02.2025")</f>
        <v>Действителен до 26.02.2025</v>
      </c>
      <c r="D945" s="8" t="str">
        <f ca="1">IFERROR(__xludf.DUMMYFUNCTION("""COMPUTED_VALUE"""),"0220058KZ58")</f>
        <v>0220058KZ58</v>
      </c>
      <c r="E945" s="1" t="str">
        <f ca="1">IFERROR(__xludf.DUMMYFUNCTION("""COMPUTED_VALUE"""),"годен до 26.02.2025")</f>
        <v>годен до 26.02.2025</v>
      </c>
      <c r="F945" s="1" t="str">
        <f ca="1">IFERROR(__xludf.DUMMYFUNCTION("""COMPUTED_VALUE"""),"Бинт эластичный медицинский средней растяжимости (ширина 80 мм) 02х80х4 - 0220058KZ58")</f>
        <v>Бинт эластичный медицинский средней растяжимости (ширина 80 мм) 02х80х4 - 0220058KZ58</v>
      </c>
      <c r="G945" s="1" t="str">
        <f ca="1">IFERROR(__xludf.DUMMYFUNCTION("""COMPUTED_VALUE"""),"KZ.7700.02.01.00638007 / Действителен до 26.02.2025 / 0220058KZ58 / годен до 26.02.2025")</f>
        <v>KZ.7700.02.01.00638007 / Действителен до 26.02.2025 / 0220058KZ58 / годен до 26.02.2025</v>
      </c>
      <c r="H945" s="1" t="str">
        <f ca="1">IFERROR(__xludf.DUMMYFUNCTION("""COMPUTED_VALUE"""),"Бинт эластичный медицинский средней растяжимости (ширина 80 мм) 02х80х4 KZ.7700.02.01.00638007 / Действителен до 26.02.2025 / 0220058KZ58 / годен до 26.02.2025")</f>
        <v>Бинт эластичный медицинский средней растяжимости (ширина 80 мм) 02х80х4 KZ.7700.02.01.00638007 / Действителен до 26.02.2025 / 0220058KZ58 / годен до 26.02.2025</v>
      </c>
    </row>
    <row r="946" spans="1:8" ht="12.75" x14ac:dyDescent="0.2">
      <c r="A946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946" s="1" t="str">
        <f ca="1">IFERROR(__xludf.DUMMYFUNCTION("""COMPUTED_VALUE"""),"KZ.7700.02.01.00638008")</f>
        <v>KZ.7700.02.01.00638008</v>
      </c>
      <c r="C946" s="1" t="str">
        <f ca="1">IFERROR(__xludf.DUMMYFUNCTION("""COMPUTED_VALUE"""),"Действителен до 26.02.2025")</f>
        <v>Действителен до 26.02.2025</v>
      </c>
      <c r="D946" s="8" t="str">
        <f ca="1">IFERROR(__xludf.DUMMYFUNCTION("""COMPUTED_VALUE"""),"0220058KZ58")</f>
        <v>0220058KZ58</v>
      </c>
      <c r="E946" s="1" t="str">
        <f ca="1">IFERROR(__xludf.DUMMYFUNCTION("""COMPUTED_VALUE"""),"годен до 26.02.2025")</f>
        <v>годен до 26.02.2025</v>
      </c>
      <c r="F946" s="1" t="str">
        <f ca="1">IFERROR(__xludf.DUMMYFUNCTION("""COMPUTED_VALUE"""),"Бинт эластичный медицинский средней растяжимости (ширина 80 мм) 02х80х5 - 0220058KZ58")</f>
        <v>Бинт эластичный медицинский средней растяжимости (ширина 80 мм) 02х80х5 - 0220058KZ58</v>
      </c>
      <c r="G946" s="1" t="str">
        <f ca="1">IFERROR(__xludf.DUMMYFUNCTION("""COMPUTED_VALUE"""),"KZ.7700.02.01.00638008 / Действителен до 26.02.2025 / 0220058KZ58 / годен до 26.02.2025")</f>
        <v>KZ.7700.02.01.00638008 / Действителен до 26.02.2025 / 0220058KZ58 / годен до 26.02.2025</v>
      </c>
      <c r="H946" s="1" t="str">
        <f ca="1">IFERROR(__xludf.DUMMYFUNCTION("""COMPUTED_VALUE"""),"Бинт эластичный медицинский средней растяжимости (ширина 80 мм) 02х80х5 KZ.7700.02.01.00638008 / Действителен до 26.02.2025 / 0220058KZ58 / годен до 26.02.2025")</f>
        <v>Бинт эластичный медицинский средней растяжимости (ширина 80 мм) 02х80х5 KZ.7700.02.01.00638008 / Действителен до 26.02.2025 / 0220058KZ58 / годен до 26.02.2025</v>
      </c>
    </row>
    <row r="947" spans="1:8" ht="12.75" x14ac:dyDescent="0.2">
      <c r="A947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947" s="1" t="str">
        <f ca="1">IFERROR(__xludf.DUMMYFUNCTION("""COMPUTED_VALUE"""),"KZ.7700.02.01.00637983")</f>
        <v>KZ.7700.02.01.00637983</v>
      </c>
      <c r="C947" s="1" t="str">
        <f ca="1">IFERROR(__xludf.DUMMYFUNCTION("""COMPUTED_VALUE"""),"Действителен до 26.02.2025")</f>
        <v>Действителен до 26.02.2025</v>
      </c>
      <c r="D947" s="8" t="str">
        <f ca="1">IFERROR(__xludf.DUMMYFUNCTION("""COMPUTED_VALUE"""),"0220058KZ58")</f>
        <v>0220058KZ58</v>
      </c>
      <c r="E947" s="1" t="str">
        <f ca="1">IFERROR(__xludf.DUMMYFUNCTION("""COMPUTED_VALUE"""),"годен до 26.02.2025")</f>
        <v>годен до 26.02.2025</v>
      </c>
      <c r="F947" s="1" t="str">
        <f ca="1">IFERROR(__xludf.DUMMYFUNCTION("""COMPUTED_VALUE"""),"Бинт эластичный медицинский средней растяжимости (ширина 80 мм) 02х80х1.5 - 0220058KZ58")</f>
        <v>Бинт эластичный медицинский средней растяжимости (ширина 80 мм) 02х80х1.5 - 0220058KZ58</v>
      </c>
      <c r="G947" s="1" t="str">
        <f ca="1">IFERROR(__xludf.DUMMYFUNCTION("""COMPUTED_VALUE"""),"KZ.7700.02.01.00637983 / Действителен до 26.02.2025 / 0220058KZ58 / годен до 26.02.2025")</f>
        <v>KZ.7700.02.01.00637983 / Действителен до 26.02.2025 / 0220058KZ58 / годен до 26.02.2025</v>
      </c>
      <c r="H947" s="1" t="str">
        <f ca="1">IFERROR(__xludf.DUMMYFUNCTION("""COMPUTED_VALUE"""),"Бинт эластичный медицинский средней растяжимости (ширина 80 мм) 02х80х1.5 KZ.7700.02.01.00637983 / Действителен до 26.02.2025 / 0220058KZ58 / годен до 26.02.2025")</f>
        <v>Бинт эластичный медицинский средней растяжимости (ширина 80 мм) 02х80х1.5 KZ.7700.02.01.00637983 / Действителен до 26.02.2025 / 0220058KZ58 / годен до 26.02.2025</v>
      </c>
    </row>
    <row r="948" spans="1:8" ht="12.75" x14ac:dyDescent="0.2">
      <c r="A948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948" s="1" t="str">
        <f ca="1">IFERROR(__xludf.DUMMYFUNCTION("""COMPUTED_VALUE"""),"KZ.7700.02.01.00548553")</f>
        <v>KZ.7700.02.01.00548553</v>
      </c>
      <c r="C948" s="1" t="str">
        <f ca="1">IFERROR(__xludf.DUMMYFUNCTION("""COMPUTED_VALUE"""),"Действителен до 10.01.2024")</f>
        <v>Действителен до 10.01.2024</v>
      </c>
      <c r="D948" s="8" t="str">
        <f ca="1">IFERROR(__xludf.DUMMYFUNCTION("""COMPUTED_VALUE"""),"0119047KZ45")</f>
        <v>0119047KZ45</v>
      </c>
      <c r="E948" s="1" t="str">
        <f ca="1">IFERROR(__xludf.DUMMYFUNCTION("""COMPUTED_VALUE"""),"годен до 10.01.2024")</f>
        <v>годен до 10.01.2024</v>
      </c>
      <c r="F948" s="1" t="str">
        <f ca="1">IFERROR(__xludf.DUMMYFUNCTION("""COMPUTED_VALUE"""),"Бандаж универсальный 4011 XXXL/XXXXL (Болгария) - 0119047KZ45")</f>
        <v>Бандаж универсальный 4011 XXXL/XXXXL (Болгария) - 0119047KZ45</v>
      </c>
      <c r="G948" s="1" t="str">
        <f ca="1">IFERROR(__xludf.DUMMYFUNCTION("""COMPUTED_VALUE"""),"KZ.7700.02.01.00548553 / Действителен до 10.01.2024 / 0119047KZ45 / годен до 10.01.2024")</f>
        <v>KZ.7700.02.01.00548553 / Действителен до 10.01.2024 / 0119047KZ45 / годен до 10.01.2024</v>
      </c>
      <c r="H948" s="1" t="str">
        <f ca="1">IFERROR(__xludf.DUMMYFUNCTION("""COMPUTED_VALUE"""),"Бандаж универсальный 4011 XXXL/XXXXL (Болгария) KZ.7700.02.01.00548553 / Действителен до 10.01.2024 / 0119047KZ45 / годен до 10.01.2024")</f>
        <v>Бандаж универсальный 4011 XXXL/XXXXL (Болгария) KZ.7700.02.01.00548553 / Действителен до 10.01.2024 / 0119047KZ45 / годен до 10.01.2024</v>
      </c>
    </row>
    <row r="949" spans="1:8" ht="12.75" x14ac:dyDescent="0.2">
      <c r="A949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949" s="1" t="str">
        <f ca="1">IFERROR(__xludf.DUMMYFUNCTION("""COMPUTED_VALUE"""),"KZ.7700.02.01.00548537")</f>
        <v>KZ.7700.02.01.00548537</v>
      </c>
      <c r="C949" s="1" t="str">
        <f ca="1">IFERROR(__xludf.DUMMYFUNCTION("""COMPUTED_VALUE"""),"Действителен до 10.01.2024")</f>
        <v>Действителен до 10.01.2024</v>
      </c>
      <c r="D949" s="8" t="str">
        <f ca="1">IFERROR(__xludf.DUMMYFUNCTION("""COMPUTED_VALUE"""),"0119047KZ45")</f>
        <v>0119047KZ45</v>
      </c>
      <c r="E949" s="1" t="str">
        <f ca="1">IFERROR(__xludf.DUMMYFUNCTION("""COMPUTED_VALUE"""),"годен до 10.01.2024")</f>
        <v>годен до 10.01.2024</v>
      </c>
      <c r="F949" s="1" t="str">
        <f ca="1">IFERROR(__xludf.DUMMYFUNCTION("""COMPUTED_VALUE"""),"Бандаж лечебно–профилактический (с тремя ребрами жесткости) 4001 S (Болгария) - 0119047KZ45")</f>
        <v>Бандаж лечебно–профилактический (с тремя ребрами жесткости) 4001 S (Болгария) - 0119047KZ45</v>
      </c>
      <c r="G949" s="1" t="str">
        <f ca="1">IFERROR(__xludf.DUMMYFUNCTION("""COMPUTED_VALUE"""),"KZ.7700.02.01.00548537 / Действителен до 10.01.2024 / 0119047KZ45 / годен до 10.01.2024")</f>
        <v>KZ.7700.02.01.00548537 / Действителен до 10.01.2024 / 0119047KZ45 / годен до 10.01.2024</v>
      </c>
      <c r="H949" s="1" t="str">
        <f ca="1">IFERROR(__xludf.DUMMYFUNCTION("""COMPUTED_VALUE"""),"Бандаж лечебно–профилактический (с тремя ребрами жесткости) 4001 S (Болгария) KZ.7700.02.01.00548537 / Действителен до 10.01.2024 / 0119047KZ45 / годен до 10.01.2024")</f>
        <v>Бандаж лечебно–профилактический (с тремя ребрами жесткости) 4001 S (Болгария) KZ.7700.02.01.00548537 / Действителен до 10.01.2024 / 0119047KZ45 / годен до 10.01.2024</v>
      </c>
    </row>
    <row r="950" spans="1:8" ht="12.75" x14ac:dyDescent="0.2">
      <c r="A950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950" s="1" t="str">
        <f ca="1">IFERROR(__xludf.DUMMYFUNCTION("""COMPUTED_VALUE"""),"KZ.7700.02.01.00548538")</f>
        <v>KZ.7700.02.01.00548538</v>
      </c>
      <c r="C950" s="1" t="str">
        <f ca="1">IFERROR(__xludf.DUMMYFUNCTION("""COMPUTED_VALUE"""),"Действителен до 10.01.2024")</f>
        <v>Действителен до 10.01.2024</v>
      </c>
      <c r="D950" s="8" t="str">
        <f ca="1">IFERROR(__xludf.DUMMYFUNCTION("""COMPUTED_VALUE"""),"0119047KZ45")</f>
        <v>0119047KZ45</v>
      </c>
      <c r="E950" s="1" t="str">
        <f ca="1">IFERROR(__xludf.DUMMYFUNCTION("""COMPUTED_VALUE"""),"годен до 10.01.2024")</f>
        <v>годен до 10.01.2024</v>
      </c>
      <c r="F950" s="1" t="str">
        <f ca="1">IFERROR(__xludf.DUMMYFUNCTION("""COMPUTED_VALUE"""),"Бандаж лечебно–профилактический (с тремя ребрами жесткости) 4001 M (Болгария) - 0119047KZ45")</f>
        <v>Бандаж лечебно–профилактический (с тремя ребрами жесткости) 4001 M (Болгария) - 0119047KZ45</v>
      </c>
      <c r="G950" s="1" t="str">
        <f ca="1">IFERROR(__xludf.DUMMYFUNCTION("""COMPUTED_VALUE"""),"KZ.7700.02.01.00548538 / Действителен до 10.01.2024 / 0119047KZ45 / годен до 10.01.2024")</f>
        <v>KZ.7700.02.01.00548538 / Действителен до 10.01.2024 / 0119047KZ45 / годен до 10.01.2024</v>
      </c>
      <c r="H950" s="1" t="str">
        <f ca="1">IFERROR(__xludf.DUMMYFUNCTION("""COMPUTED_VALUE"""),"Бандаж лечебно–профилактический (с тремя ребрами жесткости) 4001 M (Болгария) KZ.7700.02.01.00548538 / Действителен до 10.01.2024 / 0119047KZ45 / годен до 10.01.2024")</f>
        <v>Бандаж лечебно–профилактический (с тремя ребрами жесткости) 4001 M (Болгария) KZ.7700.02.01.00548538 / Действителен до 10.01.2024 / 0119047KZ45 / годен до 10.01.2024</v>
      </c>
    </row>
    <row r="951" spans="1:8" ht="12.75" x14ac:dyDescent="0.2">
      <c r="A951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951" s="1" t="str">
        <f ca="1">IFERROR(__xludf.DUMMYFUNCTION("""COMPUTED_VALUE"""),"KZ.7700.02.01.00548539")</f>
        <v>KZ.7700.02.01.00548539</v>
      </c>
      <c r="C951" s="1" t="str">
        <f ca="1">IFERROR(__xludf.DUMMYFUNCTION("""COMPUTED_VALUE"""),"Действителен до 10.01.2024")</f>
        <v>Действителен до 10.01.2024</v>
      </c>
      <c r="D951" s="8" t="str">
        <f ca="1">IFERROR(__xludf.DUMMYFUNCTION("""COMPUTED_VALUE"""),"0119047KZ45")</f>
        <v>0119047KZ45</v>
      </c>
      <c r="E951" s="1" t="str">
        <f ca="1">IFERROR(__xludf.DUMMYFUNCTION("""COMPUTED_VALUE"""),"годен до 10.01.2024")</f>
        <v>годен до 10.01.2024</v>
      </c>
      <c r="F951" s="1" t="str">
        <f ca="1">IFERROR(__xludf.DUMMYFUNCTION("""COMPUTED_VALUE"""),"Бандаж лечебно–профилактический (с тремя ребрами жесткости) 4001 L (Болгария) - 0119047KZ45")</f>
        <v>Бандаж лечебно–профилактический (с тремя ребрами жесткости) 4001 L (Болгария) - 0119047KZ45</v>
      </c>
      <c r="G951" s="1" t="str">
        <f ca="1">IFERROR(__xludf.DUMMYFUNCTION("""COMPUTED_VALUE"""),"KZ.7700.02.01.00548539 / Действителен до 10.01.2024 / 0119047KZ45 / годен до 10.01.2024")</f>
        <v>KZ.7700.02.01.00548539 / Действителен до 10.01.2024 / 0119047KZ45 / годен до 10.01.2024</v>
      </c>
      <c r="H951" s="1" t="str">
        <f ca="1">IFERROR(__xludf.DUMMYFUNCTION("""COMPUTED_VALUE"""),"Бандаж лечебно–профилактический (с тремя ребрами жесткости) 4001 L (Болгария) KZ.7700.02.01.00548539 / Действителен до 10.01.2024 / 0119047KZ45 / годен до 10.01.2024")</f>
        <v>Бандаж лечебно–профилактический (с тремя ребрами жесткости) 4001 L (Болгария) KZ.7700.02.01.00548539 / Действителен до 10.01.2024 / 0119047KZ45 / годен до 10.01.2024</v>
      </c>
    </row>
    <row r="952" spans="1:8" ht="12.75" x14ac:dyDescent="0.2">
      <c r="A952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952" s="1" t="str">
        <f ca="1">IFERROR(__xludf.DUMMYFUNCTION("""COMPUTED_VALUE"""),"KZ.7700.02.01.00548541")</f>
        <v>KZ.7700.02.01.00548541</v>
      </c>
      <c r="C952" s="1" t="str">
        <f ca="1">IFERROR(__xludf.DUMMYFUNCTION("""COMPUTED_VALUE"""),"Действителен до 10.01.2024")</f>
        <v>Действителен до 10.01.2024</v>
      </c>
      <c r="D952" s="8" t="str">
        <f ca="1">IFERROR(__xludf.DUMMYFUNCTION("""COMPUTED_VALUE"""),"0119047KZ45")</f>
        <v>0119047KZ45</v>
      </c>
      <c r="E952" s="1" t="str">
        <f ca="1">IFERROR(__xludf.DUMMYFUNCTION("""COMPUTED_VALUE"""),"годен до 10.01.2024")</f>
        <v>годен до 10.01.2024</v>
      </c>
      <c r="F952" s="1" t="str">
        <f ca="1">IFERROR(__xludf.DUMMYFUNCTION("""COMPUTED_VALUE"""),"Бандаж лечебно–профилактический (с тремя ребрами жесткости) 4001 XL (Болгария) - 0119047KZ45")</f>
        <v>Бандаж лечебно–профилактический (с тремя ребрами жесткости) 4001 XL (Болгария) - 0119047KZ45</v>
      </c>
      <c r="G952" s="1" t="str">
        <f ca="1">IFERROR(__xludf.DUMMYFUNCTION("""COMPUTED_VALUE"""),"KZ.7700.02.01.00548541 / Действителен до 10.01.2024 / 0119047KZ45 / годен до 10.01.2024")</f>
        <v>KZ.7700.02.01.00548541 / Действителен до 10.01.2024 / 0119047KZ45 / годен до 10.01.2024</v>
      </c>
      <c r="H952" s="1" t="str">
        <f ca="1">IFERROR(__xludf.DUMMYFUNCTION("""COMPUTED_VALUE"""),"Бандаж лечебно–профилактический (с тремя ребрами жесткости) 4001 XL (Болгария) KZ.7700.02.01.00548541 / Действителен до 10.01.2024 / 0119047KZ45 / годен до 10.01.2024")</f>
        <v>Бандаж лечебно–профилактический (с тремя ребрами жесткости) 4001 XL (Болгария) KZ.7700.02.01.00548541 / Действителен до 10.01.2024 / 0119047KZ45 / годен до 10.01.2024</v>
      </c>
    </row>
    <row r="953" spans="1:8" ht="12.75" x14ac:dyDescent="0.2">
      <c r="A953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953" s="1" t="str">
        <f ca="1">IFERROR(__xludf.DUMMYFUNCTION("""COMPUTED_VALUE"""),"KZ.7700.02.01.00548542")</f>
        <v>KZ.7700.02.01.00548542</v>
      </c>
      <c r="C953" s="1" t="str">
        <f ca="1">IFERROR(__xludf.DUMMYFUNCTION("""COMPUTED_VALUE"""),"Действителен до 10.01.2024")</f>
        <v>Действителен до 10.01.2024</v>
      </c>
      <c r="D953" s="8" t="str">
        <f ca="1">IFERROR(__xludf.DUMMYFUNCTION("""COMPUTED_VALUE"""),"0119047KZ45")</f>
        <v>0119047KZ45</v>
      </c>
      <c r="E953" s="1" t="str">
        <f ca="1">IFERROR(__xludf.DUMMYFUNCTION("""COMPUTED_VALUE"""),"годен до 10.01.2024")</f>
        <v>годен до 10.01.2024</v>
      </c>
      <c r="F953" s="1" t="str">
        <f ca="1">IFERROR(__xludf.DUMMYFUNCTION("""COMPUTED_VALUE"""),"Бандаж лечебно–профилактический (с тремя ребрами жесткости) 4001 XXL (Болгария) - 0119047KZ45")</f>
        <v>Бандаж лечебно–профилактический (с тремя ребрами жесткости) 4001 XXL (Болгария) - 0119047KZ45</v>
      </c>
      <c r="G953" s="1" t="str">
        <f ca="1">IFERROR(__xludf.DUMMYFUNCTION("""COMPUTED_VALUE"""),"KZ.7700.02.01.00548542 / Действителен до 10.01.2024 / 0119047KZ45 / годен до 10.01.2024")</f>
        <v>KZ.7700.02.01.00548542 / Действителен до 10.01.2024 / 0119047KZ45 / годен до 10.01.2024</v>
      </c>
      <c r="H953" s="1" t="str">
        <f ca="1">IFERROR(__xludf.DUMMYFUNCTION("""COMPUTED_VALUE"""),"Бандаж лечебно–профилактический (с тремя ребрами жесткости) 4001 XXL (Болгария) KZ.7700.02.01.00548542 / Действителен до 10.01.2024 / 0119047KZ45 / годен до 10.01.2024")</f>
        <v>Бандаж лечебно–профилактический (с тремя ребрами жесткости) 4001 XXL (Болгария) KZ.7700.02.01.00548542 / Действителен до 10.01.2024 / 0119047KZ45 / годен до 10.01.2024</v>
      </c>
    </row>
    <row r="954" spans="1:8" ht="12.75" x14ac:dyDescent="0.2">
      <c r="A954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954" s="1" t="str">
        <f ca="1">IFERROR(__xludf.DUMMYFUNCTION("""COMPUTED_VALUE"""),"KZ.7700.02.01.00548543")</f>
        <v>KZ.7700.02.01.00548543</v>
      </c>
      <c r="C954" s="1" t="str">
        <f ca="1">IFERROR(__xludf.DUMMYFUNCTION("""COMPUTED_VALUE"""),"Действителен до 10.01.2024")</f>
        <v>Действителен до 10.01.2024</v>
      </c>
      <c r="D954" s="8" t="str">
        <f ca="1">IFERROR(__xludf.DUMMYFUNCTION("""COMPUTED_VALUE"""),"0119047KZ45")</f>
        <v>0119047KZ45</v>
      </c>
      <c r="E954" s="1" t="str">
        <f ca="1">IFERROR(__xludf.DUMMYFUNCTION("""COMPUTED_VALUE"""),"годен до 10.01.2024")</f>
        <v>годен до 10.01.2024</v>
      </c>
      <c r="F954" s="1" t="str">
        <f ca="1">IFERROR(__xludf.DUMMYFUNCTION("""COMPUTED_VALUE"""),"Бандаж лечебно–профилактический (с тремя ребрами жесткости) 4001 XXXL(Болгария) - 0119047KZ45")</f>
        <v>Бандаж лечебно–профилактический (с тремя ребрами жесткости) 4001 XXXL(Болгария) - 0119047KZ45</v>
      </c>
      <c r="G954" s="1" t="str">
        <f ca="1">IFERROR(__xludf.DUMMYFUNCTION("""COMPUTED_VALUE"""),"KZ.7700.02.01.00548543 / Действителен до 10.01.2024 / 0119047KZ45 / годен до 10.01.2024")</f>
        <v>KZ.7700.02.01.00548543 / Действителен до 10.01.2024 / 0119047KZ45 / годен до 10.01.2024</v>
      </c>
      <c r="H954" s="1" t="str">
        <f ca="1">IFERROR(__xludf.DUMMYFUNCTION("""COMPUTED_VALUE"""),"Бандаж лечебно–профилактический (с тремя ребрами жесткости) 4001 XXXL(Болгария) KZ.7700.02.01.00548543 / Действителен до 10.01.2024 / 0119047KZ45 / годен до 10.01.2024")</f>
        <v>Бандаж лечебно–профилактический (с тремя ребрами жесткости) 4001 XXXL(Болгария) KZ.7700.02.01.00548543 / Действителен до 10.01.2024 / 0119047KZ45 / годен до 10.01.2024</v>
      </c>
    </row>
    <row r="955" spans="1:8" ht="12.75" x14ac:dyDescent="0.2">
      <c r="A955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955" s="1" t="str">
        <f ca="1">IFERROR(__xludf.DUMMYFUNCTION("""COMPUTED_VALUE"""),"KZ.7700.02.01.00548544")</f>
        <v>KZ.7700.02.01.00548544</v>
      </c>
      <c r="C955" s="1" t="str">
        <f ca="1">IFERROR(__xludf.DUMMYFUNCTION("""COMPUTED_VALUE"""),"Действителен до 10.01.2024")</f>
        <v>Действителен до 10.01.2024</v>
      </c>
      <c r="D955" s="8" t="str">
        <f ca="1">IFERROR(__xludf.DUMMYFUNCTION("""COMPUTED_VALUE"""),"0119047KZ45")</f>
        <v>0119047KZ45</v>
      </c>
      <c r="E955" s="1" t="str">
        <f ca="1">IFERROR(__xludf.DUMMYFUNCTION("""COMPUTED_VALUE"""),"годен до 10.01.2024")</f>
        <v>годен до 10.01.2024</v>
      </c>
      <c r="F955" s="1" t="str">
        <f ca="1">IFERROR(__xludf.DUMMYFUNCTION("""COMPUTED_VALUE"""),"Бандаж лечебно–профилактический (с тремя ребрами жесткости) 4001 XXXXL(Болгария) - 0119047KZ45")</f>
        <v>Бандаж лечебно–профилактический (с тремя ребрами жесткости) 4001 XXXXL(Болгария) - 0119047KZ45</v>
      </c>
      <c r="G955" s="1" t="str">
        <f ca="1">IFERROR(__xludf.DUMMYFUNCTION("""COMPUTED_VALUE"""),"KZ.7700.02.01.00548544 / Действителен до 10.01.2024 / 0119047KZ45 / годен до 10.01.2024")</f>
        <v>KZ.7700.02.01.00548544 / Действителен до 10.01.2024 / 0119047KZ45 / годен до 10.01.2024</v>
      </c>
      <c r="H955" s="1" t="str">
        <f ca="1">IFERROR(__xludf.DUMMYFUNCTION("""COMPUTED_VALUE"""),"Бандаж лечебно–профилактический (с тремя ребрами жесткости) 4001 XXXXL(Болгария) KZ.7700.02.01.00548544 / Действителен до 10.01.2024 / 0119047KZ45 / годен до 10.01.2024")</f>
        <v>Бандаж лечебно–профилактический (с тремя ребрами жесткости) 4001 XXXXL(Болгария) KZ.7700.02.01.00548544 / Действителен до 10.01.2024 / 0119047KZ45 / годен до 10.01.2024</v>
      </c>
    </row>
    <row r="956" spans="1:8" ht="12.75" x14ac:dyDescent="0.2">
      <c r="A956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956" s="1" t="str">
        <f ca="1">IFERROR(__xludf.DUMMYFUNCTION("""COMPUTED_VALUE"""),"KZ.7700.02.01.00548545")</f>
        <v>KZ.7700.02.01.00548545</v>
      </c>
      <c r="C956" s="1" t="str">
        <f ca="1">IFERROR(__xludf.DUMMYFUNCTION("""COMPUTED_VALUE"""),"Действителен до 10.01.2024")</f>
        <v>Действителен до 10.01.2024</v>
      </c>
      <c r="D956" s="8" t="str">
        <f ca="1">IFERROR(__xludf.DUMMYFUNCTION("""COMPUTED_VALUE"""),"0119047KZ45")</f>
        <v>0119047KZ45</v>
      </c>
      <c r="E956" s="1" t="str">
        <f ca="1">IFERROR(__xludf.DUMMYFUNCTION("""COMPUTED_VALUE"""),"годен до 10.01.2024")</f>
        <v>годен до 10.01.2024</v>
      </c>
      <c r="F956" s="1" t="str">
        <f ca="1">IFERROR(__xludf.DUMMYFUNCTION("""COMPUTED_VALUE"""),"Бандаж лечебно–профилактический эластичный 4002 S (Болгария) - 0119047KZ45")</f>
        <v>Бандаж лечебно–профилактический эластичный 4002 S (Болгария) - 0119047KZ45</v>
      </c>
      <c r="G956" s="1" t="str">
        <f ca="1">IFERROR(__xludf.DUMMYFUNCTION("""COMPUTED_VALUE"""),"KZ.7700.02.01.00548545 / Действителен до 10.01.2024 / 0119047KZ45 / годен до 10.01.2024")</f>
        <v>KZ.7700.02.01.00548545 / Действителен до 10.01.2024 / 0119047KZ45 / годен до 10.01.2024</v>
      </c>
      <c r="H956" s="1" t="str">
        <f ca="1">IFERROR(__xludf.DUMMYFUNCTION("""COMPUTED_VALUE"""),"Бандаж лечебно–профилактический эластичный 4002 S (Болгария) KZ.7700.02.01.00548545 / Действителен до 10.01.2024 / 0119047KZ45 / годен до 10.01.2024")</f>
        <v>Бандаж лечебно–профилактический эластичный 4002 S (Болгария) KZ.7700.02.01.00548545 / Действителен до 10.01.2024 / 0119047KZ45 / годен до 10.01.2024</v>
      </c>
    </row>
    <row r="957" spans="1:8" ht="12.75" x14ac:dyDescent="0.2">
      <c r="A957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957" s="1" t="str">
        <f ca="1">IFERROR(__xludf.DUMMYFUNCTION("""COMPUTED_VALUE"""),"KZ.7700.02.01.00548546")</f>
        <v>KZ.7700.02.01.00548546</v>
      </c>
      <c r="C957" s="1" t="str">
        <f ca="1">IFERROR(__xludf.DUMMYFUNCTION("""COMPUTED_VALUE"""),"Действителен до 10.01.2024")</f>
        <v>Действителен до 10.01.2024</v>
      </c>
      <c r="D957" s="8" t="str">
        <f ca="1">IFERROR(__xludf.DUMMYFUNCTION("""COMPUTED_VALUE"""),"0119047KZ45")</f>
        <v>0119047KZ45</v>
      </c>
      <c r="E957" s="1" t="str">
        <f ca="1">IFERROR(__xludf.DUMMYFUNCTION("""COMPUTED_VALUE"""),"годен до 10.01.2024")</f>
        <v>годен до 10.01.2024</v>
      </c>
      <c r="F957" s="1" t="str">
        <f ca="1">IFERROR(__xludf.DUMMYFUNCTION("""COMPUTED_VALUE"""),"Бандаж лечебно–профилактический эластичный 4002 M (Болгария) - 0119047KZ45")</f>
        <v>Бандаж лечебно–профилактический эластичный 4002 M (Болгария) - 0119047KZ45</v>
      </c>
      <c r="G957" s="1" t="str">
        <f ca="1">IFERROR(__xludf.DUMMYFUNCTION("""COMPUTED_VALUE"""),"KZ.7700.02.01.00548546 / Действителен до 10.01.2024 / 0119047KZ45 / годен до 10.01.2024")</f>
        <v>KZ.7700.02.01.00548546 / Действителен до 10.01.2024 / 0119047KZ45 / годен до 10.01.2024</v>
      </c>
      <c r="H957" s="1" t="str">
        <f ca="1">IFERROR(__xludf.DUMMYFUNCTION("""COMPUTED_VALUE"""),"Бандаж лечебно–профилактический эластичный 4002 M (Болгария) KZ.7700.02.01.00548546 / Действителен до 10.01.2024 / 0119047KZ45 / годен до 10.01.2024")</f>
        <v>Бандаж лечебно–профилактический эластичный 4002 M (Болгария) KZ.7700.02.01.00548546 / Действителен до 10.01.2024 / 0119047KZ45 / годен до 10.01.2024</v>
      </c>
    </row>
    <row r="958" spans="1:8" ht="12.75" x14ac:dyDescent="0.2">
      <c r="A958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958" s="1" t="str">
        <f ca="1">IFERROR(__xludf.DUMMYFUNCTION("""COMPUTED_VALUE"""),"KZ.7700.02.01.00548547")</f>
        <v>KZ.7700.02.01.00548547</v>
      </c>
      <c r="C958" s="1" t="str">
        <f ca="1">IFERROR(__xludf.DUMMYFUNCTION("""COMPUTED_VALUE"""),"Действителен до 10.01.2024")</f>
        <v>Действителен до 10.01.2024</v>
      </c>
      <c r="D958" s="8" t="str">
        <f ca="1">IFERROR(__xludf.DUMMYFUNCTION("""COMPUTED_VALUE"""),"0119047KZ45")</f>
        <v>0119047KZ45</v>
      </c>
      <c r="E958" s="1" t="str">
        <f ca="1">IFERROR(__xludf.DUMMYFUNCTION("""COMPUTED_VALUE"""),"годен до 10.01.2024")</f>
        <v>годен до 10.01.2024</v>
      </c>
      <c r="F958" s="1" t="str">
        <f ca="1">IFERROR(__xludf.DUMMYFUNCTION("""COMPUTED_VALUE"""),"Бандаж лечебно–профилактический эластичный 4002 L (Болгария) - 0119047KZ45")</f>
        <v>Бандаж лечебно–профилактический эластичный 4002 L (Болгария) - 0119047KZ45</v>
      </c>
      <c r="G958" s="1" t="str">
        <f ca="1">IFERROR(__xludf.DUMMYFUNCTION("""COMPUTED_VALUE"""),"KZ.7700.02.01.00548547 / Действителен до 10.01.2024 / 0119047KZ45 / годен до 10.01.2024")</f>
        <v>KZ.7700.02.01.00548547 / Действителен до 10.01.2024 / 0119047KZ45 / годен до 10.01.2024</v>
      </c>
      <c r="H958" s="1" t="str">
        <f ca="1">IFERROR(__xludf.DUMMYFUNCTION("""COMPUTED_VALUE"""),"Бандаж лечебно–профилактический эластичный 4002 L (Болгария) KZ.7700.02.01.00548547 / Действителен до 10.01.2024 / 0119047KZ45 / годен до 10.01.2024")</f>
        <v>Бандаж лечебно–профилактический эластичный 4002 L (Болгария) KZ.7700.02.01.00548547 / Действителен до 10.01.2024 / 0119047KZ45 / годен до 10.01.2024</v>
      </c>
    </row>
    <row r="959" spans="1:8" ht="12.75" x14ac:dyDescent="0.2">
      <c r="A959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959" s="1" t="str">
        <f ca="1">IFERROR(__xludf.DUMMYFUNCTION("""COMPUTED_VALUE"""),"KZ.7700.02.01.00548548")</f>
        <v>KZ.7700.02.01.00548548</v>
      </c>
      <c r="C959" s="1" t="str">
        <f ca="1">IFERROR(__xludf.DUMMYFUNCTION("""COMPUTED_VALUE"""),"Действителен до 10.01.2024")</f>
        <v>Действителен до 10.01.2024</v>
      </c>
      <c r="D959" s="8" t="str">
        <f ca="1">IFERROR(__xludf.DUMMYFUNCTION("""COMPUTED_VALUE"""),"0119047KZ45")</f>
        <v>0119047KZ45</v>
      </c>
      <c r="E959" s="1" t="str">
        <f ca="1">IFERROR(__xludf.DUMMYFUNCTION("""COMPUTED_VALUE"""),"годен до 10.01.2024")</f>
        <v>годен до 10.01.2024</v>
      </c>
      <c r="F959" s="1" t="str">
        <f ca="1">IFERROR(__xludf.DUMMYFUNCTION("""COMPUTED_VALUE"""),"Бандаж лечебно–профилактический эластичный 4002 XL (Болгария) - 0119047KZ45")</f>
        <v>Бандаж лечебно–профилактический эластичный 4002 XL (Болгария) - 0119047KZ45</v>
      </c>
      <c r="G959" s="1" t="str">
        <f ca="1">IFERROR(__xludf.DUMMYFUNCTION("""COMPUTED_VALUE"""),"KZ.7700.02.01.00548548 / Действителен до 10.01.2024 / 0119047KZ45 / годен до 10.01.2024")</f>
        <v>KZ.7700.02.01.00548548 / Действителен до 10.01.2024 / 0119047KZ45 / годен до 10.01.2024</v>
      </c>
      <c r="H959" s="1" t="str">
        <f ca="1">IFERROR(__xludf.DUMMYFUNCTION("""COMPUTED_VALUE"""),"Бандаж лечебно–профилактический эластичный 4002 XL (Болгария) KZ.7700.02.01.00548548 / Действителен до 10.01.2024 / 0119047KZ45 / годен до 10.01.2024")</f>
        <v>Бандаж лечебно–профилактический эластичный 4002 XL (Болгария) KZ.7700.02.01.00548548 / Действителен до 10.01.2024 / 0119047KZ45 / годен до 10.01.2024</v>
      </c>
    </row>
    <row r="960" spans="1:8" ht="12.75" x14ac:dyDescent="0.2">
      <c r="A960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960" s="1" t="str">
        <f ca="1">IFERROR(__xludf.DUMMYFUNCTION("""COMPUTED_VALUE"""),"KZ.7700.02.01.00548549")</f>
        <v>KZ.7700.02.01.00548549</v>
      </c>
      <c r="C960" s="1" t="str">
        <f ca="1">IFERROR(__xludf.DUMMYFUNCTION("""COMPUTED_VALUE"""),"Действителен до 10.01.2024")</f>
        <v>Действителен до 10.01.2024</v>
      </c>
      <c r="D960" s="8" t="str">
        <f ca="1">IFERROR(__xludf.DUMMYFUNCTION("""COMPUTED_VALUE"""),"0119047KZ45")</f>
        <v>0119047KZ45</v>
      </c>
      <c r="E960" s="1" t="str">
        <f ca="1">IFERROR(__xludf.DUMMYFUNCTION("""COMPUTED_VALUE"""),"годен до 10.01.2024")</f>
        <v>годен до 10.01.2024</v>
      </c>
      <c r="F960" s="1" t="str">
        <f ca="1">IFERROR(__xludf.DUMMYFUNCTION("""COMPUTED_VALUE"""),"Бандаж лечебно–профилактический эластичный 4002 XXL (Болгария) - 0119047KZ45")</f>
        <v>Бандаж лечебно–профилактический эластичный 4002 XXL (Болгария) - 0119047KZ45</v>
      </c>
      <c r="G960" s="1" t="str">
        <f ca="1">IFERROR(__xludf.DUMMYFUNCTION("""COMPUTED_VALUE"""),"KZ.7700.02.01.00548549 / Действителен до 10.01.2024 / 0119047KZ45 / годен до 10.01.2024")</f>
        <v>KZ.7700.02.01.00548549 / Действителен до 10.01.2024 / 0119047KZ45 / годен до 10.01.2024</v>
      </c>
      <c r="H960" s="1" t="str">
        <f ca="1">IFERROR(__xludf.DUMMYFUNCTION("""COMPUTED_VALUE"""),"Бандаж лечебно–профилактический эластичный 4002 XXL (Болгария) KZ.7700.02.01.00548549 / Действителен до 10.01.2024 / 0119047KZ45 / годен до 10.01.2024")</f>
        <v>Бандаж лечебно–профилактический эластичный 4002 XXL (Болгария) KZ.7700.02.01.00548549 / Действителен до 10.01.2024 / 0119047KZ45 / годен до 10.01.2024</v>
      </c>
    </row>
    <row r="961" spans="1:8" ht="12.75" x14ac:dyDescent="0.2">
      <c r="A961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961" s="1" t="str">
        <f ca="1">IFERROR(__xludf.DUMMYFUNCTION("""COMPUTED_VALUE"""),"KZ.7700.02.01.00548520")</f>
        <v>KZ.7700.02.01.00548520</v>
      </c>
      <c r="C961" s="1" t="str">
        <f ca="1">IFERROR(__xludf.DUMMYFUNCTION("""COMPUTED_VALUE"""),"Действителен до 10.01.2024")</f>
        <v>Действителен до 10.01.2024</v>
      </c>
      <c r="D961" s="8" t="str">
        <f ca="1">IFERROR(__xludf.DUMMYFUNCTION("""COMPUTED_VALUE"""),"0119047KZ45")</f>
        <v>0119047KZ45</v>
      </c>
      <c r="E961" s="1" t="str">
        <f ca="1">IFERROR(__xludf.DUMMYFUNCTION("""COMPUTED_VALUE"""),"годен до 10.01.2024")</f>
        <v>годен до 10.01.2024</v>
      </c>
      <c r="F961" s="1" t="str">
        <f ca="1">IFERROR(__xludf.DUMMYFUNCTION("""COMPUTED_VALUE"""),"Бандаж на шейный отдел позвоночника мягкой фиксацией 1001 I(S) (Болгария) - 0119047KZ45")</f>
        <v>Бандаж на шейный отдел позвоночника мягкой фиксацией 1001 I(S) (Болгария) - 0119047KZ45</v>
      </c>
      <c r="G961" s="1" t="str">
        <f ca="1">IFERROR(__xludf.DUMMYFUNCTION("""COMPUTED_VALUE"""),"KZ.7700.02.01.00548520 / Действителен до 10.01.2024 / 0119047KZ45 / годен до 10.01.2024")</f>
        <v>KZ.7700.02.01.00548520 / Действителен до 10.01.2024 / 0119047KZ45 / годен до 10.01.2024</v>
      </c>
      <c r="H961" s="1" t="str">
        <f ca="1">IFERROR(__xludf.DUMMYFUNCTION("""COMPUTED_VALUE"""),"Бандаж на шейный отдел позвоночника мягкой фиксацией 1001 I(S) (Болгария) KZ.7700.02.01.00548520 / Действителен до 10.01.2024 / 0119047KZ45 / годен до 10.01.2024")</f>
        <v>Бандаж на шейный отдел позвоночника мягкой фиксацией 1001 I(S) (Болгария) KZ.7700.02.01.00548520 / Действителен до 10.01.2024 / 0119047KZ45 / годен до 10.01.2024</v>
      </c>
    </row>
    <row r="962" spans="1:8" ht="12.75" x14ac:dyDescent="0.2">
      <c r="A962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962" s="1" t="str">
        <f ca="1">IFERROR(__xludf.DUMMYFUNCTION("""COMPUTED_VALUE"""),"KZ.7700.02.01.00548521")</f>
        <v>KZ.7700.02.01.00548521</v>
      </c>
      <c r="C962" s="1" t="str">
        <f ca="1">IFERROR(__xludf.DUMMYFUNCTION("""COMPUTED_VALUE"""),"Действителен до 10.01.2024")</f>
        <v>Действителен до 10.01.2024</v>
      </c>
      <c r="D962" s="8" t="str">
        <f ca="1">IFERROR(__xludf.DUMMYFUNCTION("""COMPUTED_VALUE"""),"0119047KZ45")</f>
        <v>0119047KZ45</v>
      </c>
      <c r="E962" s="1" t="str">
        <f ca="1">IFERROR(__xludf.DUMMYFUNCTION("""COMPUTED_VALUE"""),"годен до 10.01.2024")</f>
        <v>годен до 10.01.2024</v>
      </c>
      <c r="F962" s="1" t="str">
        <f ca="1">IFERROR(__xludf.DUMMYFUNCTION("""COMPUTED_VALUE"""),"Бандаж на шейный отдел позвоночника мягкой фиксацией 1001 II(M) (Болгария) - 0119047KZ45")</f>
        <v>Бандаж на шейный отдел позвоночника мягкой фиксацией 1001 II(M) (Болгария) - 0119047KZ45</v>
      </c>
      <c r="G962" s="1" t="str">
        <f ca="1">IFERROR(__xludf.DUMMYFUNCTION("""COMPUTED_VALUE"""),"KZ.7700.02.01.00548521 / Действителен до 10.01.2024 / 0119047KZ45 / годен до 10.01.2024")</f>
        <v>KZ.7700.02.01.00548521 / Действителен до 10.01.2024 / 0119047KZ45 / годен до 10.01.2024</v>
      </c>
      <c r="H962" s="1" t="str">
        <f ca="1">IFERROR(__xludf.DUMMYFUNCTION("""COMPUTED_VALUE"""),"Бандаж на шейный отдел позвоночника мягкой фиксацией 1001 II(M) (Болгария) KZ.7700.02.01.00548521 / Действителен до 10.01.2024 / 0119047KZ45 / годен до 10.01.2024")</f>
        <v>Бандаж на шейный отдел позвоночника мягкой фиксацией 1001 II(M) (Болгария) KZ.7700.02.01.00548521 / Действителен до 10.01.2024 / 0119047KZ45 / годен до 10.01.2024</v>
      </c>
    </row>
    <row r="963" spans="1:8" ht="12.75" x14ac:dyDescent="0.2">
      <c r="A963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963" s="1" t="str">
        <f ca="1">IFERROR(__xludf.DUMMYFUNCTION("""COMPUTED_VALUE"""),"KZ.7700.02.01.00548522")</f>
        <v>KZ.7700.02.01.00548522</v>
      </c>
      <c r="C963" s="1" t="str">
        <f ca="1">IFERROR(__xludf.DUMMYFUNCTION("""COMPUTED_VALUE"""),"Действителен до 10.01.2024")</f>
        <v>Действителен до 10.01.2024</v>
      </c>
      <c r="D963" s="8" t="str">
        <f ca="1">IFERROR(__xludf.DUMMYFUNCTION("""COMPUTED_VALUE"""),"0119047KZ45")</f>
        <v>0119047KZ45</v>
      </c>
      <c r="E963" s="1" t="str">
        <f ca="1">IFERROR(__xludf.DUMMYFUNCTION("""COMPUTED_VALUE"""),"годен до 10.01.2024")</f>
        <v>годен до 10.01.2024</v>
      </c>
      <c r="F963" s="1" t="str">
        <f ca="1">IFERROR(__xludf.DUMMYFUNCTION("""COMPUTED_VALUE"""),"Бандаж на шейный отдел позвоночника мягкой фиксацией 1001 III(L) (Болгария) - 0119047KZ45")</f>
        <v>Бандаж на шейный отдел позвоночника мягкой фиксацией 1001 III(L) (Болгария) - 0119047KZ45</v>
      </c>
      <c r="G963" s="1" t="str">
        <f ca="1">IFERROR(__xludf.DUMMYFUNCTION("""COMPUTED_VALUE"""),"KZ.7700.02.01.00548522 / Действителен до 10.01.2024 / 0119047KZ45 / годен до 10.01.2024")</f>
        <v>KZ.7700.02.01.00548522 / Действителен до 10.01.2024 / 0119047KZ45 / годен до 10.01.2024</v>
      </c>
      <c r="H963" s="1" t="str">
        <f ca="1">IFERROR(__xludf.DUMMYFUNCTION("""COMPUTED_VALUE"""),"Бандаж на шейный отдел позвоночника мягкой фиксацией 1001 III(L) (Болгария) KZ.7700.02.01.00548522 / Действителен до 10.01.2024 / 0119047KZ45 / годен до 10.01.2024")</f>
        <v>Бандаж на шейный отдел позвоночника мягкой фиксацией 1001 III(L) (Болгария) KZ.7700.02.01.00548522 / Действителен до 10.01.2024 / 0119047KZ45 / годен до 10.01.2024</v>
      </c>
    </row>
    <row r="964" spans="1:8" ht="12.75" x14ac:dyDescent="0.2">
      <c r="A964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964" s="1" t="str">
        <f ca="1">IFERROR(__xludf.DUMMYFUNCTION("""COMPUTED_VALUE"""),"KZ.7700.02.01.00548523")</f>
        <v>KZ.7700.02.01.00548523</v>
      </c>
      <c r="C964" s="1" t="str">
        <f ca="1">IFERROR(__xludf.DUMMYFUNCTION("""COMPUTED_VALUE"""),"Действителен до 10.01.2024")</f>
        <v>Действителен до 10.01.2024</v>
      </c>
      <c r="D964" s="8" t="str">
        <f ca="1">IFERROR(__xludf.DUMMYFUNCTION("""COMPUTED_VALUE"""),"0119047KZ45")</f>
        <v>0119047KZ45</v>
      </c>
      <c r="E964" s="1" t="str">
        <f ca="1">IFERROR(__xludf.DUMMYFUNCTION("""COMPUTED_VALUE"""),"годен до 10.01.2024")</f>
        <v>годен до 10.01.2024</v>
      </c>
      <c r="F964" s="1" t="str">
        <f ca="1">IFERROR(__xludf.DUMMYFUNCTION("""COMPUTED_VALUE"""),"Бандаж на шейный отдел позвоночника мягкой фиксацией с жесткой вставкой 1005 I(S) - 0119047KZ45")</f>
        <v>Бандаж на шейный отдел позвоночника мягкой фиксацией с жесткой вставкой 1005 I(S) - 0119047KZ45</v>
      </c>
      <c r="G964" s="1" t="str">
        <f ca="1">IFERROR(__xludf.DUMMYFUNCTION("""COMPUTED_VALUE"""),"KZ.7700.02.01.00548523 / Действителен до 10.01.2024 / 0119047KZ45 / годен до 10.01.2024")</f>
        <v>KZ.7700.02.01.00548523 / Действителен до 10.01.2024 / 0119047KZ45 / годен до 10.01.2024</v>
      </c>
      <c r="H964" s="1" t="str">
        <f ca="1">IFERROR(__xludf.DUMMYFUNCTION("""COMPUTED_VALUE"""),"Бандаж на шейный отдел позвоночника мягкой фиксацией с жесткой вставкой 1005 I(S) KZ.7700.02.01.00548523 / Действителен до 10.01.2024 / 0119047KZ45 / годен до 10.01.2024")</f>
        <v>Бандаж на шейный отдел позвоночника мягкой фиксацией с жесткой вставкой 1005 I(S) KZ.7700.02.01.00548523 / Действителен до 10.01.2024 / 0119047KZ45 / годен до 10.01.2024</v>
      </c>
    </row>
    <row r="965" spans="1:8" ht="12.75" x14ac:dyDescent="0.2">
      <c r="A965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965" s="1" t="str">
        <f ca="1">IFERROR(__xludf.DUMMYFUNCTION("""COMPUTED_VALUE"""),"KZ.7700.02.01.00548524")</f>
        <v>KZ.7700.02.01.00548524</v>
      </c>
      <c r="C965" s="1" t="str">
        <f ca="1">IFERROR(__xludf.DUMMYFUNCTION("""COMPUTED_VALUE"""),"Действителен до 10.01.2024")</f>
        <v>Действителен до 10.01.2024</v>
      </c>
      <c r="D965" s="8" t="str">
        <f ca="1">IFERROR(__xludf.DUMMYFUNCTION("""COMPUTED_VALUE"""),"0119047KZ45")</f>
        <v>0119047KZ45</v>
      </c>
      <c r="E965" s="1" t="str">
        <f ca="1">IFERROR(__xludf.DUMMYFUNCTION("""COMPUTED_VALUE"""),"годен до 10.01.2024")</f>
        <v>годен до 10.01.2024</v>
      </c>
      <c r="F965" s="1" t="str">
        <f ca="1">IFERROR(__xludf.DUMMYFUNCTION("""COMPUTED_VALUE"""),"Бандаж на шейный отдел позвоночника мягкой фиксацией с жесткой вставкой 1005 II(M) - 0119047KZ45")</f>
        <v>Бандаж на шейный отдел позвоночника мягкой фиксацией с жесткой вставкой 1005 II(M) - 0119047KZ45</v>
      </c>
      <c r="G965" s="1" t="str">
        <f ca="1">IFERROR(__xludf.DUMMYFUNCTION("""COMPUTED_VALUE"""),"KZ.7700.02.01.00548524 / Действителен до 10.01.2024 / 0119047KZ45 / годен до 10.01.2024")</f>
        <v>KZ.7700.02.01.00548524 / Действителен до 10.01.2024 / 0119047KZ45 / годен до 10.01.2024</v>
      </c>
      <c r="H965" s="1" t="str">
        <f ca="1">IFERROR(__xludf.DUMMYFUNCTION("""COMPUTED_VALUE"""),"Бандаж на шейный отдел позвоночника мягкой фиксацией с жесткой вставкой 1005 II(M) KZ.7700.02.01.00548524 / Действителен до 10.01.2024 / 0119047KZ45 / годен до 10.01.2024")</f>
        <v>Бандаж на шейный отдел позвоночника мягкой фиксацией с жесткой вставкой 1005 II(M) KZ.7700.02.01.00548524 / Действителен до 10.01.2024 / 0119047KZ45 / годен до 10.01.2024</v>
      </c>
    </row>
    <row r="966" spans="1:8" ht="12.75" x14ac:dyDescent="0.2">
      <c r="A966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966" s="1" t="str">
        <f ca="1">IFERROR(__xludf.DUMMYFUNCTION("""COMPUTED_VALUE"""),"KZ.7700.02.01.00548525")</f>
        <v>KZ.7700.02.01.00548525</v>
      </c>
      <c r="C966" s="1" t="str">
        <f ca="1">IFERROR(__xludf.DUMMYFUNCTION("""COMPUTED_VALUE"""),"Действителен до 10.01.2024")</f>
        <v>Действителен до 10.01.2024</v>
      </c>
      <c r="D966" s="8" t="str">
        <f ca="1">IFERROR(__xludf.DUMMYFUNCTION("""COMPUTED_VALUE"""),"0119047KZ45")</f>
        <v>0119047KZ45</v>
      </c>
      <c r="E966" s="1" t="str">
        <f ca="1">IFERROR(__xludf.DUMMYFUNCTION("""COMPUTED_VALUE"""),"годен до 10.01.2024")</f>
        <v>годен до 10.01.2024</v>
      </c>
      <c r="F966" s="1" t="str">
        <f ca="1">IFERROR(__xludf.DUMMYFUNCTION("""COMPUTED_VALUE"""),"Бандаж на шейный отдел позвоночника мягкой фиксацией с жесткой вставкой 1005 III(L) - 0119047KZ45")</f>
        <v>Бандаж на шейный отдел позвоночника мягкой фиксацией с жесткой вставкой 1005 III(L) - 0119047KZ45</v>
      </c>
      <c r="G966" s="1" t="str">
        <f ca="1">IFERROR(__xludf.DUMMYFUNCTION("""COMPUTED_VALUE"""),"KZ.7700.02.01.00548525 / Действителен до 10.01.2024 / 0119047KZ45 / годен до 10.01.2024")</f>
        <v>KZ.7700.02.01.00548525 / Действителен до 10.01.2024 / 0119047KZ45 / годен до 10.01.2024</v>
      </c>
      <c r="H966" s="1" t="str">
        <f ca="1">IFERROR(__xludf.DUMMYFUNCTION("""COMPUTED_VALUE"""),"Бандаж на шейный отдел позвоночника мягкой фиксацией с жесткой вставкой 1005 III(L) KZ.7700.02.01.00548525 / Действителен до 10.01.2024 / 0119047KZ45 / годен до 10.01.2024")</f>
        <v>Бандаж на шейный отдел позвоночника мягкой фиксацией с жесткой вставкой 1005 III(L) KZ.7700.02.01.00548525 / Действителен до 10.01.2024 / 0119047KZ45 / годен до 10.01.2024</v>
      </c>
    </row>
    <row r="967" spans="1:8" ht="12.75" x14ac:dyDescent="0.2">
      <c r="A967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967" s="1" t="str">
        <f ca="1">IFERROR(__xludf.DUMMYFUNCTION("""COMPUTED_VALUE"""),"KZ.7700.02.01.00548526")</f>
        <v>KZ.7700.02.01.00548526</v>
      </c>
      <c r="C967" s="1" t="str">
        <f ca="1">IFERROR(__xludf.DUMMYFUNCTION("""COMPUTED_VALUE"""),"Действителен до 10.01.2024")</f>
        <v>Действителен до 10.01.2024</v>
      </c>
      <c r="D967" s="8" t="str">
        <f ca="1">IFERROR(__xludf.DUMMYFUNCTION("""COMPUTED_VALUE"""),"0119047KZ45")</f>
        <v>0119047KZ45</v>
      </c>
      <c r="E967" s="1" t="str">
        <f ca="1">IFERROR(__xludf.DUMMYFUNCTION("""COMPUTED_VALUE"""),"годен до 10.01.2024")</f>
        <v>годен до 10.01.2024</v>
      </c>
      <c r="F967" s="1" t="str">
        <f ca="1">IFERROR(__xludf.DUMMYFUNCTION("""COMPUTED_VALUE"""),"Реклинатор (корректор осанки) детский 2005 S (Болгария) - 0119047KZ45")</f>
        <v>Реклинатор (корректор осанки) детский 2005 S (Болгария) - 0119047KZ45</v>
      </c>
      <c r="G967" s="1" t="str">
        <f ca="1">IFERROR(__xludf.DUMMYFUNCTION("""COMPUTED_VALUE"""),"KZ.7700.02.01.00548526 / Действителен до 10.01.2024 / 0119047KZ45 / годен до 10.01.2024")</f>
        <v>KZ.7700.02.01.00548526 / Действителен до 10.01.2024 / 0119047KZ45 / годен до 10.01.2024</v>
      </c>
      <c r="H967" s="1" t="str">
        <f ca="1">IFERROR(__xludf.DUMMYFUNCTION("""COMPUTED_VALUE"""),"Реклинатор (корректор осанки) детский 2005 S (Болгария) KZ.7700.02.01.00548526 / Действителен до 10.01.2024 / 0119047KZ45 / годен до 10.01.2024")</f>
        <v>Реклинатор (корректор осанки) детский 2005 S (Болгария) KZ.7700.02.01.00548526 / Действителен до 10.01.2024 / 0119047KZ45 / годен до 10.01.2024</v>
      </c>
    </row>
    <row r="968" spans="1:8" ht="12.75" x14ac:dyDescent="0.2">
      <c r="A968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968" s="1" t="str">
        <f ca="1">IFERROR(__xludf.DUMMYFUNCTION("""COMPUTED_VALUE"""),"KZ.7700.02.01.00548527")</f>
        <v>KZ.7700.02.01.00548527</v>
      </c>
      <c r="C968" s="1" t="str">
        <f ca="1">IFERROR(__xludf.DUMMYFUNCTION("""COMPUTED_VALUE"""),"Действителен до 10.01.2024")</f>
        <v>Действителен до 10.01.2024</v>
      </c>
      <c r="D968" s="8" t="str">
        <f ca="1">IFERROR(__xludf.DUMMYFUNCTION("""COMPUTED_VALUE"""),"0119047KZ45")</f>
        <v>0119047KZ45</v>
      </c>
      <c r="E968" s="1" t="str">
        <f ca="1">IFERROR(__xludf.DUMMYFUNCTION("""COMPUTED_VALUE"""),"годен до 10.01.2024")</f>
        <v>годен до 10.01.2024</v>
      </c>
      <c r="F968" s="1" t="str">
        <f ca="1">IFERROR(__xludf.DUMMYFUNCTION("""COMPUTED_VALUE"""),"Реклинатор (корректор осанки) детский 2005 M (Болгария) - 0119047KZ45")</f>
        <v>Реклинатор (корректор осанки) детский 2005 M (Болгария) - 0119047KZ45</v>
      </c>
      <c r="G968" s="1" t="str">
        <f ca="1">IFERROR(__xludf.DUMMYFUNCTION("""COMPUTED_VALUE"""),"KZ.7700.02.01.00548527 / Действителен до 10.01.2024 / 0119047KZ45 / годен до 10.01.2024")</f>
        <v>KZ.7700.02.01.00548527 / Действителен до 10.01.2024 / 0119047KZ45 / годен до 10.01.2024</v>
      </c>
      <c r="H968" s="1" t="str">
        <f ca="1">IFERROR(__xludf.DUMMYFUNCTION("""COMPUTED_VALUE"""),"Реклинатор (корректор осанки) детский 2005 M (Болгария) KZ.7700.02.01.00548527 / Действителен до 10.01.2024 / 0119047KZ45 / годен до 10.01.2024")</f>
        <v>Реклинатор (корректор осанки) детский 2005 M (Болгария) KZ.7700.02.01.00548527 / Действителен до 10.01.2024 / 0119047KZ45 / годен до 10.01.2024</v>
      </c>
    </row>
    <row r="969" spans="1:8" ht="12.75" x14ac:dyDescent="0.2">
      <c r="A969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969" s="1" t="str">
        <f ca="1">IFERROR(__xludf.DUMMYFUNCTION("""COMPUTED_VALUE"""),"KZ.7700.02.01.00548528")</f>
        <v>KZ.7700.02.01.00548528</v>
      </c>
      <c r="C969" s="1" t="str">
        <f ca="1">IFERROR(__xludf.DUMMYFUNCTION("""COMPUTED_VALUE"""),"Действителен до 10.01.2024")</f>
        <v>Действителен до 10.01.2024</v>
      </c>
      <c r="D969" s="8" t="str">
        <f ca="1">IFERROR(__xludf.DUMMYFUNCTION("""COMPUTED_VALUE"""),"0119047KZ45")</f>
        <v>0119047KZ45</v>
      </c>
      <c r="E969" s="1" t="str">
        <f ca="1">IFERROR(__xludf.DUMMYFUNCTION("""COMPUTED_VALUE"""),"годен до 10.01.2024")</f>
        <v>годен до 10.01.2024</v>
      </c>
      <c r="F969" s="1" t="str">
        <f ca="1">IFERROR(__xludf.DUMMYFUNCTION("""COMPUTED_VALUE"""),"Реклинатор (корректор осанки) детский 2005 L (Болгария) - 0119047KZ45")</f>
        <v>Реклинатор (корректор осанки) детский 2005 L (Болгария) - 0119047KZ45</v>
      </c>
      <c r="G969" s="1" t="str">
        <f ca="1">IFERROR(__xludf.DUMMYFUNCTION("""COMPUTED_VALUE"""),"KZ.7700.02.01.00548528 / Действителен до 10.01.2024 / 0119047KZ45 / годен до 10.01.2024")</f>
        <v>KZ.7700.02.01.00548528 / Действителен до 10.01.2024 / 0119047KZ45 / годен до 10.01.2024</v>
      </c>
      <c r="H969" s="1" t="str">
        <f ca="1">IFERROR(__xludf.DUMMYFUNCTION("""COMPUTED_VALUE"""),"Реклинатор (корректор осанки) детский 2005 L (Болгария) KZ.7700.02.01.00548528 / Действителен до 10.01.2024 / 0119047KZ45 / годен до 10.01.2024")</f>
        <v>Реклинатор (корректор осанки) детский 2005 L (Болгария) KZ.7700.02.01.00548528 / Действителен до 10.01.2024 / 0119047KZ45 / годен до 10.01.2024</v>
      </c>
    </row>
    <row r="970" spans="1:8" ht="12.75" x14ac:dyDescent="0.2">
      <c r="A970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970" s="1" t="str">
        <f ca="1">IFERROR(__xludf.DUMMYFUNCTION("""COMPUTED_VALUE"""),"KZ.7700.02.01.00548912")</f>
        <v>KZ.7700.02.01.00548912</v>
      </c>
      <c r="C970" s="1" t="str">
        <f ca="1">IFERROR(__xludf.DUMMYFUNCTION("""COMPUTED_VALUE"""),"Действителен до 10.01.2024")</f>
        <v>Действителен до 10.01.2024</v>
      </c>
      <c r="D970" s="8" t="str">
        <f ca="1">IFERROR(__xludf.DUMMYFUNCTION("""COMPUTED_VALUE"""),"0119047KZ45")</f>
        <v>0119047KZ45</v>
      </c>
      <c r="E970" s="1" t="str">
        <f ca="1">IFERROR(__xludf.DUMMYFUNCTION("""COMPUTED_VALUE"""),"годен до 10.01.2024")</f>
        <v>годен до 10.01.2024</v>
      </c>
      <c r="F970" s="1" t="str">
        <f ca="1">IFERROR(__xludf.DUMMYFUNCTION("""COMPUTED_VALUE"""),"Корректор осанки с ребрами жесткости эластичный 2011 S (Болгария) - 0119047KZ45")</f>
        <v>Корректор осанки с ребрами жесткости эластичный 2011 S (Болгария) - 0119047KZ45</v>
      </c>
      <c r="G970" s="1" t="str">
        <f ca="1">IFERROR(__xludf.DUMMYFUNCTION("""COMPUTED_VALUE"""),"KZ.7700.02.01.00548912 / Действителен до 10.01.2024 / 0119047KZ45 / годен до 10.01.2024")</f>
        <v>KZ.7700.02.01.00548912 / Действителен до 10.01.2024 / 0119047KZ45 / годен до 10.01.2024</v>
      </c>
      <c r="H970" s="1" t="str">
        <f ca="1">IFERROR(__xludf.DUMMYFUNCTION("""COMPUTED_VALUE"""),"Корректор осанки с ребрами жесткости эластичный 2011 S (Болгария) KZ.7700.02.01.00548912 / Действителен до 10.01.2024 / 0119047KZ45 / годен до 10.01.2024")</f>
        <v>Корректор осанки с ребрами жесткости эластичный 2011 S (Болгария) KZ.7700.02.01.00548912 / Действителен до 10.01.2024 / 0119047KZ45 / годен до 10.01.2024</v>
      </c>
    </row>
    <row r="971" spans="1:8" ht="12.75" x14ac:dyDescent="0.2">
      <c r="A971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971" s="1" t="str">
        <f ca="1">IFERROR(__xludf.DUMMYFUNCTION("""COMPUTED_VALUE"""),"KZ.7700.02.01.00548529")</f>
        <v>KZ.7700.02.01.00548529</v>
      </c>
      <c r="C971" s="1" t="str">
        <f ca="1">IFERROR(__xludf.DUMMYFUNCTION("""COMPUTED_VALUE"""),"Действителен до 10.01.2024")</f>
        <v>Действителен до 10.01.2024</v>
      </c>
      <c r="D971" s="8" t="str">
        <f ca="1">IFERROR(__xludf.DUMMYFUNCTION("""COMPUTED_VALUE"""),"0119047KZ45")</f>
        <v>0119047KZ45</v>
      </c>
      <c r="E971" s="1" t="str">
        <f ca="1">IFERROR(__xludf.DUMMYFUNCTION("""COMPUTED_VALUE"""),"годен до 10.01.2024")</f>
        <v>годен до 10.01.2024</v>
      </c>
      <c r="F971" s="1" t="str">
        <f ca="1">IFERROR(__xludf.DUMMYFUNCTION("""COMPUTED_VALUE"""),"Корректор осанки с ребрами жесткости эластичный 2011 M (Болгария) - 0119047KZ45")</f>
        <v>Корректор осанки с ребрами жесткости эластичный 2011 M (Болгария) - 0119047KZ45</v>
      </c>
      <c r="G971" s="1" t="str">
        <f ca="1">IFERROR(__xludf.DUMMYFUNCTION("""COMPUTED_VALUE"""),"KZ.7700.02.01.00548529 / Действителен до 10.01.2024 / 0119047KZ45 / годен до 10.01.2024")</f>
        <v>KZ.7700.02.01.00548529 / Действителен до 10.01.2024 / 0119047KZ45 / годен до 10.01.2024</v>
      </c>
      <c r="H971" s="1" t="str">
        <f ca="1">IFERROR(__xludf.DUMMYFUNCTION("""COMPUTED_VALUE"""),"Корректор осанки с ребрами жесткости эластичный 2011 M (Болгария) KZ.7700.02.01.00548529 / Действителен до 10.01.2024 / 0119047KZ45 / годен до 10.01.2024")</f>
        <v>Корректор осанки с ребрами жесткости эластичный 2011 M (Болгария) KZ.7700.02.01.00548529 / Действителен до 10.01.2024 / 0119047KZ45 / годен до 10.01.2024</v>
      </c>
    </row>
    <row r="972" spans="1:8" ht="12.75" x14ac:dyDescent="0.2">
      <c r="A972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972" s="1" t="str">
        <f ca="1">IFERROR(__xludf.DUMMYFUNCTION("""COMPUTED_VALUE"""),"KZ.7700.02.01.00548913")</f>
        <v>KZ.7700.02.01.00548913</v>
      </c>
      <c r="C972" s="1" t="str">
        <f ca="1">IFERROR(__xludf.DUMMYFUNCTION("""COMPUTED_VALUE"""),"Действителен до 10.01.2024")</f>
        <v>Действителен до 10.01.2024</v>
      </c>
      <c r="D972" s="8" t="str">
        <f ca="1">IFERROR(__xludf.DUMMYFUNCTION("""COMPUTED_VALUE"""),"0119047KZ45")</f>
        <v>0119047KZ45</v>
      </c>
      <c r="E972" s="1" t="str">
        <f ca="1">IFERROR(__xludf.DUMMYFUNCTION("""COMPUTED_VALUE"""),"годен до 10.01.2024")</f>
        <v>годен до 10.01.2024</v>
      </c>
      <c r="F972" s="1" t="str">
        <f ca="1">IFERROR(__xludf.DUMMYFUNCTION("""COMPUTED_VALUE"""),"Корректор осанки с ребрами жесткости эластичный 2011 L (Болгария) - 0119047KZ45")</f>
        <v>Корректор осанки с ребрами жесткости эластичный 2011 L (Болгария) - 0119047KZ45</v>
      </c>
      <c r="G972" s="1" t="str">
        <f ca="1">IFERROR(__xludf.DUMMYFUNCTION("""COMPUTED_VALUE"""),"KZ.7700.02.01.00548913 / Действителен до 10.01.2024 / 0119047KZ45 / годен до 10.01.2024")</f>
        <v>KZ.7700.02.01.00548913 / Действителен до 10.01.2024 / 0119047KZ45 / годен до 10.01.2024</v>
      </c>
      <c r="H972" s="1" t="str">
        <f ca="1">IFERROR(__xludf.DUMMYFUNCTION("""COMPUTED_VALUE"""),"Корректор осанки с ребрами жесткости эластичный 2011 L (Болгария) KZ.7700.02.01.00548913 / Действителен до 10.01.2024 / 0119047KZ45 / годен до 10.01.2024")</f>
        <v>Корректор осанки с ребрами жесткости эластичный 2011 L (Болгария) KZ.7700.02.01.00548913 / Действителен до 10.01.2024 / 0119047KZ45 / годен до 10.01.2024</v>
      </c>
    </row>
    <row r="973" spans="1:8" ht="12.75" x14ac:dyDescent="0.2">
      <c r="A973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973" s="1" t="str">
        <f ca="1">IFERROR(__xludf.DUMMYFUNCTION("""COMPUTED_VALUE"""),"KZ.7700.02.01.00548530")</f>
        <v>KZ.7700.02.01.00548530</v>
      </c>
      <c r="C973" s="1" t="str">
        <f ca="1">IFERROR(__xludf.DUMMYFUNCTION("""COMPUTED_VALUE"""),"Действителен до 10.01.2024")</f>
        <v>Действителен до 10.01.2024</v>
      </c>
      <c r="D973" s="8" t="str">
        <f ca="1">IFERROR(__xludf.DUMMYFUNCTION("""COMPUTED_VALUE"""),"0119047KZ45")</f>
        <v>0119047KZ45</v>
      </c>
      <c r="E973" s="1" t="str">
        <f ca="1">IFERROR(__xludf.DUMMYFUNCTION("""COMPUTED_VALUE"""),"годен до 10.01.2024")</f>
        <v>годен до 10.01.2024</v>
      </c>
      <c r="F973" s="1" t="str">
        <f ca="1">IFERROR(__xludf.DUMMYFUNCTION("""COMPUTED_VALUE"""),"Корректор осанки с ребрами жесткости эластичный 2011 XL (Болгария) - 0119047KZ45")</f>
        <v>Корректор осанки с ребрами жесткости эластичный 2011 XL (Болгария) - 0119047KZ45</v>
      </c>
      <c r="G973" s="1" t="str">
        <f ca="1">IFERROR(__xludf.DUMMYFUNCTION("""COMPUTED_VALUE"""),"KZ.7700.02.01.00548530 / Действителен до 10.01.2024 / 0119047KZ45 / годен до 10.01.2024")</f>
        <v>KZ.7700.02.01.00548530 / Действителен до 10.01.2024 / 0119047KZ45 / годен до 10.01.2024</v>
      </c>
      <c r="H973" s="1" t="str">
        <f ca="1">IFERROR(__xludf.DUMMYFUNCTION("""COMPUTED_VALUE"""),"Корректор осанки с ребрами жесткости эластичный 2011 XL (Болгария) KZ.7700.02.01.00548530 / Действителен до 10.01.2024 / 0119047KZ45 / годен до 10.01.2024")</f>
        <v>Корректор осанки с ребрами жесткости эластичный 2011 XL (Болгария) KZ.7700.02.01.00548530 / Действителен до 10.01.2024 / 0119047KZ45 / годен до 10.01.2024</v>
      </c>
    </row>
    <row r="974" spans="1:8" ht="12.75" x14ac:dyDescent="0.2">
      <c r="A974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974" s="1" t="str">
        <f ca="1">IFERROR(__xludf.DUMMYFUNCTION("""COMPUTED_VALUE"""),"KZ.7700.02.01.00548532")</f>
        <v>KZ.7700.02.01.00548532</v>
      </c>
      <c r="C974" s="1" t="str">
        <f ca="1">IFERROR(__xludf.DUMMYFUNCTION("""COMPUTED_VALUE"""),"Действителен до 10.01.2024")</f>
        <v>Действителен до 10.01.2024</v>
      </c>
      <c r="D974" s="8" t="str">
        <f ca="1">IFERROR(__xludf.DUMMYFUNCTION("""COMPUTED_VALUE"""),"0119047KZ45")</f>
        <v>0119047KZ45</v>
      </c>
      <c r="E974" s="1" t="str">
        <f ca="1">IFERROR(__xludf.DUMMYFUNCTION("""COMPUTED_VALUE"""),"годен до 10.01.2024")</f>
        <v>годен до 10.01.2024</v>
      </c>
      <c r="F974" s="1" t="str">
        <f ca="1">IFERROR(__xludf.DUMMYFUNCTION("""COMPUTED_VALUE"""),"Корректор лечебно-профилактический (с 4 ребрами жесткости) эластичный 3011 - L - 0119047KZ45")</f>
        <v>Корректор лечебно-профилактический (с 4 ребрами жесткости) эластичный 3011 - L - 0119047KZ45</v>
      </c>
      <c r="G974" s="1" t="str">
        <f ca="1">IFERROR(__xludf.DUMMYFUNCTION("""COMPUTED_VALUE"""),"KZ.7700.02.01.00548532 / Действителен до 10.01.2024 / 0119047KZ45 / годен до 10.01.2024")</f>
        <v>KZ.7700.02.01.00548532 / Действителен до 10.01.2024 / 0119047KZ45 / годен до 10.01.2024</v>
      </c>
      <c r="H974" s="1" t="str">
        <f ca="1">IFERROR(__xludf.DUMMYFUNCTION("""COMPUTED_VALUE"""),"Корректор лечебно-профилактический (с 4 ребрами жесткости) эластичный 3011 - L KZ.7700.02.01.00548532 / Действителен до 10.01.2024 / 0119047KZ45 / годен до 10.01.2024")</f>
        <v>Корректор лечебно-профилактический (с 4 ребрами жесткости) эластичный 3011 - L KZ.7700.02.01.00548532 / Действителен до 10.01.2024 / 0119047KZ45 / годен до 10.01.2024</v>
      </c>
    </row>
    <row r="975" spans="1:8" ht="12.75" x14ac:dyDescent="0.2">
      <c r="A975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975" s="1" t="str">
        <f ca="1">IFERROR(__xludf.DUMMYFUNCTION("""COMPUTED_VALUE"""),"KZ.7700.02.01.00548531")</f>
        <v>KZ.7700.02.01.00548531</v>
      </c>
      <c r="C975" s="1" t="str">
        <f ca="1">IFERROR(__xludf.DUMMYFUNCTION("""COMPUTED_VALUE"""),"Действителен до 10.01.2024")</f>
        <v>Действителен до 10.01.2024</v>
      </c>
      <c r="D975" s="8" t="str">
        <f ca="1">IFERROR(__xludf.DUMMYFUNCTION("""COMPUTED_VALUE"""),"0119047KZ45")</f>
        <v>0119047KZ45</v>
      </c>
      <c r="E975" s="1" t="str">
        <f ca="1">IFERROR(__xludf.DUMMYFUNCTION("""COMPUTED_VALUE"""),"годен до 10.01.2024")</f>
        <v>годен до 10.01.2024</v>
      </c>
      <c r="F975" s="1" t="str">
        <f ca="1">IFERROR(__xludf.DUMMYFUNCTION("""COMPUTED_VALUE"""),"Корректор лечебно-профилактический (с 4 ребрами жесткости) эластичный 3011 - М - 0119047KZ45")</f>
        <v>Корректор лечебно-профилактический (с 4 ребрами жесткости) эластичный 3011 - М - 0119047KZ45</v>
      </c>
      <c r="G975" s="1" t="str">
        <f ca="1">IFERROR(__xludf.DUMMYFUNCTION("""COMPUTED_VALUE"""),"KZ.7700.02.01.00548531 / Действителен до 10.01.2024 / 0119047KZ45 / годен до 10.01.2024")</f>
        <v>KZ.7700.02.01.00548531 / Действителен до 10.01.2024 / 0119047KZ45 / годен до 10.01.2024</v>
      </c>
      <c r="H975" s="1" t="str">
        <f ca="1">IFERROR(__xludf.DUMMYFUNCTION("""COMPUTED_VALUE"""),"Корректор лечебно-профилактический (с 4 ребрами жесткости) эластичный 3011 - М KZ.7700.02.01.00548531 / Действителен до 10.01.2024 / 0119047KZ45 / годен до 10.01.2024")</f>
        <v>Корректор лечебно-профилактический (с 4 ребрами жесткости) эластичный 3011 - М KZ.7700.02.01.00548531 / Действителен до 10.01.2024 / 0119047KZ45 / годен до 10.01.2024</v>
      </c>
    </row>
    <row r="976" spans="1:8" ht="12.75" x14ac:dyDescent="0.2">
      <c r="A976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976" s="1" t="str">
        <f ca="1">IFERROR(__xludf.DUMMYFUNCTION("""COMPUTED_VALUE"""),"KZ.7700.02.01.00548533")</f>
        <v>KZ.7700.02.01.00548533</v>
      </c>
      <c r="C976" s="1" t="str">
        <f ca="1">IFERROR(__xludf.DUMMYFUNCTION("""COMPUTED_VALUE"""),"Действителен до 10.01.2024")</f>
        <v>Действителен до 10.01.2024</v>
      </c>
      <c r="D976" s="8" t="str">
        <f ca="1">IFERROR(__xludf.DUMMYFUNCTION("""COMPUTED_VALUE"""),"0119047KZ45")</f>
        <v>0119047KZ45</v>
      </c>
      <c r="E976" s="1" t="str">
        <f ca="1">IFERROR(__xludf.DUMMYFUNCTION("""COMPUTED_VALUE"""),"годен до 10.01.2024")</f>
        <v>годен до 10.01.2024</v>
      </c>
      <c r="F976" s="1" t="str">
        <f ca="1">IFERROR(__xludf.DUMMYFUNCTION("""COMPUTED_VALUE"""),"Корректор лечебно-профилактический (с 4 ребрами жесткости) эластичный 3011- XL - 0119047KZ45")</f>
        <v>Корректор лечебно-профилактический (с 4 ребрами жесткости) эластичный 3011- XL - 0119047KZ45</v>
      </c>
      <c r="G976" s="1" t="str">
        <f ca="1">IFERROR(__xludf.DUMMYFUNCTION("""COMPUTED_VALUE"""),"KZ.7700.02.01.00548533 / Действителен до 10.01.2024 / 0119047KZ45 / годен до 10.01.2024")</f>
        <v>KZ.7700.02.01.00548533 / Действителен до 10.01.2024 / 0119047KZ45 / годен до 10.01.2024</v>
      </c>
      <c r="H976" s="1" t="str">
        <f ca="1">IFERROR(__xludf.DUMMYFUNCTION("""COMPUTED_VALUE"""),"Корректор лечебно-профилактический (с 4 ребрами жесткости) эластичный 3011- XL KZ.7700.02.01.00548533 / Действителен до 10.01.2024 / 0119047KZ45 / годен до 10.01.2024")</f>
        <v>Корректор лечебно-профилактический (с 4 ребрами жесткости) эластичный 3011- XL KZ.7700.02.01.00548533 / Действителен до 10.01.2024 / 0119047KZ45 / годен до 10.01.2024</v>
      </c>
    </row>
    <row r="977" spans="1:8" ht="12.75" x14ac:dyDescent="0.2">
      <c r="A977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977" s="1" t="str">
        <f ca="1">IFERROR(__xludf.DUMMYFUNCTION("""COMPUTED_VALUE"""),"KZ.7700.02.01.00548534")</f>
        <v>KZ.7700.02.01.00548534</v>
      </c>
      <c r="C977" s="1" t="str">
        <f ca="1">IFERROR(__xludf.DUMMYFUNCTION("""COMPUTED_VALUE"""),"Действителен до 10.01.2024")</f>
        <v>Действителен до 10.01.2024</v>
      </c>
      <c r="D977" s="8" t="str">
        <f ca="1">IFERROR(__xludf.DUMMYFUNCTION("""COMPUTED_VALUE"""),"0119047KZ45")</f>
        <v>0119047KZ45</v>
      </c>
      <c r="E977" s="1" t="str">
        <f ca="1">IFERROR(__xludf.DUMMYFUNCTION("""COMPUTED_VALUE"""),"годен до 10.01.2024")</f>
        <v>годен до 10.01.2024</v>
      </c>
      <c r="F977" s="1" t="str">
        <f ca="1">IFERROR(__xludf.DUMMYFUNCTION("""COMPUTED_VALUE"""),"Корректор лечебно-профилактический (с 4 ребрами жесткости) эластичный 3011- XXL - 0119047KZ45")</f>
        <v>Корректор лечебно-профилактический (с 4 ребрами жесткости) эластичный 3011- XXL - 0119047KZ45</v>
      </c>
      <c r="G977" s="1" t="str">
        <f ca="1">IFERROR(__xludf.DUMMYFUNCTION("""COMPUTED_VALUE"""),"KZ.7700.02.01.00548534 / Действителен до 10.01.2024 / 0119047KZ45 / годен до 10.01.2024")</f>
        <v>KZ.7700.02.01.00548534 / Действителен до 10.01.2024 / 0119047KZ45 / годен до 10.01.2024</v>
      </c>
      <c r="H977" s="1" t="str">
        <f ca="1">IFERROR(__xludf.DUMMYFUNCTION("""COMPUTED_VALUE"""),"Корректор лечебно-профилактический (с 4 ребрами жесткости) эластичный 3011- XXL KZ.7700.02.01.00548534 / Действителен до 10.01.2024 / 0119047KZ45 / годен до 10.01.2024")</f>
        <v>Корректор лечебно-профилактический (с 4 ребрами жесткости) эластичный 3011- XXL KZ.7700.02.01.00548534 / Действителен до 10.01.2024 / 0119047KZ45 / годен до 10.01.2024</v>
      </c>
    </row>
    <row r="978" spans="1:8" ht="12.75" x14ac:dyDescent="0.2">
      <c r="A978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978" s="1" t="str">
        <f ca="1">IFERROR(__xludf.DUMMYFUNCTION("""COMPUTED_VALUE"""),"KZ.7700.02.01.00548518")</f>
        <v>KZ.7700.02.01.00548518</v>
      </c>
      <c r="C978" s="1" t="str">
        <f ca="1">IFERROR(__xludf.DUMMYFUNCTION("""COMPUTED_VALUE"""),"Действителен до 10.01.2024")</f>
        <v>Действителен до 10.01.2024</v>
      </c>
      <c r="D978" s="8" t="str">
        <f ca="1">IFERROR(__xludf.DUMMYFUNCTION("""COMPUTED_VALUE"""),"0119047KZ45")</f>
        <v>0119047KZ45</v>
      </c>
      <c r="E978" s="1" t="str">
        <f ca="1">IFERROR(__xludf.DUMMYFUNCTION("""COMPUTED_VALUE"""),"годен до 10.01.2024")</f>
        <v>годен до 10.01.2024</v>
      </c>
      <c r="F978" s="1" t="str">
        <f ca="1">IFERROR(__xludf.DUMMYFUNCTION("""COMPUTED_VALUE"""),"Корректор лечебно-профилактический (с 4 ребрами жесткости) эластичный 3011- XXXL - 0119047KZ45")</f>
        <v>Корректор лечебно-профилактический (с 4 ребрами жесткости) эластичный 3011- XXXL - 0119047KZ45</v>
      </c>
      <c r="G978" s="1" t="str">
        <f ca="1">IFERROR(__xludf.DUMMYFUNCTION("""COMPUTED_VALUE"""),"KZ.7700.02.01.00548518 / Действителен до 10.01.2024 / 0119047KZ45 / годен до 10.01.2024")</f>
        <v>KZ.7700.02.01.00548518 / Действителен до 10.01.2024 / 0119047KZ45 / годен до 10.01.2024</v>
      </c>
      <c r="H978" s="1" t="str">
        <f ca="1">IFERROR(__xludf.DUMMYFUNCTION("""COMPUTED_VALUE"""),"Корректор лечебно-профилактический (с 4 ребрами жесткости) эластичный 3011- XXXL KZ.7700.02.01.00548518 / Действителен до 10.01.2024 / 0119047KZ45 / годен до 10.01.2024")</f>
        <v>Корректор лечебно-профилактический (с 4 ребрами жесткости) эластичный 3011- XXXL KZ.7700.02.01.00548518 / Действителен до 10.01.2024 / 0119047KZ45 / годен до 10.01.2024</v>
      </c>
    </row>
    <row r="979" spans="1:8" ht="12.75" x14ac:dyDescent="0.2">
      <c r="A979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979" s="1" t="str">
        <f ca="1">IFERROR(__xludf.DUMMYFUNCTION("""COMPUTED_VALUE"""),"KZ.7700.02.01.00548535")</f>
        <v>KZ.7700.02.01.00548535</v>
      </c>
      <c r="C979" s="1" t="str">
        <f ca="1">IFERROR(__xludf.DUMMYFUNCTION("""COMPUTED_VALUE"""),"Действителен до 10.01.2024")</f>
        <v>Действителен до 10.01.2024</v>
      </c>
      <c r="D979" s="8" t="str">
        <f ca="1">IFERROR(__xludf.DUMMYFUNCTION("""COMPUTED_VALUE"""),"0119047KZ45")</f>
        <v>0119047KZ45</v>
      </c>
      <c r="E979" s="1" t="str">
        <f ca="1">IFERROR(__xludf.DUMMYFUNCTION("""COMPUTED_VALUE"""),"годен до 10.01.2024")</f>
        <v>годен до 10.01.2024</v>
      </c>
      <c r="F979" s="1" t="str">
        <f ca="1">IFERROR(__xludf.DUMMYFUNCTION("""COMPUTED_VALUE"""),"Корректор лечебно-профилактический (с 4 ребрами жесткости) эластичный 3011 XXXXL - 0119047KZ45")</f>
        <v>Корректор лечебно-профилактический (с 4 ребрами жесткости) эластичный 3011 XXXXL - 0119047KZ45</v>
      </c>
      <c r="G979" s="1" t="str">
        <f ca="1">IFERROR(__xludf.DUMMYFUNCTION("""COMPUTED_VALUE"""),"KZ.7700.02.01.00548535 / Действителен до 10.01.2024 / 0119047KZ45 / годен до 10.01.2024")</f>
        <v>KZ.7700.02.01.00548535 / Действителен до 10.01.2024 / 0119047KZ45 / годен до 10.01.2024</v>
      </c>
      <c r="H979" s="1" t="str">
        <f ca="1">IFERROR(__xludf.DUMMYFUNCTION("""COMPUTED_VALUE"""),"Корректор лечебно-профилактический (с 4 ребрами жесткости) эластичный 3011 XXXXL KZ.7700.02.01.00548535 / Действителен до 10.01.2024 / 0119047KZ45 / годен до 10.01.2024")</f>
        <v>Корректор лечебно-профилактический (с 4 ребрами жесткости) эластичный 3011 XXXXL KZ.7700.02.01.00548535 / Действителен до 10.01.2024 / 0119047KZ45 / годен до 10.01.2024</v>
      </c>
    </row>
    <row r="980" spans="1:8" ht="12.75" x14ac:dyDescent="0.2">
      <c r="A980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980" s="1" t="str">
        <f ca="1">IFERROR(__xludf.DUMMYFUNCTION("""COMPUTED_VALUE"""),"KZ.7700.02.01.00548536")</f>
        <v>KZ.7700.02.01.00548536</v>
      </c>
      <c r="C980" s="1" t="str">
        <f ca="1">IFERROR(__xludf.DUMMYFUNCTION("""COMPUTED_VALUE"""),"Действителен до 10.01.2024")</f>
        <v>Действителен до 10.01.2024</v>
      </c>
      <c r="D980" s="8" t="str">
        <f ca="1">IFERROR(__xludf.DUMMYFUNCTION("""COMPUTED_VALUE"""),"0119047KZ45")</f>
        <v>0119047KZ45</v>
      </c>
      <c r="E980" s="1" t="str">
        <f ca="1">IFERROR(__xludf.DUMMYFUNCTION("""COMPUTED_VALUE"""),"годен до 10.01.2024")</f>
        <v>годен до 10.01.2024</v>
      </c>
      <c r="F980" s="1" t="str">
        <f ca="1">IFERROR(__xludf.DUMMYFUNCTION("""COMPUTED_VALUE"""),"Корсет ортопедический с ребрами жесткости согревающий 3041 M/L (Болгария) - 0119047KZ45")</f>
        <v>Корсет ортопедический с ребрами жесткости согревающий 3041 M/L (Болгария) - 0119047KZ45</v>
      </c>
      <c r="G980" s="1" t="str">
        <f ca="1">IFERROR(__xludf.DUMMYFUNCTION("""COMPUTED_VALUE"""),"KZ.7700.02.01.00548536 / Действителен до 10.01.2024 / 0119047KZ45 / годен до 10.01.2024")</f>
        <v>KZ.7700.02.01.00548536 / Действителен до 10.01.2024 / 0119047KZ45 / годен до 10.01.2024</v>
      </c>
      <c r="H980" s="1" t="str">
        <f ca="1">IFERROR(__xludf.DUMMYFUNCTION("""COMPUTED_VALUE"""),"Корсет ортопедический с ребрами жесткости согревающий 3041 M/L (Болгария) KZ.7700.02.01.00548536 / Действителен до 10.01.2024 / 0119047KZ45 / годен до 10.01.2024")</f>
        <v>Корсет ортопедический с ребрами жесткости согревающий 3041 M/L (Болгария) KZ.7700.02.01.00548536 / Действителен до 10.01.2024 / 0119047KZ45 / годен до 10.01.2024</v>
      </c>
    </row>
    <row r="981" spans="1:8" ht="12.75" x14ac:dyDescent="0.2">
      <c r="A981" s="1" t="str">
        <f ca="1">IFERROR(__xludf.DUMMYFUNCTION("""COMPUTED_VALUE"""),"Бандаж универсальный 4011 XL/XXL (Болгария)")</f>
        <v>Бандаж универсальный 4011 XL/XXL (Болгария)</v>
      </c>
      <c r="B981" s="1" t="str">
        <f ca="1">IFERROR(__xludf.DUMMYFUNCTION("""COMPUTED_VALUE"""),"KZ.7700.02.01.00548552")</f>
        <v>KZ.7700.02.01.00548552</v>
      </c>
      <c r="C981" s="1" t="str">
        <f ca="1">IFERROR(__xludf.DUMMYFUNCTION("""COMPUTED_VALUE"""),"Действителен до 10.01.2024")</f>
        <v>Действителен до 10.01.2024</v>
      </c>
      <c r="D981" s="8" t="str">
        <f ca="1">IFERROR(__xludf.DUMMYFUNCTION("""COMPUTED_VALUE"""),"0119047KZ45")</f>
        <v>0119047KZ45</v>
      </c>
      <c r="E981" s="1" t="str">
        <f ca="1">IFERROR(__xludf.DUMMYFUNCTION("""COMPUTED_VALUE"""),"годен до 10.01.2024")</f>
        <v>годен до 10.01.2024</v>
      </c>
      <c r="F981" s="1" t="str">
        <f ca="1">IFERROR(__xludf.DUMMYFUNCTION("""COMPUTED_VALUE"""),"Бандаж универсальный 4011 XL/XXL (Болгария) - 0119047KZ45")</f>
        <v>Бандаж универсальный 4011 XL/XXL (Болгария) - 0119047KZ45</v>
      </c>
      <c r="G981" s="1" t="str">
        <f ca="1">IFERROR(__xludf.DUMMYFUNCTION("""COMPUTED_VALUE"""),"KZ.7700.02.01.00548552 / Действителен до 10.01.2024 / 0119047KZ45 / годен до 10.01.2024")</f>
        <v>KZ.7700.02.01.00548552 / Действителен до 10.01.2024 / 0119047KZ45 / годен до 10.01.2024</v>
      </c>
      <c r="H981" s="1" t="str">
        <f ca="1">IFERROR(__xludf.DUMMYFUNCTION("""COMPUTED_VALUE"""),"Бандаж универсальный 4011 XL/XXL (Болгария) KZ.7700.02.01.00548552 / Действителен до 10.01.2024 / 0119047KZ45 / годен до 10.01.2024")</f>
        <v>Бандаж универсальный 4011 XL/XXL (Болгария) KZ.7700.02.01.00548552 / Действителен до 10.01.2024 / 0119047KZ45 / годен до 10.01.2024</v>
      </c>
    </row>
    <row r="982" spans="1:8" ht="12.75" x14ac:dyDescent="0.2">
      <c r="A982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982" s="1" t="str">
        <f ca="1">IFERROR(__xludf.DUMMYFUNCTION("""COMPUTED_VALUE"""),"KZ.7700.02.01.00548580")</f>
        <v>KZ.7700.02.01.00548580</v>
      </c>
      <c r="C982" s="1" t="str">
        <f ca="1">IFERROR(__xludf.DUMMYFUNCTION("""COMPUTED_VALUE"""),"Действителен до 10.01.2024")</f>
        <v>Действителен до 10.01.2024</v>
      </c>
      <c r="D982" s="8" t="str">
        <f ca="1">IFERROR(__xludf.DUMMYFUNCTION("""COMPUTED_VALUE"""),"0119047KZ45")</f>
        <v>0119047KZ45</v>
      </c>
      <c r="E982" s="1" t="str">
        <f ca="1">IFERROR(__xludf.DUMMYFUNCTION("""COMPUTED_VALUE"""),"годен до 10.01.2024")</f>
        <v>годен до 10.01.2024</v>
      </c>
      <c r="F982" s="1" t="str">
        <f ca="1">IFERROR(__xludf.DUMMYFUNCTION("""COMPUTED_VALUE"""),"Бандаж при пупочной грыже 5051 M/L (Болгария) - 0119047KZ45")</f>
        <v>Бандаж при пупочной грыже 5051 M/L (Болгария) - 0119047KZ45</v>
      </c>
      <c r="G982" s="1" t="str">
        <f ca="1">IFERROR(__xludf.DUMMYFUNCTION("""COMPUTED_VALUE"""),"KZ.7700.02.01.00548580 / Действителен до 10.01.2024 / 0119047KZ45 / годен до 10.01.2024")</f>
        <v>KZ.7700.02.01.00548580 / Действителен до 10.01.2024 / 0119047KZ45 / годен до 10.01.2024</v>
      </c>
      <c r="H982" s="1" t="str">
        <f ca="1">IFERROR(__xludf.DUMMYFUNCTION("""COMPUTED_VALUE"""),"Бандаж при пупочной грыже 5051 M/L (Болгария) KZ.7700.02.01.00548580 / Действителен до 10.01.2024 / 0119047KZ45 / годен до 10.01.2024")</f>
        <v>Бандаж при пупочной грыже 5051 M/L (Болгария) KZ.7700.02.01.00548580 / Действителен до 10.01.2024 / 0119047KZ45 / годен до 10.01.2024</v>
      </c>
    </row>
    <row r="983" spans="1:8" ht="12.75" x14ac:dyDescent="0.2">
      <c r="A983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983" s="1" t="str">
        <f ca="1">IFERROR(__xludf.DUMMYFUNCTION("""COMPUTED_VALUE"""),"KZ.7700.02.01.00548581")</f>
        <v>KZ.7700.02.01.00548581</v>
      </c>
      <c r="C983" s="1" t="str">
        <f ca="1">IFERROR(__xludf.DUMMYFUNCTION("""COMPUTED_VALUE"""),"Действителен до 10.01.2024")</f>
        <v>Действителен до 10.01.2024</v>
      </c>
      <c r="D983" s="8" t="str">
        <f ca="1">IFERROR(__xludf.DUMMYFUNCTION("""COMPUTED_VALUE"""),"0119047KZ45")</f>
        <v>0119047KZ45</v>
      </c>
      <c r="E983" s="1" t="str">
        <f ca="1">IFERROR(__xludf.DUMMYFUNCTION("""COMPUTED_VALUE"""),"годен до 10.01.2024")</f>
        <v>годен до 10.01.2024</v>
      </c>
      <c r="F983" s="1" t="str">
        <f ca="1">IFERROR(__xludf.DUMMYFUNCTION("""COMPUTED_VALUE"""),"Бандаж при пупочной грыже 5051 XL/XXL (Болгария) - 0119047KZ45")</f>
        <v>Бандаж при пупочной грыже 5051 XL/XXL (Болгария) - 0119047KZ45</v>
      </c>
      <c r="G983" s="1" t="str">
        <f ca="1">IFERROR(__xludf.DUMMYFUNCTION("""COMPUTED_VALUE"""),"KZ.7700.02.01.00548581 / Действителен до 10.01.2024 / 0119047KZ45 / годен до 10.01.2024")</f>
        <v>KZ.7700.02.01.00548581 / Действителен до 10.01.2024 / 0119047KZ45 / годен до 10.01.2024</v>
      </c>
      <c r="H983" s="1" t="str">
        <f ca="1">IFERROR(__xludf.DUMMYFUNCTION("""COMPUTED_VALUE"""),"Бандаж при пупочной грыже 5051 XL/XXL (Болгария) KZ.7700.02.01.00548581 / Действителен до 10.01.2024 / 0119047KZ45 / годен до 10.01.2024")</f>
        <v>Бандаж при пупочной грыже 5051 XL/XXL (Болгария) KZ.7700.02.01.00548581 / Действителен до 10.01.2024 / 0119047KZ45 / годен до 10.01.2024</v>
      </c>
    </row>
    <row r="984" spans="1:8" ht="12.75" x14ac:dyDescent="0.2">
      <c r="A984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984" s="1" t="str">
        <f ca="1">IFERROR(__xludf.DUMMYFUNCTION("""COMPUTED_VALUE"""),"KZ.7700.02.01.00548582")</f>
        <v>KZ.7700.02.01.00548582</v>
      </c>
      <c r="C984" s="1" t="str">
        <f ca="1">IFERROR(__xludf.DUMMYFUNCTION("""COMPUTED_VALUE"""),"Действителен до 10.01.2024")</f>
        <v>Действителен до 10.01.2024</v>
      </c>
      <c r="D984" s="8" t="str">
        <f ca="1">IFERROR(__xludf.DUMMYFUNCTION("""COMPUTED_VALUE"""),"0119047KZ45")</f>
        <v>0119047KZ45</v>
      </c>
      <c r="E984" s="1" t="str">
        <f ca="1">IFERROR(__xludf.DUMMYFUNCTION("""COMPUTED_VALUE"""),"годен до 10.01.2024")</f>
        <v>годен до 10.01.2024</v>
      </c>
      <c r="F984" s="1" t="str">
        <f ca="1">IFERROR(__xludf.DUMMYFUNCTION("""COMPUTED_VALUE"""),"Бандаж при пупочной грыже 5051 XXXL/XXXXL (Болгария) - 0119047KZ45")</f>
        <v>Бандаж при пупочной грыже 5051 XXXL/XXXXL (Болгария) - 0119047KZ45</v>
      </c>
      <c r="G984" s="1" t="str">
        <f ca="1">IFERROR(__xludf.DUMMYFUNCTION("""COMPUTED_VALUE"""),"KZ.7700.02.01.00548582 / Действителен до 10.01.2024 / 0119047KZ45 / годен до 10.01.2024")</f>
        <v>KZ.7700.02.01.00548582 / Действителен до 10.01.2024 / 0119047KZ45 / годен до 10.01.2024</v>
      </c>
      <c r="H984" s="1" t="str">
        <f ca="1">IFERROR(__xludf.DUMMYFUNCTION("""COMPUTED_VALUE"""),"Бандаж при пупочной грыже 5051 XXXL/XXXXL (Болгария) KZ.7700.02.01.00548582 / Действителен до 10.01.2024 / 0119047KZ45 / годен до 10.01.2024")</f>
        <v>Бандаж при пупочной грыже 5051 XXXL/XXXXL (Болгария) KZ.7700.02.01.00548582 / Действителен до 10.01.2024 / 0119047KZ45 / годен до 10.01.2024</v>
      </c>
    </row>
    <row r="985" spans="1:8" ht="12.75" x14ac:dyDescent="0.2">
      <c r="A985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985" s="1" t="str">
        <f ca="1">IFERROR(__xludf.DUMMYFUNCTION("""COMPUTED_VALUE"""),"KZ.7700.02.01.00548576")</f>
        <v>KZ.7700.02.01.00548576</v>
      </c>
      <c r="C985" s="1" t="str">
        <f ca="1">IFERROR(__xludf.DUMMYFUNCTION("""COMPUTED_VALUE"""),"Действителен до 10.01.2024")</f>
        <v>Действителен до 10.01.2024</v>
      </c>
      <c r="D985" s="8" t="str">
        <f ca="1">IFERROR(__xludf.DUMMYFUNCTION("""COMPUTED_VALUE"""),"0119047KZ45")</f>
        <v>0119047KZ45</v>
      </c>
      <c r="E985" s="1" t="str">
        <f ca="1">IFERROR(__xludf.DUMMYFUNCTION("""COMPUTED_VALUE"""),"годен до 10.01.2024")</f>
        <v>годен до 10.01.2024</v>
      </c>
      <c r="F985" s="1" t="str">
        <f ca="1">IFERROR(__xludf.DUMMYFUNCTION("""COMPUTED_VALUE"""),"Бандаж грыжевой лево-и правосторонний 5001 XS/S (Болгария) - 0119047KZ45")</f>
        <v>Бандаж грыжевой лево-и правосторонний 5001 XS/S (Болгария) - 0119047KZ45</v>
      </c>
      <c r="G985" s="1" t="str">
        <f ca="1">IFERROR(__xludf.DUMMYFUNCTION("""COMPUTED_VALUE"""),"KZ.7700.02.01.00548576 / Действителен до 10.01.2024 / 0119047KZ45 / годен до 10.01.2024")</f>
        <v>KZ.7700.02.01.00548576 / Действителен до 10.01.2024 / 0119047KZ45 / годен до 10.01.2024</v>
      </c>
      <c r="H985" s="1" t="str">
        <f ca="1">IFERROR(__xludf.DUMMYFUNCTION("""COMPUTED_VALUE"""),"Бандаж грыжевой лево-и правосторонний 5001 XS/S (Болгария) KZ.7700.02.01.00548576 / Действителен до 10.01.2024 / 0119047KZ45 / годен до 10.01.2024")</f>
        <v>Бандаж грыжевой лево-и правосторонний 5001 XS/S (Болгария) KZ.7700.02.01.00548576 / Действителен до 10.01.2024 / 0119047KZ45 / годен до 10.01.2024</v>
      </c>
    </row>
    <row r="986" spans="1:8" ht="12.75" x14ac:dyDescent="0.2">
      <c r="A986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986" s="1" t="str">
        <f ca="1">IFERROR(__xludf.DUMMYFUNCTION("""COMPUTED_VALUE"""),"KZ.7700.02.01.00548577")</f>
        <v>KZ.7700.02.01.00548577</v>
      </c>
      <c r="C986" s="1" t="str">
        <f ca="1">IFERROR(__xludf.DUMMYFUNCTION("""COMPUTED_VALUE"""),"Действителен до 10.01.2024")</f>
        <v>Действителен до 10.01.2024</v>
      </c>
      <c r="D986" s="8" t="str">
        <f ca="1">IFERROR(__xludf.DUMMYFUNCTION("""COMPUTED_VALUE"""),"0119047KZ45")</f>
        <v>0119047KZ45</v>
      </c>
      <c r="E986" s="1" t="str">
        <f ca="1">IFERROR(__xludf.DUMMYFUNCTION("""COMPUTED_VALUE"""),"годен до 10.01.2024")</f>
        <v>годен до 10.01.2024</v>
      </c>
      <c r="F986" s="1" t="str">
        <f ca="1">IFERROR(__xludf.DUMMYFUNCTION("""COMPUTED_VALUE"""),"Бандаж грыжевой лево-и правосторонний 5001 M/L (Болгария) - 0119047KZ45")</f>
        <v>Бандаж грыжевой лево-и правосторонний 5001 M/L (Болгария) - 0119047KZ45</v>
      </c>
      <c r="G986" s="1" t="str">
        <f ca="1">IFERROR(__xludf.DUMMYFUNCTION("""COMPUTED_VALUE"""),"KZ.7700.02.01.00548577 / Действителен до 10.01.2024 / 0119047KZ45 / годен до 10.01.2024")</f>
        <v>KZ.7700.02.01.00548577 / Действителен до 10.01.2024 / 0119047KZ45 / годен до 10.01.2024</v>
      </c>
      <c r="H986" s="1" t="str">
        <f ca="1">IFERROR(__xludf.DUMMYFUNCTION("""COMPUTED_VALUE"""),"Бандаж грыжевой лево-и правосторонний 5001 M/L (Болгария) KZ.7700.02.01.00548577 / Действителен до 10.01.2024 / 0119047KZ45 / годен до 10.01.2024")</f>
        <v>Бандаж грыжевой лево-и правосторонний 5001 M/L (Болгария) KZ.7700.02.01.00548577 / Действителен до 10.01.2024 / 0119047KZ45 / годен до 10.01.2024</v>
      </c>
    </row>
    <row r="987" spans="1:8" ht="12.75" x14ac:dyDescent="0.2">
      <c r="A987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987" s="1" t="str">
        <f ca="1">IFERROR(__xludf.DUMMYFUNCTION("""COMPUTED_VALUE"""),"KZ.7700.02.01.00548578")</f>
        <v>KZ.7700.02.01.00548578</v>
      </c>
      <c r="C987" s="1" t="str">
        <f ca="1">IFERROR(__xludf.DUMMYFUNCTION("""COMPUTED_VALUE"""),"Действителен до 10.01.2024")</f>
        <v>Действителен до 10.01.2024</v>
      </c>
      <c r="D987" s="8" t="str">
        <f ca="1">IFERROR(__xludf.DUMMYFUNCTION("""COMPUTED_VALUE"""),"0119047KZ45")</f>
        <v>0119047KZ45</v>
      </c>
      <c r="E987" s="1" t="str">
        <f ca="1">IFERROR(__xludf.DUMMYFUNCTION("""COMPUTED_VALUE"""),"годен до 10.01.2024")</f>
        <v>годен до 10.01.2024</v>
      </c>
      <c r="F987" s="1" t="str">
        <f ca="1">IFERROR(__xludf.DUMMYFUNCTION("""COMPUTED_VALUE"""),"Бандаж грыжевой лево-и правосторонний 5001 XL/XXL (Болгария) - 0119047KZ45")</f>
        <v>Бандаж грыжевой лево-и правосторонний 5001 XL/XXL (Болгария) - 0119047KZ45</v>
      </c>
      <c r="G987" s="1" t="str">
        <f ca="1">IFERROR(__xludf.DUMMYFUNCTION("""COMPUTED_VALUE"""),"KZ.7700.02.01.00548578 / Действителен до 10.01.2024 / 0119047KZ45 / годен до 10.01.2024")</f>
        <v>KZ.7700.02.01.00548578 / Действителен до 10.01.2024 / 0119047KZ45 / годен до 10.01.2024</v>
      </c>
      <c r="H987" s="1" t="str">
        <f ca="1">IFERROR(__xludf.DUMMYFUNCTION("""COMPUTED_VALUE"""),"Бандаж грыжевой лево-и правосторонний 5001 XL/XXL (Болгария) KZ.7700.02.01.00548578 / Действителен до 10.01.2024 / 0119047KZ45 / годен до 10.01.2024")</f>
        <v>Бандаж грыжевой лево-и правосторонний 5001 XL/XXL (Болгария) KZ.7700.02.01.00548578 / Действителен до 10.01.2024 / 0119047KZ45 / годен до 10.01.2024</v>
      </c>
    </row>
    <row r="988" spans="1:8" ht="12.75" x14ac:dyDescent="0.2">
      <c r="A988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988" s="1" t="str">
        <f ca="1">IFERROR(__xludf.DUMMYFUNCTION("""COMPUTED_VALUE"""),"KZ.7700.02.01.00548583")</f>
        <v>KZ.7700.02.01.00548583</v>
      </c>
      <c r="C988" s="1" t="str">
        <f ca="1">IFERROR(__xludf.DUMMYFUNCTION("""COMPUTED_VALUE"""),"Действителен до 10.01.2024")</f>
        <v>Действителен до 10.01.2024</v>
      </c>
      <c r="D988" s="8" t="str">
        <f ca="1">IFERROR(__xludf.DUMMYFUNCTION("""COMPUTED_VALUE"""),"0119047KZ45")</f>
        <v>0119047KZ45</v>
      </c>
      <c r="E988" s="1" t="str">
        <f ca="1">IFERROR(__xludf.DUMMYFUNCTION("""COMPUTED_VALUE"""),"годен до 10.01.2024")</f>
        <v>годен до 10.01.2024</v>
      </c>
      <c r="F988" s="1" t="str">
        <f ca="1">IFERROR(__xludf.DUMMYFUNCTION("""COMPUTED_VALUE"""),"Бандаж на коленный сустав разъемный 6058 S\M (Болгария) - 0119047KZ45")</f>
        <v>Бандаж на коленный сустав разъемный 6058 S\M (Болгария) - 0119047KZ45</v>
      </c>
      <c r="G988" s="1" t="str">
        <f ca="1">IFERROR(__xludf.DUMMYFUNCTION("""COMPUTED_VALUE"""),"KZ.7700.02.01.00548583 / Действителен до 10.01.2024 / 0119047KZ45 / годен до 10.01.2024")</f>
        <v>KZ.7700.02.01.00548583 / Действителен до 10.01.2024 / 0119047KZ45 / годен до 10.01.2024</v>
      </c>
      <c r="H988" s="1" t="str">
        <f ca="1">IFERROR(__xludf.DUMMYFUNCTION("""COMPUTED_VALUE"""),"Бандаж на коленный сустав разъемный 6058 S\M (Болгария) KZ.7700.02.01.00548583 / Действителен до 10.01.2024 / 0119047KZ45 / годен до 10.01.2024")</f>
        <v>Бандаж на коленный сустав разъемный 6058 S\M (Болгария) KZ.7700.02.01.00548583 / Действителен до 10.01.2024 / 0119047KZ45 / годен до 10.01.2024</v>
      </c>
    </row>
    <row r="989" spans="1:8" ht="12.75" x14ac:dyDescent="0.2">
      <c r="A989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989" s="1" t="str">
        <f ca="1">IFERROR(__xludf.DUMMYFUNCTION("""COMPUTED_VALUE"""),"KZ.7700.02.01.00548585")</f>
        <v>KZ.7700.02.01.00548585</v>
      </c>
      <c r="C989" s="1" t="str">
        <f ca="1">IFERROR(__xludf.DUMMYFUNCTION("""COMPUTED_VALUE"""),"Действителен до 10.01.2024")</f>
        <v>Действителен до 10.01.2024</v>
      </c>
      <c r="D989" s="8" t="str">
        <f ca="1">IFERROR(__xludf.DUMMYFUNCTION("""COMPUTED_VALUE"""),"0119047KZ45")</f>
        <v>0119047KZ45</v>
      </c>
      <c r="E989" s="1" t="str">
        <f ca="1">IFERROR(__xludf.DUMMYFUNCTION("""COMPUTED_VALUE"""),"годен до 10.01.2024")</f>
        <v>годен до 10.01.2024</v>
      </c>
      <c r="F989" s="1" t="str">
        <f ca="1">IFERROR(__xludf.DUMMYFUNCTION("""COMPUTED_VALUE"""),"Бандаж на коленный сустав разъемный 6058 L\XL (Болгария) - 0119047KZ45")</f>
        <v>Бандаж на коленный сустав разъемный 6058 L\XL (Болгария) - 0119047KZ45</v>
      </c>
      <c r="G989" s="1" t="str">
        <f ca="1">IFERROR(__xludf.DUMMYFUNCTION("""COMPUTED_VALUE"""),"KZ.7700.02.01.00548585 / Действителен до 10.01.2024 / 0119047KZ45 / годен до 10.01.2024")</f>
        <v>KZ.7700.02.01.00548585 / Действителен до 10.01.2024 / 0119047KZ45 / годен до 10.01.2024</v>
      </c>
      <c r="H989" s="1" t="str">
        <f ca="1">IFERROR(__xludf.DUMMYFUNCTION("""COMPUTED_VALUE"""),"Бандаж на коленный сустав разъемный 6058 L\XL (Болгария) KZ.7700.02.01.00548585 / Действителен до 10.01.2024 / 0119047KZ45 / годен до 10.01.2024")</f>
        <v>Бандаж на коленный сустав разъемный 6058 L\XL (Болгария) KZ.7700.02.01.00548585 / Действителен до 10.01.2024 / 0119047KZ45 / годен до 10.01.2024</v>
      </c>
    </row>
    <row r="990" spans="1:8" ht="12.75" x14ac:dyDescent="0.2">
      <c r="A990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990" s="1" t="str">
        <f ca="1">IFERROR(__xludf.DUMMYFUNCTION("""COMPUTED_VALUE"""),"KZ.7700.02.01.00548586")</f>
        <v>KZ.7700.02.01.00548586</v>
      </c>
      <c r="C990" s="1" t="str">
        <f ca="1">IFERROR(__xludf.DUMMYFUNCTION("""COMPUTED_VALUE"""),"Действителен до 10.01.2024")</f>
        <v>Действителен до 10.01.2024</v>
      </c>
      <c r="D990" s="8" t="str">
        <f ca="1">IFERROR(__xludf.DUMMYFUNCTION("""COMPUTED_VALUE"""),"0119047KZ45")</f>
        <v>0119047KZ45</v>
      </c>
      <c r="E990" s="1" t="str">
        <f ca="1">IFERROR(__xludf.DUMMYFUNCTION("""COMPUTED_VALUE"""),"годен до 10.01.2024")</f>
        <v>годен до 10.01.2024</v>
      </c>
      <c r="F990" s="1" t="str">
        <f ca="1">IFERROR(__xludf.DUMMYFUNCTION("""COMPUTED_VALUE"""),"Бандаж на коленный сустав разъемный 6058 XXL (Болгария) - 0119047KZ45")</f>
        <v>Бандаж на коленный сустав разъемный 6058 XXL (Болгария) - 0119047KZ45</v>
      </c>
      <c r="G990" s="1" t="str">
        <f ca="1">IFERROR(__xludf.DUMMYFUNCTION("""COMPUTED_VALUE"""),"KZ.7700.02.01.00548586 / Действителен до 10.01.2024 / 0119047KZ45 / годен до 10.01.2024")</f>
        <v>KZ.7700.02.01.00548586 / Действителен до 10.01.2024 / 0119047KZ45 / годен до 10.01.2024</v>
      </c>
      <c r="H990" s="1" t="str">
        <f ca="1">IFERROR(__xludf.DUMMYFUNCTION("""COMPUTED_VALUE"""),"Бандаж на коленный сустав разъемный 6058 XXL (Болгария) KZ.7700.02.01.00548586 / Действителен до 10.01.2024 / 0119047KZ45 / годен до 10.01.2024")</f>
        <v>Бандаж на коленный сустав разъемный 6058 XXL (Болгария) KZ.7700.02.01.00548586 / Действителен до 10.01.2024 / 0119047KZ45 / годен до 10.01.2024</v>
      </c>
    </row>
    <row r="991" spans="1:8" ht="12.75" x14ac:dyDescent="0.2">
      <c r="A991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991" s="1" t="str">
        <f ca="1">IFERROR(__xludf.DUMMYFUNCTION("""COMPUTED_VALUE"""),"KZ.7700.02.01.00548610")</f>
        <v>KZ.7700.02.01.00548610</v>
      </c>
      <c r="C991" s="1" t="str">
        <f ca="1">IFERROR(__xludf.DUMMYFUNCTION("""COMPUTED_VALUE"""),"Действителен до 10.01.2024")</f>
        <v>Действителен до 10.01.2024</v>
      </c>
      <c r="D991" s="8" t="str">
        <f ca="1">IFERROR(__xludf.DUMMYFUNCTION("""COMPUTED_VALUE"""),"0119047KZ45")</f>
        <v>0119047KZ45</v>
      </c>
      <c r="E991" s="1" t="str">
        <f ca="1">IFERROR(__xludf.DUMMYFUNCTION("""COMPUTED_VALUE"""),"годен до 10.01.2024")</f>
        <v>годен до 10.01.2024</v>
      </c>
      <c r="F991" s="1" t="str">
        <f ca="1">IFERROR(__xludf.DUMMYFUNCTION("""COMPUTED_VALUE"""),"Бандаж на коленный сустав эластичный 6040 S (Болгария) - 0119047KZ45")</f>
        <v>Бандаж на коленный сустав эластичный 6040 S (Болгария) - 0119047KZ45</v>
      </c>
      <c r="G991" s="1" t="str">
        <f ca="1">IFERROR(__xludf.DUMMYFUNCTION("""COMPUTED_VALUE"""),"KZ.7700.02.01.00548610 / Действителен до 10.01.2024 / 0119047KZ45 / годен до 10.01.2024")</f>
        <v>KZ.7700.02.01.00548610 / Действителен до 10.01.2024 / 0119047KZ45 / годен до 10.01.2024</v>
      </c>
      <c r="H991" s="1" t="str">
        <f ca="1">IFERROR(__xludf.DUMMYFUNCTION("""COMPUTED_VALUE"""),"Бандаж на коленный сустав эластичный 6040 S (Болгария) KZ.7700.02.01.00548610 / Действителен до 10.01.2024 / 0119047KZ45 / годен до 10.01.2024")</f>
        <v>Бандаж на коленный сустав эластичный 6040 S (Болгария) KZ.7700.02.01.00548610 / Действителен до 10.01.2024 / 0119047KZ45 / годен до 10.01.2024</v>
      </c>
    </row>
    <row r="992" spans="1:8" ht="12.75" x14ac:dyDescent="0.2">
      <c r="A992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992" s="1" t="str">
        <f ca="1">IFERROR(__xludf.DUMMYFUNCTION("""COMPUTED_VALUE"""),"KZ.7700.02.01.00548611")</f>
        <v>KZ.7700.02.01.00548611</v>
      </c>
      <c r="C992" s="1" t="str">
        <f ca="1">IFERROR(__xludf.DUMMYFUNCTION("""COMPUTED_VALUE"""),"Действителен до 10.01.2024")</f>
        <v>Действителен до 10.01.2024</v>
      </c>
      <c r="D992" s="8" t="str">
        <f ca="1">IFERROR(__xludf.DUMMYFUNCTION("""COMPUTED_VALUE"""),"0119047KZ45")</f>
        <v>0119047KZ45</v>
      </c>
      <c r="E992" s="1" t="str">
        <f ca="1">IFERROR(__xludf.DUMMYFUNCTION("""COMPUTED_VALUE"""),"годен до 10.01.2024")</f>
        <v>годен до 10.01.2024</v>
      </c>
      <c r="F992" s="1" t="str">
        <f ca="1">IFERROR(__xludf.DUMMYFUNCTION("""COMPUTED_VALUE"""),"Бандаж на коленный сустав эластичный 6040 M (Болгария) - 0119047KZ45")</f>
        <v>Бандаж на коленный сустав эластичный 6040 M (Болгария) - 0119047KZ45</v>
      </c>
      <c r="G992" s="1" t="str">
        <f ca="1">IFERROR(__xludf.DUMMYFUNCTION("""COMPUTED_VALUE"""),"KZ.7700.02.01.00548611 / Действителен до 10.01.2024 / 0119047KZ45 / годен до 10.01.2024")</f>
        <v>KZ.7700.02.01.00548611 / Действителен до 10.01.2024 / 0119047KZ45 / годен до 10.01.2024</v>
      </c>
      <c r="H992" s="1" t="str">
        <f ca="1">IFERROR(__xludf.DUMMYFUNCTION("""COMPUTED_VALUE"""),"Бандаж на коленный сустав эластичный 6040 M (Болгария) KZ.7700.02.01.00548611 / Действителен до 10.01.2024 / 0119047KZ45 / годен до 10.01.2024")</f>
        <v>Бандаж на коленный сустав эластичный 6040 M (Болгария) KZ.7700.02.01.00548611 / Действителен до 10.01.2024 / 0119047KZ45 / годен до 10.01.2024</v>
      </c>
    </row>
    <row r="993" spans="1:8" ht="12.75" x14ac:dyDescent="0.2">
      <c r="A993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993" s="1" t="str">
        <f ca="1">IFERROR(__xludf.DUMMYFUNCTION("""COMPUTED_VALUE"""),"KZ.7700.02.01.00548612")</f>
        <v>KZ.7700.02.01.00548612</v>
      </c>
      <c r="C993" s="1" t="str">
        <f ca="1">IFERROR(__xludf.DUMMYFUNCTION("""COMPUTED_VALUE"""),"Действителен до 10.01.2024")</f>
        <v>Действителен до 10.01.2024</v>
      </c>
      <c r="D993" s="8" t="str">
        <f ca="1">IFERROR(__xludf.DUMMYFUNCTION("""COMPUTED_VALUE"""),"0119047KZ45")</f>
        <v>0119047KZ45</v>
      </c>
      <c r="E993" s="1" t="str">
        <f ca="1">IFERROR(__xludf.DUMMYFUNCTION("""COMPUTED_VALUE"""),"годен до 10.01.2024")</f>
        <v>годен до 10.01.2024</v>
      </c>
      <c r="F993" s="1" t="str">
        <f ca="1">IFERROR(__xludf.DUMMYFUNCTION("""COMPUTED_VALUE"""),"Бандаж на коленный сустав эластичный 6040 L (Болгария) - 0119047KZ45")</f>
        <v>Бандаж на коленный сустав эластичный 6040 L (Болгария) - 0119047KZ45</v>
      </c>
      <c r="G993" s="1" t="str">
        <f ca="1">IFERROR(__xludf.DUMMYFUNCTION("""COMPUTED_VALUE"""),"KZ.7700.02.01.00548612 / Действителен до 10.01.2024 / 0119047KZ45 / годен до 10.01.2024")</f>
        <v>KZ.7700.02.01.00548612 / Действителен до 10.01.2024 / 0119047KZ45 / годен до 10.01.2024</v>
      </c>
      <c r="H993" s="1" t="str">
        <f ca="1">IFERROR(__xludf.DUMMYFUNCTION("""COMPUTED_VALUE"""),"Бандаж на коленный сустав эластичный 6040 L (Болгария) KZ.7700.02.01.00548612 / Действителен до 10.01.2024 / 0119047KZ45 / годен до 10.01.2024")</f>
        <v>Бандаж на коленный сустав эластичный 6040 L (Болгария) KZ.7700.02.01.00548612 / Действителен до 10.01.2024 / 0119047KZ45 / годен до 10.01.2024</v>
      </c>
    </row>
    <row r="994" spans="1:8" ht="12.75" x14ac:dyDescent="0.2">
      <c r="A994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994" s="1" t="str">
        <f ca="1">IFERROR(__xludf.DUMMYFUNCTION("""COMPUTED_VALUE"""),"KZ.7700.02.01.00548613")</f>
        <v>KZ.7700.02.01.00548613</v>
      </c>
      <c r="C994" s="1" t="str">
        <f ca="1">IFERROR(__xludf.DUMMYFUNCTION("""COMPUTED_VALUE"""),"Действителен до 10.01.2024")</f>
        <v>Действителен до 10.01.2024</v>
      </c>
      <c r="D994" s="8" t="str">
        <f ca="1">IFERROR(__xludf.DUMMYFUNCTION("""COMPUTED_VALUE"""),"0119047KZ45")</f>
        <v>0119047KZ45</v>
      </c>
      <c r="E994" s="1" t="str">
        <f ca="1">IFERROR(__xludf.DUMMYFUNCTION("""COMPUTED_VALUE"""),"годен до 10.01.2024")</f>
        <v>годен до 10.01.2024</v>
      </c>
      <c r="F994" s="1" t="str">
        <f ca="1">IFERROR(__xludf.DUMMYFUNCTION("""COMPUTED_VALUE"""),"Бандаж на коленный сустав эластичный 6040 XL (Болгария) - 0119047KZ45")</f>
        <v>Бандаж на коленный сустав эластичный 6040 XL (Болгария) - 0119047KZ45</v>
      </c>
      <c r="G994" s="1" t="str">
        <f ca="1">IFERROR(__xludf.DUMMYFUNCTION("""COMPUTED_VALUE"""),"KZ.7700.02.01.00548613 / Действителен до 10.01.2024 / 0119047KZ45 / годен до 10.01.2024")</f>
        <v>KZ.7700.02.01.00548613 / Действителен до 10.01.2024 / 0119047KZ45 / годен до 10.01.2024</v>
      </c>
      <c r="H994" s="1" t="str">
        <f ca="1">IFERROR(__xludf.DUMMYFUNCTION("""COMPUTED_VALUE"""),"Бандаж на коленный сустав эластичный 6040 XL (Болгария) KZ.7700.02.01.00548613 / Действителен до 10.01.2024 / 0119047KZ45 / годен до 10.01.2024")</f>
        <v>Бандаж на коленный сустав эластичный 6040 XL (Болгария) KZ.7700.02.01.00548613 / Действителен до 10.01.2024 / 0119047KZ45 / годен до 10.01.2024</v>
      </c>
    </row>
    <row r="995" spans="1:8" ht="12.75" x14ac:dyDescent="0.2">
      <c r="A995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995" s="1" t="str">
        <f ca="1">IFERROR(__xludf.DUMMYFUNCTION("""COMPUTED_VALUE"""),"KZ.7700.02.01.00548550")</f>
        <v>KZ.7700.02.01.00548550</v>
      </c>
      <c r="C995" s="1" t="str">
        <f ca="1">IFERROR(__xludf.DUMMYFUNCTION("""COMPUTED_VALUE"""),"Действителен до 10.01.2024")</f>
        <v>Действителен до 10.01.2024</v>
      </c>
      <c r="D995" s="8" t="str">
        <f ca="1">IFERROR(__xludf.DUMMYFUNCTION("""COMPUTED_VALUE"""),"0119047KZ45")</f>
        <v>0119047KZ45</v>
      </c>
      <c r="E995" s="1" t="str">
        <f ca="1">IFERROR(__xludf.DUMMYFUNCTION("""COMPUTED_VALUE"""),"годен до 10.01.2024")</f>
        <v>годен до 10.01.2024</v>
      </c>
      <c r="F995" s="1" t="str">
        <f ca="1">IFERROR(__xludf.DUMMYFUNCTION("""COMPUTED_VALUE"""),"Бандаж лечебно–профилактический эластичный 4002 XXXL (Болгария) - 0119047KZ45")</f>
        <v>Бандаж лечебно–профилактический эластичный 4002 XXXL (Болгария) - 0119047KZ45</v>
      </c>
      <c r="G995" s="1" t="str">
        <f ca="1">IFERROR(__xludf.DUMMYFUNCTION("""COMPUTED_VALUE"""),"KZ.7700.02.01.00548550 / Действителен до 10.01.2024 / 0119047KZ45 / годен до 10.01.2024")</f>
        <v>KZ.7700.02.01.00548550 / Действителен до 10.01.2024 / 0119047KZ45 / годен до 10.01.2024</v>
      </c>
      <c r="H995" s="1" t="str">
        <f ca="1">IFERROR(__xludf.DUMMYFUNCTION("""COMPUTED_VALUE"""),"Бандаж лечебно–профилактический эластичный 4002 XXXL (Болгария) KZ.7700.02.01.00548550 / Действителен до 10.01.2024 / 0119047KZ45 / годен до 10.01.2024")</f>
        <v>Бандаж лечебно–профилактический эластичный 4002 XXXL (Болгария) KZ.7700.02.01.00548550 / Действителен до 10.01.2024 / 0119047KZ45 / годен до 10.01.2024</v>
      </c>
    </row>
    <row r="996" spans="1:8" ht="12.75" x14ac:dyDescent="0.2">
      <c r="A996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996" s="1" t="str">
        <f ca="1">IFERROR(__xludf.DUMMYFUNCTION("""COMPUTED_VALUE"""),"KZ.7700.02.01.00548540")</f>
        <v>KZ.7700.02.01.00548540</v>
      </c>
      <c r="C996" s="1" t="str">
        <f ca="1">IFERROR(__xludf.DUMMYFUNCTION("""COMPUTED_VALUE"""),"Действителен до 10.01.2024")</f>
        <v>Действителен до 10.01.2024</v>
      </c>
      <c r="D996" s="8" t="str">
        <f ca="1">IFERROR(__xludf.DUMMYFUNCTION("""COMPUTED_VALUE"""),"0119047KZ45")</f>
        <v>0119047KZ45</v>
      </c>
      <c r="E996" s="1" t="str">
        <f ca="1">IFERROR(__xludf.DUMMYFUNCTION("""COMPUTED_VALUE"""),"годен до 10.01.2024")</f>
        <v>годен до 10.01.2024</v>
      </c>
      <c r="F996" s="1" t="str">
        <f ca="1">IFERROR(__xludf.DUMMYFUNCTION("""COMPUTED_VALUE"""),"Бандаж лечебно–профилактический эластичный 4002 XXXXL (Болгария) - 0119047KZ45")</f>
        <v>Бандаж лечебно–профилактический эластичный 4002 XXXXL (Болгария) - 0119047KZ45</v>
      </c>
      <c r="G996" s="1" t="str">
        <f ca="1">IFERROR(__xludf.DUMMYFUNCTION("""COMPUTED_VALUE"""),"KZ.7700.02.01.00548540 / Действителен до 10.01.2024 / 0119047KZ45 / годен до 10.01.2024")</f>
        <v>KZ.7700.02.01.00548540 / Действителен до 10.01.2024 / 0119047KZ45 / годен до 10.01.2024</v>
      </c>
      <c r="H996" s="1" t="str">
        <f ca="1">IFERROR(__xludf.DUMMYFUNCTION("""COMPUTED_VALUE"""),"Бандаж лечебно–профилактический эластичный 4002 XXXXL (Болгария) KZ.7700.02.01.00548540 / Действителен до 10.01.2024 / 0119047KZ45 / годен до 10.01.2024")</f>
        <v>Бандаж лечебно–профилактический эластичный 4002 XXXXL (Болгария) KZ.7700.02.01.00548540 / Действителен до 10.01.2024 / 0119047KZ45 / годен до 10.01.2024</v>
      </c>
    </row>
    <row r="997" spans="1:8" ht="12.75" x14ac:dyDescent="0.2">
      <c r="A997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997" s="1" t="str">
        <f ca="1">IFERROR(__xludf.DUMMYFUNCTION("""COMPUTED_VALUE"""),"KZ.7700.02.01.00548554")</f>
        <v>KZ.7700.02.01.00548554</v>
      </c>
      <c r="C997" s="1" t="str">
        <f ca="1">IFERROR(__xludf.DUMMYFUNCTION("""COMPUTED_VALUE"""),"Действителен до 10.01.2024")</f>
        <v>Действителен до 10.01.2024</v>
      </c>
      <c r="D997" s="8" t="str">
        <f ca="1">IFERROR(__xludf.DUMMYFUNCTION("""COMPUTED_VALUE"""),"0119047KZ45")</f>
        <v>0119047KZ45</v>
      </c>
      <c r="E997" s="1" t="str">
        <f ca="1">IFERROR(__xludf.DUMMYFUNCTION("""COMPUTED_VALUE"""),"годен до 10.01.2024")</f>
        <v>годен до 10.01.2024</v>
      </c>
      <c r="F997" s="1" t="str">
        <f ca="1">IFERROR(__xludf.DUMMYFUNCTION("""COMPUTED_VALUE"""),"Бандаж для беременных эластичный 4505 - S (Болгария) - 0119047KZ45")</f>
        <v>Бандаж для беременных эластичный 4505 - S (Болгария) - 0119047KZ45</v>
      </c>
      <c r="G997" s="1" t="str">
        <f ca="1">IFERROR(__xludf.DUMMYFUNCTION("""COMPUTED_VALUE"""),"KZ.7700.02.01.00548554 / Действителен до 10.01.2024 / 0119047KZ45 / годен до 10.01.2024")</f>
        <v>KZ.7700.02.01.00548554 / Действителен до 10.01.2024 / 0119047KZ45 / годен до 10.01.2024</v>
      </c>
      <c r="H997" s="1" t="str">
        <f ca="1">IFERROR(__xludf.DUMMYFUNCTION("""COMPUTED_VALUE"""),"Бандаж для беременных эластичный 4505 - S (Болгария) KZ.7700.02.01.00548554 / Действителен до 10.01.2024 / 0119047KZ45 / годен до 10.01.2024")</f>
        <v>Бандаж для беременных эластичный 4505 - S (Болгария) KZ.7700.02.01.00548554 / Действителен до 10.01.2024 / 0119047KZ45 / годен до 10.01.2024</v>
      </c>
    </row>
    <row r="998" spans="1:8" ht="12.75" x14ac:dyDescent="0.2">
      <c r="A998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998" s="1" t="str">
        <f ca="1">IFERROR(__xludf.DUMMYFUNCTION("""COMPUTED_VALUE"""),"KZ.7700.02.01.00548555")</f>
        <v>KZ.7700.02.01.00548555</v>
      </c>
      <c r="C998" s="1" t="str">
        <f ca="1">IFERROR(__xludf.DUMMYFUNCTION("""COMPUTED_VALUE"""),"Действителен до 10.01.2024")</f>
        <v>Действителен до 10.01.2024</v>
      </c>
      <c r="D998" s="8" t="str">
        <f ca="1">IFERROR(__xludf.DUMMYFUNCTION("""COMPUTED_VALUE"""),"0119047KZ45")</f>
        <v>0119047KZ45</v>
      </c>
      <c r="E998" s="1" t="str">
        <f ca="1">IFERROR(__xludf.DUMMYFUNCTION("""COMPUTED_VALUE"""),"годен до 10.01.2024")</f>
        <v>годен до 10.01.2024</v>
      </c>
      <c r="F998" s="1" t="str">
        <f ca="1">IFERROR(__xludf.DUMMYFUNCTION("""COMPUTED_VALUE"""),"Бандаж для беременных эластичный 4505 - М (Болгария) - 0119047KZ45")</f>
        <v>Бандаж для беременных эластичный 4505 - М (Болгария) - 0119047KZ45</v>
      </c>
      <c r="G998" s="1" t="str">
        <f ca="1">IFERROR(__xludf.DUMMYFUNCTION("""COMPUTED_VALUE"""),"KZ.7700.02.01.00548555 / Действителен до 10.01.2024 / 0119047KZ45 / годен до 10.01.2024")</f>
        <v>KZ.7700.02.01.00548555 / Действителен до 10.01.2024 / 0119047KZ45 / годен до 10.01.2024</v>
      </c>
      <c r="H998" s="1" t="str">
        <f ca="1">IFERROR(__xludf.DUMMYFUNCTION("""COMPUTED_VALUE"""),"Бандаж для беременных эластичный 4505 - М (Болгария) KZ.7700.02.01.00548555 / Действителен до 10.01.2024 / 0119047KZ45 / годен до 10.01.2024")</f>
        <v>Бандаж для беременных эластичный 4505 - М (Болгария) KZ.7700.02.01.00548555 / Действителен до 10.01.2024 / 0119047KZ45 / годен до 10.01.2024</v>
      </c>
    </row>
    <row r="999" spans="1:8" ht="12.75" x14ac:dyDescent="0.2">
      <c r="A999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999" s="1" t="str">
        <f ca="1">IFERROR(__xludf.DUMMYFUNCTION("""COMPUTED_VALUE"""),"KZ.7700.02.01.00548556")</f>
        <v>KZ.7700.02.01.00548556</v>
      </c>
      <c r="C999" s="1" t="str">
        <f ca="1">IFERROR(__xludf.DUMMYFUNCTION("""COMPUTED_VALUE"""),"Действителен до 10.01.2024")</f>
        <v>Действителен до 10.01.2024</v>
      </c>
      <c r="D999" s="8" t="str">
        <f ca="1">IFERROR(__xludf.DUMMYFUNCTION("""COMPUTED_VALUE"""),"0119047KZ45")</f>
        <v>0119047KZ45</v>
      </c>
      <c r="E999" s="1" t="str">
        <f ca="1">IFERROR(__xludf.DUMMYFUNCTION("""COMPUTED_VALUE"""),"годен до 10.01.2024")</f>
        <v>годен до 10.01.2024</v>
      </c>
      <c r="F999" s="1" t="str">
        <f ca="1">IFERROR(__xludf.DUMMYFUNCTION("""COMPUTED_VALUE"""),"Бандаж для беременных эластичный 4505 - L (Болгария) - 0119047KZ45")</f>
        <v>Бандаж для беременных эластичный 4505 - L (Болгария) - 0119047KZ45</v>
      </c>
      <c r="G999" s="1" t="str">
        <f ca="1">IFERROR(__xludf.DUMMYFUNCTION("""COMPUTED_VALUE"""),"KZ.7700.02.01.00548556 / Действителен до 10.01.2024 / 0119047KZ45 / годен до 10.01.2024")</f>
        <v>KZ.7700.02.01.00548556 / Действителен до 10.01.2024 / 0119047KZ45 / годен до 10.01.2024</v>
      </c>
      <c r="H999" s="1" t="str">
        <f ca="1">IFERROR(__xludf.DUMMYFUNCTION("""COMPUTED_VALUE"""),"Бандаж для беременных эластичный 4505 - L (Болгария) KZ.7700.02.01.00548556 / Действителен до 10.01.2024 / 0119047KZ45 / годен до 10.01.2024")</f>
        <v>Бандаж для беременных эластичный 4505 - L (Болгария) KZ.7700.02.01.00548556 / Действителен до 10.01.2024 / 0119047KZ45 / годен до 10.01.2024</v>
      </c>
    </row>
    <row r="1000" spans="1:8" ht="12.75" x14ac:dyDescent="0.2">
      <c r="A1000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000" s="1" t="str">
        <f ca="1">IFERROR(__xludf.DUMMYFUNCTION("""COMPUTED_VALUE"""),"KZ.7700.02.01.00548557")</f>
        <v>KZ.7700.02.01.00548557</v>
      </c>
      <c r="C1000" s="1" t="str">
        <f ca="1">IFERROR(__xludf.DUMMYFUNCTION("""COMPUTED_VALUE"""),"Действителен до 10.01.2024")</f>
        <v>Действителен до 10.01.2024</v>
      </c>
      <c r="D1000" s="8" t="str">
        <f ca="1">IFERROR(__xludf.DUMMYFUNCTION("""COMPUTED_VALUE"""),"0119047KZ45")</f>
        <v>0119047KZ45</v>
      </c>
      <c r="E1000" s="1" t="str">
        <f ca="1">IFERROR(__xludf.DUMMYFUNCTION("""COMPUTED_VALUE"""),"годен до 10.01.2024")</f>
        <v>годен до 10.01.2024</v>
      </c>
      <c r="F1000" s="1" t="str">
        <f ca="1">IFERROR(__xludf.DUMMYFUNCTION("""COMPUTED_VALUE"""),"Бандаж для беременных эластичный 4505 - XL (Болгария) - 0119047KZ45")</f>
        <v>Бандаж для беременных эластичный 4505 - XL (Болгария) - 0119047KZ45</v>
      </c>
      <c r="G1000" s="1" t="str">
        <f ca="1">IFERROR(__xludf.DUMMYFUNCTION("""COMPUTED_VALUE"""),"KZ.7700.02.01.00548557 / Действителен до 10.01.2024 / 0119047KZ45 / годен до 10.01.2024")</f>
        <v>KZ.7700.02.01.00548557 / Действителен до 10.01.2024 / 0119047KZ45 / годен до 10.01.2024</v>
      </c>
      <c r="H1000" s="1" t="str">
        <f ca="1">IFERROR(__xludf.DUMMYFUNCTION("""COMPUTED_VALUE"""),"Бандаж для беременных эластичный 4505 - XL (Болгария) KZ.7700.02.01.00548557 / Действителен до 10.01.2024 / 0119047KZ45 / годен до 10.01.2024")</f>
        <v>Бандаж для беременных эластичный 4505 - XL (Болгария) KZ.7700.02.01.00548557 / Действителен до 10.01.2024 / 0119047KZ45 / годен до 10.01.2024</v>
      </c>
    </row>
    <row r="1001" spans="1:8" ht="12.75" x14ac:dyDescent="0.2">
      <c r="A1001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001" s="1" t="str">
        <f ca="1">IFERROR(__xludf.DUMMYFUNCTION("""COMPUTED_VALUE"""),"KZ.7700.02.01.00548551")</f>
        <v>KZ.7700.02.01.00548551</v>
      </c>
      <c r="C1001" s="1" t="str">
        <f ca="1">IFERROR(__xludf.DUMMYFUNCTION("""COMPUTED_VALUE"""),"Действителен до 10.01.2024")</f>
        <v>Действителен до 10.01.2024</v>
      </c>
      <c r="D1001" s="8" t="str">
        <f ca="1">IFERROR(__xludf.DUMMYFUNCTION("""COMPUTED_VALUE"""),"0119047KZ45")</f>
        <v>0119047KZ45</v>
      </c>
      <c r="E1001" s="1" t="str">
        <f ca="1">IFERROR(__xludf.DUMMYFUNCTION("""COMPUTED_VALUE"""),"годен до 10.01.2024")</f>
        <v>годен до 10.01.2024</v>
      </c>
      <c r="F1001" s="1" t="str">
        <f ca="1">IFERROR(__xludf.DUMMYFUNCTION("""COMPUTED_VALUE"""),"Бандаж для беременных эластичный 4505 - XXL (Болгария) - 0119047KZ45")</f>
        <v>Бандаж для беременных эластичный 4505 - XXL (Болгария) - 0119047KZ45</v>
      </c>
      <c r="G1001" s="1" t="str">
        <f ca="1">IFERROR(__xludf.DUMMYFUNCTION("""COMPUTED_VALUE"""),"KZ.7700.02.01.00548551 / Действителен до 10.01.2024 / 0119047KZ45 / годен до 10.01.2024")</f>
        <v>KZ.7700.02.01.00548551 / Действителен до 10.01.2024 / 0119047KZ45 / годен до 10.01.2024</v>
      </c>
      <c r="H1001" s="1" t="str">
        <f ca="1">IFERROR(__xludf.DUMMYFUNCTION("""COMPUTED_VALUE"""),"Бандаж для беременных эластичный 4505 - XXL (Болгария) KZ.7700.02.01.00548551 / Действителен до 10.01.2024 / 0119047KZ45 / годен до 10.01.2024")</f>
        <v>Бандаж для беременных эластичный 4505 - XXL (Болгария) KZ.7700.02.01.00548551 / Действителен до 10.01.2024 / 0119047KZ45 / годен до 10.01.2024</v>
      </c>
    </row>
    <row r="1002" spans="1:8" ht="12.75" x14ac:dyDescent="0.2">
      <c r="A1002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002" s="1" t="str">
        <f ca="1">IFERROR(__xludf.DUMMYFUNCTION("""COMPUTED_VALUE"""),"KZ.7700.02.01.00548574")</f>
        <v>KZ.7700.02.01.00548574</v>
      </c>
      <c r="C1002" s="1" t="str">
        <f ca="1">IFERROR(__xludf.DUMMYFUNCTION("""COMPUTED_VALUE"""),"Действителен до 10.01.2024")</f>
        <v>Действителен до 10.01.2024</v>
      </c>
      <c r="D1002" s="8" t="str">
        <f ca="1">IFERROR(__xludf.DUMMYFUNCTION("""COMPUTED_VALUE"""),"0119047KZ45")</f>
        <v>0119047KZ45</v>
      </c>
      <c r="E1002" s="1" t="str">
        <f ca="1">IFERROR(__xludf.DUMMYFUNCTION("""COMPUTED_VALUE"""),"годен до 10.01.2024")</f>
        <v>годен до 10.01.2024</v>
      </c>
      <c r="F1002" s="1" t="str">
        <f ca="1">IFERROR(__xludf.DUMMYFUNCTION("""COMPUTED_VALUE"""),"Бандаж для беременных эластичный 4505 - XXXL (Болгария) - 0119047KZ45")</f>
        <v>Бандаж для беременных эластичный 4505 - XXXL (Болгария) - 0119047KZ45</v>
      </c>
      <c r="G1002" s="1" t="str">
        <f ca="1">IFERROR(__xludf.DUMMYFUNCTION("""COMPUTED_VALUE"""),"KZ.7700.02.01.00548574 / Действителен до 10.01.2024 / 0119047KZ45 / годен до 10.01.2024")</f>
        <v>KZ.7700.02.01.00548574 / Действителен до 10.01.2024 / 0119047KZ45 / годен до 10.01.2024</v>
      </c>
      <c r="H1002" s="1" t="str">
        <f ca="1">IFERROR(__xludf.DUMMYFUNCTION("""COMPUTED_VALUE"""),"Бандаж для беременных эластичный 4505 - XXXL (Болгария) KZ.7700.02.01.00548574 / Действителен до 10.01.2024 / 0119047KZ45 / годен до 10.01.2024")</f>
        <v>Бандаж для беременных эластичный 4505 - XXXL (Болгария) KZ.7700.02.01.00548574 / Действителен до 10.01.2024 / 0119047KZ45 / годен до 10.01.2024</v>
      </c>
    </row>
    <row r="1003" spans="1:8" ht="12.75" x14ac:dyDescent="0.2">
      <c r="A1003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1003" s="1" t="str">
        <f ca="1">IFERROR(__xludf.DUMMYFUNCTION("""COMPUTED_VALUE"""),"KZ.7700.02.01.00548558")</f>
        <v>KZ.7700.02.01.00548558</v>
      </c>
      <c r="C1003" s="1" t="str">
        <f ca="1">IFERROR(__xludf.DUMMYFUNCTION("""COMPUTED_VALUE"""),"Действителен до 10.01.2024")</f>
        <v>Действителен до 10.01.2024</v>
      </c>
      <c r="D1003" s="8" t="str">
        <f ca="1">IFERROR(__xludf.DUMMYFUNCTION("""COMPUTED_VALUE"""),"0119047KZ45")</f>
        <v>0119047KZ45</v>
      </c>
      <c r="E1003" s="1" t="str">
        <f ca="1">IFERROR(__xludf.DUMMYFUNCTION("""COMPUTED_VALUE"""),"годен до 10.01.2024")</f>
        <v>годен до 10.01.2024</v>
      </c>
      <c r="F1003" s="1" t="str">
        <f ca="1">IFERROR(__xludf.DUMMYFUNCTION("""COMPUTED_VALUE"""),"Бандаж на голеностопный сустав легкой фиксации 7034 M (бежевый) (Болгария) - 0119047KZ45")</f>
        <v>Бандаж на голеностопный сустав легкой фиксации 7034 M (бежевый) (Болгария) - 0119047KZ45</v>
      </c>
      <c r="G1003" s="1" t="str">
        <f ca="1">IFERROR(__xludf.DUMMYFUNCTION("""COMPUTED_VALUE"""),"KZ.7700.02.01.00548558 / Действителен до 10.01.2024 / 0119047KZ45 / годен до 10.01.2024")</f>
        <v>KZ.7700.02.01.00548558 / Действителен до 10.01.2024 / 0119047KZ45 / годен до 10.01.2024</v>
      </c>
      <c r="H1003" s="1" t="str">
        <f ca="1">IFERROR(__xludf.DUMMYFUNCTION("""COMPUTED_VALUE"""),"Бандаж на голеностопный сустав легкой фиксации 7034 M (бежевый) (Болгария) KZ.7700.02.01.00548558 / Действителен до 10.01.2024 / 0119047KZ45 / годен до 10.01.2024")</f>
        <v>Бандаж на голеностопный сустав легкой фиксации 7034 M (бежевый) (Болгария) KZ.7700.02.01.00548558 / Действителен до 10.01.2024 / 0119047KZ45 / годен до 10.01.2024</v>
      </c>
    </row>
    <row r="1004" spans="1:8" ht="12.75" x14ac:dyDescent="0.2">
      <c r="A1004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1004" s="1" t="str">
        <f ca="1">IFERROR(__xludf.DUMMYFUNCTION("""COMPUTED_VALUE"""),"KZ.7700.02.01.00548589")</f>
        <v>KZ.7700.02.01.00548589</v>
      </c>
      <c r="C1004" s="1" t="str">
        <f ca="1">IFERROR(__xludf.DUMMYFUNCTION("""COMPUTED_VALUE"""),"Действителен до 10.01.2024")</f>
        <v>Действителен до 10.01.2024</v>
      </c>
      <c r="D1004" s="8" t="str">
        <f ca="1">IFERROR(__xludf.DUMMYFUNCTION("""COMPUTED_VALUE"""),"0119047KZ45")</f>
        <v>0119047KZ45</v>
      </c>
      <c r="E1004" s="1" t="str">
        <f ca="1">IFERROR(__xludf.DUMMYFUNCTION("""COMPUTED_VALUE"""),"годен до 10.01.2024")</f>
        <v>годен до 10.01.2024</v>
      </c>
      <c r="F1004" s="1" t="str">
        <f ca="1">IFERROR(__xludf.DUMMYFUNCTION("""COMPUTED_VALUE"""),"Бандаж на голеностопный сустав легкой фиксации 7034 L (бежевый) (Болгария) - 0119047KZ45")</f>
        <v>Бандаж на голеностопный сустав легкой фиксации 7034 L (бежевый) (Болгария) - 0119047KZ45</v>
      </c>
      <c r="G1004" s="1" t="str">
        <f ca="1">IFERROR(__xludf.DUMMYFUNCTION("""COMPUTED_VALUE"""),"KZ.7700.02.01.00548589 / Действителен до 10.01.2024 / 0119047KZ45 / годен до 10.01.2024")</f>
        <v>KZ.7700.02.01.00548589 / Действителен до 10.01.2024 / 0119047KZ45 / годен до 10.01.2024</v>
      </c>
      <c r="H1004" s="1" t="str">
        <f ca="1">IFERROR(__xludf.DUMMYFUNCTION("""COMPUTED_VALUE"""),"Бандаж на голеностопный сустав легкой фиксации 7034 L (бежевый) (Болгария) KZ.7700.02.01.00548589 / Действителен до 10.01.2024 / 0119047KZ45 / годен до 10.01.2024")</f>
        <v>Бандаж на голеностопный сустав легкой фиксации 7034 L (бежевый) (Болгария) KZ.7700.02.01.00548589 / Действителен до 10.01.2024 / 0119047KZ45 / годен до 10.01.2024</v>
      </c>
    </row>
    <row r="1005" spans="1:8" ht="12.75" x14ac:dyDescent="0.2">
      <c r="A1005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1005" s="1" t="str">
        <f ca="1">IFERROR(__xludf.DUMMYFUNCTION("""COMPUTED_VALUE"""),"KZ.7700.02.01.00548614")</f>
        <v>KZ.7700.02.01.00548614</v>
      </c>
      <c r="C1005" s="1" t="str">
        <f ca="1">IFERROR(__xludf.DUMMYFUNCTION("""COMPUTED_VALUE"""),"Действителен до 10.01.2024")</f>
        <v>Действителен до 10.01.2024</v>
      </c>
      <c r="D1005" s="8" t="str">
        <f ca="1">IFERROR(__xludf.DUMMYFUNCTION("""COMPUTED_VALUE"""),"0119047KZ45")</f>
        <v>0119047KZ45</v>
      </c>
      <c r="E1005" s="1" t="str">
        <f ca="1">IFERROR(__xludf.DUMMYFUNCTION("""COMPUTED_VALUE"""),"годен до 10.01.2024")</f>
        <v>годен до 10.01.2024</v>
      </c>
      <c r="F1005" s="1" t="str">
        <f ca="1">IFERROR(__xludf.DUMMYFUNCTION("""COMPUTED_VALUE"""),"Бандаж на голеностопный сустав эластичный 7035 S (Болгария) - 0119047KZ45")</f>
        <v>Бандаж на голеностопный сустав эластичный 7035 S (Болгария) - 0119047KZ45</v>
      </c>
      <c r="G1005" s="1" t="str">
        <f ca="1">IFERROR(__xludf.DUMMYFUNCTION("""COMPUTED_VALUE"""),"KZ.7700.02.01.00548614 / Действителен до 10.01.2024 / 0119047KZ45 / годен до 10.01.2024")</f>
        <v>KZ.7700.02.01.00548614 / Действителен до 10.01.2024 / 0119047KZ45 / годен до 10.01.2024</v>
      </c>
      <c r="H1005" s="1" t="str">
        <f ca="1">IFERROR(__xludf.DUMMYFUNCTION("""COMPUTED_VALUE"""),"Бандаж на голеностопный сустав эластичный 7035 S (Болгария) KZ.7700.02.01.00548614 / Действителен до 10.01.2024 / 0119047KZ45 / годен до 10.01.2024")</f>
        <v>Бандаж на голеностопный сустав эластичный 7035 S (Болгария) KZ.7700.02.01.00548614 / Действителен до 10.01.2024 / 0119047KZ45 / годен до 10.01.2024</v>
      </c>
    </row>
    <row r="1006" spans="1:8" ht="12.75" x14ac:dyDescent="0.2">
      <c r="A1006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006" s="1" t="str">
        <f ca="1">IFERROR(__xludf.DUMMYFUNCTION("""COMPUTED_VALUE"""),"KZ.7700.02.01.00548615")</f>
        <v>KZ.7700.02.01.00548615</v>
      </c>
      <c r="C1006" s="1" t="str">
        <f ca="1">IFERROR(__xludf.DUMMYFUNCTION("""COMPUTED_VALUE"""),"Действителен до 10.01.2024")</f>
        <v>Действителен до 10.01.2024</v>
      </c>
      <c r="D1006" s="8" t="str">
        <f ca="1">IFERROR(__xludf.DUMMYFUNCTION("""COMPUTED_VALUE"""),"0119047KZ45")</f>
        <v>0119047KZ45</v>
      </c>
      <c r="E1006" s="1" t="str">
        <f ca="1">IFERROR(__xludf.DUMMYFUNCTION("""COMPUTED_VALUE"""),"годен до 10.01.2024")</f>
        <v>годен до 10.01.2024</v>
      </c>
      <c r="F1006" s="1" t="str">
        <f ca="1">IFERROR(__xludf.DUMMYFUNCTION("""COMPUTED_VALUE"""),"Бандаж на голеностопный сустав эластичный 7035 M (Болгария) - 0119047KZ45")</f>
        <v>Бандаж на голеностопный сустав эластичный 7035 M (Болгария) - 0119047KZ45</v>
      </c>
      <c r="G1006" s="1" t="str">
        <f ca="1">IFERROR(__xludf.DUMMYFUNCTION("""COMPUTED_VALUE"""),"KZ.7700.02.01.00548615 / Действителен до 10.01.2024 / 0119047KZ45 / годен до 10.01.2024")</f>
        <v>KZ.7700.02.01.00548615 / Действителен до 10.01.2024 / 0119047KZ45 / годен до 10.01.2024</v>
      </c>
      <c r="H1006" s="1" t="str">
        <f ca="1">IFERROR(__xludf.DUMMYFUNCTION("""COMPUTED_VALUE"""),"Бандаж на голеностопный сустав эластичный 7035 M (Болгария) KZ.7700.02.01.00548615 / Действителен до 10.01.2024 / 0119047KZ45 / годен до 10.01.2024")</f>
        <v>Бандаж на голеностопный сустав эластичный 7035 M (Болгария) KZ.7700.02.01.00548615 / Действителен до 10.01.2024 / 0119047KZ45 / годен до 10.01.2024</v>
      </c>
    </row>
    <row r="1007" spans="1:8" ht="12.75" x14ac:dyDescent="0.2">
      <c r="A1007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1007" s="1" t="str">
        <f ca="1">IFERROR(__xludf.DUMMYFUNCTION("""COMPUTED_VALUE"""),"KZ.7700.02.01.00548616")</f>
        <v>KZ.7700.02.01.00548616</v>
      </c>
      <c r="C1007" s="1" t="str">
        <f ca="1">IFERROR(__xludf.DUMMYFUNCTION("""COMPUTED_VALUE"""),"Действителен до 10.01.2024")</f>
        <v>Действителен до 10.01.2024</v>
      </c>
      <c r="D1007" s="8" t="str">
        <f ca="1">IFERROR(__xludf.DUMMYFUNCTION("""COMPUTED_VALUE"""),"0119047KZ45")</f>
        <v>0119047KZ45</v>
      </c>
      <c r="E1007" s="1" t="str">
        <f ca="1">IFERROR(__xludf.DUMMYFUNCTION("""COMPUTED_VALUE"""),"годен до 10.01.2024")</f>
        <v>годен до 10.01.2024</v>
      </c>
      <c r="F1007" s="1" t="str">
        <f ca="1">IFERROR(__xludf.DUMMYFUNCTION("""COMPUTED_VALUE"""),"Бандаж на голеностопный сустав эластичный 7035 L (Болгария) - 0119047KZ45")</f>
        <v>Бандаж на голеностопный сустав эластичный 7035 L (Болгария) - 0119047KZ45</v>
      </c>
      <c r="G1007" s="1" t="str">
        <f ca="1">IFERROR(__xludf.DUMMYFUNCTION("""COMPUTED_VALUE"""),"KZ.7700.02.01.00548616 / Действителен до 10.01.2024 / 0119047KZ45 / годен до 10.01.2024")</f>
        <v>KZ.7700.02.01.00548616 / Действителен до 10.01.2024 / 0119047KZ45 / годен до 10.01.2024</v>
      </c>
      <c r="H1007" s="1" t="str">
        <f ca="1">IFERROR(__xludf.DUMMYFUNCTION("""COMPUTED_VALUE"""),"Бандаж на голеностопный сустав эластичный 7035 L (Болгария) KZ.7700.02.01.00548616 / Действителен до 10.01.2024 / 0119047KZ45 / годен до 10.01.2024")</f>
        <v>Бандаж на голеностопный сустав эластичный 7035 L (Болгария) KZ.7700.02.01.00548616 / Действителен до 10.01.2024 / 0119047KZ45 / годен до 10.01.2024</v>
      </c>
    </row>
    <row r="1008" spans="1:8" ht="12.75" x14ac:dyDescent="0.2">
      <c r="A1008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1008" s="1" t="str">
        <f ca="1">IFERROR(__xludf.DUMMYFUNCTION("""COMPUTED_VALUE"""),"KZ.7700.02.01.00548617")</f>
        <v>KZ.7700.02.01.00548617</v>
      </c>
      <c r="C1008" s="1" t="str">
        <f ca="1">IFERROR(__xludf.DUMMYFUNCTION("""COMPUTED_VALUE"""),"Действителен до 10.01.2024")</f>
        <v>Действителен до 10.01.2024</v>
      </c>
      <c r="D1008" s="8" t="str">
        <f ca="1">IFERROR(__xludf.DUMMYFUNCTION("""COMPUTED_VALUE"""),"0119047KZ45")</f>
        <v>0119047KZ45</v>
      </c>
      <c r="E1008" s="1" t="str">
        <f ca="1">IFERROR(__xludf.DUMMYFUNCTION("""COMPUTED_VALUE"""),"годен до 10.01.2024")</f>
        <v>годен до 10.01.2024</v>
      </c>
      <c r="F1008" s="1" t="str">
        <f ca="1">IFERROR(__xludf.DUMMYFUNCTION("""COMPUTED_VALUE"""),"Бандаж на голеностопный сустав эластичный 7035 XL (Болгария) - 0119047KZ45")</f>
        <v>Бандаж на голеностопный сустав эластичный 7035 XL (Болгария) - 0119047KZ45</v>
      </c>
      <c r="G1008" s="1" t="str">
        <f ca="1">IFERROR(__xludf.DUMMYFUNCTION("""COMPUTED_VALUE"""),"KZ.7700.02.01.00548617 / Действителен до 10.01.2024 / 0119047KZ45 / годен до 10.01.2024")</f>
        <v>KZ.7700.02.01.00548617 / Действителен до 10.01.2024 / 0119047KZ45 / годен до 10.01.2024</v>
      </c>
      <c r="H1008" s="1" t="str">
        <f ca="1">IFERROR(__xludf.DUMMYFUNCTION("""COMPUTED_VALUE"""),"Бандаж на голеностопный сустав эластичный 7035 XL (Болгария) KZ.7700.02.01.00548617 / Действителен до 10.01.2024 / 0119047KZ45 / годен до 10.01.2024")</f>
        <v>Бандаж на голеностопный сустав эластичный 7035 XL (Болгария) KZ.7700.02.01.00548617 / Действителен до 10.01.2024 / 0119047KZ45 / годен до 10.01.2024</v>
      </c>
    </row>
    <row r="1009" spans="1:8" ht="12.75" x14ac:dyDescent="0.2">
      <c r="A1009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1009" s="1" t="str">
        <f ca="1">IFERROR(__xludf.DUMMYFUNCTION("""COMPUTED_VALUE"""),"KZ.7700.02.01.00548618")</f>
        <v>KZ.7700.02.01.00548618</v>
      </c>
      <c r="C1009" s="1" t="str">
        <f ca="1">IFERROR(__xludf.DUMMYFUNCTION("""COMPUTED_VALUE"""),"Действителен до 10.01.2024")</f>
        <v>Действителен до 10.01.2024</v>
      </c>
      <c r="D1009" s="8" t="str">
        <f ca="1">IFERROR(__xludf.DUMMYFUNCTION("""COMPUTED_VALUE"""),"0119047KZ45")</f>
        <v>0119047KZ45</v>
      </c>
      <c r="E1009" s="1" t="str">
        <f ca="1">IFERROR(__xludf.DUMMYFUNCTION("""COMPUTED_VALUE"""),"годен до 10.01.2024")</f>
        <v>годен до 10.01.2024</v>
      </c>
      <c r="F1009" s="1" t="str">
        <f ca="1">IFERROR(__xludf.DUMMYFUNCTION("""COMPUTED_VALUE"""),"Бандаж на локтевой сустав эластичный 8317 S (Болгария) - 0119047KZ45")</f>
        <v>Бандаж на локтевой сустав эластичный 8317 S (Болгария) - 0119047KZ45</v>
      </c>
      <c r="G1009" s="1" t="str">
        <f ca="1">IFERROR(__xludf.DUMMYFUNCTION("""COMPUTED_VALUE"""),"KZ.7700.02.01.00548618 / Действителен до 10.01.2024 / 0119047KZ45 / годен до 10.01.2024")</f>
        <v>KZ.7700.02.01.00548618 / Действителен до 10.01.2024 / 0119047KZ45 / годен до 10.01.2024</v>
      </c>
      <c r="H1009" s="1" t="str">
        <f ca="1">IFERROR(__xludf.DUMMYFUNCTION("""COMPUTED_VALUE"""),"Бандаж на локтевой сустав эластичный 8317 S (Болгария) KZ.7700.02.01.00548618 / Действителен до 10.01.2024 / 0119047KZ45 / годен до 10.01.2024")</f>
        <v>Бандаж на локтевой сустав эластичный 8317 S (Болгария) KZ.7700.02.01.00548618 / Действителен до 10.01.2024 / 0119047KZ45 / годен до 10.01.2024</v>
      </c>
    </row>
    <row r="1010" spans="1:8" ht="12.75" x14ac:dyDescent="0.2">
      <c r="A1010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1010" s="1" t="str">
        <f ca="1">IFERROR(__xludf.DUMMYFUNCTION("""COMPUTED_VALUE"""),"KZ.7700.02.01.00548619")</f>
        <v>KZ.7700.02.01.00548619</v>
      </c>
      <c r="C1010" s="1" t="str">
        <f ca="1">IFERROR(__xludf.DUMMYFUNCTION("""COMPUTED_VALUE"""),"Действителен до 10.01.2024")</f>
        <v>Действителен до 10.01.2024</v>
      </c>
      <c r="D1010" s="8" t="str">
        <f ca="1">IFERROR(__xludf.DUMMYFUNCTION("""COMPUTED_VALUE"""),"0119047KZ45")</f>
        <v>0119047KZ45</v>
      </c>
      <c r="E1010" s="1" t="str">
        <f ca="1">IFERROR(__xludf.DUMMYFUNCTION("""COMPUTED_VALUE"""),"годен до 10.01.2024")</f>
        <v>годен до 10.01.2024</v>
      </c>
      <c r="F1010" s="1" t="str">
        <f ca="1">IFERROR(__xludf.DUMMYFUNCTION("""COMPUTED_VALUE"""),"Бандаж на локтевой сустав эластичный 8317 M (Болгария) - 0119047KZ45")</f>
        <v>Бандаж на локтевой сустав эластичный 8317 M (Болгария) - 0119047KZ45</v>
      </c>
      <c r="G1010" s="1" t="str">
        <f ca="1">IFERROR(__xludf.DUMMYFUNCTION("""COMPUTED_VALUE"""),"KZ.7700.02.01.00548619 / Действителен до 10.01.2024 / 0119047KZ45 / годен до 10.01.2024")</f>
        <v>KZ.7700.02.01.00548619 / Действителен до 10.01.2024 / 0119047KZ45 / годен до 10.01.2024</v>
      </c>
      <c r="H1010" s="1" t="str">
        <f ca="1">IFERROR(__xludf.DUMMYFUNCTION("""COMPUTED_VALUE"""),"Бандаж на локтевой сустав эластичный 8317 M (Болгария) KZ.7700.02.01.00548619 / Действителен до 10.01.2024 / 0119047KZ45 / годен до 10.01.2024")</f>
        <v>Бандаж на локтевой сустав эластичный 8317 M (Болгария) KZ.7700.02.01.00548619 / Действителен до 10.01.2024 / 0119047KZ45 / годен до 10.01.2024</v>
      </c>
    </row>
    <row r="1011" spans="1:8" ht="12.75" x14ac:dyDescent="0.2">
      <c r="A1011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011" s="1" t="str">
        <f ca="1">IFERROR(__xludf.DUMMYFUNCTION("""COMPUTED_VALUE"""),"KZ.7700.02.01.00548620")</f>
        <v>KZ.7700.02.01.00548620</v>
      </c>
      <c r="C1011" s="1" t="str">
        <f ca="1">IFERROR(__xludf.DUMMYFUNCTION("""COMPUTED_VALUE"""),"Действителен до 10.01.2024")</f>
        <v>Действителен до 10.01.2024</v>
      </c>
      <c r="D1011" s="8" t="str">
        <f ca="1">IFERROR(__xludf.DUMMYFUNCTION("""COMPUTED_VALUE"""),"0119047KZ45")</f>
        <v>0119047KZ45</v>
      </c>
      <c r="E1011" s="1" t="str">
        <f ca="1">IFERROR(__xludf.DUMMYFUNCTION("""COMPUTED_VALUE"""),"годен до 10.01.2024")</f>
        <v>годен до 10.01.2024</v>
      </c>
      <c r="F1011" s="1" t="str">
        <f ca="1">IFERROR(__xludf.DUMMYFUNCTION("""COMPUTED_VALUE"""),"Бандаж на лучезапястный сустав эластичный 8503 S (Болгария) - 0119047KZ45")</f>
        <v>Бандаж на лучезапястный сустав эластичный 8503 S (Болгария) - 0119047KZ45</v>
      </c>
      <c r="G1011" s="1" t="str">
        <f ca="1">IFERROR(__xludf.DUMMYFUNCTION("""COMPUTED_VALUE"""),"KZ.7700.02.01.00548620 / Действителен до 10.01.2024 / 0119047KZ45 / годен до 10.01.2024")</f>
        <v>KZ.7700.02.01.00548620 / Действителен до 10.01.2024 / 0119047KZ45 / годен до 10.01.2024</v>
      </c>
      <c r="H1011" s="1" t="str">
        <f ca="1">IFERROR(__xludf.DUMMYFUNCTION("""COMPUTED_VALUE"""),"Бандаж на лучезапястный сустав эластичный 8503 S (Болгария) KZ.7700.02.01.00548620 / Действителен до 10.01.2024 / 0119047KZ45 / годен до 10.01.2024")</f>
        <v>Бандаж на лучезапястный сустав эластичный 8503 S (Болгария) KZ.7700.02.01.00548620 / Действителен до 10.01.2024 / 0119047KZ45 / годен до 10.01.2024</v>
      </c>
    </row>
    <row r="1012" spans="1:8" ht="12.75" x14ac:dyDescent="0.2">
      <c r="A1012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012" s="1" t="str">
        <f ca="1">IFERROR(__xludf.DUMMYFUNCTION("""COMPUTED_VALUE"""),"KZ.7700.02.01.00548621")</f>
        <v>KZ.7700.02.01.00548621</v>
      </c>
      <c r="C1012" s="1" t="str">
        <f ca="1">IFERROR(__xludf.DUMMYFUNCTION("""COMPUTED_VALUE"""),"Действителен до 10.01.2024")</f>
        <v>Действителен до 10.01.2024</v>
      </c>
      <c r="D1012" s="8" t="str">
        <f ca="1">IFERROR(__xludf.DUMMYFUNCTION("""COMPUTED_VALUE"""),"0119047KZ45")</f>
        <v>0119047KZ45</v>
      </c>
      <c r="E1012" s="1" t="str">
        <f ca="1">IFERROR(__xludf.DUMMYFUNCTION("""COMPUTED_VALUE"""),"годен до 10.01.2024")</f>
        <v>годен до 10.01.2024</v>
      </c>
      <c r="F1012" s="1" t="str">
        <f ca="1">IFERROR(__xludf.DUMMYFUNCTION("""COMPUTED_VALUE"""),"Бандаж на лучезапястный сустав эластичный 8503 M (Болгария) - 0119047KZ45")</f>
        <v>Бандаж на лучезапястный сустав эластичный 8503 M (Болгария) - 0119047KZ45</v>
      </c>
      <c r="G1012" s="1" t="str">
        <f ca="1">IFERROR(__xludf.DUMMYFUNCTION("""COMPUTED_VALUE"""),"KZ.7700.02.01.00548621 / Действителен до 10.01.2024 / 0119047KZ45 / годен до 10.01.2024")</f>
        <v>KZ.7700.02.01.00548621 / Действителен до 10.01.2024 / 0119047KZ45 / годен до 10.01.2024</v>
      </c>
      <c r="H1012" s="1" t="str">
        <f ca="1">IFERROR(__xludf.DUMMYFUNCTION("""COMPUTED_VALUE"""),"Бандаж на лучезапястный сустав эластичный 8503 M (Болгария) KZ.7700.02.01.00548621 / Действителен до 10.01.2024 / 0119047KZ45 / годен до 10.01.2024")</f>
        <v>Бандаж на лучезапястный сустав эластичный 8503 M (Болгария) KZ.7700.02.01.00548621 / Действителен до 10.01.2024 / 0119047KZ45 / годен до 10.01.2024</v>
      </c>
    </row>
    <row r="1013" spans="1:8" ht="12.75" x14ac:dyDescent="0.2">
      <c r="A1013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1013" s="1" t="str">
        <f ca="1">IFERROR(__xludf.DUMMYFUNCTION("""COMPUTED_VALUE"""),"KZ.7700.02.01.00548591")</f>
        <v>KZ.7700.02.01.00548591</v>
      </c>
      <c r="C1013" s="1" t="str">
        <f ca="1">IFERROR(__xludf.DUMMYFUNCTION("""COMPUTED_VALUE"""),"Действителен до 10.01.2024")</f>
        <v>Действителен до 10.01.2024</v>
      </c>
      <c r="D1013" s="8" t="str">
        <f ca="1">IFERROR(__xludf.DUMMYFUNCTION("""COMPUTED_VALUE"""),"0119047KZ45")</f>
        <v>0119047KZ45</v>
      </c>
      <c r="E1013" s="1" t="str">
        <f ca="1">IFERROR(__xludf.DUMMYFUNCTION("""COMPUTED_VALUE"""),"годен до 10.01.2024")</f>
        <v>годен до 10.01.2024</v>
      </c>
      <c r="F1013" s="1" t="str">
        <f ca="1">IFERROR(__xludf.DUMMYFUNCTION("""COMPUTED_VALUE"""),"Бандаж на лучезапястный сустав легкой фиксации 8505 S/M (Бежевый) (Болгария) - 0119047KZ45")</f>
        <v>Бандаж на лучезапястный сустав легкой фиксации 8505 S/M (Бежевый) (Болгария) - 0119047KZ45</v>
      </c>
      <c r="G1013" s="1" t="str">
        <f ca="1">IFERROR(__xludf.DUMMYFUNCTION("""COMPUTED_VALUE"""),"KZ.7700.02.01.00548591 / Действителен до 10.01.2024 / 0119047KZ45 / годен до 10.01.2024")</f>
        <v>KZ.7700.02.01.00548591 / Действителен до 10.01.2024 / 0119047KZ45 / годен до 10.01.2024</v>
      </c>
      <c r="H1013" s="1" t="str">
        <f ca="1">IFERROR(__xludf.DUMMYFUNCTION("""COMPUTED_VALUE"""),"Бандаж на лучезапястный сустав легкой фиксации 8505 S/M (Бежевый) (Болгария) KZ.7700.02.01.00548591 / Действителен до 10.01.2024 / 0119047KZ45 / годен до 10.01.2024")</f>
        <v>Бандаж на лучезапястный сустав легкой фиксации 8505 S/M (Бежевый) (Болгария) KZ.7700.02.01.00548591 / Действителен до 10.01.2024 / 0119047KZ45 / годен до 10.01.2024</v>
      </c>
    </row>
    <row r="1014" spans="1:8" ht="12.75" x14ac:dyDescent="0.2">
      <c r="A1014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1014" s="1" t="str">
        <f ca="1">IFERROR(__xludf.DUMMYFUNCTION("""COMPUTED_VALUE"""),"KZ.7700.02.01.00548593")</f>
        <v>KZ.7700.02.01.00548593</v>
      </c>
      <c r="C1014" s="1" t="str">
        <f ca="1">IFERROR(__xludf.DUMMYFUNCTION("""COMPUTED_VALUE"""),"Действителен до 10.01.2024")</f>
        <v>Действителен до 10.01.2024</v>
      </c>
      <c r="D1014" s="8" t="str">
        <f ca="1">IFERROR(__xludf.DUMMYFUNCTION("""COMPUTED_VALUE"""),"0119047KZ45")</f>
        <v>0119047KZ45</v>
      </c>
      <c r="E1014" s="1" t="str">
        <f ca="1">IFERROR(__xludf.DUMMYFUNCTION("""COMPUTED_VALUE"""),"годен до 10.01.2024")</f>
        <v>годен до 10.01.2024</v>
      </c>
      <c r="F1014" s="1" t="str">
        <f ca="1">IFERROR(__xludf.DUMMYFUNCTION("""COMPUTED_VALUE"""),"Бандаж на лучезапястный сустав легкой фиксации 8505 L/XL (Бежевый) (Болгария) - 0119047KZ45")</f>
        <v>Бандаж на лучезапястный сустав легкой фиксации 8505 L/XL (Бежевый) (Болгария) - 0119047KZ45</v>
      </c>
      <c r="G1014" s="1" t="str">
        <f ca="1">IFERROR(__xludf.DUMMYFUNCTION("""COMPUTED_VALUE"""),"KZ.7700.02.01.00548593 / Действителен до 10.01.2024 / 0119047KZ45 / годен до 10.01.2024")</f>
        <v>KZ.7700.02.01.00548593 / Действителен до 10.01.2024 / 0119047KZ45 / годен до 10.01.2024</v>
      </c>
      <c r="H1014" s="1" t="str">
        <f ca="1">IFERROR(__xludf.DUMMYFUNCTION("""COMPUTED_VALUE"""),"Бандаж на лучезапястный сустав легкой фиксации 8505 L/XL (Бежевый) (Болгария) KZ.7700.02.01.00548593 / Действителен до 10.01.2024 / 0119047KZ45 / годен до 10.01.2024")</f>
        <v>Бандаж на лучезапястный сустав легкой фиксации 8505 L/XL (Бежевый) (Болгария) KZ.7700.02.01.00548593 / Действителен до 10.01.2024 / 0119047KZ45 / годен до 10.01.2024</v>
      </c>
    </row>
    <row r="1015" spans="1:8" ht="12.75" x14ac:dyDescent="0.2">
      <c r="A1015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015" s="1" t="str">
        <f ca="1">IFERROR(__xludf.DUMMYFUNCTION("""COMPUTED_VALUE"""),"KZ.7700.02.01.00548595")</f>
        <v>KZ.7700.02.01.00548595</v>
      </c>
      <c r="C1015" s="1" t="str">
        <f ca="1">IFERROR(__xludf.DUMMYFUNCTION("""COMPUTED_VALUE"""),"Действителен до 10.01.2024")</f>
        <v>Действителен до 10.01.2024</v>
      </c>
      <c r="D1015" s="8" t="str">
        <f ca="1">IFERROR(__xludf.DUMMYFUNCTION("""COMPUTED_VALUE"""),"0119047KZ45")</f>
        <v>0119047KZ45</v>
      </c>
      <c r="E1015" s="1" t="str">
        <f ca="1">IFERROR(__xludf.DUMMYFUNCTION("""COMPUTED_VALUE"""),"годен до 10.01.2024")</f>
        <v>годен до 10.01.2024</v>
      </c>
      <c r="F1015" s="1" t="str">
        <f ca="1">IFERROR(__xludf.DUMMYFUNCTION("""COMPUTED_VALUE"""),"Бандаж на лучезапястный сустав с фиксацией пальца 8552 S\M (Болгария) - 0119047KZ45")</f>
        <v>Бандаж на лучезапястный сустав с фиксацией пальца 8552 S\M (Болгария) - 0119047KZ45</v>
      </c>
      <c r="G1015" s="1" t="str">
        <f ca="1">IFERROR(__xludf.DUMMYFUNCTION("""COMPUTED_VALUE"""),"KZ.7700.02.01.00548595 / Действителен до 10.01.2024 / 0119047KZ45 / годен до 10.01.2024")</f>
        <v>KZ.7700.02.01.00548595 / Действителен до 10.01.2024 / 0119047KZ45 / годен до 10.01.2024</v>
      </c>
      <c r="H1015" s="1" t="str">
        <f ca="1">IFERROR(__xludf.DUMMYFUNCTION("""COMPUTED_VALUE"""),"Бандаж на лучезапястный сустав с фиксацией пальца 8552 S\M (Болгария) KZ.7700.02.01.00548595 / Действителен до 10.01.2024 / 0119047KZ45 / годен до 10.01.2024")</f>
        <v>Бандаж на лучезапястный сустав с фиксацией пальца 8552 S\M (Болгария) KZ.7700.02.01.00548595 / Действителен до 10.01.2024 / 0119047KZ45 / годен до 10.01.2024</v>
      </c>
    </row>
    <row r="1016" spans="1:8" ht="12.75" x14ac:dyDescent="0.2">
      <c r="A1016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016" s="1" t="str">
        <f ca="1">IFERROR(__xludf.DUMMYFUNCTION("""COMPUTED_VALUE"""),"KZ.7700.02.01.00548596")</f>
        <v>KZ.7700.02.01.00548596</v>
      </c>
      <c r="C1016" s="1" t="str">
        <f ca="1">IFERROR(__xludf.DUMMYFUNCTION("""COMPUTED_VALUE"""),"Действителен до 10.01.2024")</f>
        <v>Действителен до 10.01.2024</v>
      </c>
      <c r="D1016" s="8" t="str">
        <f ca="1">IFERROR(__xludf.DUMMYFUNCTION("""COMPUTED_VALUE"""),"0119047KZ45")</f>
        <v>0119047KZ45</v>
      </c>
      <c r="E1016" s="1" t="str">
        <f ca="1">IFERROR(__xludf.DUMMYFUNCTION("""COMPUTED_VALUE"""),"годен до 10.01.2024")</f>
        <v>годен до 10.01.2024</v>
      </c>
      <c r="F1016" s="1" t="str">
        <f ca="1">IFERROR(__xludf.DUMMYFUNCTION("""COMPUTED_VALUE"""),"Бандаж на лучезапястный сустав с фиксацией пальца 8552 L\XL (Болгария) - 0119047KZ45")</f>
        <v>Бандаж на лучезапястный сустав с фиксацией пальца 8552 L\XL (Болгария) - 0119047KZ45</v>
      </c>
      <c r="G1016" s="1" t="str">
        <f ca="1">IFERROR(__xludf.DUMMYFUNCTION("""COMPUTED_VALUE"""),"KZ.7700.02.01.00548596 / Действителен до 10.01.2024 / 0119047KZ45 / годен до 10.01.2024")</f>
        <v>KZ.7700.02.01.00548596 / Действителен до 10.01.2024 / 0119047KZ45 / годен до 10.01.2024</v>
      </c>
      <c r="H1016" s="1" t="str">
        <f ca="1">IFERROR(__xludf.DUMMYFUNCTION("""COMPUTED_VALUE"""),"Бандаж на лучезапястный сустав с фиксацией пальца 8552 L\XL (Болгария) KZ.7700.02.01.00548596 / Действителен до 10.01.2024 / 0119047KZ45 / годен до 10.01.2024")</f>
        <v>Бандаж на лучезапястный сустав с фиксацией пальца 8552 L\XL (Болгария) KZ.7700.02.01.00548596 / Действителен до 10.01.2024 / 0119047KZ45 / годен до 10.01.2024</v>
      </c>
    </row>
    <row r="1017" spans="1:8" ht="12.75" x14ac:dyDescent="0.2">
      <c r="A1017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1017" s="1" t="str">
        <f ca="1">IFERROR(__xludf.DUMMYFUNCTION("""COMPUTED_VALUE"""),"KZ.7700.02.01.00548598")</f>
        <v>KZ.7700.02.01.00548598</v>
      </c>
      <c r="C1017" s="1" t="str">
        <f ca="1">IFERROR(__xludf.DUMMYFUNCTION("""COMPUTED_VALUE"""),"Действителен до 10.01.2024")</f>
        <v>Действителен до 10.01.2024</v>
      </c>
      <c r="D1017" s="8" t="str">
        <f ca="1">IFERROR(__xludf.DUMMYFUNCTION("""COMPUTED_VALUE"""),"0119047KZ45")</f>
        <v>0119047KZ45</v>
      </c>
      <c r="E1017" s="1" t="str">
        <f ca="1">IFERROR(__xludf.DUMMYFUNCTION("""COMPUTED_VALUE"""),"годен до 10.01.2024")</f>
        <v>годен до 10.01.2024</v>
      </c>
      <c r="F1017" s="1" t="str">
        <f ca="1">IFERROR(__xludf.DUMMYFUNCTION("""COMPUTED_VALUE"""),"Бандаж для руки поддерживающий облегченный (косынка) 9912 S (черный) (Болгария) - 0119047KZ45")</f>
        <v>Бандаж для руки поддерживающий облегченный (косынка) 9912 S (черный) (Болгария) - 0119047KZ45</v>
      </c>
      <c r="G1017" s="1" t="str">
        <f ca="1">IFERROR(__xludf.DUMMYFUNCTION("""COMPUTED_VALUE"""),"KZ.7700.02.01.00548598 / Действителен до 10.01.2024 / 0119047KZ45 / годен до 10.01.2024")</f>
        <v>KZ.7700.02.01.00548598 / Действителен до 10.01.2024 / 0119047KZ45 / годен до 10.01.2024</v>
      </c>
      <c r="H1017" s="1" t="str">
        <f ca="1">IFERROR(__xludf.DUMMYFUNCTION("""COMPUTED_VALUE"""),"Бандаж для руки поддерживающий облегченный (косынка) 9912 S (черный) (Болгария) KZ.7700.02.01.00548598 / Действителен до 10.01.2024 / 0119047KZ45 / годен до 10.01.2024")</f>
        <v>Бандаж для руки поддерживающий облегченный (косынка) 9912 S (черный) (Болгария) KZ.7700.02.01.00548598 / Действителен до 10.01.2024 / 0119047KZ45 / годен до 10.01.2024</v>
      </c>
    </row>
    <row r="1018" spans="1:8" ht="12.75" x14ac:dyDescent="0.2">
      <c r="A1018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018" s="1" t="str">
        <f ca="1">IFERROR(__xludf.DUMMYFUNCTION("""COMPUTED_VALUE"""),"KZ.7700.02.01.00548599")</f>
        <v>KZ.7700.02.01.00548599</v>
      </c>
      <c r="C1018" s="1" t="str">
        <f ca="1">IFERROR(__xludf.DUMMYFUNCTION("""COMPUTED_VALUE"""),"Действителен до 10.01.2024")</f>
        <v>Действителен до 10.01.2024</v>
      </c>
      <c r="D1018" s="8" t="str">
        <f ca="1">IFERROR(__xludf.DUMMYFUNCTION("""COMPUTED_VALUE"""),"0119047KZ45")</f>
        <v>0119047KZ45</v>
      </c>
      <c r="E1018" s="1" t="str">
        <f ca="1">IFERROR(__xludf.DUMMYFUNCTION("""COMPUTED_VALUE"""),"годен до 10.01.2024")</f>
        <v>годен до 10.01.2024</v>
      </c>
      <c r="F1018" s="1" t="str">
        <f ca="1">IFERROR(__xludf.DUMMYFUNCTION("""COMPUTED_VALUE"""),"Бандаж для руки поддерживающий облегченный (косынка) 9912 M (черный) (Болгария) - 0119047KZ45")</f>
        <v>Бандаж для руки поддерживающий облегченный (косынка) 9912 M (черный) (Болгария) - 0119047KZ45</v>
      </c>
      <c r="G1018" s="1" t="str">
        <f ca="1">IFERROR(__xludf.DUMMYFUNCTION("""COMPUTED_VALUE"""),"KZ.7700.02.01.00548599 / Действителен до 10.01.2024 / 0119047KZ45 / годен до 10.01.2024")</f>
        <v>KZ.7700.02.01.00548599 / Действителен до 10.01.2024 / 0119047KZ45 / годен до 10.01.2024</v>
      </c>
      <c r="H1018" s="1" t="str">
        <f ca="1">IFERROR(__xludf.DUMMYFUNCTION("""COMPUTED_VALUE"""),"Бандаж для руки поддерживающий облегченный (косынка) 9912 M (черный) (Болгария) KZ.7700.02.01.00548599 / Действителен до 10.01.2024 / 0119047KZ45 / годен до 10.01.2024")</f>
        <v>Бандаж для руки поддерживающий облегченный (косынка) 9912 M (черный) (Болгария) KZ.7700.02.01.00548599 / Действителен до 10.01.2024 / 0119047KZ45 / годен до 10.01.2024</v>
      </c>
    </row>
    <row r="1019" spans="1:8" ht="12.75" x14ac:dyDescent="0.2">
      <c r="A1019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019" s="1" t="str">
        <f ca="1">IFERROR(__xludf.DUMMYFUNCTION("""COMPUTED_VALUE"""),"KZ.7700.02.01.00548600")</f>
        <v>KZ.7700.02.01.00548600</v>
      </c>
      <c r="C1019" s="1" t="str">
        <f ca="1">IFERROR(__xludf.DUMMYFUNCTION("""COMPUTED_VALUE"""),"Действителен до 10.01.2024")</f>
        <v>Действителен до 10.01.2024</v>
      </c>
      <c r="D1019" s="8" t="str">
        <f ca="1">IFERROR(__xludf.DUMMYFUNCTION("""COMPUTED_VALUE"""),"0119047KZ45")</f>
        <v>0119047KZ45</v>
      </c>
      <c r="E1019" s="1" t="str">
        <f ca="1">IFERROR(__xludf.DUMMYFUNCTION("""COMPUTED_VALUE"""),"годен до 10.01.2024")</f>
        <v>годен до 10.01.2024</v>
      </c>
      <c r="F1019" s="1" t="str">
        <f ca="1">IFERROR(__xludf.DUMMYFUNCTION("""COMPUTED_VALUE"""),"Бандаж для руки поддерживающий облегченный (косынка) 9912 L (черный) (Болгария) - 0119047KZ45")</f>
        <v>Бандаж для руки поддерживающий облегченный (косынка) 9912 L (черный) (Болгария) - 0119047KZ45</v>
      </c>
      <c r="G1019" s="1" t="str">
        <f ca="1">IFERROR(__xludf.DUMMYFUNCTION("""COMPUTED_VALUE"""),"KZ.7700.02.01.00548600 / Действителен до 10.01.2024 / 0119047KZ45 / годен до 10.01.2024")</f>
        <v>KZ.7700.02.01.00548600 / Действителен до 10.01.2024 / 0119047KZ45 / годен до 10.01.2024</v>
      </c>
      <c r="H1019" s="1" t="str">
        <f ca="1">IFERROR(__xludf.DUMMYFUNCTION("""COMPUTED_VALUE"""),"Бандаж для руки поддерживающий облегченный (косынка) 9912 L (черный) (Болгария) KZ.7700.02.01.00548600 / Действителен до 10.01.2024 / 0119047KZ45 / годен до 10.01.2024")</f>
        <v>Бандаж для руки поддерживающий облегченный (косынка) 9912 L (черный) (Болгария) KZ.7700.02.01.00548600 / Действителен до 10.01.2024 / 0119047KZ45 / годен до 10.01.2024</v>
      </c>
    </row>
    <row r="1020" spans="1:8" ht="12.75" x14ac:dyDescent="0.2">
      <c r="A1020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020" s="1" t="str">
        <f ca="1">IFERROR(__xludf.DUMMYFUNCTION("""COMPUTED_VALUE"""),"KZ.7700.02.01.00548601")</f>
        <v>KZ.7700.02.01.00548601</v>
      </c>
      <c r="C1020" s="1" t="str">
        <f ca="1">IFERROR(__xludf.DUMMYFUNCTION("""COMPUTED_VALUE"""),"Действителен до 10.01.2024")</f>
        <v>Действителен до 10.01.2024</v>
      </c>
      <c r="D1020" s="8" t="str">
        <f ca="1">IFERROR(__xludf.DUMMYFUNCTION("""COMPUTED_VALUE"""),"0119047KZ45")</f>
        <v>0119047KZ45</v>
      </c>
      <c r="E1020" s="1" t="str">
        <f ca="1">IFERROR(__xludf.DUMMYFUNCTION("""COMPUTED_VALUE"""),"годен до 10.01.2024")</f>
        <v>годен до 10.01.2024</v>
      </c>
      <c r="F1020" s="1" t="str">
        <f ca="1">IFERROR(__xludf.DUMMYFUNCTION("""COMPUTED_VALUE"""),"Бандаж для руки поддерживающий облегченный (косынка) 9912 XL (черный) (Болгария) - 0119047KZ45")</f>
        <v>Бандаж для руки поддерживающий облегченный (косынка) 9912 XL (черный) (Болгария) - 0119047KZ45</v>
      </c>
      <c r="G1020" s="1" t="str">
        <f ca="1">IFERROR(__xludf.DUMMYFUNCTION("""COMPUTED_VALUE"""),"KZ.7700.02.01.00548601 / Действителен до 10.01.2024 / 0119047KZ45 / годен до 10.01.2024")</f>
        <v>KZ.7700.02.01.00548601 / Действителен до 10.01.2024 / 0119047KZ45 / годен до 10.01.2024</v>
      </c>
      <c r="H1020" s="1" t="str">
        <f ca="1">IFERROR(__xludf.DUMMYFUNCTION("""COMPUTED_VALUE"""),"Бандаж для руки поддерживающий облегченный (косынка) 9912 XL (черный) (Болгария) KZ.7700.02.01.00548601 / Действителен до 10.01.2024 / 0119047KZ45 / годен до 10.01.2024")</f>
        <v>Бандаж для руки поддерживающий облегченный (косынка) 9912 XL (черный) (Болгария) KZ.7700.02.01.00548601 / Действителен до 10.01.2024 / 0119047KZ45 / годен до 10.01.2024</v>
      </c>
    </row>
    <row r="1021" spans="1:8" ht="12.75" x14ac:dyDescent="0.2">
      <c r="A1021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021" s="1" t="str">
        <f ca="1">IFERROR(__xludf.DUMMYFUNCTION("""COMPUTED_VALUE"""),"KZ.7700.02.01.00548602")</f>
        <v>KZ.7700.02.01.00548602</v>
      </c>
      <c r="C1021" s="1" t="str">
        <f ca="1">IFERROR(__xludf.DUMMYFUNCTION("""COMPUTED_VALUE"""),"Действителен до 10.01.2024")</f>
        <v>Действителен до 10.01.2024</v>
      </c>
      <c r="D1021" s="8" t="str">
        <f ca="1">IFERROR(__xludf.DUMMYFUNCTION("""COMPUTED_VALUE"""),"0119047KZ45")</f>
        <v>0119047KZ45</v>
      </c>
      <c r="E1021" s="1" t="str">
        <f ca="1">IFERROR(__xludf.DUMMYFUNCTION("""COMPUTED_VALUE"""),"годен до 10.01.2024")</f>
        <v>годен до 10.01.2024</v>
      </c>
      <c r="F1021" s="1" t="str">
        <f ca="1">IFERROR(__xludf.DUMMYFUNCTION("""COMPUTED_VALUE"""),"Бинт эластичный медицинский средней растяжимости (ширина 80 мм) 02х80х1 - 0119047KZ45")</f>
        <v>Бинт эластичный медицинский средней растяжимости (ширина 80 мм) 02х80х1 - 0119047KZ45</v>
      </c>
      <c r="G1021" s="1" t="str">
        <f ca="1">IFERROR(__xludf.DUMMYFUNCTION("""COMPUTED_VALUE"""),"KZ.7700.02.01.00548602 / Действителен до 10.01.2024 / 0119047KZ45 / годен до 10.01.2024")</f>
        <v>KZ.7700.02.01.00548602 / Действителен до 10.01.2024 / 0119047KZ45 / годен до 10.01.2024</v>
      </c>
      <c r="H1021" s="1" t="str">
        <f ca="1">IFERROR(__xludf.DUMMYFUNCTION("""COMPUTED_VALUE"""),"Бинт эластичный медицинский средней растяжимости (ширина 80 мм) 02х80х1 KZ.7700.02.01.00548602 / Действителен до 10.01.2024 / 0119047KZ45 / годен до 10.01.2024")</f>
        <v>Бинт эластичный медицинский средней растяжимости (ширина 80 мм) 02х80х1 KZ.7700.02.01.00548602 / Действителен до 10.01.2024 / 0119047KZ45 / годен до 10.01.2024</v>
      </c>
    </row>
    <row r="1022" spans="1:8" ht="12.75" x14ac:dyDescent="0.2">
      <c r="A1022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022" s="1" t="str">
        <f ca="1">IFERROR(__xludf.DUMMYFUNCTION("""COMPUTED_VALUE"""),"KZ.7700.02.01.00548603")</f>
        <v>KZ.7700.02.01.00548603</v>
      </c>
      <c r="C1022" s="1" t="str">
        <f ca="1">IFERROR(__xludf.DUMMYFUNCTION("""COMPUTED_VALUE"""),"Действителен до 10.01.2024")</f>
        <v>Действителен до 10.01.2024</v>
      </c>
      <c r="D1022" s="8" t="str">
        <f ca="1">IFERROR(__xludf.DUMMYFUNCTION("""COMPUTED_VALUE"""),"0119047KZ45")</f>
        <v>0119047KZ45</v>
      </c>
      <c r="E1022" s="1" t="str">
        <f ca="1">IFERROR(__xludf.DUMMYFUNCTION("""COMPUTED_VALUE"""),"годен до 10.01.2024")</f>
        <v>годен до 10.01.2024</v>
      </c>
      <c r="F1022" s="1" t="str">
        <f ca="1">IFERROR(__xludf.DUMMYFUNCTION("""COMPUTED_VALUE"""),"Бинт эластичный медицинский средней растяжимости (ширина 80 мм) 02х80х1.5 - 0119047KZ45")</f>
        <v>Бинт эластичный медицинский средней растяжимости (ширина 80 мм) 02х80х1.5 - 0119047KZ45</v>
      </c>
      <c r="G1022" s="1" t="str">
        <f ca="1">IFERROR(__xludf.DUMMYFUNCTION("""COMPUTED_VALUE"""),"KZ.7700.02.01.00548603 / Действителен до 10.01.2024 / 0119047KZ45 / годен до 10.01.2024")</f>
        <v>KZ.7700.02.01.00548603 / Действителен до 10.01.2024 / 0119047KZ45 / годен до 10.01.2024</v>
      </c>
      <c r="H1022" s="1" t="str">
        <f ca="1">IFERROR(__xludf.DUMMYFUNCTION("""COMPUTED_VALUE"""),"Бинт эластичный медицинский средней растяжимости (ширина 80 мм) 02х80х1.5 KZ.7700.02.01.00548603 / Действителен до 10.01.2024 / 0119047KZ45 / годен до 10.01.2024")</f>
        <v>Бинт эластичный медицинский средней растяжимости (ширина 80 мм) 02х80х1.5 KZ.7700.02.01.00548603 / Действителен до 10.01.2024 / 0119047KZ45 / годен до 10.01.2024</v>
      </c>
    </row>
    <row r="1023" spans="1:8" ht="12.75" x14ac:dyDescent="0.2">
      <c r="A1023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023" s="1" t="str">
        <f ca="1">IFERROR(__xludf.DUMMYFUNCTION("""COMPUTED_VALUE"""),"KZ.7700.02.01.00548604")</f>
        <v>KZ.7700.02.01.00548604</v>
      </c>
      <c r="C1023" s="1" t="str">
        <f ca="1">IFERROR(__xludf.DUMMYFUNCTION("""COMPUTED_VALUE"""),"Действителен до 10.01.2024")</f>
        <v>Действителен до 10.01.2024</v>
      </c>
      <c r="D1023" s="8" t="str">
        <f ca="1">IFERROR(__xludf.DUMMYFUNCTION("""COMPUTED_VALUE"""),"0119047KZ45")</f>
        <v>0119047KZ45</v>
      </c>
      <c r="E1023" s="1" t="str">
        <f ca="1">IFERROR(__xludf.DUMMYFUNCTION("""COMPUTED_VALUE"""),"годен до 10.01.2024")</f>
        <v>годен до 10.01.2024</v>
      </c>
      <c r="F1023" s="1" t="str">
        <f ca="1">IFERROR(__xludf.DUMMYFUNCTION("""COMPUTED_VALUE"""),"Бинт эластичный медицинский средней растяжимости (ширина 80 мм) 02х80х2 - 0119047KZ45")</f>
        <v>Бинт эластичный медицинский средней растяжимости (ширина 80 мм) 02х80х2 - 0119047KZ45</v>
      </c>
      <c r="G1023" s="1" t="str">
        <f ca="1">IFERROR(__xludf.DUMMYFUNCTION("""COMPUTED_VALUE"""),"KZ.7700.02.01.00548604 / Действителен до 10.01.2024 / 0119047KZ45 / годен до 10.01.2024")</f>
        <v>KZ.7700.02.01.00548604 / Действителен до 10.01.2024 / 0119047KZ45 / годен до 10.01.2024</v>
      </c>
      <c r="H1023" s="1" t="str">
        <f ca="1">IFERROR(__xludf.DUMMYFUNCTION("""COMPUTED_VALUE"""),"Бинт эластичный медицинский средней растяжимости (ширина 80 мм) 02х80х2 KZ.7700.02.01.00548604 / Действителен до 10.01.2024 / 0119047KZ45 / годен до 10.01.2024")</f>
        <v>Бинт эластичный медицинский средней растяжимости (ширина 80 мм) 02х80х2 KZ.7700.02.01.00548604 / Действителен до 10.01.2024 / 0119047KZ45 / годен до 10.01.2024</v>
      </c>
    </row>
    <row r="1024" spans="1:8" ht="12.75" x14ac:dyDescent="0.2">
      <c r="A1024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024" s="1" t="str">
        <f ca="1">IFERROR(__xludf.DUMMYFUNCTION("""COMPUTED_VALUE"""),"KZ.7700.02.01.00548605")</f>
        <v>KZ.7700.02.01.00548605</v>
      </c>
      <c r="C1024" s="1" t="str">
        <f ca="1">IFERROR(__xludf.DUMMYFUNCTION("""COMPUTED_VALUE"""),"Действителен до 10.01.2024")</f>
        <v>Действителен до 10.01.2024</v>
      </c>
      <c r="D1024" s="8" t="str">
        <f ca="1">IFERROR(__xludf.DUMMYFUNCTION("""COMPUTED_VALUE"""),"0119047KZ45")</f>
        <v>0119047KZ45</v>
      </c>
      <c r="E1024" s="1" t="str">
        <f ca="1">IFERROR(__xludf.DUMMYFUNCTION("""COMPUTED_VALUE"""),"годен до 10.01.2024")</f>
        <v>годен до 10.01.2024</v>
      </c>
      <c r="F1024" s="1" t="str">
        <f ca="1">IFERROR(__xludf.DUMMYFUNCTION("""COMPUTED_VALUE"""),"Бинт эластичный медицинский средней растяжимости (ширина 80 мм) 02х80х2.5 - 0119047KZ45")</f>
        <v>Бинт эластичный медицинский средней растяжимости (ширина 80 мм) 02х80х2.5 - 0119047KZ45</v>
      </c>
      <c r="G1024" s="1" t="str">
        <f ca="1">IFERROR(__xludf.DUMMYFUNCTION("""COMPUTED_VALUE"""),"KZ.7700.02.01.00548605 / Действителен до 10.01.2024 / 0119047KZ45 / годен до 10.01.2024")</f>
        <v>KZ.7700.02.01.00548605 / Действителен до 10.01.2024 / 0119047KZ45 / годен до 10.01.2024</v>
      </c>
      <c r="H1024" s="1" t="str">
        <f ca="1">IFERROR(__xludf.DUMMYFUNCTION("""COMPUTED_VALUE"""),"Бинт эластичный медицинский средней растяжимости (ширина 80 мм) 02х80х2.5 KZ.7700.02.01.00548605 / Действителен до 10.01.2024 / 0119047KZ45 / годен до 10.01.2024")</f>
        <v>Бинт эластичный медицинский средней растяжимости (ширина 80 мм) 02х80х2.5 KZ.7700.02.01.00548605 / Действителен до 10.01.2024 / 0119047KZ45 / годен до 10.01.2024</v>
      </c>
    </row>
    <row r="1025" spans="1:8" ht="12.75" x14ac:dyDescent="0.2">
      <c r="A1025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025" s="1" t="str">
        <f ca="1">IFERROR(__xludf.DUMMYFUNCTION("""COMPUTED_VALUE"""),"KZ.7700.02.01.00548606")</f>
        <v>KZ.7700.02.01.00548606</v>
      </c>
      <c r="C1025" s="1" t="str">
        <f ca="1">IFERROR(__xludf.DUMMYFUNCTION("""COMPUTED_VALUE"""),"Действителен до 10.01.2024")</f>
        <v>Действителен до 10.01.2024</v>
      </c>
      <c r="D1025" s="8" t="str">
        <f ca="1">IFERROR(__xludf.DUMMYFUNCTION("""COMPUTED_VALUE"""),"0119047KZ45")</f>
        <v>0119047KZ45</v>
      </c>
      <c r="E1025" s="1" t="str">
        <f ca="1">IFERROR(__xludf.DUMMYFUNCTION("""COMPUTED_VALUE"""),"годен до 10.01.2024")</f>
        <v>годен до 10.01.2024</v>
      </c>
      <c r="F1025" s="1" t="str">
        <f ca="1">IFERROR(__xludf.DUMMYFUNCTION("""COMPUTED_VALUE"""),"Бинт эластичный медицинский средней растяжимости (ширина 80 мм) 02х80х3 - 0119047KZ45")</f>
        <v>Бинт эластичный медицинский средней растяжимости (ширина 80 мм) 02х80х3 - 0119047KZ45</v>
      </c>
      <c r="G1025" s="1" t="str">
        <f ca="1">IFERROR(__xludf.DUMMYFUNCTION("""COMPUTED_VALUE"""),"KZ.7700.02.01.00548606 / Действителен до 10.01.2024 / 0119047KZ45 / годен до 10.01.2024")</f>
        <v>KZ.7700.02.01.00548606 / Действителен до 10.01.2024 / 0119047KZ45 / годен до 10.01.2024</v>
      </c>
      <c r="H1025" s="1" t="str">
        <f ca="1">IFERROR(__xludf.DUMMYFUNCTION("""COMPUTED_VALUE"""),"Бинт эластичный медицинский средней растяжимости (ширина 80 мм) 02х80х3 KZ.7700.02.01.00548606 / Действителен до 10.01.2024 / 0119047KZ45 / годен до 10.01.2024")</f>
        <v>Бинт эластичный медицинский средней растяжимости (ширина 80 мм) 02х80х3 KZ.7700.02.01.00548606 / Действителен до 10.01.2024 / 0119047KZ45 / годен до 10.01.2024</v>
      </c>
    </row>
    <row r="1026" spans="1:8" ht="12.75" x14ac:dyDescent="0.2">
      <c r="A1026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026" s="1" t="str">
        <f ca="1">IFERROR(__xludf.DUMMYFUNCTION("""COMPUTED_VALUE"""),"KZ.7700.02.01.00548607")</f>
        <v>KZ.7700.02.01.00548607</v>
      </c>
      <c r="C1026" s="1" t="str">
        <f ca="1">IFERROR(__xludf.DUMMYFUNCTION("""COMPUTED_VALUE"""),"Действителен до 10.01.2024")</f>
        <v>Действителен до 10.01.2024</v>
      </c>
      <c r="D1026" s="8" t="str">
        <f ca="1">IFERROR(__xludf.DUMMYFUNCTION("""COMPUTED_VALUE"""),"0119047KZ45")</f>
        <v>0119047KZ45</v>
      </c>
      <c r="E1026" s="1" t="str">
        <f ca="1">IFERROR(__xludf.DUMMYFUNCTION("""COMPUTED_VALUE"""),"годен до 10.01.2024")</f>
        <v>годен до 10.01.2024</v>
      </c>
      <c r="F1026" s="1" t="str">
        <f ca="1">IFERROR(__xludf.DUMMYFUNCTION("""COMPUTED_VALUE"""),"Бинт эластичный медицинский средней растяжимости (ширина 80 мм) 02х80х3.5 - 0119047KZ45")</f>
        <v>Бинт эластичный медицинский средней растяжимости (ширина 80 мм) 02х80х3.5 - 0119047KZ45</v>
      </c>
      <c r="G1026" s="1" t="str">
        <f ca="1">IFERROR(__xludf.DUMMYFUNCTION("""COMPUTED_VALUE"""),"KZ.7700.02.01.00548607 / Действителен до 10.01.2024 / 0119047KZ45 / годен до 10.01.2024")</f>
        <v>KZ.7700.02.01.00548607 / Действителен до 10.01.2024 / 0119047KZ45 / годен до 10.01.2024</v>
      </c>
      <c r="H1026" s="1" t="str">
        <f ca="1">IFERROR(__xludf.DUMMYFUNCTION("""COMPUTED_VALUE"""),"Бинт эластичный медицинский средней растяжимости (ширина 80 мм) 02х80х3.5 KZ.7700.02.01.00548607 / Действителен до 10.01.2024 / 0119047KZ45 / годен до 10.01.2024")</f>
        <v>Бинт эластичный медицинский средней растяжимости (ширина 80 мм) 02х80х3.5 KZ.7700.02.01.00548607 / Действителен до 10.01.2024 / 0119047KZ45 / годен до 10.01.2024</v>
      </c>
    </row>
    <row r="1027" spans="1:8" ht="12.75" x14ac:dyDescent="0.2">
      <c r="A1027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027" s="1" t="str">
        <f ca="1">IFERROR(__xludf.DUMMYFUNCTION("""COMPUTED_VALUE"""),"KZ.7700.02.01.00548608")</f>
        <v>KZ.7700.02.01.00548608</v>
      </c>
      <c r="C1027" s="1" t="str">
        <f ca="1">IFERROR(__xludf.DUMMYFUNCTION("""COMPUTED_VALUE"""),"Действителен до 10.01.2024")</f>
        <v>Действителен до 10.01.2024</v>
      </c>
      <c r="D1027" s="8" t="str">
        <f ca="1">IFERROR(__xludf.DUMMYFUNCTION("""COMPUTED_VALUE"""),"0119047KZ45")</f>
        <v>0119047KZ45</v>
      </c>
      <c r="E1027" s="1" t="str">
        <f ca="1">IFERROR(__xludf.DUMMYFUNCTION("""COMPUTED_VALUE"""),"годен до 10.01.2024")</f>
        <v>годен до 10.01.2024</v>
      </c>
      <c r="F1027" s="1" t="str">
        <f ca="1">IFERROR(__xludf.DUMMYFUNCTION("""COMPUTED_VALUE"""),"Бинт эластичный медицинский средней растяжимости (ширина 80 мм) 02х80х4 - 0119047KZ45")</f>
        <v>Бинт эластичный медицинский средней растяжимости (ширина 80 мм) 02х80х4 - 0119047KZ45</v>
      </c>
      <c r="G1027" s="1" t="str">
        <f ca="1">IFERROR(__xludf.DUMMYFUNCTION("""COMPUTED_VALUE"""),"KZ.7700.02.01.00548608 / Действителен до 10.01.2024 / 0119047KZ45 / годен до 10.01.2024")</f>
        <v>KZ.7700.02.01.00548608 / Действителен до 10.01.2024 / 0119047KZ45 / годен до 10.01.2024</v>
      </c>
      <c r="H1027" s="1" t="str">
        <f ca="1">IFERROR(__xludf.DUMMYFUNCTION("""COMPUTED_VALUE"""),"Бинт эластичный медицинский средней растяжимости (ширина 80 мм) 02х80х4 KZ.7700.02.01.00548608 / Действителен до 10.01.2024 / 0119047KZ45 / годен до 10.01.2024")</f>
        <v>Бинт эластичный медицинский средней растяжимости (ширина 80 мм) 02х80х4 KZ.7700.02.01.00548608 / Действителен до 10.01.2024 / 0119047KZ45 / годен до 10.01.2024</v>
      </c>
    </row>
    <row r="1028" spans="1:8" ht="12.75" x14ac:dyDescent="0.2">
      <c r="A1028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028" s="1" t="str">
        <f ca="1">IFERROR(__xludf.DUMMYFUNCTION("""COMPUTED_VALUE"""),"KZ.7700.02.01.00548609")</f>
        <v>KZ.7700.02.01.00548609</v>
      </c>
      <c r="C1028" s="1" t="str">
        <f ca="1">IFERROR(__xludf.DUMMYFUNCTION("""COMPUTED_VALUE"""),"Действителен до 10.01.2024")</f>
        <v>Действителен до 10.01.2024</v>
      </c>
      <c r="D1028" s="8" t="str">
        <f ca="1">IFERROR(__xludf.DUMMYFUNCTION("""COMPUTED_VALUE"""),"0119047KZ45")</f>
        <v>0119047KZ45</v>
      </c>
      <c r="E1028" s="1" t="str">
        <f ca="1">IFERROR(__xludf.DUMMYFUNCTION("""COMPUTED_VALUE"""),"годен до 10.01.2024")</f>
        <v>годен до 10.01.2024</v>
      </c>
      <c r="F1028" s="1" t="str">
        <f ca="1">IFERROR(__xludf.DUMMYFUNCTION("""COMPUTED_VALUE"""),"Бинт эластичный медицинский средней растяжимости (ширина 80 мм) 02х80х5 - 0119047KZ45")</f>
        <v>Бинт эластичный медицинский средней растяжимости (ширина 80 мм) 02х80х5 - 0119047KZ45</v>
      </c>
      <c r="G1028" s="1" t="str">
        <f ca="1">IFERROR(__xludf.DUMMYFUNCTION("""COMPUTED_VALUE"""),"KZ.7700.02.01.00548609 / Действителен до 10.01.2024 / 0119047KZ45 / годен до 10.01.2024")</f>
        <v>KZ.7700.02.01.00548609 / Действителен до 10.01.2024 / 0119047KZ45 / годен до 10.01.2024</v>
      </c>
      <c r="H1028" s="1" t="str">
        <f ca="1">IFERROR(__xludf.DUMMYFUNCTION("""COMPUTED_VALUE"""),"Бинт эластичный медицинский средней растяжимости (ширина 80 мм) 02х80х5 KZ.7700.02.01.00548609 / Действителен до 10.01.2024 / 0119047KZ45 / годен до 10.01.2024")</f>
        <v>Бинт эластичный медицинский средней растяжимости (ширина 80 мм) 02х80х5 KZ.7700.02.01.00548609 / Действителен до 10.01.2024 / 0119047KZ45 / годен до 10.01.2024</v>
      </c>
    </row>
    <row r="1029" spans="1:8" ht="12.75" x14ac:dyDescent="0.2">
      <c r="A1029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1029" s="1" t="str">
        <f ca="1">IFERROR(__xludf.DUMMYFUNCTION("""COMPUTED_VALUE"""),"KZ.7700.02.01.00562162")</f>
        <v>KZ.7700.02.01.00562162</v>
      </c>
      <c r="C1029" s="1" t="str">
        <f ca="1">IFERROR(__xludf.DUMMYFUNCTION("""COMPUTED_VALUE"""),"Действителен до 29.03.2024")</f>
        <v>Действителен до 29.03.2024</v>
      </c>
      <c r="D1029" s="8" t="str">
        <f ca="1">IFERROR(__xludf.DUMMYFUNCTION("""COMPUTED_VALUE"""),"0419006KZ06")</f>
        <v>0419006KZ06</v>
      </c>
      <c r="E1029" s="1" t="str">
        <f ca="1">IFERROR(__xludf.DUMMYFUNCTION("""COMPUTED_VALUE"""),"годен до 29.03.2024")</f>
        <v>годен до 29.03.2024</v>
      </c>
      <c r="F1029" s="1" t="str">
        <f ca="1">IFERROR(__xludf.DUMMYFUNCTION("""COMPUTED_VALUE"""),"Бандаж грыжевой лево-и правосторонний 5001 XS/S (Болгария) - 0419006KZ06")</f>
        <v>Бандаж грыжевой лево-и правосторонний 5001 XS/S (Болгария) - 0419006KZ06</v>
      </c>
      <c r="G1029" s="1" t="str">
        <f ca="1">IFERROR(__xludf.DUMMYFUNCTION("""COMPUTED_VALUE"""),"KZ.7700.02.01.00562162 / Действителен до 29.03.2024 / 0419006KZ06 / годен до 29.03.2024")</f>
        <v>KZ.7700.02.01.00562162 / Действителен до 29.03.2024 / 0419006KZ06 / годен до 29.03.2024</v>
      </c>
      <c r="H1029" s="1" t="str">
        <f ca="1">IFERROR(__xludf.DUMMYFUNCTION("""COMPUTED_VALUE"""),"Бандаж грыжевой лево-и правосторонний 5001 XS/S (Болгария) KZ.7700.02.01.00562162 / Действителен до 29.03.2024 / 0419006KZ06 / годен до 29.03.2024")</f>
        <v>Бандаж грыжевой лево-и правосторонний 5001 XS/S (Болгария) KZ.7700.02.01.00562162 / Действителен до 29.03.2024 / 0419006KZ06 / годен до 29.03.2024</v>
      </c>
    </row>
    <row r="1030" spans="1:8" ht="12.75" x14ac:dyDescent="0.2">
      <c r="A1030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1030" s="1" t="str">
        <f ca="1">IFERROR(__xludf.DUMMYFUNCTION("""COMPUTED_VALUE"""),"KZ.7700.02.01.00562170")</f>
        <v>KZ.7700.02.01.00562170</v>
      </c>
      <c r="C1030" s="1" t="str">
        <f ca="1">IFERROR(__xludf.DUMMYFUNCTION("""COMPUTED_VALUE"""),"Действителен до 29.03.2024")</f>
        <v>Действителен до 29.03.2024</v>
      </c>
      <c r="D1030" s="8" t="str">
        <f ca="1">IFERROR(__xludf.DUMMYFUNCTION("""COMPUTED_VALUE"""),"0419006KZ06")</f>
        <v>0419006KZ06</v>
      </c>
      <c r="E1030" s="1" t="str">
        <f ca="1">IFERROR(__xludf.DUMMYFUNCTION("""COMPUTED_VALUE"""),"годен до 29.03.2024")</f>
        <v>годен до 29.03.2024</v>
      </c>
      <c r="F1030" s="1" t="str">
        <f ca="1">IFERROR(__xludf.DUMMYFUNCTION("""COMPUTED_VALUE"""),"Бандаж грыжевой лево-и правосторонний 5001 M/L (Болгария) - 0419006KZ06")</f>
        <v>Бандаж грыжевой лево-и правосторонний 5001 M/L (Болгария) - 0419006KZ06</v>
      </c>
      <c r="G1030" s="1" t="str">
        <f ca="1">IFERROR(__xludf.DUMMYFUNCTION("""COMPUTED_VALUE"""),"KZ.7700.02.01.00562170 / Действителен до 29.03.2024 / 0419006KZ06 / годен до 29.03.2024")</f>
        <v>KZ.7700.02.01.00562170 / Действителен до 29.03.2024 / 0419006KZ06 / годен до 29.03.2024</v>
      </c>
      <c r="H1030" s="1" t="str">
        <f ca="1">IFERROR(__xludf.DUMMYFUNCTION("""COMPUTED_VALUE"""),"Бандаж грыжевой лево-и правосторонний 5001 M/L (Болгария) KZ.7700.02.01.00562170 / Действителен до 29.03.2024 / 0419006KZ06 / годен до 29.03.2024")</f>
        <v>Бандаж грыжевой лево-и правосторонний 5001 M/L (Болгария) KZ.7700.02.01.00562170 / Действителен до 29.03.2024 / 0419006KZ06 / годен до 29.03.2024</v>
      </c>
    </row>
    <row r="1031" spans="1:8" ht="12.75" x14ac:dyDescent="0.2">
      <c r="A1031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1031" s="1" t="str">
        <f ca="1">IFERROR(__xludf.DUMMYFUNCTION("""COMPUTED_VALUE"""),"KZ.7700.02.01.00562172")</f>
        <v>KZ.7700.02.01.00562172</v>
      </c>
      <c r="C1031" s="1" t="str">
        <f ca="1">IFERROR(__xludf.DUMMYFUNCTION("""COMPUTED_VALUE"""),"Действителен до 29.03.2024")</f>
        <v>Действителен до 29.03.2024</v>
      </c>
      <c r="D1031" s="8" t="str">
        <f ca="1">IFERROR(__xludf.DUMMYFUNCTION("""COMPUTED_VALUE"""),"0419006KZ06")</f>
        <v>0419006KZ06</v>
      </c>
      <c r="E1031" s="1" t="str">
        <f ca="1">IFERROR(__xludf.DUMMYFUNCTION("""COMPUTED_VALUE"""),"годен до 29.03.2024")</f>
        <v>годен до 29.03.2024</v>
      </c>
      <c r="F1031" s="1" t="str">
        <f ca="1">IFERROR(__xludf.DUMMYFUNCTION("""COMPUTED_VALUE"""),"Бандаж грыжевой лево-и правосторонний 5001 XL/XXL (Болгария) - 0419006KZ06")</f>
        <v>Бандаж грыжевой лево-и правосторонний 5001 XL/XXL (Болгария) - 0419006KZ06</v>
      </c>
      <c r="G1031" s="1" t="str">
        <f ca="1">IFERROR(__xludf.DUMMYFUNCTION("""COMPUTED_VALUE"""),"KZ.7700.02.01.00562172 / Действителен до 29.03.2024 / 0419006KZ06 / годен до 29.03.2024")</f>
        <v>KZ.7700.02.01.00562172 / Действителен до 29.03.2024 / 0419006KZ06 / годен до 29.03.2024</v>
      </c>
      <c r="H1031" s="1" t="str">
        <f ca="1">IFERROR(__xludf.DUMMYFUNCTION("""COMPUTED_VALUE"""),"Бандаж грыжевой лево-и правосторонний 5001 XL/XXL (Болгария) KZ.7700.02.01.00562172 / Действителен до 29.03.2024 / 0419006KZ06 / годен до 29.03.2024")</f>
        <v>Бандаж грыжевой лево-и правосторонний 5001 XL/XXL (Болгария) KZ.7700.02.01.00562172 / Действителен до 29.03.2024 / 0419006KZ06 / годен до 29.03.2024</v>
      </c>
    </row>
    <row r="1032" spans="1:8" ht="12.75" x14ac:dyDescent="0.2">
      <c r="A1032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1032" s="1" t="str">
        <f ca="1">IFERROR(__xludf.DUMMYFUNCTION("""COMPUTED_VALUE"""),"KZ.7700.02.01.00562174")</f>
        <v>KZ.7700.02.01.00562174</v>
      </c>
      <c r="C1032" s="1" t="str">
        <f ca="1">IFERROR(__xludf.DUMMYFUNCTION("""COMPUTED_VALUE"""),"Действителен до 29.03.2024")</f>
        <v>Действителен до 29.03.2024</v>
      </c>
      <c r="D1032" s="8" t="str">
        <f ca="1">IFERROR(__xludf.DUMMYFUNCTION("""COMPUTED_VALUE"""),"0419006KZ06")</f>
        <v>0419006KZ06</v>
      </c>
      <c r="E1032" s="1" t="str">
        <f ca="1">IFERROR(__xludf.DUMMYFUNCTION("""COMPUTED_VALUE"""),"годен до 29.03.2024")</f>
        <v>годен до 29.03.2024</v>
      </c>
      <c r="F1032" s="1" t="str">
        <f ca="1">IFERROR(__xludf.DUMMYFUNCTION("""COMPUTED_VALUE"""),"Бандаж при пупочной грыже 5051 M/L (Болгария) - 0419006KZ06")</f>
        <v>Бандаж при пупочной грыже 5051 M/L (Болгария) - 0419006KZ06</v>
      </c>
      <c r="G1032" s="1" t="str">
        <f ca="1">IFERROR(__xludf.DUMMYFUNCTION("""COMPUTED_VALUE"""),"KZ.7700.02.01.00562174 / Действителен до 29.03.2024 / 0419006KZ06 / годен до 29.03.2024")</f>
        <v>KZ.7700.02.01.00562174 / Действителен до 29.03.2024 / 0419006KZ06 / годен до 29.03.2024</v>
      </c>
      <c r="H1032" s="1" t="str">
        <f ca="1">IFERROR(__xludf.DUMMYFUNCTION("""COMPUTED_VALUE"""),"Бандаж при пупочной грыже 5051 M/L (Болгария) KZ.7700.02.01.00562174 / Действителен до 29.03.2024 / 0419006KZ06 / годен до 29.03.2024")</f>
        <v>Бандаж при пупочной грыже 5051 M/L (Болгария) KZ.7700.02.01.00562174 / Действителен до 29.03.2024 / 0419006KZ06 / годен до 29.03.2024</v>
      </c>
    </row>
    <row r="1033" spans="1:8" ht="12.75" x14ac:dyDescent="0.2">
      <c r="A1033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1033" s="1" t="str">
        <f ca="1">IFERROR(__xludf.DUMMYFUNCTION("""COMPUTED_VALUE"""),"KZ.7700.02.01.00562175")</f>
        <v>KZ.7700.02.01.00562175</v>
      </c>
      <c r="C1033" s="1" t="str">
        <f ca="1">IFERROR(__xludf.DUMMYFUNCTION("""COMPUTED_VALUE"""),"Действителен до 29.03.2024")</f>
        <v>Действителен до 29.03.2024</v>
      </c>
      <c r="D1033" s="8" t="str">
        <f ca="1">IFERROR(__xludf.DUMMYFUNCTION("""COMPUTED_VALUE"""),"0419006KZ06")</f>
        <v>0419006KZ06</v>
      </c>
      <c r="E1033" s="1" t="str">
        <f ca="1">IFERROR(__xludf.DUMMYFUNCTION("""COMPUTED_VALUE"""),"годен до 29.03.2024")</f>
        <v>годен до 29.03.2024</v>
      </c>
      <c r="F1033" s="1" t="str">
        <f ca="1">IFERROR(__xludf.DUMMYFUNCTION("""COMPUTED_VALUE"""),"Бандаж при пупочной грыже 5051 XL/XXL (Болгария) - 0419006KZ06")</f>
        <v>Бандаж при пупочной грыже 5051 XL/XXL (Болгария) - 0419006KZ06</v>
      </c>
      <c r="G1033" s="1" t="str">
        <f ca="1">IFERROR(__xludf.DUMMYFUNCTION("""COMPUTED_VALUE"""),"KZ.7700.02.01.00562175 / Действителен до 29.03.2024 / 0419006KZ06 / годен до 29.03.2024")</f>
        <v>KZ.7700.02.01.00562175 / Действителен до 29.03.2024 / 0419006KZ06 / годен до 29.03.2024</v>
      </c>
      <c r="H1033" s="1" t="str">
        <f ca="1">IFERROR(__xludf.DUMMYFUNCTION("""COMPUTED_VALUE"""),"Бандаж при пупочной грыже 5051 XL/XXL (Болгария) KZ.7700.02.01.00562175 / Действителен до 29.03.2024 / 0419006KZ06 / годен до 29.03.2024")</f>
        <v>Бандаж при пупочной грыже 5051 XL/XXL (Болгария) KZ.7700.02.01.00562175 / Действителен до 29.03.2024 / 0419006KZ06 / годен до 29.03.2024</v>
      </c>
    </row>
    <row r="1034" spans="1:8" ht="12.75" x14ac:dyDescent="0.2">
      <c r="A1034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1034" s="1" t="str">
        <f ca="1">IFERROR(__xludf.DUMMYFUNCTION("""COMPUTED_VALUE"""),"KZ.7700.02.01.00562176")</f>
        <v>KZ.7700.02.01.00562176</v>
      </c>
      <c r="C1034" s="1" t="str">
        <f ca="1">IFERROR(__xludf.DUMMYFUNCTION("""COMPUTED_VALUE"""),"Действителен до 29.03.2024")</f>
        <v>Действителен до 29.03.2024</v>
      </c>
      <c r="D1034" s="8" t="str">
        <f ca="1">IFERROR(__xludf.DUMMYFUNCTION("""COMPUTED_VALUE"""),"0419006KZ06")</f>
        <v>0419006KZ06</v>
      </c>
      <c r="E1034" s="1" t="str">
        <f ca="1">IFERROR(__xludf.DUMMYFUNCTION("""COMPUTED_VALUE"""),"годен до 29.03.2024")</f>
        <v>годен до 29.03.2024</v>
      </c>
      <c r="F1034" s="1" t="str">
        <f ca="1">IFERROR(__xludf.DUMMYFUNCTION("""COMPUTED_VALUE"""),"Бандаж при пупочной грыже 5051 XXXL/XXXXL (Болгария) - 0419006KZ06")</f>
        <v>Бандаж при пупочной грыже 5051 XXXL/XXXXL (Болгария) - 0419006KZ06</v>
      </c>
      <c r="G1034" s="1" t="str">
        <f ca="1">IFERROR(__xludf.DUMMYFUNCTION("""COMPUTED_VALUE"""),"KZ.7700.02.01.00562176 / Действителен до 29.03.2024 / 0419006KZ06 / годен до 29.03.2024")</f>
        <v>KZ.7700.02.01.00562176 / Действителен до 29.03.2024 / 0419006KZ06 / годен до 29.03.2024</v>
      </c>
      <c r="H1034" s="1" t="str">
        <f ca="1">IFERROR(__xludf.DUMMYFUNCTION("""COMPUTED_VALUE"""),"Бандаж при пупочной грыже 5051 XXXL/XXXXL (Болгария) KZ.7700.02.01.00562176 / Действителен до 29.03.2024 / 0419006KZ06 / годен до 29.03.2024")</f>
        <v>Бандаж при пупочной грыже 5051 XXXL/XXXXL (Болгария) KZ.7700.02.01.00562176 / Действителен до 29.03.2024 / 0419006KZ06 / годен до 29.03.2024</v>
      </c>
    </row>
    <row r="1035" spans="1:8" ht="12.75" x14ac:dyDescent="0.2">
      <c r="A1035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1035" s="1" t="str">
        <f ca="1">IFERROR(__xludf.DUMMYFUNCTION("""COMPUTED_VALUE"""),"KZ.7700.02.01.00562588")</f>
        <v>KZ.7700.02.01.00562588</v>
      </c>
      <c r="C1035" s="1" t="str">
        <f ca="1">IFERROR(__xludf.DUMMYFUNCTION("""COMPUTED_VALUE"""),"Действителен до 29.03.2024")</f>
        <v>Действителен до 29.03.2024</v>
      </c>
      <c r="D1035" s="8" t="str">
        <f ca="1">IFERROR(__xludf.DUMMYFUNCTION("""COMPUTED_VALUE"""),"0419006KZ06")</f>
        <v>0419006KZ06</v>
      </c>
      <c r="E1035" s="1" t="str">
        <f ca="1">IFERROR(__xludf.DUMMYFUNCTION("""COMPUTED_VALUE"""),"годен до 29.03.2024")</f>
        <v>годен до 29.03.2024</v>
      </c>
      <c r="F1035" s="1" t="str">
        <f ca="1">IFERROR(__xludf.DUMMYFUNCTION("""COMPUTED_VALUE"""),"Бандаж на коленный сустав эластичный 6040 S (Болгария) - 0419006KZ06")</f>
        <v>Бандаж на коленный сустав эластичный 6040 S (Болгария) - 0419006KZ06</v>
      </c>
      <c r="G1035" s="1" t="str">
        <f ca="1">IFERROR(__xludf.DUMMYFUNCTION("""COMPUTED_VALUE"""),"KZ.7700.02.01.00562588 / Действителен до 29.03.2024 / 0419006KZ06 / годен до 29.03.2024")</f>
        <v>KZ.7700.02.01.00562588 / Действителен до 29.03.2024 / 0419006KZ06 / годен до 29.03.2024</v>
      </c>
      <c r="H1035" s="1" t="str">
        <f ca="1">IFERROR(__xludf.DUMMYFUNCTION("""COMPUTED_VALUE"""),"Бандаж на коленный сустав эластичный 6040 S (Болгария) KZ.7700.02.01.00562588 / Действителен до 29.03.2024 / 0419006KZ06 / годен до 29.03.2024")</f>
        <v>Бандаж на коленный сустав эластичный 6040 S (Болгария) KZ.7700.02.01.00562588 / Действителен до 29.03.2024 / 0419006KZ06 / годен до 29.03.2024</v>
      </c>
    </row>
    <row r="1036" spans="1:8" ht="12.75" x14ac:dyDescent="0.2">
      <c r="A1036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1036" s="1" t="str">
        <f ca="1">IFERROR(__xludf.DUMMYFUNCTION("""COMPUTED_VALUE"""),"KZ.7700.02.01.00562589")</f>
        <v>KZ.7700.02.01.00562589</v>
      </c>
      <c r="C1036" s="1" t="str">
        <f ca="1">IFERROR(__xludf.DUMMYFUNCTION("""COMPUTED_VALUE"""),"Действителен до 29.03.2024")</f>
        <v>Действителен до 29.03.2024</v>
      </c>
      <c r="D1036" s="8" t="str">
        <f ca="1">IFERROR(__xludf.DUMMYFUNCTION("""COMPUTED_VALUE"""),"0419006KZ06")</f>
        <v>0419006KZ06</v>
      </c>
      <c r="E1036" s="1" t="str">
        <f ca="1">IFERROR(__xludf.DUMMYFUNCTION("""COMPUTED_VALUE"""),"годен до 29.03.2024")</f>
        <v>годен до 29.03.2024</v>
      </c>
      <c r="F1036" s="1" t="str">
        <f ca="1">IFERROR(__xludf.DUMMYFUNCTION("""COMPUTED_VALUE"""),"Бандаж на коленный сустав эластичный 6040 M (Болгария) - 0419006KZ06")</f>
        <v>Бандаж на коленный сустав эластичный 6040 M (Болгария) - 0419006KZ06</v>
      </c>
      <c r="G1036" s="1" t="str">
        <f ca="1">IFERROR(__xludf.DUMMYFUNCTION("""COMPUTED_VALUE"""),"KZ.7700.02.01.00562589 / Действителен до 29.03.2024 / 0419006KZ06 / годен до 29.03.2024")</f>
        <v>KZ.7700.02.01.00562589 / Действителен до 29.03.2024 / 0419006KZ06 / годен до 29.03.2024</v>
      </c>
      <c r="H1036" s="1" t="str">
        <f ca="1">IFERROR(__xludf.DUMMYFUNCTION("""COMPUTED_VALUE"""),"Бандаж на коленный сустав эластичный 6040 M (Болгария) KZ.7700.02.01.00562589 / Действителен до 29.03.2024 / 0419006KZ06 / годен до 29.03.2024")</f>
        <v>Бандаж на коленный сустав эластичный 6040 M (Болгария) KZ.7700.02.01.00562589 / Действителен до 29.03.2024 / 0419006KZ06 / годен до 29.03.2024</v>
      </c>
    </row>
    <row r="1037" spans="1:8" ht="12.75" x14ac:dyDescent="0.2">
      <c r="A1037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1037" s="1" t="str">
        <f ca="1">IFERROR(__xludf.DUMMYFUNCTION("""COMPUTED_VALUE"""),"KZ.7700.02.01.00562590")</f>
        <v>KZ.7700.02.01.00562590</v>
      </c>
      <c r="C1037" s="1" t="str">
        <f ca="1">IFERROR(__xludf.DUMMYFUNCTION("""COMPUTED_VALUE"""),"Действителен до 29.03.2024")</f>
        <v>Действителен до 29.03.2024</v>
      </c>
      <c r="D1037" s="8" t="str">
        <f ca="1">IFERROR(__xludf.DUMMYFUNCTION("""COMPUTED_VALUE"""),"0419006KZ06")</f>
        <v>0419006KZ06</v>
      </c>
      <c r="E1037" s="1" t="str">
        <f ca="1">IFERROR(__xludf.DUMMYFUNCTION("""COMPUTED_VALUE"""),"годен до 29.03.2024")</f>
        <v>годен до 29.03.2024</v>
      </c>
      <c r="F1037" s="1" t="str">
        <f ca="1">IFERROR(__xludf.DUMMYFUNCTION("""COMPUTED_VALUE"""),"Бандаж на коленный сустав эластичный 6040 L (Болгария) - 0419006KZ06")</f>
        <v>Бандаж на коленный сустав эластичный 6040 L (Болгария) - 0419006KZ06</v>
      </c>
      <c r="G1037" s="1" t="str">
        <f ca="1">IFERROR(__xludf.DUMMYFUNCTION("""COMPUTED_VALUE"""),"KZ.7700.02.01.00562590 / Действителен до 29.03.2024 / 0419006KZ06 / годен до 29.03.2024")</f>
        <v>KZ.7700.02.01.00562590 / Действителен до 29.03.2024 / 0419006KZ06 / годен до 29.03.2024</v>
      </c>
      <c r="H1037" s="1" t="str">
        <f ca="1">IFERROR(__xludf.DUMMYFUNCTION("""COMPUTED_VALUE"""),"Бандаж на коленный сустав эластичный 6040 L (Болгария) KZ.7700.02.01.00562590 / Действителен до 29.03.2024 / 0419006KZ06 / годен до 29.03.2024")</f>
        <v>Бандаж на коленный сустав эластичный 6040 L (Болгария) KZ.7700.02.01.00562590 / Действителен до 29.03.2024 / 0419006KZ06 / годен до 29.03.2024</v>
      </c>
    </row>
    <row r="1038" spans="1:8" ht="12.75" x14ac:dyDescent="0.2">
      <c r="A1038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1038" s="1" t="str">
        <f ca="1">IFERROR(__xludf.DUMMYFUNCTION("""COMPUTED_VALUE"""),"KZ.7700.02.01.00562591")</f>
        <v>KZ.7700.02.01.00562591</v>
      </c>
      <c r="C1038" s="1" t="str">
        <f ca="1">IFERROR(__xludf.DUMMYFUNCTION("""COMPUTED_VALUE"""),"Действителен до 29.03.2024")</f>
        <v>Действителен до 29.03.2024</v>
      </c>
      <c r="D1038" s="8" t="str">
        <f ca="1">IFERROR(__xludf.DUMMYFUNCTION("""COMPUTED_VALUE"""),"0419006KZ06")</f>
        <v>0419006KZ06</v>
      </c>
      <c r="E1038" s="1" t="str">
        <f ca="1">IFERROR(__xludf.DUMMYFUNCTION("""COMPUTED_VALUE"""),"годен до 29.03.2024")</f>
        <v>годен до 29.03.2024</v>
      </c>
      <c r="F1038" s="1" t="str">
        <f ca="1">IFERROR(__xludf.DUMMYFUNCTION("""COMPUTED_VALUE"""),"Бандаж на коленный сустав эластичный 6040 XL (Болгария) - 0419006KZ06")</f>
        <v>Бандаж на коленный сустав эластичный 6040 XL (Болгария) - 0419006KZ06</v>
      </c>
      <c r="G1038" s="1" t="str">
        <f ca="1">IFERROR(__xludf.DUMMYFUNCTION("""COMPUTED_VALUE"""),"KZ.7700.02.01.00562591 / Действителен до 29.03.2024 / 0419006KZ06 / годен до 29.03.2024")</f>
        <v>KZ.7700.02.01.00562591 / Действителен до 29.03.2024 / 0419006KZ06 / годен до 29.03.2024</v>
      </c>
      <c r="H1038" s="1" t="str">
        <f ca="1">IFERROR(__xludf.DUMMYFUNCTION("""COMPUTED_VALUE"""),"Бандаж на коленный сустав эластичный 6040 XL (Болгария) KZ.7700.02.01.00562591 / Действителен до 29.03.2024 / 0419006KZ06 / годен до 29.03.2024")</f>
        <v>Бандаж на коленный сустав эластичный 6040 XL (Болгария) KZ.7700.02.01.00562591 / Действителен до 29.03.2024 / 0419006KZ06 / годен до 29.03.2024</v>
      </c>
    </row>
    <row r="1039" spans="1:8" ht="12.75" x14ac:dyDescent="0.2">
      <c r="A1039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1039" s="1" t="str">
        <f ca="1">IFERROR(__xludf.DUMMYFUNCTION("""COMPUTED_VALUE"""),"KZ.7700.02.01.00562177")</f>
        <v>KZ.7700.02.01.00562177</v>
      </c>
      <c r="C1039" s="1" t="str">
        <f ca="1">IFERROR(__xludf.DUMMYFUNCTION("""COMPUTED_VALUE"""),"Действителен до 29.03.2024")</f>
        <v>Действителен до 29.03.2024</v>
      </c>
      <c r="D1039" s="8" t="str">
        <f ca="1">IFERROR(__xludf.DUMMYFUNCTION("""COMPUTED_VALUE"""),"0419006KZ06")</f>
        <v>0419006KZ06</v>
      </c>
      <c r="E1039" s="1" t="str">
        <f ca="1">IFERROR(__xludf.DUMMYFUNCTION("""COMPUTED_VALUE"""),"годен до 29.03.2024")</f>
        <v>годен до 29.03.2024</v>
      </c>
      <c r="F1039" s="1" t="str">
        <f ca="1">IFERROR(__xludf.DUMMYFUNCTION("""COMPUTED_VALUE"""),"Бандаж на коленный сустав разъемный 6058 S\M (Болгария) - 0419006KZ06")</f>
        <v>Бандаж на коленный сустав разъемный 6058 S\M (Болгария) - 0419006KZ06</v>
      </c>
      <c r="G1039" s="1" t="str">
        <f ca="1">IFERROR(__xludf.DUMMYFUNCTION("""COMPUTED_VALUE"""),"KZ.7700.02.01.00562177 / Действителен до 29.03.2024 / 0419006KZ06 / годен до 29.03.2024")</f>
        <v>KZ.7700.02.01.00562177 / Действителен до 29.03.2024 / 0419006KZ06 / годен до 29.03.2024</v>
      </c>
      <c r="H1039" s="1" t="str">
        <f ca="1">IFERROR(__xludf.DUMMYFUNCTION("""COMPUTED_VALUE"""),"Бандаж на коленный сустав разъемный 6058 S\M (Болгария) KZ.7700.02.01.00562177 / Действителен до 29.03.2024 / 0419006KZ06 / годен до 29.03.2024")</f>
        <v>Бандаж на коленный сустав разъемный 6058 S\M (Болгария) KZ.7700.02.01.00562177 / Действителен до 29.03.2024 / 0419006KZ06 / годен до 29.03.2024</v>
      </c>
    </row>
    <row r="1040" spans="1:8" ht="12.75" x14ac:dyDescent="0.2">
      <c r="A1040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1040" s="1" t="str">
        <f ca="1">IFERROR(__xludf.DUMMYFUNCTION("""COMPUTED_VALUE"""),"KZ.7700.02.01.00562181")</f>
        <v>KZ.7700.02.01.00562181</v>
      </c>
      <c r="C1040" s="1" t="str">
        <f ca="1">IFERROR(__xludf.DUMMYFUNCTION("""COMPUTED_VALUE"""),"Действителен до 29.03.2024")</f>
        <v>Действителен до 29.03.2024</v>
      </c>
      <c r="D1040" s="8" t="str">
        <f ca="1">IFERROR(__xludf.DUMMYFUNCTION("""COMPUTED_VALUE"""),"0419006KZ06")</f>
        <v>0419006KZ06</v>
      </c>
      <c r="E1040" s="1" t="str">
        <f ca="1">IFERROR(__xludf.DUMMYFUNCTION("""COMPUTED_VALUE"""),"годен до 29.03.2024")</f>
        <v>годен до 29.03.2024</v>
      </c>
      <c r="F1040" s="1" t="str">
        <f ca="1">IFERROR(__xludf.DUMMYFUNCTION("""COMPUTED_VALUE"""),"Бандаж на коленный сустав разъемный 6058 L\XL (Болгария) - 0419006KZ06")</f>
        <v>Бандаж на коленный сустав разъемный 6058 L\XL (Болгария) - 0419006KZ06</v>
      </c>
      <c r="G1040" s="1" t="str">
        <f ca="1">IFERROR(__xludf.DUMMYFUNCTION("""COMPUTED_VALUE"""),"KZ.7700.02.01.00562181 / Действителен до 29.03.2024 / 0419006KZ06 / годен до 29.03.2024")</f>
        <v>KZ.7700.02.01.00562181 / Действителен до 29.03.2024 / 0419006KZ06 / годен до 29.03.2024</v>
      </c>
      <c r="H1040" s="1" t="str">
        <f ca="1">IFERROR(__xludf.DUMMYFUNCTION("""COMPUTED_VALUE"""),"Бандаж на коленный сустав разъемный 6058 L\XL (Болгария) KZ.7700.02.01.00562181 / Действителен до 29.03.2024 / 0419006KZ06 / годен до 29.03.2024")</f>
        <v>Бандаж на коленный сустав разъемный 6058 L\XL (Болгария) KZ.7700.02.01.00562181 / Действителен до 29.03.2024 / 0419006KZ06 / годен до 29.03.2024</v>
      </c>
    </row>
    <row r="1041" spans="1:8" ht="12.75" x14ac:dyDescent="0.2">
      <c r="A1041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1041" s="1" t="str">
        <f ca="1">IFERROR(__xludf.DUMMYFUNCTION("""COMPUTED_VALUE"""),"KZ.7700.02.01.00562182")</f>
        <v>KZ.7700.02.01.00562182</v>
      </c>
      <c r="C1041" s="1" t="str">
        <f ca="1">IFERROR(__xludf.DUMMYFUNCTION("""COMPUTED_VALUE"""),"Действителен до 29.03.2024")</f>
        <v>Действителен до 29.03.2024</v>
      </c>
      <c r="D1041" s="8" t="str">
        <f ca="1">IFERROR(__xludf.DUMMYFUNCTION("""COMPUTED_VALUE"""),"0419006KZ06")</f>
        <v>0419006KZ06</v>
      </c>
      <c r="E1041" s="1" t="str">
        <f ca="1">IFERROR(__xludf.DUMMYFUNCTION("""COMPUTED_VALUE"""),"годен до 29.03.2024")</f>
        <v>годен до 29.03.2024</v>
      </c>
      <c r="F1041" s="1" t="str">
        <f ca="1">IFERROR(__xludf.DUMMYFUNCTION("""COMPUTED_VALUE"""),"Бандаж на коленный сустав разъемный 6058 XXL (Болгария) - 0419006KZ06")</f>
        <v>Бандаж на коленный сустав разъемный 6058 XXL (Болгария) - 0419006KZ06</v>
      </c>
      <c r="G1041" s="1" t="str">
        <f ca="1">IFERROR(__xludf.DUMMYFUNCTION("""COMPUTED_VALUE"""),"KZ.7700.02.01.00562182 / Действителен до 29.03.2024 / 0419006KZ06 / годен до 29.03.2024")</f>
        <v>KZ.7700.02.01.00562182 / Действителен до 29.03.2024 / 0419006KZ06 / годен до 29.03.2024</v>
      </c>
      <c r="H1041" s="1" t="str">
        <f ca="1">IFERROR(__xludf.DUMMYFUNCTION("""COMPUTED_VALUE"""),"Бандаж на коленный сустав разъемный 6058 XXL (Болгария) KZ.7700.02.01.00562182 / Действителен до 29.03.2024 / 0419006KZ06 / годен до 29.03.2024")</f>
        <v>Бандаж на коленный сустав разъемный 6058 XXL (Болгария) KZ.7700.02.01.00562182 / Действителен до 29.03.2024 / 0419006KZ06 / годен до 29.03.2024</v>
      </c>
    </row>
    <row r="1042" spans="1:8" ht="12.75" x14ac:dyDescent="0.2">
      <c r="A1042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1042" s="1" t="str">
        <f ca="1">IFERROR(__xludf.DUMMYFUNCTION("""COMPUTED_VALUE"""),"KZ.7700.02.01.00562184")</f>
        <v>KZ.7700.02.01.00562184</v>
      </c>
      <c r="C1042" s="1" t="str">
        <f ca="1">IFERROR(__xludf.DUMMYFUNCTION("""COMPUTED_VALUE"""),"Действителен до 29.03.2024")</f>
        <v>Действителен до 29.03.2024</v>
      </c>
      <c r="D1042" s="8" t="str">
        <f ca="1">IFERROR(__xludf.DUMMYFUNCTION("""COMPUTED_VALUE"""),"0419006KZ06")</f>
        <v>0419006KZ06</v>
      </c>
      <c r="E1042" s="1" t="str">
        <f ca="1">IFERROR(__xludf.DUMMYFUNCTION("""COMPUTED_VALUE"""),"годен до 29.03.2024")</f>
        <v>годен до 29.03.2024</v>
      </c>
      <c r="F1042" s="1" t="str">
        <f ca="1">IFERROR(__xludf.DUMMYFUNCTION("""COMPUTED_VALUE"""),"Бандаж на голеностопный сустав легкой фиксации 7034 M (бежевый) (Болгария) - 0419006KZ06")</f>
        <v>Бандаж на голеностопный сустав легкой фиксации 7034 M (бежевый) (Болгария) - 0419006KZ06</v>
      </c>
      <c r="G1042" s="1" t="str">
        <f ca="1">IFERROR(__xludf.DUMMYFUNCTION("""COMPUTED_VALUE"""),"KZ.7700.02.01.00562184 / Действителен до 29.03.2024 / 0419006KZ06 / годен до 29.03.2024")</f>
        <v>KZ.7700.02.01.00562184 / Действителен до 29.03.2024 / 0419006KZ06 / годен до 29.03.2024</v>
      </c>
      <c r="H1042" s="1" t="str">
        <f ca="1">IFERROR(__xludf.DUMMYFUNCTION("""COMPUTED_VALUE"""),"Бандаж на голеностопный сустав легкой фиксации 7034 M (бежевый) (Болгария) KZ.7700.02.01.00562184 / Действителен до 29.03.2024 / 0419006KZ06 / годен до 29.03.2024")</f>
        <v>Бандаж на голеностопный сустав легкой фиксации 7034 M (бежевый) (Болгария) KZ.7700.02.01.00562184 / Действителен до 29.03.2024 / 0419006KZ06 / годен до 29.03.2024</v>
      </c>
    </row>
    <row r="1043" spans="1:8" ht="12.75" x14ac:dyDescent="0.2">
      <c r="A1043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1043" s="1" t="str">
        <f ca="1">IFERROR(__xludf.DUMMYFUNCTION("""COMPUTED_VALUE"""),"KZ.7700.02.01.00562185")</f>
        <v>KZ.7700.02.01.00562185</v>
      </c>
      <c r="C1043" s="1" t="str">
        <f ca="1">IFERROR(__xludf.DUMMYFUNCTION("""COMPUTED_VALUE"""),"Действителен до 29.03.2024")</f>
        <v>Действителен до 29.03.2024</v>
      </c>
      <c r="D1043" s="8" t="str">
        <f ca="1">IFERROR(__xludf.DUMMYFUNCTION("""COMPUTED_VALUE"""),"0419006KZ06")</f>
        <v>0419006KZ06</v>
      </c>
      <c r="E1043" s="1" t="str">
        <f ca="1">IFERROR(__xludf.DUMMYFUNCTION("""COMPUTED_VALUE"""),"годен до 29.03.2024")</f>
        <v>годен до 29.03.2024</v>
      </c>
      <c r="F1043" s="1" t="str">
        <f ca="1">IFERROR(__xludf.DUMMYFUNCTION("""COMPUTED_VALUE"""),"Бандаж на голеностопный сустав легкой фиксации 7034 L (бежевый) (Болгария) - 0419006KZ06")</f>
        <v>Бандаж на голеностопный сустав легкой фиксации 7034 L (бежевый) (Болгария) - 0419006KZ06</v>
      </c>
      <c r="G1043" s="1" t="str">
        <f ca="1">IFERROR(__xludf.DUMMYFUNCTION("""COMPUTED_VALUE"""),"KZ.7700.02.01.00562185 / Действителен до 29.03.2024 / 0419006KZ06 / годен до 29.03.2024")</f>
        <v>KZ.7700.02.01.00562185 / Действителен до 29.03.2024 / 0419006KZ06 / годен до 29.03.2024</v>
      </c>
      <c r="H1043" s="1" t="str">
        <f ca="1">IFERROR(__xludf.DUMMYFUNCTION("""COMPUTED_VALUE"""),"Бандаж на голеностопный сустав легкой фиксации 7034 L (бежевый) (Болгария) KZ.7700.02.01.00562185 / Действителен до 29.03.2024 / 0419006KZ06 / годен до 29.03.2024")</f>
        <v>Бандаж на голеностопный сустав легкой фиксации 7034 L (бежевый) (Болгария) KZ.7700.02.01.00562185 / Действителен до 29.03.2024 / 0419006KZ06 / годен до 29.03.2024</v>
      </c>
    </row>
    <row r="1044" spans="1:8" ht="12.75" x14ac:dyDescent="0.2">
      <c r="A1044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1044" s="1" t="str">
        <f ca="1">IFERROR(__xludf.DUMMYFUNCTION("""COMPUTED_VALUE"""),"KZ.7700.02.01.00562186")</f>
        <v>KZ.7700.02.01.00562186</v>
      </c>
      <c r="C1044" s="1" t="str">
        <f ca="1">IFERROR(__xludf.DUMMYFUNCTION("""COMPUTED_VALUE"""),"Действителен до 29.03.2024")</f>
        <v>Действителен до 29.03.2024</v>
      </c>
      <c r="D1044" s="8" t="str">
        <f ca="1">IFERROR(__xludf.DUMMYFUNCTION("""COMPUTED_VALUE"""),"0419006KZ06")</f>
        <v>0419006KZ06</v>
      </c>
      <c r="E1044" s="1" t="str">
        <f ca="1">IFERROR(__xludf.DUMMYFUNCTION("""COMPUTED_VALUE"""),"годен до 29.03.2024")</f>
        <v>годен до 29.03.2024</v>
      </c>
      <c r="F1044" s="1" t="str">
        <f ca="1">IFERROR(__xludf.DUMMYFUNCTION("""COMPUTED_VALUE"""),"Бандаж на голеностопный сустав легкой фиксации 7034 XL (бежевый) (Болгария) - 0419006KZ06")</f>
        <v>Бандаж на голеностопный сустав легкой фиксации 7034 XL (бежевый) (Болгария) - 0419006KZ06</v>
      </c>
      <c r="G1044" s="1" t="str">
        <f ca="1">IFERROR(__xludf.DUMMYFUNCTION("""COMPUTED_VALUE"""),"KZ.7700.02.01.00562186 / Действителен до 29.03.2024 / 0419006KZ06 / годен до 29.03.2024")</f>
        <v>KZ.7700.02.01.00562186 / Действителен до 29.03.2024 / 0419006KZ06 / годен до 29.03.2024</v>
      </c>
      <c r="H1044" s="1" t="str">
        <f ca="1">IFERROR(__xludf.DUMMYFUNCTION("""COMPUTED_VALUE"""),"Бандаж на голеностопный сустав легкой фиксации 7034 XL (бежевый) (Болгария) KZ.7700.02.01.00562186 / Действителен до 29.03.2024 / 0419006KZ06 / годен до 29.03.2024")</f>
        <v>Бандаж на голеностопный сустав легкой фиксации 7034 XL (бежевый) (Болгария) KZ.7700.02.01.00562186 / Действителен до 29.03.2024 / 0419006KZ06 / годен до 29.03.2024</v>
      </c>
    </row>
    <row r="1045" spans="1:8" ht="12.75" x14ac:dyDescent="0.2">
      <c r="A1045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1045" s="1" t="str">
        <f ca="1">IFERROR(__xludf.DUMMYFUNCTION("""COMPUTED_VALUE"""),"KZ.7700.02.01.00562592")</f>
        <v>KZ.7700.02.01.00562592</v>
      </c>
      <c r="C1045" s="1" t="str">
        <f ca="1">IFERROR(__xludf.DUMMYFUNCTION("""COMPUTED_VALUE"""),"Действителен до 29.03.2024")</f>
        <v>Действителен до 29.03.2024</v>
      </c>
      <c r="D1045" s="8" t="str">
        <f ca="1">IFERROR(__xludf.DUMMYFUNCTION("""COMPUTED_VALUE"""),"0419006KZ06")</f>
        <v>0419006KZ06</v>
      </c>
      <c r="E1045" s="1" t="str">
        <f ca="1">IFERROR(__xludf.DUMMYFUNCTION("""COMPUTED_VALUE"""),"годен до 29.03.2024")</f>
        <v>годен до 29.03.2024</v>
      </c>
      <c r="F1045" s="1" t="str">
        <f ca="1">IFERROR(__xludf.DUMMYFUNCTION("""COMPUTED_VALUE"""),"Бандаж на голеностопный сустав эластичный 7035 S (Болгария) - 0419006KZ06")</f>
        <v>Бандаж на голеностопный сустав эластичный 7035 S (Болгария) - 0419006KZ06</v>
      </c>
      <c r="G1045" s="1" t="str">
        <f ca="1">IFERROR(__xludf.DUMMYFUNCTION("""COMPUTED_VALUE"""),"KZ.7700.02.01.00562592 / Действителен до 29.03.2024 / 0419006KZ06 / годен до 29.03.2024")</f>
        <v>KZ.7700.02.01.00562592 / Действителен до 29.03.2024 / 0419006KZ06 / годен до 29.03.2024</v>
      </c>
      <c r="H1045" s="1" t="str">
        <f ca="1">IFERROR(__xludf.DUMMYFUNCTION("""COMPUTED_VALUE"""),"Бандаж на голеностопный сустав эластичный 7035 S (Болгария) KZ.7700.02.01.00562592 / Действителен до 29.03.2024 / 0419006KZ06 / годен до 29.03.2024")</f>
        <v>Бандаж на голеностопный сустав эластичный 7035 S (Болгария) KZ.7700.02.01.00562592 / Действителен до 29.03.2024 / 0419006KZ06 / годен до 29.03.2024</v>
      </c>
    </row>
    <row r="1046" spans="1:8" ht="12.75" x14ac:dyDescent="0.2">
      <c r="A1046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046" s="1" t="str">
        <f ca="1">IFERROR(__xludf.DUMMYFUNCTION("""COMPUTED_VALUE"""),"KZ.7700.02.01.00562593")</f>
        <v>KZ.7700.02.01.00562593</v>
      </c>
      <c r="C1046" s="1" t="str">
        <f ca="1">IFERROR(__xludf.DUMMYFUNCTION("""COMPUTED_VALUE"""),"Действителен до 29.03.2024")</f>
        <v>Действителен до 29.03.2024</v>
      </c>
      <c r="D1046" s="8" t="str">
        <f ca="1">IFERROR(__xludf.DUMMYFUNCTION("""COMPUTED_VALUE"""),"0419006KZ06")</f>
        <v>0419006KZ06</v>
      </c>
      <c r="E1046" s="1" t="str">
        <f ca="1">IFERROR(__xludf.DUMMYFUNCTION("""COMPUTED_VALUE"""),"годен до 29.03.2024")</f>
        <v>годен до 29.03.2024</v>
      </c>
      <c r="F1046" s="1" t="str">
        <f ca="1">IFERROR(__xludf.DUMMYFUNCTION("""COMPUTED_VALUE"""),"Бандаж на голеностопный сустав эластичный 7035 M (Болгария) - 0419006KZ06")</f>
        <v>Бандаж на голеностопный сустав эластичный 7035 M (Болгария) - 0419006KZ06</v>
      </c>
      <c r="G1046" s="1" t="str">
        <f ca="1">IFERROR(__xludf.DUMMYFUNCTION("""COMPUTED_VALUE"""),"KZ.7700.02.01.00562593 / Действителен до 29.03.2024 / 0419006KZ06 / годен до 29.03.2024")</f>
        <v>KZ.7700.02.01.00562593 / Действителен до 29.03.2024 / 0419006KZ06 / годен до 29.03.2024</v>
      </c>
      <c r="H1046" s="1" t="str">
        <f ca="1">IFERROR(__xludf.DUMMYFUNCTION("""COMPUTED_VALUE"""),"Бандаж на голеностопный сустав эластичный 7035 M (Болгария) KZ.7700.02.01.00562593 / Действителен до 29.03.2024 / 0419006KZ06 / годен до 29.03.2024")</f>
        <v>Бандаж на голеностопный сустав эластичный 7035 M (Болгария) KZ.7700.02.01.00562593 / Действителен до 29.03.2024 / 0419006KZ06 / годен до 29.03.2024</v>
      </c>
    </row>
    <row r="1047" spans="1:8" ht="12.75" x14ac:dyDescent="0.2">
      <c r="A1047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1047" s="1" t="str">
        <f ca="1">IFERROR(__xludf.DUMMYFUNCTION("""COMPUTED_VALUE"""),"KZ.7700.02.01.00562594")</f>
        <v>KZ.7700.02.01.00562594</v>
      </c>
      <c r="C1047" s="1" t="str">
        <f ca="1">IFERROR(__xludf.DUMMYFUNCTION("""COMPUTED_VALUE"""),"Действителен до 29.03.2024")</f>
        <v>Действителен до 29.03.2024</v>
      </c>
      <c r="D1047" s="8" t="str">
        <f ca="1">IFERROR(__xludf.DUMMYFUNCTION("""COMPUTED_VALUE"""),"0419006KZ06")</f>
        <v>0419006KZ06</v>
      </c>
      <c r="E1047" s="1" t="str">
        <f ca="1">IFERROR(__xludf.DUMMYFUNCTION("""COMPUTED_VALUE"""),"годен до 29.03.2024")</f>
        <v>годен до 29.03.2024</v>
      </c>
      <c r="F1047" s="1" t="str">
        <f ca="1">IFERROR(__xludf.DUMMYFUNCTION("""COMPUTED_VALUE"""),"Бандаж на голеностопный сустав эластичный 7035 XL (Болгария) - 0419006KZ06")</f>
        <v>Бандаж на голеностопный сустав эластичный 7035 XL (Болгария) - 0419006KZ06</v>
      </c>
      <c r="G1047" s="1" t="str">
        <f ca="1">IFERROR(__xludf.DUMMYFUNCTION("""COMPUTED_VALUE"""),"KZ.7700.02.01.00562594 / Действителен до 29.03.2024 / 0419006KZ06 / годен до 29.03.2024")</f>
        <v>KZ.7700.02.01.00562594 / Действителен до 29.03.2024 / 0419006KZ06 / годен до 29.03.2024</v>
      </c>
      <c r="H1047" s="1" t="str">
        <f ca="1">IFERROR(__xludf.DUMMYFUNCTION("""COMPUTED_VALUE"""),"Бандаж на голеностопный сустав эластичный 7035 XL (Болгария) KZ.7700.02.01.00562594 / Действителен до 29.03.2024 / 0419006KZ06 / годен до 29.03.2024")</f>
        <v>Бандаж на голеностопный сустав эластичный 7035 XL (Болгария) KZ.7700.02.01.00562594 / Действителен до 29.03.2024 / 0419006KZ06 / годен до 29.03.2024</v>
      </c>
    </row>
    <row r="1048" spans="1:8" ht="12.75" x14ac:dyDescent="0.2">
      <c r="A1048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1048" s="1" t="str">
        <f ca="1">IFERROR(__xludf.DUMMYFUNCTION("""COMPUTED_VALUE"""),"KZ.7700.02.01.00562595")</f>
        <v>KZ.7700.02.01.00562595</v>
      </c>
      <c r="C1048" s="1" t="str">
        <f ca="1">IFERROR(__xludf.DUMMYFUNCTION("""COMPUTED_VALUE"""),"Действителен до 29.03.2024")</f>
        <v>Действителен до 29.03.2024</v>
      </c>
      <c r="D1048" s="8" t="str">
        <f ca="1">IFERROR(__xludf.DUMMYFUNCTION("""COMPUTED_VALUE"""),"0419006KZ06")</f>
        <v>0419006KZ06</v>
      </c>
      <c r="E1048" s="1" t="str">
        <f ca="1">IFERROR(__xludf.DUMMYFUNCTION("""COMPUTED_VALUE"""),"годен до 29.03.2024")</f>
        <v>годен до 29.03.2024</v>
      </c>
      <c r="F1048" s="1" t="str">
        <f ca="1">IFERROR(__xludf.DUMMYFUNCTION("""COMPUTED_VALUE"""),"Бандаж на локтевой сустав эластичный 8317 S (Болгария) - 0419006KZ06")</f>
        <v>Бандаж на локтевой сустав эластичный 8317 S (Болгария) - 0419006KZ06</v>
      </c>
      <c r="G1048" s="1" t="str">
        <f ca="1">IFERROR(__xludf.DUMMYFUNCTION("""COMPUTED_VALUE"""),"KZ.7700.02.01.00562595 / Действителен до 29.03.2024 / 0419006KZ06 / годен до 29.03.2024")</f>
        <v>KZ.7700.02.01.00562595 / Действителен до 29.03.2024 / 0419006KZ06 / годен до 29.03.2024</v>
      </c>
      <c r="H1048" s="1" t="str">
        <f ca="1">IFERROR(__xludf.DUMMYFUNCTION("""COMPUTED_VALUE"""),"Бандаж на локтевой сустав эластичный 8317 S (Болгария) KZ.7700.02.01.00562595 / Действителен до 29.03.2024 / 0419006KZ06 / годен до 29.03.2024")</f>
        <v>Бандаж на локтевой сустав эластичный 8317 S (Болгария) KZ.7700.02.01.00562595 / Действителен до 29.03.2024 / 0419006KZ06 / годен до 29.03.2024</v>
      </c>
    </row>
    <row r="1049" spans="1:8" ht="12.75" x14ac:dyDescent="0.2">
      <c r="A1049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1049" s="1" t="str">
        <f ca="1">IFERROR(__xludf.DUMMYFUNCTION("""COMPUTED_VALUE"""),"KZ.7700.02.01.00562597")</f>
        <v>KZ.7700.02.01.00562597</v>
      </c>
      <c r="C1049" s="1" t="str">
        <f ca="1">IFERROR(__xludf.DUMMYFUNCTION("""COMPUTED_VALUE"""),"Действителен до 29.03.2024")</f>
        <v>Действителен до 29.03.2024</v>
      </c>
      <c r="D1049" s="8" t="str">
        <f ca="1">IFERROR(__xludf.DUMMYFUNCTION("""COMPUTED_VALUE"""),"0419006KZ06")</f>
        <v>0419006KZ06</v>
      </c>
      <c r="E1049" s="1" t="str">
        <f ca="1">IFERROR(__xludf.DUMMYFUNCTION("""COMPUTED_VALUE"""),"годен до 29.03.2024")</f>
        <v>годен до 29.03.2024</v>
      </c>
      <c r="F1049" s="1" t="str">
        <f ca="1">IFERROR(__xludf.DUMMYFUNCTION("""COMPUTED_VALUE"""),"Бандаж на локтевой сустав эластичный 8317 M (Болгария) - 0419006KZ06")</f>
        <v>Бандаж на локтевой сустав эластичный 8317 M (Болгария) - 0419006KZ06</v>
      </c>
      <c r="G1049" s="1" t="str">
        <f ca="1">IFERROR(__xludf.DUMMYFUNCTION("""COMPUTED_VALUE"""),"KZ.7700.02.01.00562597 / Действителен до 29.03.2024 / 0419006KZ06 / годен до 29.03.2024")</f>
        <v>KZ.7700.02.01.00562597 / Действителен до 29.03.2024 / 0419006KZ06 / годен до 29.03.2024</v>
      </c>
      <c r="H1049" s="1" t="str">
        <f ca="1">IFERROR(__xludf.DUMMYFUNCTION("""COMPUTED_VALUE"""),"Бандаж на локтевой сустав эластичный 8317 M (Болгария) KZ.7700.02.01.00562597 / Действителен до 29.03.2024 / 0419006KZ06 / годен до 29.03.2024")</f>
        <v>Бандаж на локтевой сустав эластичный 8317 M (Болгария) KZ.7700.02.01.00562597 / Действителен до 29.03.2024 / 0419006KZ06 / годен до 29.03.2024</v>
      </c>
    </row>
    <row r="1050" spans="1:8" ht="12.75" x14ac:dyDescent="0.2">
      <c r="A1050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050" s="1" t="str">
        <f ca="1">IFERROR(__xludf.DUMMYFUNCTION("""COMPUTED_VALUE"""),"KZ.7700.02.01.00562598")</f>
        <v>KZ.7700.02.01.00562598</v>
      </c>
      <c r="C1050" s="1" t="str">
        <f ca="1">IFERROR(__xludf.DUMMYFUNCTION("""COMPUTED_VALUE"""),"Действителен до 29.03.2024")</f>
        <v>Действителен до 29.03.2024</v>
      </c>
      <c r="D1050" s="8" t="str">
        <f ca="1">IFERROR(__xludf.DUMMYFUNCTION("""COMPUTED_VALUE"""),"0419006KZ06")</f>
        <v>0419006KZ06</v>
      </c>
      <c r="E1050" s="1" t="str">
        <f ca="1">IFERROR(__xludf.DUMMYFUNCTION("""COMPUTED_VALUE"""),"годен до 29.03.2024")</f>
        <v>годен до 29.03.2024</v>
      </c>
      <c r="F1050" s="1" t="str">
        <f ca="1">IFERROR(__xludf.DUMMYFUNCTION("""COMPUTED_VALUE"""),"Бандаж на лучезапястный сустав эластичный 8503 S (Болгария) - 0419006KZ06")</f>
        <v>Бандаж на лучезапястный сустав эластичный 8503 S (Болгария) - 0419006KZ06</v>
      </c>
      <c r="G1050" s="1" t="str">
        <f ca="1">IFERROR(__xludf.DUMMYFUNCTION("""COMPUTED_VALUE"""),"KZ.7700.02.01.00562598 / Действителен до 29.03.2024 / 0419006KZ06 / годен до 29.03.2024")</f>
        <v>KZ.7700.02.01.00562598 / Действителен до 29.03.2024 / 0419006KZ06 / годен до 29.03.2024</v>
      </c>
      <c r="H1050" s="1" t="str">
        <f ca="1">IFERROR(__xludf.DUMMYFUNCTION("""COMPUTED_VALUE"""),"Бандаж на лучезапястный сустав эластичный 8503 S (Болгария) KZ.7700.02.01.00562598 / Действителен до 29.03.2024 / 0419006KZ06 / годен до 29.03.2024")</f>
        <v>Бандаж на лучезапястный сустав эластичный 8503 S (Болгария) KZ.7700.02.01.00562598 / Действителен до 29.03.2024 / 0419006KZ06 / годен до 29.03.2024</v>
      </c>
    </row>
    <row r="1051" spans="1:8" ht="12.75" x14ac:dyDescent="0.2">
      <c r="A1051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051" s="1" t="str">
        <f ca="1">IFERROR(__xludf.DUMMYFUNCTION("""COMPUTED_VALUE"""),"KZ.7700.02.01.00562599")</f>
        <v>KZ.7700.02.01.00562599</v>
      </c>
      <c r="C1051" s="1" t="str">
        <f ca="1">IFERROR(__xludf.DUMMYFUNCTION("""COMPUTED_VALUE"""),"Действителен до 29.03.2024")</f>
        <v>Действителен до 29.03.2024</v>
      </c>
      <c r="D1051" s="8" t="str">
        <f ca="1">IFERROR(__xludf.DUMMYFUNCTION("""COMPUTED_VALUE"""),"0419006KZ06")</f>
        <v>0419006KZ06</v>
      </c>
      <c r="E1051" s="1" t="str">
        <f ca="1">IFERROR(__xludf.DUMMYFUNCTION("""COMPUTED_VALUE"""),"годен до 29.03.2024")</f>
        <v>годен до 29.03.2024</v>
      </c>
      <c r="F1051" s="1" t="str">
        <f ca="1">IFERROR(__xludf.DUMMYFUNCTION("""COMPUTED_VALUE"""),"Бандаж на лучезапястный сустав эластичный 8503 M (Болгария) - 0419006KZ06")</f>
        <v>Бандаж на лучезапястный сустав эластичный 8503 M (Болгария) - 0419006KZ06</v>
      </c>
      <c r="G1051" s="1" t="str">
        <f ca="1">IFERROR(__xludf.DUMMYFUNCTION("""COMPUTED_VALUE"""),"KZ.7700.02.01.00562599 / Действителен до 29.03.2024 / 0419006KZ06 / годен до 29.03.2024")</f>
        <v>KZ.7700.02.01.00562599 / Действителен до 29.03.2024 / 0419006KZ06 / годен до 29.03.2024</v>
      </c>
      <c r="H1051" s="1" t="str">
        <f ca="1">IFERROR(__xludf.DUMMYFUNCTION("""COMPUTED_VALUE"""),"Бандаж на лучезапястный сустав эластичный 8503 M (Болгария) KZ.7700.02.01.00562599 / Действителен до 29.03.2024 / 0419006KZ06 / годен до 29.03.2024")</f>
        <v>Бандаж на лучезапястный сустав эластичный 8503 M (Болгария) KZ.7700.02.01.00562599 / Действителен до 29.03.2024 / 0419006KZ06 / годен до 29.03.2024</v>
      </c>
    </row>
    <row r="1052" spans="1:8" ht="12.75" x14ac:dyDescent="0.2">
      <c r="A1052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052" s="1" t="str">
        <f ca="1">IFERROR(__xludf.DUMMYFUNCTION("""COMPUTED_VALUE"""),"KZ.7700.02.01.00562190")</f>
        <v>KZ.7700.02.01.00562190</v>
      </c>
      <c r="C1052" s="1" t="str">
        <f ca="1">IFERROR(__xludf.DUMMYFUNCTION("""COMPUTED_VALUE"""),"Действителен до 29.03.2024")</f>
        <v>Действителен до 29.03.2024</v>
      </c>
      <c r="D1052" s="8" t="str">
        <f ca="1">IFERROR(__xludf.DUMMYFUNCTION("""COMPUTED_VALUE"""),"0419006KZ06")</f>
        <v>0419006KZ06</v>
      </c>
      <c r="E1052" s="1" t="str">
        <f ca="1">IFERROR(__xludf.DUMMYFUNCTION("""COMPUTED_VALUE"""),"годен до 29.03.2024")</f>
        <v>годен до 29.03.2024</v>
      </c>
      <c r="F1052" s="1" t="str">
        <f ca="1">IFERROR(__xludf.DUMMYFUNCTION("""COMPUTED_VALUE"""),"Бандаж на лучезапястный сустав с фиксацией пальца 8552 S\M (Болгария) - 0419006KZ06")</f>
        <v>Бандаж на лучезапястный сустав с фиксацией пальца 8552 S\M (Болгария) - 0419006KZ06</v>
      </c>
      <c r="G1052" s="1" t="str">
        <f ca="1">IFERROR(__xludf.DUMMYFUNCTION("""COMPUTED_VALUE"""),"KZ.7700.02.01.00562190 / Действителен до 29.03.2024 / 0419006KZ06 / годен до 29.03.2024")</f>
        <v>KZ.7700.02.01.00562190 / Действителен до 29.03.2024 / 0419006KZ06 / годен до 29.03.2024</v>
      </c>
      <c r="H1052" s="1" t="str">
        <f ca="1">IFERROR(__xludf.DUMMYFUNCTION("""COMPUTED_VALUE"""),"Бандаж на лучезапястный сустав с фиксацией пальца 8552 S\M (Болгария) KZ.7700.02.01.00562190 / Действителен до 29.03.2024 / 0419006KZ06 / годен до 29.03.2024")</f>
        <v>Бандаж на лучезапястный сустав с фиксацией пальца 8552 S\M (Болгария) KZ.7700.02.01.00562190 / Действителен до 29.03.2024 / 0419006KZ06 / годен до 29.03.2024</v>
      </c>
    </row>
    <row r="1053" spans="1:8" ht="12.75" x14ac:dyDescent="0.2">
      <c r="A1053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053" s="1" t="str">
        <f ca="1">IFERROR(__xludf.DUMMYFUNCTION("""COMPUTED_VALUE"""),"KZ.7700.02.01.00562191")</f>
        <v>KZ.7700.02.01.00562191</v>
      </c>
      <c r="C1053" s="1" t="str">
        <f ca="1">IFERROR(__xludf.DUMMYFUNCTION("""COMPUTED_VALUE"""),"Действителен до 29.03.2024")</f>
        <v>Действителен до 29.03.2024</v>
      </c>
      <c r="D1053" s="8" t="str">
        <f ca="1">IFERROR(__xludf.DUMMYFUNCTION("""COMPUTED_VALUE"""),"0419006KZ06")</f>
        <v>0419006KZ06</v>
      </c>
      <c r="E1053" s="1" t="str">
        <f ca="1">IFERROR(__xludf.DUMMYFUNCTION("""COMPUTED_VALUE"""),"годен до 29.03.2024")</f>
        <v>годен до 29.03.2024</v>
      </c>
      <c r="F1053" s="1" t="str">
        <f ca="1">IFERROR(__xludf.DUMMYFUNCTION("""COMPUTED_VALUE"""),"Бандаж на лучезапястный сустав с фиксацией пальца 8552 L\XL (Болгария) - 0419006KZ06")</f>
        <v>Бандаж на лучезапястный сустав с фиксацией пальца 8552 L\XL (Болгария) - 0419006KZ06</v>
      </c>
      <c r="G1053" s="1" t="str">
        <f ca="1">IFERROR(__xludf.DUMMYFUNCTION("""COMPUTED_VALUE"""),"KZ.7700.02.01.00562191 / Действителен до 29.03.2024 / 0419006KZ06 / годен до 29.03.2024")</f>
        <v>KZ.7700.02.01.00562191 / Действителен до 29.03.2024 / 0419006KZ06 / годен до 29.03.2024</v>
      </c>
      <c r="H1053" s="1" t="str">
        <f ca="1">IFERROR(__xludf.DUMMYFUNCTION("""COMPUTED_VALUE"""),"Бандаж на лучезапястный сустав с фиксацией пальца 8552 L\XL (Болгария) KZ.7700.02.01.00562191 / Действителен до 29.03.2024 / 0419006KZ06 / годен до 29.03.2024")</f>
        <v>Бандаж на лучезапястный сустав с фиксацией пальца 8552 L\XL (Болгария) KZ.7700.02.01.00562191 / Действителен до 29.03.2024 / 0419006KZ06 / годен до 29.03.2024</v>
      </c>
    </row>
    <row r="1054" spans="1:8" ht="12.75" x14ac:dyDescent="0.2">
      <c r="A1054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1054" s="1" t="str">
        <f ca="1">IFERROR(__xludf.DUMMYFUNCTION("""COMPUTED_VALUE"""),"KZ.7700.02.01.00562188")</f>
        <v>KZ.7700.02.01.00562188</v>
      </c>
      <c r="C1054" s="1" t="str">
        <f ca="1">IFERROR(__xludf.DUMMYFUNCTION("""COMPUTED_VALUE"""),"Действителен до 29.03.2024")</f>
        <v>Действителен до 29.03.2024</v>
      </c>
      <c r="D1054" s="8" t="str">
        <f ca="1">IFERROR(__xludf.DUMMYFUNCTION("""COMPUTED_VALUE"""),"0419006KZ06")</f>
        <v>0419006KZ06</v>
      </c>
      <c r="E1054" s="1" t="str">
        <f ca="1">IFERROR(__xludf.DUMMYFUNCTION("""COMPUTED_VALUE"""),"годен до 29.03.2024")</f>
        <v>годен до 29.03.2024</v>
      </c>
      <c r="F1054" s="1" t="str">
        <f ca="1">IFERROR(__xludf.DUMMYFUNCTION("""COMPUTED_VALUE"""),"Бандаж на лучезапястный сустав легкой фиксации 8505 S/M (Бежевый) (Болгария) - 0419006KZ06")</f>
        <v>Бандаж на лучезапястный сустав легкой фиксации 8505 S/M (Бежевый) (Болгария) - 0419006KZ06</v>
      </c>
      <c r="G1054" s="1" t="str">
        <f ca="1">IFERROR(__xludf.DUMMYFUNCTION("""COMPUTED_VALUE"""),"KZ.7700.02.01.00562188 / Действителен до 29.03.2024 / 0419006KZ06 / годен до 29.03.2024")</f>
        <v>KZ.7700.02.01.00562188 / Действителен до 29.03.2024 / 0419006KZ06 / годен до 29.03.2024</v>
      </c>
      <c r="H1054" s="1" t="str">
        <f ca="1">IFERROR(__xludf.DUMMYFUNCTION("""COMPUTED_VALUE"""),"Бандаж на лучезапястный сустав легкой фиксации 8505 S/M (Бежевый) (Болгария) KZ.7700.02.01.00562188 / Действителен до 29.03.2024 / 0419006KZ06 / годен до 29.03.2024")</f>
        <v>Бандаж на лучезапястный сустав легкой фиксации 8505 S/M (Бежевый) (Болгария) KZ.7700.02.01.00562188 / Действителен до 29.03.2024 / 0419006KZ06 / годен до 29.03.2024</v>
      </c>
    </row>
    <row r="1055" spans="1:8" ht="12.75" x14ac:dyDescent="0.2">
      <c r="A1055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1055" s="1" t="str">
        <f ca="1">IFERROR(__xludf.DUMMYFUNCTION("""COMPUTED_VALUE"""),"KZ.7700.02.01.00562189")</f>
        <v>KZ.7700.02.01.00562189</v>
      </c>
      <c r="C1055" s="1" t="str">
        <f ca="1">IFERROR(__xludf.DUMMYFUNCTION("""COMPUTED_VALUE"""),"Действителен до 29.03.2024")</f>
        <v>Действителен до 29.03.2024</v>
      </c>
      <c r="D1055" s="8" t="str">
        <f ca="1">IFERROR(__xludf.DUMMYFUNCTION("""COMPUTED_VALUE"""),"0419006KZ06")</f>
        <v>0419006KZ06</v>
      </c>
      <c r="E1055" s="1" t="str">
        <f ca="1">IFERROR(__xludf.DUMMYFUNCTION("""COMPUTED_VALUE"""),"годен до 29.03.2024")</f>
        <v>годен до 29.03.2024</v>
      </c>
      <c r="F1055" s="1" t="str">
        <f ca="1">IFERROR(__xludf.DUMMYFUNCTION("""COMPUTED_VALUE"""),"Бандаж на лучезапястный сустав легкой фиксации 8505 L/XL (Бежевый) (Болгария) - 0419006KZ06")</f>
        <v>Бандаж на лучезапястный сустав легкой фиксации 8505 L/XL (Бежевый) (Болгария) - 0419006KZ06</v>
      </c>
      <c r="G1055" s="1" t="str">
        <f ca="1">IFERROR(__xludf.DUMMYFUNCTION("""COMPUTED_VALUE"""),"KZ.7700.02.01.00562189 / Действителен до 29.03.2024 / 0419006KZ06 / годен до 29.03.2024")</f>
        <v>KZ.7700.02.01.00562189 / Действителен до 29.03.2024 / 0419006KZ06 / годен до 29.03.2024</v>
      </c>
      <c r="H1055" s="1" t="str">
        <f ca="1">IFERROR(__xludf.DUMMYFUNCTION("""COMPUTED_VALUE"""),"Бандаж на лучезапястный сустав легкой фиксации 8505 L/XL (Бежевый) (Болгария) KZ.7700.02.01.00562189 / Действителен до 29.03.2024 / 0419006KZ06 / годен до 29.03.2024")</f>
        <v>Бандаж на лучезапястный сустав легкой фиксации 8505 L/XL (Бежевый) (Болгария) KZ.7700.02.01.00562189 / Действителен до 29.03.2024 / 0419006KZ06 / годен до 29.03.2024</v>
      </c>
    </row>
    <row r="1056" spans="1:8" ht="12.75" x14ac:dyDescent="0.2">
      <c r="A1056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1056" s="1" t="str">
        <f ca="1">IFERROR(__xludf.DUMMYFUNCTION("""COMPUTED_VALUE"""),"KZ.7700.02.01.00562192")</f>
        <v>KZ.7700.02.01.00562192</v>
      </c>
      <c r="C1056" s="1" t="str">
        <f ca="1">IFERROR(__xludf.DUMMYFUNCTION("""COMPUTED_VALUE"""),"Действителен до 29.03.2024")</f>
        <v>Действителен до 29.03.2024</v>
      </c>
      <c r="D1056" s="8" t="str">
        <f ca="1">IFERROR(__xludf.DUMMYFUNCTION("""COMPUTED_VALUE"""),"0419006KZ06")</f>
        <v>0419006KZ06</v>
      </c>
      <c r="E1056" s="1" t="str">
        <f ca="1">IFERROR(__xludf.DUMMYFUNCTION("""COMPUTED_VALUE"""),"годен до 29.03.2024")</f>
        <v>годен до 29.03.2024</v>
      </c>
      <c r="F1056" s="1" t="str">
        <f ca="1">IFERROR(__xludf.DUMMYFUNCTION("""COMPUTED_VALUE"""),"Бандаж для руки поддерживающий облегченный (косынка) 9912 S (черный) (Болгария) - 0419006KZ06")</f>
        <v>Бандаж для руки поддерживающий облегченный (косынка) 9912 S (черный) (Болгария) - 0419006KZ06</v>
      </c>
      <c r="G1056" s="1" t="str">
        <f ca="1">IFERROR(__xludf.DUMMYFUNCTION("""COMPUTED_VALUE"""),"KZ.7700.02.01.00562192 / Действителен до 29.03.2024 / 0419006KZ06 / годен до 29.03.2024")</f>
        <v>KZ.7700.02.01.00562192 / Действителен до 29.03.2024 / 0419006KZ06 / годен до 29.03.2024</v>
      </c>
      <c r="H1056" s="1" t="str">
        <f ca="1">IFERROR(__xludf.DUMMYFUNCTION("""COMPUTED_VALUE"""),"Бандаж для руки поддерживающий облегченный (косынка) 9912 S (черный) (Болгария) KZ.7700.02.01.00562192 / Действителен до 29.03.2024 / 0419006KZ06 / годен до 29.03.2024")</f>
        <v>Бандаж для руки поддерживающий облегченный (косынка) 9912 S (черный) (Болгария) KZ.7700.02.01.00562192 / Действителен до 29.03.2024 / 0419006KZ06 / годен до 29.03.2024</v>
      </c>
    </row>
    <row r="1057" spans="1:8" ht="12.75" x14ac:dyDescent="0.2">
      <c r="A1057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B1057" s="1" t="str">
        <f ca="1">IFERROR(__xludf.DUMMYFUNCTION("""COMPUTED_VALUE"""),"KZ.7700.02.01.00562222")</f>
        <v>KZ.7700.02.01.00562222</v>
      </c>
      <c r="C1057" s="1" t="str">
        <f ca="1">IFERROR(__xludf.DUMMYFUNCTION("""COMPUTED_VALUE"""),"Действителен до 29.03.2024")</f>
        <v>Действителен до 29.03.2024</v>
      </c>
      <c r="D1057" s="8" t="str">
        <f ca="1">IFERROR(__xludf.DUMMYFUNCTION("""COMPUTED_VALUE"""),"0419006KZ06")</f>
        <v>0419006KZ06</v>
      </c>
      <c r="E1057" s="1" t="str">
        <f ca="1">IFERROR(__xludf.DUMMYFUNCTION("""COMPUTED_VALUE"""),"годен до 29.03.2024")</f>
        <v>годен до 29.03.2024</v>
      </c>
      <c r="F1057" s="1" t="str">
        <f ca="1">IFERROR(__xludf.DUMMYFUNCTION("""COMPUTED_VALUE"""),"Бандаж для руки поддерживающий облегченный (косынка) 9912 S (белый) (Болгария) - 0419006KZ06")</f>
        <v>Бандаж для руки поддерживающий облегченный (косынка) 9912 S (белый) (Болгария) - 0419006KZ06</v>
      </c>
      <c r="G1057" s="1" t="str">
        <f ca="1">IFERROR(__xludf.DUMMYFUNCTION("""COMPUTED_VALUE"""),"KZ.7700.02.01.00562222 / Действителен до 29.03.2024 / 0419006KZ06 / годен до 29.03.2024")</f>
        <v>KZ.7700.02.01.00562222 / Действителен до 29.03.2024 / 0419006KZ06 / годен до 29.03.2024</v>
      </c>
      <c r="H1057" s="1" t="str">
        <f ca="1">IFERROR(__xludf.DUMMYFUNCTION("""COMPUTED_VALUE"""),"Бандаж для руки поддерживающий облегченный (косынка) 9912 S (белый) (Болгария) KZ.7700.02.01.00562222 / Действителен до 29.03.2024 / 0419006KZ06 / годен до 29.03.2024")</f>
        <v>Бандаж для руки поддерживающий облегченный (косынка) 9912 S (белый) (Болгария) KZ.7700.02.01.00562222 / Действителен до 29.03.2024 / 0419006KZ06 / годен до 29.03.2024</v>
      </c>
    </row>
    <row r="1058" spans="1:8" ht="12.75" x14ac:dyDescent="0.2">
      <c r="A1058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058" s="1" t="str">
        <f ca="1">IFERROR(__xludf.DUMMYFUNCTION("""COMPUTED_VALUE"""),"KZ.7700.02.01.00562219")</f>
        <v>KZ.7700.02.01.00562219</v>
      </c>
      <c r="C1058" s="1" t="str">
        <f ca="1">IFERROR(__xludf.DUMMYFUNCTION("""COMPUTED_VALUE"""),"Действителен до 29.03.2024")</f>
        <v>Действителен до 29.03.2024</v>
      </c>
      <c r="D1058" s="8" t="str">
        <f ca="1">IFERROR(__xludf.DUMMYFUNCTION("""COMPUTED_VALUE"""),"0419006KZ06")</f>
        <v>0419006KZ06</v>
      </c>
      <c r="E1058" s="1" t="str">
        <f ca="1">IFERROR(__xludf.DUMMYFUNCTION("""COMPUTED_VALUE"""),"годен до 29.03.2024")</f>
        <v>годен до 29.03.2024</v>
      </c>
      <c r="F1058" s="1" t="str">
        <f ca="1">IFERROR(__xludf.DUMMYFUNCTION("""COMPUTED_VALUE"""),"Бандаж для руки поддерживающий облегченный (косынка) 9912 M (черный) (Болгария) - 0419006KZ06")</f>
        <v>Бандаж для руки поддерживающий облегченный (косынка) 9912 M (черный) (Болгария) - 0419006KZ06</v>
      </c>
      <c r="G1058" s="1" t="str">
        <f ca="1">IFERROR(__xludf.DUMMYFUNCTION("""COMPUTED_VALUE"""),"KZ.7700.02.01.00562219 / Действителен до 29.03.2024 / 0419006KZ06 / годен до 29.03.2024")</f>
        <v>KZ.7700.02.01.00562219 / Действителен до 29.03.2024 / 0419006KZ06 / годен до 29.03.2024</v>
      </c>
      <c r="H1058" s="1" t="str">
        <f ca="1">IFERROR(__xludf.DUMMYFUNCTION("""COMPUTED_VALUE"""),"Бандаж для руки поддерживающий облегченный (косынка) 9912 M (черный) (Болгария) KZ.7700.02.01.00562219 / Действителен до 29.03.2024 / 0419006KZ06 / годен до 29.03.2024")</f>
        <v>Бандаж для руки поддерживающий облегченный (косынка) 9912 M (черный) (Болгария) KZ.7700.02.01.00562219 / Действителен до 29.03.2024 / 0419006KZ06 / годен до 29.03.2024</v>
      </c>
    </row>
    <row r="1059" spans="1:8" ht="12.75" x14ac:dyDescent="0.2">
      <c r="A1059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1059" s="1" t="str">
        <f ca="1">IFERROR(__xludf.DUMMYFUNCTION("""COMPUTED_VALUE"""),"KZ.7700.02.01.00562238")</f>
        <v>KZ.7700.02.01.00562238</v>
      </c>
      <c r="C1059" s="1" t="str">
        <f ca="1">IFERROR(__xludf.DUMMYFUNCTION("""COMPUTED_VALUE"""),"Действителен до 29.03.2024")</f>
        <v>Действителен до 29.03.2024</v>
      </c>
      <c r="D1059" s="8" t="str">
        <f ca="1">IFERROR(__xludf.DUMMYFUNCTION("""COMPUTED_VALUE"""),"0419006KZ06")</f>
        <v>0419006KZ06</v>
      </c>
      <c r="E1059" s="1" t="str">
        <f ca="1">IFERROR(__xludf.DUMMYFUNCTION("""COMPUTED_VALUE"""),"годен до 29.03.2024")</f>
        <v>годен до 29.03.2024</v>
      </c>
      <c r="F1059" s="1" t="str">
        <f ca="1">IFERROR(__xludf.DUMMYFUNCTION("""COMPUTED_VALUE"""),"Бандаж для руки поддерживающий облегченный (косынка) 9912 M (белый) (Болгария) - 0419006KZ06")</f>
        <v>Бандаж для руки поддерживающий облегченный (косынка) 9912 M (белый) (Болгария) - 0419006KZ06</v>
      </c>
      <c r="G1059" s="1" t="str">
        <f ca="1">IFERROR(__xludf.DUMMYFUNCTION("""COMPUTED_VALUE"""),"KZ.7700.02.01.00562238 / Действителен до 29.03.2024 / 0419006KZ06 / годен до 29.03.2024")</f>
        <v>KZ.7700.02.01.00562238 / Действителен до 29.03.2024 / 0419006KZ06 / годен до 29.03.2024</v>
      </c>
      <c r="H1059" s="1" t="str">
        <f ca="1">IFERROR(__xludf.DUMMYFUNCTION("""COMPUTED_VALUE"""),"Бандаж для руки поддерживающий облегченный (косынка) 9912 M (белый) (Болгария) KZ.7700.02.01.00562238 / Действителен до 29.03.2024 / 0419006KZ06 / годен до 29.03.2024")</f>
        <v>Бандаж для руки поддерживающий облегченный (косынка) 9912 M (белый) (Болгария) KZ.7700.02.01.00562238 / Действителен до 29.03.2024 / 0419006KZ06 / годен до 29.03.2024</v>
      </c>
    </row>
    <row r="1060" spans="1:8" ht="12.75" x14ac:dyDescent="0.2">
      <c r="A1060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060" s="1" t="str">
        <f ca="1">IFERROR(__xludf.DUMMYFUNCTION("""COMPUTED_VALUE"""),"KZ.7700.02.01.00562220")</f>
        <v>KZ.7700.02.01.00562220</v>
      </c>
      <c r="C1060" s="1" t="str">
        <f ca="1">IFERROR(__xludf.DUMMYFUNCTION("""COMPUTED_VALUE"""),"Действителен до 29.03.2024")</f>
        <v>Действителен до 29.03.2024</v>
      </c>
      <c r="D1060" s="8" t="str">
        <f ca="1">IFERROR(__xludf.DUMMYFUNCTION("""COMPUTED_VALUE"""),"0419006KZ06")</f>
        <v>0419006KZ06</v>
      </c>
      <c r="E1060" s="1" t="str">
        <f ca="1">IFERROR(__xludf.DUMMYFUNCTION("""COMPUTED_VALUE"""),"годен до 29.03.2024")</f>
        <v>годен до 29.03.2024</v>
      </c>
      <c r="F1060" s="1" t="str">
        <f ca="1">IFERROR(__xludf.DUMMYFUNCTION("""COMPUTED_VALUE"""),"Бандаж для руки поддерживающий облегченный (косынка) 9912 L (черный) (Болгария) - 0419006KZ06")</f>
        <v>Бандаж для руки поддерживающий облегченный (косынка) 9912 L (черный) (Болгария) - 0419006KZ06</v>
      </c>
      <c r="G1060" s="1" t="str">
        <f ca="1">IFERROR(__xludf.DUMMYFUNCTION("""COMPUTED_VALUE"""),"KZ.7700.02.01.00562220 / Действителен до 29.03.2024 / 0419006KZ06 / годен до 29.03.2024")</f>
        <v>KZ.7700.02.01.00562220 / Действителен до 29.03.2024 / 0419006KZ06 / годен до 29.03.2024</v>
      </c>
      <c r="H1060" s="1" t="str">
        <f ca="1">IFERROR(__xludf.DUMMYFUNCTION("""COMPUTED_VALUE"""),"Бандаж для руки поддерживающий облегченный (косынка) 9912 L (черный) (Болгария) KZ.7700.02.01.00562220 / Действителен до 29.03.2024 / 0419006KZ06 / годен до 29.03.2024")</f>
        <v>Бандаж для руки поддерживающий облегченный (косынка) 9912 L (черный) (Болгария) KZ.7700.02.01.00562220 / Действителен до 29.03.2024 / 0419006KZ06 / годен до 29.03.2024</v>
      </c>
    </row>
    <row r="1061" spans="1:8" ht="12.75" x14ac:dyDescent="0.2">
      <c r="A1061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1061" s="1" t="str">
        <f ca="1">IFERROR(__xludf.DUMMYFUNCTION("""COMPUTED_VALUE"""),"KZ.7700.02.01.00562239")</f>
        <v>KZ.7700.02.01.00562239</v>
      </c>
      <c r="C1061" s="1" t="str">
        <f ca="1">IFERROR(__xludf.DUMMYFUNCTION("""COMPUTED_VALUE"""),"Действителен до 29.03.2024")</f>
        <v>Действителен до 29.03.2024</v>
      </c>
      <c r="D1061" s="8" t="str">
        <f ca="1">IFERROR(__xludf.DUMMYFUNCTION("""COMPUTED_VALUE"""),"0419006KZ06")</f>
        <v>0419006KZ06</v>
      </c>
      <c r="E1061" s="1" t="str">
        <f ca="1">IFERROR(__xludf.DUMMYFUNCTION("""COMPUTED_VALUE"""),"годен до 29.03.2024")</f>
        <v>годен до 29.03.2024</v>
      </c>
      <c r="F1061" s="1" t="str">
        <f ca="1">IFERROR(__xludf.DUMMYFUNCTION("""COMPUTED_VALUE"""),"Бандаж для руки поддерживающий облегченный (косынка) 9912 L (белый) (Болгария) - 0419006KZ06")</f>
        <v>Бандаж для руки поддерживающий облегченный (косынка) 9912 L (белый) (Болгария) - 0419006KZ06</v>
      </c>
      <c r="G1061" s="1" t="str">
        <f ca="1">IFERROR(__xludf.DUMMYFUNCTION("""COMPUTED_VALUE"""),"KZ.7700.02.01.00562239 / Действителен до 29.03.2024 / 0419006KZ06 / годен до 29.03.2024")</f>
        <v>KZ.7700.02.01.00562239 / Действителен до 29.03.2024 / 0419006KZ06 / годен до 29.03.2024</v>
      </c>
      <c r="H1061" s="1" t="str">
        <f ca="1">IFERROR(__xludf.DUMMYFUNCTION("""COMPUTED_VALUE"""),"Бандаж для руки поддерживающий облегченный (косынка) 9912 L (белый) (Болгария) KZ.7700.02.01.00562239 / Действителен до 29.03.2024 / 0419006KZ06 / годен до 29.03.2024")</f>
        <v>Бандаж для руки поддерживающий облегченный (косынка) 9912 L (белый) (Болгария) KZ.7700.02.01.00562239 / Действителен до 29.03.2024 / 0419006KZ06 / годен до 29.03.2024</v>
      </c>
    </row>
    <row r="1062" spans="1:8" ht="12.75" x14ac:dyDescent="0.2">
      <c r="A1062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062" s="1" t="str">
        <f ca="1">IFERROR(__xludf.DUMMYFUNCTION("""COMPUTED_VALUE"""),"KZ.7700.02.01.00562221")</f>
        <v>KZ.7700.02.01.00562221</v>
      </c>
      <c r="C1062" s="1" t="str">
        <f ca="1">IFERROR(__xludf.DUMMYFUNCTION("""COMPUTED_VALUE"""),"Действителен до 29.03.2024")</f>
        <v>Действителен до 29.03.2024</v>
      </c>
      <c r="D1062" s="8" t="str">
        <f ca="1">IFERROR(__xludf.DUMMYFUNCTION("""COMPUTED_VALUE"""),"0419006KZ06")</f>
        <v>0419006KZ06</v>
      </c>
      <c r="E1062" s="1" t="str">
        <f ca="1">IFERROR(__xludf.DUMMYFUNCTION("""COMPUTED_VALUE"""),"годен до 29.03.2024")</f>
        <v>годен до 29.03.2024</v>
      </c>
      <c r="F1062" s="1" t="str">
        <f ca="1">IFERROR(__xludf.DUMMYFUNCTION("""COMPUTED_VALUE"""),"Бандаж для руки поддерживающий облегченный (косынка) 9912 XL (черный) (Болгария) - 0419006KZ06")</f>
        <v>Бандаж для руки поддерживающий облегченный (косынка) 9912 XL (черный) (Болгария) - 0419006KZ06</v>
      </c>
      <c r="G1062" s="1" t="str">
        <f ca="1">IFERROR(__xludf.DUMMYFUNCTION("""COMPUTED_VALUE"""),"KZ.7700.02.01.00562221 / Действителен до 29.03.2024 / 0419006KZ06 / годен до 29.03.2024")</f>
        <v>KZ.7700.02.01.00562221 / Действителен до 29.03.2024 / 0419006KZ06 / годен до 29.03.2024</v>
      </c>
      <c r="H1062" s="1" t="str">
        <f ca="1">IFERROR(__xludf.DUMMYFUNCTION("""COMPUTED_VALUE"""),"Бандаж для руки поддерживающий облегченный (косынка) 9912 XL (черный) (Болгария) KZ.7700.02.01.00562221 / Действителен до 29.03.2024 / 0419006KZ06 / годен до 29.03.2024")</f>
        <v>Бандаж для руки поддерживающий облегченный (косынка) 9912 XL (черный) (Болгария) KZ.7700.02.01.00562221 / Действителен до 29.03.2024 / 0419006KZ06 / годен до 29.03.2024</v>
      </c>
    </row>
    <row r="1063" spans="1:8" ht="12.75" x14ac:dyDescent="0.2">
      <c r="A1063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B1063" s="1" t="str">
        <f ca="1">IFERROR(__xludf.DUMMYFUNCTION("""COMPUTED_VALUE"""),"KZ.7700.02.01.00562240")</f>
        <v>KZ.7700.02.01.00562240</v>
      </c>
      <c r="C1063" s="1" t="str">
        <f ca="1">IFERROR(__xludf.DUMMYFUNCTION("""COMPUTED_VALUE"""),"Действителен до 29.03.2024")</f>
        <v>Действителен до 29.03.2024</v>
      </c>
      <c r="D1063" s="8" t="str">
        <f ca="1">IFERROR(__xludf.DUMMYFUNCTION("""COMPUTED_VALUE"""),"0419006KZ06")</f>
        <v>0419006KZ06</v>
      </c>
      <c r="E1063" s="1" t="str">
        <f ca="1">IFERROR(__xludf.DUMMYFUNCTION("""COMPUTED_VALUE"""),"годен до 29.03.2024")</f>
        <v>годен до 29.03.2024</v>
      </c>
      <c r="F1063" s="1" t="str">
        <f ca="1">IFERROR(__xludf.DUMMYFUNCTION("""COMPUTED_VALUE"""),"Бандаж для руки поддерживающий облегченный (косынка) 9912 XL (белый) (Болгария) - 0419006KZ06")</f>
        <v>Бандаж для руки поддерживающий облегченный (косынка) 9912 XL (белый) (Болгария) - 0419006KZ06</v>
      </c>
      <c r="G1063" s="1" t="str">
        <f ca="1">IFERROR(__xludf.DUMMYFUNCTION("""COMPUTED_VALUE"""),"KZ.7700.02.01.00562240 / Действителен до 29.03.2024 / 0419006KZ06 / годен до 29.03.2024")</f>
        <v>KZ.7700.02.01.00562240 / Действителен до 29.03.2024 / 0419006KZ06 / годен до 29.03.2024</v>
      </c>
      <c r="H1063" s="1" t="str">
        <f ca="1">IFERROR(__xludf.DUMMYFUNCTION("""COMPUTED_VALUE"""),"Бандаж для руки поддерживающий облегченный (косынка) 9912 XL (белый) (Болгария) KZ.7700.02.01.00562240 / Действителен до 29.03.2024 / 0419006KZ06 / годен до 29.03.2024")</f>
        <v>Бандаж для руки поддерживающий облегченный (косынка) 9912 XL (белый) (Болгария) KZ.7700.02.01.00562240 / Действителен до 29.03.2024 / 0419006KZ06 / годен до 29.03.2024</v>
      </c>
    </row>
    <row r="1064" spans="1:8" ht="12.75" x14ac:dyDescent="0.2">
      <c r="A1064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064" s="1" t="str">
        <f ca="1">IFERROR(__xludf.DUMMYFUNCTION("""COMPUTED_VALUE"""),"KZ.7700.02.01.00562580")</f>
        <v>KZ.7700.02.01.00562580</v>
      </c>
      <c r="C1064" s="1" t="str">
        <f ca="1">IFERROR(__xludf.DUMMYFUNCTION("""COMPUTED_VALUE"""),"Действителен до 29.03.2024")</f>
        <v>Действителен до 29.03.2024</v>
      </c>
      <c r="D1064" s="8" t="str">
        <f ca="1">IFERROR(__xludf.DUMMYFUNCTION("""COMPUTED_VALUE"""),"0419006KZ06")</f>
        <v>0419006KZ06</v>
      </c>
      <c r="E1064" s="1" t="str">
        <f ca="1">IFERROR(__xludf.DUMMYFUNCTION("""COMPUTED_VALUE"""),"годен до 29.03.2024")</f>
        <v>годен до 29.03.2024</v>
      </c>
      <c r="F1064" s="1" t="str">
        <f ca="1">IFERROR(__xludf.DUMMYFUNCTION("""COMPUTED_VALUE"""),"Бинт эластичный медицинский средней растяжимости (ширина 80 мм) 02х80х1 - 0419006KZ06")</f>
        <v>Бинт эластичный медицинский средней растяжимости (ширина 80 мм) 02х80х1 - 0419006KZ06</v>
      </c>
      <c r="G1064" s="1" t="str">
        <f ca="1">IFERROR(__xludf.DUMMYFUNCTION("""COMPUTED_VALUE"""),"KZ.7700.02.01.00562580 / Действителен до 29.03.2024 / 0419006KZ06 / годен до 29.03.2024")</f>
        <v>KZ.7700.02.01.00562580 / Действителен до 29.03.2024 / 0419006KZ06 / годен до 29.03.2024</v>
      </c>
      <c r="H1064" s="1" t="str">
        <f ca="1">IFERROR(__xludf.DUMMYFUNCTION("""COMPUTED_VALUE"""),"Бинт эластичный медицинский средней растяжимости (ширина 80 мм) 02х80х1 KZ.7700.02.01.00562580 / Действителен до 29.03.2024 / 0419006KZ06 / годен до 29.03.2024")</f>
        <v>Бинт эластичный медицинский средней растяжимости (ширина 80 мм) 02х80х1 KZ.7700.02.01.00562580 / Действителен до 29.03.2024 / 0419006KZ06 / годен до 29.03.2024</v>
      </c>
    </row>
    <row r="1065" spans="1:8" ht="12.75" x14ac:dyDescent="0.2">
      <c r="A1065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065" s="1" t="str">
        <f ca="1">IFERROR(__xludf.DUMMYFUNCTION("""COMPUTED_VALUE"""),"KZ.7700.02.01.00562581")</f>
        <v>KZ.7700.02.01.00562581</v>
      </c>
      <c r="C1065" s="1" t="str">
        <f ca="1">IFERROR(__xludf.DUMMYFUNCTION("""COMPUTED_VALUE"""),"Действителен до 29.03.2024")</f>
        <v>Действителен до 29.03.2024</v>
      </c>
      <c r="D1065" s="8" t="str">
        <f ca="1">IFERROR(__xludf.DUMMYFUNCTION("""COMPUTED_VALUE"""),"0419006KZ06")</f>
        <v>0419006KZ06</v>
      </c>
      <c r="E1065" s="1" t="str">
        <f ca="1">IFERROR(__xludf.DUMMYFUNCTION("""COMPUTED_VALUE"""),"годен до 29.03.2024")</f>
        <v>годен до 29.03.2024</v>
      </c>
      <c r="F1065" s="1" t="str">
        <f ca="1">IFERROR(__xludf.DUMMYFUNCTION("""COMPUTED_VALUE"""),"Бинт эластичный медицинский средней растяжимости (ширина 80 мм) 02х80х1.5 - 0419006KZ06")</f>
        <v>Бинт эластичный медицинский средней растяжимости (ширина 80 мм) 02х80х1.5 - 0419006KZ06</v>
      </c>
      <c r="G1065" s="1" t="str">
        <f ca="1">IFERROR(__xludf.DUMMYFUNCTION("""COMPUTED_VALUE"""),"KZ.7700.02.01.00562581 / Действителен до 29.03.2024 / 0419006KZ06 / годен до 29.03.2024")</f>
        <v>KZ.7700.02.01.00562581 / Действителен до 29.03.2024 / 0419006KZ06 / годен до 29.03.2024</v>
      </c>
      <c r="H1065" s="1" t="str">
        <f ca="1">IFERROR(__xludf.DUMMYFUNCTION("""COMPUTED_VALUE"""),"Бинт эластичный медицинский средней растяжимости (ширина 80 мм) 02х80х1.5 KZ.7700.02.01.00562581 / Действителен до 29.03.2024 / 0419006KZ06 / годен до 29.03.2024")</f>
        <v>Бинт эластичный медицинский средней растяжимости (ширина 80 мм) 02х80х1.5 KZ.7700.02.01.00562581 / Действителен до 29.03.2024 / 0419006KZ06 / годен до 29.03.2024</v>
      </c>
    </row>
    <row r="1066" spans="1:8" ht="12.75" x14ac:dyDescent="0.2">
      <c r="A1066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066" s="1" t="str">
        <f ca="1">IFERROR(__xludf.DUMMYFUNCTION("""COMPUTED_VALUE"""),"KZ.7700.02.01.00562582")</f>
        <v>KZ.7700.02.01.00562582</v>
      </c>
      <c r="C1066" s="1" t="str">
        <f ca="1">IFERROR(__xludf.DUMMYFUNCTION("""COMPUTED_VALUE"""),"Действителен до 29.03.2024")</f>
        <v>Действителен до 29.03.2024</v>
      </c>
      <c r="D1066" s="8" t="str">
        <f ca="1">IFERROR(__xludf.DUMMYFUNCTION("""COMPUTED_VALUE"""),"0419006KZ06")</f>
        <v>0419006KZ06</v>
      </c>
      <c r="E1066" s="1" t="str">
        <f ca="1">IFERROR(__xludf.DUMMYFUNCTION("""COMPUTED_VALUE"""),"годен до 29.03.2024")</f>
        <v>годен до 29.03.2024</v>
      </c>
      <c r="F1066" s="1" t="str">
        <f ca="1">IFERROR(__xludf.DUMMYFUNCTION("""COMPUTED_VALUE"""),"Бинт эластичный медицинский средней растяжимости (ширина 80 мм) 02х80х2 - 0419006KZ06")</f>
        <v>Бинт эластичный медицинский средней растяжимости (ширина 80 мм) 02х80х2 - 0419006KZ06</v>
      </c>
      <c r="G1066" s="1" t="str">
        <f ca="1">IFERROR(__xludf.DUMMYFUNCTION("""COMPUTED_VALUE"""),"KZ.7700.02.01.00562582 / Действителен до 29.03.2024 / 0419006KZ06 / годен до 29.03.2024")</f>
        <v>KZ.7700.02.01.00562582 / Действителен до 29.03.2024 / 0419006KZ06 / годен до 29.03.2024</v>
      </c>
      <c r="H1066" s="1" t="str">
        <f ca="1">IFERROR(__xludf.DUMMYFUNCTION("""COMPUTED_VALUE"""),"Бинт эластичный медицинский средней растяжимости (ширина 80 мм) 02х80х2 KZ.7700.02.01.00562582 / Действителен до 29.03.2024 / 0419006KZ06 / годен до 29.03.2024")</f>
        <v>Бинт эластичный медицинский средней растяжимости (ширина 80 мм) 02х80х2 KZ.7700.02.01.00562582 / Действителен до 29.03.2024 / 0419006KZ06 / годен до 29.03.2024</v>
      </c>
    </row>
    <row r="1067" spans="1:8" ht="12.75" x14ac:dyDescent="0.2">
      <c r="A1067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067" s="1" t="str">
        <f ca="1">IFERROR(__xludf.DUMMYFUNCTION("""COMPUTED_VALUE"""),"KZ.7700.02.01.00562583")</f>
        <v>KZ.7700.02.01.00562583</v>
      </c>
      <c r="C1067" s="1" t="str">
        <f ca="1">IFERROR(__xludf.DUMMYFUNCTION("""COMPUTED_VALUE"""),"Действителен до 29.03.2024")</f>
        <v>Действителен до 29.03.2024</v>
      </c>
      <c r="D1067" s="8" t="str">
        <f ca="1">IFERROR(__xludf.DUMMYFUNCTION("""COMPUTED_VALUE"""),"0419006KZ06")</f>
        <v>0419006KZ06</v>
      </c>
      <c r="E1067" s="1" t="str">
        <f ca="1">IFERROR(__xludf.DUMMYFUNCTION("""COMPUTED_VALUE"""),"годен до 29.03.2024")</f>
        <v>годен до 29.03.2024</v>
      </c>
      <c r="F1067" s="1" t="str">
        <f ca="1">IFERROR(__xludf.DUMMYFUNCTION("""COMPUTED_VALUE"""),"Бинт эластичный медицинский средней растяжимости (ширина 80 мм) 02х80х2.5 - 0419006KZ06")</f>
        <v>Бинт эластичный медицинский средней растяжимости (ширина 80 мм) 02х80х2.5 - 0419006KZ06</v>
      </c>
      <c r="G1067" s="1" t="str">
        <f ca="1">IFERROR(__xludf.DUMMYFUNCTION("""COMPUTED_VALUE"""),"KZ.7700.02.01.00562583 / Действителен до 29.03.2024 / 0419006KZ06 / годен до 29.03.2024")</f>
        <v>KZ.7700.02.01.00562583 / Действителен до 29.03.2024 / 0419006KZ06 / годен до 29.03.2024</v>
      </c>
      <c r="H1067" s="1" t="str">
        <f ca="1">IFERROR(__xludf.DUMMYFUNCTION("""COMPUTED_VALUE"""),"Бинт эластичный медицинский средней растяжимости (ширина 80 мм) 02х80х2.5 KZ.7700.02.01.00562583 / Действителен до 29.03.2024 / 0419006KZ06 / годен до 29.03.2024")</f>
        <v>Бинт эластичный медицинский средней растяжимости (ширина 80 мм) 02х80х2.5 KZ.7700.02.01.00562583 / Действителен до 29.03.2024 / 0419006KZ06 / годен до 29.03.2024</v>
      </c>
    </row>
    <row r="1068" spans="1:8" ht="12.75" x14ac:dyDescent="0.2">
      <c r="A1068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068" s="1" t="str">
        <f ca="1">IFERROR(__xludf.DUMMYFUNCTION("""COMPUTED_VALUE"""),"KZ.7700.02.01.00562584")</f>
        <v>KZ.7700.02.01.00562584</v>
      </c>
      <c r="C1068" s="1" t="str">
        <f ca="1">IFERROR(__xludf.DUMMYFUNCTION("""COMPUTED_VALUE"""),"Действителен до 29.03.2024")</f>
        <v>Действителен до 29.03.2024</v>
      </c>
      <c r="D1068" s="8" t="str">
        <f ca="1">IFERROR(__xludf.DUMMYFUNCTION("""COMPUTED_VALUE"""),"0419006KZ06")</f>
        <v>0419006KZ06</v>
      </c>
      <c r="E1068" s="1" t="str">
        <f ca="1">IFERROR(__xludf.DUMMYFUNCTION("""COMPUTED_VALUE"""),"годен до 29.03.2024")</f>
        <v>годен до 29.03.2024</v>
      </c>
      <c r="F1068" s="1" t="str">
        <f ca="1">IFERROR(__xludf.DUMMYFUNCTION("""COMPUTED_VALUE"""),"Бинт эластичный медицинский средней растяжимости (ширина 80 мм) 02х80х3 - 0419006KZ06")</f>
        <v>Бинт эластичный медицинский средней растяжимости (ширина 80 мм) 02х80х3 - 0419006KZ06</v>
      </c>
      <c r="G1068" s="1" t="str">
        <f ca="1">IFERROR(__xludf.DUMMYFUNCTION("""COMPUTED_VALUE"""),"KZ.7700.02.01.00562584 / Действителен до 29.03.2024 / 0419006KZ06 / годен до 29.03.2024")</f>
        <v>KZ.7700.02.01.00562584 / Действителен до 29.03.2024 / 0419006KZ06 / годен до 29.03.2024</v>
      </c>
      <c r="H1068" s="1" t="str">
        <f ca="1">IFERROR(__xludf.DUMMYFUNCTION("""COMPUTED_VALUE"""),"Бинт эластичный медицинский средней растяжимости (ширина 80 мм) 02х80х3 KZ.7700.02.01.00562584 / Действителен до 29.03.2024 / 0419006KZ06 / годен до 29.03.2024")</f>
        <v>Бинт эластичный медицинский средней растяжимости (ширина 80 мм) 02х80х3 KZ.7700.02.01.00562584 / Действителен до 29.03.2024 / 0419006KZ06 / годен до 29.03.2024</v>
      </c>
    </row>
    <row r="1069" spans="1:8" ht="12.75" x14ac:dyDescent="0.2">
      <c r="A1069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069" s="1" t="str">
        <f ca="1">IFERROR(__xludf.DUMMYFUNCTION("""COMPUTED_VALUE"""),"KZ.7700.02.01.00562585")</f>
        <v>KZ.7700.02.01.00562585</v>
      </c>
      <c r="C1069" s="1" t="str">
        <f ca="1">IFERROR(__xludf.DUMMYFUNCTION("""COMPUTED_VALUE"""),"Действителен до 29.03.2024")</f>
        <v>Действителен до 29.03.2024</v>
      </c>
      <c r="D1069" s="8" t="str">
        <f ca="1">IFERROR(__xludf.DUMMYFUNCTION("""COMPUTED_VALUE"""),"0419006KZ06")</f>
        <v>0419006KZ06</v>
      </c>
      <c r="E1069" s="1" t="str">
        <f ca="1">IFERROR(__xludf.DUMMYFUNCTION("""COMPUTED_VALUE"""),"годен до 29.03.2024")</f>
        <v>годен до 29.03.2024</v>
      </c>
      <c r="F1069" s="1" t="str">
        <f ca="1">IFERROR(__xludf.DUMMYFUNCTION("""COMPUTED_VALUE"""),"Бинт эластичный медицинский средней растяжимости (ширина 80 мм) 02х80х3.5 - 0419006KZ06")</f>
        <v>Бинт эластичный медицинский средней растяжимости (ширина 80 мм) 02х80х3.5 - 0419006KZ06</v>
      </c>
      <c r="G1069" s="1" t="str">
        <f ca="1">IFERROR(__xludf.DUMMYFUNCTION("""COMPUTED_VALUE"""),"KZ.7700.02.01.00562585 / Действителен до 29.03.2024 / 0419006KZ06 / годен до 29.03.2024")</f>
        <v>KZ.7700.02.01.00562585 / Действителен до 29.03.2024 / 0419006KZ06 / годен до 29.03.2024</v>
      </c>
      <c r="H1069" s="1" t="str">
        <f ca="1">IFERROR(__xludf.DUMMYFUNCTION("""COMPUTED_VALUE"""),"Бинт эластичный медицинский средней растяжимости (ширина 80 мм) 02х80х3.5 KZ.7700.02.01.00562585 / Действителен до 29.03.2024 / 0419006KZ06 / годен до 29.03.2024")</f>
        <v>Бинт эластичный медицинский средней растяжимости (ширина 80 мм) 02х80х3.5 KZ.7700.02.01.00562585 / Действителен до 29.03.2024 / 0419006KZ06 / годен до 29.03.2024</v>
      </c>
    </row>
    <row r="1070" spans="1:8" ht="12.75" x14ac:dyDescent="0.2">
      <c r="A1070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070" s="1" t="str">
        <f ca="1">IFERROR(__xludf.DUMMYFUNCTION("""COMPUTED_VALUE"""),"KZ.7700.02.01.00562586")</f>
        <v>KZ.7700.02.01.00562586</v>
      </c>
      <c r="C1070" s="1" t="str">
        <f ca="1">IFERROR(__xludf.DUMMYFUNCTION("""COMPUTED_VALUE"""),"Действителен до 29.03.2024")</f>
        <v>Действителен до 29.03.2024</v>
      </c>
      <c r="D1070" s="8" t="str">
        <f ca="1">IFERROR(__xludf.DUMMYFUNCTION("""COMPUTED_VALUE"""),"0419006KZ06")</f>
        <v>0419006KZ06</v>
      </c>
      <c r="E1070" s="1" t="str">
        <f ca="1">IFERROR(__xludf.DUMMYFUNCTION("""COMPUTED_VALUE"""),"годен до 29.03.2024")</f>
        <v>годен до 29.03.2024</v>
      </c>
      <c r="F1070" s="1" t="str">
        <f ca="1">IFERROR(__xludf.DUMMYFUNCTION("""COMPUTED_VALUE"""),"Бинт эластичный медицинский средней растяжимости (ширина 80 мм) 02х80х4 - 0419006KZ06")</f>
        <v>Бинт эластичный медицинский средней растяжимости (ширина 80 мм) 02х80х4 - 0419006KZ06</v>
      </c>
      <c r="G1070" s="1" t="str">
        <f ca="1">IFERROR(__xludf.DUMMYFUNCTION("""COMPUTED_VALUE"""),"KZ.7700.02.01.00562586 / Действителен до 29.03.2024 / 0419006KZ06 / годен до 29.03.2024")</f>
        <v>KZ.7700.02.01.00562586 / Действителен до 29.03.2024 / 0419006KZ06 / годен до 29.03.2024</v>
      </c>
      <c r="H1070" s="1" t="str">
        <f ca="1">IFERROR(__xludf.DUMMYFUNCTION("""COMPUTED_VALUE"""),"Бинт эластичный медицинский средней растяжимости (ширина 80 мм) 02х80х4 KZ.7700.02.01.00562586 / Действителен до 29.03.2024 / 0419006KZ06 / годен до 29.03.2024")</f>
        <v>Бинт эластичный медицинский средней растяжимости (ширина 80 мм) 02х80х4 KZ.7700.02.01.00562586 / Действителен до 29.03.2024 / 0419006KZ06 / годен до 29.03.2024</v>
      </c>
    </row>
    <row r="1071" spans="1:8" ht="12.75" x14ac:dyDescent="0.2">
      <c r="A1071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071" s="1" t="str">
        <f ca="1">IFERROR(__xludf.DUMMYFUNCTION("""COMPUTED_VALUE"""),"KZ.7700.02.01.00562587")</f>
        <v>KZ.7700.02.01.00562587</v>
      </c>
      <c r="C1071" s="1" t="str">
        <f ca="1">IFERROR(__xludf.DUMMYFUNCTION("""COMPUTED_VALUE"""),"Действителен до 29.03.2024")</f>
        <v>Действителен до 29.03.2024</v>
      </c>
      <c r="D1071" s="8" t="str">
        <f ca="1">IFERROR(__xludf.DUMMYFUNCTION("""COMPUTED_VALUE"""),"0419006KZ06")</f>
        <v>0419006KZ06</v>
      </c>
      <c r="E1071" s="1" t="str">
        <f ca="1">IFERROR(__xludf.DUMMYFUNCTION("""COMPUTED_VALUE"""),"годен до 29.03.2024")</f>
        <v>годен до 29.03.2024</v>
      </c>
      <c r="F1071" s="1" t="str">
        <f ca="1">IFERROR(__xludf.DUMMYFUNCTION("""COMPUTED_VALUE"""),"Бинт эластичный медицинский средней растяжимости (ширина 80 мм) 02х80х5 - 0419006KZ06")</f>
        <v>Бинт эластичный медицинский средней растяжимости (ширина 80 мм) 02х80х5 - 0419006KZ06</v>
      </c>
      <c r="G1071" s="1" t="str">
        <f ca="1">IFERROR(__xludf.DUMMYFUNCTION("""COMPUTED_VALUE"""),"KZ.7700.02.01.00562587 / Действителен до 29.03.2024 / 0419006KZ06 / годен до 29.03.2024")</f>
        <v>KZ.7700.02.01.00562587 / Действителен до 29.03.2024 / 0419006KZ06 / годен до 29.03.2024</v>
      </c>
      <c r="H1071" s="1" t="str">
        <f ca="1">IFERROR(__xludf.DUMMYFUNCTION("""COMPUTED_VALUE"""),"Бинт эластичный медицинский средней растяжимости (ширина 80 мм) 02х80х5 KZ.7700.02.01.00562587 / Действителен до 29.03.2024 / 0419006KZ06 / годен до 29.03.2024")</f>
        <v>Бинт эластичный медицинский средней растяжимости (ширина 80 мм) 02х80х5 KZ.7700.02.01.00562587 / Действителен до 29.03.2024 / 0419006KZ06 / годен до 29.03.2024</v>
      </c>
    </row>
    <row r="1072" spans="1:8" ht="12.75" x14ac:dyDescent="0.2">
      <c r="A1072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072" s="1" t="str">
        <f ca="1">IFERROR(__xludf.DUMMYFUNCTION("""COMPUTED_VALUE"""),"KZ.7700.02.01.00562200")</f>
        <v>KZ.7700.02.01.00562200</v>
      </c>
      <c r="C1072" s="1" t="str">
        <f ca="1">IFERROR(__xludf.DUMMYFUNCTION("""COMPUTED_VALUE"""),"Действителен до 29.03.2024")</f>
        <v>Действителен до 29.03.2024</v>
      </c>
      <c r="D1072" s="8" t="str">
        <f ca="1">IFERROR(__xludf.DUMMYFUNCTION("""COMPUTED_VALUE"""),"0419006KZ06")</f>
        <v>0419006KZ06</v>
      </c>
      <c r="E1072" s="1" t="str">
        <f ca="1">IFERROR(__xludf.DUMMYFUNCTION("""COMPUTED_VALUE"""),"годен до 29.03.2024")</f>
        <v>годен до 29.03.2024</v>
      </c>
      <c r="F1072" s="1" t="str">
        <f ca="1">IFERROR(__xludf.DUMMYFUNCTION("""COMPUTED_VALUE"""),"Бандаж на шейный отдел позвоночника мягкой фиксацией 1001 I(S) (Болгария) - 0419006KZ06")</f>
        <v>Бандаж на шейный отдел позвоночника мягкой фиксацией 1001 I(S) (Болгария) - 0419006KZ06</v>
      </c>
      <c r="G1072" s="1" t="str">
        <f ca="1">IFERROR(__xludf.DUMMYFUNCTION("""COMPUTED_VALUE"""),"KZ.7700.02.01.00562200 / Действителен до 29.03.2024 / 0419006KZ06 / годен до 29.03.2024")</f>
        <v>KZ.7700.02.01.00562200 / Действителен до 29.03.2024 / 0419006KZ06 / годен до 29.03.2024</v>
      </c>
      <c r="H1072" s="1" t="str">
        <f ca="1">IFERROR(__xludf.DUMMYFUNCTION("""COMPUTED_VALUE"""),"Бандаж на шейный отдел позвоночника мягкой фиксацией 1001 I(S) (Болгария) KZ.7700.02.01.00562200 / Действителен до 29.03.2024 / 0419006KZ06 / годен до 29.03.2024")</f>
        <v>Бандаж на шейный отдел позвоночника мягкой фиксацией 1001 I(S) (Болгария) KZ.7700.02.01.00562200 / Действителен до 29.03.2024 / 0419006KZ06 / годен до 29.03.2024</v>
      </c>
    </row>
    <row r="1073" spans="1:8" ht="12.75" x14ac:dyDescent="0.2">
      <c r="A1073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073" s="1" t="str">
        <f ca="1">IFERROR(__xludf.DUMMYFUNCTION("""COMPUTED_VALUE"""),"KZ.7700.02.01.00562201")</f>
        <v>KZ.7700.02.01.00562201</v>
      </c>
      <c r="C1073" s="1" t="str">
        <f ca="1">IFERROR(__xludf.DUMMYFUNCTION("""COMPUTED_VALUE"""),"Действителен до 29.03.2024")</f>
        <v>Действителен до 29.03.2024</v>
      </c>
      <c r="D1073" s="8" t="str">
        <f ca="1">IFERROR(__xludf.DUMMYFUNCTION("""COMPUTED_VALUE"""),"0419006KZ06")</f>
        <v>0419006KZ06</v>
      </c>
      <c r="E1073" s="1" t="str">
        <f ca="1">IFERROR(__xludf.DUMMYFUNCTION("""COMPUTED_VALUE"""),"годен до 29.03.2024")</f>
        <v>годен до 29.03.2024</v>
      </c>
      <c r="F1073" s="1" t="str">
        <f ca="1">IFERROR(__xludf.DUMMYFUNCTION("""COMPUTED_VALUE"""),"Бандаж на шейный отдел позвоночника мягкой фиксацией 1001 II(M) (Болгария) - 0419006KZ06")</f>
        <v>Бандаж на шейный отдел позвоночника мягкой фиксацией 1001 II(M) (Болгария) - 0419006KZ06</v>
      </c>
      <c r="G1073" s="1" t="str">
        <f ca="1">IFERROR(__xludf.DUMMYFUNCTION("""COMPUTED_VALUE"""),"KZ.7700.02.01.00562201 / Действителен до 29.03.2024 / 0419006KZ06 / годен до 29.03.2024")</f>
        <v>KZ.7700.02.01.00562201 / Действителен до 29.03.2024 / 0419006KZ06 / годен до 29.03.2024</v>
      </c>
      <c r="H1073" s="1" t="str">
        <f ca="1">IFERROR(__xludf.DUMMYFUNCTION("""COMPUTED_VALUE"""),"Бандаж на шейный отдел позвоночника мягкой фиксацией 1001 II(M) (Болгария) KZ.7700.02.01.00562201 / Действителен до 29.03.2024 / 0419006KZ06 / годен до 29.03.2024")</f>
        <v>Бандаж на шейный отдел позвоночника мягкой фиксацией 1001 II(M) (Болгария) KZ.7700.02.01.00562201 / Действителен до 29.03.2024 / 0419006KZ06 / годен до 29.03.2024</v>
      </c>
    </row>
    <row r="1074" spans="1:8" ht="12.75" x14ac:dyDescent="0.2">
      <c r="A1074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074" s="1" t="str">
        <f ca="1">IFERROR(__xludf.DUMMYFUNCTION("""COMPUTED_VALUE"""),"KZ.7700.02.01.00562204")</f>
        <v>KZ.7700.02.01.00562204</v>
      </c>
      <c r="C1074" s="1" t="str">
        <f ca="1">IFERROR(__xludf.DUMMYFUNCTION("""COMPUTED_VALUE"""),"Действителен до 29.03.2024")</f>
        <v>Действителен до 29.03.2024</v>
      </c>
      <c r="D1074" s="8" t="str">
        <f ca="1">IFERROR(__xludf.DUMMYFUNCTION("""COMPUTED_VALUE"""),"0419006KZ06")</f>
        <v>0419006KZ06</v>
      </c>
      <c r="E1074" s="1" t="str">
        <f ca="1">IFERROR(__xludf.DUMMYFUNCTION("""COMPUTED_VALUE"""),"годен до 29.03.2024")</f>
        <v>годен до 29.03.2024</v>
      </c>
      <c r="F1074" s="1" t="str">
        <f ca="1">IFERROR(__xludf.DUMMYFUNCTION("""COMPUTED_VALUE"""),"Бандаж на шейный отдел позвоночника мягкой фиксацией 1001 III(L) (Болгария) - 0419006KZ06")</f>
        <v>Бандаж на шейный отдел позвоночника мягкой фиксацией 1001 III(L) (Болгария) - 0419006KZ06</v>
      </c>
      <c r="G1074" s="1" t="str">
        <f ca="1">IFERROR(__xludf.DUMMYFUNCTION("""COMPUTED_VALUE"""),"KZ.7700.02.01.00562204 / Действителен до 29.03.2024 / 0419006KZ06 / годен до 29.03.2024")</f>
        <v>KZ.7700.02.01.00562204 / Действителен до 29.03.2024 / 0419006KZ06 / годен до 29.03.2024</v>
      </c>
      <c r="H1074" s="1" t="str">
        <f ca="1">IFERROR(__xludf.DUMMYFUNCTION("""COMPUTED_VALUE"""),"Бандаж на шейный отдел позвоночника мягкой фиксацией 1001 III(L) (Болгария) KZ.7700.02.01.00562204 / Действителен до 29.03.2024 / 0419006KZ06 / годен до 29.03.2024")</f>
        <v>Бандаж на шейный отдел позвоночника мягкой фиксацией 1001 III(L) (Болгария) KZ.7700.02.01.00562204 / Действителен до 29.03.2024 / 0419006KZ06 / годен до 29.03.2024</v>
      </c>
    </row>
    <row r="1075" spans="1:8" ht="12.75" x14ac:dyDescent="0.2">
      <c r="A1075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1075" s="1" t="str">
        <f ca="1">IFERROR(__xludf.DUMMYFUNCTION("""COMPUTED_VALUE"""),"KZ.7700.02.01.00562205")</f>
        <v>KZ.7700.02.01.00562205</v>
      </c>
      <c r="C1075" s="1" t="str">
        <f ca="1">IFERROR(__xludf.DUMMYFUNCTION("""COMPUTED_VALUE"""),"Действителен до 29.03.2024")</f>
        <v>Действителен до 29.03.2024</v>
      </c>
      <c r="D1075" s="8" t="str">
        <f ca="1">IFERROR(__xludf.DUMMYFUNCTION("""COMPUTED_VALUE"""),"0419006KZ06")</f>
        <v>0419006KZ06</v>
      </c>
      <c r="E1075" s="1" t="str">
        <f ca="1">IFERROR(__xludf.DUMMYFUNCTION("""COMPUTED_VALUE"""),"годен до 29.03.2024")</f>
        <v>годен до 29.03.2024</v>
      </c>
      <c r="F1075" s="1" t="str">
        <f ca="1">IFERROR(__xludf.DUMMYFUNCTION("""COMPUTED_VALUE"""),"Бандаж на шейный отдел позвоночника мягкой фиксацией с жесткой вставкой 1005 I(S) - 0419006KZ06")</f>
        <v>Бандаж на шейный отдел позвоночника мягкой фиксацией с жесткой вставкой 1005 I(S) - 0419006KZ06</v>
      </c>
      <c r="G1075" s="1" t="str">
        <f ca="1">IFERROR(__xludf.DUMMYFUNCTION("""COMPUTED_VALUE"""),"KZ.7700.02.01.00562205 / Действителен до 29.03.2024 / 0419006KZ06 / годен до 29.03.2024")</f>
        <v>KZ.7700.02.01.00562205 / Действителен до 29.03.2024 / 0419006KZ06 / годен до 29.03.2024</v>
      </c>
      <c r="H1075" s="1" t="str">
        <f ca="1">IFERROR(__xludf.DUMMYFUNCTION("""COMPUTED_VALUE"""),"Бандаж на шейный отдел позвоночника мягкой фиксацией с жесткой вставкой 1005 I(S) KZ.7700.02.01.00562205 / Действителен до 29.03.2024 / 0419006KZ06 / годен до 29.03.2024")</f>
        <v>Бандаж на шейный отдел позвоночника мягкой фиксацией с жесткой вставкой 1005 I(S) KZ.7700.02.01.00562205 / Действителен до 29.03.2024 / 0419006KZ06 / годен до 29.03.2024</v>
      </c>
    </row>
    <row r="1076" spans="1:8" ht="12.75" x14ac:dyDescent="0.2">
      <c r="A1076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076" s="1" t="str">
        <f ca="1">IFERROR(__xludf.DUMMYFUNCTION("""COMPUTED_VALUE"""),"KZ.7700.02.01.00562206")</f>
        <v>KZ.7700.02.01.00562206</v>
      </c>
      <c r="C1076" s="1" t="str">
        <f ca="1">IFERROR(__xludf.DUMMYFUNCTION("""COMPUTED_VALUE"""),"Действителен до 29.03.2024")</f>
        <v>Действителен до 29.03.2024</v>
      </c>
      <c r="D1076" s="8" t="str">
        <f ca="1">IFERROR(__xludf.DUMMYFUNCTION("""COMPUTED_VALUE"""),"0419006KZ06")</f>
        <v>0419006KZ06</v>
      </c>
      <c r="E1076" s="1" t="str">
        <f ca="1">IFERROR(__xludf.DUMMYFUNCTION("""COMPUTED_VALUE"""),"годен до 29.03.2024")</f>
        <v>годен до 29.03.2024</v>
      </c>
      <c r="F1076" s="1" t="str">
        <f ca="1">IFERROR(__xludf.DUMMYFUNCTION("""COMPUTED_VALUE"""),"Бандаж на шейный отдел позвоночника мягкой фиксацией с жесткой вставкой 1005 II(M) - 0419006KZ06")</f>
        <v>Бандаж на шейный отдел позвоночника мягкой фиксацией с жесткой вставкой 1005 II(M) - 0419006KZ06</v>
      </c>
      <c r="G1076" s="1" t="str">
        <f ca="1">IFERROR(__xludf.DUMMYFUNCTION("""COMPUTED_VALUE"""),"KZ.7700.02.01.00562206 / Действителен до 29.03.2024 / 0419006KZ06 / годен до 29.03.2024")</f>
        <v>KZ.7700.02.01.00562206 / Действителен до 29.03.2024 / 0419006KZ06 / годен до 29.03.2024</v>
      </c>
      <c r="H1076" s="1" t="str">
        <f ca="1">IFERROR(__xludf.DUMMYFUNCTION("""COMPUTED_VALUE"""),"Бандаж на шейный отдел позвоночника мягкой фиксацией с жесткой вставкой 1005 II(M) KZ.7700.02.01.00562206 / Действителен до 29.03.2024 / 0419006KZ06 / годен до 29.03.2024")</f>
        <v>Бандаж на шейный отдел позвоночника мягкой фиксацией с жесткой вставкой 1005 II(M) KZ.7700.02.01.00562206 / Действителен до 29.03.2024 / 0419006KZ06 / годен до 29.03.2024</v>
      </c>
    </row>
    <row r="1077" spans="1:8" ht="12.75" x14ac:dyDescent="0.2">
      <c r="A1077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1077" s="1" t="str">
        <f ca="1">IFERROR(__xludf.DUMMYFUNCTION("""COMPUTED_VALUE"""),"KZ.7700.02.01.00562209")</f>
        <v>KZ.7700.02.01.00562209</v>
      </c>
      <c r="C1077" s="1" t="str">
        <f ca="1">IFERROR(__xludf.DUMMYFUNCTION("""COMPUTED_VALUE"""),"Действителен до 29.03.2024")</f>
        <v>Действителен до 29.03.2024</v>
      </c>
      <c r="D1077" s="8" t="str">
        <f ca="1">IFERROR(__xludf.DUMMYFUNCTION("""COMPUTED_VALUE"""),"0419006KZ06")</f>
        <v>0419006KZ06</v>
      </c>
      <c r="E1077" s="1" t="str">
        <f ca="1">IFERROR(__xludf.DUMMYFUNCTION("""COMPUTED_VALUE"""),"годен до 29.03.2024")</f>
        <v>годен до 29.03.2024</v>
      </c>
      <c r="F1077" s="1" t="str">
        <f ca="1">IFERROR(__xludf.DUMMYFUNCTION("""COMPUTED_VALUE"""),"Бандаж на шейный отдел позвоночника мягкой фиксацией с жесткой вставкой 1005 III(L) - 0419006KZ06")</f>
        <v>Бандаж на шейный отдел позвоночника мягкой фиксацией с жесткой вставкой 1005 III(L) - 0419006KZ06</v>
      </c>
      <c r="G1077" s="1" t="str">
        <f ca="1">IFERROR(__xludf.DUMMYFUNCTION("""COMPUTED_VALUE"""),"KZ.7700.02.01.00562209 / Действителен до 29.03.2024 / 0419006KZ06 / годен до 29.03.2024")</f>
        <v>KZ.7700.02.01.00562209 / Действителен до 29.03.2024 / 0419006KZ06 / годен до 29.03.2024</v>
      </c>
      <c r="H1077" s="1" t="str">
        <f ca="1">IFERROR(__xludf.DUMMYFUNCTION("""COMPUTED_VALUE"""),"Бандаж на шейный отдел позвоночника мягкой фиксацией с жесткой вставкой 1005 III(L) KZ.7700.02.01.00562209 / Действителен до 29.03.2024 / 0419006KZ06 / годен до 29.03.2024")</f>
        <v>Бандаж на шейный отдел позвоночника мягкой фиксацией с жесткой вставкой 1005 III(L) KZ.7700.02.01.00562209 / Действителен до 29.03.2024 / 0419006KZ06 / годен до 29.03.2024</v>
      </c>
    </row>
    <row r="1078" spans="1:8" ht="12.75" x14ac:dyDescent="0.2">
      <c r="A1078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1078" s="1" t="str">
        <f ca="1">IFERROR(__xludf.DUMMYFUNCTION("""COMPUTED_VALUE"""),"KZ.7700.02.01.00562211")</f>
        <v>KZ.7700.02.01.00562211</v>
      </c>
      <c r="C1078" s="1" t="str">
        <f ca="1">IFERROR(__xludf.DUMMYFUNCTION("""COMPUTED_VALUE"""),"Действителен до 29.03.2024")</f>
        <v>Действителен до 29.03.2024</v>
      </c>
      <c r="D1078" s="8" t="str">
        <f ca="1">IFERROR(__xludf.DUMMYFUNCTION("""COMPUTED_VALUE"""),"0419006KZ06")</f>
        <v>0419006KZ06</v>
      </c>
      <c r="E1078" s="1" t="str">
        <f ca="1">IFERROR(__xludf.DUMMYFUNCTION("""COMPUTED_VALUE"""),"годен до 29.03.2024")</f>
        <v>годен до 29.03.2024</v>
      </c>
      <c r="F1078" s="1" t="str">
        <f ca="1">IFERROR(__xludf.DUMMYFUNCTION("""COMPUTED_VALUE"""),"Реклинатор (корректор осанки) детский 2005 M (Болгария) - 0419006KZ06")</f>
        <v>Реклинатор (корректор осанки) детский 2005 M (Болгария) - 0419006KZ06</v>
      </c>
      <c r="G1078" s="1" t="str">
        <f ca="1">IFERROR(__xludf.DUMMYFUNCTION("""COMPUTED_VALUE"""),"KZ.7700.02.01.00562211 / Действителен до 29.03.2024 / 0419006KZ06 / годен до 29.03.2024")</f>
        <v>KZ.7700.02.01.00562211 / Действителен до 29.03.2024 / 0419006KZ06 / годен до 29.03.2024</v>
      </c>
      <c r="H1078" s="1" t="str">
        <f ca="1">IFERROR(__xludf.DUMMYFUNCTION("""COMPUTED_VALUE"""),"Реклинатор (корректор осанки) детский 2005 M (Болгария) KZ.7700.02.01.00562211 / Действителен до 29.03.2024 / 0419006KZ06 / годен до 29.03.2024")</f>
        <v>Реклинатор (корректор осанки) детский 2005 M (Болгария) KZ.7700.02.01.00562211 / Действителен до 29.03.2024 / 0419006KZ06 / годен до 29.03.2024</v>
      </c>
    </row>
    <row r="1079" spans="1:8" ht="12.75" x14ac:dyDescent="0.2">
      <c r="A1079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079" s="1" t="str">
        <f ca="1">IFERROR(__xludf.DUMMYFUNCTION("""COMPUTED_VALUE"""),"KZ.7700.02.01.00562214")</f>
        <v>KZ.7700.02.01.00562214</v>
      </c>
      <c r="C1079" s="1" t="str">
        <f ca="1">IFERROR(__xludf.DUMMYFUNCTION("""COMPUTED_VALUE"""),"Действителен до 29.03.2024")</f>
        <v>Действителен до 29.03.2024</v>
      </c>
      <c r="D1079" s="8" t="str">
        <f ca="1">IFERROR(__xludf.DUMMYFUNCTION("""COMPUTED_VALUE"""),"0419006KZ06")</f>
        <v>0419006KZ06</v>
      </c>
      <c r="E1079" s="1" t="str">
        <f ca="1">IFERROR(__xludf.DUMMYFUNCTION("""COMPUTED_VALUE"""),"годен до 29.03.2024")</f>
        <v>годен до 29.03.2024</v>
      </c>
      <c r="F1079" s="1" t="str">
        <f ca="1">IFERROR(__xludf.DUMMYFUNCTION("""COMPUTED_VALUE"""),"Реклинатор (корректор осанки) детский 2005 L (Болгария) - 0419006KZ06")</f>
        <v>Реклинатор (корректор осанки) детский 2005 L (Болгария) - 0419006KZ06</v>
      </c>
      <c r="G1079" s="1" t="str">
        <f ca="1">IFERROR(__xludf.DUMMYFUNCTION("""COMPUTED_VALUE"""),"KZ.7700.02.01.00562214 / Действителен до 29.03.2024 / 0419006KZ06 / годен до 29.03.2024")</f>
        <v>KZ.7700.02.01.00562214 / Действителен до 29.03.2024 / 0419006KZ06 / годен до 29.03.2024</v>
      </c>
      <c r="H1079" s="1" t="str">
        <f ca="1">IFERROR(__xludf.DUMMYFUNCTION("""COMPUTED_VALUE"""),"Реклинатор (корректор осанки) детский 2005 L (Болгария) KZ.7700.02.01.00562214 / Действителен до 29.03.2024 / 0419006KZ06 / годен до 29.03.2024")</f>
        <v>Реклинатор (корректор осанки) детский 2005 L (Болгария) KZ.7700.02.01.00562214 / Действителен до 29.03.2024 / 0419006KZ06 / годен до 29.03.2024</v>
      </c>
    </row>
    <row r="1080" spans="1:8" ht="12.75" x14ac:dyDescent="0.2">
      <c r="A1080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1080" s="1" t="str">
        <f ca="1">IFERROR(__xludf.DUMMYFUNCTION("""COMPUTED_VALUE"""),"KZ.7700.02.01.00562216")</f>
        <v>KZ.7700.02.01.00562216</v>
      </c>
      <c r="C1080" s="1" t="str">
        <f ca="1">IFERROR(__xludf.DUMMYFUNCTION("""COMPUTED_VALUE"""),"Действителен до 29.03.2024")</f>
        <v>Действителен до 29.03.2024</v>
      </c>
      <c r="D1080" s="8" t="str">
        <f ca="1">IFERROR(__xludf.DUMMYFUNCTION("""COMPUTED_VALUE"""),"0419006KZ06")</f>
        <v>0419006KZ06</v>
      </c>
      <c r="E1080" s="1" t="str">
        <f ca="1">IFERROR(__xludf.DUMMYFUNCTION("""COMPUTED_VALUE"""),"годен до 29.03.2024")</f>
        <v>годен до 29.03.2024</v>
      </c>
      <c r="F1080" s="1" t="str">
        <f ca="1">IFERROR(__xludf.DUMMYFUNCTION("""COMPUTED_VALUE"""),"Корректор осанки с ребрами жесткости эластичный 2011 S (Болгария) - 0419006KZ06")</f>
        <v>Корректор осанки с ребрами жесткости эластичный 2011 S (Болгария) - 0419006KZ06</v>
      </c>
      <c r="G1080" s="1" t="str">
        <f ca="1">IFERROR(__xludf.DUMMYFUNCTION("""COMPUTED_VALUE"""),"KZ.7700.02.01.00562216 / Действителен до 29.03.2024 / 0419006KZ06 / годен до 29.03.2024")</f>
        <v>KZ.7700.02.01.00562216 / Действителен до 29.03.2024 / 0419006KZ06 / годен до 29.03.2024</v>
      </c>
      <c r="H1080" s="1" t="str">
        <f ca="1">IFERROR(__xludf.DUMMYFUNCTION("""COMPUTED_VALUE"""),"Корректор осанки с ребрами жесткости эластичный 2011 S (Болгария) KZ.7700.02.01.00562216 / Действителен до 29.03.2024 / 0419006KZ06 / годен до 29.03.2024")</f>
        <v>Корректор осанки с ребрами жесткости эластичный 2011 S (Болгария) KZ.7700.02.01.00562216 / Действителен до 29.03.2024 / 0419006KZ06 / годен до 29.03.2024</v>
      </c>
    </row>
    <row r="1081" spans="1:8" ht="12.75" x14ac:dyDescent="0.2">
      <c r="A1081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1081" s="1" t="str">
        <f ca="1">IFERROR(__xludf.DUMMYFUNCTION("""COMPUTED_VALUE"""),"KZ.7700.02.01.00562218")</f>
        <v>KZ.7700.02.01.00562218</v>
      </c>
      <c r="C1081" s="1" t="str">
        <f ca="1">IFERROR(__xludf.DUMMYFUNCTION("""COMPUTED_VALUE"""),"Действителен до 29.03.2024")</f>
        <v>Действителен до 29.03.2024</v>
      </c>
      <c r="D1081" s="8" t="str">
        <f ca="1">IFERROR(__xludf.DUMMYFUNCTION("""COMPUTED_VALUE"""),"0419006KZ06")</f>
        <v>0419006KZ06</v>
      </c>
      <c r="E1081" s="1" t="str">
        <f ca="1">IFERROR(__xludf.DUMMYFUNCTION("""COMPUTED_VALUE"""),"годен до 29.03.2024")</f>
        <v>годен до 29.03.2024</v>
      </c>
      <c r="F1081" s="1" t="str">
        <f ca="1">IFERROR(__xludf.DUMMYFUNCTION("""COMPUTED_VALUE"""),"Корректор осанки с ребрами жесткости эластичный 2011 M (Болгария) - 0419006KZ06")</f>
        <v>Корректор осанки с ребрами жесткости эластичный 2011 M (Болгария) - 0419006KZ06</v>
      </c>
      <c r="G1081" s="1" t="str">
        <f ca="1">IFERROR(__xludf.DUMMYFUNCTION("""COMPUTED_VALUE"""),"KZ.7700.02.01.00562218 / Действителен до 29.03.2024 / 0419006KZ06 / годен до 29.03.2024")</f>
        <v>KZ.7700.02.01.00562218 / Действителен до 29.03.2024 / 0419006KZ06 / годен до 29.03.2024</v>
      </c>
      <c r="H1081" s="1" t="str">
        <f ca="1">IFERROR(__xludf.DUMMYFUNCTION("""COMPUTED_VALUE"""),"Корректор осанки с ребрами жесткости эластичный 2011 M (Болгария) KZ.7700.02.01.00562218 / Действителен до 29.03.2024 / 0419006KZ06 / годен до 29.03.2024")</f>
        <v>Корректор осанки с ребрами жесткости эластичный 2011 M (Болгария) KZ.7700.02.01.00562218 / Действителен до 29.03.2024 / 0419006KZ06 / годен до 29.03.2024</v>
      </c>
    </row>
    <row r="1082" spans="1:8" ht="12.75" x14ac:dyDescent="0.2">
      <c r="A1082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1082" s="1" t="str">
        <f ca="1">IFERROR(__xludf.DUMMYFUNCTION("""COMPUTED_VALUE"""),"KZ.7700.02.01.00562228")</f>
        <v>KZ.7700.02.01.00562228</v>
      </c>
      <c r="C1082" s="1" t="str">
        <f ca="1">IFERROR(__xludf.DUMMYFUNCTION("""COMPUTED_VALUE"""),"Действителен до 29.03.2024")</f>
        <v>Действителен до 29.03.2024</v>
      </c>
      <c r="D1082" s="8" t="str">
        <f ca="1">IFERROR(__xludf.DUMMYFUNCTION("""COMPUTED_VALUE"""),"0419006KZ06")</f>
        <v>0419006KZ06</v>
      </c>
      <c r="E1082" s="1" t="str">
        <f ca="1">IFERROR(__xludf.DUMMYFUNCTION("""COMPUTED_VALUE"""),"годен до 29.03.2024")</f>
        <v>годен до 29.03.2024</v>
      </c>
      <c r="F1082" s="1" t="str">
        <f ca="1">IFERROR(__xludf.DUMMYFUNCTION("""COMPUTED_VALUE"""),"Корректор осанки с ребрами жесткости эластичный 2011 L (Болгария) - 0419006KZ06")</f>
        <v>Корректор осанки с ребрами жесткости эластичный 2011 L (Болгария) - 0419006KZ06</v>
      </c>
      <c r="G1082" s="1" t="str">
        <f ca="1">IFERROR(__xludf.DUMMYFUNCTION("""COMPUTED_VALUE"""),"KZ.7700.02.01.00562228 / Действителен до 29.03.2024 / 0419006KZ06 / годен до 29.03.2024")</f>
        <v>KZ.7700.02.01.00562228 / Действителен до 29.03.2024 / 0419006KZ06 / годен до 29.03.2024</v>
      </c>
      <c r="H1082" s="1" t="str">
        <f ca="1">IFERROR(__xludf.DUMMYFUNCTION("""COMPUTED_VALUE"""),"Корректор осанки с ребрами жесткости эластичный 2011 L (Болгария) KZ.7700.02.01.00562228 / Действителен до 29.03.2024 / 0419006KZ06 / годен до 29.03.2024")</f>
        <v>Корректор осанки с ребрами жесткости эластичный 2011 L (Болгария) KZ.7700.02.01.00562228 / Действителен до 29.03.2024 / 0419006KZ06 / годен до 29.03.2024</v>
      </c>
    </row>
    <row r="1083" spans="1:8" ht="12.75" x14ac:dyDescent="0.2">
      <c r="A1083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1083" s="1" t="str">
        <f ca="1">IFERROR(__xludf.DUMMYFUNCTION("""COMPUTED_VALUE"""),"KZ.7700.02.01.00562229")</f>
        <v>KZ.7700.02.01.00562229</v>
      </c>
      <c r="C1083" s="1" t="str">
        <f ca="1">IFERROR(__xludf.DUMMYFUNCTION("""COMPUTED_VALUE"""),"Действителен до 29.03.2024")</f>
        <v>Действителен до 29.03.2024</v>
      </c>
      <c r="D1083" s="8" t="str">
        <f ca="1">IFERROR(__xludf.DUMMYFUNCTION("""COMPUTED_VALUE"""),"0419006KZ06")</f>
        <v>0419006KZ06</v>
      </c>
      <c r="E1083" s="1" t="str">
        <f ca="1">IFERROR(__xludf.DUMMYFUNCTION("""COMPUTED_VALUE"""),"годен до 29.03.2024")</f>
        <v>годен до 29.03.2024</v>
      </c>
      <c r="F1083" s="1" t="str">
        <f ca="1">IFERROR(__xludf.DUMMYFUNCTION("""COMPUTED_VALUE"""),"Корректор осанки с ребрами жесткости эластичный 2011 XL (Болгария) - 0419006KZ06")</f>
        <v>Корректор осанки с ребрами жесткости эластичный 2011 XL (Болгария) - 0419006KZ06</v>
      </c>
      <c r="G1083" s="1" t="str">
        <f ca="1">IFERROR(__xludf.DUMMYFUNCTION("""COMPUTED_VALUE"""),"KZ.7700.02.01.00562229 / Действителен до 29.03.2024 / 0419006KZ06 / годен до 29.03.2024")</f>
        <v>KZ.7700.02.01.00562229 / Действителен до 29.03.2024 / 0419006KZ06 / годен до 29.03.2024</v>
      </c>
      <c r="H1083" s="1" t="str">
        <f ca="1">IFERROR(__xludf.DUMMYFUNCTION("""COMPUTED_VALUE"""),"Корректор осанки с ребрами жесткости эластичный 2011 XL (Болгария) KZ.7700.02.01.00562229 / Действителен до 29.03.2024 / 0419006KZ06 / годен до 29.03.2024")</f>
        <v>Корректор осанки с ребрами жесткости эластичный 2011 XL (Болгария) KZ.7700.02.01.00562229 / Действителен до 29.03.2024 / 0419006KZ06 / годен до 29.03.2024</v>
      </c>
    </row>
    <row r="1084" spans="1:8" ht="12.75" x14ac:dyDescent="0.2">
      <c r="A1084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1084" s="1" t="str">
        <f ca="1">IFERROR(__xludf.DUMMYFUNCTION("""COMPUTED_VALUE"""),"KZ.7700.02.01.00562230")</f>
        <v>KZ.7700.02.01.00562230</v>
      </c>
      <c r="C1084" s="1" t="str">
        <f ca="1">IFERROR(__xludf.DUMMYFUNCTION("""COMPUTED_VALUE"""),"Действителен до 29.03.2024")</f>
        <v>Действителен до 29.03.2024</v>
      </c>
      <c r="D1084" s="8" t="str">
        <f ca="1">IFERROR(__xludf.DUMMYFUNCTION("""COMPUTED_VALUE"""),"0419006KZ06")</f>
        <v>0419006KZ06</v>
      </c>
      <c r="E1084" s="1" t="str">
        <f ca="1">IFERROR(__xludf.DUMMYFUNCTION("""COMPUTED_VALUE"""),"годен до 29.03.2024")</f>
        <v>годен до 29.03.2024</v>
      </c>
      <c r="F1084" s="1" t="str">
        <f ca="1">IFERROR(__xludf.DUMMYFUNCTION("""COMPUTED_VALUE"""),"Корректор лечебно-профилактический (с 4 ребрами жесткости) эластичный 3011 - М - 0419006KZ06")</f>
        <v>Корректор лечебно-профилактический (с 4 ребрами жесткости) эластичный 3011 - М - 0419006KZ06</v>
      </c>
      <c r="G1084" s="1" t="str">
        <f ca="1">IFERROR(__xludf.DUMMYFUNCTION("""COMPUTED_VALUE"""),"KZ.7700.02.01.00562230 / Действителен до 29.03.2024 / 0419006KZ06 / годен до 29.03.2024")</f>
        <v>KZ.7700.02.01.00562230 / Действителен до 29.03.2024 / 0419006KZ06 / годен до 29.03.2024</v>
      </c>
      <c r="H1084" s="1" t="str">
        <f ca="1">IFERROR(__xludf.DUMMYFUNCTION("""COMPUTED_VALUE"""),"Корректор лечебно-профилактический (с 4 ребрами жесткости) эластичный 3011 - М KZ.7700.02.01.00562230 / Действителен до 29.03.2024 / 0419006KZ06 / годен до 29.03.2024")</f>
        <v>Корректор лечебно-профилактический (с 4 ребрами жесткости) эластичный 3011 - М KZ.7700.02.01.00562230 / Действителен до 29.03.2024 / 0419006KZ06 / годен до 29.03.2024</v>
      </c>
    </row>
    <row r="1085" spans="1:8" ht="12.75" x14ac:dyDescent="0.2">
      <c r="A1085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1085" s="1" t="str">
        <f ca="1">IFERROR(__xludf.DUMMYFUNCTION("""COMPUTED_VALUE"""),"KZ.7700.02.01.00562231")</f>
        <v>KZ.7700.02.01.00562231</v>
      </c>
      <c r="C1085" s="1" t="str">
        <f ca="1">IFERROR(__xludf.DUMMYFUNCTION("""COMPUTED_VALUE"""),"Действителен до 29.03.2024")</f>
        <v>Действителен до 29.03.2024</v>
      </c>
      <c r="D1085" s="8" t="str">
        <f ca="1">IFERROR(__xludf.DUMMYFUNCTION("""COMPUTED_VALUE"""),"0419006KZ06")</f>
        <v>0419006KZ06</v>
      </c>
      <c r="E1085" s="1" t="str">
        <f ca="1">IFERROR(__xludf.DUMMYFUNCTION("""COMPUTED_VALUE"""),"годен до 29.03.2024")</f>
        <v>годен до 29.03.2024</v>
      </c>
      <c r="F1085" s="1" t="str">
        <f ca="1">IFERROR(__xludf.DUMMYFUNCTION("""COMPUTED_VALUE"""),"Корректор лечебно-профилактический (с 4 ребрами жесткости) эластичный 3011 - L - 0419006KZ06")</f>
        <v>Корректор лечебно-профилактический (с 4 ребрами жесткости) эластичный 3011 - L - 0419006KZ06</v>
      </c>
      <c r="G1085" s="1" t="str">
        <f ca="1">IFERROR(__xludf.DUMMYFUNCTION("""COMPUTED_VALUE"""),"KZ.7700.02.01.00562231 / Действителен до 29.03.2024 / 0419006KZ06 / годен до 29.03.2024")</f>
        <v>KZ.7700.02.01.00562231 / Действителен до 29.03.2024 / 0419006KZ06 / годен до 29.03.2024</v>
      </c>
      <c r="H1085" s="1" t="str">
        <f ca="1">IFERROR(__xludf.DUMMYFUNCTION("""COMPUTED_VALUE"""),"Корректор лечебно-профилактический (с 4 ребрами жесткости) эластичный 3011 - L KZ.7700.02.01.00562231 / Действителен до 29.03.2024 / 0419006KZ06 / годен до 29.03.2024")</f>
        <v>Корректор лечебно-профилактический (с 4 ребрами жесткости) эластичный 3011 - L KZ.7700.02.01.00562231 / Действителен до 29.03.2024 / 0419006KZ06 / годен до 29.03.2024</v>
      </c>
    </row>
    <row r="1086" spans="1:8" ht="12.75" x14ac:dyDescent="0.2">
      <c r="A1086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1086" s="1" t="str">
        <f ca="1">IFERROR(__xludf.DUMMYFUNCTION("""COMPUTED_VALUE"""),"KZ.7700.02.01.00562232")</f>
        <v>KZ.7700.02.01.00562232</v>
      </c>
      <c r="C1086" s="1" t="str">
        <f ca="1">IFERROR(__xludf.DUMMYFUNCTION("""COMPUTED_VALUE"""),"Действителен до 29.03.2024")</f>
        <v>Действителен до 29.03.2024</v>
      </c>
      <c r="D1086" s="8" t="str">
        <f ca="1">IFERROR(__xludf.DUMMYFUNCTION("""COMPUTED_VALUE"""),"0419006KZ06")</f>
        <v>0419006KZ06</v>
      </c>
      <c r="E1086" s="1" t="str">
        <f ca="1">IFERROR(__xludf.DUMMYFUNCTION("""COMPUTED_VALUE"""),"годен до 29.03.2024")</f>
        <v>годен до 29.03.2024</v>
      </c>
      <c r="F1086" s="1" t="str">
        <f ca="1">IFERROR(__xludf.DUMMYFUNCTION("""COMPUTED_VALUE"""),"Корректор лечебно-профилактический (с 4 ребрами жесткости) эластичный 3011- XL - 0419006KZ06")</f>
        <v>Корректор лечебно-профилактический (с 4 ребрами жесткости) эластичный 3011- XL - 0419006KZ06</v>
      </c>
      <c r="G1086" s="1" t="str">
        <f ca="1">IFERROR(__xludf.DUMMYFUNCTION("""COMPUTED_VALUE"""),"KZ.7700.02.01.00562232 / Действителен до 29.03.2024 / 0419006KZ06 / годен до 29.03.2024")</f>
        <v>KZ.7700.02.01.00562232 / Действителен до 29.03.2024 / 0419006KZ06 / годен до 29.03.2024</v>
      </c>
      <c r="H1086" s="1" t="str">
        <f ca="1">IFERROR(__xludf.DUMMYFUNCTION("""COMPUTED_VALUE"""),"Корректор лечебно-профилактический (с 4 ребрами жесткости) эластичный 3011- XL KZ.7700.02.01.00562232 / Действителен до 29.03.2024 / 0419006KZ06 / годен до 29.03.2024")</f>
        <v>Корректор лечебно-профилактический (с 4 ребрами жесткости) эластичный 3011- XL KZ.7700.02.01.00562232 / Действителен до 29.03.2024 / 0419006KZ06 / годен до 29.03.2024</v>
      </c>
    </row>
    <row r="1087" spans="1:8" ht="12.75" x14ac:dyDescent="0.2">
      <c r="A1087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1087" s="1" t="str">
        <f ca="1">IFERROR(__xludf.DUMMYFUNCTION("""COMPUTED_VALUE"""),"KZ.7700.02.01.00562233")</f>
        <v>KZ.7700.02.01.00562233</v>
      </c>
      <c r="C1087" s="1" t="str">
        <f ca="1">IFERROR(__xludf.DUMMYFUNCTION("""COMPUTED_VALUE"""),"Действителен до 29.03.2024")</f>
        <v>Действителен до 29.03.2024</v>
      </c>
      <c r="D1087" s="8" t="str">
        <f ca="1">IFERROR(__xludf.DUMMYFUNCTION("""COMPUTED_VALUE"""),"0419006KZ06")</f>
        <v>0419006KZ06</v>
      </c>
      <c r="E1087" s="1" t="str">
        <f ca="1">IFERROR(__xludf.DUMMYFUNCTION("""COMPUTED_VALUE"""),"годен до 29.03.2024")</f>
        <v>годен до 29.03.2024</v>
      </c>
      <c r="F1087" s="1" t="str">
        <f ca="1">IFERROR(__xludf.DUMMYFUNCTION("""COMPUTED_VALUE"""),"Корректор лечебно-профилактический (с 4 ребрами жесткости) эластичный 3011- XXL - 0419006KZ06")</f>
        <v>Корректор лечебно-профилактический (с 4 ребрами жесткости) эластичный 3011- XXL - 0419006KZ06</v>
      </c>
      <c r="G1087" s="1" t="str">
        <f ca="1">IFERROR(__xludf.DUMMYFUNCTION("""COMPUTED_VALUE"""),"KZ.7700.02.01.00562233 / Действителен до 29.03.2024 / 0419006KZ06 / годен до 29.03.2024")</f>
        <v>KZ.7700.02.01.00562233 / Действителен до 29.03.2024 / 0419006KZ06 / годен до 29.03.2024</v>
      </c>
      <c r="H1087" s="1" t="str">
        <f ca="1">IFERROR(__xludf.DUMMYFUNCTION("""COMPUTED_VALUE"""),"Корректор лечебно-профилактический (с 4 ребрами жесткости) эластичный 3011- XXL KZ.7700.02.01.00562233 / Действителен до 29.03.2024 / 0419006KZ06 / годен до 29.03.2024")</f>
        <v>Корректор лечебно-профилактический (с 4 ребрами жесткости) эластичный 3011- XXL KZ.7700.02.01.00562233 / Действителен до 29.03.2024 / 0419006KZ06 / годен до 29.03.2024</v>
      </c>
    </row>
    <row r="1088" spans="1:8" ht="12.75" x14ac:dyDescent="0.2">
      <c r="A1088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1088" s="1" t="str">
        <f ca="1">IFERROR(__xludf.DUMMYFUNCTION("""COMPUTED_VALUE"""),"KZ.7700.02.01.00562234")</f>
        <v>KZ.7700.02.01.00562234</v>
      </c>
      <c r="C1088" s="1" t="str">
        <f ca="1">IFERROR(__xludf.DUMMYFUNCTION("""COMPUTED_VALUE"""),"Действителен до 29.03.2024")</f>
        <v>Действителен до 29.03.2024</v>
      </c>
      <c r="D1088" s="8" t="str">
        <f ca="1">IFERROR(__xludf.DUMMYFUNCTION("""COMPUTED_VALUE"""),"0419006KZ06")</f>
        <v>0419006KZ06</v>
      </c>
      <c r="E1088" s="1" t="str">
        <f ca="1">IFERROR(__xludf.DUMMYFUNCTION("""COMPUTED_VALUE"""),"годен до 29.03.2024")</f>
        <v>годен до 29.03.2024</v>
      </c>
      <c r="F1088" s="1" t="str">
        <f ca="1">IFERROR(__xludf.DUMMYFUNCTION("""COMPUTED_VALUE"""),"Корректор лечебно-профилактический (с 4 ребрами жесткости) эластичный 3011- XXXL - 0419006KZ06")</f>
        <v>Корректор лечебно-профилактический (с 4 ребрами жесткости) эластичный 3011- XXXL - 0419006KZ06</v>
      </c>
      <c r="G1088" s="1" t="str">
        <f ca="1">IFERROR(__xludf.DUMMYFUNCTION("""COMPUTED_VALUE"""),"KZ.7700.02.01.00562234 / Действителен до 29.03.2024 / 0419006KZ06 / годен до 29.03.2024")</f>
        <v>KZ.7700.02.01.00562234 / Действителен до 29.03.2024 / 0419006KZ06 / годен до 29.03.2024</v>
      </c>
      <c r="H1088" s="1" t="str">
        <f ca="1">IFERROR(__xludf.DUMMYFUNCTION("""COMPUTED_VALUE"""),"Корректор лечебно-профилактический (с 4 ребрами жесткости) эластичный 3011- XXXL KZ.7700.02.01.00562234 / Действителен до 29.03.2024 / 0419006KZ06 / годен до 29.03.2024")</f>
        <v>Корректор лечебно-профилактический (с 4 ребрами жесткости) эластичный 3011- XXXL KZ.7700.02.01.00562234 / Действителен до 29.03.2024 / 0419006KZ06 / годен до 29.03.2024</v>
      </c>
    </row>
    <row r="1089" spans="1:8" ht="12.75" x14ac:dyDescent="0.2">
      <c r="A1089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1089" s="1" t="str">
        <f ca="1">IFERROR(__xludf.DUMMYFUNCTION("""COMPUTED_VALUE"""),"KZ.7700.02.01.00562942")</f>
        <v>KZ.7700.02.01.00562942</v>
      </c>
      <c r="C1089" s="1" t="str">
        <f ca="1">IFERROR(__xludf.DUMMYFUNCTION("""COMPUTED_VALUE"""),"Действителен до 29.03.2024")</f>
        <v>Действителен до 29.03.2024</v>
      </c>
      <c r="D1089" s="8" t="str">
        <f ca="1">IFERROR(__xludf.DUMMYFUNCTION("""COMPUTED_VALUE"""),"0419006KZ06")</f>
        <v>0419006KZ06</v>
      </c>
      <c r="E1089" s="1" t="str">
        <f ca="1">IFERROR(__xludf.DUMMYFUNCTION("""COMPUTED_VALUE"""),"годен до 29.03.2024")</f>
        <v>годен до 29.03.2024</v>
      </c>
      <c r="F1089" s="1" t="str">
        <f ca="1">IFERROR(__xludf.DUMMYFUNCTION("""COMPUTED_VALUE"""),"Бандаж лечебно–профилактический (с тремя ребрами жесткости) 4001 S (Болгария) - 0419006KZ06")</f>
        <v>Бандаж лечебно–профилактический (с тремя ребрами жесткости) 4001 S (Болгария) - 0419006KZ06</v>
      </c>
      <c r="G1089" s="1" t="str">
        <f ca="1">IFERROR(__xludf.DUMMYFUNCTION("""COMPUTED_VALUE"""),"KZ.7700.02.01.00562942 / Действителен до 29.03.2024 / 0419006KZ06 / годен до 29.03.2024")</f>
        <v>KZ.7700.02.01.00562942 / Действителен до 29.03.2024 / 0419006KZ06 / годен до 29.03.2024</v>
      </c>
      <c r="H1089" s="1" t="str">
        <f ca="1">IFERROR(__xludf.DUMMYFUNCTION("""COMPUTED_VALUE"""),"Бандаж лечебно–профилактический (с тремя ребрами жесткости) 4001 S (Болгария) KZ.7700.02.01.00562942 / Действителен до 29.03.2024 / 0419006KZ06 / годен до 29.03.2024")</f>
        <v>Бандаж лечебно–профилактический (с тремя ребрами жесткости) 4001 S (Болгария) KZ.7700.02.01.00562942 / Действителен до 29.03.2024 / 0419006KZ06 / годен до 29.03.2024</v>
      </c>
    </row>
    <row r="1090" spans="1:8" ht="12.75" x14ac:dyDescent="0.2">
      <c r="A1090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1090" s="1" t="str">
        <f ca="1">IFERROR(__xludf.DUMMYFUNCTION("""COMPUTED_VALUE"""),"KZ.7700.02.01.00562805")</f>
        <v>KZ.7700.02.01.00562805</v>
      </c>
      <c r="C1090" s="1" t="str">
        <f ca="1">IFERROR(__xludf.DUMMYFUNCTION("""COMPUTED_VALUE"""),"Действителен до 29.03.2024")</f>
        <v>Действителен до 29.03.2024</v>
      </c>
      <c r="D1090" s="8" t="str">
        <f ca="1">IFERROR(__xludf.DUMMYFUNCTION("""COMPUTED_VALUE"""),"0419006KZ06")</f>
        <v>0419006KZ06</v>
      </c>
      <c r="E1090" s="1" t="str">
        <f ca="1">IFERROR(__xludf.DUMMYFUNCTION("""COMPUTED_VALUE"""),"годен до 29.03.2024")</f>
        <v>годен до 29.03.2024</v>
      </c>
      <c r="F1090" s="1" t="str">
        <f ca="1">IFERROR(__xludf.DUMMYFUNCTION("""COMPUTED_VALUE"""),"Бандаж лечебно–профилактический (с тремя ребрами жесткости) 4001 M (Болгария) - 0419006KZ06")</f>
        <v>Бандаж лечебно–профилактический (с тремя ребрами жесткости) 4001 M (Болгария) - 0419006KZ06</v>
      </c>
      <c r="G1090" s="1" t="str">
        <f ca="1">IFERROR(__xludf.DUMMYFUNCTION("""COMPUTED_VALUE"""),"KZ.7700.02.01.00562805 / Действителен до 29.03.2024 / 0419006KZ06 / годен до 29.03.2024")</f>
        <v>KZ.7700.02.01.00562805 / Действителен до 29.03.2024 / 0419006KZ06 / годен до 29.03.2024</v>
      </c>
      <c r="H1090" s="1" t="str">
        <f ca="1">IFERROR(__xludf.DUMMYFUNCTION("""COMPUTED_VALUE"""),"Бандаж лечебно–профилактический (с тремя ребрами жесткости) 4001 M (Болгария) KZ.7700.02.01.00562805 / Действителен до 29.03.2024 / 0419006KZ06 / годен до 29.03.2024")</f>
        <v>Бандаж лечебно–профилактический (с тремя ребрами жесткости) 4001 M (Болгария) KZ.7700.02.01.00562805 / Действителен до 29.03.2024 / 0419006KZ06 / годен до 29.03.2024</v>
      </c>
    </row>
    <row r="1091" spans="1:8" ht="12.75" x14ac:dyDescent="0.2">
      <c r="A1091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1091" s="1" t="str">
        <f ca="1">IFERROR(__xludf.DUMMYFUNCTION("""COMPUTED_VALUE"""),"KZ.7700.02.01.00562806")</f>
        <v>KZ.7700.02.01.00562806</v>
      </c>
      <c r="C1091" s="1" t="str">
        <f ca="1">IFERROR(__xludf.DUMMYFUNCTION("""COMPUTED_VALUE"""),"Действителен до 29.03.2024")</f>
        <v>Действителен до 29.03.2024</v>
      </c>
      <c r="D1091" s="8" t="str">
        <f ca="1">IFERROR(__xludf.DUMMYFUNCTION("""COMPUTED_VALUE"""),"0419006KZ06")</f>
        <v>0419006KZ06</v>
      </c>
      <c r="E1091" s="1" t="str">
        <f ca="1">IFERROR(__xludf.DUMMYFUNCTION("""COMPUTED_VALUE"""),"годен до 29.03.2024")</f>
        <v>годен до 29.03.2024</v>
      </c>
      <c r="F1091" s="1" t="str">
        <f ca="1">IFERROR(__xludf.DUMMYFUNCTION("""COMPUTED_VALUE"""),"Бандаж лечебно–профилактический (с тремя ребрами жесткости) 4001 L (Болгария) - 0419006KZ06")</f>
        <v>Бандаж лечебно–профилактический (с тремя ребрами жесткости) 4001 L (Болгария) - 0419006KZ06</v>
      </c>
      <c r="G1091" s="1" t="str">
        <f ca="1">IFERROR(__xludf.DUMMYFUNCTION("""COMPUTED_VALUE"""),"KZ.7700.02.01.00562806 / Действителен до 29.03.2024 / 0419006KZ06 / годен до 29.03.2024")</f>
        <v>KZ.7700.02.01.00562806 / Действителен до 29.03.2024 / 0419006KZ06 / годен до 29.03.2024</v>
      </c>
      <c r="H1091" s="1" t="str">
        <f ca="1">IFERROR(__xludf.DUMMYFUNCTION("""COMPUTED_VALUE"""),"Бандаж лечебно–профилактический (с тремя ребрами жесткости) 4001 L (Болгария) KZ.7700.02.01.00562806 / Действителен до 29.03.2024 / 0419006KZ06 / годен до 29.03.2024")</f>
        <v>Бандаж лечебно–профилактический (с тремя ребрами жесткости) 4001 L (Болгария) KZ.7700.02.01.00562806 / Действителен до 29.03.2024 / 0419006KZ06 / годен до 29.03.2024</v>
      </c>
    </row>
    <row r="1092" spans="1:8" ht="12.75" x14ac:dyDescent="0.2">
      <c r="A1092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1092" s="1" t="str">
        <f ca="1">IFERROR(__xludf.DUMMYFUNCTION("""COMPUTED_VALUE"""),"KZ.7700.02.01.00562807")</f>
        <v>KZ.7700.02.01.00562807</v>
      </c>
      <c r="C1092" s="1" t="str">
        <f ca="1">IFERROR(__xludf.DUMMYFUNCTION("""COMPUTED_VALUE"""),"Действителен до 29.03.2024")</f>
        <v>Действителен до 29.03.2024</v>
      </c>
      <c r="D1092" s="8" t="str">
        <f ca="1">IFERROR(__xludf.DUMMYFUNCTION("""COMPUTED_VALUE"""),"0419006KZ06")</f>
        <v>0419006KZ06</v>
      </c>
      <c r="E1092" s="1" t="str">
        <f ca="1">IFERROR(__xludf.DUMMYFUNCTION("""COMPUTED_VALUE"""),"годен до 29.03.2024")</f>
        <v>годен до 29.03.2024</v>
      </c>
      <c r="F1092" s="1" t="str">
        <f ca="1">IFERROR(__xludf.DUMMYFUNCTION("""COMPUTED_VALUE"""),"Бандаж лечебно–профилактический (с тремя ребрами жесткости) 4001 XL (Болгария) - 0419006KZ06")</f>
        <v>Бандаж лечебно–профилактический (с тремя ребрами жесткости) 4001 XL (Болгария) - 0419006KZ06</v>
      </c>
      <c r="G1092" s="1" t="str">
        <f ca="1">IFERROR(__xludf.DUMMYFUNCTION("""COMPUTED_VALUE"""),"KZ.7700.02.01.00562807 / Действителен до 29.03.2024 / 0419006KZ06 / годен до 29.03.2024")</f>
        <v>KZ.7700.02.01.00562807 / Действителен до 29.03.2024 / 0419006KZ06 / годен до 29.03.2024</v>
      </c>
      <c r="H1092" s="1" t="str">
        <f ca="1">IFERROR(__xludf.DUMMYFUNCTION("""COMPUTED_VALUE"""),"Бандаж лечебно–профилактический (с тремя ребрами жесткости) 4001 XL (Болгария) KZ.7700.02.01.00562807 / Действителен до 29.03.2024 / 0419006KZ06 / годен до 29.03.2024")</f>
        <v>Бандаж лечебно–профилактический (с тремя ребрами жесткости) 4001 XL (Болгария) KZ.7700.02.01.00562807 / Действителен до 29.03.2024 / 0419006KZ06 / годен до 29.03.2024</v>
      </c>
    </row>
    <row r="1093" spans="1:8" ht="12.75" x14ac:dyDescent="0.2">
      <c r="A1093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1093" s="1" t="str">
        <f ca="1">IFERROR(__xludf.DUMMYFUNCTION("""COMPUTED_VALUE"""),"KZ.7700.02.01.00562808")</f>
        <v>KZ.7700.02.01.00562808</v>
      </c>
      <c r="C1093" s="1" t="str">
        <f ca="1">IFERROR(__xludf.DUMMYFUNCTION("""COMPUTED_VALUE"""),"Действителен до 29.03.2024")</f>
        <v>Действителен до 29.03.2024</v>
      </c>
      <c r="D1093" s="8" t="str">
        <f ca="1">IFERROR(__xludf.DUMMYFUNCTION("""COMPUTED_VALUE"""),"0419006KZ06")</f>
        <v>0419006KZ06</v>
      </c>
      <c r="E1093" s="1" t="str">
        <f ca="1">IFERROR(__xludf.DUMMYFUNCTION("""COMPUTED_VALUE"""),"годен до 29.03.2024")</f>
        <v>годен до 29.03.2024</v>
      </c>
      <c r="F1093" s="1" t="str">
        <f ca="1">IFERROR(__xludf.DUMMYFUNCTION("""COMPUTED_VALUE"""),"Бандаж лечебно–профилактический (с тремя ребрами жесткости) 4001 XXL (Болгария) - 0419006KZ06")</f>
        <v>Бандаж лечебно–профилактический (с тремя ребрами жесткости) 4001 XXL (Болгария) - 0419006KZ06</v>
      </c>
      <c r="G1093" s="1" t="str">
        <f ca="1">IFERROR(__xludf.DUMMYFUNCTION("""COMPUTED_VALUE"""),"KZ.7700.02.01.00562808 / Действителен до 29.03.2024 / 0419006KZ06 / годен до 29.03.2024")</f>
        <v>KZ.7700.02.01.00562808 / Действителен до 29.03.2024 / 0419006KZ06 / годен до 29.03.2024</v>
      </c>
      <c r="H1093" s="1" t="str">
        <f ca="1">IFERROR(__xludf.DUMMYFUNCTION("""COMPUTED_VALUE"""),"Бандаж лечебно–профилактический (с тремя ребрами жесткости) 4001 XXL (Болгария) KZ.7700.02.01.00562808 / Действителен до 29.03.2024 / 0419006KZ06 / годен до 29.03.2024")</f>
        <v>Бандаж лечебно–профилактический (с тремя ребрами жесткости) 4001 XXL (Болгария) KZ.7700.02.01.00562808 / Действителен до 29.03.2024 / 0419006KZ06 / годен до 29.03.2024</v>
      </c>
    </row>
    <row r="1094" spans="1:8" ht="12.75" x14ac:dyDescent="0.2">
      <c r="A1094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1094" s="1" t="str">
        <f ca="1">IFERROR(__xludf.DUMMYFUNCTION("""COMPUTED_VALUE"""),"KZ.7700.02.01.00562809")</f>
        <v>KZ.7700.02.01.00562809</v>
      </c>
      <c r="C1094" s="1" t="str">
        <f ca="1">IFERROR(__xludf.DUMMYFUNCTION("""COMPUTED_VALUE"""),"Действителен до 29.03.2024")</f>
        <v>Действителен до 29.03.2024</v>
      </c>
      <c r="D1094" s="8" t="str">
        <f ca="1">IFERROR(__xludf.DUMMYFUNCTION("""COMPUTED_VALUE"""),"0419006KZ06")</f>
        <v>0419006KZ06</v>
      </c>
      <c r="E1094" s="1" t="str">
        <f ca="1">IFERROR(__xludf.DUMMYFUNCTION("""COMPUTED_VALUE"""),"годен до 29.03.2024")</f>
        <v>годен до 29.03.2024</v>
      </c>
      <c r="F1094" s="1" t="str">
        <f ca="1">IFERROR(__xludf.DUMMYFUNCTION("""COMPUTED_VALUE"""),"Бандаж лечебно–профилактический (с тремя ребрами жесткости) 4001 XXXL(Болгария) - 0419006KZ06")</f>
        <v>Бандаж лечебно–профилактический (с тремя ребрами жесткости) 4001 XXXL(Болгария) - 0419006KZ06</v>
      </c>
      <c r="G1094" s="1" t="str">
        <f ca="1">IFERROR(__xludf.DUMMYFUNCTION("""COMPUTED_VALUE"""),"KZ.7700.02.01.00562809 / Действителен до 29.03.2024 / 0419006KZ06 / годен до 29.03.2024")</f>
        <v>KZ.7700.02.01.00562809 / Действителен до 29.03.2024 / 0419006KZ06 / годен до 29.03.2024</v>
      </c>
      <c r="H1094" s="1" t="str">
        <f ca="1">IFERROR(__xludf.DUMMYFUNCTION("""COMPUTED_VALUE"""),"Бандаж лечебно–профилактический (с тремя ребрами жесткости) 4001 XXXL(Болгария) KZ.7700.02.01.00562809 / Действителен до 29.03.2024 / 0419006KZ06 / годен до 29.03.2024")</f>
        <v>Бандаж лечебно–профилактический (с тремя ребрами жесткости) 4001 XXXL(Болгария) KZ.7700.02.01.00562809 / Действителен до 29.03.2024 / 0419006KZ06 / годен до 29.03.2024</v>
      </c>
    </row>
    <row r="1095" spans="1:8" ht="12.75" x14ac:dyDescent="0.2">
      <c r="A1095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1095" s="1" t="str">
        <f ca="1">IFERROR(__xludf.DUMMYFUNCTION("""COMPUTED_VALUE"""),"KZ.7700.02.01.00562810")</f>
        <v>KZ.7700.02.01.00562810</v>
      </c>
      <c r="C1095" s="1" t="str">
        <f ca="1">IFERROR(__xludf.DUMMYFUNCTION("""COMPUTED_VALUE"""),"Действителен до 29.03.2024")</f>
        <v>Действителен до 29.03.2024</v>
      </c>
      <c r="D1095" s="8" t="str">
        <f ca="1">IFERROR(__xludf.DUMMYFUNCTION("""COMPUTED_VALUE"""),"0419006KZ06")</f>
        <v>0419006KZ06</v>
      </c>
      <c r="E1095" s="1" t="str">
        <f ca="1">IFERROR(__xludf.DUMMYFUNCTION("""COMPUTED_VALUE"""),"годен до 29.03.2024")</f>
        <v>годен до 29.03.2024</v>
      </c>
      <c r="F1095" s="1" t="str">
        <f ca="1">IFERROR(__xludf.DUMMYFUNCTION("""COMPUTED_VALUE"""),"Бандаж лечебно–профилактический (с тремя ребрами жесткости) 4001 XXXXL(Болгария) - 0419006KZ06")</f>
        <v>Бандаж лечебно–профилактический (с тремя ребрами жесткости) 4001 XXXXL(Болгария) - 0419006KZ06</v>
      </c>
      <c r="G1095" s="1" t="str">
        <f ca="1">IFERROR(__xludf.DUMMYFUNCTION("""COMPUTED_VALUE"""),"KZ.7700.02.01.00562810 / Действителен до 29.03.2024 / 0419006KZ06 / годен до 29.03.2024")</f>
        <v>KZ.7700.02.01.00562810 / Действителен до 29.03.2024 / 0419006KZ06 / годен до 29.03.2024</v>
      </c>
      <c r="H1095" s="1" t="str">
        <f ca="1">IFERROR(__xludf.DUMMYFUNCTION("""COMPUTED_VALUE"""),"Бандаж лечебно–профилактический (с тремя ребрами жесткости) 4001 XXXXL(Болгария) KZ.7700.02.01.00562810 / Действителен до 29.03.2024 / 0419006KZ06 / годен до 29.03.2024")</f>
        <v>Бандаж лечебно–профилактический (с тремя ребрами жесткости) 4001 XXXXL(Болгария) KZ.7700.02.01.00562810 / Действителен до 29.03.2024 / 0419006KZ06 / годен до 29.03.2024</v>
      </c>
    </row>
    <row r="1096" spans="1:8" ht="12.75" x14ac:dyDescent="0.2">
      <c r="A1096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1096" s="1" t="str">
        <f ca="1">IFERROR(__xludf.DUMMYFUNCTION("""COMPUTED_VALUE"""),"KZ.7700.02.01.00562811")</f>
        <v>KZ.7700.02.01.00562811</v>
      </c>
      <c r="C1096" s="1" t="str">
        <f ca="1">IFERROR(__xludf.DUMMYFUNCTION("""COMPUTED_VALUE"""),"Действителен до 29.03.2024")</f>
        <v>Действителен до 29.03.2024</v>
      </c>
      <c r="D1096" s="8" t="str">
        <f ca="1">IFERROR(__xludf.DUMMYFUNCTION("""COMPUTED_VALUE"""),"0419006KZ06")</f>
        <v>0419006KZ06</v>
      </c>
      <c r="E1096" s="1" t="str">
        <f ca="1">IFERROR(__xludf.DUMMYFUNCTION("""COMPUTED_VALUE"""),"годен до 29.03.2024")</f>
        <v>годен до 29.03.2024</v>
      </c>
      <c r="F1096" s="1" t="str">
        <f ca="1">IFERROR(__xludf.DUMMYFUNCTION("""COMPUTED_VALUE"""),"Бандаж лечебно–профилактический эластичный 4002 S (Болгария) - 0419006KZ06")</f>
        <v>Бандаж лечебно–профилактический эластичный 4002 S (Болгария) - 0419006KZ06</v>
      </c>
      <c r="G1096" s="1" t="str">
        <f ca="1">IFERROR(__xludf.DUMMYFUNCTION("""COMPUTED_VALUE"""),"KZ.7700.02.01.00562811 / Действителен до 29.03.2024 / 0419006KZ06 / годен до 29.03.2024")</f>
        <v>KZ.7700.02.01.00562811 / Действителен до 29.03.2024 / 0419006KZ06 / годен до 29.03.2024</v>
      </c>
      <c r="H1096" s="1" t="str">
        <f ca="1">IFERROR(__xludf.DUMMYFUNCTION("""COMPUTED_VALUE"""),"Бандаж лечебно–профилактический эластичный 4002 S (Болгария) KZ.7700.02.01.00562811 / Действителен до 29.03.2024 / 0419006KZ06 / годен до 29.03.2024")</f>
        <v>Бандаж лечебно–профилактический эластичный 4002 S (Болгария) KZ.7700.02.01.00562811 / Действителен до 29.03.2024 / 0419006KZ06 / годен до 29.03.2024</v>
      </c>
    </row>
    <row r="1097" spans="1:8" ht="12.75" x14ac:dyDescent="0.2">
      <c r="A1097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1097" s="1" t="str">
        <f ca="1">IFERROR(__xludf.DUMMYFUNCTION("""COMPUTED_VALUE"""),"KZ.7700.02.01.00562812")</f>
        <v>KZ.7700.02.01.00562812</v>
      </c>
      <c r="C1097" s="1" t="str">
        <f ca="1">IFERROR(__xludf.DUMMYFUNCTION("""COMPUTED_VALUE"""),"Действителен до 29.03.2024")</f>
        <v>Действителен до 29.03.2024</v>
      </c>
      <c r="D1097" s="8" t="str">
        <f ca="1">IFERROR(__xludf.DUMMYFUNCTION("""COMPUTED_VALUE"""),"0419006KZ06")</f>
        <v>0419006KZ06</v>
      </c>
      <c r="E1097" s="1" t="str">
        <f ca="1">IFERROR(__xludf.DUMMYFUNCTION("""COMPUTED_VALUE"""),"годен до 29.03.2024")</f>
        <v>годен до 29.03.2024</v>
      </c>
      <c r="F1097" s="1" t="str">
        <f ca="1">IFERROR(__xludf.DUMMYFUNCTION("""COMPUTED_VALUE"""),"Бандаж лечебно–профилактический эластичный 4002 M (Болгария) - 0419006KZ06")</f>
        <v>Бандаж лечебно–профилактический эластичный 4002 M (Болгария) - 0419006KZ06</v>
      </c>
      <c r="G1097" s="1" t="str">
        <f ca="1">IFERROR(__xludf.DUMMYFUNCTION("""COMPUTED_VALUE"""),"KZ.7700.02.01.00562812 / Действителен до 29.03.2024 / 0419006KZ06 / годен до 29.03.2024")</f>
        <v>KZ.7700.02.01.00562812 / Действителен до 29.03.2024 / 0419006KZ06 / годен до 29.03.2024</v>
      </c>
      <c r="H1097" s="1" t="str">
        <f ca="1">IFERROR(__xludf.DUMMYFUNCTION("""COMPUTED_VALUE"""),"Бандаж лечебно–профилактический эластичный 4002 M (Болгария) KZ.7700.02.01.00562812 / Действителен до 29.03.2024 / 0419006KZ06 / годен до 29.03.2024")</f>
        <v>Бандаж лечебно–профилактический эластичный 4002 M (Болгария) KZ.7700.02.01.00562812 / Действителен до 29.03.2024 / 0419006KZ06 / годен до 29.03.2024</v>
      </c>
    </row>
    <row r="1098" spans="1:8" ht="12.75" x14ac:dyDescent="0.2">
      <c r="A1098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1098" s="1" t="str">
        <f ca="1">IFERROR(__xludf.DUMMYFUNCTION("""COMPUTED_VALUE"""),"KZ.7700.02.01.00562813")</f>
        <v>KZ.7700.02.01.00562813</v>
      </c>
      <c r="C1098" s="1" t="str">
        <f ca="1">IFERROR(__xludf.DUMMYFUNCTION("""COMPUTED_VALUE"""),"Действителен до 29.03.2024")</f>
        <v>Действителен до 29.03.2024</v>
      </c>
      <c r="D1098" s="8" t="str">
        <f ca="1">IFERROR(__xludf.DUMMYFUNCTION("""COMPUTED_VALUE"""),"0419006KZ06")</f>
        <v>0419006KZ06</v>
      </c>
      <c r="E1098" s="1" t="str">
        <f ca="1">IFERROR(__xludf.DUMMYFUNCTION("""COMPUTED_VALUE"""),"годен до 29.03.2024")</f>
        <v>годен до 29.03.2024</v>
      </c>
      <c r="F1098" s="1" t="str">
        <f ca="1">IFERROR(__xludf.DUMMYFUNCTION("""COMPUTED_VALUE"""),"Бандаж лечебно–профилактический эластичный 4002 L (Болгария) - 0419006KZ06")</f>
        <v>Бандаж лечебно–профилактический эластичный 4002 L (Болгария) - 0419006KZ06</v>
      </c>
      <c r="G1098" s="1" t="str">
        <f ca="1">IFERROR(__xludf.DUMMYFUNCTION("""COMPUTED_VALUE"""),"KZ.7700.02.01.00562813 / Действителен до 29.03.2024 / 0419006KZ06 / годен до 29.03.2024")</f>
        <v>KZ.7700.02.01.00562813 / Действителен до 29.03.2024 / 0419006KZ06 / годен до 29.03.2024</v>
      </c>
      <c r="H1098" s="1" t="str">
        <f ca="1">IFERROR(__xludf.DUMMYFUNCTION("""COMPUTED_VALUE"""),"Бандаж лечебно–профилактический эластичный 4002 L (Болгария) KZ.7700.02.01.00562813 / Действителен до 29.03.2024 / 0419006KZ06 / годен до 29.03.2024")</f>
        <v>Бандаж лечебно–профилактический эластичный 4002 L (Болгария) KZ.7700.02.01.00562813 / Действителен до 29.03.2024 / 0419006KZ06 / годен до 29.03.2024</v>
      </c>
    </row>
    <row r="1099" spans="1:8" ht="12.75" x14ac:dyDescent="0.2">
      <c r="A1099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1099" s="1" t="str">
        <f ca="1">IFERROR(__xludf.DUMMYFUNCTION("""COMPUTED_VALUE"""),"KZ.7700.02.01.00562814")</f>
        <v>KZ.7700.02.01.00562814</v>
      </c>
      <c r="C1099" s="1" t="str">
        <f ca="1">IFERROR(__xludf.DUMMYFUNCTION("""COMPUTED_VALUE"""),"Действителен до 29.03.2024")</f>
        <v>Действителен до 29.03.2024</v>
      </c>
      <c r="D1099" s="8" t="str">
        <f ca="1">IFERROR(__xludf.DUMMYFUNCTION("""COMPUTED_VALUE"""),"0419006KZ06")</f>
        <v>0419006KZ06</v>
      </c>
      <c r="E1099" s="1" t="str">
        <f ca="1">IFERROR(__xludf.DUMMYFUNCTION("""COMPUTED_VALUE"""),"годен до 29.03.2024")</f>
        <v>годен до 29.03.2024</v>
      </c>
      <c r="F1099" s="1" t="str">
        <f ca="1">IFERROR(__xludf.DUMMYFUNCTION("""COMPUTED_VALUE"""),"Бандаж лечебно–профилактический эластичный 4002 XL (Болгария) - 0419006KZ06")</f>
        <v>Бандаж лечебно–профилактический эластичный 4002 XL (Болгария) - 0419006KZ06</v>
      </c>
      <c r="G1099" s="1" t="str">
        <f ca="1">IFERROR(__xludf.DUMMYFUNCTION("""COMPUTED_VALUE"""),"KZ.7700.02.01.00562814 / Действителен до 29.03.2024 / 0419006KZ06 / годен до 29.03.2024")</f>
        <v>KZ.7700.02.01.00562814 / Действителен до 29.03.2024 / 0419006KZ06 / годен до 29.03.2024</v>
      </c>
      <c r="H1099" s="1" t="str">
        <f ca="1">IFERROR(__xludf.DUMMYFUNCTION("""COMPUTED_VALUE"""),"Бандаж лечебно–профилактический эластичный 4002 XL (Болгария) KZ.7700.02.01.00562814 / Действителен до 29.03.2024 / 0419006KZ06 / годен до 29.03.2024")</f>
        <v>Бандаж лечебно–профилактический эластичный 4002 XL (Болгария) KZ.7700.02.01.00562814 / Действителен до 29.03.2024 / 0419006KZ06 / годен до 29.03.2024</v>
      </c>
    </row>
    <row r="1100" spans="1:8" ht="12.75" x14ac:dyDescent="0.2">
      <c r="A1100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1100" s="1" t="str">
        <f ca="1">IFERROR(__xludf.DUMMYFUNCTION("""COMPUTED_VALUE"""),"KZ.7700.02.01.00562815")</f>
        <v>KZ.7700.02.01.00562815</v>
      </c>
      <c r="C1100" s="1" t="str">
        <f ca="1">IFERROR(__xludf.DUMMYFUNCTION("""COMPUTED_VALUE"""),"Действителен до 29.03.2024")</f>
        <v>Действителен до 29.03.2024</v>
      </c>
      <c r="D1100" s="8" t="str">
        <f ca="1">IFERROR(__xludf.DUMMYFUNCTION("""COMPUTED_VALUE"""),"0419006KZ06")</f>
        <v>0419006KZ06</v>
      </c>
      <c r="E1100" s="1" t="str">
        <f ca="1">IFERROR(__xludf.DUMMYFUNCTION("""COMPUTED_VALUE"""),"годен до 29.03.2024")</f>
        <v>годен до 29.03.2024</v>
      </c>
      <c r="F1100" s="1" t="str">
        <f ca="1">IFERROR(__xludf.DUMMYFUNCTION("""COMPUTED_VALUE"""),"Бандаж лечебно–профилактический эластичный 4002 XXL (Болгария) - 0419006KZ06")</f>
        <v>Бандаж лечебно–профилактический эластичный 4002 XXL (Болгария) - 0419006KZ06</v>
      </c>
      <c r="G1100" s="1" t="str">
        <f ca="1">IFERROR(__xludf.DUMMYFUNCTION("""COMPUTED_VALUE"""),"KZ.7700.02.01.00562815 / Действителен до 29.03.2024 / 0419006KZ06 / годен до 29.03.2024")</f>
        <v>KZ.7700.02.01.00562815 / Действителен до 29.03.2024 / 0419006KZ06 / годен до 29.03.2024</v>
      </c>
      <c r="H1100" s="1" t="str">
        <f ca="1">IFERROR(__xludf.DUMMYFUNCTION("""COMPUTED_VALUE"""),"Бандаж лечебно–профилактический эластичный 4002 XXL (Болгария) KZ.7700.02.01.00562815 / Действителен до 29.03.2024 / 0419006KZ06 / годен до 29.03.2024")</f>
        <v>Бандаж лечебно–профилактический эластичный 4002 XXL (Болгария) KZ.7700.02.01.00562815 / Действителен до 29.03.2024 / 0419006KZ06 / годен до 29.03.2024</v>
      </c>
    </row>
    <row r="1101" spans="1:8" ht="12.75" x14ac:dyDescent="0.2">
      <c r="A1101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1101" s="1" t="str">
        <f ca="1">IFERROR(__xludf.DUMMYFUNCTION("""COMPUTED_VALUE"""),"KZ.7700.02.01.00562816")</f>
        <v>KZ.7700.02.01.00562816</v>
      </c>
      <c r="C1101" s="1" t="str">
        <f ca="1">IFERROR(__xludf.DUMMYFUNCTION("""COMPUTED_VALUE"""),"Действителен до 29.03.2024")</f>
        <v>Действителен до 29.03.2024</v>
      </c>
      <c r="D1101" s="8" t="str">
        <f ca="1">IFERROR(__xludf.DUMMYFUNCTION("""COMPUTED_VALUE"""),"0419006KZ06")</f>
        <v>0419006KZ06</v>
      </c>
      <c r="E1101" s="1" t="str">
        <f ca="1">IFERROR(__xludf.DUMMYFUNCTION("""COMPUTED_VALUE"""),"годен до 29.03.2024")</f>
        <v>годен до 29.03.2024</v>
      </c>
      <c r="F1101" s="1" t="str">
        <f ca="1">IFERROR(__xludf.DUMMYFUNCTION("""COMPUTED_VALUE"""),"Бандаж лечебно–профилактический эластичный 4002 XXXL (Болгария) - 0419006KZ06")</f>
        <v>Бандаж лечебно–профилактический эластичный 4002 XXXL (Болгария) - 0419006KZ06</v>
      </c>
      <c r="G1101" s="1" t="str">
        <f ca="1">IFERROR(__xludf.DUMMYFUNCTION("""COMPUTED_VALUE"""),"KZ.7700.02.01.00562816 / Действителен до 29.03.2024 / 0419006KZ06 / годен до 29.03.2024")</f>
        <v>KZ.7700.02.01.00562816 / Действителен до 29.03.2024 / 0419006KZ06 / годен до 29.03.2024</v>
      </c>
      <c r="H1101" s="1" t="str">
        <f ca="1">IFERROR(__xludf.DUMMYFUNCTION("""COMPUTED_VALUE"""),"Бандаж лечебно–профилактический эластичный 4002 XXXL (Болгария) KZ.7700.02.01.00562816 / Действителен до 29.03.2024 / 0419006KZ06 / годен до 29.03.2024")</f>
        <v>Бандаж лечебно–профилактический эластичный 4002 XXXL (Болгария) KZ.7700.02.01.00562816 / Действителен до 29.03.2024 / 0419006KZ06 / годен до 29.03.2024</v>
      </c>
    </row>
    <row r="1102" spans="1:8" ht="12.75" x14ac:dyDescent="0.2">
      <c r="A1102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1102" s="1" t="str">
        <f ca="1">IFERROR(__xludf.DUMMYFUNCTION("""COMPUTED_VALUE"""),"KZ.7700.02.01.00562817")</f>
        <v>KZ.7700.02.01.00562817</v>
      </c>
      <c r="C1102" s="1" t="str">
        <f ca="1">IFERROR(__xludf.DUMMYFUNCTION("""COMPUTED_VALUE"""),"Действителен до 29.03.2024")</f>
        <v>Действителен до 29.03.2024</v>
      </c>
      <c r="D1102" s="8" t="str">
        <f ca="1">IFERROR(__xludf.DUMMYFUNCTION("""COMPUTED_VALUE"""),"0419006KZ06")</f>
        <v>0419006KZ06</v>
      </c>
      <c r="E1102" s="1" t="str">
        <f ca="1">IFERROR(__xludf.DUMMYFUNCTION("""COMPUTED_VALUE"""),"годен до 29.03.2024")</f>
        <v>годен до 29.03.2024</v>
      </c>
      <c r="F1102" s="1" t="str">
        <f ca="1">IFERROR(__xludf.DUMMYFUNCTION("""COMPUTED_VALUE"""),"Бандаж лечебно–профилактический эластичный 4002 XXXXL (Болгария) - 0419006KZ06")</f>
        <v>Бандаж лечебно–профилактический эластичный 4002 XXXXL (Болгария) - 0419006KZ06</v>
      </c>
      <c r="G1102" s="1" t="str">
        <f ca="1">IFERROR(__xludf.DUMMYFUNCTION("""COMPUTED_VALUE"""),"KZ.7700.02.01.00562817 / Действителен до 29.03.2024 / 0419006KZ06 / годен до 29.03.2024")</f>
        <v>KZ.7700.02.01.00562817 / Действителен до 29.03.2024 / 0419006KZ06 / годен до 29.03.2024</v>
      </c>
      <c r="H1102" s="1" t="str">
        <f ca="1">IFERROR(__xludf.DUMMYFUNCTION("""COMPUTED_VALUE"""),"Бандаж лечебно–профилактический эластичный 4002 XXXXL (Болгария) KZ.7700.02.01.00562817 / Действителен до 29.03.2024 / 0419006KZ06 / годен до 29.03.2024")</f>
        <v>Бандаж лечебно–профилактический эластичный 4002 XXXXL (Болгария) KZ.7700.02.01.00562817 / Действителен до 29.03.2024 / 0419006KZ06 / годен до 29.03.2024</v>
      </c>
    </row>
    <row r="1103" spans="1:8" ht="12.75" x14ac:dyDescent="0.2">
      <c r="A1103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1103" s="1" t="str">
        <f ca="1">IFERROR(__xludf.DUMMYFUNCTION("""COMPUTED_VALUE"""),"KZ.7700.02.01.00562822")</f>
        <v>KZ.7700.02.01.00562822</v>
      </c>
      <c r="C1103" s="1" t="str">
        <f ca="1">IFERROR(__xludf.DUMMYFUNCTION("""COMPUTED_VALUE"""),"Действителен до 29.03.2024")</f>
        <v>Действителен до 29.03.2024</v>
      </c>
      <c r="D1103" s="8" t="str">
        <f ca="1">IFERROR(__xludf.DUMMYFUNCTION("""COMPUTED_VALUE"""),"0419006KZ06")</f>
        <v>0419006KZ06</v>
      </c>
      <c r="E1103" s="1" t="str">
        <f ca="1">IFERROR(__xludf.DUMMYFUNCTION("""COMPUTED_VALUE"""),"годен до 29.03.2024")</f>
        <v>годен до 29.03.2024</v>
      </c>
      <c r="F1103" s="1" t="str">
        <f ca="1">IFERROR(__xludf.DUMMYFUNCTION("""COMPUTED_VALUE"""),"Бандаж для беременных эластичный 4505 - S (Болгария) - 0419006KZ06")</f>
        <v>Бандаж для беременных эластичный 4505 - S (Болгария) - 0419006KZ06</v>
      </c>
      <c r="G1103" s="1" t="str">
        <f ca="1">IFERROR(__xludf.DUMMYFUNCTION("""COMPUTED_VALUE"""),"KZ.7700.02.01.00562822 / Действителен до 29.03.2024 / 0419006KZ06 / годен до 29.03.2024")</f>
        <v>KZ.7700.02.01.00562822 / Действителен до 29.03.2024 / 0419006KZ06 / годен до 29.03.2024</v>
      </c>
      <c r="H1103" s="1" t="str">
        <f ca="1">IFERROR(__xludf.DUMMYFUNCTION("""COMPUTED_VALUE"""),"Бандаж для беременных эластичный 4505 - S (Болгария) KZ.7700.02.01.00562822 / Действителен до 29.03.2024 / 0419006KZ06 / годен до 29.03.2024")</f>
        <v>Бандаж для беременных эластичный 4505 - S (Болгария) KZ.7700.02.01.00562822 / Действителен до 29.03.2024 / 0419006KZ06 / годен до 29.03.2024</v>
      </c>
    </row>
    <row r="1104" spans="1:8" ht="12.75" x14ac:dyDescent="0.2">
      <c r="A1104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1104" s="1" t="str">
        <f ca="1">IFERROR(__xludf.DUMMYFUNCTION("""COMPUTED_VALUE"""),"KZ.7700.02.01.00562823")</f>
        <v>KZ.7700.02.01.00562823</v>
      </c>
      <c r="C1104" s="1" t="str">
        <f ca="1">IFERROR(__xludf.DUMMYFUNCTION("""COMPUTED_VALUE"""),"Действителен до 29.03.2024")</f>
        <v>Действителен до 29.03.2024</v>
      </c>
      <c r="D1104" s="8" t="str">
        <f ca="1">IFERROR(__xludf.DUMMYFUNCTION("""COMPUTED_VALUE"""),"0419006KZ06")</f>
        <v>0419006KZ06</v>
      </c>
      <c r="E1104" s="1" t="str">
        <f ca="1">IFERROR(__xludf.DUMMYFUNCTION("""COMPUTED_VALUE"""),"годен до 29.03.2024")</f>
        <v>годен до 29.03.2024</v>
      </c>
      <c r="F1104" s="1" t="str">
        <f ca="1">IFERROR(__xludf.DUMMYFUNCTION("""COMPUTED_VALUE"""),"Бандаж для беременных эластичный 4505 - М (Болгария) - 0419006KZ06")</f>
        <v>Бандаж для беременных эластичный 4505 - М (Болгария) - 0419006KZ06</v>
      </c>
      <c r="G1104" s="1" t="str">
        <f ca="1">IFERROR(__xludf.DUMMYFUNCTION("""COMPUTED_VALUE"""),"KZ.7700.02.01.00562823 / Действителен до 29.03.2024 / 0419006KZ06 / годен до 29.03.2024")</f>
        <v>KZ.7700.02.01.00562823 / Действителен до 29.03.2024 / 0419006KZ06 / годен до 29.03.2024</v>
      </c>
      <c r="H1104" s="1" t="str">
        <f ca="1">IFERROR(__xludf.DUMMYFUNCTION("""COMPUTED_VALUE"""),"Бандаж для беременных эластичный 4505 - М (Болгария) KZ.7700.02.01.00562823 / Действителен до 29.03.2024 / 0419006KZ06 / годен до 29.03.2024")</f>
        <v>Бандаж для беременных эластичный 4505 - М (Болгария) KZ.7700.02.01.00562823 / Действителен до 29.03.2024 / 0419006KZ06 / годен до 29.03.2024</v>
      </c>
    </row>
    <row r="1105" spans="1:8" ht="12.75" x14ac:dyDescent="0.2">
      <c r="A1105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105" s="1" t="str">
        <f ca="1">IFERROR(__xludf.DUMMYFUNCTION("""COMPUTED_VALUE"""),"KZ.7700.02.01.00562824")</f>
        <v>KZ.7700.02.01.00562824</v>
      </c>
      <c r="C1105" s="1" t="str">
        <f ca="1">IFERROR(__xludf.DUMMYFUNCTION("""COMPUTED_VALUE"""),"Действителен до 29.03.2024")</f>
        <v>Действителен до 29.03.2024</v>
      </c>
      <c r="D1105" s="8" t="str">
        <f ca="1">IFERROR(__xludf.DUMMYFUNCTION("""COMPUTED_VALUE"""),"0419006KZ06")</f>
        <v>0419006KZ06</v>
      </c>
      <c r="E1105" s="1" t="str">
        <f ca="1">IFERROR(__xludf.DUMMYFUNCTION("""COMPUTED_VALUE"""),"годен до 29.03.2024")</f>
        <v>годен до 29.03.2024</v>
      </c>
      <c r="F1105" s="1" t="str">
        <f ca="1">IFERROR(__xludf.DUMMYFUNCTION("""COMPUTED_VALUE"""),"Бандаж для беременных эластичный 4505 - L (Болгария) - 0419006KZ06")</f>
        <v>Бандаж для беременных эластичный 4505 - L (Болгария) - 0419006KZ06</v>
      </c>
      <c r="G1105" s="1" t="str">
        <f ca="1">IFERROR(__xludf.DUMMYFUNCTION("""COMPUTED_VALUE"""),"KZ.7700.02.01.00562824 / Действителен до 29.03.2024 / 0419006KZ06 / годен до 29.03.2024")</f>
        <v>KZ.7700.02.01.00562824 / Действителен до 29.03.2024 / 0419006KZ06 / годен до 29.03.2024</v>
      </c>
      <c r="H1105" s="1" t="str">
        <f ca="1">IFERROR(__xludf.DUMMYFUNCTION("""COMPUTED_VALUE"""),"Бандаж для беременных эластичный 4505 - L (Болгария) KZ.7700.02.01.00562824 / Действителен до 29.03.2024 / 0419006KZ06 / годен до 29.03.2024")</f>
        <v>Бандаж для беременных эластичный 4505 - L (Болгария) KZ.7700.02.01.00562824 / Действителен до 29.03.2024 / 0419006KZ06 / годен до 29.03.2024</v>
      </c>
    </row>
    <row r="1106" spans="1:8" ht="12.75" x14ac:dyDescent="0.2">
      <c r="A1106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106" s="1" t="str">
        <f ca="1">IFERROR(__xludf.DUMMYFUNCTION("""COMPUTED_VALUE"""),"KZ.7700.02.01.00562827")</f>
        <v>KZ.7700.02.01.00562827</v>
      </c>
      <c r="C1106" s="1" t="str">
        <f ca="1">IFERROR(__xludf.DUMMYFUNCTION("""COMPUTED_VALUE"""),"Действителен до 29.03.2024")</f>
        <v>Действителен до 29.03.2024</v>
      </c>
      <c r="D1106" s="8" t="str">
        <f ca="1">IFERROR(__xludf.DUMMYFUNCTION("""COMPUTED_VALUE"""),"0419006KZ06")</f>
        <v>0419006KZ06</v>
      </c>
      <c r="E1106" s="1" t="str">
        <f ca="1">IFERROR(__xludf.DUMMYFUNCTION("""COMPUTED_VALUE"""),"годен до 29.03.2024")</f>
        <v>годен до 29.03.2024</v>
      </c>
      <c r="F1106" s="1" t="str">
        <f ca="1">IFERROR(__xludf.DUMMYFUNCTION("""COMPUTED_VALUE"""),"Бандаж для беременных эластичный 4505 - XL (Болгария) - 0419006KZ06")</f>
        <v>Бандаж для беременных эластичный 4505 - XL (Болгария) - 0419006KZ06</v>
      </c>
      <c r="G1106" s="1" t="str">
        <f ca="1">IFERROR(__xludf.DUMMYFUNCTION("""COMPUTED_VALUE"""),"KZ.7700.02.01.00562827 / Действителен до 29.03.2024 / 0419006KZ06 / годен до 29.03.2024")</f>
        <v>KZ.7700.02.01.00562827 / Действителен до 29.03.2024 / 0419006KZ06 / годен до 29.03.2024</v>
      </c>
      <c r="H1106" s="1" t="str">
        <f ca="1">IFERROR(__xludf.DUMMYFUNCTION("""COMPUTED_VALUE"""),"Бандаж для беременных эластичный 4505 - XL (Болгария) KZ.7700.02.01.00562827 / Действителен до 29.03.2024 / 0419006KZ06 / годен до 29.03.2024")</f>
        <v>Бандаж для беременных эластичный 4505 - XL (Болгария) KZ.7700.02.01.00562827 / Действителен до 29.03.2024 / 0419006KZ06 / годен до 29.03.2024</v>
      </c>
    </row>
    <row r="1107" spans="1:8" ht="12.75" x14ac:dyDescent="0.2">
      <c r="A1107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107" s="1" t="str">
        <f ca="1">IFERROR(__xludf.DUMMYFUNCTION("""COMPUTED_VALUE"""),"KZ.7700.02.01.00562825")</f>
        <v>KZ.7700.02.01.00562825</v>
      </c>
      <c r="C1107" s="1" t="str">
        <f ca="1">IFERROR(__xludf.DUMMYFUNCTION("""COMPUTED_VALUE"""),"Действителен до 29.03.2024")</f>
        <v>Действителен до 29.03.2024</v>
      </c>
      <c r="D1107" s="8" t="str">
        <f ca="1">IFERROR(__xludf.DUMMYFUNCTION("""COMPUTED_VALUE"""),"0419006KZ06")</f>
        <v>0419006KZ06</v>
      </c>
      <c r="E1107" s="1" t="str">
        <f ca="1">IFERROR(__xludf.DUMMYFUNCTION("""COMPUTED_VALUE"""),"годен до 29.03.2024")</f>
        <v>годен до 29.03.2024</v>
      </c>
      <c r="F1107" s="1" t="str">
        <f ca="1">IFERROR(__xludf.DUMMYFUNCTION("""COMPUTED_VALUE"""),"Бандаж для беременных эластичный 4505 - XXL (Болгария) - 0419006KZ06")</f>
        <v>Бандаж для беременных эластичный 4505 - XXL (Болгария) - 0419006KZ06</v>
      </c>
      <c r="G1107" s="1" t="str">
        <f ca="1">IFERROR(__xludf.DUMMYFUNCTION("""COMPUTED_VALUE"""),"KZ.7700.02.01.00562825 / Действителен до 29.03.2024 / 0419006KZ06 / годен до 29.03.2024")</f>
        <v>KZ.7700.02.01.00562825 / Действителен до 29.03.2024 / 0419006KZ06 / годен до 29.03.2024</v>
      </c>
      <c r="H1107" s="1" t="str">
        <f ca="1">IFERROR(__xludf.DUMMYFUNCTION("""COMPUTED_VALUE"""),"Бандаж для беременных эластичный 4505 - XXL (Болгария) KZ.7700.02.01.00562825 / Действителен до 29.03.2024 / 0419006KZ06 / годен до 29.03.2024")</f>
        <v>Бандаж для беременных эластичный 4505 - XXL (Болгария) KZ.7700.02.01.00562825 / Действителен до 29.03.2024 / 0419006KZ06 / годен до 29.03.2024</v>
      </c>
    </row>
    <row r="1108" spans="1:8" ht="12.75" x14ac:dyDescent="0.2">
      <c r="A1108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108" s="1" t="str">
        <f ca="1">IFERROR(__xludf.DUMMYFUNCTION("""COMPUTED_VALUE"""),"KZ.7700.02.01.00562826")</f>
        <v>KZ.7700.02.01.00562826</v>
      </c>
      <c r="C1108" s="1" t="str">
        <f ca="1">IFERROR(__xludf.DUMMYFUNCTION("""COMPUTED_VALUE"""),"Действителен до 29.03.2024")</f>
        <v>Действителен до 29.03.2024</v>
      </c>
      <c r="D1108" s="8" t="str">
        <f ca="1">IFERROR(__xludf.DUMMYFUNCTION("""COMPUTED_VALUE"""),"0419006KZ06")</f>
        <v>0419006KZ06</v>
      </c>
      <c r="E1108" s="1" t="str">
        <f ca="1">IFERROR(__xludf.DUMMYFUNCTION("""COMPUTED_VALUE"""),"годен до 29.03.2024")</f>
        <v>годен до 29.03.2024</v>
      </c>
      <c r="F1108" s="1" t="str">
        <f ca="1">IFERROR(__xludf.DUMMYFUNCTION("""COMPUTED_VALUE"""),"Бандаж для беременных эластичный 4505 - XXXL (Болгария) - 0419006KZ06")</f>
        <v>Бандаж для беременных эластичный 4505 - XXXL (Болгария) - 0419006KZ06</v>
      </c>
      <c r="G1108" s="1" t="str">
        <f ca="1">IFERROR(__xludf.DUMMYFUNCTION("""COMPUTED_VALUE"""),"KZ.7700.02.01.00562826 / Действителен до 29.03.2024 / 0419006KZ06 / годен до 29.03.2024")</f>
        <v>KZ.7700.02.01.00562826 / Действителен до 29.03.2024 / 0419006KZ06 / годен до 29.03.2024</v>
      </c>
      <c r="H1108" s="1" t="str">
        <f ca="1">IFERROR(__xludf.DUMMYFUNCTION("""COMPUTED_VALUE"""),"Бандаж для беременных эластичный 4505 - XXXL (Болгария) KZ.7700.02.01.00562826 / Действителен до 29.03.2024 / 0419006KZ06 / годен до 29.03.2024")</f>
        <v>Бандаж для беременных эластичный 4505 - XXXL (Болгария) KZ.7700.02.01.00562826 / Действителен до 29.03.2024 / 0419006KZ06 / годен до 29.03.2024</v>
      </c>
    </row>
    <row r="1109" spans="1:8" ht="12.75" x14ac:dyDescent="0.2">
      <c r="A1109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1109" s="1" t="str">
        <f ca="1">IFERROR(__xludf.DUMMYFUNCTION("""COMPUTED_VALUE"""),"KZ.7700.02.01.00562235")</f>
        <v>KZ.7700.02.01.00562235</v>
      </c>
      <c r="C1109" s="1" t="str">
        <f ca="1">IFERROR(__xludf.DUMMYFUNCTION("""COMPUTED_VALUE"""),"Действителен до 29.03.2024")</f>
        <v>Действителен до 29.03.2024</v>
      </c>
      <c r="D1109" s="8" t="str">
        <f ca="1">IFERROR(__xludf.DUMMYFUNCTION("""COMPUTED_VALUE"""),"0419006KZ06")</f>
        <v>0419006KZ06</v>
      </c>
      <c r="E1109" s="1" t="str">
        <f ca="1">IFERROR(__xludf.DUMMYFUNCTION("""COMPUTED_VALUE"""),"годен до 29.03.2024")</f>
        <v>годен до 29.03.2024</v>
      </c>
      <c r="F1109" s="1" t="str">
        <f ca="1">IFERROR(__xludf.DUMMYFUNCTION("""COMPUTED_VALUE"""),"Корсет ортопедический с ребрами жесткости согревающий 3041 M/L (Болгария) - 0419006KZ06")</f>
        <v>Корсет ортопедический с ребрами жесткости согревающий 3041 M/L (Болгария) - 0419006KZ06</v>
      </c>
      <c r="G1109" s="1" t="str">
        <f ca="1">IFERROR(__xludf.DUMMYFUNCTION("""COMPUTED_VALUE"""),"KZ.7700.02.01.00562235 / Действителен до 29.03.2024 / 0419006KZ06 / годен до 29.03.2024")</f>
        <v>KZ.7700.02.01.00562235 / Действителен до 29.03.2024 / 0419006KZ06 / годен до 29.03.2024</v>
      </c>
      <c r="H1109" s="1" t="str">
        <f ca="1">IFERROR(__xludf.DUMMYFUNCTION("""COMPUTED_VALUE"""),"Корсет ортопедический с ребрами жесткости согревающий 3041 M/L (Болгария) KZ.7700.02.01.00562235 / Действителен до 29.03.2024 / 0419006KZ06 / годен до 29.03.2024")</f>
        <v>Корсет ортопедический с ребрами жесткости согревающий 3041 M/L (Болгария) KZ.7700.02.01.00562235 / Действителен до 29.03.2024 / 0419006KZ06 / годен до 29.03.2024</v>
      </c>
    </row>
    <row r="1110" spans="1:8" ht="12.75" x14ac:dyDescent="0.2">
      <c r="A1110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1110" s="1" t="str">
        <f ca="1">IFERROR(__xludf.DUMMYFUNCTION("""COMPUTED_VALUE"""),"KZ.7700.02.01.00562600")</f>
        <v>KZ.7700.02.01.00562600</v>
      </c>
      <c r="C1110" s="1" t="str">
        <f ca="1">IFERROR(__xludf.DUMMYFUNCTION("""COMPUTED_VALUE"""),"Действителен до 29.03.2024")</f>
        <v>Действителен до 29.03.2024</v>
      </c>
      <c r="D1110" s="8" t="str">
        <f ca="1">IFERROR(__xludf.DUMMYFUNCTION("""COMPUTED_VALUE"""),"0419006KZ06")</f>
        <v>0419006KZ06</v>
      </c>
      <c r="E1110" s="1" t="str">
        <f ca="1">IFERROR(__xludf.DUMMYFUNCTION("""COMPUTED_VALUE"""),"годен до 29.03.2024")</f>
        <v>годен до 29.03.2024</v>
      </c>
      <c r="F1110" s="1" t="str">
        <f ca="1">IFERROR(__xludf.DUMMYFUNCTION("""COMPUTED_VALUE"""),"Корсет ортопедический с ребрами жесткости согревающий 3041 XL/XXL (Болгария) - 0419006KZ06")</f>
        <v>Корсет ортопедический с ребрами жесткости согревающий 3041 XL/XXL (Болгария) - 0419006KZ06</v>
      </c>
      <c r="G1110" s="1" t="str">
        <f ca="1">IFERROR(__xludf.DUMMYFUNCTION("""COMPUTED_VALUE"""),"KZ.7700.02.01.00562600 / Действителен до 29.03.2024 / 0419006KZ06 / годен до 29.03.2024")</f>
        <v>KZ.7700.02.01.00562600 / Действителен до 29.03.2024 / 0419006KZ06 / годен до 29.03.2024</v>
      </c>
      <c r="H1110" s="1" t="str">
        <f ca="1">IFERROR(__xludf.DUMMYFUNCTION("""COMPUTED_VALUE"""),"Корсет ортопедический с ребрами жесткости согревающий 3041 XL/XXL (Болгария) KZ.7700.02.01.00562600 / Действителен до 29.03.2024 / 0419006KZ06 / годен до 29.03.2024")</f>
        <v>Корсет ортопедический с ребрами жесткости согревающий 3041 XL/XXL (Болгария) KZ.7700.02.01.00562600 / Действителен до 29.03.2024 / 0419006KZ06 / годен до 29.03.2024</v>
      </c>
    </row>
    <row r="1111" spans="1:8" ht="12.75" x14ac:dyDescent="0.2">
      <c r="A1111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1111" s="1" t="str">
        <f ca="1">IFERROR(__xludf.DUMMYFUNCTION("""COMPUTED_VALUE"""),"KZ.7700.02.01.00562236")</f>
        <v>KZ.7700.02.01.00562236</v>
      </c>
      <c r="C1111" s="1" t="str">
        <f ca="1">IFERROR(__xludf.DUMMYFUNCTION("""COMPUTED_VALUE"""),"Действителен до 29.03.2024")</f>
        <v>Действителен до 29.03.2024</v>
      </c>
      <c r="D1111" s="8" t="str">
        <f ca="1">IFERROR(__xludf.DUMMYFUNCTION("""COMPUTED_VALUE"""),"0419006KZ06")</f>
        <v>0419006KZ06</v>
      </c>
      <c r="E1111" s="1" t="str">
        <f ca="1">IFERROR(__xludf.DUMMYFUNCTION("""COMPUTED_VALUE"""),"годен до 29.03.2024")</f>
        <v>годен до 29.03.2024</v>
      </c>
      <c r="F1111" s="1" t="str">
        <f ca="1">IFERROR(__xludf.DUMMYFUNCTION("""COMPUTED_VALUE"""),"Корсет ортопедический с ребрами жесткости согревающий 3041 XXXL/XXXXL (Болгария) - 0419006KZ06")</f>
        <v>Корсет ортопедический с ребрами жесткости согревающий 3041 XXXL/XXXXL (Болгария) - 0419006KZ06</v>
      </c>
      <c r="G1111" s="1" t="str">
        <f ca="1">IFERROR(__xludf.DUMMYFUNCTION("""COMPUTED_VALUE"""),"KZ.7700.02.01.00562236 / Действителен до 29.03.2024 / 0419006KZ06 / годен до 29.03.2024")</f>
        <v>KZ.7700.02.01.00562236 / Действителен до 29.03.2024 / 0419006KZ06 / годен до 29.03.2024</v>
      </c>
      <c r="H1111" s="1" t="str">
        <f ca="1">IFERROR(__xludf.DUMMYFUNCTION("""COMPUTED_VALUE"""),"Корсет ортопедический с ребрами жесткости согревающий 3041 XXXL/XXXXL (Болгария) KZ.7700.02.01.00562236 / Действителен до 29.03.2024 / 0419006KZ06 / годен до 29.03.2024")</f>
        <v>Корсет ортопедический с ребрами жесткости согревающий 3041 XXXL/XXXXL (Болгария) KZ.7700.02.01.00562236 / Действителен до 29.03.2024 / 0419006KZ06 / годен до 29.03.2024</v>
      </c>
    </row>
    <row r="1112" spans="1:8" ht="12.75" x14ac:dyDescent="0.2">
      <c r="A1112" s="1" t="str">
        <f ca="1">IFERROR(__xludf.DUMMYFUNCTION("""COMPUTED_VALUE"""),"Бандаж универсальный 4011 XS/S (Болгария)")</f>
        <v>Бандаж универсальный 4011 XS/S (Болгария)</v>
      </c>
      <c r="B1112" s="1" t="str">
        <f ca="1">IFERROR(__xludf.DUMMYFUNCTION("""COMPUTED_VALUE"""),"KZ.7700.02.01.00562818")</f>
        <v>KZ.7700.02.01.00562818</v>
      </c>
      <c r="C1112" s="1" t="str">
        <f ca="1">IFERROR(__xludf.DUMMYFUNCTION("""COMPUTED_VALUE"""),"Действителен до 29.03.2024")</f>
        <v>Действителен до 29.03.2024</v>
      </c>
      <c r="D1112" s="8" t="str">
        <f ca="1">IFERROR(__xludf.DUMMYFUNCTION("""COMPUTED_VALUE"""),"0419006KZ06")</f>
        <v>0419006KZ06</v>
      </c>
      <c r="E1112" s="1" t="str">
        <f ca="1">IFERROR(__xludf.DUMMYFUNCTION("""COMPUTED_VALUE"""),"годен до 29.03.2024")</f>
        <v>годен до 29.03.2024</v>
      </c>
      <c r="F1112" s="1" t="str">
        <f ca="1">IFERROR(__xludf.DUMMYFUNCTION("""COMPUTED_VALUE"""),"Бандаж универсальный 4011 XS/S (Болгария) - 0419006KZ06")</f>
        <v>Бандаж универсальный 4011 XS/S (Болгария) - 0419006KZ06</v>
      </c>
      <c r="G1112" s="1" t="str">
        <f ca="1">IFERROR(__xludf.DUMMYFUNCTION("""COMPUTED_VALUE"""),"KZ.7700.02.01.00562818 / Действителен до 29.03.2024 / 0419006KZ06 / годен до 29.03.2024")</f>
        <v>KZ.7700.02.01.00562818 / Действителен до 29.03.2024 / 0419006KZ06 / годен до 29.03.2024</v>
      </c>
      <c r="H1112" s="1" t="str">
        <f ca="1">IFERROR(__xludf.DUMMYFUNCTION("""COMPUTED_VALUE"""),"Бандаж универсальный 4011 XS/S (Болгария) KZ.7700.02.01.00562818 / Действителен до 29.03.2024 / 0419006KZ06 / годен до 29.03.2024")</f>
        <v>Бандаж универсальный 4011 XS/S (Болгария) KZ.7700.02.01.00562818 / Действителен до 29.03.2024 / 0419006KZ06 / годен до 29.03.2024</v>
      </c>
    </row>
    <row r="1113" spans="1:8" ht="12.75" x14ac:dyDescent="0.2">
      <c r="A1113" s="1" t="str">
        <f ca="1">IFERROR(__xludf.DUMMYFUNCTION("""COMPUTED_VALUE"""),"Бандаж универсальный 4011 M/L (Болгария)")</f>
        <v>Бандаж универсальный 4011 M/L (Болгария)</v>
      </c>
      <c r="B1113" s="1" t="str">
        <f ca="1">IFERROR(__xludf.DUMMYFUNCTION("""COMPUTED_VALUE"""),"KZ.7700.02.01.00562819")</f>
        <v>KZ.7700.02.01.00562819</v>
      </c>
      <c r="C1113" s="1" t="str">
        <f ca="1">IFERROR(__xludf.DUMMYFUNCTION("""COMPUTED_VALUE"""),"Действителен до 29.03.2024")</f>
        <v>Действителен до 29.03.2024</v>
      </c>
      <c r="D1113" s="8" t="str">
        <f ca="1">IFERROR(__xludf.DUMMYFUNCTION("""COMPUTED_VALUE"""),"0419006KZ06")</f>
        <v>0419006KZ06</v>
      </c>
      <c r="E1113" s="1" t="str">
        <f ca="1">IFERROR(__xludf.DUMMYFUNCTION("""COMPUTED_VALUE"""),"годен до 29.03.2024")</f>
        <v>годен до 29.03.2024</v>
      </c>
      <c r="F1113" s="1" t="str">
        <f ca="1">IFERROR(__xludf.DUMMYFUNCTION("""COMPUTED_VALUE"""),"Бандаж универсальный 4011 M/L (Болгария) - 0419006KZ06")</f>
        <v>Бандаж универсальный 4011 M/L (Болгария) - 0419006KZ06</v>
      </c>
      <c r="G1113" s="1" t="str">
        <f ca="1">IFERROR(__xludf.DUMMYFUNCTION("""COMPUTED_VALUE"""),"KZ.7700.02.01.00562819 / Действителен до 29.03.2024 / 0419006KZ06 / годен до 29.03.2024")</f>
        <v>KZ.7700.02.01.00562819 / Действителен до 29.03.2024 / 0419006KZ06 / годен до 29.03.2024</v>
      </c>
      <c r="H1113" s="1" t="str">
        <f ca="1">IFERROR(__xludf.DUMMYFUNCTION("""COMPUTED_VALUE"""),"Бандаж универсальный 4011 M/L (Болгария) KZ.7700.02.01.00562819 / Действителен до 29.03.2024 / 0419006KZ06 / годен до 29.03.2024")</f>
        <v>Бандаж универсальный 4011 M/L (Болгария) KZ.7700.02.01.00562819 / Действителен до 29.03.2024 / 0419006KZ06 / годен до 29.03.2024</v>
      </c>
    </row>
    <row r="1114" spans="1:8" ht="12.75" x14ac:dyDescent="0.2">
      <c r="A1114" s="1" t="str">
        <f ca="1">IFERROR(__xludf.DUMMYFUNCTION("""COMPUTED_VALUE"""),"Бандаж универсальный 4011 XL/XXL (Болгария)")</f>
        <v>Бандаж универсальный 4011 XL/XXL (Болгария)</v>
      </c>
      <c r="B1114" s="1" t="str">
        <f ca="1">IFERROR(__xludf.DUMMYFUNCTION("""COMPUTED_VALUE"""),"KZ.7700.02.01.00562820")</f>
        <v>KZ.7700.02.01.00562820</v>
      </c>
      <c r="C1114" s="1" t="str">
        <f ca="1">IFERROR(__xludf.DUMMYFUNCTION("""COMPUTED_VALUE"""),"Действителен до 29.03.2024")</f>
        <v>Действителен до 29.03.2024</v>
      </c>
      <c r="D1114" s="8" t="str">
        <f ca="1">IFERROR(__xludf.DUMMYFUNCTION("""COMPUTED_VALUE"""),"0419006KZ06")</f>
        <v>0419006KZ06</v>
      </c>
      <c r="E1114" s="1" t="str">
        <f ca="1">IFERROR(__xludf.DUMMYFUNCTION("""COMPUTED_VALUE"""),"годен до 29.03.2024")</f>
        <v>годен до 29.03.2024</v>
      </c>
      <c r="F1114" s="1" t="str">
        <f ca="1">IFERROR(__xludf.DUMMYFUNCTION("""COMPUTED_VALUE"""),"Бандаж универсальный 4011 XL/XXL (Болгария) - 0419006KZ06")</f>
        <v>Бандаж универсальный 4011 XL/XXL (Болгария) - 0419006KZ06</v>
      </c>
      <c r="G1114" s="1" t="str">
        <f ca="1">IFERROR(__xludf.DUMMYFUNCTION("""COMPUTED_VALUE"""),"KZ.7700.02.01.00562820 / Действителен до 29.03.2024 / 0419006KZ06 / годен до 29.03.2024")</f>
        <v>KZ.7700.02.01.00562820 / Действителен до 29.03.2024 / 0419006KZ06 / годен до 29.03.2024</v>
      </c>
      <c r="H1114" s="1" t="str">
        <f ca="1">IFERROR(__xludf.DUMMYFUNCTION("""COMPUTED_VALUE"""),"Бандаж универсальный 4011 XL/XXL (Болгария) KZ.7700.02.01.00562820 / Действителен до 29.03.2024 / 0419006KZ06 / годен до 29.03.2024")</f>
        <v>Бандаж универсальный 4011 XL/XXL (Болгария) KZ.7700.02.01.00562820 / Действителен до 29.03.2024 / 0419006KZ06 / годен до 29.03.2024</v>
      </c>
    </row>
    <row r="1115" spans="1:8" ht="12.75" x14ac:dyDescent="0.2">
      <c r="A1115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1115" s="1" t="str">
        <f ca="1">IFERROR(__xludf.DUMMYFUNCTION("""COMPUTED_VALUE"""),"KZ.7700.02.01.00562821")</f>
        <v>KZ.7700.02.01.00562821</v>
      </c>
      <c r="C1115" s="1" t="str">
        <f ca="1">IFERROR(__xludf.DUMMYFUNCTION("""COMPUTED_VALUE"""),"Действителен до 29.03.2024")</f>
        <v>Действителен до 29.03.2024</v>
      </c>
      <c r="D1115" s="8" t="str">
        <f ca="1">IFERROR(__xludf.DUMMYFUNCTION("""COMPUTED_VALUE"""),"0419006KZ06")</f>
        <v>0419006KZ06</v>
      </c>
      <c r="E1115" s="1" t="str">
        <f ca="1">IFERROR(__xludf.DUMMYFUNCTION("""COMPUTED_VALUE"""),"годен до 29.03.2024")</f>
        <v>годен до 29.03.2024</v>
      </c>
      <c r="F1115" s="1" t="str">
        <f ca="1">IFERROR(__xludf.DUMMYFUNCTION("""COMPUTED_VALUE"""),"Бандаж универсальный 4011 XXXL/XXXXL (Болгария) - 0419006KZ06")</f>
        <v>Бандаж универсальный 4011 XXXL/XXXXL (Болгария) - 0419006KZ06</v>
      </c>
      <c r="G1115" s="1" t="str">
        <f ca="1">IFERROR(__xludf.DUMMYFUNCTION("""COMPUTED_VALUE"""),"KZ.7700.02.01.00562821 / Действителен до 29.03.2024 / 0419006KZ06 / годен до 29.03.2024")</f>
        <v>KZ.7700.02.01.00562821 / Действителен до 29.03.2024 / 0419006KZ06 / годен до 29.03.2024</v>
      </c>
      <c r="H1115" s="1" t="str">
        <f ca="1">IFERROR(__xludf.DUMMYFUNCTION("""COMPUTED_VALUE"""),"Бандаж универсальный 4011 XXXL/XXXXL (Болгария) KZ.7700.02.01.00562821 / Действителен до 29.03.2024 / 0419006KZ06 / годен до 29.03.2024")</f>
        <v>Бандаж универсальный 4011 XXXL/XXXXL (Болгария) KZ.7700.02.01.00562821 / Действителен до 29.03.2024 / 0419006KZ06 / годен до 29.03.2024</v>
      </c>
    </row>
    <row r="1116" spans="1:8" ht="12.75" x14ac:dyDescent="0.2">
      <c r="A1116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1116" s="1" t="str">
        <f ca="1">IFERROR(__xludf.DUMMYFUNCTION("""COMPUTED_VALUE"""),"KZ.7700.02.01.00580102")</f>
        <v>KZ.7700.02.01.00580102</v>
      </c>
      <c r="C1116" s="1" t="str">
        <f ca="1">IFERROR(__xludf.DUMMYFUNCTION("""COMPUTED_VALUE"""),"Действителен до19.07.2024")</f>
        <v>Действителен до19.07.2024</v>
      </c>
      <c r="D1116" s="8" t="str">
        <f ca="1">IFERROR(__xludf.DUMMYFUNCTION("""COMPUTED_VALUE"""),"0819028KZ28")</f>
        <v>0819028KZ28</v>
      </c>
      <c r="E1116" s="1" t="str">
        <f ca="1">IFERROR(__xludf.DUMMYFUNCTION("""COMPUTED_VALUE"""),"годен до 19.07.2024")</f>
        <v>годен до 19.07.2024</v>
      </c>
      <c r="F1116" s="1" t="str">
        <f ca="1">IFERROR(__xludf.DUMMYFUNCTION("""COMPUTED_VALUE"""),"Бандаж на шейный отдел позвоночника мягкой фиксацией с жесткой вставкой 1005 I(S) - 0819028KZ28")</f>
        <v>Бандаж на шейный отдел позвоночника мягкой фиксацией с жесткой вставкой 1005 I(S) - 0819028KZ28</v>
      </c>
      <c r="G1116" s="1" t="str">
        <f ca="1">IFERROR(__xludf.DUMMYFUNCTION("""COMPUTED_VALUE"""),"KZ.7700.02.01.00580102 / Действителен до19.07.2024 / 0819028KZ28 / годен до 19.07.2024")</f>
        <v>KZ.7700.02.01.00580102 / Действителен до19.07.2024 / 0819028KZ28 / годен до 19.07.2024</v>
      </c>
      <c r="H1116" s="1" t="str">
        <f ca="1">IFERROR(__xludf.DUMMYFUNCTION("""COMPUTED_VALUE"""),"Бандаж на шейный отдел позвоночника мягкой фиксацией с жесткой вставкой 1005 I(S) KZ.7700.02.01.00580102 / Действителен до19.07.2024 / 0819028KZ28 / годен до 19.07.2024")</f>
        <v>Бандаж на шейный отдел позвоночника мягкой фиксацией с жесткой вставкой 1005 I(S) KZ.7700.02.01.00580102 / Действителен до19.07.2024 / 0819028KZ28 / годен до 19.07.2024</v>
      </c>
    </row>
    <row r="1117" spans="1:8" ht="12.75" x14ac:dyDescent="0.2">
      <c r="A1117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117" s="1" t="str">
        <f ca="1">IFERROR(__xludf.DUMMYFUNCTION("""COMPUTED_VALUE"""),"KZ.7700.02.01.00580103")</f>
        <v>KZ.7700.02.01.00580103</v>
      </c>
      <c r="C1117" s="1" t="str">
        <f ca="1">IFERROR(__xludf.DUMMYFUNCTION("""COMPUTED_VALUE"""),"Действителен до19.07.2024")</f>
        <v>Действителен до19.07.2024</v>
      </c>
      <c r="D1117" s="8" t="str">
        <f ca="1">IFERROR(__xludf.DUMMYFUNCTION("""COMPUTED_VALUE"""),"0819028KZ28")</f>
        <v>0819028KZ28</v>
      </c>
      <c r="E1117" s="1" t="str">
        <f ca="1">IFERROR(__xludf.DUMMYFUNCTION("""COMPUTED_VALUE"""),"годен до 19.07.2024")</f>
        <v>годен до 19.07.2024</v>
      </c>
      <c r="F1117" s="1" t="str">
        <f ca="1">IFERROR(__xludf.DUMMYFUNCTION("""COMPUTED_VALUE"""),"Бандаж на шейный отдел позвоночника мягкой фиксацией с жесткой вставкой 1005 II(M) - 0819028KZ28")</f>
        <v>Бандаж на шейный отдел позвоночника мягкой фиксацией с жесткой вставкой 1005 II(M) - 0819028KZ28</v>
      </c>
      <c r="G1117" s="1" t="str">
        <f ca="1">IFERROR(__xludf.DUMMYFUNCTION("""COMPUTED_VALUE"""),"KZ.7700.02.01.00580103 / Действителен до19.07.2024 / 0819028KZ28 / годен до 19.07.2024")</f>
        <v>KZ.7700.02.01.00580103 / Действителен до19.07.2024 / 0819028KZ28 / годен до 19.07.2024</v>
      </c>
      <c r="H1117" s="1" t="str">
        <f ca="1">IFERROR(__xludf.DUMMYFUNCTION("""COMPUTED_VALUE"""),"Бандаж на шейный отдел позвоночника мягкой фиксацией с жесткой вставкой 1005 II(M) KZ.7700.02.01.00580103 / Действителен до19.07.2024 / 0819028KZ28 / годен до 19.07.2024")</f>
        <v>Бандаж на шейный отдел позвоночника мягкой фиксацией с жесткой вставкой 1005 II(M) KZ.7700.02.01.00580103 / Действителен до19.07.2024 / 0819028KZ28 / годен до 19.07.2024</v>
      </c>
    </row>
    <row r="1118" spans="1:8" ht="12.75" x14ac:dyDescent="0.2">
      <c r="A1118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1118" s="1" t="str">
        <f ca="1">IFERROR(__xludf.DUMMYFUNCTION("""COMPUTED_VALUE"""),"KZ.7700.02.01.00580104")</f>
        <v>KZ.7700.02.01.00580104</v>
      </c>
      <c r="C1118" s="1" t="str">
        <f ca="1">IFERROR(__xludf.DUMMYFUNCTION("""COMPUTED_VALUE"""),"Действителен до19.07.2024")</f>
        <v>Действителен до19.07.2024</v>
      </c>
      <c r="D1118" s="8" t="str">
        <f ca="1">IFERROR(__xludf.DUMMYFUNCTION("""COMPUTED_VALUE"""),"0819028KZ28")</f>
        <v>0819028KZ28</v>
      </c>
      <c r="E1118" s="1" t="str">
        <f ca="1">IFERROR(__xludf.DUMMYFUNCTION("""COMPUTED_VALUE"""),"годен до 19.07.2024")</f>
        <v>годен до 19.07.2024</v>
      </c>
      <c r="F1118" s="1" t="str">
        <f ca="1">IFERROR(__xludf.DUMMYFUNCTION("""COMPUTED_VALUE"""),"Бандаж на шейный отдел позвоночника мягкой фиксацией с жесткой вставкой 1005 III(L) - 0819028KZ28")</f>
        <v>Бандаж на шейный отдел позвоночника мягкой фиксацией с жесткой вставкой 1005 III(L) - 0819028KZ28</v>
      </c>
      <c r="G1118" s="1" t="str">
        <f ca="1">IFERROR(__xludf.DUMMYFUNCTION("""COMPUTED_VALUE"""),"KZ.7700.02.01.00580104 / Действителен до19.07.2024 / 0819028KZ28 / годен до 19.07.2024")</f>
        <v>KZ.7700.02.01.00580104 / Действителен до19.07.2024 / 0819028KZ28 / годен до 19.07.2024</v>
      </c>
      <c r="H1118" s="1" t="str">
        <f ca="1">IFERROR(__xludf.DUMMYFUNCTION("""COMPUTED_VALUE"""),"Бандаж на шейный отдел позвоночника мягкой фиксацией с жесткой вставкой 1005 III(L) KZ.7700.02.01.00580104 / Действителен до19.07.2024 / 0819028KZ28 / годен до 19.07.2024")</f>
        <v>Бандаж на шейный отдел позвоночника мягкой фиксацией с жесткой вставкой 1005 III(L) KZ.7700.02.01.00580104 / Действителен до19.07.2024 / 0819028KZ28 / годен до 19.07.2024</v>
      </c>
    </row>
    <row r="1119" spans="1:8" ht="12.75" x14ac:dyDescent="0.2">
      <c r="A1119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119" s="1" t="str">
        <f ca="1">IFERROR(__xludf.DUMMYFUNCTION("""COMPUTED_VALUE"""),"KZ.7700.02.01.00580100")</f>
        <v>KZ.7700.02.01.00580100</v>
      </c>
      <c r="C1119" s="1" t="str">
        <f ca="1">IFERROR(__xludf.DUMMYFUNCTION("""COMPUTED_VALUE"""),"Действителен до19.07.2024")</f>
        <v>Действителен до19.07.2024</v>
      </c>
      <c r="D1119" s="8" t="str">
        <f ca="1">IFERROR(__xludf.DUMMYFUNCTION("""COMPUTED_VALUE"""),"0819028KZ28")</f>
        <v>0819028KZ28</v>
      </c>
      <c r="E1119" s="1" t="str">
        <f ca="1">IFERROR(__xludf.DUMMYFUNCTION("""COMPUTED_VALUE"""),"годен до 19.07.2024")</f>
        <v>годен до 19.07.2024</v>
      </c>
      <c r="F1119" s="1" t="str">
        <f ca="1">IFERROR(__xludf.DUMMYFUNCTION("""COMPUTED_VALUE"""),"Бандаж на шейный отдел позвоночника мягкой фиксацией 1001 I(S) (Болгария) - 0819028KZ28")</f>
        <v>Бандаж на шейный отдел позвоночника мягкой фиксацией 1001 I(S) (Болгария) - 0819028KZ28</v>
      </c>
      <c r="G1119" s="1" t="str">
        <f ca="1">IFERROR(__xludf.DUMMYFUNCTION("""COMPUTED_VALUE"""),"KZ.7700.02.01.00580100 / Действителен до19.07.2024 / 0819028KZ28 / годен до 19.07.2024")</f>
        <v>KZ.7700.02.01.00580100 / Действителен до19.07.2024 / 0819028KZ28 / годен до 19.07.2024</v>
      </c>
      <c r="H1119" s="1" t="str">
        <f ca="1">IFERROR(__xludf.DUMMYFUNCTION("""COMPUTED_VALUE"""),"Бандаж на шейный отдел позвоночника мягкой фиксацией 1001 I(S) (Болгария) KZ.7700.02.01.00580100 / Действителен до19.07.2024 / 0819028KZ28 / годен до 19.07.2024")</f>
        <v>Бандаж на шейный отдел позвоночника мягкой фиксацией 1001 I(S) (Болгария) KZ.7700.02.01.00580100 / Действителен до19.07.2024 / 0819028KZ28 / годен до 19.07.2024</v>
      </c>
    </row>
    <row r="1120" spans="1:8" ht="12.75" x14ac:dyDescent="0.2">
      <c r="A1120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120" s="1" t="str">
        <f ca="1">IFERROR(__xludf.DUMMYFUNCTION("""COMPUTED_VALUE"""),"KZ.7700.02.01.00580101")</f>
        <v>KZ.7700.02.01.00580101</v>
      </c>
      <c r="C1120" s="1" t="str">
        <f ca="1">IFERROR(__xludf.DUMMYFUNCTION("""COMPUTED_VALUE"""),"Действителен до19.07.2024")</f>
        <v>Действителен до19.07.2024</v>
      </c>
      <c r="D1120" s="8" t="str">
        <f ca="1">IFERROR(__xludf.DUMMYFUNCTION("""COMPUTED_VALUE"""),"0819028KZ28")</f>
        <v>0819028KZ28</v>
      </c>
      <c r="E1120" s="1" t="str">
        <f ca="1">IFERROR(__xludf.DUMMYFUNCTION("""COMPUTED_VALUE"""),"годен до 19.07.2024")</f>
        <v>годен до 19.07.2024</v>
      </c>
      <c r="F1120" s="1" t="str">
        <f ca="1">IFERROR(__xludf.DUMMYFUNCTION("""COMPUTED_VALUE"""),"Бандаж на шейный отдел позвоночника мягкой фиксацией 1001 II(M) (Болгария) - 0819028KZ28")</f>
        <v>Бандаж на шейный отдел позвоночника мягкой фиксацией 1001 II(M) (Болгария) - 0819028KZ28</v>
      </c>
      <c r="G1120" s="1" t="str">
        <f ca="1">IFERROR(__xludf.DUMMYFUNCTION("""COMPUTED_VALUE"""),"KZ.7700.02.01.00580101 / Действителен до19.07.2024 / 0819028KZ28 / годен до 19.07.2024")</f>
        <v>KZ.7700.02.01.00580101 / Действителен до19.07.2024 / 0819028KZ28 / годен до 19.07.2024</v>
      </c>
      <c r="H1120" s="1" t="str">
        <f ca="1">IFERROR(__xludf.DUMMYFUNCTION("""COMPUTED_VALUE"""),"Бандаж на шейный отдел позвоночника мягкой фиксацией 1001 II(M) (Болгария) KZ.7700.02.01.00580101 / Действителен до19.07.2024 / 0819028KZ28 / годен до 19.07.2024")</f>
        <v>Бандаж на шейный отдел позвоночника мягкой фиксацией 1001 II(M) (Болгария) KZ.7700.02.01.00580101 / Действителен до19.07.2024 / 0819028KZ28 / годен до 19.07.2024</v>
      </c>
    </row>
    <row r="1121" spans="1:8" ht="12.75" x14ac:dyDescent="0.2">
      <c r="A1121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121" s="1" t="str">
        <f ca="1">IFERROR(__xludf.DUMMYFUNCTION("""COMPUTED_VALUE"""),"KZ.7700.02.01.00580237")</f>
        <v>KZ.7700.02.01.00580237</v>
      </c>
      <c r="C1121" s="1" t="str">
        <f ca="1">IFERROR(__xludf.DUMMYFUNCTION("""COMPUTED_VALUE"""),"Действителен до19.07.2024")</f>
        <v>Действителен до19.07.2024</v>
      </c>
      <c r="D1121" s="8" t="str">
        <f ca="1">IFERROR(__xludf.DUMMYFUNCTION("""COMPUTED_VALUE"""),"0819028KZ28")</f>
        <v>0819028KZ28</v>
      </c>
      <c r="E1121" s="1" t="str">
        <f ca="1">IFERROR(__xludf.DUMMYFUNCTION("""COMPUTED_VALUE"""),"годен до 19.07.2024")</f>
        <v>годен до 19.07.2024</v>
      </c>
      <c r="F1121" s="1" t="str">
        <f ca="1">IFERROR(__xludf.DUMMYFUNCTION("""COMPUTED_VALUE"""),"Бандаж на шейный отдел позвоночника мягкой фиксацией 1001 III(L) (Болгария) - 0819028KZ28")</f>
        <v>Бандаж на шейный отдел позвоночника мягкой фиксацией 1001 III(L) (Болгария) - 0819028KZ28</v>
      </c>
      <c r="G1121" s="1" t="str">
        <f ca="1">IFERROR(__xludf.DUMMYFUNCTION("""COMPUTED_VALUE"""),"KZ.7700.02.01.00580237 / Действителен до19.07.2024 / 0819028KZ28 / годен до 19.07.2024")</f>
        <v>KZ.7700.02.01.00580237 / Действителен до19.07.2024 / 0819028KZ28 / годен до 19.07.2024</v>
      </c>
      <c r="H1121" s="1" t="str">
        <f ca="1">IFERROR(__xludf.DUMMYFUNCTION("""COMPUTED_VALUE"""),"Бандаж на шейный отдел позвоночника мягкой фиксацией 1001 III(L) (Болгария) KZ.7700.02.01.00580237 / Действителен до19.07.2024 / 0819028KZ28 / годен до 19.07.2024")</f>
        <v>Бандаж на шейный отдел позвоночника мягкой фиксацией 1001 III(L) (Болгария) KZ.7700.02.01.00580237 / Действителен до19.07.2024 / 0819028KZ28 / годен до 19.07.2024</v>
      </c>
    </row>
    <row r="1122" spans="1:8" ht="12.75" x14ac:dyDescent="0.2">
      <c r="A1122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122" s="1" t="str">
        <f ca="1">IFERROR(__xludf.DUMMYFUNCTION("""COMPUTED_VALUE"""),"KZ.7700.02.01.00580105")</f>
        <v>KZ.7700.02.01.00580105</v>
      </c>
      <c r="C1122" s="1" t="str">
        <f ca="1">IFERROR(__xludf.DUMMYFUNCTION("""COMPUTED_VALUE"""),"Действителен до19.07.2024")</f>
        <v>Действителен до19.07.2024</v>
      </c>
      <c r="D1122" s="8" t="str">
        <f ca="1">IFERROR(__xludf.DUMMYFUNCTION("""COMPUTED_VALUE"""),"0819028KZ28")</f>
        <v>0819028KZ28</v>
      </c>
      <c r="E1122" s="1" t="str">
        <f ca="1">IFERROR(__xludf.DUMMYFUNCTION("""COMPUTED_VALUE"""),"годен до 19.07.2024")</f>
        <v>годен до 19.07.2024</v>
      </c>
      <c r="F1122" s="1" t="str">
        <f ca="1">IFERROR(__xludf.DUMMYFUNCTION("""COMPUTED_VALUE"""),"Реклинатор (корректор осанки) детский 2005 L (Болгария) - 0819028KZ28")</f>
        <v>Реклинатор (корректор осанки) детский 2005 L (Болгария) - 0819028KZ28</v>
      </c>
      <c r="G1122" s="1" t="str">
        <f ca="1">IFERROR(__xludf.DUMMYFUNCTION("""COMPUTED_VALUE"""),"KZ.7700.02.01.00580105 / Действителен до19.07.2024 / 0819028KZ28 / годен до 19.07.2024")</f>
        <v>KZ.7700.02.01.00580105 / Действителен до19.07.2024 / 0819028KZ28 / годен до 19.07.2024</v>
      </c>
      <c r="H1122" s="1" t="str">
        <f ca="1">IFERROR(__xludf.DUMMYFUNCTION("""COMPUTED_VALUE"""),"Реклинатор (корректор осанки) детский 2005 L (Болгария) KZ.7700.02.01.00580105 / Действителен до19.07.2024 / 0819028KZ28 / годен до 19.07.2024")</f>
        <v>Реклинатор (корректор осанки) детский 2005 L (Болгария) KZ.7700.02.01.00580105 / Действителен до19.07.2024 / 0819028KZ28 / годен до 19.07.2024</v>
      </c>
    </row>
    <row r="1123" spans="1:8" ht="12.75" x14ac:dyDescent="0.2">
      <c r="A1123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1123" s="1" t="str">
        <f ca="1">IFERROR(__xludf.DUMMYFUNCTION("""COMPUTED_VALUE"""),"KZ.7700.02.01.00580106")</f>
        <v>KZ.7700.02.01.00580106</v>
      </c>
      <c r="C1123" s="1" t="str">
        <f ca="1">IFERROR(__xludf.DUMMYFUNCTION("""COMPUTED_VALUE"""),"Действителен до19.07.2024")</f>
        <v>Действителен до19.07.2024</v>
      </c>
      <c r="D1123" s="8" t="str">
        <f ca="1">IFERROR(__xludf.DUMMYFUNCTION("""COMPUTED_VALUE"""),"0819028KZ28")</f>
        <v>0819028KZ28</v>
      </c>
      <c r="E1123" s="1" t="str">
        <f ca="1">IFERROR(__xludf.DUMMYFUNCTION("""COMPUTED_VALUE"""),"годен до 19.07.2024")</f>
        <v>годен до 19.07.2024</v>
      </c>
      <c r="F1123" s="1" t="str">
        <f ca="1">IFERROR(__xludf.DUMMYFUNCTION("""COMPUTED_VALUE"""),"Корректор осанки с ребрами жесткости эластичный 2011 S (Болгария) - 0819028KZ28")</f>
        <v>Корректор осанки с ребрами жесткости эластичный 2011 S (Болгария) - 0819028KZ28</v>
      </c>
      <c r="G1123" s="1" t="str">
        <f ca="1">IFERROR(__xludf.DUMMYFUNCTION("""COMPUTED_VALUE"""),"KZ.7700.02.01.00580106 / Действителен до19.07.2024 / 0819028KZ28 / годен до 19.07.2024")</f>
        <v>KZ.7700.02.01.00580106 / Действителен до19.07.2024 / 0819028KZ28 / годен до 19.07.2024</v>
      </c>
      <c r="H1123" s="1" t="str">
        <f ca="1">IFERROR(__xludf.DUMMYFUNCTION("""COMPUTED_VALUE"""),"Корректор осанки с ребрами жесткости эластичный 2011 S (Болгария) KZ.7700.02.01.00580106 / Действителен до19.07.2024 / 0819028KZ28 / годен до 19.07.2024")</f>
        <v>Корректор осанки с ребрами жесткости эластичный 2011 S (Болгария) KZ.7700.02.01.00580106 / Действителен до19.07.2024 / 0819028KZ28 / годен до 19.07.2024</v>
      </c>
    </row>
    <row r="1124" spans="1:8" ht="12.75" x14ac:dyDescent="0.2">
      <c r="A1124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1124" s="1" t="str">
        <f ca="1">IFERROR(__xludf.DUMMYFUNCTION("""COMPUTED_VALUE"""),"KZ.7700.02.01.00580107")</f>
        <v>KZ.7700.02.01.00580107</v>
      </c>
      <c r="C1124" s="1" t="str">
        <f ca="1">IFERROR(__xludf.DUMMYFUNCTION("""COMPUTED_VALUE"""),"Действителен до19.07.2024")</f>
        <v>Действителен до19.07.2024</v>
      </c>
      <c r="D1124" s="8" t="str">
        <f ca="1">IFERROR(__xludf.DUMMYFUNCTION("""COMPUTED_VALUE"""),"0819028KZ28")</f>
        <v>0819028KZ28</v>
      </c>
      <c r="E1124" s="1" t="str">
        <f ca="1">IFERROR(__xludf.DUMMYFUNCTION("""COMPUTED_VALUE"""),"годен до 19.07.2024")</f>
        <v>годен до 19.07.2024</v>
      </c>
      <c r="F1124" s="1" t="str">
        <f ca="1">IFERROR(__xludf.DUMMYFUNCTION("""COMPUTED_VALUE"""),"Корректор осанки с ребрами жесткости эластичный 2011 M (Болгария) - 0819028KZ28")</f>
        <v>Корректор осанки с ребрами жесткости эластичный 2011 M (Болгария) - 0819028KZ28</v>
      </c>
      <c r="G1124" s="1" t="str">
        <f ca="1">IFERROR(__xludf.DUMMYFUNCTION("""COMPUTED_VALUE"""),"KZ.7700.02.01.00580107 / Действителен до19.07.2024 / 0819028KZ28 / годен до 19.07.2024")</f>
        <v>KZ.7700.02.01.00580107 / Действителен до19.07.2024 / 0819028KZ28 / годен до 19.07.2024</v>
      </c>
      <c r="H1124" s="1" t="str">
        <f ca="1">IFERROR(__xludf.DUMMYFUNCTION("""COMPUTED_VALUE"""),"Корректор осанки с ребрами жесткости эластичный 2011 M (Болгария) KZ.7700.02.01.00580107 / Действителен до19.07.2024 / 0819028KZ28 / годен до 19.07.2024")</f>
        <v>Корректор осанки с ребрами жесткости эластичный 2011 M (Болгария) KZ.7700.02.01.00580107 / Действителен до19.07.2024 / 0819028KZ28 / годен до 19.07.2024</v>
      </c>
    </row>
    <row r="1125" spans="1:8" ht="12.75" x14ac:dyDescent="0.2">
      <c r="A1125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1125" s="1" t="str">
        <f ca="1">IFERROR(__xludf.DUMMYFUNCTION("""COMPUTED_VALUE"""),"KZ.7700.02.01.00580108")</f>
        <v>KZ.7700.02.01.00580108</v>
      </c>
      <c r="C1125" s="1" t="str">
        <f ca="1">IFERROR(__xludf.DUMMYFUNCTION("""COMPUTED_VALUE"""),"Действителен до19.07.2024")</f>
        <v>Действителен до19.07.2024</v>
      </c>
      <c r="D1125" s="8" t="str">
        <f ca="1">IFERROR(__xludf.DUMMYFUNCTION("""COMPUTED_VALUE"""),"0819028KZ28")</f>
        <v>0819028KZ28</v>
      </c>
      <c r="E1125" s="1" t="str">
        <f ca="1">IFERROR(__xludf.DUMMYFUNCTION("""COMPUTED_VALUE"""),"годен до 19.07.2024")</f>
        <v>годен до 19.07.2024</v>
      </c>
      <c r="F1125" s="1" t="str">
        <f ca="1">IFERROR(__xludf.DUMMYFUNCTION("""COMPUTED_VALUE"""),"Корректор осанки с ребрами жесткости эластичный 2011 L (Болгария) - 0819028KZ28")</f>
        <v>Корректор осанки с ребрами жесткости эластичный 2011 L (Болгария) - 0819028KZ28</v>
      </c>
      <c r="G1125" s="1" t="str">
        <f ca="1">IFERROR(__xludf.DUMMYFUNCTION("""COMPUTED_VALUE"""),"KZ.7700.02.01.00580108 / Действителен до19.07.2024 / 0819028KZ28 / годен до 19.07.2024")</f>
        <v>KZ.7700.02.01.00580108 / Действителен до19.07.2024 / 0819028KZ28 / годен до 19.07.2024</v>
      </c>
      <c r="H1125" s="1" t="str">
        <f ca="1">IFERROR(__xludf.DUMMYFUNCTION("""COMPUTED_VALUE"""),"Корректор осанки с ребрами жесткости эластичный 2011 L (Болгария) KZ.7700.02.01.00580108 / Действителен до19.07.2024 / 0819028KZ28 / годен до 19.07.2024")</f>
        <v>Корректор осанки с ребрами жесткости эластичный 2011 L (Болгария) KZ.7700.02.01.00580108 / Действителен до19.07.2024 / 0819028KZ28 / годен до 19.07.2024</v>
      </c>
    </row>
    <row r="1126" spans="1:8" ht="12.75" x14ac:dyDescent="0.2">
      <c r="A1126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1126" s="1" t="str">
        <f ca="1">IFERROR(__xludf.DUMMYFUNCTION("""COMPUTED_VALUE"""),"KZ.7700.02.01.00580246")</f>
        <v>KZ.7700.02.01.00580246</v>
      </c>
      <c r="C1126" s="1" t="str">
        <f ca="1">IFERROR(__xludf.DUMMYFUNCTION("""COMPUTED_VALUE"""),"Действителен до19.07.2024")</f>
        <v>Действителен до19.07.2024</v>
      </c>
      <c r="D1126" s="8" t="str">
        <f ca="1">IFERROR(__xludf.DUMMYFUNCTION("""COMPUTED_VALUE"""),"0819028KZ28")</f>
        <v>0819028KZ28</v>
      </c>
      <c r="E1126" s="1" t="str">
        <f ca="1">IFERROR(__xludf.DUMMYFUNCTION("""COMPUTED_VALUE"""),"годен до 19.07.2024")</f>
        <v>годен до 19.07.2024</v>
      </c>
      <c r="F1126" s="1" t="str">
        <f ca="1">IFERROR(__xludf.DUMMYFUNCTION("""COMPUTED_VALUE"""),"Корректор осанки с ребрами жесткости эластичный 2011 XL (Болгария) - 0819028KZ28")</f>
        <v>Корректор осанки с ребрами жесткости эластичный 2011 XL (Болгария) - 0819028KZ28</v>
      </c>
      <c r="G1126" s="1" t="str">
        <f ca="1">IFERROR(__xludf.DUMMYFUNCTION("""COMPUTED_VALUE"""),"KZ.7700.02.01.00580246 / Действителен до19.07.2024 / 0819028KZ28 / годен до 19.07.2024")</f>
        <v>KZ.7700.02.01.00580246 / Действителен до19.07.2024 / 0819028KZ28 / годен до 19.07.2024</v>
      </c>
      <c r="H1126" s="1" t="str">
        <f ca="1">IFERROR(__xludf.DUMMYFUNCTION("""COMPUTED_VALUE"""),"Корректор осанки с ребрами жесткости эластичный 2011 XL (Болгария) KZ.7700.02.01.00580246 / Действителен до19.07.2024 / 0819028KZ28 / годен до 19.07.2024")</f>
        <v>Корректор осанки с ребрами жесткости эластичный 2011 XL (Болгария) KZ.7700.02.01.00580246 / Действителен до19.07.2024 / 0819028KZ28 / годен до 19.07.2024</v>
      </c>
    </row>
    <row r="1127" spans="1:8" ht="12.75" x14ac:dyDescent="0.2">
      <c r="A1127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1127" s="1" t="str">
        <f ca="1">IFERROR(__xludf.DUMMYFUNCTION("""COMPUTED_VALUE"""),"KZ.7700.02.01.00580245")</f>
        <v>KZ.7700.02.01.00580245</v>
      </c>
      <c r="C1127" s="1" t="str">
        <f ca="1">IFERROR(__xludf.DUMMYFUNCTION("""COMPUTED_VALUE"""),"Действителен до19.07.2024")</f>
        <v>Действителен до19.07.2024</v>
      </c>
      <c r="D1127" s="8" t="str">
        <f ca="1">IFERROR(__xludf.DUMMYFUNCTION("""COMPUTED_VALUE"""),"0819028KZ28")</f>
        <v>0819028KZ28</v>
      </c>
      <c r="E1127" s="1" t="str">
        <f ca="1">IFERROR(__xludf.DUMMYFUNCTION("""COMPUTED_VALUE"""),"годен до 19.07.2024")</f>
        <v>годен до 19.07.2024</v>
      </c>
      <c r="F1127" s="1" t="str">
        <f ca="1">IFERROR(__xludf.DUMMYFUNCTION("""COMPUTED_VALUE"""),"Корректор осанки с ребрами жесткости эластичный 2011 XXL (Болгария) - 0819028KZ28")</f>
        <v>Корректор осанки с ребрами жесткости эластичный 2011 XXL (Болгария) - 0819028KZ28</v>
      </c>
      <c r="G1127" s="1" t="str">
        <f ca="1">IFERROR(__xludf.DUMMYFUNCTION("""COMPUTED_VALUE"""),"KZ.7700.02.01.00580245 / Действителен до19.07.2024 / 0819028KZ28 / годен до 19.07.2024")</f>
        <v>KZ.7700.02.01.00580245 / Действителен до19.07.2024 / 0819028KZ28 / годен до 19.07.2024</v>
      </c>
      <c r="H1127" s="1" t="str">
        <f ca="1">IFERROR(__xludf.DUMMYFUNCTION("""COMPUTED_VALUE"""),"Корректор осанки с ребрами жесткости эластичный 2011 XXL (Болгария) KZ.7700.02.01.00580245 / Действителен до19.07.2024 / 0819028KZ28 / годен до 19.07.2024")</f>
        <v>Корректор осанки с ребрами жесткости эластичный 2011 XXL (Болгария) KZ.7700.02.01.00580245 / Действителен до19.07.2024 / 0819028KZ28 / годен до 19.07.2024</v>
      </c>
    </row>
    <row r="1128" spans="1:8" ht="12.75" x14ac:dyDescent="0.2">
      <c r="A1128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1128" s="1" t="str">
        <f ca="1">IFERROR(__xludf.DUMMYFUNCTION("""COMPUTED_VALUE"""),"KZ.7700.02.01.00580225")</f>
        <v>KZ.7700.02.01.00580225</v>
      </c>
      <c r="C1128" s="1" t="str">
        <f ca="1">IFERROR(__xludf.DUMMYFUNCTION("""COMPUTED_VALUE"""),"Действителен до19.07.2024")</f>
        <v>Действителен до19.07.2024</v>
      </c>
      <c r="D1128" s="8" t="str">
        <f ca="1">IFERROR(__xludf.DUMMYFUNCTION("""COMPUTED_VALUE"""),"0819028KZ28")</f>
        <v>0819028KZ28</v>
      </c>
      <c r="E1128" s="1" t="str">
        <f ca="1">IFERROR(__xludf.DUMMYFUNCTION("""COMPUTED_VALUE"""),"годен до 19.07.2024")</f>
        <v>годен до 19.07.2024</v>
      </c>
      <c r="F1128" s="1" t="str">
        <f ca="1">IFERROR(__xludf.DUMMYFUNCTION("""COMPUTED_VALUE"""),"Бандаж для беременных эластичный 4505 - S (Болгария) - 0819028KZ28")</f>
        <v>Бандаж для беременных эластичный 4505 - S (Болгария) - 0819028KZ28</v>
      </c>
      <c r="G1128" s="1" t="str">
        <f ca="1">IFERROR(__xludf.DUMMYFUNCTION("""COMPUTED_VALUE"""),"KZ.7700.02.01.00580225 / Действителен до19.07.2024 / 0819028KZ28 / годен до 19.07.2024")</f>
        <v>KZ.7700.02.01.00580225 / Действителен до19.07.2024 / 0819028KZ28 / годен до 19.07.2024</v>
      </c>
      <c r="H1128" s="1" t="str">
        <f ca="1">IFERROR(__xludf.DUMMYFUNCTION("""COMPUTED_VALUE"""),"Бандаж для беременных эластичный 4505 - S (Болгария) KZ.7700.02.01.00580225 / Действителен до19.07.2024 / 0819028KZ28 / годен до 19.07.2024")</f>
        <v>Бандаж для беременных эластичный 4505 - S (Болгария) KZ.7700.02.01.00580225 / Действителен до19.07.2024 / 0819028KZ28 / годен до 19.07.2024</v>
      </c>
    </row>
    <row r="1129" spans="1:8" ht="12.75" x14ac:dyDescent="0.2">
      <c r="A1129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1129" s="1" t="str">
        <f ca="1">IFERROR(__xludf.DUMMYFUNCTION("""COMPUTED_VALUE"""),"KZ.7700.02.01.00580224")</f>
        <v>KZ.7700.02.01.00580224</v>
      </c>
      <c r="C1129" s="1" t="str">
        <f ca="1">IFERROR(__xludf.DUMMYFUNCTION("""COMPUTED_VALUE"""),"Действителен до19.07.2024")</f>
        <v>Действителен до19.07.2024</v>
      </c>
      <c r="D1129" s="8" t="str">
        <f ca="1">IFERROR(__xludf.DUMMYFUNCTION("""COMPUTED_VALUE"""),"0819028KZ28")</f>
        <v>0819028KZ28</v>
      </c>
      <c r="E1129" s="1" t="str">
        <f ca="1">IFERROR(__xludf.DUMMYFUNCTION("""COMPUTED_VALUE"""),"годен до 19.07.2024")</f>
        <v>годен до 19.07.2024</v>
      </c>
      <c r="F1129" s="1" t="str">
        <f ca="1">IFERROR(__xludf.DUMMYFUNCTION("""COMPUTED_VALUE"""),"Бандаж для беременных эластичный 4505 - М (Болгария) - 0819028KZ28")</f>
        <v>Бандаж для беременных эластичный 4505 - М (Болгария) - 0819028KZ28</v>
      </c>
      <c r="G1129" s="1" t="str">
        <f ca="1">IFERROR(__xludf.DUMMYFUNCTION("""COMPUTED_VALUE"""),"KZ.7700.02.01.00580224 / Действителен до19.07.2024 / 0819028KZ28 / годен до 19.07.2024")</f>
        <v>KZ.7700.02.01.00580224 / Действителен до19.07.2024 / 0819028KZ28 / годен до 19.07.2024</v>
      </c>
      <c r="H1129" s="1" t="str">
        <f ca="1">IFERROR(__xludf.DUMMYFUNCTION("""COMPUTED_VALUE"""),"Бандаж для беременных эластичный 4505 - М (Болгария) KZ.7700.02.01.00580224 / Действителен до19.07.2024 / 0819028KZ28 / годен до 19.07.2024")</f>
        <v>Бандаж для беременных эластичный 4505 - М (Болгария) KZ.7700.02.01.00580224 / Действителен до19.07.2024 / 0819028KZ28 / годен до 19.07.2024</v>
      </c>
    </row>
    <row r="1130" spans="1:8" ht="12.75" x14ac:dyDescent="0.2">
      <c r="A1130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130" s="1" t="str">
        <f ca="1">IFERROR(__xludf.DUMMYFUNCTION("""COMPUTED_VALUE"""),"KZ.7700.02.01.00580223")</f>
        <v>KZ.7700.02.01.00580223</v>
      </c>
      <c r="C1130" s="1" t="str">
        <f ca="1">IFERROR(__xludf.DUMMYFUNCTION("""COMPUTED_VALUE"""),"Действителен до19.07.2024")</f>
        <v>Действителен до19.07.2024</v>
      </c>
      <c r="D1130" s="8" t="str">
        <f ca="1">IFERROR(__xludf.DUMMYFUNCTION("""COMPUTED_VALUE"""),"0819028KZ28")</f>
        <v>0819028KZ28</v>
      </c>
      <c r="E1130" s="1" t="str">
        <f ca="1">IFERROR(__xludf.DUMMYFUNCTION("""COMPUTED_VALUE"""),"годен до 19.07.2024")</f>
        <v>годен до 19.07.2024</v>
      </c>
      <c r="F1130" s="1" t="str">
        <f ca="1">IFERROR(__xludf.DUMMYFUNCTION("""COMPUTED_VALUE"""),"Бандаж для беременных эластичный 4505 - L (Болгария) - 0819028KZ28")</f>
        <v>Бандаж для беременных эластичный 4505 - L (Болгария) - 0819028KZ28</v>
      </c>
      <c r="G1130" s="1" t="str">
        <f ca="1">IFERROR(__xludf.DUMMYFUNCTION("""COMPUTED_VALUE"""),"KZ.7700.02.01.00580223 / Действителен до19.07.2024 / 0819028KZ28 / годен до 19.07.2024")</f>
        <v>KZ.7700.02.01.00580223 / Действителен до19.07.2024 / 0819028KZ28 / годен до 19.07.2024</v>
      </c>
      <c r="H1130" s="1" t="str">
        <f ca="1">IFERROR(__xludf.DUMMYFUNCTION("""COMPUTED_VALUE"""),"Бандаж для беременных эластичный 4505 - L (Болгария) KZ.7700.02.01.00580223 / Действителен до19.07.2024 / 0819028KZ28 / годен до 19.07.2024")</f>
        <v>Бандаж для беременных эластичный 4505 - L (Болгария) KZ.7700.02.01.00580223 / Действителен до19.07.2024 / 0819028KZ28 / годен до 19.07.2024</v>
      </c>
    </row>
    <row r="1131" spans="1:8" ht="12.75" x14ac:dyDescent="0.2">
      <c r="A1131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131" s="1" t="str">
        <f ca="1">IFERROR(__xludf.DUMMYFUNCTION("""COMPUTED_VALUE"""),"KZ.7700.02.01.00580226")</f>
        <v>KZ.7700.02.01.00580226</v>
      </c>
      <c r="C1131" s="1" t="str">
        <f ca="1">IFERROR(__xludf.DUMMYFUNCTION("""COMPUTED_VALUE"""),"Действителен до19.07.2024")</f>
        <v>Действителен до19.07.2024</v>
      </c>
      <c r="D1131" s="8" t="str">
        <f ca="1">IFERROR(__xludf.DUMMYFUNCTION("""COMPUTED_VALUE"""),"0819028KZ28")</f>
        <v>0819028KZ28</v>
      </c>
      <c r="E1131" s="1" t="str">
        <f ca="1">IFERROR(__xludf.DUMMYFUNCTION("""COMPUTED_VALUE"""),"годен до 19.07.2024")</f>
        <v>годен до 19.07.2024</v>
      </c>
      <c r="F1131" s="1" t="str">
        <f ca="1">IFERROR(__xludf.DUMMYFUNCTION("""COMPUTED_VALUE"""),"Бандаж для беременных эластичный 4505 - XL (Болгария) - 0819028KZ28")</f>
        <v>Бандаж для беременных эластичный 4505 - XL (Болгария) - 0819028KZ28</v>
      </c>
      <c r="G1131" s="1" t="str">
        <f ca="1">IFERROR(__xludf.DUMMYFUNCTION("""COMPUTED_VALUE"""),"KZ.7700.02.01.00580226 / Действителен до19.07.2024 / 0819028KZ28 / годен до 19.07.2024")</f>
        <v>KZ.7700.02.01.00580226 / Действителен до19.07.2024 / 0819028KZ28 / годен до 19.07.2024</v>
      </c>
      <c r="H1131" s="1" t="str">
        <f ca="1">IFERROR(__xludf.DUMMYFUNCTION("""COMPUTED_VALUE"""),"Бандаж для беременных эластичный 4505 - XL (Болгария) KZ.7700.02.01.00580226 / Действителен до19.07.2024 / 0819028KZ28 / годен до 19.07.2024")</f>
        <v>Бандаж для беременных эластичный 4505 - XL (Болгария) KZ.7700.02.01.00580226 / Действителен до19.07.2024 / 0819028KZ28 / годен до 19.07.2024</v>
      </c>
    </row>
    <row r="1132" spans="1:8" ht="12.75" x14ac:dyDescent="0.2">
      <c r="A1132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132" s="1" t="str">
        <f ca="1">IFERROR(__xludf.DUMMYFUNCTION("""COMPUTED_VALUE"""),"KZ.7700.02.01.00580227")</f>
        <v>KZ.7700.02.01.00580227</v>
      </c>
      <c r="C1132" s="1" t="str">
        <f ca="1">IFERROR(__xludf.DUMMYFUNCTION("""COMPUTED_VALUE"""),"Действителен до19.07.2024")</f>
        <v>Действителен до19.07.2024</v>
      </c>
      <c r="D1132" s="8" t="str">
        <f ca="1">IFERROR(__xludf.DUMMYFUNCTION("""COMPUTED_VALUE"""),"0819028KZ28")</f>
        <v>0819028KZ28</v>
      </c>
      <c r="E1132" s="1" t="str">
        <f ca="1">IFERROR(__xludf.DUMMYFUNCTION("""COMPUTED_VALUE"""),"годен до 19.07.2024")</f>
        <v>годен до 19.07.2024</v>
      </c>
      <c r="F1132" s="1" t="str">
        <f ca="1">IFERROR(__xludf.DUMMYFUNCTION("""COMPUTED_VALUE"""),"Бандаж для беременных эластичный 4505 - XXL (Болгария) - 0819028KZ28")</f>
        <v>Бандаж для беременных эластичный 4505 - XXL (Болгария) - 0819028KZ28</v>
      </c>
      <c r="G1132" s="1" t="str">
        <f ca="1">IFERROR(__xludf.DUMMYFUNCTION("""COMPUTED_VALUE"""),"KZ.7700.02.01.00580227 / Действителен до19.07.2024 / 0819028KZ28 / годен до 19.07.2024")</f>
        <v>KZ.7700.02.01.00580227 / Действителен до19.07.2024 / 0819028KZ28 / годен до 19.07.2024</v>
      </c>
      <c r="H1132" s="1" t="str">
        <f ca="1">IFERROR(__xludf.DUMMYFUNCTION("""COMPUTED_VALUE"""),"Бандаж для беременных эластичный 4505 - XXL (Болгария) KZ.7700.02.01.00580227 / Действителен до19.07.2024 / 0819028KZ28 / годен до 19.07.2024")</f>
        <v>Бандаж для беременных эластичный 4505 - XXL (Болгария) KZ.7700.02.01.00580227 / Действителен до19.07.2024 / 0819028KZ28 / годен до 19.07.2024</v>
      </c>
    </row>
    <row r="1133" spans="1:8" ht="12.75" x14ac:dyDescent="0.2">
      <c r="A1133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133" s="1" t="str">
        <f ca="1">IFERROR(__xludf.DUMMYFUNCTION("""COMPUTED_VALUE"""),"KZ.7700.02.01.00580222")</f>
        <v>KZ.7700.02.01.00580222</v>
      </c>
      <c r="C1133" s="1" t="str">
        <f ca="1">IFERROR(__xludf.DUMMYFUNCTION("""COMPUTED_VALUE"""),"Действителен до19.07.2024")</f>
        <v>Действителен до19.07.2024</v>
      </c>
      <c r="D1133" s="8" t="str">
        <f ca="1">IFERROR(__xludf.DUMMYFUNCTION("""COMPUTED_VALUE"""),"0819028KZ28")</f>
        <v>0819028KZ28</v>
      </c>
      <c r="E1133" s="1" t="str">
        <f ca="1">IFERROR(__xludf.DUMMYFUNCTION("""COMPUTED_VALUE"""),"годен до 19.07.2024")</f>
        <v>годен до 19.07.2024</v>
      </c>
      <c r="F1133" s="1" t="str">
        <f ca="1">IFERROR(__xludf.DUMMYFUNCTION("""COMPUTED_VALUE"""),"Бандаж для беременных эластичный 4505 - XXXL (Болгария) - 0819028KZ28")</f>
        <v>Бандаж для беременных эластичный 4505 - XXXL (Болгария) - 0819028KZ28</v>
      </c>
      <c r="G1133" s="1" t="str">
        <f ca="1">IFERROR(__xludf.DUMMYFUNCTION("""COMPUTED_VALUE"""),"KZ.7700.02.01.00580222 / Действителен до19.07.2024 / 0819028KZ28 / годен до 19.07.2024")</f>
        <v>KZ.7700.02.01.00580222 / Действителен до19.07.2024 / 0819028KZ28 / годен до 19.07.2024</v>
      </c>
      <c r="H1133" s="1" t="str">
        <f ca="1">IFERROR(__xludf.DUMMYFUNCTION("""COMPUTED_VALUE"""),"Бандаж для беременных эластичный 4505 - XXXL (Болгария) KZ.7700.02.01.00580222 / Действителен до19.07.2024 / 0819028KZ28 / годен до 19.07.2024")</f>
        <v>Бандаж для беременных эластичный 4505 - XXXL (Болгария) KZ.7700.02.01.00580222 / Действителен до19.07.2024 / 0819028KZ28 / годен до 19.07.2024</v>
      </c>
    </row>
    <row r="1134" spans="1:8" ht="12.75" x14ac:dyDescent="0.2">
      <c r="A1134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1134" s="1" t="str">
        <f ca="1">IFERROR(__xludf.DUMMYFUNCTION("""COMPUTED_VALUE"""),"KZ.7700.02.01.00580238")</f>
        <v>KZ.7700.02.01.00580238</v>
      </c>
      <c r="C1134" s="1" t="str">
        <f ca="1">IFERROR(__xludf.DUMMYFUNCTION("""COMPUTED_VALUE"""),"Действителен до19.07.2024")</f>
        <v>Действителен до19.07.2024</v>
      </c>
      <c r="D1134" s="8" t="str">
        <f ca="1">IFERROR(__xludf.DUMMYFUNCTION("""COMPUTED_VALUE"""),"0819028KZ28")</f>
        <v>0819028KZ28</v>
      </c>
      <c r="E1134" s="1" t="str">
        <f ca="1">IFERROR(__xludf.DUMMYFUNCTION("""COMPUTED_VALUE"""),"годен до 19.07.2024")</f>
        <v>годен до 19.07.2024</v>
      </c>
      <c r="F1134" s="1" t="str">
        <f ca="1">IFERROR(__xludf.DUMMYFUNCTION("""COMPUTED_VALUE"""),"Бандаж при пупочной грыже 5051 XL/XXL (Болгария) - 0819028KZ28")</f>
        <v>Бандаж при пупочной грыже 5051 XL/XXL (Болгария) - 0819028KZ28</v>
      </c>
      <c r="G1134" s="1" t="str">
        <f ca="1">IFERROR(__xludf.DUMMYFUNCTION("""COMPUTED_VALUE"""),"KZ.7700.02.01.00580238 / Действителен до19.07.2024 / 0819028KZ28 / годен до 19.07.2024")</f>
        <v>KZ.7700.02.01.00580238 / Действителен до19.07.2024 / 0819028KZ28 / годен до 19.07.2024</v>
      </c>
      <c r="H1134" s="1" t="str">
        <f ca="1">IFERROR(__xludf.DUMMYFUNCTION("""COMPUTED_VALUE"""),"Бандаж при пупочной грыже 5051 XL/XXL (Болгария) KZ.7700.02.01.00580238 / Действителен до19.07.2024 / 0819028KZ28 / годен до 19.07.2024")</f>
        <v>Бандаж при пупочной грыже 5051 XL/XXL (Болгария) KZ.7700.02.01.00580238 / Действителен до19.07.2024 / 0819028KZ28 / годен до 19.07.2024</v>
      </c>
    </row>
    <row r="1135" spans="1:8" ht="12.75" x14ac:dyDescent="0.2">
      <c r="A1135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1135" s="1" t="str">
        <f ca="1">IFERROR(__xludf.DUMMYFUNCTION("""COMPUTED_VALUE"""),"KZ.7700.02.01.00580249")</f>
        <v>KZ.7700.02.01.00580249</v>
      </c>
      <c r="C1135" s="1" t="str">
        <f ca="1">IFERROR(__xludf.DUMMYFUNCTION("""COMPUTED_VALUE"""),"Действителен до19.07.2024")</f>
        <v>Действителен до19.07.2024</v>
      </c>
      <c r="D1135" s="8" t="str">
        <f ca="1">IFERROR(__xludf.DUMMYFUNCTION("""COMPUTED_VALUE"""),"0819028KZ28")</f>
        <v>0819028KZ28</v>
      </c>
      <c r="E1135" s="1" t="str">
        <f ca="1">IFERROR(__xludf.DUMMYFUNCTION("""COMPUTED_VALUE"""),"годен до 19.07.2024")</f>
        <v>годен до 19.07.2024</v>
      </c>
      <c r="F1135" s="1" t="str">
        <f ca="1">IFERROR(__xludf.DUMMYFUNCTION("""COMPUTED_VALUE"""),"Бандаж при пупочной грыже 5051 XXXL/XXXXL (Болгария) - 0819028KZ28")</f>
        <v>Бандаж при пупочной грыже 5051 XXXL/XXXXL (Болгария) - 0819028KZ28</v>
      </c>
      <c r="G1135" s="1" t="str">
        <f ca="1">IFERROR(__xludf.DUMMYFUNCTION("""COMPUTED_VALUE"""),"KZ.7700.02.01.00580249 / Действителен до19.07.2024 / 0819028KZ28 / годен до 19.07.2024")</f>
        <v>KZ.7700.02.01.00580249 / Действителен до19.07.2024 / 0819028KZ28 / годен до 19.07.2024</v>
      </c>
      <c r="H1135" s="1" t="str">
        <f ca="1">IFERROR(__xludf.DUMMYFUNCTION("""COMPUTED_VALUE"""),"Бандаж при пупочной грыже 5051 XXXL/XXXXL (Болгария) KZ.7700.02.01.00580249 / Действителен до19.07.2024 / 0819028KZ28 / годен до 19.07.2024")</f>
        <v>Бандаж при пупочной грыже 5051 XXXL/XXXXL (Болгария) KZ.7700.02.01.00580249 / Действителен до19.07.2024 / 0819028KZ28 / годен до 19.07.2024</v>
      </c>
    </row>
    <row r="1136" spans="1:8" ht="12.75" x14ac:dyDescent="0.2">
      <c r="A1136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1136" s="1" t="str">
        <f ca="1">IFERROR(__xludf.DUMMYFUNCTION("""COMPUTED_VALUE"""),"KZ.7700.02.01.00580099")</f>
        <v>KZ.7700.02.01.00580099</v>
      </c>
      <c r="C1136" s="1" t="str">
        <f ca="1">IFERROR(__xludf.DUMMYFUNCTION("""COMPUTED_VALUE"""),"Действителен до19.07.2024")</f>
        <v>Действителен до19.07.2024</v>
      </c>
      <c r="D1136" s="8" t="str">
        <f ca="1">IFERROR(__xludf.DUMMYFUNCTION("""COMPUTED_VALUE"""),"0819028KZ28")</f>
        <v>0819028KZ28</v>
      </c>
      <c r="E1136" s="1" t="str">
        <f ca="1">IFERROR(__xludf.DUMMYFUNCTION("""COMPUTED_VALUE"""),"годен до 19.07.2024")</f>
        <v>годен до 19.07.2024</v>
      </c>
      <c r="F1136" s="1" t="str">
        <f ca="1">IFERROR(__xludf.DUMMYFUNCTION("""COMPUTED_VALUE"""),"Бандаж на голеностопный сустав легкой фиксации 7034 L (бежевый) (Болгария) - 0819028KZ28")</f>
        <v>Бандаж на голеностопный сустав легкой фиксации 7034 L (бежевый) (Болгария) - 0819028KZ28</v>
      </c>
      <c r="G1136" s="1" t="str">
        <f ca="1">IFERROR(__xludf.DUMMYFUNCTION("""COMPUTED_VALUE"""),"KZ.7700.02.01.00580099 / Действителен до19.07.2024 / 0819028KZ28 / годен до 19.07.2024")</f>
        <v>KZ.7700.02.01.00580099 / Действителен до19.07.2024 / 0819028KZ28 / годен до 19.07.2024</v>
      </c>
      <c r="H1136" s="1" t="str">
        <f ca="1">IFERROR(__xludf.DUMMYFUNCTION("""COMPUTED_VALUE"""),"Бандаж на голеностопный сустав легкой фиксации 7034 L (бежевый) (Болгария) KZ.7700.02.01.00580099 / Действителен до19.07.2024 / 0819028KZ28 / годен до 19.07.2024")</f>
        <v>Бандаж на голеностопный сустав легкой фиксации 7034 L (бежевый) (Болгария) KZ.7700.02.01.00580099 / Действителен до19.07.2024 / 0819028KZ28 / годен до 19.07.2024</v>
      </c>
    </row>
    <row r="1137" spans="1:8" ht="12.75" x14ac:dyDescent="0.2">
      <c r="A1137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1137" s="1" t="str">
        <f ca="1">IFERROR(__xludf.DUMMYFUNCTION("""COMPUTED_VALUE"""),"KZ.7700.02.01.00580229")</f>
        <v>KZ.7700.02.01.00580229</v>
      </c>
      <c r="C1137" s="1" t="str">
        <f ca="1">IFERROR(__xludf.DUMMYFUNCTION("""COMPUTED_VALUE"""),"Действителен до19.07.2024")</f>
        <v>Действителен до19.07.2024</v>
      </c>
      <c r="D1137" s="8" t="str">
        <f ca="1">IFERROR(__xludf.DUMMYFUNCTION("""COMPUTED_VALUE"""),"0819028KZ28")</f>
        <v>0819028KZ28</v>
      </c>
      <c r="E1137" s="1" t="str">
        <f ca="1">IFERROR(__xludf.DUMMYFUNCTION("""COMPUTED_VALUE"""),"годен до 19.07.2024")</f>
        <v>годен до 19.07.2024</v>
      </c>
      <c r="F1137" s="1" t="str">
        <f ca="1">IFERROR(__xludf.DUMMYFUNCTION("""COMPUTED_VALUE"""),"Бандаж на голеностопный сустав легкой фиксации 7034 XL (бежевый) (Болгария) - 0819028KZ28")</f>
        <v>Бандаж на голеностопный сустав легкой фиксации 7034 XL (бежевый) (Болгария) - 0819028KZ28</v>
      </c>
      <c r="G1137" s="1" t="str">
        <f ca="1">IFERROR(__xludf.DUMMYFUNCTION("""COMPUTED_VALUE"""),"KZ.7700.02.01.00580229 / Действителен до19.07.2024 / 0819028KZ28 / годен до 19.07.2024")</f>
        <v>KZ.7700.02.01.00580229 / Действителен до19.07.2024 / 0819028KZ28 / годен до 19.07.2024</v>
      </c>
      <c r="H1137" s="1" t="str">
        <f ca="1">IFERROR(__xludf.DUMMYFUNCTION("""COMPUTED_VALUE"""),"Бандаж на голеностопный сустав легкой фиксации 7034 XL (бежевый) (Болгария) KZ.7700.02.01.00580229 / Действителен до19.07.2024 / 0819028KZ28 / годен до 19.07.2024")</f>
        <v>Бандаж на голеностопный сустав легкой фиксации 7034 XL (бежевый) (Болгария) KZ.7700.02.01.00580229 / Действителен до19.07.2024 / 0819028KZ28 / годен до 19.07.2024</v>
      </c>
    </row>
    <row r="1138" spans="1:8" ht="12.75" x14ac:dyDescent="0.2">
      <c r="A1138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138" s="1" t="str">
        <f ca="1">IFERROR(__xludf.DUMMYFUNCTION("""COMPUTED_VALUE"""),"KZ.7700.02.01.00580231")</f>
        <v>KZ.7700.02.01.00580231</v>
      </c>
      <c r="C1138" s="1" t="str">
        <f ca="1">IFERROR(__xludf.DUMMYFUNCTION("""COMPUTED_VALUE"""),"Действителен до19.07.2024")</f>
        <v>Действителен до19.07.2024</v>
      </c>
      <c r="D1138" s="8" t="str">
        <f ca="1">IFERROR(__xludf.DUMMYFUNCTION("""COMPUTED_VALUE"""),"0819028KZ28")</f>
        <v>0819028KZ28</v>
      </c>
      <c r="E1138" s="1" t="str">
        <f ca="1">IFERROR(__xludf.DUMMYFUNCTION("""COMPUTED_VALUE"""),"годен до 19.07.2024")</f>
        <v>годен до 19.07.2024</v>
      </c>
      <c r="F1138" s="1" t="str">
        <f ca="1">IFERROR(__xludf.DUMMYFUNCTION("""COMPUTED_VALUE"""),"Бандаж на голеностопный сустав эластичный 7035 M (Болгария) - 0819028KZ28")</f>
        <v>Бандаж на голеностопный сустав эластичный 7035 M (Болгария) - 0819028KZ28</v>
      </c>
      <c r="G1138" s="1" t="str">
        <f ca="1">IFERROR(__xludf.DUMMYFUNCTION("""COMPUTED_VALUE"""),"KZ.7700.02.01.00580231 / Действителен до19.07.2024 / 0819028KZ28 / годен до 19.07.2024")</f>
        <v>KZ.7700.02.01.00580231 / Действителен до19.07.2024 / 0819028KZ28 / годен до 19.07.2024</v>
      </c>
      <c r="H1138" s="1" t="str">
        <f ca="1">IFERROR(__xludf.DUMMYFUNCTION("""COMPUTED_VALUE"""),"Бандаж на голеностопный сустав эластичный 7035 M (Болгария) KZ.7700.02.01.00580231 / Действителен до19.07.2024 / 0819028KZ28 / годен до 19.07.2024")</f>
        <v>Бандаж на голеностопный сустав эластичный 7035 M (Болгария) KZ.7700.02.01.00580231 / Действителен до19.07.2024 / 0819028KZ28 / годен до 19.07.2024</v>
      </c>
    </row>
    <row r="1139" spans="1:8" ht="12.75" x14ac:dyDescent="0.2">
      <c r="A1139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1139" s="1" t="str">
        <f ca="1">IFERROR(__xludf.DUMMYFUNCTION("""COMPUTED_VALUE"""),"KZ.7700.02.01.00580230")</f>
        <v>KZ.7700.02.01.00580230</v>
      </c>
      <c r="C1139" s="1" t="str">
        <f ca="1">IFERROR(__xludf.DUMMYFUNCTION("""COMPUTED_VALUE"""),"Действителен до19.07.2024")</f>
        <v>Действителен до19.07.2024</v>
      </c>
      <c r="D1139" s="8" t="str">
        <f ca="1">IFERROR(__xludf.DUMMYFUNCTION("""COMPUTED_VALUE"""),"0819028KZ28")</f>
        <v>0819028KZ28</v>
      </c>
      <c r="E1139" s="1" t="str">
        <f ca="1">IFERROR(__xludf.DUMMYFUNCTION("""COMPUTED_VALUE"""),"годен до 19.07.2024")</f>
        <v>годен до 19.07.2024</v>
      </c>
      <c r="F1139" s="1" t="str">
        <f ca="1">IFERROR(__xludf.DUMMYFUNCTION("""COMPUTED_VALUE"""),"Бандаж на голеностопный сустав эластичный 7035 XL (Болгария) - 0819028KZ28")</f>
        <v>Бандаж на голеностопный сустав эластичный 7035 XL (Болгария) - 0819028KZ28</v>
      </c>
      <c r="G1139" s="1" t="str">
        <f ca="1">IFERROR(__xludf.DUMMYFUNCTION("""COMPUTED_VALUE"""),"KZ.7700.02.01.00580230 / Действителен до19.07.2024 / 0819028KZ28 / годен до 19.07.2024")</f>
        <v>KZ.7700.02.01.00580230 / Действителен до19.07.2024 / 0819028KZ28 / годен до 19.07.2024</v>
      </c>
      <c r="H1139" s="1" t="str">
        <f ca="1">IFERROR(__xludf.DUMMYFUNCTION("""COMPUTED_VALUE"""),"Бандаж на голеностопный сустав эластичный 7035 XL (Болгария) KZ.7700.02.01.00580230 / Действителен до19.07.2024 / 0819028KZ28 / годен до 19.07.2024")</f>
        <v>Бандаж на голеностопный сустав эластичный 7035 XL (Болгария) KZ.7700.02.01.00580230 / Действителен до19.07.2024 / 0819028KZ28 / годен до 19.07.2024</v>
      </c>
    </row>
    <row r="1140" spans="1:8" ht="12.75" x14ac:dyDescent="0.2">
      <c r="A1140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1140" s="1" t="str">
        <f ca="1">IFERROR(__xludf.DUMMYFUNCTION("""COMPUTED_VALUE"""),"KZ.7700.02.01.00580233")</f>
        <v>KZ.7700.02.01.00580233</v>
      </c>
      <c r="C1140" s="1" t="str">
        <f ca="1">IFERROR(__xludf.DUMMYFUNCTION("""COMPUTED_VALUE"""),"Действителен до19.07.2024")</f>
        <v>Действителен до19.07.2024</v>
      </c>
      <c r="D1140" s="8" t="str">
        <f ca="1">IFERROR(__xludf.DUMMYFUNCTION("""COMPUTED_VALUE"""),"0819028KZ28")</f>
        <v>0819028KZ28</v>
      </c>
      <c r="E1140" s="1" t="str">
        <f ca="1">IFERROR(__xludf.DUMMYFUNCTION("""COMPUTED_VALUE"""),"годен до 19.07.2024")</f>
        <v>годен до 19.07.2024</v>
      </c>
      <c r="F1140" s="1" t="str">
        <f ca="1">IFERROR(__xludf.DUMMYFUNCTION("""COMPUTED_VALUE"""),"Бандаж на коленный сустав эластичный 6040 S (Болгария) - 0819028KZ28")</f>
        <v>Бандаж на коленный сустав эластичный 6040 S (Болгария) - 0819028KZ28</v>
      </c>
      <c r="G1140" s="1" t="str">
        <f ca="1">IFERROR(__xludf.DUMMYFUNCTION("""COMPUTED_VALUE"""),"KZ.7700.02.01.00580233 / Действителен до19.07.2024 / 0819028KZ28 / годен до 19.07.2024")</f>
        <v>KZ.7700.02.01.00580233 / Действителен до19.07.2024 / 0819028KZ28 / годен до 19.07.2024</v>
      </c>
      <c r="H1140" s="1" t="str">
        <f ca="1">IFERROR(__xludf.DUMMYFUNCTION("""COMPUTED_VALUE"""),"Бандаж на коленный сустав эластичный 6040 S (Болгария) KZ.7700.02.01.00580233 / Действителен до19.07.2024 / 0819028KZ28 / годен до 19.07.2024")</f>
        <v>Бандаж на коленный сустав эластичный 6040 S (Болгария) KZ.7700.02.01.00580233 / Действителен до19.07.2024 / 0819028KZ28 / годен до 19.07.2024</v>
      </c>
    </row>
    <row r="1141" spans="1:8" ht="12.75" x14ac:dyDescent="0.2">
      <c r="A1141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1141" s="1" t="str">
        <f ca="1">IFERROR(__xludf.DUMMYFUNCTION("""COMPUTED_VALUE"""),"KZ.7700.02.01.00580232")</f>
        <v>KZ.7700.02.01.00580232</v>
      </c>
      <c r="C1141" s="1" t="str">
        <f ca="1">IFERROR(__xludf.DUMMYFUNCTION("""COMPUTED_VALUE"""),"Действителен до19.07.2024")</f>
        <v>Действителен до19.07.2024</v>
      </c>
      <c r="D1141" s="8" t="str">
        <f ca="1">IFERROR(__xludf.DUMMYFUNCTION("""COMPUTED_VALUE"""),"0819028KZ28")</f>
        <v>0819028KZ28</v>
      </c>
      <c r="E1141" s="1" t="str">
        <f ca="1">IFERROR(__xludf.DUMMYFUNCTION("""COMPUTED_VALUE"""),"годен до 19.07.2024")</f>
        <v>годен до 19.07.2024</v>
      </c>
      <c r="F1141" s="1" t="str">
        <f ca="1">IFERROR(__xludf.DUMMYFUNCTION("""COMPUTED_VALUE"""),"Бандаж на коленный сустав эластичный 6040 M (Болгария) - 0819028KZ28")</f>
        <v>Бандаж на коленный сустав эластичный 6040 M (Болгария) - 0819028KZ28</v>
      </c>
      <c r="G1141" s="1" t="str">
        <f ca="1">IFERROR(__xludf.DUMMYFUNCTION("""COMPUTED_VALUE"""),"KZ.7700.02.01.00580232 / Действителен до19.07.2024 / 0819028KZ28 / годен до 19.07.2024")</f>
        <v>KZ.7700.02.01.00580232 / Действителен до19.07.2024 / 0819028KZ28 / годен до 19.07.2024</v>
      </c>
      <c r="H1141" s="1" t="str">
        <f ca="1">IFERROR(__xludf.DUMMYFUNCTION("""COMPUTED_VALUE"""),"Бандаж на коленный сустав эластичный 6040 M (Болгария) KZ.7700.02.01.00580232 / Действителен до19.07.2024 / 0819028KZ28 / годен до 19.07.2024")</f>
        <v>Бандаж на коленный сустав эластичный 6040 M (Болгария) KZ.7700.02.01.00580232 / Действителен до19.07.2024 / 0819028KZ28 / годен до 19.07.2024</v>
      </c>
    </row>
    <row r="1142" spans="1:8" ht="12.75" x14ac:dyDescent="0.2">
      <c r="A1142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1142" s="1" t="str">
        <f ca="1">IFERROR(__xludf.DUMMYFUNCTION("""COMPUTED_VALUE"""),"KZ.7700.02.01.00580250")</f>
        <v>KZ.7700.02.01.00580250</v>
      </c>
      <c r="C1142" s="1" t="str">
        <f ca="1">IFERROR(__xludf.DUMMYFUNCTION("""COMPUTED_VALUE"""),"Действителен до19.07.2024")</f>
        <v>Действителен до19.07.2024</v>
      </c>
      <c r="D1142" s="8" t="str">
        <f ca="1">IFERROR(__xludf.DUMMYFUNCTION("""COMPUTED_VALUE"""),"0819028KZ28")</f>
        <v>0819028KZ28</v>
      </c>
      <c r="E1142" s="1" t="str">
        <f ca="1">IFERROR(__xludf.DUMMYFUNCTION("""COMPUTED_VALUE"""),"годен до 19.07.2024")</f>
        <v>годен до 19.07.2024</v>
      </c>
      <c r="F1142" s="1" t="str">
        <f ca="1">IFERROR(__xludf.DUMMYFUNCTION("""COMPUTED_VALUE"""),"Бандаж на коленный сустав эластичный 6040 XL (Болгария) - 0819028KZ28")</f>
        <v>Бандаж на коленный сустав эластичный 6040 XL (Болгария) - 0819028KZ28</v>
      </c>
      <c r="G1142" s="1" t="str">
        <f ca="1">IFERROR(__xludf.DUMMYFUNCTION("""COMPUTED_VALUE"""),"KZ.7700.02.01.00580250 / Действителен до19.07.2024 / 0819028KZ28 / годен до 19.07.2024")</f>
        <v>KZ.7700.02.01.00580250 / Действителен до19.07.2024 / 0819028KZ28 / годен до 19.07.2024</v>
      </c>
      <c r="H1142" s="1" t="str">
        <f ca="1">IFERROR(__xludf.DUMMYFUNCTION("""COMPUTED_VALUE"""),"Бандаж на коленный сустав эластичный 6040 XL (Болгария) KZ.7700.02.01.00580250 / Действителен до19.07.2024 / 0819028KZ28 / годен до 19.07.2024")</f>
        <v>Бандаж на коленный сустав эластичный 6040 XL (Болгария) KZ.7700.02.01.00580250 / Действителен до19.07.2024 / 0819028KZ28 / годен до 19.07.2024</v>
      </c>
    </row>
    <row r="1143" spans="1:8" ht="12.75" x14ac:dyDescent="0.2">
      <c r="A1143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143" s="1" t="str">
        <f ca="1">IFERROR(__xludf.DUMMYFUNCTION("""COMPUTED_VALUE"""),"KZ.7700.02.01.00580236")</f>
        <v>KZ.7700.02.01.00580236</v>
      </c>
      <c r="C1143" s="1" t="str">
        <f ca="1">IFERROR(__xludf.DUMMYFUNCTION("""COMPUTED_VALUE"""),"Действителен до19.07.2024")</f>
        <v>Действителен до19.07.2024</v>
      </c>
      <c r="D1143" s="8" t="str">
        <f ca="1">IFERROR(__xludf.DUMMYFUNCTION("""COMPUTED_VALUE"""),"0819028KZ28")</f>
        <v>0819028KZ28</v>
      </c>
      <c r="E1143" s="1" t="str">
        <f ca="1">IFERROR(__xludf.DUMMYFUNCTION("""COMPUTED_VALUE"""),"годен до 19.07.2024")</f>
        <v>годен до 19.07.2024</v>
      </c>
      <c r="F1143" s="1" t="str">
        <f ca="1">IFERROR(__xludf.DUMMYFUNCTION("""COMPUTED_VALUE"""),"Бандаж на лучезапястный сустав эластичный 8503 S (Болгария) - 0819028KZ28")</f>
        <v>Бандаж на лучезапястный сустав эластичный 8503 S (Болгария) - 0819028KZ28</v>
      </c>
      <c r="G1143" s="1" t="str">
        <f ca="1">IFERROR(__xludf.DUMMYFUNCTION("""COMPUTED_VALUE"""),"KZ.7700.02.01.00580236 / Действителен до19.07.2024 / 0819028KZ28 / годен до 19.07.2024")</f>
        <v>KZ.7700.02.01.00580236 / Действителен до19.07.2024 / 0819028KZ28 / годен до 19.07.2024</v>
      </c>
      <c r="H1143" s="1" t="str">
        <f ca="1">IFERROR(__xludf.DUMMYFUNCTION("""COMPUTED_VALUE"""),"Бандаж на лучезапястный сустав эластичный 8503 S (Болгария) KZ.7700.02.01.00580236 / Действителен до19.07.2024 / 0819028KZ28 / годен до 19.07.2024")</f>
        <v>Бандаж на лучезапястный сустав эластичный 8503 S (Болгария) KZ.7700.02.01.00580236 / Действителен до19.07.2024 / 0819028KZ28 / годен до 19.07.2024</v>
      </c>
    </row>
    <row r="1144" spans="1:8" ht="12.75" x14ac:dyDescent="0.2">
      <c r="A1144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144" s="1" t="str">
        <f ca="1">IFERROR(__xludf.DUMMYFUNCTION("""COMPUTED_VALUE"""),"KZ.7700.02.01.00580162")</f>
        <v>KZ.7700.02.01.00580162</v>
      </c>
      <c r="C1144" s="1" t="str">
        <f ca="1">IFERROR(__xludf.DUMMYFUNCTION("""COMPUTED_VALUE"""),"Действителен до19.07.2024")</f>
        <v>Действителен до19.07.2024</v>
      </c>
      <c r="D1144" s="8" t="str">
        <f ca="1">IFERROR(__xludf.DUMMYFUNCTION("""COMPUTED_VALUE"""),"0819028KZ28")</f>
        <v>0819028KZ28</v>
      </c>
      <c r="E1144" s="1" t="str">
        <f ca="1">IFERROR(__xludf.DUMMYFUNCTION("""COMPUTED_VALUE"""),"годен до 19.07.2024")</f>
        <v>годен до 19.07.2024</v>
      </c>
      <c r="F1144" s="1" t="str">
        <f ca="1">IFERROR(__xludf.DUMMYFUNCTION("""COMPUTED_VALUE"""),"Бандаж на лучезапястный сустав эластичный 8503 M (Болгария) - 0819028KZ28")</f>
        <v>Бандаж на лучезапястный сустав эластичный 8503 M (Болгария) - 0819028KZ28</v>
      </c>
      <c r="G1144" s="1" t="str">
        <f ca="1">IFERROR(__xludf.DUMMYFUNCTION("""COMPUTED_VALUE"""),"KZ.7700.02.01.00580162 / Действителен до19.07.2024 / 0819028KZ28 / годен до 19.07.2024")</f>
        <v>KZ.7700.02.01.00580162 / Действителен до19.07.2024 / 0819028KZ28 / годен до 19.07.2024</v>
      </c>
      <c r="H1144" s="1" t="str">
        <f ca="1">IFERROR(__xludf.DUMMYFUNCTION("""COMPUTED_VALUE"""),"Бандаж на лучезапястный сустав эластичный 8503 M (Болгария) KZ.7700.02.01.00580162 / Действителен до19.07.2024 / 0819028KZ28 / годен до 19.07.2024")</f>
        <v>Бандаж на лучезапястный сустав эластичный 8503 M (Болгария) KZ.7700.02.01.00580162 / Действителен до19.07.2024 / 0819028KZ28 / годен до 19.07.2024</v>
      </c>
    </row>
    <row r="1145" spans="1:8" ht="12.75" x14ac:dyDescent="0.2">
      <c r="A1145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145" s="1" t="str">
        <f ca="1">IFERROR(__xludf.DUMMYFUNCTION("""COMPUTED_VALUE"""),"KZ.7700.02.01.00580235")</f>
        <v>KZ.7700.02.01.00580235</v>
      </c>
      <c r="C1145" s="1" t="str">
        <f ca="1">IFERROR(__xludf.DUMMYFUNCTION("""COMPUTED_VALUE"""),"Действителен до19.07.2024")</f>
        <v>Действителен до19.07.2024</v>
      </c>
      <c r="D1145" s="8" t="str">
        <f ca="1">IFERROR(__xludf.DUMMYFUNCTION("""COMPUTED_VALUE"""),"0819028KZ28")</f>
        <v>0819028KZ28</v>
      </c>
      <c r="E1145" s="1" t="str">
        <f ca="1">IFERROR(__xludf.DUMMYFUNCTION("""COMPUTED_VALUE"""),"годен до 19.07.2024")</f>
        <v>годен до 19.07.2024</v>
      </c>
      <c r="F1145" s="1" t="str">
        <f ca="1">IFERROR(__xludf.DUMMYFUNCTION("""COMPUTED_VALUE"""),"Бандаж на лучезапястный сустав с фиксацией пальца 8552 S\M (Болгария) - 0819028KZ28")</f>
        <v>Бандаж на лучезапястный сустав с фиксацией пальца 8552 S\M (Болгария) - 0819028KZ28</v>
      </c>
      <c r="G1145" s="1" t="str">
        <f ca="1">IFERROR(__xludf.DUMMYFUNCTION("""COMPUTED_VALUE"""),"KZ.7700.02.01.00580235 / Действителен до19.07.2024 / 0819028KZ28 / годен до 19.07.2024")</f>
        <v>KZ.7700.02.01.00580235 / Действителен до19.07.2024 / 0819028KZ28 / годен до 19.07.2024</v>
      </c>
      <c r="H1145" s="1" t="str">
        <f ca="1">IFERROR(__xludf.DUMMYFUNCTION("""COMPUTED_VALUE"""),"Бандаж на лучезапястный сустав с фиксацией пальца 8552 S\M (Болгария) KZ.7700.02.01.00580235 / Действителен до19.07.2024 / 0819028KZ28 / годен до 19.07.2024")</f>
        <v>Бандаж на лучезапястный сустав с фиксацией пальца 8552 S\M (Болгария) KZ.7700.02.01.00580235 / Действителен до19.07.2024 / 0819028KZ28 / годен до 19.07.2024</v>
      </c>
    </row>
    <row r="1146" spans="1:8" ht="12.75" x14ac:dyDescent="0.2">
      <c r="A1146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146" s="1" t="str">
        <f ca="1">IFERROR(__xludf.DUMMYFUNCTION("""COMPUTED_VALUE"""),"KZ.7700.02.01.00580234")</f>
        <v>KZ.7700.02.01.00580234</v>
      </c>
      <c r="C1146" s="1" t="str">
        <f ca="1">IFERROR(__xludf.DUMMYFUNCTION("""COMPUTED_VALUE"""),"Действителен до19.07.2024")</f>
        <v>Действителен до19.07.2024</v>
      </c>
      <c r="D1146" s="8" t="str">
        <f ca="1">IFERROR(__xludf.DUMMYFUNCTION("""COMPUTED_VALUE"""),"0819028KZ28")</f>
        <v>0819028KZ28</v>
      </c>
      <c r="E1146" s="1" t="str">
        <f ca="1">IFERROR(__xludf.DUMMYFUNCTION("""COMPUTED_VALUE"""),"годен до 19.07.2024")</f>
        <v>годен до 19.07.2024</v>
      </c>
      <c r="F1146" s="1" t="str">
        <f ca="1">IFERROR(__xludf.DUMMYFUNCTION("""COMPUTED_VALUE"""),"Бандаж на лучезапястный сустав с фиксацией пальца 8552 L\XL (Болгария) - 0819028KZ28")</f>
        <v>Бандаж на лучезапястный сустав с фиксацией пальца 8552 L\XL (Болгария) - 0819028KZ28</v>
      </c>
      <c r="G1146" s="1" t="str">
        <f ca="1">IFERROR(__xludf.DUMMYFUNCTION("""COMPUTED_VALUE"""),"KZ.7700.02.01.00580234 / Действителен до19.07.2024 / 0819028KZ28 / годен до 19.07.2024")</f>
        <v>KZ.7700.02.01.00580234 / Действителен до19.07.2024 / 0819028KZ28 / годен до 19.07.2024</v>
      </c>
      <c r="H1146" s="1" t="str">
        <f ca="1">IFERROR(__xludf.DUMMYFUNCTION("""COMPUTED_VALUE"""),"Бандаж на лучезапястный сустав с фиксацией пальца 8552 L\XL (Болгария) KZ.7700.02.01.00580234 / Действителен до19.07.2024 / 0819028KZ28 / годен до 19.07.2024")</f>
        <v>Бандаж на лучезапястный сустав с фиксацией пальца 8552 L\XL (Болгария) KZ.7700.02.01.00580234 / Действителен до19.07.2024 / 0819028KZ28 / годен до 19.07.2024</v>
      </c>
    </row>
    <row r="1147" spans="1:8" ht="12.75" x14ac:dyDescent="0.2">
      <c r="A1147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1147" s="1" t="str">
        <f ca="1">IFERROR(__xludf.DUMMYFUNCTION("""COMPUTED_VALUE"""),"KZ.7700.02.01.00580256")</f>
        <v>KZ.7700.02.01.00580256</v>
      </c>
      <c r="C1147" s="1" t="str">
        <f ca="1">IFERROR(__xludf.DUMMYFUNCTION("""COMPUTED_VALUE"""),"Действителен до19.07.2024")</f>
        <v>Действителен до19.07.2024</v>
      </c>
      <c r="D1147" s="8" t="str">
        <f ca="1">IFERROR(__xludf.DUMMYFUNCTION("""COMPUTED_VALUE"""),"0819028KZ28")</f>
        <v>0819028KZ28</v>
      </c>
      <c r="E1147" s="1" t="str">
        <f ca="1">IFERROR(__xludf.DUMMYFUNCTION("""COMPUTED_VALUE"""),"годен до 19.07.2024")</f>
        <v>годен до 19.07.2024</v>
      </c>
      <c r="F1147" s="1" t="str">
        <f ca="1">IFERROR(__xludf.DUMMYFUNCTION("""COMPUTED_VALUE"""),"Бандаж для руки поддерживающий облегченный (косынка) 9912 S (черный) (Болгария) - 0819028KZ28")</f>
        <v>Бандаж для руки поддерживающий облегченный (косынка) 9912 S (черный) (Болгария) - 0819028KZ28</v>
      </c>
      <c r="G1147" s="1" t="str">
        <f ca="1">IFERROR(__xludf.DUMMYFUNCTION("""COMPUTED_VALUE"""),"KZ.7700.02.01.00580256 / Действителен до19.07.2024 / 0819028KZ28 / годен до 19.07.2024")</f>
        <v>KZ.7700.02.01.00580256 / Действителен до19.07.2024 / 0819028KZ28 / годен до 19.07.2024</v>
      </c>
      <c r="H1147" s="1" t="str">
        <f ca="1">IFERROR(__xludf.DUMMYFUNCTION("""COMPUTED_VALUE"""),"Бандаж для руки поддерживающий облегченный (косынка) 9912 S (черный) (Болгария) KZ.7700.02.01.00580256 / Действителен до19.07.2024 / 0819028KZ28 / годен до 19.07.2024")</f>
        <v>Бандаж для руки поддерживающий облегченный (косынка) 9912 S (черный) (Болгария) KZ.7700.02.01.00580256 / Действителен до19.07.2024 / 0819028KZ28 / годен до 19.07.2024</v>
      </c>
    </row>
    <row r="1148" spans="1:8" ht="12.75" x14ac:dyDescent="0.2">
      <c r="A1148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148" s="1" t="str">
        <f ca="1">IFERROR(__xludf.DUMMYFUNCTION("""COMPUTED_VALUE"""),"KZ.7700.02.01.00580254")</f>
        <v>KZ.7700.02.01.00580254</v>
      </c>
      <c r="C1148" s="1" t="str">
        <f ca="1">IFERROR(__xludf.DUMMYFUNCTION("""COMPUTED_VALUE"""),"Действителен до19.07.2024")</f>
        <v>Действителен до19.07.2024</v>
      </c>
      <c r="D1148" s="8" t="str">
        <f ca="1">IFERROR(__xludf.DUMMYFUNCTION("""COMPUTED_VALUE"""),"0819028KZ28")</f>
        <v>0819028KZ28</v>
      </c>
      <c r="E1148" s="1" t="str">
        <f ca="1">IFERROR(__xludf.DUMMYFUNCTION("""COMPUTED_VALUE"""),"годен до 19.07.2024")</f>
        <v>годен до 19.07.2024</v>
      </c>
      <c r="F1148" s="1" t="str">
        <f ca="1">IFERROR(__xludf.DUMMYFUNCTION("""COMPUTED_VALUE"""),"Бандаж для руки поддерживающий облегченный (косынка) 9912 M (черный) (Болгария) - 0819028KZ28")</f>
        <v>Бандаж для руки поддерживающий облегченный (косынка) 9912 M (черный) (Болгария) - 0819028KZ28</v>
      </c>
      <c r="G1148" s="1" t="str">
        <f ca="1">IFERROR(__xludf.DUMMYFUNCTION("""COMPUTED_VALUE"""),"KZ.7700.02.01.00580254 / Действителен до19.07.2024 / 0819028KZ28 / годен до 19.07.2024")</f>
        <v>KZ.7700.02.01.00580254 / Действителен до19.07.2024 / 0819028KZ28 / годен до 19.07.2024</v>
      </c>
      <c r="H1148" s="1" t="str">
        <f ca="1">IFERROR(__xludf.DUMMYFUNCTION("""COMPUTED_VALUE"""),"Бандаж для руки поддерживающий облегченный (косынка) 9912 M (черный) (Болгария) KZ.7700.02.01.00580254 / Действителен до19.07.2024 / 0819028KZ28 / годен до 19.07.2024")</f>
        <v>Бандаж для руки поддерживающий облегченный (косынка) 9912 M (черный) (Болгария) KZ.7700.02.01.00580254 / Действителен до19.07.2024 / 0819028KZ28 / годен до 19.07.2024</v>
      </c>
    </row>
    <row r="1149" spans="1:8" ht="12.75" x14ac:dyDescent="0.2">
      <c r="A1149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149" s="1" t="str">
        <f ca="1">IFERROR(__xludf.DUMMYFUNCTION("""COMPUTED_VALUE"""),"KZ.7700.02.01.00580255")</f>
        <v>KZ.7700.02.01.00580255</v>
      </c>
      <c r="C1149" s="1" t="str">
        <f ca="1">IFERROR(__xludf.DUMMYFUNCTION("""COMPUTED_VALUE"""),"Действителен до19.07.2024")</f>
        <v>Действителен до19.07.2024</v>
      </c>
      <c r="D1149" s="8" t="str">
        <f ca="1">IFERROR(__xludf.DUMMYFUNCTION("""COMPUTED_VALUE"""),"0819028KZ28")</f>
        <v>0819028KZ28</v>
      </c>
      <c r="E1149" s="1" t="str">
        <f ca="1">IFERROR(__xludf.DUMMYFUNCTION("""COMPUTED_VALUE"""),"годен до 19.07.2024")</f>
        <v>годен до 19.07.2024</v>
      </c>
      <c r="F1149" s="1" t="str">
        <f ca="1">IFERROR(__xludf.DUMMYFUNCTION("""COMPUTED_VALUE"""),"Бандаж для руки поддерживающий облегченный (косынка) 9912 L (черный) (Болгария) - 0819028KZ28")</f>
        <v>Бандаж для руки поддерживающий облегченный (косынка) 9912 L (черный) (Болгария) - 0819028KZ28</v>
      </c>
      <c r="G1149" s="1" t="str">
        <f ca="1">IFERROR(__xludf.DUMMYFUNCTION("""COMPUTED_VALUE"""),"KZ.7700.02.01.00580255 / Действителен до19.07.2024 / 0819028KZ28 / годен до 19.07.2024")</f>
        <v>KZ.7700.02.01.00580255 / Действителен до19.07.2024 / 0819028KZ28 / годен до 19.07.2024</v>
      </c>
      <c r="H1149" s="1" t="str">
        <f ca="1">IFERROR(__xludf.DUMMYFUNCTION("""COMPUTED_VALUE"""),"Бандаж для руки поддерживающий облегченный (косынка) 9912 L (черный) (Болгария) KZ.7700.02.01.00580255 / Действителен до19.07.2024 / 0819028KZ28 / годен до 19.07.2024")</f>
        <v>Бандаж для руки поддерживающий облегченный (косынка) 9912 L (черный) (Болгария) KZ.7700.02.01.00580255 / Действителен до19.07.2024 / 0819028KZ28 / годен до 19.07.2024</v>
      </c>
    </row>
    <row r="1150" spans="1:8" ht="12.75" x14ac:dyDescent="0.2">
      <c r="A1150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B1150" s="1" t="str">
        <f ca="1">IFERROR(__xludf.DUMMYFUNCTION("""COMPUTED_VALUE"""),"KZ.7700.02.01.00580253")</f>
        <v>KZ.7700.02.01.00580253</v>
      </c>
      <c r="C1150" s="1" t="str">
        <f ca="1">IFERROR(__xludf.DUMMYFUNCTION("""COMPUTED_VALUE"""),"Действителен до19.07.2024")</f>
        <v>Действителен до19.07.2024</v>
      </c>
      <c r="D1150" s="8" t="str">
        <f ca="1">IFERROR(__xludf.DUMMYFUNCTION("""COMPUTED_VALUE"""),"0819028KZ28")</f>
        <v>0819028KZ28</v>
      </c>
      <c r="E1150" s="1" t="str">
        <f ca="1">IFERROR(__xludf.DUMMYFUNCTION("""COMPUTED_VALUE"""),"годен до 19.07.2024")</f>
        <v>годен до 19.07.2024</v>
      </c>
      <c r="F1150" s="1" t="str">
        <f ca="1">IFERROR(__xludf.DUMMYFUNCTION("""COMPUTED_VALUE"""),"Бандаж для руки поддерживающий облегченный (косынка) 9912 S (белый) (Болгария) - 0819028KZ28")</f>
        <v>Бандаж для руки поддерживающий облегченный (косынка) 9912 S (белый) (Болгария) - 0819028KZ28</v>
      </c>
      <c r="G1150" s="1" t="str">
        <f ca="1">IFERROR(__xludf.DUMMYFUNCTION("""COMPUTED_VALUE"""),"KZ.7700.02.01.00580253 / Действителен до19.07.2024 / 0819028KZ28 / годен до 19.07.2024")</f>
        <v>KZ.7700.02.01.00580253 / Действителен до19.07.2024 / 0819028KZ28 / годен до 19.07.2024</v>
      </c>
      <c r="H1150" s="1" t="str">
        <f ca="1">IFERROR(__xludf.DUMMYFUNCTION("""COMPUTED_VALUE"""),"Бандаж для руки поддерживающий облегченный (косынка) 9912 S (белый) (Болгария) KZ.7700.02.01.00580253 / Действителен до19.07.2024 / 0819028KZ28 / годен до 19.07.2024")</f>
        <v>Бандаж для руки поддерживающий облегченный (косынка) 9912 S (белый) (Болгария) KZ.7700.02.01.00580253 / Действителен до19.07.2024 / 0819028KZ28 / годен до 19.07.2024</v>
      </c>
    </row>
    <row r="1151" spans="1:8" ht="12.75" x14ac:dyDescent="0.2">
      <c r="A1151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1151" s="1" t="str">
        <f ca="1">IFERROR(__xludf.DUMMYFUNCTION("""COMPUTED_VALUE"""),"KZ.7700.02.01.00580228")</f>
        <v>KZ.7700.02.01.00580228</v>
      </c>
      <c r="C1151" s="1" t="str">
        <f ca="1">IFERROR(__xludf.DUMMYFUNCTION("""COMPUTED_VALUE"""),"Действителен до19.07.2024")</f>
        <v>Действителен до19.07.2024</v>
      </c>
      <c r="D1151" s="8" t="str">
        <f ca="1">IFERROR(__xludf.DUMMYFUNCTION("""COMPUTED_VALUE"""),"0819028KZ28")</f>
        <v>0819028KZ28</v>
      </c>
      <c r="E1151" s="1" t="str">
        <f ca="1">IFERROR(__xludf.DUMMYFUNCTION("""COMPUTED_VALUE"""),"годен до 19.07.2024")</f>
        <v>годен до 19.07.2024</v>
      </c>
      <c r="F1151" s="1" t="str">
        <f ca="1">IFERROR(__xludf.DUMMYFUNCTION("""COMPUTED_VALUE"""),"Бандаж для руки поддерживающий облегченный (косынка) 9912 M (белый) (Болгария) - 0819028KZ28")</f>
        <v>Бандаж для руки поддерживающий облегченный (косынка) 9912 M (белый) (Болгария) - 0819028KZ28</v>
      </c>
      <c r="G1151" s="1" t="str">
        <f ca="1">IFERROR(__xludf.DUMMYFUNCTION("""COMPUTED_VALUE"""),"KZ.7700.02.01.00580228 / Действителен до19.07.2024 / 0819028KZ28 / годен до 19.07.2024")</f>
        <v>KZ.7700.02.01.00580228 / Действителен до19.07.2024 / 0819028KZ28 / годен до 19.07.2024</v>
      </c>
      <c r="H1151" s="1" t="str">
        <f ca="1">IFERROR(__xludf.DUMMYFUNCTION("""COMPUTED_VALUE"""),"Бандаж для руки поддерживающий облегченный (косынка) 9912 M (белый) (Болгария) KZ.7700.02.01.00580228 / Действителен до19.07.2024 / 0819028KZ28 / годен до 19.07.2024")</f>
        <v>Бандаж для руки поддерживающий облегченный (косынка) 9912 M (белый) (Болгария) KZ.7700.02.01.00580228 / Действителен до19.07.2024 / 0819028KZ28 / годен до 19.07.2024</v>
      </c>
    </row>
    <row r="1152" spans="1:8" ht="12.75" x14ac:dyDescent="0.2">
      <c r="A1152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152" s="1" t="str">
        <f ca="1">IFERROR(__xludf.DUMMYFUNCTION("""COMPUTED_VALUE"""),"KZ.7700.02.01.00580252")</f>
        <v>KZ.7700.02.01.00580252</v>
      </c>
      <c r="C1152" s="1" t="str">
        <f ca="1">IFERROR(__xludf.DUMMYFUNCTION("""COMPUTED_VALUE"""),"Действителен до19.07.2024")</f>
        <v>Действителен до19.07.2024</v>
      </c>
      <c r="D1152" s="8" t="str">
        <f ca="1">IFERROR(__xludf.DUMMYFUNCTION("""COMPUTED_VALUE"""),"0819028KZ28")</f>
        <v>0819028KZ28</v>
      </c>
      <c r="E1152" s="1" t="str">
        <f ca="1">IFERROR(__xludf.DUMMYFUNCTION("""COMPUTED_VALUE"""),"годен до 19.07.2024")</f>
        <v>годен до 19.07.2024</v>
      </c>
      <c r="F1152" s="1" t="str">
        <f ca="1">IFERROR(__xludf.DUMMYFUNCTION("""COMPUTED_VALUE"""),"Бандаж для руки поддерживающий облегченный (косынка) 9912 XL (черный) (Болгария) - 0819028KZ28")</f>
        <v>Бандаж для руки поддерживающий облегченный (косынка) 9912 XL (черный) (Болгария) - 0819028KZ28</v>
      </c>
      <c r="G1152" s="1" t="str">
        <f ca="1">IFERROR(__xludf.DUMMYFUNCTION("""COMPUTED_VALUE"""),"KZ.7700.02.01.00580252 / Действителен до19.07.2024 / 0819028KZ28 / годен до 19.07.2024")</f>
        <v>KZ.7700.02.01.00580252 / Действителен до19.07.2024 / 0819028KZ28 / годен до 19.07.2024</v>
      </c>
      <c r="H1152" s="1" t="str">
        <f ca="1">IFERROR(__xludf.DUMMYFUNCTION("""COMPUTED_VALUE"""),"Бандаж для руки поддерживающий облегченный (косынка) 9912 XL (черный) (Болгария) KZ.7700.02.01.00580252 / Действителен до19.07.2024 / 0819028KZ28 / годен до 19.07.2024")</f>
        <v>Бандаж для руки поддерживающий облегченный (косынка) 9912 XL (черный) (Болгария) KZ.7700.02.01.00580252 / Действителен до19.07.2024 / 0819028KZ28 / годен до 19.07.2024</v>
      </c>
    </row>
    <row r="1153" spans="1:8" ht="12.75" x14ac:dyDescent="0.2">
      <c r="A1153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153" s="1" t="str">
        <f ca="1">IFERROR(__xludf.DUMMYFUNCTION("""COMPUTED_VALUE"""),"KZ.7700.02.01.00580248")</f>
        <v>KZ.7700.02.01.00580248</v>
      </c>
      <c r="C1153" s="1" t="str">
        <f ca="1">IFERROR(__xludf.DUMMYFUNCTION("""COMPUTED_VALUE"""),"Действителен до19.07.2024")</f>
        <v>Действителен до19.07.2024</v>
      </c>
      <c r="D1153" s="8" t="str">
        <f ca="1">IFERROR(__xludf.DUMMYFUNCTION("""COMPUTED_VALUE"""),"0819028KZ28")</f>
        <v>0819028KZ28</v>
      </c>
      <c r="E1153" s="1" t="str">
        <f ca="1">IFERROR(__xludf.DUMMYFUNCTION("""COMPUTED_VALUE"""),"годен до 19.07.2024")</f>
        <v>годен до 19.07.2024</v>
      </c>
      <c r="F1153" s="1" t="str">
        <f ca="1">IFERROR(__xludf.DUMMYFUNCTION("""COMPUTED_VALUE"""),"Бинт эластичный медицинский средней растяжимости (ширина 80 мм) 02х80х1 - 0819028KZ28")</f>
        <v>Бинт эластичный медицинский средней растяжимости (ширина 80 мм) 02х80х1 - 0819028KZ28</v>
      </c>
      <c r="G1153" s="1" t="str">
        <f ca="1">IFERROR(__xludf.DUMMYFUNCTION("""COMPUTED_VALUE"""),"KZ.7700.02.01.00580248 / Действителен до19.07.2024 / 0819028KZ28 / годен до 19.07.2024")</f>
        <v>KZ.7700.02.01.00580248 / Действителен до19.07.2024 / 0819028KZ28 / годен до 19.07.2024</v>
      </c>
      <c r="H1153" s="1" t="str">
        <f ca="1">IFERROR(__xludf.DUMMYFUNCTION("""COMPUTED_VALUE"""),"Бинт эластичный медицинский средней растяжимости (ширина 80 мм) 02х80х1 KZ.7700.02.01.00580248 / Действителен до19.07.2024 / 0819028KZ28 / годен до 19.07.2024")</f>
        <v>Бинт эластичный медицинский средней растяжимости (ширина 80 мм) 02х80х1 KZ.7700.02.01.00580248 / Действителен до19.07.2024 / 0819028KZ28 / годен до 19.07.2024</v>
      </c>
    </row>
    <row r="1154" spans="1:8" ht="12.75" x14ac:dyDescent="0.2">
      <c r="A1154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154" s="1" t="str">
        <f ca="1">IFERROR(__xludf.DUMMYFUNCTION("""COMPUTED_VALUE"""),"KZ.7700.02.01.00580247")</f>
        <v>KZ.7700.02.01.00580247</v>
      </c>
      <c r="C1154" s="1" t="str">
        <f ca="1">IFERROR(__xludf.DUMMYFUNCTION("""COMPUTED_VALUE"""),"Действителен до 29.03.2024")</f>
        <v>Действителен до 29.03.2024</v>
      </c>
      <c r="D1154" s="8" t="str">
        <f ca="1">IFERROR(__xludf.DUMMYFUNCTION("""COMPUTED_VALUE"""),"04190006KZ06")</f>
        <v>04190006KZ06</v>
      </c>
      <c r="E1154" s="1" t="str">
        <f ca="1">IFERROR(__xludf.DUMMYFUNCTION("""COMPUTED_VALUE"""),"годен до 29.03.2024")</f>
        <v>годен до 29.03.2024</v>
      </c>
      <c r="F1154" s="1" t="str">
        <f ca="1">IFERROR(__xludf.DUMMYFUNCTION("""COMPUTED_VALUE"""),"Бинт эластичный медицинский средней растяжимости (ширина 80 мм) 02х80х1 - 04190006KZ06")</f>
        <v>Бинт эластичный медицинский средней растяжимости (ширина 80 мм) 02х80х1 - 04190006KZ06</v>
      </c>
      <c r="G1154" s="1" t="str">
        <f ca="1">IFERROR(__xludf.DUMMYFUNCTION("""COMPUTED_VALUE"""),"KZ.7700.02.01.00580247 / Действителен до 29.03.2024 / 04190006KZ06 / годен до 29.03.2024")</f>
        <v>KZ.7700.02.01.00580247 / Действителен до 29.03.2024 / 04190006KZ06 / годен до 29.03.2024</v>
      </c>
      <c r="H1154" s="1" t="str">
        <f ca="1">IFERROR(__xludf.DUMMYFUNCTION("""COMPUTED_VALUE"""),"Бинт эластичный медицинский средней растяжимости (ширина 80 мм) 02х80х1 KZ.7700.02.01.00580247 / Действителен до 29.03.2024 / 04190006KZ06 / годен до 29.03.2024")</f>
        <v>Бинт эластичный медицинский средней растяжимости (ширина 80 мм) 02х80х1 KZ.7700.02.01.00580247 / Действителен до 29.03.2024 / 04190006KZ06 / годен до 29.03.2024</v>
      </c>
    </row>
    <row r="1155" spans="1:8" ht="12.75" x14ac:dyDescent="0.2">
      <c r="A1155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155" s="1" t="str">
        <f ca="1">IFERROR(__xludf.DUMMYFUNCTION("""COMPUTED_VALUE"""),"KZ.7700.02.01.00580251")</f>
        <v>KZ.7700.02.01.00580251</v>
      </c>
      <c r="C1155" s="1" t="str">
        <f ca="1">IFERROR(__xludf.DUMMYFUNCTION("""COMPUTED_VALUE"""),"Действителен до 19.07.2024")</f>
        <v>Действителен до 19.07.2024</v>
      </c>
      <c r="D1155" s="8" t="str">
        <f ca="1">IFERROR(__xludf.DUMMYFUNCTION("""COMPUTED_VALUE"""),"0819028KZ28")</f>
        <v>0819028KZ28</v>
      </c>
      <c r="E1155" s="1" t="str">
        <f ca="1">IFERROR(__xludf.DUMMYFUNCTION("""COMPUTED_VALUE"""),"годен до 19.07.2024")</f>
        <v>годен до 19.07.2024</v>
      </c>
      <c r="F1155" s="1" t="str">
        <f ca="1">IFERROR(__xludf.DUMMYFUNCTION("""COMPUTED_VALUE"""),"Бинт эластичный медицинский средней растяжимости (ширина 80 мм) 02х80х1.5 - 0819028KZ28")</f>
        <v>Бинт эластичный медицинский средней растяжимости (ширина 80 мм) 02х80х1.5 - 0819028KZ28</v>
      </c>
      <c r="G1155" s="1" t="str">
        <f ca="1">IFERROR(__xludf.DUMMYFUNCTION("""COMPUTED_VALUE"""),"KZ.7700.02.01.00580251 / Действителен до 19.07.2024 / 0819028KZ28 / годен до 19.07.2024")</f>
        <v>KZ.7700.02.01.00580251 / Действителен до 19.07.2024 / 0819028KZ28 / годен до 19.07.2024</v>
      </c>
      <c r="H1155" s="1" t="str">
        <f ca="1">IFERROR(__xludf.DUMMYFUNCTION("""COMPUTED_VALUE"""),"Бинт эластичный медицинский средней растяжимости (ширина 80 мм) 02х80х1.5 KZ.7700.02.01.00580251 / Действителен до 19.07.2024 / 0819028KZ28 / годен до 19.07.2024")</f>
        <v>Бинт эластичный медицинский средней растяжимости (ширина 80 мм) 02х80х1.5 KZ.7700.02.01.00580251 / Действителен до 19.07.2024 / 0819028KZ28 / годен до 19.07.2024</v>
      </c>
    </row>
    <row r="1156" spans="1:8" ht="12.75" x14ac:dyDescent="0.2">
      <c r="A1156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156" s="1" t="str">
        <f ca="1">IFERROR(__xludf.DUMMYFUNCTION("""COMPUTED_VALUE"""),"KZ.7700.02.01.00580244")</f>
        <v>KZ.7700.02.01.00580244</v>
      </c>
      <c r="C1156" s="1" t="str">
        <f ca="1">IFERROR(__xludf.DUMMYFUNCTION("""COMPUTED_VALUE"""),"Действителен до 29.03.2024")</f>
        <v>Действителен до 29.03.2024</v>
      </c>
      <c r="D1156" s="8" t="str">
        <f ca="1">IFERROR(__xludf.DUMMYFUNCTION("""COMPUTED_VALUE"""),"04190006KZ06")</f>
        <v>04190006KZ06</v>
      </c>
      <c r="E1156" s="1" t="str">
        <f ca="1">IFERROR(__xludf.DUMMYFUNCTION("""COMPUTED_VALUE"""),"годен до 29.03.2024")</f>
        <v>годен до 29.03.2024</v>
      </c>
      <c r="F1156" s="1" t="str">
        <f ca="1">IFERROR(__xludf.DUMMYFUNCTION("""COMPUTED_VALUE"""),"Бинт эластичный медицинский средней растяжимости (ширина 80 мм) 02х80х1.5 - 04190006KZ06")</f>
        <v>Бинт эластичный медицинский средней растяжимости (ширина 80 мм) 02х80х1.5 - 04190006KZ06</v>
      </c>
      <c r="G1156" s="1" t="str">
        <f ca="1">IFERROR(__xludf.DUMMYFUNCTION("""COMPUTED_VALUE"""),"KZ.7700.02.01.00580244 / Действителен до 29.03.2024 / 04190006KZ06 / годен до 29.03.2024")</f>
        <v>KZ.7700.02.01.00580244 / Действителен до 29.03.2024 / 04190006KZ06 / годен до 29.03.2024</v>
      </c>
      <c r="H1156" s="1" t="str">
        <f ca="1">IFERROR(__xludf.DUMMYFUNCTION("""COMPUTED_VALUE"""),"Бинт эластичный медицинский средней растяжимости (ширина 80 мм) 02х80х1.5 KZ.7700.02.01.00580244 / Действителен до 29.03.2024 / 04190006KZ06 / годен до 29.03.2024")</f>
        <v>Бинт эластичный медицинский средней растяжимости (ширина 80 мм) 02х80х1.5 KZ.7700.02.01.00580244 / Действителен до 29.03.2024 / 04190006KZ06 / годен до 29.03.2024</v>
      </c>
    </row>
    <row r="1157" spans="1:8" ht="12.75" x14ac:dyDescent="0.2">
      <c r="A1157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157" s="1" t="str">
        <f ca="1">IFERROR(__xludf.DUMMYFUNCTION("""COMPUTED_VALUE"""),"KZ.7700.02.01.00580243")</f>
        <v>KZ.7700.02.01.00580243</v>
      </c>
      <c r="C1157" s="1" t="str">
        <f ca="1">IFERROR(__xludf.DUMMYFUNCTION("""COMPUTED_VALUE"""),"Действителен до 29.03.2024")</f>
        <v>Действителен до 29.03.2024</v>
      </c>
      <c r="D1157" s="8" t="str">
        <f ca="1">IFERROR(__xludf.DUMMYFUNCTION("""COMPUTED_VALUE"""),"04190006KZ06")</f>
        <v>04190006KZ06</v>
      </c>
      <c r="E1157" s="1" t="str">
        <f ca="1">IFERROR(__xludf.DUMMYFUNCTION("""COMPUTED_VALUE"""),"годен до 29.03.2024")</f>
        <v>годен до 29.03.2024</v>
      </c>
      <c r="F1157" s="1" t="str">
        <f ca="1">IFERROR(__xludf.DUMMYFUNCTION("""COMPUTED_VALUE"""),"Бинт эластичный медицинский средней растяжимости (ширина 80 мм) 02х80х2 - 04190006KZ06")</f>
        <v>Бинт эластичный медицинский средней растяжимости (ширина 80 мм) 02х80х2 - 04190006KZ06</v>
      </c>
      <c r="G1157" s="1" t="str">
        <f ca="1">IFERROR(__xludf.DUMMYFUNCTION("""COMPUTED_VALUE"""),"KZ.7700.02.01.00580243 / Действителен до 29.03.2024 / 04190006KZ06 / годен до 29.03.2024")</f>
        <v>KZ.7700.02.01.00580243 / Действителен до 29.03.2024 / 04190006KZ06 / годен до 29.03.2024</v>
      </c>
      <c r="H1157" s="1" t="str">
        <f ca="1">IFERROR(__xludf.DUMMYFUNCTION("""COMPUTED_VALUE"""),"Бинт эластичный медицинский средней растяжимости (ширина 80 мм) 02х80х2 KZ.7700.02.01.00580243 / Действителен до 29.03.2024 / 04190006KZ06 / годен до 29.03.2024")</f>
        <v>Бинт эластичный медицинский средней растяжимости (ширина 80 мм) 02х80х2 KZ.7700.02.01.00580243 / Действителен до 29.03.2024 / 04190006KZ06 / годен до 29.03.2024</v>
      </c>
    </row>
    <row r="1158" spans="1:8" ht="12.75" x14ac:dyDescent="0.2">
      <c r="A1158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158" s="1" t="str">
        <f ca="1">IFERROR(__xludf.DUMMYFUNCTION("""COMPUTED_VALUE"""),"KZ.7700.02.01.00580242")</f>
        <v>KZ.7700.02.01.00580242</v>
      </c>
      <c r="C1158" s="1" t="str">
        <f ca="1">IFERROR(__xludf.DUMMYFUNCTION("""COMPUTED_VALUE"""),"Действителен до19.07.2024")</f>
        <v>Действителен до19.07.2024</v>
      </c>
      <c r="D1158" s="8" t="str">
        <f ca="1">IFERROR(__xludf.DUMMYFUNCTION("""COMPUTED_VALUE"""),"0819028KZ28")</f>
        <v>0819028KZ28</v>
      </c>
      <c r="E1158" s="1" t="str">
        <f ca="1">IFERROR(__xludf.DUMMYFUNCTION("""COMPUTED_VALUE"""),"годен до 19.07.2024")</f>
        <v>годен до 19.07.2024</v>
      </c>
      <c r="F1158" s="1" t="str">
        <f ca="1">IFERROR(__xludf.DUMMYFUNCTION("""COMPUTED_VALUE"""),"Бинт эластичный медицинский средней растяжимости (ширина 80 мм) 02х80х2 - 0819028KZ28")</f>
        <v>Бинт эластичный медицинский средней растяжимости (ширина 80 мм) 02х80х2 - 0819028KZ28</v>
      </c>
      <c r="G1158" s="1" t="str">
        <f ca="1">IFERROR(__xludf.DUMMYFUNCTION("""COMPUTED_VALUE"""),"KZ.7700.02.01.00580242 / Действителен до19.07.2024 / 0819028KZ28 / годен до 19.07.2024")</f>
        <v>KZ.7700.02.01.00580242 / Действителен до19.07.2024 / 0819028KZ28 / годен до 19.07.2024</v>
      </c>
      <c r="H1158" s="1" t="str">
        <f ca="1">IFERROR(__xludf.DUMMYFUNCTION("""COMPUTED_VALUE"""),"Бинт эластичный медицинский средней растяжимости (ширина 80 мм) 02х80х2 KZ.7700.02.01.00580242 / Действителен до19.07.2024 / 0819028KZ28 / годен до 19.07.2024")</f>
        <v>Бинт эластичный медицинский средней растяжимости (ширина 80 мм) 02х80х2 KZ.7700.02.01.00580242 / Действителен до19.07.2024 / 0819028KZ28 / годен до 19.07.2024</v>
      </c>
    </row>
    <row r="1159" spans="1:8" ht="12.75" x14ac:dyDescent="0.2">
      <c r="A1159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159" s="1" t="str">
        <f ca="1">IFERROR(__xludf.DUMMYFUNCTION("""COMPUTED_VALUE"""),"KZ.7700.02.01.00580241")</f>
        <v>KZ.7700.02.01.00580241</v>
      </c>
      <c r="C1159" s="1" t="str">
        <f ca="1">IFERROR(__xludf.DUMMYFUNCTION("""COMPUTED_VALUE"""),"Действителен до 29.03.2024")</f>
        <v>Действителен до 29.03.2024</v>
      </c>
      <c r="D1159" s="8" t="str">
        <f ca="1">IFERROR(__xludf.DUMMYFUNCTION("""COMPUTED_VALUE"""),"04190006KZ06")</f>
        <v>04190006KZ06</v>
      </c>
      <c r="E1159" s="1" t="str">
        <f ca="1">IFERROR(__xludf.DUMMYFUNCTION("""COMPUTED_VALUE"""),"годен до 29.03.2024")</f>
        <v>годен до 29.03.2024</v>
      </c>
      <c r="F1159" s="1" t="str">
        <f ca="1">IFERROR(__xludf.DUMMYFUNCTION("""COMPUTED_VALUE"""),"Бинт эластичный медицинский средней растяжимости (ширина 80 мм) 02х80х3 - 04190006KZ06")</f>
        <v>Бинт эластичный медицинский средней растяжимости (ширина 80 мм) 02х80х3 - 04190006KZ06</v>
      </c>
      <c r="G1159" s="1" t="str">
        <f ca="1">IFERROR(__xludf.DUMMYFUNCTION("""COMPUTED_VALUE"""),"KZ.7700.02.01.00580241 / Действителен до 29.03.2024 / 04190006KZ06 / годен до 29.03.2024")</f>
        <v>KZ.7700.02.01.00580241 / Действителен до 29.03.2024 / 04190006KZ06 / годен до 29.03.2024</v>
      </c>
      <c r="H1159" s="1" t="str">
        <f ca="1">IFERROR(__xludf.DUMMYFUNCTION("""COMPUTED_VALUE"""),"Бинт эластичный медицинский средней растяжимости (ширина 80 мм) 02х80х3 KZ.7700.02.01.00580241 / Действителен до 29.03.2024 / 04190006KZ06 / годен до 29.03.2024")</f>
        <v>Бинт эластичный медицинский средней растяжимости (ширина 80 мм) 02х80х3 KZ.7700.02.01.00580241 / Действителен до 29.03.2024 / 04190006KZ06 / годен до 29.03.2024</v>
      </c>
    </row>
    <row r="1160" spans="1:8" ht="12.75" x14ac:dyDescent="0.2">
      <c r="A1160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160" s="1" t="str">
        <f ca="1">IFERROR(__xludf.DUMMYFUNCTION("""COMPUTED_VALUE"""),"KZ.7700.02.01.00580240")</f>
        <v>KZ.7700.02.01.00580240</v>
      </c>
      <c r="C1160" s="1" t="str">
        <f ca="1">IFERROR(__xludf.DUMMYFUNCTION("""COMPUTED_VALUE"""),"Действителен до 29.03.2024")</f>
        <v>Действителен до 29.03.2024</v>
      </c>
      <c r="D1160" s="8" t="str">
        <f ca="1">IFERROR(__xludf.DUMMYFUNCTION("""COMPUTED_VALUE"""),"04190006KZ06")</f>
        <v>04190006KZ06</v>
      </c>
      <c r="E1160" s="1" t="str">
        <f ca="1">IFERROR(__xludf.DUMMYFUNCTION("""COMPUTED_VALUE"""),"годен до 29.03.2024")</f>
        <v>годен до 29.03.2024</v>
      </c>
      <c r="F1160" s="1" t="str">
        <f ca="1">IFERROR(__xludf.DUMMYFUNCTION("""COMPUTED_VALUE"""),"Бинт эластичный медицинский средней растяжимости (ширина 80 мм) 02х80х4 - 04190006KZ06")</f>
        <v>Бинт эластичный медицинский средней растяжимости (ширина 80 мм) 02х80х4 - 04190006KZ06</v>
      </c>
      <c r="G1160" s="1" t="str">
        <f ca="1">IFERROR(__xludf.DUMMYFUNCTION("""COMPUTED_VALUE"""),"KZ.7700.02.01.00580240 / Действителен до 29.03.2024 / 04190006KZ06 / годен до 29.03.2024")</f>
        <v>KZ.7700.02.01.00580240 / Действителен до 29.03.2024 / 04190006KZ06 / годен до 29.03.2024</v>
      </c>
      <c r="H1160" s="1" t="str">
        <f ca="1">IFERROR(__xludf.DUMMYFUNCTION("""COMPUTED_VALUE"""),"Бинт эластичный медицинский средней растяжимости (ширина 80 мм) 02х80х4 KZ.7700.02.01.00580240 / Действителен до 29.03.2024 / 04190006KZ06 / годен до 29.03.2024")</f>
        <v>Бинт эластичный медицинский средней растяжимости (ширина 80 мм) 02х80х4 KZ.7700.02.01.00580240 / Действителен до 29.03.2024 / 04190006KZ06 / годен до 29.03.2024</v>
      </c>
    </row>
    <row r="1161" spans="1:8" ht="12.75" x14ac:dyDescent="0.2">
      <c r="A1161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161" s="1" t="str">
        <f ca="1">IFERROR(__xludf.DUMMYFUNCTION("""COMPUTED_VALUE"""),"KZ.7700.02.01.00580239")</f>
        <v>KZ.7700.02.01.00580239</v>
      </c>
      <c r="C1161" s="1" t="str">
        <f ca="1">IFERROR(__xludf.DUMMYFUNCTION("""COMPUTED_VALUE"""),"Действителен до 29.03.2024")</f>
        <v>Действителен до 29.03.2024</v>
      </c>
      <c r="D1161" s="8" t="str">
        <f ca="1">IFERROR(__xludf.DUMMYFUNCTION("""COMPUTED_VALUE"""),"04190006KZ06")</f>
        <v>04190006KZ06</v>
      </c>
      <c r="E1161" s="1" t="str">
        <f ca="1">IFERROR(__xludf.DUMMYFUNCTION("""COMPUTED_VALUE"""),"годен до 29.03.2024")</f>
        <v>годен до 29.03.2024</v>
      </c>
      <c r="F1161" s="1" t="str">
        <f ca="1">IFERROR(__xludf.DUMMYFUNCTION("""COMPUTED_VALUE"""),"Бинт эластичный медицинский средней растяжимости (ширина 80 мм) 02х80х5 - 04190006KZ06")</f>
        <v>Бинт эластичный медицинский средней растяжимости (ширина 80 мм) 02х80х5 - 04190006KZ06</v>
      </c>
      <c r="G1161" s="1" t="str">
        <f ca="1">IFERROR(__xludf.DUMMYFUNCTION("""COMPUTED_VALUE"""),"KZ.7700.02.01.00580239 / Действителен до 29.03.2024 / 04190006KZ06 / годен до 29.03.2024")</f>
        <v>KZ.7700.02.01.00580239 / Действителен до 29.03.2024 / 04190006KZ06 / годен до 29.03.2024</v>
      </c>
      <c r="H1161" s="1" t="str">
        <f ca="1">IFERROR(__xludf.DUMMYFUNCTION("""COMPUTED_VALUE"""),"Бинт эластичный медицинский средней растяжимости (ширина 80 мм) 02х80х5 KZ.7700.02.01.00580239 / Действителен до 29.03.2024 / 04190006KZ06 / годен до 29.03.2024")</f>
        <v>Бинт эластичный медицинский средней растяжимости (ширина 80 мм) 02х80х5 KZ.7700.02.01.00580239 / Действителен до 29.03.2024 / 04190006KZ06 / годен до 29.03.2024</v>
      </c>
    </row>
    <row r="1162" spans="1:8" ht="12.75" x14ac:dyDescent="0.2">
      <c r="A1162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1162" s="1" t="str">
        <f ca="1">IFERROR(__xludf.DUMMYFUNCTION("""COMPUTED_VALUE"""),"KZ.7700.02.01.00585450")</f>
        <v>KZ.7700.02.01.00585450</v>
      </c>
      <c r="C1162" s="1" t="str">
        <f ca="1">IFERROR(__xludf.DUMMYFUNCTION("""COMPUTED_VALUE"""),"Действителен до 09.08.2024")</f>
        <v>Действителен до 09.08.2024</v>
      </c>
      <c r="D1162" s="8" t="str">
        <f ca="1">IFERROR(__xludf.DUMMYFUNCTION("""COMPUTED_VALUE"""),"0819028KZ28")</f>
        <v>0819028KZ28</v>
      </c>
      <c r="E1162" s="1" t="str">
        <f ca="1">IFERROR(__xludf.DUMMYFUNCTION("""COMPUTED_VALUE"""),"годен до 09.08.2024")</f>
        <v>годен до 09.08.2024</v>
      </c>
      <c r="F1162" s="1" t="str">
        <f ca="1">IFERROR(__xludf.DUMMYFUNCTION("""COMPUTED_VALUE"""),"Корректор лечебно-профилактический (с 4 ребрами жесткости) эластичный 3011 - М - 0819028KZ28")</f>
        <v>Корректор лечебно-профилактический (с 4 ребрами жесткости) эластичный 3011 - М - 0819028KZ28</v>
      </c>
      <c r="G1162" s="1" t="str">
        <f ca="1">IFERROR(__xludf.DUMMYFUNCTION("""COMPUTED_VALUE"""),"KZ.7700.02.01.00585450 / Действителен до 09.08.2024 / 0819028KZ28 / годен до 09.08.2024")</f>
        <v>KZ.7700.02.01.00585450 / Действителен до 09.08.2024 / 0819028KZ28 / годен до 09.08.2024</v>
      </c>
      <c r="H1162" s="1" t="str">
        <f ca="1">IFERROR(__xludf.DUMMYFUNCTION("""COMPUTED_VALUE"""),"Корректор лечебно-профилактический (с 4 ребрами жесткости) эластичный 3011 - М KZ.7700.02.01.00585450 / Действителен до 09.08.2024 / 0819028KZ28 / годен до 09.08.2024")</f>
        <v>Корректор лечебно-профилактический (с 4 ребрами жесткости) эластичный 3011 - М KZ.7700.02.01.00585450 / Действителен до 09.08.2024 / 0819028KZ28 / годен до 09.08.2024</v>
      </c>
    </row>
    <row r="1163" spans="1:8" ht="12.75" x14ac:dyDescent="0.2">
      <c r="A1163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1163" s="1" t="str">
        <f ca="1">IFERROR(__xludf.DUMMYFUNCTION("""COMPUTED_VALUE"""),"KZ.7700.02.01.00585451")</f>
        <v>KZ.7700.02.01.00585451</v>
      </c>
      <c r="C1163" s="1" t="str">
        <f ca="1">IFERROR(__xludf.DUMMYFUNCTION("""COMPUTED_VALUE"""),"Действителен до 09.08.2024")</f>
        <v>Действителен до 09.08.2024</v>
      </c>
      <c r="D1163" s="8" t="str">
        <f ca="1">IFERROR(__xludf.DUMMYFUNCTION("""COMPUTED_VALUE"""),"0819028KZ28")</f>
        <v>0819028KZ28</v>
      </c>
      <c r="E1163" s="1" t="str">
        <f ca="1">IFERROR(__xludf.DUMMYFUNCTION("""COMPUTED_VALUE"""),"годен до 09.08.2024")</f>
        <v>годен до 09.08.2024</v>
      </c>
      <c r="F1163" s="1" t="str">
        <f ca="1">IFERROR(__xludf.DUMMYFUNCTION("""COMPUTED_VALUE"""),"Корректор лечебно-профилактический (с 4 ребрами жесткости) эластичный 3011 - L - 0819028KZ28")</f>
        <v>Корректор лечебно-профилактический (с 4 ребрами жесткости) эластичный 3011 - L - 0819028KZ28</v>
      </c>
      <c r="G1163" s="1" t="str">
        <f ca="1">IFERROR(__xludf.DUMMYFUNCTION("""COMPUTED_VALUE"""),"KZ.7700.02.01.00585451 / Действителен до 09.08.2024 / 0819028KZ28 / годен до 09.08.2024")</f>
        <v>KZ.7700.02.01.00585451 / Действителен до 09.08.2024 / 0819028KZ28 / годен до 09.08.2024</v>
      </c>
      <c r="H1163" s="1" t="str">
        <f ca="1">IFERROR(__xludf.DUMMYFUNCTION("""COMPUTED_VALUE"""),"Корректор лечебно-профилактический (с 4 ребрами жесткости) эластичный 3011 - L KZ.7700.02.01.00585451 / Действителен до 09.08.2024 / 0819028KZ28 / годен до 09.08.2024")</f>
        <v>Корректор лечебно-профилактический (с 4 ребрами жесткости) эластичный 3011 - L KZ.7700.02.01.00585451 / Действителен до 09.08.2024 / 0819028KZ28 / годен до 09.08.2024</v>
      </c>
    </row>
    <row r="1164" spans="1:8" ht="12.75" x14ac:dyDescent="0.2">
      <c r="A1164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1164" s="1" t="str">
        <f ca="1">IFERROR(__xludf.DUMMYFUNCTION("""COMPUTED_VALUE"""),"KZ.7700.02.01.00585461")</f>
        <v>KZ.7700.02.01.00585461</v>
      </c>
      <c r="C1164" s="1" t="str">
        <f ca="1">IFERROR(__xludf.DUMMYFUNCTION("""COMPUTED_VALUE"""),"Действителен до 09.08.2024")</f>
        <v>Действителен до 09.08.2024</v>
      </c>
      <c r="D1164" s="8" t="str">
        <f ca="1">IFERROR(__xludf.DUMMYFUNCTION("""COMPUTED_VALUE"""),"0819028KZ28")</f>
        <v>0819028KZ28</v>
      </c>
      <c r="E1164" s="1" t="str">
        <f ca="1">IFERROR(__xludf.DUMMYFUNCTION("""COMPUTED_VALUE"""),"годен до 09.08.2024")</f>
        <v>годен до 09.08.2024</v>
      </c>
      <c r="F1164" s="1" t="str">
        <f ca="1">IFERROR(__xludf.DUMMYFUNCTION("""COMPUTED_VALUE"""),"Корректор лечебно-профилактический (с 4 ребрами жесткости) эластичный 3011- XL - 0819028KZ28")</f>
        <v>Корректор лечебно-профилактический (с 4 ребрами жесткости) эластичный 3011- XL - 0819028KZ28</v>
      </c>
      <c r="G1164" s="1" t="str">
        <f ca="1">IFERROR(__xludf.DUMMYFUNCTION("""COMPUTED_VALUE"""),"KZ.7700.02.01.00585461 / Действителен до 09.08.2024 / 0819028KZ28 / годен до 09.08.2024")</f>
        <v>KZ.7700.02.01.00585461 / Действителен до 09.08.2024 / 0819028KZ28 / годен до 09.08.2024</v>
      </c>
      <c r="H1164" s="1" t="str">
        <f ca="1">IFERROR(__xludf.DUMMYFUNCTION("""COMPUTED_VALUE"""),"Корректор лечебно-профилактический (с 4 ребрами жесткости) эластичный 3011- XL KZ.7700.02.01.00585461 / Действителен до 09.08.2024 / 0819028KZ28 / годен до 09.08.2024")</f>
        <v>Корректор лечебно-профилактический (с 4 ребрами жесткости) эластичный 3011- XL KZ.7700.02.01.00585461 / Действителен до 09.08.2024 / 0819028KZ28 / годен до 09.08.2024</v>
      </c>
    </row>
    <row r="1165" spans="1:8" ht="12.75" x14ac:dyDescent="0.2">
      <c r="A1165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1165" s="1" t="str">
        <f ca="1">IFERROR(__xludf.DUMMYFUNCTION("""COMPUTED_VALUE"""),"KZ.7700.02.01.00585462")</f>
        <v>KZ.7700.02.01.00585462</v>
      </c>
      <c r="C1165" s="1" t="str">
        <f ca="1">IFERROR(__xludf.DUMMYFUNCTION("""COMPUTED_VALUE"""),"Действителен до 09.08.2024")</f>
        <v>Действителен до 09.08.2024</v>
      </c>
      <c r="D1165" s="8" t="str">
        <f ca="1">IFERROR(__xludf.DUMMYFUNCTION("""COMPUTED_VALUE"""),"0819028KZ28")</f>
        <v>0819028KZ28</v>
      </c>
      <c r="E1165" s="1" t="str">
        <f ca="1">IFERROR(__xludf.DUMMYFUNCTION("""COMPUTED_VALUE"""),"годен до 09.08.2024")</f>
        <v>годен до 09.08.2024</v>
      </c>
      <c r="F1165" s="1" t="str">
        <f ca="1">IFERROR(__xludf.DUMMYFUNCTION("""COMPUTED_VALUE"""),"Корректор лечебно-профилактический (с 4 ребрами жесткости) эластичный 3011- XXL - 0819028KZ28")</f>
        <v>Корректор лечебно-профилактический (с 4 ребрами жесткости) эластичный 3011- XXL - 0819028KZ28</v>
      </c>
      <c r="G1165" s="1" t="str">
        <f ca="1">IFERROR(__xludf.DUMMYFUNCTION("""COMPUTED_VALUE"""),"KZ.7700.02.01.00585462 / Действителен до 09.08.2024 / 0819028KZ28 / годен до 09.08.2024")</f>
        <v>KZ.7700.02.01.00585462 / Действителен до 09.08.2024 / 0819028KZ28 / годен до 09.08.2024</v>
      </c>
      <c r="H1165" s="1" t="str">
        <f ca="1">IFERROR(__xludf.DUMMYFUNCTION("""COMPUTED_VALUE"""),"Корректор лечебно-профилактический (с 4 ребрами жесткости) эластичный 3011- XXL KZ.7700.02.01.00585462 / Действителен до 09.08.2024 / 0819028KZ28 / годен до 09.08.2024")</f>
        <v>Корректор лечебно-профилактический (с 4 ребрами жесткости) эластичный 3011- XXL KZ.7700.02.01.00585462 / Действителен до 09.08.2024 / 0819028KZ28 / годен до 09.08.2024</v>
      </c>
    </row>
    <row r="1166" spans="1:8" ht="12.75" x14ac:dyDescent="0.2">
      <c r="A1166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1166" s="1" t="str">
        <f ca="1">IFERROR(__xludf.DUMMYFUNCTION("""COMPUTED_VALUE"""),"KZ.7700.02.01.00585463")</f>
        <v>KZ.7700.02.01.00585463</v>
      </c>
      <c r="C1166" s="1" t="str">
        <f ca="1">IFERROR(__xludf.DUMMYFUNCTION("""COMPUTED_VALUE"""),"Действителен до 09.08.2024")</f>
        <v>Действителен до 09.08.2024</v>
      </c>
      <c r="D1166" s="8" t="str">
        <f ca="1">IFERROR(__xludf.DUMMYFUNCTION("""COMPUTED_VALUE"""),"0819028KZ28")</f>
        <v>0819028KZ28</v>
      </c>
      <c r="E1166" s="1" t="str">
        <f ca="1">IFERROR(__xludf.DUMMYFUNCTION("""COMPUTED_VALUE"""),"годен до 09.08.2024")</f>
        <v>годен до 09.08.2024</v>
      </c>
      <c r="F1166" s="1" t="str">
        <f ca="1">IFERROR(__xludf.DUMMYFUNCTION("""COMPUTED_VALUE"""),"Корректор лечебно-профилактический (с 4 ребрами жесткости) эластичный 3011- XXXL - 0819028KZ28")</f>
        <v>Корректор лечебно-профилактический (с 4 ребрами жесткости) эластичный 3011- XXXL - 0819028KZ28</v>
      </c>
      <c r="G1166" s="1" t="str">
        <f ca="1">IFERROR(__xludf.DUMMYFUNCTION("""COMPUTED_VALUE"""),"KZ.7700.02.01.00585463 / Действителен до 09.08.2024 / 0819028KZ28 / годен до 09.08.2024")</f>
        <v>KZ.7700.02.01.00585463 / Действителен до 09.08.2024 / 0819028KZ28 / годен до 09.08.2024</v>
      </c>
      <c r="H1166" s="1" t="str">
        <f ca="1">IFERROR(__xludf.DUMMYFUNCTION("""COMPUTED_VALUE"""),"Корректор лечебно-профилактический (с 4 ребрами жесткости) эластичный 3011- XXXL KZ.7700.02.01.00585463 / Действителен до 09.08.2024 / 0819028KZ28 / годен до 09.08.2024")</f>
        <v>Корректор лечебно-профилактический (с 4 ребрами жесткости) эластичный 3011- XXXL KZ.7700.02.01.00585463 / Действителен до 09.08.2024 / 0819028KZ28 / годен до 09.08.2024</v>
      </c>
    </row>
    <row r="1167" spans="1:8" ht="12.75" x14ac:dyDescent="0.2">
      <c r="A1167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1167" s="1" t="str">
        <f ca="1">IFERROR(__xludf.DUMMYFUNCTION("""COMPUTED_VALUE"""),"KZ.7700.02.01.00586600")</f>
        <v>KZ.7700.02.01.00586600</v>
      </c>
      <c r="C1167" s="1" t="str">
        <f ca="1">IFERROR(__xludf.DUMMYFUNCTION("""COMPUTED_VALUE"""),"Действителен до 09.08.2024")</f>
        <v>Действителен до 09.08.2024</v>
      </c>
      <c r="D1167" s="8" t="str">
        <f ca="1">IFERROR(__xludf.DUMMYFUNCTION("""COMPUTED_VALUE"""),"0819028KZ28")</f>
        <v>0819028KZ28</v>
      </c>
      <c r="E1167" s="1" t="str">
        <f ca="1">IFERROR(__xludf.DUMMYFUNCTION("""COMPUTED_VALUE"""),"годен до 09.08.2024")</f>
        <v>годен до 09.08.2024</v>
      </c>
      <c r="F1167" s="1" t="str">
        <f ca="1">IFERROR(__xludf.DUMMYFUNCTION("""COMPUTED_VALUE"""),"Корректор лечебно-профилактический (с 4 ребрами жесткости) эластичный 3011 XXXXL - 0819028KZ28")</f>
        <v>Корректор лечебно-профилактический (с 4 ребрами жесткости) эластичный 3011 XXXXL - 0819028KZ28</v>
      </c>
      <c r="G1167" s="1" t="str">
        <f ca="1">IFERROR(__xludf.DUMMYFUNCTION("""COMPUTED_VALUE"""),"KZ.7700.02.01.00586600 / Действителен до 09.08.2024 / 0819028KZ28 / годен до 09.08.2024")</f>
        <v>KZ.7700.02.01.00586600 / Действителен до 09.08.2024 / 0819028KZ28 / годен до 09.08.2024</v>
      </c>
      <c r="H1167" s="1" t="str">
        <f ca="1">IFERROR(__xludf.DUMMYFUNCTION("""COMPUTED_VALUE"""),"Корректор лечебно-профилактический (с 4 ребрами жесткости) эластичный 3011 XXXXL KZ.7700.02.01.00586600 / Действителен до 09.08.2024 / 0819028KZ28 / годен до 09.08.2024")</f>
        <v>Корректор лечебно-профилактический (с 4 ребрами жесткости) эластичный 3011 XXXXL KZ.7700.02.01.00586600 / Действителен до 09.08.2024 / 0819028KZ28 / годен до 09.08.2024</v>
      </c>
    </row>
    <row r="1168" spans="1:8" ht="12.75" x14ac:dyDescent="0.2">
      <c r="A1168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1168" s="1" t="str">
        <f ca="1">IFERROR(__xludf.DUMMYFUNCTION("""COMPUTED_VALUE"""),"KZ.7700.02.01.00585488")</f>
        <v>KZ.7700.02.01.00585488</v>
      </c>
      <c r="C1168" s="1" t="str">
        <f ca="1">IFERROR(__xludf.DUMMYFUNCTION("""COMPUTED_VALUE"""),"Действителен до 09.08.2024")</f>
        <v>Действителен до 09.08.2024</v>
      </c>
      <c r="D1168" s="8" t="str">
        <f ca="1">IFERROR(__xludf.DUMMYFUNCTION("""COMPUTED_VALUE"""),"0819028KZ28")</f>
        <v>0819028KZ28</v>
      </c>
      <c r="E1168" s="1" t="str">
        <f ca="1">IFERROR(__xludf.DUMMYFUNCTION("""COMPUTED_VALUE"""),"годен до 09.08.2024")</f>
        <v>годен до 09.08.2024</v>
      </c>
      <c r="F1168" s="1" t="str">
        <f ca="1">IFERROR(__xludf.DUMMYFUNCTION("""COMPUTED_VALUE"""),"Бандаж лечебно–профилактический (с тремя ребрами жесткости) 4001 M (Болгария) - 0819028KZ28")</f>
        <v>Бандаж лечебно–профилактический (с тремя ребрами жесткости) 4001 M (Болгария) - 0819028KZ28</v>
      </c>
      <c r="G1168" s="1" t="str">
        <f ca="1">IFERROR(__xludf.DUMMYFUNCTION("""COMPUTED_VALUE"""),"KZ.7700.02.01.00585488 / Действителен до 09.08.2024 / 0819028KZ28 / годен до 09.08.2024")</f>
        <v>KZ.7700.02.01.00585488 / Действителен до 09.08.2024 / 0819028KZ28 / годен до 09.08.2024</v>
      </c>
      <c r="H1168" s="1" t="str">
        <f ca="1">IFERROR(__xludf.DUMMYFUNCTION("""COMPUTED_VALUE"""),"Бандаж лечебно–профилактический (с тремя ребрами жесткости) 4001 M (Болгария) KZ.7700.02.01.00585488 / Действителен до 09.08.2024 / 0819028KZ28 / годен до 09.08.2024")</f>
        <v>Бандаж лечебно–профилактический (с тремя ребрами жесткости) 4001 M (Болгария) KZ.7700.02.01.00585488 / Действителен до 09.08.2024 / 0819028KZ28 / годен до 09.08.2024</v>
      </c>
    </row>
    <row r="1169" spans="1:8" ht="12.75" x14ac:dyDescent="0.2">
      <c r="A1169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1169" s="1" t="str">
        <f ca="1">IFERROR(__xludf.DUMMYFUNCTION("""COMPUTED_VALUE"""),"KZ.7700.02.01.00585467")</f>
        <v>KZ.7700.02.01.00585467</v>
      </c>
      <c r="C1169" s="1" t="str">
        <f ca="1">IFERROR(__xludf.DUMMYFUNCTION("""COMPUTED_VALUE"""),"Действителен до 09.08.2024")</f>
        <v>Действителен до 09.08.2024</v>
      </c>
      <c r="D1169" s="8" t="str">
        <f ca="1">IFERROR(__xludf.DUMMYFUNCTION("""COMPUTED_VALUE"""),"0819028KZ28")</f>
        <v>0819028KZ28</v>
      </c>
      <c r="E1169" s="1" t="str">
        <f ca="1">IFERROR(__xludf.DUMMYFUNCTION("""COMPUTED_VALUE"""),"годен до 09.08.2024")</f>
        <v>годен до 09.08.2024</v>
      </c>
      <c r="F1169" s="1" t="str">
        <f ca="1">IFERROR(__xludf.DUMMYFUNCTION("""COMPUTED_VALUE"""),"Бандаж лечебно–профилактический (с тремя ребрами жесткости) 4001 XL (Болгария) - 0819028KZ28")</f>
        <v>Бандаж лечебно–профилактический (с тремя ребрами жесткости) 4001 XL (Болгария) - 0819028KZ28</v>
      </c>
      <c r="G1169" s="1" t="str">
        <f ca="1">IFERROR(__xludf.DUMMYFUNCTION("""COMPUTED_VALUE"""),"KZ.7700.02.01.00585467 / Действителен до 09.08.2024 / 0819028KZ28 / годен до 09.08.2024")</f>
        <v>KZ.7700.02.01.00585467 / Действителен до 09.08.2024 / 0819028KZ28 / годен до 09.08.2024</v>
      </c>
      <c r="H1169" s="1" t="str">
        <f ca="1">IFERROR(__xludf.DUMMYFUNCTION("""COMPUTED_VALUE"""),"Бандаж лечебно–профилактический (с тремя ребрами жесткости) 4001 XL (Болгария) KZ.7700.02.01.00585467 / Действителен до 09.08.2024 / 0819028KZ28 / годен до 09.08.2024")</f>
        <v>Бандаж лечебно–профилактический (с тремя ребрами жесткости) 4001 XL (Болгария) KZ.7700.02.01.00585467 / Действителен до 09.08.2024 / 0819028KZ28 / годен до 09.08.2024</v>
      </c>
    </row>
    <row r="1170" spans="1:8" ht="12.75" x14ac:dyDescent="0.2">
      <c r="A1170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1170" s="1" t="str">
        <f ca="1">IFERROR(__xludf.DUMMYFUNCTION("""COMPUTED_VALUE"""),"KZ.7700.02.01.00585468")</f>
        <v>KZ.7700.02.01.00585468</v>
      </c>
      <c r="C1170" s="1" t="str">
        <f ca="1">IFERROR(__xludf.DUMMYFUNCTION("""COMPUTED_VALUE"""),"Действителен до 09.08.2024")</f>
        <v>Действителен до 09.08.2024</v>
      </c>
      <c r="D1170" s="8" t="str">
        <f ca="1">IFERROR(__xludf.DUMMYFUNCTION("""COMPUTED_VALUE"""),"0819028KZ28")</f>
        <v>0819028KZ28</v>
      </c>
      <c r="E1170" s="1" t="str">
        <f ca="1">IFERROR(__xludf.DUMMYFUNCTION("""COMPUTED_VALUE"""),"годен до 09.08.2024")</f>
        <v>годен до 09.08.2024</v>
      </c>
      <c r="F1170" s="1" t="str">
        <f ca="1">IFERROR(__xludf.DUMMYFUNCTION("""COMPUTED_VALUE"""),"Бандаж лечебно–профилактический (с тремя ребрами жесткости) 4001 XXL (Болгария) - 0819028KZ28")</f>
        <v>Бандаж лечебно–профилактический (с тремя ребрами жесткости) 4001 XXL (Болгария) - 0819028KZ28</v>
      </c>
      <c r="G1170" s="1" t="str">
        <f ca="1">IFERROR(__xludf.DUMMYFUNCTION("""COMPUTED_VALUE"""),"KZ.7700.02.01.00585468 / Действителен до 09.08.2024 / 0819028KZ28 / годен до 09.08.2024")</f>
        <v>KZ.7700.02.01.00585468 / Действителен до 09.08.2024 / 0819028KZ28 / годен до 09.08.2024</v>
      </c>
      <c r="H1170" s="1" t="str">
        <f ca="1">IFERROR(__xludf.DUMMYFUNCTION("""COMPUTED_VALUE"""),"Бандаж лечебно–профилактический (с тремя ребрами жесткости) 4001 XXL (Болгария) KZ.7700.02.01.00585468 / Действителен до 09.08.2024 / 0819028KZ28 / годен до 09.08.2024")</f>
        <v>Бандаж лечебно–профилактический (с тремя ребрами жесткости) 4001 XXL (Болгария) KZ.7700.02.01.00585468 / Действителен до 09.08.2024 / 0819028KZ28 / годен до 09.08.2024</v>
      </c>
    </row>
    <row r="1171" spans="1:8" ht="12.75" x14ac:dyDescent="0.2">
      <c r="A1171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1171" s="1" t="str">
        <f ca="1">IFERROR(__xludf.DUMMYFUNCTION("""COMPUTED_VALUE"""),"KZ.7700.02.01.00585469")</f>
        <v>KZ.7700.02.01.00585469</v>
      </c>
      <c r="C1171" s="1" t="str">
        <f ca="1">IFERROR(__xludf.DUMMYFUNCTION("""COMPUTED_VALUE"""),"Действителен до 09.08.2024")</f>
        <v>Действителен до 09.08.2024</v>
      </c>
      <c r="D1171" s="8" t="str">
        <f ca="1">IFERROR(__xludf.DUMMYFUNCTION("""COMPUTED_VALUE"""),"0819028KZ28")</f>
        <v>0819028KZ28</v>
      </c>
      <c r="E1171" s="1" t="str">
        <f ca="1">IFERROR(__xludf.DUMMYFUNCTION("""COMPUTED_VALUE"""),"годен до 09.08.2024")</f>
        <v>годен до 09.08.2024</v>
      </c>
      <c r="F1171" s="1" t="str">
        <f ca="1">IFERROR(__xludf.DUMMYFUNCTION("""COMPUTED_VALUE"""),"Бандаж лечебно–профилактический (с тремя ребрами жесткости) 4001 XXXL(Болгария) - 0819028KZ28")</f>
        <v>Бандаж лечебно–профилактический (с тремя ребрами жесткости) 4001 XXXL(Болгария) - 0819028KZ28</v>
      </c>
      <c r="G1171" s="1" t="str">
        <f ca="1">IFERROR(__xludf.DUMMYFUNCTION("""COMPUTED_VALUE"""),"KZ.7700.02.01.00585469 / Действителен до 09.08.2024 / 0819028KZ28 / годен до 09.08.2024")</f>
        <v>KZ.7700.02.01.00585469 / Действителен до 09.08.2024 / 0819028KZ28 / годен до 09.08.2024</v>
      </c>
      <c r="H1171" s="1" t="str">
        <f ca="1">IFERROR(__xludf.DUMMYFUNCTION("""COMPUTED_VALUE"""),"Бандаж лечебно–профилактический (с тремя ребрами жесткости) 4001 XXXL(Болгария) KZ.7700.02.01.00585469 / Действителен до 09.08.2024 / 0819028KZ28 / годен до 09.08.2024")</f>
        <v>Бандаж лечебно–профилактический (с тремя ребрами жесткости) 4001 XXXL(Болгария) KZ.7700.02.01.00585469 / Действителен до 09.08.2024 / 0819028KZ28 / годен до 09.08.2024</v>
      </c>
    </row>
    <row r="1172" spans="1:8" ht="12.75" x14ac:dyDescent="0.2">
      <c r="A1172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1172" s="1" t="str">
        <f ca="1">IFERROR(__xludf.DUMMYFUNCTION("""COMPUTED_VALUE"""),"KZ.7700.02.01.00585470")</f>
        <v>KZ.7700.02.01.00585470</v>
      </c>
      <c r="C1172" s="1" t="str">
        <f ca="1">IFERROR(__xludf.DUMMYFUNCTION("""COMPUTED_VALUE"""),"Действителен до 09.08.2024")</f>
        <v>Действителен до 09.08.2024</v>
      </c>
      <c r="D1172" s="8" t="str">
        <f ca="1">IFERROR(__xludf.DUMMYFUNCTION("""COMPUTED_VALUE"""),"0819028KZ28")</f>
        <v>0819028KZ28</v>
      </c>
      <c r="E1172" s="1" t="str">
        <f ca="1">IFERROR(__xludf.DUMMYFUNCTION("""COMPUTED_VALUE"""),"годен до 09.08.2024")</f>
        <v>годен до 09.08.2024</v>
      </c>
      <c r="F1172" s="1" t="str">
        <f ca="1">IFERROR(__xludf.DUMMYFUNCTION("""COMPUTED_VALUE"""),"Бандаж лечебно–профилактический (с тремя ребрами жесткости) 4001 XXXXL(Болгария) - 0819028KZ28")</f>
        <v>Бандаж лечебно–профилактический (с тремя ребрами жесткости) 4001 XXXXL(Болгария) - 0819028KZ28</v>
      </c>
      <c r="G1172" s="1" t="str">
        <f ca="1">IFERROR(__xludf.DUMMYFUNCTION("""COMPUTED_VALUE"""),"KZ.7700.02.01.00585470 / Действителен до 09.08.2024 / 0819028KZ28 / годен до 09.08.2024")</f>
        <v>KZ.7700.02.01.00585470 / Действителен до 09.08.2024 / 0819028KZ28 / годен до 09.08.2024</v>
      </c>
      <c r="H1172" s="1" t="str">
        <f ca="1">IFERROR(__xludf.DUMMYFUNCTION("""COMPUTED_VALUE"""),"Бандаж лечебно–профилактический (с тремя ребрами жесткости) 4001 XXXXL(Болгария) KZ.7700.02.01.00585470 / Действителен до 09.08.2024 / 0819028KZ28 / годен до 09.08.2024")</f>
        <v>Бандаж лечебно–профилактический (с тремя ребрами жесткости) 4001 XXXXL(Болгария) KZ.7700.02.01.00585470 / Действителен до 09.08.2024 / 0819028KZ28 / годен до 09.08.2024</v>
      </c>
    </row>
    <row r="1173" spans="1:8" ht="12.75" x14ac:dyDescent="0.2">
      <c r="A1173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1173" s="1" t="str">
        <f ca="1">IFERROR(__xludf.DUMMYFUNCTION("""COMPUTED_VALUE"""),"KZ.7700.02.01.00585471")</f>
        <v>KZ.7700.02.01.00585471</v>
      </c>
      <c r="C1173" s="1" t="str">
        <f ca="1">IFERROR(__xludf.DUMMYFUNCTION("""COMPUTED_VALUE"""),"Действителен до 09.08.2024")</f>
        <v>Действителен до 09.08.2024</v>
      </c>
      <c r="D1173" s="8" t="str">
        <f ca="1">IFERROR(__xludf.DUMMYFUNCTION("""COMPUTED_VALUE"""),"0819028KZ28")</f>
        <v>0819028KZ28</v>
      </c>
      <c r="E1173" s="1" t="str">
        <f ca="1">IFERROR(__xludf.DUMMYFUNCTION("""COMPUTED_VALUE"""),"годен до 09.08.2024")</f>
        <v>годен до 09.08.2024</v>
      </c>
      <c r="F1173" s="1" t="str">
        <f ca="1">IFERROR(__xludf.DUMMYFUNCTION("""COMPUTED_VALUE"""),"Бандаж лечебно–профилактический эластичный 4002 M (Болгария) - 0819028KZ28")</f>
        <v>Бандаж лечебно–профилактический эластичный 4002 M (Болгария) - 0819028KZ28</v>
      </c>
      <c r="G1173" s="1" t="str">
        <f ca="1">IFERROR(__xludf.DUMMYFUNCTION("""COMPUTED_VALUE"""),"KZ.7700.02.01.00585471 / Действителен до 09.08.2024 / 0819028KZ28 / годен до 09.08.2024")</f>
        <v>KZ.7700.02.01.00585471 / Действителен до 09.08.2024 / 0819028KZ28 / годен до 09.08.2024</v>
      </c>
      <c r="H1173" s="1" t="str">
        <f ca="1">IFERROR(__xludf.DUMMYFUNCTION("""COMPUTED_VALUE"""),"Бандаж лечебно–профилактический эластичный 4002 M (Болгария) KZ.7700.02.01.00585471 / Действителен до 09.08.2024 / 0819028KZ28 / годен до 09.08.2024")</f>
        <v>Бандаж лечебно–профилактический эластичный 4002 M (Болгария) KZ.7700.02.01.00585471 / Действителен до 09.08.2024 / 0819028KZ28 / годен до 09.08.2024</v>
      </c>
    </row>
    <row r="1174" spans="1:8" ht="12.75" x14ac:dyDescent="0.2">
      <c r="A1174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1174" s="1" t="str">
        <f ca="1">IFERROR(__xludf.DUMMYFUNCTION("""COMPUTED_VALUE"""),"KZ.7700.02.01.00585472")</f>
        <v>KZ.7700.02.01.00585472</v>
      </c>
      <c r="C1174" s="1" t="str">
        <f ca="1">IFERROR(__xludf.DUMMYFUNCTION("""COMPUTED_VALUE"""),"Действителен до 09.08.2024")</f>
        <v>Действителен до 09.08.2024</v>
      </c>
      <c r="D1174" s="8" t="str">
        <f ca="1">IFERROR(__xludf.DUMMYFUNCTION("""COMPUTED_VALUE"""),"0819028KZ28")</f>
        <v>0819028KZ28</v>
      </c>
      <c r="E1174" s="1" t="str">
        <f ca="1">IFERROR(__xludf.DUMMYFUNCTION("""COMPUTED_VALUE"""),"годен до 09.08.2024")</f>
        <v>годен до 09.08.2024</v>
      </c>
      <c r="F1174" s="1" t="str">
        <f ca="1">IFERROR(__xludf.DUMMYFUNCTION("""COMPUTED_VALUE"""),"Бандаж лечебно–профилактический эластичный 4002 L (Болгария) - 0819028KZ28")</f>
        <v>Бандаж лечебно–профилактический эластичный 4002 L (Болгария) - 0819028KZ28</v>
      </c>
      <c r="G1174" s="1" t="str">
        <f ca="1">IFERROR(__xludf.DUMMYFUNCTION("""COMPUTED_VALUE"""),"KZ.7700.02.01.00585472 / Действителен до 09.08.2024 / 0819028KZ28 / годен до 09.08.2024")</f>
        <v>KZ.7700.02.01.00585472 / Действителен до 09.08.2024 / 0819028KZ28 / годен до 09.08.2024</v>
      </c>
      <c r="H1174" s="1" t="str">
        <f ca="1">IFERROR(__xludf.DUMMYFUNCTION("""COMPUTED_VALUE"""),"Бандаж лечебно–профилактический эластичный 4002 L (Болгария) KZ.7700.02.01.00585472 / Действителен до 09.08.2024 / 0819028KZ28 / годен до 09.08.2024")</f>
        <v>Бандаж лечебно–профилактический эластичный 4002 L (Болгария) KZ.7700.02.01.00585472 / Действителен до 09.08.2024 / 0819028KZ28 / годен до 09.08.2024</v>
      </c>
    </row>
    <row r="1175" spans="1:8" ht="12.75" x14ac:dyDescent="0.2">
      <c r="A1175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1175" s="1" t="str">
        <f ca="1">IFERROR(__xludf.DUMMYFUNCTION("""COMPUTED_VALUE"""),"KZ.7700.02.01.00585473")</f>
        <v>KZ.7700.02.01.00585473</v>
      </c>
      <c r="C1175" s="1" t="str">
        <f ca="1">IFERROR(__xludf.DUMMYFUNCTION("""COMPUTED_VALUE"""),"Действителен до 09.08.2024")</f>
        <v>Действителен до 09.08.2024</v>
      </c>
      <c r="D1175" s="8" t="str">
        <f ca="1">IFERROR(__xludf.DUMMYFUNCTION("""COMPUTED_VALUE"""),"0819028KZ28")</f>
        <v>0819028KZ28</v>
      </c>
      <c r="E1175" s="1" t="str">
        <f ca="1">IFERROR(__xludf.DUMMYFUNCTION("""COMPUTED_VALUE"""),"годен до 09.08.2024")</f>
        <v>годен до 09.08.2024</v>
      </c>
      <c r="F1175" s="1" t="str">
        <f ca="1">IFERROR(__xludf.DUMMYFUNCTION("""COMPUTED_VALUE"""),"Бандаж лечебно–профилактический эластичный 4002 XL (Болгария) - 0819028KZ28")</f>
        <v>Бандаж лечебно–профилактический эластичный 4002 XL (Болгария) - 0819028KZ28</v>
      </c>
      <c r="G1175" s="1" t="str">
        <f ca="1">IFERROR(__xludf.DUMMYFUNCTION("""COMPUTED_VALUE"""),"KZ.7700.02.01.00585473 / Действителен до 09.08.2024 / 0819028KZ28 / годен до 09.08.2024")</f>
        <v>KZ.7700.02.01.00585473 / Действителен до 09.08.2024 / 0819028KZ28 / годен до 09.08.2024</v>
      </c>
      <c r="H1175" s="1" t="str">
        <f ca="1">IFERROR(__xludf.DUMMYFUNCTION("""COMPUTED_VALUE"""),"Бандаж лечебно–профилактический эластичный 4002 XL (Болгария) KZ.7700.02.01.00585473 / Действителен до 09.08.2024 / 0819028KZ28 / годен до 09.08.2024")</f>
        <v>Бандаж лечебно–профилактический эластичный 4002 XL (Болгария) KZ.7700.02.01.00585473 / Действителен до 09.08.2024 / 0819028KZ28 / годен до 09.08.2024</v>
      </c>
    </row>
    <row r="1176" spans="1:8" ht="12.75" x14ac:dyDescent="0.2">
      <c r="A1176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1176" s="1" t="str">
        <f ca="1">IFERROR(__xludf.DUMMYFUNCTION("""COMPUTED_VALUE"""),"KZ.7700.02.01.00585474")</f>
        <v>KZ.7700.02.01.00585474</v>
      </c>
      <c r="C1176" s="1" t="str">
        <f ca="1">IFERROR(__xludf.DUMMYFUNCTION("""COMPUTED_VALUE"""),"Действителен до 09.08.2024")</f>
        <v>Действителен до 09.08.2024</v>
      </c>
      <c r="D1176" s="8" t="str">
        <f ca="1">IFERROR(__xludf.DUMMYFUNCTION("""COMPUTED_VALUE"""),"0819028KZ28")</f>
        <v>0819028KZ28</v>
      </c>
      <c r="E1176" s="1" t="str">
        <f ca="1">IFERROR(__xludf.DUMMYFUNCTION("""COMPUTED_VALUE"""),"годен до 09.08.2024")</f>
        <v>годен до 09.08.2024</v>
      </c>
      <c r="F1176" s="1" t="str">
        <f ca="1">IFERROR(__xludf.DUMMYFUNCTION("""COMPUTED_VALUE"""),"Бандаж лечебно–профилактический эластичный 4002 XXL (Болгария) - 0819028KZ28")</f>
        <v>Бандаж лечебно–профилактический эластичный 4002 XXL (Болгария) - 0819028KZ28</v>
      </c>
      <c r="G1176" s="1" t="str">
        <f ca="1">IFERROR(__xludf.DUMMYFUNCTION("""COMPUTED_VALUE"""),"KZ.7700.02.01.00585474 / Действителен до 09.08.2024 / 0819028KZ28 / годен до 09.08.2024")</f>
        <v>KZ.7700.02.01.00585474 / Действителен до 09.08.2024 / 0819028KZ28 / годен до 09.08.2024</v>
      </c>
      <c r="H1176" s="1" t="str">
        <f ca="1">IFERROR(__xludf.DUMMYFUNCTION("""COMPUTED_VALUE"""),"Бандаж лечебно–профилактический эластичный 4002 XXL (Болгария) KZ.7700.02.01.00585474 / Действителен до 09.08.2024 / 0819028KZ28 / годен до 09.08.2024")</f>
        <v>Бандаж лечебно–профилактический эластичный 4002 XXL (Болгария) KZ.7700.02.01.00585474 / Действителен до 09.08.2024 / 0819028KZ28 / годен до 09.08.2024</v>
      </c>
    </row>
    <row r="1177" spans="1:8" ht="12.75" x14ac:dyDescent="0.2">
      <c r="A1177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1177" s="1" t="str">
        <f ca="1">IFERROR(__xludf.DUMMYFUNCTION("""COMPUTED_VALUE"""),"KZ.7700.02.01.00585475")</f>
        <v>KZ.7700.02.01.00585475</v>
      </c>
      <c r="C1177" s="1" t="str">
        <f ca="1">IFERROR(__xludf.DUMMYFUNCTION("""COMPUTED_VALUE"""),"Действителен до 09.08.2024")</f>
        <v>Действителен до 09.08.2024</v>
      </c>
      <c r="D1177" s="8" t="str">
        <f ca="1">IFERROR(__xludf.DUMMYFUNCTION("""COMPUTED_VALUE"""),"0819028KZ28")</f>
        <v>0819028KZ28</v>
      </c>
      <c r="E1177" s="1" t="str">
        <f ca="1">IFERROR(__xludf.DUMMYFUNCTION("""COMPUTED_VALUE"""),"годен до 09.08.2024")</f>
        <v>годен до 09.08.2024</v>
      </c>
      <c r="F1177" s="1" t="str">
        <f ca="1">IFERROR(__xludf.DUMMYFUNCTION("""COMPUTED_VALUE"""),"Бандаж лечебно–профилактический эластичный 4002 XXXL (Болгария) - 0819028KZ28")</f>
        <v>Бандаж лечебно–профилактический эластичный 4002 XXXL (Болгария) - 0819028KZ28</v>
      </c>
      <c r="G1177" s="1" t="str">
        <f ca="1">IFERROR(__xludf.DUMMYFUNCTION("""COMPUTED_VALUE"""),"KZ.7700.02.01.00585475 / Действителен до 09.08.2024 / 0819028KZ28 / годен до 09.08.2024")</f>
        <v>KZ.7700.02.01.00585475 / Действителен до 09.08.2024 / 0819028KZ28 / годен до 09.08.2024</v>
      </c>
      <c r="H1177" s="1" t="str">
        <f ca="1">IFERROR(__xludf.DUMMYFUNCTION("""COMPUTED_VALUE"""),"Бандаж лечебно–профилактический эластичный 4002 XXXL (Болгария) KZ.7700.02.01.00585475 / Действителен до 09.08.2024 / 0819028KZ28 / годен до 09.08.2024")</f>
        <v>Бандаж лечебно–профилактический эластичный 4002 XXXL (Болгария) KZ.7700.02.01.00585475 / Действителен до 09.08.2024 / 0819028KZ28 / годен до 09.08.2024</v>
      </c>
    </row>
    <row r="1178" spans="1:8" ht="12.75" x14ac:dyDescent="0.2">
      <c r="A1178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1178" s="1" t="str">
        <f ca="1">IFERROR(__xludf.DUMMYFUNCTION("""COMPUTED_VALUE"""),"KZ.7700.02.01.00585476")</f>
        <v>KZ.7700.02.01.00585476</v>
      </c>
      <c r="C1178" s="1" t="str">
        <f ca="1">IFERROR(__xludf.DUMMYFUNCTION("""COMPUTED_VALUE"""),"Действителен до 09.08.2024")</f>
        <v>Действителен до 09.08.2024</v>
      </c>
      <c r="D1178" s="8" t="str">
        <f ca="1">IFERROR(__xludf.DUMMYFUNCTION("""COMPUTED_VALUE"""),"0819028KZ28")</f>
        <v>0819028KZ28</v>
      </c>
      <c r="E1178" s="1" t="str">
        <f ca="1">IFERROR(__xludf.DUMMYFUNCTION("""COMPUTED_VALUE"""),"годен до 09.08.2024")</f>
        <v>годен до 09.08.2024</v>
      </c>
      <c r="F1178" s="1" t="str">
        <f ca="1">IFERROR(__xludf.DUMMYFUNCTION("""COMPUTED_VALUE"""),"Бандаж лечебно–профилактический эластичный 4002 XXXXL (Болгария) - 0819028KZ28")</f>
        <v>Бандаж лечебно–профилактический эластичный 4002 XXXXL (Болгария) - 0819028KZ28</v>
      </c>
      <c r="G1178" s="1" t="str">
        <f ca="1">IFERROR(__xludf.DUMMYFUNCTION("""COMPUTED_VALUE"""),"KZ.7700.02.01.00585476 / Действителен до 09.08.2024 / 0819028KZ28 / годен до 09.08.2024")</f>
        <v>KZ.7700.02.01.00585476 / Действителен до 09.08.2024 / 0819028KZ28 / годен до 09.08.2024</v>
      </c>
      <c r="H1178" s="1" t="str">
        <f ca="1">IFERROR(__xludf.DUMMYFUNCTION("""COMPUTED_VALUE"""),"Бандаж лечебно–профилактический эластичный 4002 XXXXL (Болгария) KZ.7700.02.01.00585476 / Действителен до 09.08.2024 / 0819028KZ28 / годен до 09.08.2024")</f>
        <v>Бандаж лечебно–профилактический эластичный 4002 XXXXL (Болгария) KZ.7700.02.01.00585476 / Действителен до 09.08.2024 / 0819028KZ28 / годен до 09.08.2024</v>
      </c>
    </row>
    <row r="1179" spans="1:8" ht="12.75" x14ac:dyDescent="0.2">
      <c r="A1179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1179" s="1" t="str">
        <f ca="1">IFERROR(__xludf.DUMMYFUNCTION("""COMPUTED_VALUE"""),"KZ.7700.02.01.00585464")</f>
        <v>KZ.7700.02.01.00585464</v>
      </c>
      <c r="C1179" s="1" t="str">
        <f ca="1">IFERROR(__xludf.DUMMYFUNCTION("""COMPUTED_VALUE"""),"Действителен до 09.08.2024")</f>
        <v>Действителен до 09.08.2024</v>
      </c>
      <c r="D1179" s="8" t="str">
        <f ca="1">IFERROR(__xludf.DUMMYFUNCTION("""COMPUTED_VALUE"""),"0819028KZ28")</f>
        <v>0819028KZ28</v>
      </c>
      <c r="E1179" s="1" t="str">
        <f ca="1">IFERROR(__xludf.DUMMYFUNCTION("""COMPUTED_VALUE"""),"годен до 09.08.2024")</f>
        <v>годен до 09.08.2024</v>
      </c>
      <c r="F1179" s="1" t="str">
        <f ca="1">IFERROR(__xludf.DUMMYFUNCTION("""COMPUTED_VALUE"""),"Корсет ортопедический с ребрами жесткости согревающий 3041 M/L (Болгария) - 0819028KZ28")</f>
        <v>Корсет ортопедический с ребрами жесткости согревающий 3041 M/L (Болгария) - 0819028KZ28</v>
      </c>
      <c r="G1179" s="1" t="str">
        <f ca="1">IFERROR(__xludf.DUMMYFUNCTION("""COMPUTED_VALUE"""),"KZ.7700.02.01.00585464 / Действителен до 09.08.2024 / 0819028KZ28 / годен до 09.08.2024")</f>
        <v>KZ.7700.02.01.00585464 / Действителен до 09.08.2024 / 0819028KZ28 / годен до 09.08.2024</v>
      </c>
      <c r="H1179" s="1" t="str">
        <f ca="1">IFERROR(__xludf.DUMMYFUNCTION("""COMPUTED_VALUE"""),"Корсет ортопедический с ребрами жесткости согревающий 3041 M/L (Болгария) KZ.7700.02.01.00585464 / Действителен до 09.08.2024 / 0819028KZ28 / годен до 09.08.2024")</f>
        <v>Корсет ортопедический с ребрами жесткости согревающий 3041 M/L (Болгария) KZ.7700.02.01.00585464 / Действителен до 09.08.2024 / 0819028KZ28 / годен до 09.08.2024</v>
      </c>
    </row>
    <row r="1180" spans="1:8" ht="12.75" x14ac:dyDescent="0.2">
      <c r="A1180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1180" s="1" t="str">
        <f ca="1">IFERROR(__xludf.DUMMYFUNCTION("""COMPUTED_VALUE"""),"KZ.7700.02.01.00585465")</f>
        <v>KZ.7700.02.01.00585465</v>
      </c>
      <c r="C1180" s="1" t="str">
        <f ca="1">IFERROR(__xludf.DUMMYFUNCTION("""COMPUTED_VALUE"""),"Действителен до 09.08.2024")</f>
        <v>Действителен до 09.08.2024</v>
      </c>
      <c r="D1180" s="8" t="str">
        <f ca="1">IFERROR(__xludf.DUMMYFUNCTION("""COMPUTED_VALUE"""),"0819028KZ28")</f>
        <v>0819028KZ28</v>
      </c>
      <c r="E1180" s="1" t="str">
        <f ca="1">IFERROR(__xludf.DUMMYFUNCTION("""COMPUTED_VALUE"""),"годен до 09.08.2024")</f>
        <v>годен до 09.08.2024</v>
      </c>
      <c r="F1180" s="1" t="str">
        <f ca="1">IFERROR(__xludf.DUMMYFUNCTION("""COMPUTED_VALUE"""),"Корсет ортопедический с ребрами жесткости согревающий 3041 XL/XXL (Болгария) - 0819028KZ28")</f>
        <v>Корсет ортопедический с ребрами жесткости согревающий 3041 XL/XXL (Болгария) - 0819028KZ28</v>
      </c>
      <c r="G1180" s="1" t="str">
        <f ca="1">IFERROR(__xludf.DUMMYFUNCTION("""COMPUTED_VALUE"""),"KZ.7700.02.01.00585465 / Действителен до 09.08.2024 / 0819028KZ28 / годен до 09.08.2024")</f>
        <v>KZ.7700.02.01.00585465 / Действителен до 09.08.2024 / 0819028KZ28 / годен до 09.08.2024</v>
      </c>
      <c r="H1180" s="1" t="str">
        <f ca="1">IFERROR(__xludf.DUMMYFUNCTION("""COMPUTED_VALUE"""),"Корсет ортопедический с ребрами жесткости согревающий 3041 XL/XXL (Болгария) KZ.7700.02.01.00585465 / Действителен до 09.08.2024 / 0819028KZ28 / годен до 09.08.2024")</f>
        <v>Корсет ортопедический с ребрами жесткости согревающий 3041 XL/XXL (Болгария) KZ.7700.02.01.00585465 / Действителен до 09.08.2024 / 0819028KZ28 / годен до 09.08.2024</v>
      </c>
    </row>
    <row r="1181" spans="1:8" ht="12.75" x14ac:dyDescent="0.2">
      <c r="A1181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1181" s="1" t="str">
        <f ca="1">IFERROR(__xludf.DUMMYFUNCTION("""COMPUTED_VALUE"""),"KZ.7700.02.01.00585466")</f>
        <v>KZ.7700.02.01.00585466</v>
      </c>
      <c r="C1181" s="1" t="str">
        <f ca="1">IFERROR(__xludf.DUMMYFUNCTION("""COMPUTED_VALUE"""),"Действителен до 09.08.2024")</f>
        <v>Действителен до 09.08.2024</v>
      </c>
      <c r="D1181" s="8" t="str">
        <f ca="1">IFERROR(__xludf.DUMMYFUNCTION("""COMPUTED_VALUE"""),"0819028KZ28")</f>
        <v>0819028KZ28</v>
      </c>
      <c r="E1181" s="1" t="str">
        <f ca="1">IFERROR(__xludf.DUMMYFUNCTION("""COMPUTED_VALUE"""),"годен до 09.08.2024")</f>
        <v>годен до 09.08.2024</v>
      </c>
      <c r="F1181" s="1" t="str">
        <f ca="1">IFERROR(__xludf.DUMMYFUNCTION("""COMPUTED_VALUE"""),"Корсет ортопедический с ребрами жесткости согревающий 3041 XXXL/XXXXL (Болгария) - 0819028KZ28")</f>
        <v>Корсет ортопедический с ребрами жесткости согревающий 3041 XXXL/XXXXL (Болгария) - 0819028KZ28</v>
      </c>
      <c r="G1181" s="1" t="str">
        <f ca="1">IFERROR(__xludf.DUMMYFUNCTION("""COMPUTED_VALUE"""),"KZ.7700.02.01.00585466 / Действителен до 09.08.2024 / 0819028KZ28 / годен до 09.08.2024")</f>
        <v>KZ.7700.02.01.00585466 / Действителен до 09.08.2024 / 0819028KZ28 / годен до 09.08.2024</v>
      </c>
      <c r="H1181" s="1" t="str">
        <f ca="1">IFERROR(__xludf.DUMMYFUNCTION("""COMPUTED_VALUE"""),"Корсет ортопедический с ребрами жесткости согревающий 3041 XXXL/XXXXL (Болгария) KZ.7700.02.01.00585466 / Действителен до 09.08.2024 / 0819028KZ28 / годен до 09.08.2024")</f>
        <v>Корсет ортопедический с ребрами жесткости согревающий 3041 XXXL/XXXXL (Болгария) KZ.7700.02.01.00585466 / Действителен до 09.08.2024 / 0819028KZ28 / годен до 09.08.2024</v>
      </c>
    </row>
    <row r="1182" spans="1:8" ht="12.75" x14ac:dyDescent="0.2">
      <c r="A1182" s="1" t="str">
        <f ca="1">IFERROR(__xludf.DUMMYFUNCTION("""COMPUTED_VALUE"""),"Бандаж универсальный 4011 XS/S (Болгария)")</f>
        <v>Бандаж универсальный 4011 XS/S (Болгария)</v>
      </c>
      <c r="B1182" s="1" t="str">
        <f ca="1">IFERROR(__xludf.DUMMYFUNCTION("""COMPUTED_VALUE"""),"KZ.7700.02.01.00585477")</f>
        <v>KZ.7700.02.01.00585477</v>
      </c>
      <c r="C1182" s="1" t="str">
        <f ca="1">IFERROR(__xludf.DUMMYFUNCTION("""COMPUTED_VALUE"""),"Действителен до 09.08.2024")</f>
        <v>Действителен до 09.08.2024</v>
      </c>
      <c r="D1182" s="8" t="str">
        <f ca="1">IFERROR(__xludf.DUMMYFUNCTION("""COMPUTED_VALUE"""),"0819028KZ28")</f>
        <v>0819028KZ28</v>
      </c>
      <c r="E1182" s="1" t="str">
        <f ca="1">IFERROR(__xludf.DUMMYFUNCTION("""COMPUTED_VALUE"""),"годен до 09.08.2024")</f>
        <v>годен до 09.08.2024</v>
      </c>
      <c r="F1182" s="1" t="str">
        <f ca="1">IFERROR(__xludf.DUMMYFUNCTION("""COMPUTED_VALUE"""),"Бандаж универсальный 4011 XS/S (Болгария) - 0819028KZ28")</f>
        <v>Бандаж универсальный 4011 XS/S (Болгария) - 0819028KZ28</v>
      </c>
      <c r="G1182" s="1" t="str">
        <f ca="1">IFERROR(__xludf.DUMMYFUNCTION("""COMPUTED_VALUE"""),"KZ.7700.02.01.00585477 / Действителен до 09.08.2024 / 0819028KZ28 / годен до 09.08.2024")</f>
        <v>KZ.7700.02.01.00585477 / Действителен до 09.08.2024 / 0819028KZ28 / годен до 09.08.2024</v>
      </c>
      <c r="H1182" s="1" t="str">
        <f ca="1">IFERROR(__xludf.DUMMYFUNCTION("""COMPUTED_VALUE"""),"Бандаж универсальный 4011 XS/S (Болгария) KZ.7700.02.01.00585477 / Действителен до 09.08.2024 / 0819028KZ28 / годен до 09.08.2024")</f>
        <v>Бандаж универсальный 4011 XS/S (Болгария) KZ.7700.02.01.00585477 / Действителен до 09.08.2024 / 0819028KZ28 / годен до 09.08.2024</v>
      </c>
    </row>
    <row r="1183" spans="1:8" ht="12.75" x14ac:dyDescent="0.2">
      <c r="A1183" s="1" t="str">
        <f ca="1">IFERROR(__xludf.DUMMYFUNCTION("""COMPUTED_VALUE"""),"Бандаж универсальный 4011 M/L (Болгария)")</f>
        <v>Бандаж универсальный 4011 M/L (Болгария)</v>
      </c>
      <c r="B1183" s="1" t="str">
        <f ca="1">IFERROR(__xludf.DUMMYFUNCTION("""COMPUTED_VALUE"""),"KZ.7700.02.01.00585478")</f>
        <v>KZ.7700.02.01.00585478</v>
      </c>
      <c r="C1183" s="1" t="str">
        <f ca="1">IFERROR(__xludf.DUMMYFUNCTION("""COMPUTED_VALUE"""),"Действителен до 09.08.2024")</f>
        <v>Действителен до 09.08.2024</v>
      </c>
      <c r="D1183" s="8" t="str">
        <f ca="1">IFERROR(__xludf.DUMMYFUNCTION("""COMPUTED_VALUE"""),"0819028KZ28")</f>
        <v>0819028KZ28</v>
      </c>
      <c r="E1183" s="1" t="str">
        <f ca="1">IFERROR(__xludf.DUMMYFUNCTION("""COMPUTED_VALUE"""),"годен до 09.08.2024")</f>
        <v>годен до 09.08.2024</v>
      </c>
      <c r="F1183" s="1" t="str">
        <f ca="1">IFERROR(__xludf.DUMMYFUNCTION("""COMPUTED_VALUE"""),"Бандаж универсальный 4011 M/L (Болгария) - 0819028KZ28")</f>
        <v>Бандаж универсальный 4011 M/L (Болгария) - 0819028KZ28</v>
      </c>
      <c r="G1183" s="1" t="str">
        <f ca="1">IFERROR(__xludf.DUMMYFUNCTION("""COMPUTED_VALUE"""),"KZ.7700.02.01.00585478 / Действителен до 09.08.2024 / 0819028KZ28 / годен до 09.08.2024")</f>
        <v>KZ.7700.02.01.00585478 / Действителен до 09.08.2024 / 0819028KZ28 / годен до 09.08.2024</v>
      </c>
      <c r="H1183" s="1" t="str">
        <f ca="1">IFERROR(__xludf.DUMMYFUNCTION("""COMPUTED_VALUE"""),"Бандаж универсальный 4011 M/L (Болгария) KZ.7700.02.01.00585478 / Действителен до 09.08.2024 / 0819028KZ28 / годен до 09.08.2024")</f>
        <v>Бандаж универсальный 4011 M/L (Болгария) KZ.7700.02.01.00585478 / Действителен до 09.08.2024 / 0819028KZ28 / годен до 09.08.2024</v>
      </c>
    </row>
    <row r="1184" spans="1:8" ht="12.75" x14ac:dyDescent="0.2">
      <c r="A1184" s="1" t="str">
        <f ca="1">IFERROR(__xludf.DUMMYFUNCTION("""COMPUTED_VALUE"""),"Бандаж универсальный 4011 XL/XXL (Болгария)")</f>
        <v>Бандаж универсальный 4011 XL/XXL (Болгария)</v>
      </c>
      <c r="B1184" s="1" t="str">
        <f ca="1">IFERROR(__xludf.DUMMYFUNCTION("""COMPUTED_VALUE"""),"KZ.7700.02.01.00585479")</f>
        <v>KZ.7700.02.01.00585479</v>
      </c>
      <c r="C1184" s="1" t="str">
        <f ca="1">IFERROR(__xludf.DUMMYFUNCTION("""COMPUTED_VALUE"""),"Действителен до 09.08.2024")</f>
        <v>Действителен до 09.08.2024</v>
      </c>
      <c r="D1184" s="8" t="str">
        <f ca="1">IFERROR(__xludf.DUMMYFUNCTION("""COMPUTED_VALUE"""),"0819028KZ28")</f>
        <v>0819028KZ28</v>
      </c>
      <c r="E1184" s="1" t="str">
        <f ca="1">IFERROR(__xludf.DUMMYFUNCTION("""COMPUTED_VALUE"""),"годен до 09.08.2024")</f>
        <v>годен до 09.08.2024</v>
      </c>
      <c r="F1184" s="1" t="str">
        <f ca="1">IFERROR(__xludf.DUMMYFUNCTION("""COMPUTED_VALUE"""),"Бандаж универсальный 4011 XL/XXL (Болгария) - 0819028KZ28")</f>
        <v>Бандаж универсальный 4011 XL/XXL (Болгария) - 0819028KZ28</v>
      </c>
      <c r="G1184" s="1" t="str">
        <f ca="1">IFERROR(__xludf.DUMMYFUNCTION("""COMPUTED_VALUE"""),"KZ.7700.02.01.00585479 / Действителен до 09.08.2024 / 0819028KZ28 / годен до 09.08.2024")</f>
        <v>KZ.7700.02.01.00585479 / Действителен до 09.08.2024 / 0819028KZ28 / годен до 09.08.2024</v>
      </c>
      <c r="H1184" s="1" t="str">
        <f ca="1">IFERROR(__xludf.DUMMYFUNCTION("""COMPUTED_VALUE"""),"Бандаж универсальный 4011 XL/XXL (Болгария) KZ.7700.02.01.00585479 / Действителен до 09.08.2024 / 0819028KZ28 / годен до 09.08.2024")</f>
        <v>Бандаж универсальный 4011 XL/XXL (Болгария) KZ.7700.02.01.00585479 / Действителен до 09.08.2024 / 0819028KZ28 / годен до 09.08.2024</v>
      </c>
    </row>
    <row r="1185" spans="1:8" ht="12.75" x14ac:dyDescent="0.2">
      <c r="A1185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1185" s="1" t="str">
        <f ca="1">IFERROR(__xludf.DUMMYFUNCTION("""COMPUTED_VALUE"""),"KZ.7700.02.01.00585480")</f>
        <v>KZ.7700.02.01.00585480</v>
      </c>
      <c r="C1185" s="1" t="str">
        <f ca="1">IFERROR(__xludf.DUMMYFUNCTION("""COMPUTED_VALUE"""),"Действителен до 09.08.2024")</f>
        <v>Действителен до 09.08.2024</v>
      </c>
      <c r="D1185" s="8" t="str">
        <f ca="1">IFERROR(__xludf.DUMMYFUNCTION("""COMPUTED_VALUE"""),"0819028KZ28")</f>
        <v>0819028KZ28</v>
      </c>
      <c r="E1185" s="1" t="str">
        <f ca="1">IFERROR(__xludf.DUMMYFUNCTION("""COMPUTED_VALUE"""),"годен до 09.08.2024")</f>
        <v>годен до 09.08.2024</v>
      </c>
      <c r="F1185" s="1" t="str">
        <f ca="1">IFERROR(__xludf.DUMMYFUNCTION("""COMPUTED_VALUE"""),"Бандаж универсальный 4011 XXXL/XXXXL (Болгария) - 0819028KZ28")</f>
        <v>Бандаж универсальный 4011 XXXL/XXXXL (Болгария) - 0819028KZ28</v>
      </c>
      <c r="G1185" s="1" t="str">
        <f ca="1">IFERROR(__xludf.DUMMYFUNCTION("""COMPUTED_VALUE"""),"KZ.7700.02.01.00585480 / Действителен до 09.08.2024 / 0819028KZ28 / годен до 09.08.2024")</f>
        <v>KZ.7700.02.01.00585480 / Действителен до 09.08.2024 / 0819028KZ28 / годен до 09.08.2024</v>
      </c>
      <c r="H1185" s="1" t="str">
        <f ca="1">IFERROR(__xludf.DUMMYFUNCTION("""COMPUTED_VALUE"""),"Бандаж универсальный 4011 XXXL/XXXXL (Болгария) KZ.7700.02.01.00585480 / Действителен до 09.08.2024 / 0819028KZ28 / годен до 09.08.2024")</f>
        <v>Бандаж универсальный 4011 XXXL/XXXXL (Болгария) KZ.7700.02.01.00585480 / Действителен до 09.08.2024 / 0819028KZ28 / годен до 09.08.2024</v>
      </c>
    </row>
    <row r="1186" spans="1:8" ht="12.75" x14ac:dyDescent="0.2">
      <c r="A1186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186" s="1" t="str">
        <f ca="1">IFERROR(__xludf.DUMMYFUNCTION("""COMPUTED_VALUE"""),"KZ.7700.02.01.00585490")</f>
        <v>KZ.7700.02.01.00585490</v>
      </c>
      <c r="C1186" s="1" t="str">
        <f ca="1">IFERROR(__xludf.DUMMYFUNCTION("""COMPUTED_VALUE"""),"Действителен до 29.03.2024")</f>
        <v>Действителен до 29.03.2024</v>
      </c>
      <c r="D1186" s="8" t="str">
        <f ca="1">IFERROR(__xludf.DUMMYFUNCTION("""COMPUTED_VALUE"""),"04190006KZ06")</f>
        <v>04190006KZ06</v>
      </c>
      <c r="E1186" s="1" t="str">
        <f ca="1">IFERROR(__xludf.DUMMYFUNCTION("""COMPUTED_VALUE"""),"годен до 29.03.2024")</f>
        <v>годен до 29.03.2024</v>
      </c>
      <c r="F1186" s="1" t="str">
        <f ca="1">IFERROR(__xludf.DUMMYFUNCTION("""COMPUTED_VALUE"""),"Бинт эластичный медицинский средней растяжимости (ширина 80 мм) 02х80х2.5 - 04190006KZ06")</f>
        <v>Бинт эластичный медицинский средней растяжимости (ширина 80 мм) 02х80х2.5 - 04190006KZ06</v>
      </c>
      <c r="G1186" s="1" t="str">
        <f ca="1">IFERROR(__xludf.DUMMYFUNCTION("""COMPUTED_VALUE"""),"KZ.7700.02.01.00585490 / Действителен до 29.03.2024 / 04190006KZ06 / годен до 29.03.2024")</f>
        <v>KZ.7700.02.01.00585490 / Действителен до 29.03.2024 / 04190006KZ06 / годен до 29.03.2024</v>
      </c>
      <c r="H1186" s="1" t="str">
        <f ca="1">IFERROR(__xludf.DUMMYFUNCTION("""COMPUTED_VALUE"""),"Бинт эластичный медицинский средней растяжимости (ширина 80 мм) 02х80х2.5 KZ.7700.02.01.00585490 / Действителен до 29.03.2024 / 04190006KZ06 / годен до 29.03.2024")</f>
        <v>Бинт эластичный медицинский средней растяжимости (ширина 80 мм) 02х80х2.5 KZ.7700.02.01.00585490 / Действителен до 29.03.2024 / 04190006KZ06 / годен до 29.03.2024</v>
      </c>
    </row>
    <row r="1187" spans="1:8" ht="12.75" x14ac:dyDescent="0.2">
      <c r="A1187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187" s="1" t="str">
        <f ca="1">IFERROR(__xludf.DUMMYFUNCTION("""COMPUTED_VALUE"""),"KZ.7700.02.01.00585492")</f>
        <v>KZ.7700.02.01.00585492</v>
      </c>
      <c r="C1187" s="1" t="str">
        <f ca="1">IFERROR(__xludf.DUMMYFUNCTION("""COMPUTED_VALUE"""),"Действителен до 09.08.2024")</f>
        <v>Действителен до 09.08.2024</v>
      </c>
      <c r="D1187" s="8" t="str">
        <f ca="1">IFERROR(__xludf.DUMMYFUNCTION("""COMPUTED_VALUE"""),"0819028KZ28")</f>
        <v>0819028KZ28</v>
      </c>
      <c r="E1187" s="1" t="str">
        <f ca="1">IFERROR(__xludf.DUMMYFUNCTION("""COMPUTED_VALUE"""),"годен до 09.08.2024")</f>
        <v>годен до 09.08.2024</v>
      </c>
      <c r="F1187" s="1" t="str">
        <f ca="1">IFERROR(__xludf.DUMMYFUNCTION("""COMPUTED_VALUE"""),"Бинт эластичный медицинский средней растяжимости (ширина 80 мм) 02х80х2.5 - 0819028KZ28")</f>
        <v>Бинт эластичный медицинский средней растяжимости (ширина 80 мм) 02х80х2.5 - 0819028KZ28</v>
      </c>
      <c r="G1187" s="1" t="str">
        <f ca="1">IFERROR(__xludf.DUMMYFUNCTION("""COMPUTED_VALUE"""),"KZ.7700.02.01.00585492 / Действителен до 09.08.2024 / 0819028KZ28 / годен до 09.08.2024")</f>
        <v>KZ.7700.02.01.00585492 / Действителен до 09.08.2024 / 0819028KZ28 / годен до 09.08.2024</v>
      </c>
      <c r="H1187" s="1" t="str">
        <f ca="1">IFERROR(__xludf.DUMMYFUNCTION("""COMPUTED_VALUE"""),"Бинт эластичный медицинский средней растяжимости (ширина 80 мм) 02х80х2.5 KZ.7700.02.01.00585492 / Действителен до 09.08.2024 / 0819028KZ28 / годен до 09.08.2024")</f>
        <v>Бинт эластичный медицинский средней растяжимости (ширина 80 мм) 02х80х2.5 KZ.7700.02.01.00585492 / Действителен до 09.08.2024 / 0819028KZ28 / годен до 09.08.2024</v>
      </c>
    </row>
    <row r="1188" spans="1:8" ht="12.75" x14ac:dyDescent="0.2">
      <c r="A1188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188" s="1" t="str">
        <f ca="1">IFERROR(__xludf.DUMMYFUNCTION("""COMPUTED_VALUE"""),"KZ.7700.02.01.00585485")</f>
        <v>KZ.7700.02.01.00585485</v>
      </c>
      <c r="C1188" s="1" t="str">
        <f ca="1">IFERROR(__xludf.DUMMYFUNCTION("""COMPUTED_VALUE"""),"Действителен до 09.08.2024")</f>
        <v>Действителен до 09.08.2024</v>
      </c>
      <c r="D1188" s="8" t="str">
        <f ca="1">IFERROR(__xludf.DUMMYFUNCTION("""COMPUTED_VALUE"""),"0819028KZ28")</f>
        <v>0819028KZ28</v>
      </c>
      <c r="E1188" s="1" t="str">
        <f ca="1">IFERROR(__xludf.DUMMYFUNCTION("""COMPUTED_VALUE"""),"годен до 09.08.2024")</f>
        <v>годен до 09.08.2024</v>
      </c>
      <c r="F1188" s="1" t="str">
        <f ca="1">IFERROR(__xludf.DUMMYFUNCTION("""COMPUTED_VALUE"""),"Бинт эластичный медицинский средней растяжимости (ширина 80 мм) 02х80х3 - 0819028KZ28")</f>
        <v>Бинт эластичный медицинский средней растяжимости (ширина 80 мм) 02х80х3 - 0819028KZ28</v>
      </c>
      <c r="G1188" s="1" t="str">
        <f ca="1">IFERROR(__xludf.DUMMYFUNCTION("""COMPUTED_VALUE"""),"KZ.7700.02.01.00585485 / Действителен до 09.08.2024 / 0819028KZ28 / годен до 09.08.2024")</f>
        <v>KZ.7700.02.01.00585485 / Действителен до 09.08.2024 / 0819028KZ28 / годен до 09.08.2024</v>
      </c>
      <c r="H1188" s="1" t="str">
        <f ca="1">IFERROR(__xludf.DUMMYFUNCTION("""COMPUTED_VALUE"""),"Бинт эластичный медицинский средней растяжимости (ширина 80 мм) 02х80х3 KZ.7700.02.01.00585485 / Действителен до 09.08.2024 / 0819028KZ28 / годен до 09.08.2024")</f>
        <v>Бинт эластичный медицинский средней растяжимости (ширина 80 мм) 02х80х3 KZ.7700.02.01.00585485 / Действителен до 09.08.2024 / 0819028KZ28 / годен до 09.08.2024</v>
      </c>
    </row>
    <row r="1189" spans="1:8" ht="12.75" x14ac:dyDescent="0.2">
      <c r="A1189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189" s="1" t="str">
        <f ca="1">IFERROR(__xludf.DUMMYFUNCTION("""COMPUTED_VALUE"""),"KZ.7700.02.01.00585493")</f>
        <v>KZ.7700.02.01.00585493</v>
      </c>
      <c r="C1189" s="1" t="str">
        <f ca="1">IFERROR(__xludf.DUMMYFUNCTION("""COMPUTED_VALUE"""),"Действителен до 29.03.2024")</f>
        <v>Действителен до 29.03.2024</v>
      </c>
      <c r="D1189" s="8" t="str">
        <f ca="1">IFERROR(__xludf.DUMMYFUNCTION("""COMPUTED_VALUE"""),"04190006KZ06")</f>
        <v>04190006KZ06</v>
      </c>
      <c r="E1189" s="1" t="str">
        <f ca="1">IFERROR(__xludf.DUMMYFUNCTION("""COMPUTED_VALUE"""),"годен до 29.03.2024")</f>
        <v>годен до 29.03.2024</v>
      </c>
      <c r="F1189" s="1" t="str">
        <f ca="1">IFERROR(__xludf.DUMMYFUNCTION("""COMPUTED_VALUE"""),"Бинт эластичный медицинский средней растяжимости (ширина 80 мм) 02х80х3.5 - 04190006KZ06")</f>
        <v>Бинт эластичный медицинский средней растяжимости (ширина 80 мм) 02х80х3.5 - 04190006KZ06</v>
      </c>
      <c r="G1189" s="1" t="str">
        <f ca="1">IFERROR(__xludf.DUMMYFUNCTION("""COMPUTED_VALUE"""),"KZ.7700.02.01.00585493 / Действителен до 29.03.2024 / 04190006KZ06 / годен до 29.03.2024")</f>
        <v>KZ.7700.02.01.00585493 / Действителен до 29.03.2024 / 04190006KZ06 / годен до 29.03.2024</v>
      </c>
      <c r="H1189" s="1" t="str">
        <f ca="1">IFERROR(__xludf.DUMMYFUNCTION("""COMPUTED_VALUE"""),"Бинт эластичный медицинский средней растяжимости (ширина 80 мм) 02х80х3.5 KZ.7700.02.01.00585493 / Действителен до 29.03.2024 / 04190006KZ06 / годен до 29.03.2024")</f>
        <v>Бинт эластичный медицинский средней растяжимости (ширина 80 мм) 02х80х3.5 KZ.7700.02.01.00585493 / Действителен до 29.03.2024 / 04190006KZ06 / годен до 29.03.2024</v>
      </c>
    </row>
    <row r="1190" spans="1:8" ht="12.75" x14ac:dyDescent="0.2">
      <c r="A1190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190" s="1" t="str">
        <f ca="1">IFERROR(__xludf.DUMMYFUNCTION("""COMPUTED_VALUE"""),"KZ.7700.02.01.00585491")</f>
        <v>KZ.7700.02.01.00585491</v>
      </c>
      <c r="C1190" s="1" t="str">
        <f ca="1">IFERROR(__xludf.DUMMYFUNCTION("""COMPUTED_VALUE"""),"Действителен до 09.08.2024")</f>
        <v>Действителен до 09.08.2024</v>
      </c>
      <c r="D1190" s="8" t="str">
        <f ca="1">IFERROR(__xludf.DUMMYFUNCTION("""COMPUTED_VALUE"""),"0819028KZ28")</f>
        <v>0819028KZ28</v>
      </c>
      <c r="E1190" s="1" t="str">
        <f ca="1">IFERROR(__xludf.DUMMYFUNCTION("""COMPUTED_VALUE"""),"годен до 09.08.2024")</f>
        <v>годен до 09.08.2024</v>
      </c>
      <c r="F1190" s="1" t="str">
        <f ca="1">IFERROR(__xludf.DUMMYFUNCTION("""COMPUTED_VALUE"""),"Бинт эластичный медицинский средней растяжимости (ширина 80 мм) 02х80х3.5 - 0819028KZ28")</f>
        <v>Бинт эластичный медицинский средней растяжимости (ширина 80 мм) 02х80х3.5 - 0819028KZ28</v>
      </c>
      <c r="G1190" s="1" t="str">
        <f ca="1">IFERROR(__xludf.DUMMYFUNCTION("""COMPUTED_VALUE"""),"KZ.7700.02.01.00585491 / Действителен до 09.08.2024 / 0819028KZ28 / годен до 09.08.2024")</f>
        <v>KZ.7700.02.01.00585491 / Действителен до 09.08.2024 / 0819028KZ28 / годен до 09.08.2024</v>
      </c>
      <c r="H1190" s="1" t="str">
        <f ca="1">IFERROR(__xludf.DUMMYFUNCTION("""COMPUTED_VALUE"""),"Бинт эластичный медицинский средней растяжимости (ширина 80 мм) 02х80х3.5 KZ.7700.02.01.00585491 / Действителен до 09.08.2024 / 0819028KZ28 / годен до 09.08.2024")</f>
        <v>Бинт эластичный медицинский средней растяжимости (ширина 80 мм) 02х80х3.5 KZ.7700.02.01.00585491 / Действителен до 09.08.2024 / 0819028KZ28 / годен до 09.08.2024</v>
      </c>
    </row>
    <row r="1191" spans="1:8" ht="12.75" x14ac:dyDescent="0.2">
      <c r="A1191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191" s="1" t="str">
        <f ca="1">IFERROR(__xludf.DUMMYFUNCTION("""COMPUTED_VALUE"""),"KZ.7700.02.01.00585486")</f>
        <v>KZ.7700.02.01.00585486</v>
      </c>
      <c r="C1191" s="1" t="str">
        <f ca="1">IFERROR(__xludf.DUMMYFUNCTION("""COMPUTED_VALUE"""),"Действителен до 09.08.2024")</f>
        <v>Действителен до 09.08.2024</v>
      </c>
      <c r="D1191" s="8" t="str">
        <f ca="1">IFERROR(__xludf.DUMMYFUNCTION("""COMPUTED_VALUE"""),"0819028KZ28")</f>
        <v>0819028KZ28</v>
      </c>
      <c r="E1191" s="1" t="str">
        <f ca="1">IFERROR(__xludf.DUMMYFUNCTION("""COMPUTED_VALUE"""),"годен до 09.08.2024")</f>
        <v>годен до 09.08.2024</v>
      </c>
      <c r="F1191" s="1" t="str">
        <f ca="1">IFERROR(__xludf.DUMMYFUNCTION("""COMPUTED_VALUE"""),"Бинт эластичный медицинский средней растяжимости (ширина 80 мм) 02х80х4 - 0819028KZ28")</f>
        <v>Бинт эластичный медицинский средней растяжимости (ширина 80 мм) 02х80х4 - 0819028KZ28</v>
      </c>
      <c r="G1191" s="1" t="str">
        <f ca="1">IFERROR(__xludf.DUMMYFUNCTION("""COMPUTED_VALUE"""),"KZ.7700.02.01.00585486 / Действителен до 09.08.2024 / 0819028KZ28 / годен до 09.08.2024")</f>
        <v>KZ.7700.02.01.00585486 / Действителен до 09.08.2024 / 0819028KZ28 / годен до 09.08.2024</v>
      </c>
      <c r="H1191" s="1" t="str">
        <f ca="1">IFERROR(__xludf.DUMMYFUNCTION("""COMPUTED_VALUE"""),"Бинт эластичный медицинский средней растяжимости (ширина 80 мм) 02х80х4 KZ.7700.02.01.00585486 / Действителен до 09.08.2024 / 0819028KZ28 / годен до 09.08.2024")</f>
        <v>Бинт эластичный медицинский средней растяжимости (ширина 80 мм) 02х80х4 KZ.7700.02.01.00585486 / Действителен до 09.08.2024 / 0819028KZ28 / годен до 09.08.2024</v>
      </c>
    </row>
    <row r="1192" spans="1:8" ht="12.75" x14ac:dyDescent="0.2">
      <c r="A1192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192" s="1" t="str">
        <f ca="1">IFERROR(__xludf.DUMMYFUNCTION("""COMPUTED_VALUE"""),"KZ.7700.02.01.00585487")</f>
        <v>KZ.7700.02.01.00585487</v>
      </c>
      <c r="C1192" s="1" t="str">
        <f ca="1">IFERROR(__xludf.DUMMYFUNCTION("""COMPUTED_VALUE"""),"Действителен до 09.08.2024")</f>
        <v>Действителен до 09.08.2024</v>
      </c>
      <c r="D1192" s="8" t="str">
        <f ca="1">IFERROR(__xludf.DUMMYFUNCTION("""COMPUTED_VALUE"""),"0819028KZ28")</f>
        <v>0819028KZ28</v>
      </c>
      <c r="E1192" s="1" t="str">
        <f ca="1">IFERROR(__xludf.DUMMYFUNCTION("""COMPUTED_VALUE"""),"годен до 09.08.2024")</f>
        <v>годен до 09.08.2024</v>
      </c>
      <c r="F1192" s="1" t="str">
        <f ca="1">IFERROR(__xludf.DUMMYFUNCTION("""COMPUTED_VALUE"""),"Бинт эластичный медицинский средней растяжимости (ширина 80 мм) 02х80х5 - 0819028KZ28")</f>
        <v>Бинт эластичный медицинский средней растяжимости (ширина 80 мм) 02х80х5 - 0819028KZ28</v>
      </c>
      <c r="G1192" s="1" t="str">
        <f ca="1">IFERROR(__xludf.DUMMYFUNCTION("""COMPUTED_VALUE"""),"KZ.7700.02.01.00585487 / Действителен до 09.08.2024 / 0819028KZ28 / годен до 09.08.2024")</f>
        <v>KZ.7700.02.01.00585487 / Действителен до 09.08.2024 / 0819028KZ28 / годен до 09.08.2024</v>
      </c>
      <c r="H1192" s="1" t="str">
        <f ca="1">IFERROR(__xludf.DUMMYFUNCTION("""COMPUTED_VALUE"""),"Бинт эластичный медицинский средней растяжимости (ширина 80 мм) 02х80х5 KZ.7700.02.01.00585487 / Действителен до 09.08.2024 / 0819028KZ28 / годен до 09.08.2024")</f>
        <v>Бинт эластичный медицинский средней растяжимости (ширина 80 мм) 02х80х5 KZ.7700.02.01.00585487 / Действителен до 09.08.2024 / 0819028KZ28 / годен до 09.08.2024</v>
      </c>
    </row>
    <row r="1193" spans="1:8" ht="12.75" x14ac:dyDescent="0.2">
      <c r="A1193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1193" s="1" t="str">
        <f ca="1">IFERROR(__xludf.DUMMYFUNCTION("""COMPUTED_VALUE"""),"KZ.7700.02.01.00585481")</f>
        <v>KZ.7700.02.01.00585481</v>
      </c>
      <c r="C1193" s="1" t="str">
        <f ca="1">IFERROR(__xludf.DUMMYFUNCTION("""COMPUTED_VALUE"""),"Действителен до 09.08.2024")</f>
        <v>Действителен до 09.08.2024</v>
      </c>
      <c r="D1193" s="8" t="str">
        <f ca="1">IFERROR(__xludf.DUMMYFUNCTION("""COMPUTED_VALUE"""),"0819028KZ28")</f>
        <v>0819028KZ28</v>
      </c>
      <c r="E1193" s="1" t="str">
        <f ca="1">IFERROR(__xludf.DUMMYFUNCTION("""COMPUTED_VALUE"""),"годен до 09.08.2024")</f>
        <v>годен до 09.08.2024</v>
      </c>
      <c r="F1193" s="1" t="str">
        <f ca="1">IFERROR(__xludf.DUMMYFUNCTION("""COMPUTED_VALUE"""),"Бандаж грыжевой лево-и правосторонний 5001 M/L (Болгария) - 0819028KZ28")</f>
        <v>Бандаж грыжевой лево-и правосторонний 5001 M/L (Болгария) - 0819028KZ28</v>
      </c>
      <c r="G1193" s="1" t="str">
        <f ca="1">IFERROR(__xludf.DUMMYFUNCTION("""COMPUTED_VALUE"""),"KZ.7700.02.01.00585481 / Действителен до 09.08.2024 / 0819028KZ28 / годен до 09.08.2024")</f>
        <v>KZ.7700.02.01.00585481 / Действителен до 09.08.2024 / 0819028KZ28 / годен до 09.08.2024</v>
      </c>
      <c r="H1193" s="1" t="str">
        <f ca="1">IFERROR(__xludf.DUMMYFUNCTION("""COMPUTED_VALUE"""),"Бандаж грыжевой лево-и правосторонний 5001 M/L (Болгария) KZ.7700.02.01.00585481 / Действителен до 09.08.2024 / 0819028KZ28 / годен до 09.08.2024")</f>
        <v>Бандаж грыжевой лево-и правосторонний 5001 M/L (Болгария) KZ.7700.02.01.00585481 / Действителен до 09.08.2024 / 0819028KZ28 / годен до 09.08.2024</v>
      </c>
    </row>
    <row r="1194" spans="1:8" ht="12.75" x14ac:dyDescent="0.2">
      <c r="A1194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1194" s="1" t="str">
        <f ca="1">IFERROR(__xludf.DUMMYFUNCTION("""COMPUTED_VALUE"""),"KZ.7700.02.01.00585483")</f>
        <v>KZ.7700.02.01.00585483</v>
      </c>
      <c r="C1194" s="1" t="str">
        <f ca="1">IFERROR(__xludf.DUMMYFUNCTION("""COMPUTED_VALUE"""),"Действителен до 09.08.2024")</f>
        <v>Действителен до 09.08.2024</v>
      </c>
      <c r="D1194" s="8" t="str">
        <f ca="1">IFERROR(__xludf.DUMMYFUNCTION("""COMPUTED_VALUE"""),"0819028KZ28")</f>
        <v>0819028KZ28</v>
      </c>
      <c r="E1194" s="1" t="str">
        <f ca="1">IFERROR(__xludf.DUMMYFUNCTION("""COMPUTED_VALUE"""),"годен до 09.08.2024")</f>
        <v>годен до 09.08.2024</v>
      </c>
      <c r="F1194" s="1" t="str">
        <f ca="1">IFERROR(__xludf.DUMMYFUNCTION("""COMPUTED_VALUE"""),"Бандаж на коленный сустав разъемный 6058 L\XL (Болгария) - 0819028KZ28")</f>
        <v>Бандаж на коленный сустав разъемный 6058 L\XL (Болгария) - 0819028KZ28</v>
      </c>
      <c r="G1194" s="1" t="str">
        <f ca="1">IFERROR(__xludf.DUMMYFUNCTION("""COMPUTED_VALUE"""),"KZ.7700.02.01.00585483 / Действителен до 09.08.2024 / 0819028KZ28 / годен до 09.08.2024")</f>
        <v>KZ.7700.02.01.00585483 / Действителен до 09.08.2024 / 0819028KZ28 / годен до 09.08.2024</v>
      </c>
      <c r="H1194" s="1" t="str">
        <f ca="1">IFERROR(__xludf.DUMMYFUNCTION("""COMPUTED_VALUE"""),"Бандаж на коленный сустав разъемный 6058 L\XL (Болгария) KZ.7700.02.01.00585483 / Действителен до 09.08.2024 / 0819028KZ28 / годен до 09.08.2024")</f>
        <v>Бандаж на коленный сустав разъемный 6058 L\XL (Болгария) KZ.7700.02.01.00585483 / Действителен до 09.08.2024 / 0819028KZ28 / годен до 09.08.2024</v>
      </c>
    </row>
    <row r="1195" spans="1:8" ht="12.75" x14ac:dyDescent="0.2">
      <c r="A1195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1195" s="1" t="str">
        <f ca="1">IFERROR(__xludf.DUMMYFUNCTION("""COMPUTED_VALUE"""),"KZ.7700.02.01.00585482")</f>
        <v>KZ.7700.02.01.00585482</v>
      </c>
      <c r="C1195" s="1" t="str">
        <f ca="1">IFERROR(__xludf.DUMMYFUNCTION("""COMPUTED_VALUE"""),"Действителен до 09.08.2024")</f>
        <v>Действителен до 09.08.2024</v>
      </c>
      <c r="D1195" s="8" t="str">
        <f ca="1">IFERROR(__xludf.DUMMYFUNCTION("""COMPUTED_VALUE"""),"0819028KZ28")</f>
        <v>0819028KZ28</v>
      </c>
      <c r="E1195" s="1" t="str">
        <f ca="1">IFERROR(__xludf.DUMMYFUNCTION("""COMPUTED_VALUE"""),"годен до 09.08.2024")</f>
        <v>годен до 09.08.2024</v>
      </c>
      <c r="F1195" s="1" t="str">
        <f ca="1">IFERROR(__xludf.DUMMYFUNCTION("""COMPUTED_VALUE"""),"Бандаж грыжевой лево-и правосторонний 5001 XL/XXL (Болгария) - 0819028KZ28")</f>
        <v>Бандаж грыжевой лево-и правосторонний 5001 XL/XXL (Болгария) - 0819028KZ28</v>
      </c>
      <c r="G1195" s="1" t="str">
        <f ca="1">IFERROR(__xludf.DUMMYFUNCTION("""COMPUTED_VALUE"""),"KZ.7700.02.01.00585482 / Действителен до 09.08.2024 / 0819028KZ28 / годен до 09.08.2024")</f>
        <v>KZ.7700.02.01.00585482 / Действителен до 09.08.2024 / 0819028KZ28 / годен до 09.08.2024</v>
      </c>
      <c r="H1195" s="1" t="str">
        <f ca="1">IFERROR(__xludf.DUMMYFUNCTION("""COMPUTED_VALUE"""),"Бандаж грыжевой лево-и правосторонний 5001 XL/XXL (Болгария) KZ.7700.02.01.00585482 / Действителен до 09.08.2024 / 0819028KZ28 / годен до 09.08.2024")</f>
        <v>Бандаж грыжевой лево-и правосторонний 5001 XL/XXL (Болгария) KZ.7700.02.01.00585482 / Действителен до 09.08.2024 / 0819028KZ28 / годен до 09.08.2024</v>
      </c>
    </row>
    <row r="1196" spans="1:8" ht="12.75" x14ac:dyDescent="0.2">
      <c r="A1196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1196" s="1" t="str">
        <f ca="1">IFERROR(__xludf.DUMMYFUNCTION("""COMPUTED_VALUE"""),"KZ.7700.02.01.00585484")</f>
        <v>KZ.7700.02.01.00585484</v>
      </c>
      <c r="C1196" s="1" t="str">
        <f ca="1">IFERROR(__xludf.DUMMYFUNCTION("""COMPUTED_VALUE"""),"Действителен до 09.08.2024")</f>
        <v>Действителен до 09.08.2024</v>
      </c>
      <c r="D1196" s="8" t="str">
        <f ca="1">IFERROR(__xludf.DUMMYFUNCTION("""COMPUTED_VALUE"""),"0819028KZ28")</f>
        <v>0819028KZ28</v>
      </c>
      <c r="E1196" s="1" t="str">
        <f ca="1">IFERROR(__xludf.DUMMYFUNCTION("""COMPUTED_VALUE"""),"годен до 09.08.2024")</f>
        <v>годен до 09.08.2024</v>
      </c>
      <c r="F1196" s="1" t="str">
        <f ca="1">IFERROR(__xludf.DUMMYFUNCTION("""COMPUTED_VALUE"""),"Бандаж на коленный сустав разъемный 6058 XXL (Болгария) - 0819028KZ28")</f>
        <v>Бандаж на коленный сустав разъемный 6058 XXL (Болгария) - 0819028KZ28</v>
      </c>
      <c r="G1196" s="1" t="str">
        <f ca="1">IFERROR(__xludf.DUMMYFUNCTION("""COMPUTED_VALUE"""),"KZ.7700.02.01.00585484 / Действителен до 09.08.2024 / 0819028KZ28 / годен до 09.08.2024")</f>
        <v>KZ.7700.02.01.00585484 / Действителен до 09.08.2024 / 0819028KZ28 / годен до 09.08.2024</v>
      </c>
      <c r="H1196" s="1" t="str">
        <f ca="1">IFERROR(__xludf.DUMMYFUNCTION("""COMPUTED_VALUE"""),"Бандаж на коленный сустав разъемный 6058 XXL (Болгария) KZ.7700.02.01.00585484 / Действителен до 09.08.2024 / 0819028KZ28 / годен до 09.08.2024")</f>
        <v>Бандаж на коленный сустав разъемный 6058 XXL (Болгария) KZ.7700.02.01.00585484 / Действителен до 09.08.2024 / 0819028KZ28 / годен до 09.08.2024</v>
      </c>
    </row>
    <row r="1197" spans="1:8" ht="12.75" x14ac:dyDescent="0.2">
      <c r="A1197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197" s="1" t="str">
        <f ca="1">IFERROR(__xludf.DUMMYFUNCTION("""COMPUTED_VALUE"""),"KZ.7700.02.01.00603918")</f>
        <v>KZ.7700.02.01.00603918</v>
      </c>
      <c r="C1197" s="1" t="str">
        <f ca="1">IFERROR(__xludf.DUMMYFUNCTION("""COMPUTED_VALUE"""),"Действителен до 27.09.2024")</f>
        <v>Действителен до 27.09.2024</v>
      </c>
      <c r="D1197" s="8" t="str">
        <f ca="1">IFERROR(__xludf.DUMMYFUNCTION("""COMPUTED_VALUE"""),"0919037KZ37")</f>
        <v>0919037KZ37</v>
      </c>
      <c r="E1197" s="1" t="str">
        <f ca="1">IFERROR(__xludf.DUMMYFUNCTION("""COMPUTED_VALUE"""),"годен до 27.09.2024")</f>
        <v>годен до 27.09.2024</v>
      </c>
      <c r="F1197" s="1" t="str">
        <f ca="1">IFERROR(__xludf.DUMMYFUNCTION("""COMPUTED_VALUE"""),"Бандаж на шейный отдел позвоночника мягкой фиксацией 1001 III(L) (Болгария) - 0919037KZ37")</f>
        <v>Бандаж на шейный отдел позвоночника мягкой фиксацией 1001 III(L) (Болгария) - 0919037KZ37</v>
      </c>
      <c r="G1197" s="1" t="str">
        <f ca="1">IFERROR(__xludf.DUMMYFUNCTION("""COMPUTED_VALUE"""),"KZ.7700.02.01.00603918 / Действителен до 27.09.2024 / 0919037KZ37 / годен до 27.09.2024")</f>
        <v>KZ.7700.02.01.00603918 / Действителен до 27.09.2024 / 0919037KZ37 / годен до 27.09.2024</v>
      </c>
      <c r="H1197" s="1" t="str">
        <f ca="1">IFERROR(__xludf.DUMMYFUNCTION("""COMPUTED_VALUE"""),"Бандаж на шейный отдел позвоночника мягкой фиксацией 1001 III(L) (Болгария) KZ.7700.02.01.00603918 / Действителен до 27.09.2024 / 0919037KZ37 / годен до 27.09.2024")</f>
        <v>Бандаж на шейный отдел позвоночника мягкой фиксацией 1001 III(L) (Болгария) KZ.7700.02.01.00603918 / Действителен до 27.09.2024 / 0919037KZ37 / годен до 27.09.2024</v>
      </c>
    </row>
    <row r="1198" spans="1:8" ht="12.75" x14ac:dyDescent="0.2">
      <c r="A1198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198" s="1" t="str">
        <f ca="1">IFERROR(__xludf.DUMMYFUNCTION("""COMPUTED_VALUE"""),"KZ.7700.02.01.00603915")</f>
        <v>KZ.7700.02.01.00603915</v>
      </c>
      <c r="C1198" s="1" t="str">
        <f ca="1">IFERROR(__xludf.DUMMYFUNCTION("""COMPUTED_VALUE"""),"Действителен до 27.09.2024")</f>
        <v>Действителен до 27.09.2024</v>
      </c>
      <c r="D1198" s="8" t="str">
        <f ca="1">IFERROR(__xludf.DUMMYFUNCTION("""COMPUTED_VALUE"""),"0919037KZ37")</f>
        <v>0919037KZ37</v>
      </c>
      <c r="E1198" s="1" t="str">
        <f ca="1">IFERROR(__xludf.DUMMYFUNCTION("""COMPUTED_VALUE"""),"годен до 27.09.2024")</f>
        <v>годен до 27.09.2024</v>
      </c>
      <c r="F1198" s="1" t="str">
        <f ca="1">IFERROR(__xludf.DUMMYFUNCTION("""COMPUTED_VALUE"""),"Бандаж на шейный отдел позвоночника мягкой фиксацией 1001 II(M) (Болгария) - 0919037KZ37")</f>
        <v>Бандаж на шейный отдел позвоночника мягкой фиксацией 1001 II(M) (Болгария) - 0919037KZ37</v>
      </c>
      <c r="G1198" s="1" t="str">
        <f ca="1">IFERROR(__xludf.DUMMYFUNCTION("""COMPUTED_VALUE"""),"KZ.7700.02.01.00603915 / Действителен до 27.09.2024 / 0919037KZ37 / годен до 27.09.2024")</f>
        <v>KZ.7700.02.01.00603915 / Действителен до 27.09.2024 / 0919037KZ37 / годен до 27.09.2024</v>
      </c>
      <c r="H1198" s="1" t="str">
        <f ca="1">IFERROR(__xludf.DUMMYFUNCTION("""COMPUTED_VALUE"""),"Бандаж на шейный отдел позвоночника мягкой фиксацией 1001 II(M) (Болгария) KZ.7700.02.01.00603915 / Действителен до 27.09.2024 / 0919037KZ37 / годен до 27.09.2024")</f>
        <v>Бандаж на шейный отдел позвоночника мягкой фиксацией 1001 II(M) (Болгария) KZ.7700.02.01.00603915 / Действителен до 27.09.2024 / 0919037KZ37 / годен до 27.09.2024</v>
      </c>
    </row>
    <row r="1199" spans="1:8" ht="12.75" x14ac:dyDescent="0.2">
      <c r="A1199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1199" s="1" t="str">
        <f ca="1">IFERROR(__xludf.DUMMYFUNCTION("""COMPUTED_VALUE"""),"KZ.7700.02.01.00603922")</f>
        <v>KZ.7700.02.01.00603922</v>
      </c>
      <c r="C1199" s="1" t="str">
        <f ca="1">IFERROR(__xludf.DUMMYFUNCTION("""COMPUTED_VALUE"""),"Действителен до 27.09.2024")</f>
        <v>Действителен до 27.09.2024</v>
      </c>
      <c r="D1199" s="8" t="str">
        <f ca="1">IFERROR(__xludf.DUMMYFUNCTION("""COMPUTED_VALUE"""),"0919037KZ37")</f>
        <v>0919037KZ37</v>
      </c>
      <c r="E1199" s="1" t="str">
        <f ca="1">IFERROR(__xludf.DUMMYFUNCTION("""COMPUTED_VALUE"""),"годен до 27.09.2024")</f>
        <v>годен до 27.09.2024</v>
      </c>
      <c r="F1199" s="1" t="str">
        <f ca="1">IFERROR(__xludf.DUMMYFUNCTION("""COMPUTED_VALUE"""),"Бандаж на шейный отдел позвоночника мягкой фиксацией с жесткой вставкой 1005 III(L) - 0919037KZ37")</f>
        <v>Бандаж на шейный отдел позвоночника мягкой фиксацией с жесткой вставкой 1005 III(L) - 0919037KZ37</v>
      </c>
      <c r="G1199" s="1" t="str">
        <f ca="1">IFERROR(__xludf.DUMMYFUNCTION("""COMPUTED_VALUE"""),"KZ.7700.02.01.00603922 / Действителен до 27.09.2024 / 0919037KZ37 / годен до 27.09.2024")</f>
        <v>KZ.7700.02.01.00603922 / Действителен до 27.09.2024 / 0919037KZ37 / годен до 27.09.2024</v>
      </c>
      <c r="H1199" s="1" t="str">
        <f ca="1">IFERROR(__xludf.DUMMYFUNCTION("""COMPUTED_VALUE"""),"Бандаж на шейный отдел позвоночника мягкой фиксацией с жесткой вставкой 1005 III(L) KZ.7700.02.01.00603922 / Действителен до 27.09.2024 / 0919037KZ37 / годен до 27.09.2024")</f>
        <v>Бандаж на шейный отдел позвоночника мягкой фиксацией с жесткой вставкой 1005 III(L) KZ.7700.02.01.00603922 / Действителен до 27.09.2024 / 0919037KZ37 / годен до 27.09.2024</v>
      </c>
    </row>
    <row r="1200" spans="1:8" ht="12.75" x14ac:dyDescent="0.2">
      <c r="A1200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1200" s="1" t="str">
        <f ca="1">IFERROR(__xludf.DUMMYFUNCTION("""COMPUTED_VALUE"""),"KZ.7700.02.01.00603920")</f>
        <v>KZ.7700.02.01.00603920</v>
      </c>
      <c r="C1200" s="1" t="str">
        <f ca="1">IFERROR(__xludf.DUMMYFUNCTION("""COMPUTED_VALUE"""),"Действителен до 27.09.2024")</f>
        <v>Действителен до 27.09.2024</v>
      </c>
      <c r="D1200" s="8" t="str">
        <f ca="1">IFERROR(__xludf.DUMMYFUNCTION("""COMPUTED_VALUE"""),"0919037KZ37")</f>
        <v>0919037KZ37</v>
      </c>
      <c r="E1200" s="1" t="str">
        <f ca="1">IFERROR(__xludf.DUMMYFUNCTION("""COMPUTED_VALUE"""),"годен до 27.09.2024")</f>
        <v>годен до 27.09.2024</v>
      </c>
      <c r="F1200" s="1" t="str">
        <f ca="1">IFERROR(__xludf.DUMMYFUNCTION("""COMPUTED_VALUE"""),"Бандаж на шейный отдел позвоночника мягкой фиксацией с жесткой вставкой 1005 I(S) - 0919037KZ37")</f>
        <v>Бандаж на шейный отдел позвоночника мягкой фиксацией с жесткой вставкой 1005 I(S) - 0919037KZ37</v>
      </c>
      <c r="G1200" s="1" t="str">
        <f ca="1">IFERROR(__xludf.DUMMYFUNCTION("""COMPUTED_VALUE"""),"KZ.7700.02.01.00603920 / Действителен до 27.09.2024 / 0919037KZ37 / годен до 27.09.2024")</f>
        <v>KZ.7700.02.01.00603920 / Действителен до 27.09.2024 / 0919037KZ37 / годен до 27.09.2024</v>
      </c>
      <c r="H1200" s="1" t="str">
        <f ca="1">IFERROR(__xludf.DUMMYFUNCTION("""COMPUTED_VALUE"""),"Бандаж на шейный отдел позвоночника мягкой фиксацией с жесткой вставкой 1005 I(S) KZ.7700.02.01.00603920 / Действителен до 27.09.2024 / 0919037KZ37 / годен до 27.09.2024")</f>
        <v>Бандаж на шейный отдел позвоночника мягкой фиксацией с жесткой вставкой 1005 I(S) KZ.7700.02.01.00603920 / Действителен до 27.09.2024 / 0919037KZ37 / годен до 27.09.2024</v>
      </c>
    </row>
    <row r="1201" spans="1:8" ht="12.75" x14ac:dyDescent="0.2">
      <c r="A1201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201" s="1" t="str">
        <f ca="1">IFERROR(__xludf.DUMMYFUNCTION("""COMPUTED_VALUE"""),"KZ.7700.02.01.00603921")</f>
        <v>KZ.7700.02.01.00603921</v>
      </c>
      <c r="C1201" s="1" t="str">
        <f ca="1">IFERROR(__xludf.DUMMYFUNCTION("""COMPUTED_VALUE"""),"Действителен до 27.09.2024")</f>
        <v>Действителен до 27.09.2024</v>
      </c>
      <c r="D1201" s="8" t="str">
        <f ca="1">IFERROR(__xludf.DUMMYFUNCTION("""COMPUTED_VALUE"""),"0919037KZ37")</f>
        <v>0919037KZ37</v>
      </c>
      <c r="E1201" s="1" t="str">
        <f ca="1">IFERROR(__xludf.DUMMYFUNCTION("""COMPUTED_VALUE"""),"годен до 27.09.2024")</f>
        <v>годен до 27.09.2024</v>
      </c>
      <c r="F1201" s="1" t="str">
        <f ca="1">IFERROR(__xludf.DUMMYFUNCTION("""COMPUTED_VALUE"""),"Бандаж на шейный отдел позвоночника мягкой фиксацией с жесткой вставкой 1005 II(M) - 0919037KZ37")</f>
        <v>Бандаж на шейный отдел позвоночника мягкой фиксацией с жесткой вставкой 1005 II(M) - 0919037KZ37</v>
      </c>
      <c r="G1201" s="1" t="str">
        <f ca="1">IFERROR(__xludf.DUMMYFUNCTION("""COMPUTED_VALUE"""),"KZ.7700.02.01.00603921 / Действителен до 27.09.2024 / 0919037KZ37 / годен до 27.09.2024")</f>
        <v>KZ.7700.02.01.00603921 / Действителен до 27.09.2024 / 0919037KZ37 / годен до 27.09.2024</v>
      </c>
      <c r="H1201" s="1" t="str">
        <f ca="1">IFERROR(__xludf.DUMMYFUNCTION("""COMPUTED_VALUE"""),"Бандаж на шейный отдел позвоночника мягкой фиксацией с жесткой вставкой 1005 II(M) KZ.7700.02.01.00603921 / Действителен до 27.09.2024 / 0919037KZ37 / годен до 27.09.2024")</f>
        <v>Бандаж на шейный отдел позвоночника мягкой фиксацией с жесткой вставкой 1005 II(M) KZ.7700.02.01.00603921 / Действителен до 27.09.2024 / 0919037KZ37 / годен до 27.09.2024</v>
      </c>
    </row>
    <row r="1202" spans="1:8" ht="12.75" x14ac:dyDescent="0.2">
      <c r="A1202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1202" s="1" t="str">
        <f ca="1">IFERROR(__xludf.DUMMYFUNCTION("""COMPUTED_VALUE"""),"KZ.7700.02.01.00604026")</f>
        <v>KZ.7700.02.01.00604026</v>
      </c>
      <c r="C1202" s="1" t="str">
        <f ca="1">IFERROR(__xludf.DUMMYFUNCTION("""COMPUTED_VALUE"""),"Действителен до 27.09.2024")</f>
        <v>Действителен до 27.09.2024</v>
      </c>
      <c r="D1202" s="8" t="str">
        <f ca="1">IFERROR(__xludf.DUMMYFUNCTION("""COMPUTED_VALUE"""),"0919037KZ37")</f>
        <v>0919037KZ37</v>
      </c>
      <c r="E1202" s="1" t="str">
        <f ca="1">IFERROR(__xludf.DUMMYFUNCTION("""COMPUTED_VALUE"""),"годен до 27.09.2024")</f>
        <v>годен до 27.09.2024</v>
      </c>
      <c r="F1202" s="1" t="str">
        <f ca="1">IFERROR(__xludf.DUMMYFUNCTION("""COMPUTED_VALUE"""),"Реклинатор (корректор осанки) детский 2005 M (Болгария) - 0919037KZ37")</f>
        <v>Реклинатор (корректор осанки) детский 2005 M (Болгария) - 0919037KZ37</v>
      </c>
      <c r="G1202" s="1" t="str">
        <f ca="1">IFERROR(__xludf.DUMMYFUNCTION("""COMPUTED_VALUE"""),"KZ.7700.02.01.00604026 / Действителен до 27.09.2024 / 0919037KZ37 / годен до 27.09.2024")</f>
        <v>KZ.7700.02.01.00604026 / Действителен до 27.09.2024 / 0919037KZ37 / годен до 27.09.2024</v>
      </c>
      <c r="H1202" s="1" t="str">
        <f ca="1">IFERROR(__xludf.DUMMYFUNCTION("""COMPUTED_VALUE"""),"Реклинатор (корректор осанки) детский 2005 M (Болгария) KZ.7700.02.01.00604026 / Действителен до 27.09.2024 / 0919037KZ37 / годен до 27.09.2024")</f>
        <v>Реклинатор (корректор осанки) детский 2005 M (Болгария) KZ.7700.02.01.00604026 / Действителен до 27.09.2024 / 0919037KZ37 / годен до 27.09.2024</v>
      </c>
    </row>
    <row r="1203" spans="1:8" ht="12.75" x14ac:dyDescent="0.2">
      <c r="A1203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1203" s="1" t="str">
        <f ca="1">IFERROR(__xludf.DUMMYFUNCTION("""COMPUTED_VALUE"""),"KZ.7700.02.01.00603924")</f>
        <v>KZ.7700.02.01.00603924</v>
      </c>
      <c r="C1203" s="1" t="str">
        <f ca="1">IFERROR(__xludf.DUMMYFUNCTION("""COMPUTED_VALUE"""),"Действителен до 27.09.2024")</f>
        <v>Действителен до 27.09.2024</v>
      </c>
      <c r="D1203" s="8" t="str">
        <f ca="1">IFERROR(__xludf.DUMMYFUNCTION("""COMPUTED_VALUE"""),"0919037KZ37")</f>
        <v>0919037KZ37</v>
      </c>
      <c r="E1203" s="1" t="str">
        <f ca="1">IFERROR(__xludf.DUMMYFUNCTION("""COMPUTED_VALUE"""),"годен до 27.09.2024")</f>
        <v>годен до 27.09.2024</v>
      </c>
      <c r="F1203" s="1" t="str">
        <f ca="1">IFERROR(__xludf.DUMMYFUNCTION("""COMPUTED_VALUE"""),"Реклинатор (корректор осанки) детский 2005 S (Болгария) - 0919037KZ37")</f>
        <v>Реклинатор (корректор осанки) детский 2005 S (Болгария) - 0919037KZ37</v>
      </c>
      <c r="G1203" s="1" t="str">
        <f ca="1">IFERROR(__xludf.DUMMYFUNCTION("""COMPUTED_VALUE"""),"KZ.7700.02.01.00603924 / Действителен до 27.09.2024 / 0919037KZ37 / годен до 27.09.2024")</f>
        <v>KZ.7700.02.01.00603924 / Действителен до 27.09.2024 / 0919037KZ37 / годен до 27.09.2024</v>
      </c>
      <c r="H1203" s="1" t="str">
        <f ca="1">IFERROR(__xludf.DUMMYFUNCTION("""COMPUTED_VALUE"""),"Реклинатор (корректор осанки) детский 2005 S (Болгария) KZ.7700.02.01.00603924 / Действителен до 27.09.2024 / 0919037KZ37 / годен до 27.09.2024")</f>
        <v>Реклинатор (корректор осанки) детский 2005 S (Болгария) KZ.7700.02.01.00603924 / Действителен до 27.09.2024 / 0919037KZ37 / годен до 27.09.2024</v>
      </c>
    </row>
    <row r="1204" spans="1:8" ht="12.75" x14ac:dyDescent="0.2">
      <c r="A1204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204" s="1" t="str">
        <f ca="1">IFERROR(__xludf.DUMMYFUNCTION("""COMPUTED_VALUE"""),"KZ.7700.02.01.00604027")</f>
        <v>KZ.7700.02.01.00604027</v>
      </c>
      <c r="C1204" s="1" t="str">
        <f ca="1">IFERROR(__xludf.DUMMYFUNCTION("""COMPUTED_VALUE"""),"Действителен до 27.09.2024")</f>
        <v>Действителен до 27.09.2024</v>
      </c>
      <c r="D1204" s="8" t="str">
        <f ca="1">IFERROR(__xludf.DUMMYFUNCTION("""COMPUTED_VALUE"""),"0919037KZ37")</f>
        <v>0919037KZ37</v>
      </c>
      <c r="E1204" s="1" t="str">
        <f ca="1">IFERROR(__xludf.DUMMYFUNCTION("""COMPUTED_VALUE"""),"годен до 27.09.2024")</f>
        <v>годен до 27.09.2024</v>
      </c>
      <c r="F1204" s="1" t="str">
        <f ca="1">IFERROR(__xludf.DUMMYFUNCTION("""COMPUTED_VALUE"""),"Реклинатор (корректор осанки) детский 2005 L (Болгария) - 0919037KZ37")</f>
        <v>Реклинатор (корректор осанки) детский 2005 L (Болгария) - 0919037KZ37</v>
      </c>
      <c r="G1204" s="1" t="str">
        <f ca="1">IFERROR(__xludf.DUMMYFUNCTION("""COMPUTED_VALUE"""),"KZ.7700.02.01.00604027 / Действителен до 27.09.2024 / 0919037KZ37 / годен до 27.09.2024")</f>
        <v>KZ.7700.02.01.00604027 / Действителен до 27.09.2024 / 0919037KZ37 / годен до 27.09.2024</v>
      </c>
      <c r="H1204" s="1" t="str">
        <f ca="1">IFERROR(__xludf.DUMMYFUNCTION("""COMPUTED_VALUE"""),"Реклинатор (корректор осанки) детский 2005 L (Болгария) KZ.7700.02.01.00604027 / Действителен до 27.09.2024 / 0919037KZ37 / годен до 27.09.2024")</f>
        <v>Реклинатор (корректор осанки) детский 2005 L (Болгария) KZ.7700.02.01.00604027 / Действителен до 27.09.2024 / 0919037KZ37 / годен до 27.09.2024</v>
      </c>
    </row>
    <row r="1205" spans="1:8" ht="12.75" x14ac:dyDescent="0.2">
      <c r="A1205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1205" s="1" t="str">
        <f ca="1">IFERROR(__xludf.DUMMYFUNCTION("""COMPUTED_VALUE"""),"KZ.7700.02.01.00604054")</f>
        <v>KZ.7700.02.01.00604054</v>
      </c>
      <c r="C1205" s="1" t="str">
        <f ca="1">IFERROR(__xludf.DUMMYFUNCTION("""COMPUTED_VALUE"""),"Действителен до 27.09.2024")</f>
        <v>Действителен до 27.09.2024</v>
      </c>
      <c r="D1205" s="8" t="str">
        <f ca="1">IFERROR(__xludf.DUMMYFUNCTION("""COMPUTED_VALUE"""),"0919037KZ37")</f>
        <v>0919037KZ37</v>
      </c>
      <c r="E1205" s="1" t="str">
        <f ca="1">IFERROR(__xludf.DUMMYFUNCTION("""COMPUTED_VALUE"""),"годен до 27.09.2024")</f>
        <v>годен до 27.09.2024</v>
      </c>
      <c r="F1205" s="1" t="str">
        <f ca="1">IFERROR(__xludf.DUMMYFUNCTION("""COMPUTED_VALUE"""),"Корректор осанки с ребрами жесткости эластичный 2011 L (Болгария) - 0919037KZ37")</f>
        <v>Корректор осанки с ребрами жесткости эластичный 2011 L (Болгария) - 0919037KZ37</v>
      </c>
      <c r="G1205" s="1" t="str">
        <f ca="1">IFERROR(__xludf.DUMMYFUNCTION("""COMPUTED_VALUE"""),"KZ.7700.02.01.00604054 / Действителен до 27.09.2024 / 0919037KZ37 / годен до 27.09.2024")</f>
        <v>KZ.7700.02.01.00604054 / Действителен до 27.09.2024 / 0919037KZ37 / годен до 27.09.2024</v>
      </c>
      <c r="H1205" s="1" t="str">
        <f ca="1">IFERROR(__xludf.DUMMYFUNCTION("""COMPUTED_VALUE"""),"Корректор осанки с ребрами жесткости эластичный 2011 L (Болгария) KZ.7700.02.01.00604054 / Действителен до 27.09.2024 / 0919037KZ37 / годен до 27.09.2024")</f>
        <v>Корректор осанки с ребрами жесткости эластичный 2011 L (Болгария) KZ.7700.02.01.00604054 / Действителен до 27.09.2024 / 0919037KZ37 / годен до 27.09.2024</v>
      </c>
    </row>
    <row r="1206" spans="1:8" ht="12.75" x14ac:dyDescent="0.2">
      <c r="A1206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1206" s="1" t="str">
        <f ca="1">IFERROR(__xludf.DUMMYFUNCTION("""COMPUTED_VALUE"""),"KZ.7700.02.01.00604053")</f>
        <v>KZ.7700.02.01.00604053</v>
      </c>
      <c r="C1206" s="1" t="str">
        <f ca="1">IFERROR(__xludf.DUMMYFUNCTION("""COMPUTED_VALUE"""),"Действителен до 27.09.2024")</f>
        <v>Действителен до 27.09.2024</v>
      </c>
      <c r="D1206" s="8" t="str">
        <f ca="1">IFERROR(__xludf.DUMMYFUNCTION("""COMPUTED_VALUE"""),"0919037KZ37")</f>
        <v>0919037KZ37</v>
      </c>
      <c r="E1206" s="1" t="str">
        <f ca="1">IFERROR(__xludf.DUMMYFUNCTION("""COMPUTED_VALUE"""),"годен до 27.09.2024")</f>
        <v>годен до 27.09.2024</v>
      </c>
      <c r="F1206" s="1" t="str">
        <f ca="1">IFERROR(__xludf.DUMMYFUNCTION("""COMPUTED_VALUE"""),"Корректор осанки с ребрами жесткости эластичный 2011 M (Болгария) - 0919037KZ37")</f>
        <v>Корректор осанки с ребрами жесткости эластичный 2011 M (Болгария) - 0919037KZ37</v>
      </c>
      <c r="G1206" s="1" t="str">
        <f ca="1">IFERROR(__xludf.DUMMYFUNCTION("""COMPUTED_VALUE"""),"KZ.7700.02.01.00604053 / Действителен до 27.09.2024 / 0919037KZ37 / годен до 27.09.2024")</f>
        <v>KZ.7700.02.01.00604053 / Действителен до 27.09.2024 / 0919037KZ37 / годен до 27.09.2024</v>
      </c>
      <c r="H1206" s="1" t="str">
        <f ca="1">IFERROR(__xludf.DUMMYFUNCTION("""COMPUTED_VALUE"""),"Корректор осанки с ребрами жесткости эластичный 2011 M (Болгария) KZ.7700.02.01.00604053 / Действителен до 27.09.2024 / 0919037KZ37 / годен до 27.09.2024")</f>
        <v>Корректор осанки с ребрами жесткости эластичный 2011 M (Болгария) KZ.7700.02.01.00604053 / Действителен до 27.09.2024 / 0919037KZ37 / годен до 27.09.2024</v>
      </c>
    </row>
    <row r="1207" spans="1:8" ht="12.75" x14ac:dyDescent="0.2">
      <c r="A1207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1207" s="1" t="str">
        <f ca="1">IFERROR(__xludf.DUMMYFUNCTION("""COMPUTED_VALUE"""),"KZ.7700.02.01.00604048")</f>
        <v>KZ.7700.02.01.00604048</v>
      </c>
      <c r="C1207" s="1" t="str">
        <f ca="1">IFERROR(__xludf.DUMMYFUNCTION("""COMPUTED_VALUE"""),"Действителен до 27.09.2024")</f>
        <v>Действителен до 27.09.2024</v>
      </c>
      <c r="D1207" s="8" t="str">
        <f ca="1">IFERROR(__xludf.DUMMYFUNCTION("""COMPUTED_VALUE"""),"0919037KZ37")</f>
        <v>0919037KZ37</v>
      </c>
      <c r="E1207" s="1" t="str">
        <f ca="1">IFERROR(__xludf.DUMMYFUNCTION("""COMPUTED_VALUE"""),"годен до 27.09.2024")</f>
        <v>годен до 27.09.2024</v>
      </c>
      <c r="F1207" s="1" t="str">
        <f ca="1">IFERROR(__xludf.DUMMYFUNCTION("""COMPUTED_VALUE"""),"Корректор осанки с ребрами жесткости эластичный 2011 S (Болгария) - 0919037KZ37")</f>
        <v>Корректор осанки с ребрами жесткости эластичный 2011 S (Болгария) - 0919037KZ37</v>
      </c>
      <c r="G1207" s="1" t="str">
        <f ca="1">IFERROR(__xludf.DUMMYFUNCTION("""COMPUTED_VALUE"""),"KZ.7700.02.01.00604048 / Действителен до 27.09.2024 / 0919037KZ37 / годен до 27.09.2024")</f>
        <v>KZ.7700.02.01.00604048 / Действителен до 27.09.2024 / 0919037KZ37 / годен до 27.09.2024</v>
      </c>
      <c r="H1207" s="1" t="str">
        <f ca="1">IFERROR(__xludf.DUMMYFUNCTION("""COMPUTED_VALUE"""),"Корректор осанки с ребрами жесткости эластичный 2011 S (Болгария) KZ.7700.02.01.00604048 / Действителен до 27.09.2024 / 0919037KZ37 / годен до 27.09.2024")</f>
        <v>Корректор осанки с ребрами жесткости эластичный 2011 S (Болгария) KZ.7700.02.01.00604048 / Действителен до 27.09.2024 / 0919037KZ37 / годен до 27.09.2024</v>
      </c>
    </row>
    <row r="1208" spans="1:8" ht="12.75" x14ac:dyDescent="0.2">
      <c r="A1208" s="1" t="str">
        <f ca="1">IFERROR(__xludf.DUMMYFUNCTION("""COMPUTED_VALUE"""),"Реклинатор ключичный усиленной фиксации 2024 - L (Болгария)")</f>
        <v>Реклинатор ключичный усиленной фиксации 2024 - L (Болгария)</v>
      </c>
      <c r="B1208" s="1" t="str">
        <f ca="1">IFERROR(__xludf.DUMMYFUNCTION("""COMPUTED_VALUE"""),"KZ.7700.02.01.00604031")</f>
        <v>KZ.7700.02.01.00604031</v>
      </c>
      <c r="C1208" s="1" t="str">
        <f ca="1">IFERROR(__xludf.DUMMYFUNCTION("""COMPUTED_VALUE"""),"Действителен до 27.09.2024")</f>
        <v>Действителен до 27.09.2024</v>
      </c>
      <c r="D1208" s="8" t="str">
        <f ca="1">IFERROR(__xludf.DUMMYFUNCTION("""COMPUTED_VALUE"""),"0919037KZ37")</f>
        <v>0919037KZ37</v>
      </c>
      <c r="E1208" s="1" t="str">
        <f ca="1">IFERROR(__xludf.DUMMYFUNCTION("""COMPUTED_VALUE"""),"годен до 27.09.2024")</f>
        <v>годен до 27.09.2024</v>
      </c>
      <c r="F1208" s="1" t="str">
        <f ca="1">IFERROR(__xludf.DUMMYFUNCTION("""COMPUTED_VALUE"""),"Реклинатор ключичный усиленной фиксации 2024 - L (Болгария) - 0919037KZ37")</f>
        <v>Реклинатор ключичный усиленной фиксации 2024 - L (Болгария) - 0919037KZ37</v>
      </c>
      <c r="G1208" s="1" t="str">
        <f ca="1">IFERROR(__xludf.DUMMYFUNCTION("""COMPUTED_VALUE"""),"KZ.7700.02.01.00604031 / Действителен до 27.09.2024 / 0919037KZ37 / годен до 27.09.2024")</f>
        <v>KZ.7700.02.01.00604031 / Действителен до 27.09.2024 / 0919037KZ37 / годен до 27.09.2024</v>
      </c>
      <c r="H1208" s="1" t="str">
        <f ca="1">IFERROR(__xludf.DUMMYFUNCTION("""COMPUTED_VALUE"""),"Реклинатор ключичный усиленной фиксации 2024 - L (Болгария) KZ.7700.02.01.00604031 / Действителен до 27.09.2024 / 0919037KZ37 / годен до 27.09.2024")</f>
        <v>Реклинатор ключичный усиленной фиксации 2024 - L (Болгария) KZ.7700.02.01.00604031 / Действителен до 27.09.2024 / 0919037KZ37 / годен до 27.09.2024</v>
      </c>
    </row>
    <row r="1209" spans="1:8" ht="12.75" x14ac:dyDescent="0.2">
      <c r="A1209" s="1" t="str">
        <f ca="1">IFERROR(__xludf.DUMMYFUNCTION("""COMPUTED_VALUE"""),"Реклинатор ключичный усиленной фиксации 2024 - M (Болгария)")</f>
        <v>Реклинатор ключичный усиленной фиксации 2024 - M (Болгария)</v>
      </c>
      <c r="B1209" s="1" t="str">
        <f ca="1">IFERROR(__xludf.DUMMYFUNCTION("""COMPUTED_VALUE"""),"KZ.7700.02.01.00604030")</f>
        <v>KZ.7700.02.01.00604030</v>
      </c>
      <c r="C1209" s="1" t="str">
        <f ca="1">IFERROR(__xludf.DUMMYFUNCTION("""COMPUTED_VALUE"""),"Действителен до 27.09.2024")</f>
        <v>Действителен до 27.09.2024</v>
      </c>
      <c r="D1209" s="8" t="str">
        <f ca="1">IFERROR(__xludf.DUMMYFUNCTION("""COMPUTED_VALUE"""),"0919037KZ37")</f>
        <v>0919037KZ37</v>
      </c>
      <c r="E1209" s="1" t="str">
        <f ca="1">IFERROR(__xludf.DUMMYFUNCTION("""COMPUTED_VALUE"""),"годен до 27.09.2024")</f>
        <v>годен до 27.09.2024</v>
      </c>
      <c r="F1209" s="1" t="str">
        <f ca="1">IFERROR(__xludf.DUMMYFUNCTION("""COMPUTED_VALUE"""),"Реклинатор ключичный усиленной фиксации 2024 - M (Болгария) - 0919037KZ37")</f>
        <v>Реклинатор ключичный усиленной фиксации 2024 - M (Болгария) - 0919037KZ37</v>
      </c>
      <c r="G1209" s="1" t="str">
        <f ca="1">IFERROR(__xludf.DUMMYFUNCTION("""COMPUTED_VALUE"""),"KZ.7700.02.01.00604030 / Действителен до 27.09.2024 / 0919037KZ37 / годен до 27.09.2024")</f>
        <v>KZ.7700.02.01.00604030 / Действителен до 27.09.2024 / 0919037KZ37 / годен до 27.09.2024</v>
      </c>
      <c r="H1209" s="1" t="str">
        <f ca="1">IFERROR(__xludf.DUMMYFUNCTION("""COMPUTED_VALUE"""),"Реклинатор ключичный усиленной фиксации 2024 - M (Болгария) KZ.7700.02.01.00604030 / Действителен до 27.09.2024 / 0919037KZ37 / годен до 27.09.2024")</f>
        <v>Реклинатор ключичный усиленной фиксации 2024 - M (Болгария) KZ.7700.02.01.00604030 / Действителен до 27.09.2024 / 0919037KZ37 / годен до 27.09.2024</v>
      </c>
    </row>
    <row r="1210" spans="1:8" ht="12.75" x14ac:dyDescent="0.2">
      <c r="A1210" s="1" t="str">
        <f ca="1">IFERROR(__xludf.DUMMYFUNCTION("""COMPUTED_VALUE"""),"Реклинатор ключичный усиленной фиксации 2024 - S (Болгария)")</f>
        <v>Реклинатор ключичный усиленной фиксации 2024 - S (Болгария)</v>
      </c>
      <c r="B1210" s="1" t="str">
        <f ca="1">IFERROR(__xludf.DUMMYFUNCTION("""COMPUTED_VALUE"""),"KZ.7700.02.01.00604028")</f>
        <v>KZ.7700.02.01.00604028</v>
      </c>
      <c r="C1210" s="1" t="str">
        <f ca="1">IFERROR(__xludf.DUMMYFUNCTION("""COMPUTED_VALUE"""),"Действителен до 27.09.2024")</f>
        <v>Действителен до 27.09.2024</v>
      </c>
      <c r="D1210" s="8" t="str">
        <f ca="1">IFERROR(__xludf.DUMMYFUNCTION("""COMPUTED_VALUE"""),"0919037KZ37")</f>
        <v>0919037KZ37</v>
      </c>
      <c r="E1210" s="1" t="str">
        <f ca="1">IFERROR(__xludf.DUMMYFUNCTION("""COMPUTED_VALUE"""),"годен до 27.09.2024")</f>
        <v>годен до 27.09.2024</v>
      </c>
      <c r="F1210" s="1" t="str">
        <f ca="1">IFERROR(__xludf.DUMMYFUNCTION("""COMPUTED_VALUE"""),"Реклинатор ключичный усиленной фиксации 2024 - S (Болгария) - 0919037KZ37")</f>
        <v>Реклинатор ключичный усиленной фиксации 2024 - S (Болгария) - 0919037KZ37</v>
      </c>
      <c r="G1210" s="1" t="str">
        <f ca="1">IFERROR(__xludf.DUMMYFUNCTION("""COMPUTED_VALUE"""),"KZ.7700.02.01.00604028 / Действителен до 27.09.2024 / 0919037KZ37 / годен до 27.09.2024")</f>
        <v>KZ.7700.02.01.00604028 / Действителен до 27.09.2024 / 0919037KZ37 / годен до 27.09.2024</v>
      </c>
      <c r="H1210" s="1" t="str">
        <f ca="1">IFERROR(__xludf.DUMMYFUNCTION("""COMPUTED_VALUE"""),"Реклинатор ключичный усиленной фиксации 2024 - S (Болгария) KZ.7700.02.01.00604028 / Действителен до 27.09.2024 / 0919037KZ37 / годен до 27.09.2024")</f>
        <v>Реклинатор ключичный усиленной фиксации 2024 - S (Болгария) KZ.7700.02.01.00604028 / Действителен до 27.09.2024 / 0919037KZ37 / годен до 27.09.2024</v>
      </c>
    </row>
    <row r="1211" spans="1:8" ht="12.75" x14ac:dyDescent="0.2">
      <c r="A1211" s="1" t="str">
        <f ca="1">IFERROR(__xludf.DUMMYFUNCTION("""COMPUTED_VALUE"""),"Реклинатор ключичный усиленной фиксации 2024 - XL (Болгария)")</f>
        <v>Реклинатор ключичный усиленной фиксации 2024 - XL (Болгария)</v>
      </c>
      <c r="B1211" s="1" t="str">
        <f ca="1">IFERROR(__xludf.DUMMYFUNCTION("""COMPUTED_VALUE"""),"KZ.7700.02.01.00604032")</f>
        <v>KZ.7700.02.01.00604032</v>
      </c>
      <c r="C1211" s="1" t="str">
        <f ca="1">IFERROR(__xludf.DUMMYFUNCTION("""COMPUTED_VALUE"""),"Действителен до 27.09.2024")</f>
        <v>Действителен до 27.09.2024</v>
      </c>
      <c r="D1211" s="8" t="str">
        <f ca="1">IFERROR(__xludf.DUMMYFUNCTION("""COMPUTED_VALUE"""),"0919037KZ37")</f>
        <v>0919037KZ37</v>
      </c>
      <c r="E1211" s="1" t="str">
        <f ca="1">IFERROR(__xludf.DUMMYFUNCTION("""COMPUTED_VALUE"""),"годен до 27.09.2024")</f>
        <v>годен до 27.09.2024</v>
      </c>
      <c r="F1211" s="1" t="str">
        <f ca="1">IFERROR(__xludf.DUMMYFUNCTION("""COMPUTED_VALUE"""),"Реклинатор ключичный усиленной фиксации 2024 - XL (Болгария) - 0919037KZ37")</f>
        <v>Реклинатор ключичный усиленной фиксации 2024 - XL (Болгария) - 0919037KZ37</v>
      </c>
      <c r="G1211" s="1" t="str">
        <f ca="1">IFERROR(__xludf.DUMMYFUNCTION("""COMPUTED_VALUE"""),"KZ.7700.02.01.00604032 / Действителен до 27.09.2024 / 0919037KZ37 / годен до 27.09.2024")</f>
        <v>KZ.7700.02.01.00604032 / Действителен до 27.09.2024 / 0919037KZ37 / годен до 27.09.2024</v>
      </c>
      <c r="H1211" s="1" t="str">
        <f ca="1">IFERROR(__xludf.DUMMYFUNCTION("""COMPUTED_VALUE"""),"Реклинатор ключичный усиленной фиксации 2024 - XL (Болгария) KZ.7700.02.01.00604032 / Действителен до 27.09.2024 / 0919037KZ37 / годен до 27.09.2024")</f>
        <v>Реклинатор ключичный усиленной фиксации 2024 - XL (Болгария) KZ.7700.02.01.00604032 / Действителен до 27.09.2024 / 0919037KZ37 / годен до 27.09.2024</v>
      </c>
    </row>
    <row r="1212" spans="1:8" ht="12.75" x14ac:dyDescent="0.2">
      <c r="A1212" s="1" t="str">
        <f ca="1">IFERROR(__xludf.DUMMYFUNCTION("""COMPUTED_VALUE"""),"Реклинатор ключичный усиленной фиксации 2024 - XXL (Болгария)")</f>
        <v>Реклинатор ключичный усиленной фиксации 2024 - XXL (Болгария)</v>
      </c>
      <c r="B1212" s="1" t="str">
        <f ca="1">IFERROR(__xludf.DUMMYFUNCTION("""COMPUTED_VALUE"""),"KZ.7700.02.01.00604046")</f>
        <v>KZ.7700.02.01.00604046</v>
      </c>
      <c r="C1212" s="1" t="str">
        <f ca="1">IFERROR(__xludf.DUMMYFUNCTION("""COMPUTED_VALUE"""),"Действителен до 27.09.2024")</f>
        <v>Действителен до 27.09.2024</v>
      </c>
      <c r="D1212" s="8" t="str">
        <f ca="1">IFERROR(__xludf.DUMMYFUNCTION("""COMPUTED_VALUE"""),"0919037KZ37")</f>
        <v>0919037KZ37</v>
      </c>
      <c r="E1212" s="1" t="str">
        <f ca="1">IFERROR(__xludf.DUMMYFUNCTION("""COMPUTED_VALUE"""),"годен до 27.09.2024")</f>
        <v>годен до 27.09.2024</v>
      </c>
      <c r="F1212" s="1" t="str">
        <f ca="1">IFERROR(__xludf.DUMMYFUNCTION("""COMPUTED_VALUE"""),"Реклинатор ключичный усиленной фиксации 2024 - XXL (Болгария) - 0919037KZ37")</f>
        <v>Реклинатор ключичный усиленной фиксации 2024 - XXL (Болгария) - 0919037KZ37</v>
      </c>
      <c r="G1212" s="1" t="str">
        <f ca="1">IFERROR(__xludf.DUMMYFUNCTION("""COMPUTED_VALUE"""),"KZ.7700.02.01.00604046 / Действителен до 27.09.2024 / 0919037KZ37 / годен до 27.09.2024")</f>
        <v>KZ.7700.02.01.00604046 / Действителен до 27.09.2024 / 0919037KZ37 / годен до 27.09.2024</v>
      </c>
      <c r="H1212" s="1" t="str">
        <f ca="1">IFERROR(__xludf.DUMMYFUNCTION("""COMPUTED_VALUE"""),"Реклинатор ключичный усиленной фиксации 2024 - XXL (Болгария) KZ.7700.02.01.00604046 / Действителен до 27.09.2024 / 0919037KZ37 / годен до 27.09.2024")</f>
        <v>Реклинатор ключичный усиленной фиксации 2024 - XXL (Болгария) KZ.7700.02.01.00604046 / Действителен до 27.09.2024 / 0919037KZ37 / годен до 27.09.2024</v>
      </c>
    </row>
    <row r="1213" spans="1:8" ht="12.75" x14ac:dyDescent="0.2">
      <c r="A1213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1213" s="1" t="str">
        <f ca="1">IFERROR(__xludf.DUMMYFUNCTION("""COMPUTED_VALUE"""),"KZ.7700.02.01.00604058")</f>
        <v>KZ.7700.02.01.00604058</v>
      </c>
      <c r="C1213" s="1" t="str">
        <f ca="1">IFERROR(__xludf.DUMMYFUNCTION("""COMPUTED_VALUE"""),"Действителен до 27.09.2024")</f>
        <v>Действителен до 27.09.2024</v>
      </c>
      <c r="D1213" s="8" t="str">
        <f ca="1">IFERROR(__xludf.DUMMYFUNCTION("""COMPUTED_VALUE"""),"0919037KZ37")</f>
        <v>0919037KZ37</v>
      </c>
      <c r="E1213" s="1" t="str">
        <f ca="1">IFERROR(__xludf.DUMMYFUNCTION("""COMPUTED_VALUE"""),"годен до 27.09.2024")</f>
        <v>годен до 27.09.2024</v>
      </c>
      <c r="F1213" s="1" t="str">
        <f ca="1">IFERROR(__xludf.DUMMYFUNCTION("""COMPUTED_VALUE"""),"Корректор лечебно-профилактический (с 4 ребрами жесткости) эластичный 3011 - L - 0919037KZ37")</f>
        <v>Корректор лечебно-профилактический (с 4 ребрами жесткости) эластичный 3011 - L - 0919037KZ37</v>
      </c>
      <c r="G1213" s="1" t="str">
        <f ca="1">IFERROR(__xludf.DUMMYFUNCTION("""COMPUTED_VALUE"""),"KZ.7700.02.01.00604058 / Действителен до 27.09.2024 / 0919037KZ37 / годен до 27.09.2024")</f>
        <v>KZ.7700.02.01.00604058 / Действителен до 27.09.2024 / 0919037KZ37 / годен до 27.09.2024</v>
      </c>
      <c r="H1213" s="1" t="str">
        <f ca="1">IFERROR(__xludf.DUMMYFUNCTION("""COMPUTED_VALUE"""),"Корректор лечебно-профилактический (с 4 ребрами жесткости) эластичный 3011 - L KZ.7700.02.01.00604058 / Действителен до 27.09.2024 / 0919037KZ37 / годен до 27.09.2024")</f>
        <v>Корректор лечебно-профилактический (с 4 ребрами жесткости) эластичный 3011 - L KZ.7700.02.01.00604058 / Действителен до 27.09.2024 / 0919037KZ37 / годен до 27.09.2024</v>
      </c>
    </row>
    <row r="1214" spans="1:8" ht="12.75" x14ac:dyDescent="0.2">
      <c r="A1214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1214" s="1" t="str">
        <f ca="1">IFERROR(__xludf.DUMMYFUNCTION("""COMPUTED_VALUE"""),"KZ.7700.02.01.00604056")</f>
        <v>KZ.7700.02.01.00604056</v>
      </c>
      <c r="C1214" s="1" t="str">
        <f ca="1">IFERROR(__xludf.DUMMYFUNCTION("""COMPUTED_VALUE"""),"Действителен до 27.09.2024")</f>
        <v>Действителен до 27.09.2024</v>
      </c>
      <c r="D1214" s="8" t="str">
        <f ca="1">IFERROR(__xludf.DUMMYFUNCTION("""COMPUTED_VALUE"""),"0919037KZ37")</f>
        <v>0919037KZ37</v>
      </c>
      <c r="E1214" s="1" t="str">
        <f ca="1">IFERROR(__xludf.DUMMYFUNCTION("""COMPUTED_VALUE"""),"годен до 27.09.2024")</f>
        <v>годен до 27.09.2024</v>
      </c>
      <c r="F1214" s="1" t="str">
        <f ca="1">IFERROR(__xludf.DUMMYFUNCTION("""COMPUTED_VALUE"""),"Корректор лечебно-профилактический (с 4 ребрами жесткости) эластичный 3011 - М - 0919037KZ37")</f>
        <v>Корректор лечебно-профилактический (с 4 ребрами жесткости) эластичный 3011 - М - 0919037KZ37</v>
      </c>
      <c r="G1214" s="1" t="str">
        <f ca="1">IFERROR(__xludf.DUMMYFUNCTION("""COMPUTED_VALUE"""),"KZ.7700.02.01.00604056 / Действителен до 27.09.2024 / 0919037KZ37 / годен до 27.09.2024")</f>
        <v>KZ.7700.02.01.00604056 / Действителен до 27.09.2024 / 0919037KZ37 / годен до 27.09.2024</v>
      </c>
      <c r="H1214" s="1" t="str">
        <f ca="1">IFERROR(__xludf.DUMMYFUNCTION("""COMPUTED_VALUE"""),"Корректор лечебно-профилактический (с 4 ребрами жесткости) эластичный 3011 - М KZ.7700.02.01.00604056 / Действителен до 27.09.2024 / 0919037KZ37 / годен до 27.09.2024")</f>
        <v>Корректор лечебно-профилактический (с 4 ребрами жесткости) эластичный 3011 - М KZ.7700.02.01.00604056 / Действителен до 27.09.2024 / 0919037KZ37 / годен до 27.09.2024</v>
      </c>
    </row>
    <row r="1215" spans="1:8" ht="12.75" x14ac:dyDescent="0.2">
      <c r="A1215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1215" s="1" t="str">
        <f ca="1">IFERROR(__xludf.DUMMYFUNCTION("""COMPUTED_VALUE"""),"KZ.7700.02.01.00604063")</f>
        <v>KZ.7700.02.01.00604063</v>
      </c>
      <c r="C1215" s="1" t="str">
        <f ca="1">IFERROR(__xludf.DUMMYFUNCTION("""COMPUTED_VALUE"""),"Действителен до 27.09.2024")</f>
        <v>Действителен до 27.09.2024</v>
      </c>
      <c r="D1215" s="8" t="str">
        <f ca="1">IFERROR(__xludf.DUMMYFUNCTION("""COMPUTED_VALUE"""),"0919037KZ37")</f>
        <v>0919037KZ37</v>
      </c>
      <c r="E1215" s="1" t="str">
        <f ca="1">IFERROR(__xludf.DUMMYFUNCTION("""COMPUTED_VALUE"""),"годен до 27.09.2024")</f>
        <v>годен до 27.09.2024</v>
      </c>
      <c r="F1215" s="1" t="str">
        <f ca="1">IFERROR(__xludf.DUMMYFUNCTION("""COMPUTED_VALUE"""),"Корректор лечебно-профилактический (с 4 ребрами жесткости) эластичный 3011- XXL - 0919037KZ37")</f>
        <v>Корректор лечебно-профилактический (с 4 ребрами жесткости) эластичный 3011- XXL - 0919037KZ37</v>
      </c>
      <c r="G1215" s="1" t="str">
        <f ca="1">IFERROR(__xludf.DUMMYFUNCTION("""COMPUTED_VALUE"""),"KZ.7700.02.01.00604063 / Действителен до 27.09.2024 / 0919037KZ37 / годен до 27.09.2024")</f>
        <v>KZ.7700.02.01.00604063 / Действителен до 27.09.2024 / 0919037KZ37 / годен до 27.09.2024</v>
      </c>
      <c r="H1215" s="1" t="str">
        <f ca="1">IFERROR(__xludf.DUMMYFUNCTION("""COMPUTED_VALUE"""),"Корректор лечебно-профилактический (с 4 ребрами жесткости) эластичный 3011- XXL KZ.7700.02.01.00604063 / Действителен до 27.09.2024 / 0919037KZ37 / годен до 27.09.2024")</f>
        <v>Корректор лечебно-профилактический (с 4 ребрами жесткости) эластичный 3011- XXL KZ.7700.02.01.00604063 / Действителен до 27.09.2024 / 0919037KZ37 / годен до 27.09.2024</v>
      </c>
    </row>
    <row r="1216" spans="1:8" ht="12.75" x14ac:dyDescent="0.2">
      <c r="A1216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1216" s="1" t="str">
        <f ca="1">IFERROR(__xludf.DUMMYFUNCTION("""COMPUTED_VALUE"""),"KZ.7700.02.01.00604065")</f>
        <v>KZ.7700.02.01.00604065</v>
      </c>
      <c r="C1216" s="1" t="str">
        <f ca="1">IFERROR(__xludf.DUMMYFUNCTION("""COMPUTED_VALUE"""),"Действителен до 27.09.2024")</f>
        <v>Действителен до 27.09.2024</v>
      </c>
      <c r="D1216" s="8" t="str">
        <f ca="1">IFERROR(__xludf.DUMMYFUNCTION("""COMPUTED_VALUE"""),"0919037KZ37")</f>
        <v>0919037KZ37</v>
      </c>
      <c r="E1216" s="1" t="str">
        <f ca="1">IFERROR(__xludf.DUMMYFUNCTION("""COMPUTED_VALUE"""),"годен до 27.09.2024")</f>
        <v>годен до 27.09.2024</v>
      </c>
      <c r="F1216" s="1" t="str">
        <f ca="1">IFERROR(__xludf.DUMMYFUNCTION("""COMPUTED_VALUE"""),"Корректор лечебно-профилактический (с 4 ребрами жесткости) эластичный 3011- XXXL - 0919037KZ37")</f>
        <v>Корректор лечебно-профилактический (с 4 ребрами жесткости) эластичный 3011- XXXL - 0919037KZ37</v>
      </c>
      <c r="G1216" s="1" t="str">
        <f ca="1">IFERROR(__xludf.DUMMYFUNCTION("""COMPUTED_VALUE"""),"KZ.7700.02.01.00604065 / Действителен до 27.09.2024 / 0919037KZ37 / годен до 27.09.2024")</f>
        <v>KZ.7700.02.01.00604065 / Действителен до 27.09.2024 / 0919037KZ37 / годен до 27.09.2024</v>
      </c>
      <c r="H1216" s="1" t="str">
        <f ca="1">IFERROR(__xludf.DUMMYFUNCTION("""COMPUTED_VALUE"""),"Корректор лечебно-профилактический (с 4 ребрами жесткости) эластичный 3011- XXXL KZ.7700.02.01.00604065 / Действителен до 27.09.2024 / 0919037KZ37 / годен до 27.09.2024")</f>
        <v>Корректор лечебно-профилактический (с 4 ребрами жесткости) эластичный 3011- XXXL KZ.7700.02.01.00604065 / Действителен до 27.09.2024 / 0919037KZ37 / годен до 27.09.2024</v>
      </c>
    </row>
    <row r="1217" spans="1:8" ht="12.75" x14ac:dyDescent="0.2">
      <c r="A1217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1217" s="1" t="str">
        <f ca="1">IFERROR(__xludf.DUMMYFUNCTION("""COMPUTED_VALUE"""),"KZ.7700.02.01.00604061")</f>
        <v>KZ.7700.02.01.00604061</v>
      </c>
      <c r="C1217" s="1" t="str">
        <f ca="1">IFERROR(__xludf.DUMMYFUNCTION("""COMPUTED_VALUE"""),"Действителен до 27.09.2024")</f>
        <v>Действителен до 27.09.2024</v>
      </c>
      <c r="D1217" s="8" t="str">
        <f ca="1">IFERROR(__xludf.DUMMYFUNCTION("""COMPUTED_VALUE"""),"0919037KZ37")</f>
        <v>0919037KZ37</v>
      </c>
      <c r="E1217" s="1" t="str">
        <f ca="1">IFERROR(__xludf.DUMMYFUNCTION("""COMPUTED_VALUE"""),"годен до 27.09.2024")</f>
        <v>годен до 27.09.2024</v>
      </c>
      <c r="F1217" s="1" t="str">
        <f ca="1">IFERROR(__xludf.DUMMYFUNCTION("""COMPUTED_VALUE"""),"Корректор лечебно-профилактический (с 4 ребрами жесткости) эластичный 3011- XL - 0919037KZ37")</f>
        <v>Корректор лечебно-профилактический (с 4 ребрами жесткости) эластичный 3011- XL - 0919037KZ37</v>
      </c>
      <c r="G1217" s="1" t="str">
        <f ca="1">IFERROR(__xludf.DUMMYFUNCTION("""COMPUTED_VALUE"""),"KZ.7700.02.01.00604061 / Действителен до 27.09.2024 / 0919037KZ37 / годен до 27.09.2024")</f>
        <v>KZ.7700.02.01.00604061 / Действителен до 27.09.2024 / 0919037KZ37 / годен до 27.09.2024</v>
      </c>
      <c r="H1217" s="1" t="str">
        <f ca="1">IFERROR(__xludf.DUMMYFUNCTION("""COMPUTED_VALUE"""),"Корректор лечебно-профилактический (с 4 ребрами жесткости) эластичный 3011- XL KZ.7700.02.01.00604061 / Действителен до 27.09.2024 / 0919037KZ37 / годен до 27.09.2024")</f>
        <v>Корректор лечебно-профилактический (с 4 ребрами жесткости) эластичный 3011- XL KZ.7700.02.01.00604061 / Действителен до 27.09.2024 / 0919037KZ37 / годен до 27.09.2024</v>
      </c>
    </row>
    <row r="1218" spans="1:8" ht="12.75" x14ac:dyDescent="0.2">
      <c r="A1218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1218" s="1" t="str">
        <f ca="1">IFERROR(__xludf.DUMMYFUNCTION("""COMPUTED_VALUE"""),"KZ.7700.02.01.00604070")</f>
        <v>KZ.7700.02.01.00604070</v>
      </c>
      <c r="C1218" s="1" t="str">
        <f ca="1">IFERROR(__xludf.DUMMYFUNCTION("""COMPUTED_VALUE"""),"Действителен до 27.09.2024")</f>
        <v>Действителен до 27.09.2024</v>
      </c>
      <c r="D1218" s="8" t="str">
        <f ca="1">IFERROR(__xludf.DUMMYFUNCTION("""COMPUTED_VALUE"""),"0919037KZ37")</f>
        <v>0919037KZ37</v>
      </c>
      <c r="E1218" s="1" t="str">
        <f ca="1">IFERROR(__xludf.DUMMYFUNCTION("""COMPUTED_VALUE"""),"годен до 27.09.2024")</f>
        <v>годен до 27.09.2024</v>
      </c>
      <c r="F1218" s="1" t="str">
        <f ca="1">IFERROR(__xludf.DUMMYFUNCTION("""COMPUTED_VALUE"""),"Бандаж лечебно–профилактический (с тремя ребрами жесткости) 4001 L (Болгария) - 0919037KZ37")</f>
        <v>Бандаж лечебно–профилактический (с тремя ребрами жесткости) 4001 L (Болгария) - 0919037KZ37</v>
      </c>
      <c r="G1218" s="1" t="str">
        <f ca="1">IFERROR(__xludf.DUMMYFUNCTION("""COMPUTED_VALUE"""),"KZ.7700.02.01.00604070 / Действителен до 27.09.2024 / 0919037KZ37 / годен до 27.09.2024")</f>
        <v>KZ.7700.02.01.00604070 / Действителен до 27.09.2024 / 0919037KZ37 / годен до 27.09.2024</v>
      </c>
      <c r="H1218" s="1" t="str">
        <f ca="1">IFERROR(__xludf.DUMMYFUNCTION("""COMPUTED_VALUE"""),"Бандаж лечебно–профилактический (с тремя ребрами жесткости) 4001 L (Болгария) KZ.7700.02.01.00604070 / Действителен до 27.09.2024 / 0919037KZ37 / годен до 27.09.2024")</f>
        <v>Бандаж лечебно–профилактический (с тремя ребрами жесткости) 4001 L (Болгария) KZ.7700.02.01.00604070 / Действителен до 27.09.2024 / 0919037KZ37 / годен до 27.09.2024</v>
      </c>
    </row>
    <row r="1219" spans="1:8" ht="12.75" x14ac:dyDescent="0.2">
      <c r="A1219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1219" s="1" t="str">
        <f ca="1">IFERROR(__xludf.DUMMYFUNCTION("""COMPUTED_VALUE"""),"KZ.7700.02.01.00604069")</f>
        <v>KZ.7700.02.01.00604069</v>
      </c>
      <c r="C1219" s="1" t="str">
        <f ca="1">IFERROR(__xludf.DUMMYFUNCTION("""COMPUTED_VALUE"""),"Действителен до 27.09.2024")</f>
        <v>Действителен до 27.09.2024</v>
      </c>
      <c r="D1219" s="8" t="str">
        <f ca="1">IFERROR(__xludf.DUMMYFUNCTION("""COMPUTED_VALUE"""),"0919037KZ37")</f>
        <v>0919037KZ37</v>
      </c>
      <c r="E1219" s="1" t="str">
        <f ca="1">IFERROR(__xludf.DUMMYFUNCTION("""COMPUTED_VALUE"""),"годен до 27.09.2024")</f>
        <v>годен до 27.09.2024</v>
      </c>
      <c r="F1219" s="1" t="str">
        <f ca="1">IFERROR(__xludf.DUMMYFUNCTION("""COMPUTED_VALUE"""),"Бандаж лечебно–профилактический (с тремя ребрами жесткости) 4001 M (Болгария) - 0919037KZ37")</f>
        <v>Бандаж лечебно–профилактический (с тремя ребрами жесткости) 4001 M (Болгария) - 0919037KZ37</v>
      </c>
      <c r="G1219" s="1" t="str">
        <f ca="1">IFERROR(__xludf.DUMMYFUNCTION("""COMPUTED_VALUE"""),"KZ.7700.02.01.00604069 / Действителен до 27.09.2024 / 0919037KZ37 / годен до 27.09.2024")</f>
        <v>KZ.7700.02.01.00604069 / Действителен до 27.09.2024 / 0919037KZ37 / годен до 27.09.2024</v>
      </c>
      <c r="H1219" s="1" t="str">
        <f ca="1">IFERROR(__xludf.DUMMYFUNCTION("""COMPUTED_VALUE"""),"Бандаж лечебно–профилактический (с тремя ребрами жесткости) 4001 M (Болгария) KZ.7700.02.01.00604069 / Действителен до 27.09.2024 / 0919037KZ37 / годен до 27.09.2024")</f>
        <v>Бандаж лечебно–профилактический (с тремя ребрами жесткости) 4001 M (Болгария) KZ.7700.02.01.00604069 / Действителен до 27.09.2024 / 0919037KZ37 / годен до 27.09.2024</v>
      </c>
    </row>
    <row r="1220" spans="1:8" ht="12.75" x14ac:dyDescent="0.2">
      <c r="A1220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1220" s="1" t="str">
        <f ca="1">IFERROR(__xludf.DUMMYFUNCTION("""COMPUTED_VALUE"""),"KZ.7700.02.01.00604067")</f>
        <v>KZ.7700.02.01.00604067</v>
      </c>
      <c r="C1220" s="1" t="str">
        <f ca="1">IFERROR(__xludf.DUMMYFUNCTION("""COMPUTED_VALUE"""),"Действителен до 27.09.2024")</f>
        <v>Действителен до 27.09.2024</v>
      </c>
      <c r="D1220" s="8" t="str">
        <f ca="1">IFERROR(__xludf.DUMMYFUNCTION("""COMPUTED_VALUE"""),"0919037KZ37")</f>
        <v>0919037KZ37</v>
      </c>
      <c r="E1220" s="1" t="str">
        <f ca="1">IFERROR(__xludf.DUMMYFUNCTION("""COMPUTED_VALUE"""),"годен до 27.09.2024")</f>
        <v>годен до 27.09.2024</v>
      </c>
      <c r="F1220" s="1" t="str">
        <f ca="1">IFERROR(__xludf.DUMMYFUNCTION("""COMPUTED_VALUE"""),"Бандаж лечебно–профилактический (с тремя ребрами жесткости) 4001 S (Болгария) - 0919037KZ37")</f>
        <v>Бандаж лечебно–профилактический (с тремя ребрами жесткости) 4001 S (Болгария) - 0919037KZ37</v>
      </c>
      <c r="G1220" s="1" t="str">
        <f ca="1">IFERROR(__xludf.DUMMYFUNCTION("""COMPUTED_VALUE"""),"KZ.7700.02.01.00604067 / Действителен до 27.09.2024 / 0919037KZ37 / годен до 27.09.2024")</f>
        <v>KZ.7700.02.01.00604067 / Действителен до 27.09.2024 / 0919037KZ37 / годен до 27.09.2024</v>
      </c>
      <c r="H1220" s="1" t="str">
        <f ca="1">IFERROR(__xludf.DUMMYFUNCTION("""COMPUTED_VALUE"""),"Бандаж лечебно–профилактический (с тремя ребрами жесткости) 4001 S (Болгария) KZ.7700.02.01.00604067 / Действителен до 27.09.2024 / 0919037KZ37 / годен до 27.09.2024")</f>
        <v>Бандаж лечебно–профилактический (с тремя ребрами жесткости) 4001 S (Болгария) KZ.7700.02.01.00604067 / Действителен до 27.09.2024 / 0919037KZ37 / годен до 27.09.2024</v>
      </c>
    </row>
    <row r="1221" spans="1:8" ht="12.75" x14ac:dyDescent="0.2">
      <c r="A1221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1221" s="1" t="str">
        <f ca="1">IFERROR(__xludf.DUMMYFUNCTION("""COMPUTED_VALUE"""),"KZ.7700.02.01.00604072")</f>
        <v>KZ.7700.02.01.00604072</v>
      </c>
      <c r="C1221" s="1" t="str">
        <f ca="1">IFERROR(__xludf.DUMMYFUNCTION("""COMPUTED_VALUE"""),"Действителен до 27.09.2024")</f>
        <v>Действителен до 27.09.2024</v>
      </c>
      <c r="D1221" s="8" t="str">
        <f ca="1">IFERROR(__xludf.DUMMYFUNCTION("""COMPUTED_VALUE"""),"0919037KZ37")</f>
        <v>0919037KZ37</v>
      </c>
      <c r="E1221" s="1" t="str">
        <f ca="1">IFERROR(__xludf.DUMMYFUNCTION("""COMPUTED_VALUE"""),"годен до 27.09.2024")</f>
        <v>годен до 27.09.2024</v>
      </c>
      <c r="F1221" s="1" t="str">
        <f ca="1">IFERROR(__xludf.DUMMYFUNCTION("""COMPUTED_VALUE"""),"Бандаж лечебно–профилактический (с тремя ребрами жесткости) 4001 XL (Болгария) - 0919037KZ37")</f>
        <v>Бандаж лечебно–профилактический (с тремя ребрами жесткости) 4001 XL (Болгария) - 0919037KZ37</v>
      </c>
      <c r="G1221" s="1" t="str">
        <f ca="1">IFERROR(__xludf.DUMMYFUNCTION("""COMPUTED_VALUE"""),"KZ.7700.02.01.00604072 / Действителен до 27.09.2024 / 0919037KZ37 / годен до 27.09.2024")</f>
        <v>KZ.7700.02.01.00604072 / Действителен до 27.09.2024 / 0919037KZ37 / годен до 27.09.2024</v>
      </c>
      <c r="H1221" s="1" t="str">
        <f ca="1">IFERROR(__xludf.DUMMYFUNCTION("""COMPUTED_VALUE"""),"Бандаж лечебно–профилактический (с тремя ребрами жесткости) 4001 XL (Болгария) KZ.7700.02.01.00604072 / Действителен до 27.09.2024 / 0919037KZ37 / годен до 27.09.2024")</f>
        <v>Бандаж лечебно–профилактический (с тремя ребрами жесткости) 4001 XL (Болгария) KZ.7700.02.01.00604072 / Действителен до 27.09.2024 / 0919037KZ37 / годен до 27.09.2024</v>
      </c>
    </row>
    <row r="1222" spans="1:8" ht="12.75" x14ac:dyDescent="0.2">
      <c r="A1222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1222" s="1" t="str">
        <f ca="1">IFERROR(__xludf.DUMMYFUNCTION("""COMPUTED_VALUE"""),"KZ.7700.02.01.00604073")</f>
        <v>KZ.7700.02.01.00604073</v>
      </c>
      <c r="C1222" s="1" t="str">
        <f ca="1">IFERROR(__xludf.DUMMYFUNCTION("""COMPUTED_VALUE"""),"Действителен до 27.09.2024")</f>
        <v>Действителен до 27.09.2024</v>
      </c>
      <c r="D1222" s="8" t="str">
        <f ca="1">IFERROR(__xludf.DUMMYFUNCTION("""COMPUTED_VALUE"""),"0919037KZ37")</f>
        <v>0919037KZ37</v>
      </c>
      <c r="E1222" s="1" t="str">
        <f ca="1">IFERROR(__xludf.DUMMYFUNCTION("""COMPUTED_VALUE"""),"годен до 27.09.2024")</f>
        <v>годен до 27.09.2024</v>
      </c>
      <c r="F1222" s="1" t="str">
        <f ca="1">IFERROR(__xludf.DUMMYFUNCTION("""COMPUTED_VALUE"""),"Бандаж лечебно–профилактический (с тремя ребрами жесткости) 4001 XXL (Болгария) - 0919037KZ37")</f>
        <v>Бандаж лечебно–профилактический (с тремя ребрами жесткости) 4001 XXL (Болгария) - 0919037KZ37</v>
      </c>
      <c r="G1222" s="1" t="str">
        <f ca="1">IFERROR(__xludf.DUMMYFUNCTION("""COMPUTED_VALUE"""),"KZ.7700.02.01.00604073 / Действителен до 27.09.2024 / 0919037KZ37 / годен до 27.09.2024")</f>
        <v>KZ.7700.02.01.00604073 / Действителен до 27.09.2024 / 0919037KZ37 / годен до 27.09.2024</v>
      </c>
      <c r="H1222" s="1" t="str">
        <f ca="1">IFERROR(__xludf.DUMMYFUNCTION("""COMPUTED_VALUE"""),"Бандаж лечебно–профилактический (с тремя ребрами жесткости) 4001 XXL (Болгария) KZ.7700.02.01.00604073 / Действителен до 27.09.2024 / 0919037KZ37 / годен до 27.09.2024")</f>
        <v>Бандаж лечебно–профилактический (с тремя ребрами жесткости) 4001 XXL (Болгария) KZ.7700.02.01.00604073 / Действителен до 27.09.2024 / 0919037KZ37 / годен до 27.09.2024</v>
      </c>
    </row>
    <row r="1223" spans="1:8" ht="12.75" x14ac:dyDescent="0.2">
      <c r="A1223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1223" s="1" t="str">
        <f ca="1">IFERROR(__xludf.DUMMYFUNCTION("""COMPUTED_VALUE"""),"KZ.7700.02.01.00604077")</f>
        <v>KZ.7700.02.01.00604077</v>
      </c>
      <c r="C1223" s="1" t="str">
        <f ca="1">IFERROR(__xludf.DUMMYFUNCTION("""COMPUTED_VALUE"""),"Действителен до 27.09.2024")</f>
        <v>Действителен до 27.09.2024</v>
      </c>
      <c r="D1223" s="8" t="str">
        <f ca="1">IFERROR(__xludf.DUMMYFUNCTION("""COMPUTED_VALUE"""),"0919037KZ37")</f>
        <v>0919037KZ37</v>
      </c>
      <c r="E1223" s="1" t="str">
        <f ca="1">IFERROR(__xludf.DUMMYFUNCTION("""COMPUTED_VALUE"""),"годен до 27.09.2024")</f>
        <v>годен до 27.09.2024</v>
      </c>
      <c r="F1223" s="1" t="str">
        <f ca="1">IFERROR(__xludf.DUMMYFUNCTION("""COMPUTED_VALUE"""),"Бандаж лечебно–профилактический (с тремя ребрами жесткости) 4001 XXXL(Болгария) - 0919037KZ37")</f>
        <v>Бандаж лечебно–профилактический (с тремя ребрами жесткости) 4001 XXXL(Болгария) - 0919037KZ37</v>
      </c>
      <c r="G1223" s="1" t="str">
        <f ca="1">IFERROR(__xludf.DUMMYFUNCTION("""COMPUTED_VALUE"""),"KZ.7700.02.01.00604077 / Действителен до 27.09.2024 / 0919037KZ37 / годен до 27.09.2024")</f>
        <v>KZ.7700.02.01.00604077 / Действителен до 27.09.2024 / 0919037KZ37 / годен до 27.09.2024</v>
      </c>
      <c r="H1223" s="1" t="str">
        <f ca="1">IFERROR(__xludf.DUMMYFUNCTION("""COMPUTED_VALUE"""),"Бандаж лечебно–профилактический (с тремя ребрами жесткости) 4001 XXXL(Болгария) KZ.7700.02.01.00604077 / Действителен до 27.09.2024 / 0919037KZ37 / годен до 27.09.2024")</f>
        <v>Бандаж лечебно–профилактический (с тремя ребрами жесткости) 4001 XXXL(Болгария) KZ.7700.02.01.00604077 / Действителен до 27.09.2024 / 0919037KZ37 / годен до 27.09.2024</v>
      </c>
    </row>
    <row r="1224" spans="1:8" ht="12.75" x14ac:dyDescent="0.2">
      <c r="A1224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1224" s="1" t="str">
        <f ca="1">IFERROR(__xludf.DUMMYFUNCTION("""COMPUTED_VALUE"""),"KZ.7700.02.01.00604078")</f>
        <v>KZ.7700.02.01.00604078</v>
      </c>
      <c r="C1224" s="1" t="str">
        <f ca="1">IFERROR(__xludf.DUMMYFUNCTION("""COMPUTED_VALUE"""),"Действителен до 27.09.2024")</f>
        <v>Действителен до 27.09.2024</v>
      </c>
      <c r="D1224" s="8" t="str">
        <f ca="1">IFERROR(__xludf.DUMMYFUNCTION("""COMPUTED_VALUE"""),"0919037KZ37")</f>
        <v>0919037KZ37</v>
      </c>
      <c r="E1224" s="1" t="str">
        <f ca="1">IFERROR(__xludf.DUMMYFUNCTION("""COMPUTED_VALUE"""),"годен до 27.09.2024")</f>
        <v>годен до 27.09.2024</v>
      </c>
      <c r="F1224" s="1" t="str">
        <f ca="1">IFERROR(__xludf.DUMMYFUNCTION("""COMPUTED_VALUE"""),"Бандаж лечебно–профилактический (с тремя ребрами жесткости) 4001 XXXXL(Болгария) - 0919037KZ37")</f>
        <v>Бандаж лечебно–профилактический (с тремя ребрами жесткости) 4001 XXXXL(Болгария) - 0919037KZ37</v>
      </c>
      <c r="G1224" s="1" t="str">
        <f ca="1">IFERROR(__xludf.DUMMYFUNCTION("""COMPUTED_VALUE"""),"KZ.7700.02.01.00604078 / Действителен до 27.09.2024 / 0919037KZ37 / годен до 27.09.2024")</f>
        <v>KZ.7700.02.01.00604078 / Действителен до 27.09.2024 / 0919037KZ37 / годен до 27.09.2024</v>
      </c>
      <c r="H1224" s="1" t="str">
        <f ca="1">IFERROR(__xludf.DUMMYFUNCTION("""COMPUTED_VALUE"""),"Бандаж лечебно–профилактический (с тремя ребрами жесткости) 4001 XXXXL(Болгария) KZ.7700.02.01.00604078 / Действителен до 27.09.2024 / 0919037KZ37 / годен до 27.09.2024")</f>
        <v>Бандаж лечебно–профилактический (с тремя ребрами жесткости) 4001 XXXXL(Болгария) KZ.7700.02.01.00604078 / Действителен до 27.09.2024 / 0919037KZ37 / годен до 27.09.2024</v>
      </c>
    </row>
    <row r="1225" spans="1:8" ht="12.75" x14ac:dyDescent="0.2">
      <c r="A1225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1225" s="1" t="str">
        <f ca="1">IFERROR(__xludf.DUMMYFUNCTION("""COMPUTED_VALUE"""),"KZ.7700.02.01.00604090")</f>
        <v>KZ.7700.02.01.00604090</v>
      </c>
      <c r="C1225" s="1" t="str">
        <f ca="1">IFERROR(__xludf.DUMMYFUNCTION("""COMPUTED_VALUE"""),"Действителен до 27.09.2024")</f>
        <v>Действителен до 27.09.2024</v>
      </c>
      <c r="D1225" s="8" t="str">
        <f ca="1">IFERROR(__xludf.DUMMYFUNCTION("""COMPUTED_VALUE"""),"0919037KZ37")</f>
        <v>0919037KZ37</v>
      </c>
      <c r="E1225" s="1" t="str">
        <f ca="1">IFERROR(__xludf.DUMMYFUNCTION("""COMPUTED_VALUE"""),"годен до 27.09.2024")</f>
        <v>годен до 27.09.2024</v>
      </c>
      <c r="F1225" s="1" t="str">
        <f ca="1">IFERROR(__xludf.DUMMYFUNCTION("""COMPUTED_VALUE"""),"Бандаж лечебно–профилактический эластичный 4002 L (Болгария) - 0919037KZ37")</f>
        <v>Бандаж лечебно–профилактический эластичный 4002 L (Болгария) - 0919037KZ37</v>
      </c>
      <c r="G1225" s="1" t="str">
        <f ca="1">IFERROR(__xludf.DUMMYFUNCTION("""COMPUTED_VALUE"""),"KZ.7700.02.01.00604090 / Действителен до 27.09.2024 / 0919037KZ37 / годен до 27.09.2024")</f>
        <v>KZ.7700.02.01.00604090 / Действителен до 27.09.2024 / 0919037KZ37 / годен до 27.09.2024</v>
      </c>
      <c r="H1225" s="1" t="str">
        <f ca="1">IFERROR(__xludf.DUMMYFUNCTION("""COMPUTED_VALUE"""),"Бандаж лечебно–профилактический эластичный 4002 L (Болгария) KZ.7700.02.01.00604090 / Действителен до 27.09.2024 / 0919037KZ37 / годен до 27.09.2024")</f>
        <v>Бандаж лечебно–профилактический эластичный 4002 L (Болгария) KZ.7700.02.01.00604090 / Действителен до 27.09.2024 / 0919037KZ37 / годен до 27.09.2024</v>
      </c>
    </row>
    <row r="1226" spans="1:8" ht="12.75" x14ac:dyDescent="0.2">
      <c r="A1226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1226" s="1" t="str">
        <f ca="1">IFERROR(__xludf.DUMMYFUNCTION("""COMPUTED_VALUE"""),"KZ.7700.02.01.00604085")</f>
        <v>KZ.7700.02.01.00604085</v>
      </c>
      <c r="C1226" s="1" t="str">
        <f ca="1">IFERROR(__xludf.DUMMYFUNCTION("""COMPUTED_VALUE"""),"Действителен до 27.09.2024")</f>
        <v>Действителен до 27.09.2024</v>
      </c>
      <c r="D1226" s="8" t="str">
        <f ca="1">IFERROR(__xludf.DUMMYFUNCTION("""COMPUTED_VALUE"""),"0919037KZ37")</f>
        <v>0919037KZ37</v>
      </c>
      <c r="E1226" s="1" t="str">
        <f ca="1">IFERROR(__xludf.DUMMYFUNCTION("""COMPUTED_VALUE"""),"годен до 27.09.2024")</f>
        <v>годен до 27.09.2024</v>
      </c>
      <c r="F1226" s="1" t="str">
        <f ca="1">IFERROR(__xludf.DUMMYFUNCTION("""COMPUTED_VALUE"""),"Бандаж лечебно–профилактический эластичный 4002 M (Болгария) - 0919037KZ37")</f>
        <v>Бандаж лечебно–профилактический эластичный 4002 M (Болгария) - 0919037KZ37</v>
      </c>
      <c r="G1226" s="1" t="str">
        <f ca="1">IFERROR(__xludf.DUMMYFUNCTION("""COMPUTED_VALUE"""),"KZ.7700.02.01.00604085 / Действителен до 27.09.2024 / 0919037KZ37 / годен до 27.09.2024")</f>
        <v>KZ.7700.02.01.00604085 / Действителен до 27.09.2024 / 0919037KZ37 / годен до 27.09.2024</v>
      </c>
      <c r="H1226" s="1" t="str">
        <f ca="1">IFERROR(__xludf.DUMMYFUNCTION("""COMPUTED_VALUE"""),"Бандаж лечебно–профилактический эластичный 4002 M (Болгария) KZ.7700.02.01.00604085 / Действителен до 27.09.2024 / 0919037KZ37 / годен до 27.09.2024")</f>
        <v>Бандаж лечебно–профилактический эластичный 4002 M (Болгария) KZ.7700.02.01.00604085 / Действителен до 27.09.2024 / 0919037KZ37 / годен до 27.09.2024</v>
      </c>
    </row>
    <row r="1227" spans="1:8" ht="12.75" x14ac:dyDescent="0.2">
      <c r="A1227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1227" s="1" t="str">
        <f ca="1">IFERROR(__xludf.DUMMYFUNCTION("""COMPUTED_VALUE"""),"KZ.7700.02.01.00604096")</f>
        <v>KZ.7700.02.01.00604096</v>
      </c>
      <c r="C1227" s="1" t="str">
        <f ca="1">IFERROR(__xludf.DUMMYFUNCTION("""COMPUTED_VALUE"""),"Действителен до 27.09.2024")</f>
        <v>Действителен до 27.09.2024</v>
      </c>
      <c r="D1227" s="8" t="str">
        <f ca="1">IFERROR(__xludf.DUMMYFUNCTION("""COMPUTED_VALUE"""),"0919037KZ37")</f>
        <v>0919037KZ37</v>
      </c>
      <c r="E1227" s="1" t="str">
        <f ca="1">IFERROR(__xludf.DUMMYFUNCTION("""COMPUTED_VALUE"""),"годен до 27.09.2024")</f>
        <v>годен до 27.09.2024</v>
      </c>
      <c r="F1227" s="1" t="str">
        <f ca="1">IFERROR(__xludf.DUMMYFUNCTION("""COMPUTED_VALUE"""),"Бандаж лечебно–профилактический эластичный 4002 XL (Болгария) - 0919037KZ37")</f>
        <v>Бандаж лечебно–профилактический эластичный 4002 XL (Болгария) - 0919037KZ37</v>
      </c>
      <c r="G1227" s="1" t="str">
        <f ca="1">IFERROR(__xludf.DUMMYFUNCTION("""COMPUTED_VALUE"""),"KZ.7700.02.01.00604096 / Действителен до 27.09.2024 / 0919037KZ37 / годен до 27.09.2024")</f>
        <v>KZ.7700.02.01.00604096 / Действителен до 27.09.2024 / 0919037KZ37 / годен до 27.09.2024</v>
      </c>
      <c r="H1227" s="1" t="str">
        <f ca="1">IFERROR(__xludf.DUMMYFUNCTION("""COMPUTED_VALUE"""),"Бандаж лечебно–профилактический эластичный 4002 XL (Болгария) KZ.7700.02.01.00604096 / Действителен до 27.09.2024 / 0919037KZ37 / годен до 27.09.2024")</f>
        <v>Бандаж лечебно–профилактический эластичный 4002 XL (Болгария) KZ.7700.02.01.00604096 / Действителен до 27.09.2024 / 0919037KZ37 / годен до 27.09.2024</v>
      </c>
    </row>
    <row r="1228" spans="1:8" ht="12.75" x14ac:dyDescent="0.2">
      <c r="A1228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1228" s="1" t="str">
        <f ca="1">IFERROR(__xludf.DUMMYFUNCTION("""COMPUTED_VALUE"""),"KZ.7700.02.01.00604099")</f>
        <v>KZ.7700.02.01.00604099</v>
      </c>
      <c r="C1228" s="1" t="str">
        <f ca="1">IFERROR(__xludf.DUMMYFUNCTION("""COMPUTED_VALUE"""),"Действителен до 27.09.2024")</f>
        <v>Действителен до 27.09.2024</v>
      </c>
      <c r="D1228" s="8" t="str">
        <f ca="1">IFERROR(__xludf.DUMMYFUNCTION("""COMPUTED_VALUE"""),"0919037KZ37")</f>
        <v>0919037KZ37</v>
      </c>
      <c r="E1228" s="1" t="str">
        <f ca="1">IFERROR(__xludf.DUMMYFUNCTION("""COMPUTED_VALUE"""),"годен до 27.09.2024")</f>
        <v>годен до 27.09.2024</v>
      </c>
      <c r="F1228" s="1" t="str">
        <f ca="1">IFERROR(__xludf.DUMMYFUNCTION("""COMPUTED_VALUE"""),"Бандаж лечебно–профилактический эластичный 4002 XXL (Болгария) - 0919037KZ37")</f>
        <v>Бандаж лечебно–профилактический эластичный 4002 XXL (Болгария) - 0919037KZ37</v>
      </c>
      <c r="G1228" s="1" t="str">
        <f ca="1">IFERROR(__xludf.DUMMYFUNCTION("""COMPUTED_VALUE"""),"KZ.7700.02.01.00604099 / Действителен до 27.09.2024 / 0919037KZ37 / годен до 27.09.2024")</f>
        <v>KZ.7700.02.01.00604099 / Действителен до 27.09.2024 / 0919037KZ37 / годен до 27.09.2024</v>
      </c>
      <c r="H1228" s="1" t="str">
        <f ca="1">IFERROR(__xludf.DUMMYFUNCTION("""COMPUTED_VALUE"""),"Бандаж лечебно–профилактический эластичный 4002 XXL (Болгария) KZ.7700.02.01.00604099 / Действителен до 27.09.2024 / 0919037KZ37 / годен до 27.09.2024")</f>
        <v>Бандаж лечебно–профилактический эластичный 4002 XXL (Болгария) KZ.7700.02.01.00604099 / Действителен до 27.09.2024 / 0919037KZ37 / годен до 27.09.2024</v>
      </c>
    </row>
    <row r="1229" spans="1:8" ht="12.75" x14ac:dyDescent="0.2">
      <c r="A1229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1229" s="1" t="str">
        <f ca="1">IFERROR(__xludf.DUMMYFUNCTION("""COMPUTED_VALUE"""),"KZ.7700.02.01.00604101")</f>
        <v>KZ.7700.02.01.00604101</v>
      </c>
      <c r="C1229" s="1" t="str">
        <f ca="1">IFERROR(__xludf.DUMMYFUNCTION("""COMPUTED_VALUE"""),"Действителен до 27.09.2024")</f>
        <v>Действителен до 27.09.2024</v>
      </c>
      <c r="D1229" s="8" t="str">
        <f ca="1">IFERROR(__xludf.DUMMYFUNCTION("""COMPUTED_VALUE"""),"0919037KZ37")</f>
        <v>0919037KZ37</v>
      </c>
      <c r="E1229" s="1" t="str">
        <f ca="1">IFERROR(__xludf.DUMMYFUNCTION("""COMPUTED_VALUE"""),"годен до 27.09.2024")</f>
        <v>годен до 27.09.2024</v>
      </c>
      <c r="F1229" s="1" t="str">
        <f ca="1">IFERROR(__xludf.DUMMYFUNCTION("""COMPUTED_VALUE"""),"Бандаж лечебно–профилактический эластичный 4002 XXXL (Болгария) - 0919037KZ37")</f>
        <v>Бандаж лечебно–профилактический эластичный 4002 XXXL (Болгария) - 0919037KZ37</v>
      </c>
      <c r="G1229" s="1" t="str">
        <f ca="1">IFERROR(__xludf.DUMMYFUNCTION("""COMPUTED_VALUE"""),"KZ.7700.02.01.00604101 / Действителен до 27.09.2024 / 0919037KZ37 / годен до 27.09.2024")</f>
        <v>KZ.7700.02.01.00604101 / Действителен до 27.09.2024 / 0919037KZ37 / годен до 27.09.2024</v>
      </c>
      <c r="H1229" s="1" t="str">
        <f ca="1">IFERROR(__xludf.DUMMYFUNCTION("""COMPUTED_VALUE"""),"Бандаж лечебно–профилактический эластичный 4002 XXXL (Болгария) KZ.7700.02.01.00604101 / Действителен до 27.09.2024 / 0919037KZ37 / годен до 27.09.2024")</f>
        <v>Бандаж лечебно–профилактический эластичный 4002 XXXL (Болгария) KZ.7700.02.01.00604101 / Действителен до 27.09.2024 / 0919037KZ37 / годен до 27.09.2024</v>
      </c>
    </row>
    <row r="1230" spans="1:8" ht="12.75" x14ac:dyDescent="0.2">
      <c r="A1230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1230" s="1" t="str">
        <f ca="1">IFERROR(__xludf.DUMMYFUNCTION("""COMPUTED_VALUE"""),"KZ.7700.02.01.00604104")</f>
        <v>KZ.7700.02.01.00604104</v>
      </c>
      <c r="C1230" s="1" t="str">
        <f ca="1">IFERROR(__xludf.DUMMYFUNCTION("""COMPUTED_VALUE"""),"Действителен до 27.09.2024")</f>
        <v>Действителен до 27.09.2024</v>
      </c>
      <c r="D1230" s="8" t="str">
        <f ca="1">IFERROR(__xludf.DUMMYFUNCTION("""COMPUTED_VALUE"""),"0919037KZ37")</f>
        <v>0919037KZ37</v>
      </c>
      <c r="E1230" s="1" t="str">
        <f ca="1">IFERROR(__xludf.DUMMYFUNCTION("""COMPUTED_VALUE"""),"годен до 27.09.2024")</f>
        <v>годен до 27.09.2024</v>
      </c>
      <c r="F1230" s="1" t="str">
        <f ca="1">IFERROR(__xludf.DUMMYFUNCTION("""COMPUTED_VALUE"""),"Бандаж лечебно–профилактический эластичный 4002 XXXXL (Болгария) - 0919037KZ37")</f>
        <v>Бандаж лечебно–профилактический эластичный 4002 XXXXL (Болгария) - 0919037KZ37</v>
      </c>
      <c r="G1230" s="1" t="str">
        <f ca="1">IFERROR(__xludf.DUMMYFUNCTION("""COMPUTED_VALUE"""),"KZ.7700.02.01.00604104 / Действителен до 27.09.2024 / 0919037KZ37 / годен до 27.09.2024")</f>
        <v>KZ.7700.02.01.00604104 / Действителен до 27.09.2024 / 0919037KZ37 / годен до 27.09.2024</v>
      </c>
      <c r="H1230" s="1" t="str">
        <f ca="1">IFERROR(__xludf.DUMMYFUNCTION("""COMPUTED_VALUE"""),"Бандаж лечебно–профилактический эластичный 4002 XXXXL (Болгария) KZ.7700.02.01.00604104 / Действителен до 27.09.2024 / 0919037KZ37 / годен до 27.09.2024")</f>
        <v>Бандаж лечебно–профилактический эластичный 4002 XXXXL (Болгария) KZ.7700.02.01.00604104 / Действителен до 27.09.2024 / 0919037KZ37 / годен до 27.09.2024</v>
      </c>
    </row>
    <row r="1231" spans="1:8" ht="12.75" x14ac:dyDescent="0.2">
      <c r="A1231" s="1" t="str">
        <f ca="1">IFERROR(__xludf.DUMMYFUNCTION("""COMPUTED_VALUE"""),"Бандаж универсальный 4011 XL/XXL (Болгария)")</f>
        <v>Бандаж универсальный 4011 XL/XXL (Болгария)</v>
      </c>
      <c r="B1231" s="1" t="str">
        <f ca="1">IFERROR(__xludf.DUMMYFUNCTION("""COMPUTED_VALUE"""),"KZ.7700.02.01.00604107")</f>
        <v>KZ.7700.02.01.00604107</v>
      </c>
      <c r="C1231" s="1" t="str">
        <f ca="1">IFERROR(__xludf.DUMMYFUNCTION("""COMPUTED_VALUE"""),"Действителен до 27.09.2024")</f>
        <v>Действителен до 27.09.2024</v>
      </c>
      <c r="D1231" s="8" t="str">
        <f ca="1">IFERROR(__xludf.DUMMYFUNCTION("""COMPUTED_VALUE"""),"0919037KZ37")</f>
        <v>0919037KZ37</v>
      </c>
      <c r="E1231" s="1" t="str">
        <f ca="1">IFERROR(__xludf.DUMMYFUNCTION("""COMPUTED_VALUE"""),"годен до 27.09.2024")</f>
        <v>годен до 27.09.2024</v>
      </c>
      <c r="F1231" s="1" t="str">
        <f ca="1">IFERROR(__xludf.DUMMYFUNCTION("""COMPUTED_VALUE"""),"Бандаж универсальный 4011 XL/XXL (Болгария) - 0919037KZ37")</f>
        <v>Бандаж универсальный 4011 XL/XXL (Болгария) - 0919037KZ37</v>
      </c>
      <c r="G1231" s="1" t="str">
        <f ca="1">IFERROR(__xludf.DUMMYFUNCTION("""COMPUTED_VALUE"""),"KZ.7700.02.01.00604107 / Действителен до 27.09.2024 / 0919037KZ37 / годен до 27.09.2024")</f>
        <v>KZ.7700.02.01.00604107 / Действителен до 27.09.2024 / 0919037KZ37 / годен до 27.09.2024</v>
      </c>
      <c r="H1231" s="1" t="str">
        <f ca="1">IFERROR(__xludf.DUMMYFUNCTION("""COMPUTED_VALUE"""),"Бандаж универсальный 4011 XL/XXL (Болгария) KZ.7700.02.01.00604107 / Действителен до 27.09.2024 / 0919037KZ37 / годен до 27.09.2024")</f>
        <v>Бандаж универсальный 4011 XL/XXL (Болгария) KZ.7700.02.01.00604107 / Действителен до 27.09.2024 / 0919037KZ37 / годен до 27.09.2024</v>
      </c>
    </row>
    <row r="1232" spans="1:8" ht="12.75" x14ac:dyDescent="0.2">
      <c r="A1232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1232" s="1" t="str">
        <f ca="1">IFERROR(__xludf.DUMMYFUNCTION("""COMPUTED_VALUE"""),"KZ.7700.02.01.00604108")</f>
        <v>KZ.7700.02.01.00604108</v>
      </c>
      <c r="C1232" s="1" t="str">
        <f ca="1">IFERROR(__xludf.DUMMYFUNCTION("""COMPUTED_VALUE"""),"Действителен до 27.09.2024")</f>
        <v>Действителен до 27.09.2024</v>
      </c>
      <c r="D1232" s="8" t="str">
        <f ca="1">IFERROR(__xludf.DUMMYFUNCTION("""COMPUTED_VALUE"""),"0919037KZ37")</f>
        <v>0919037KZ37</v>
      </c>
      <c r="E1232" s="1" t="str">
        <f ca="1">IFERROR(__xludf.DUMMYFUNCTION("""COMPUTED_VALUE"""),"годен до 27.09.2024")</f>
        <v>годен до 27.09.2024</v>
      </c>
      <c r="F1232" s="1" t="str">
        <f ca="1">IFERROR(__xludf.DUMMYFUNCTION("""COMPUTED_VALUE"""),"Бандаж универсальный 4011 XXXL/XXXXL (Болгария) - 0919037KZ37")</f>
        <v>Бандаж универсальный 4011 XXXL/XXXXL (Болгария) - 0919037KZ37</v>
      </c>
      <c r="G1232" s="1" t="str">
        <f ca="1">IFERROR(__xludf.DUMMYFUNCTION("""COMPUTED_VALUE"""),"KZ.7700.02.01.00604108 / Действителен до 27.09.2024 / 0919037KZ37 / годен до 27.09.2024")</f>
        <v>KZ.7700.02.01.00604108 / Действителен до 27.09.2024 / 0919037KZ37 / годен до 27.09.2024</v>
      </c>
      <c r="H1232" s="1" t="str">
        <f ca="1">IFERROR(__xludf.DUMMYFUNCTION("""COMPUTED_VALUE"""),"Бандаж универсальный 4011 XXXL/XXXXL (Болгария) KZ.7700.02.01.00604108 / Действителен до 27.09.2024 / 0919037KZ37 / годен до 27.09.2024")</f>
        <v>Бандаж универсальный 4011 XXXL/XXXXL (Болгария) KZ.7700.02.01.00604108 / Действителен до 27.09.2024 / 0919037KZ37 / годен до 27.09.2024</v>
      </c>
    </row>
    <row r="1233" spans="1:8" ht="12.75" x14ac:dyDescent="0.2">
      <c r="A1233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233" s="1" t="str">
        <f ca="1">IFERROR(__xludf.DUMMYFUNCTION("""COMPUTED_VALUE"""),"KZ.7700.02.01.00604124")</f>
        <v>KZ.7700.02.01.00604124</v>
      </c>
      <c r="C1233" s="1" t="str">
        <f ca="1">IFERROR(__xludf.DUMMYFUNCTION("""COMPUTED_VALUE"""),"Действителен до 27.09.2024")</f>
        <v>Действителен до 27.09.2024</v>
      </c>
      <c r="D1233" s="8" t="str">
        <f ca="1">IFERROR(__xludf.DUMMYFUNCTION("""COMPUTED_VALUE"""),"0919037KZ37")</f>
        <v>0919037KZ37</v>
      </c>
      <c r="E1233" s="1" t="str">
        <f ca="1">IFERROR(__xludf.DUMMYFUNCTION("""COMPUTED_VALUE"""),"годен до 27.09.2024")</f>
        <v>годен до 27.09.2024</v>
      </c>
      <c r="F1233" s="1" t="str">
        <f ca="1">IFERROR(__xludf.DUMMYFUNCTION("""COMPUTED_VALUE"""),"Бандаж для беременных эластичный 4505 - XXXL (Болгария) - 0919037KZ37")</f>
        <v>Бандаж для беременных эластичный 4505 - XXXL (Болгария) - 0919037KZ37</v>
      </c>
      <c r="G1233" s="1" t="str">
        <f ca="1">IFERROR(__xludf.DUMMYFUNCTION("""COMPUTED_VALUE"""),"KZ.7700.02.01.00604124 / Действителен до 27.09.2024 / 0919037KZ37 / годен до 27.09.2024")</f>
        <v>KZ.7700.02.01.00604124 / Действителен до 27.09.2024 / 0919037KZ37 / годен до 27.09.2024</v>
      </c>
      <c r="H1233" s="1" t="str">
        <f ca="1">IFERROR(__xludf.DUMMYFUNCTION("""COMPUTED_VALUE"""),"Бандаж для беременных эластичный 4505 - XXXL (Болгария) KZ.7700.02.01.00604124 / Действителен до 27.09.2024 / 0919037KZ37 / годен до 27.09.2024")</f>
        <v>Бандаж для беременных эластичный 4505 - XXXL (Болгария) KZ.7700.02.01.00604124 / Действителен до 27.09.2024 / 0919037KZ37 / годен до 27.09.2024</v>
      </c>
    </row>
    <row r="1234" spans="1:8" ht="12.75" x14ac:dyDescent="0.2">
      <c r="A1234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234" s="1" t="str">
        <f ca="1">IFERROR(__xludf.DUMMYFUNCTION("""COMPUTED_VALUE"""),"KZ.7700.02.01.00604117")</f>
        <v>KZ.7700.02.01.00604117</v>
      </c>
      <c r="C1234" s="1" t="str">
        <f ca="1">IFERROR(__xludf.DUMMYFUNCTION("""COMPUTED_VALUE"""),"Действителен до 27.09.2024")</f>
        <v>Действителен до 27.09.2024</v>
      </c>
      <c r="D1234" s="8" t="str">
        <f ca="1">IFERROR(__xludf.DUMMYFUNCTION("""COMPUTED_VALUE"""),"0919037KZ37")</f>
        <v>0919037KZ37</v>
      </c>
      <c r="E1234" s="1" t="str">
        <f ca="1">IFERROR(__xludf.DUMMYFUNCTION("""COMPUTED_VALUE"""),"годен до 27.09.2024")</f>
        <v>годен до 27.09.2024</v>
      </c>
      <c r="F1234" s="1" t="str">
        <f ca="1">IFERROR(__xludf.DUMMYFUNCTION("""COMPUTED_VALUE"""),"Бандаж для беременных эластичный 4505 - L (Болгария) - 0919037KZ37")</f>
        <v>Бандаж для беременных эластичный 4505 - L (Болгария) - 0919037KZ37</v>
      </c>
      <c r="G1234" s="1" t="str">
        <f ca="1">IFERROR(__xludf.DUMMYFUNCTION("""COMPUTED_VALUE"""),"KZ.7700.02.01.00604117 / Действителен до 27.09.2024 / 0919037KZ37 / годен до 27.09.2024")</f>
        <v>KZ.7700.02.01.00604117 / Действителен до 27.09.2024 / 0919037KZ37 / годен до 27.09.2024</v>
      </c>
      <c r="H1234" s="1" t="str">
        <f ca="1">IFERROR(__xludf.DUMMYFUNCTION("""COMPUTED_VALUE"""),"Бандаж для беременных эластичный 4505 - L (Болгария) KZ.7700.02.01.00604117 / Действителен до 27.09.2024 / 0919037KZ37 / годен до 27.09.2024")</f>
        <v>Бандаж для беременных эластичный 4505 - L (Болгария) KZ.7700.02.01.00604117 / Действителен до 27.09.2024 / 0919037KZ37 / годен до 27.09.2024</v>
      </c>
    </row>
    <row r="1235" spans="1:8" ht="12.75" x14ac:dyDescent="0.2">
      <c r="A1235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1235" s="1" t="str">
        <f ca="1">IFERROR(__xludf.DUMMYFUNCTION("""COMPUTED_VALUE"""),"KZ.7700.02.01.00604114")</f>
        <v>KZ.7700.02.01.00604114</v>
      </c>
      <c r="C1235" s="1" t="str">
        <f ca="1">IFERROR(__xludf.DUMMYFUNCTION("""COMPUTED_VALUE"""),"Действителен до 27.09.2024")</f>
        <v>Действителен до 27.09.2024</v>
      </c>
      <c r="D1235" s="8" t="str">
        <f ca="1">IFERROR(__xludf.DUMMYFUNCTION("""COMPUTED_VALUE"""),"0919037KZ37")</f>
        <v>0919037KZ37</v>
      </c>
      <c r="E1235" s="1" t="str">
        <f ca="1">IFERROR(__xludf.DUMMYFUNCTION("""COMPUTED_VALUE"""),"годен до 27.09.2024")</f>
        <v>годен до 27.09.2024</v>
      </c>
      <c r="F1235" s="1" t="str">
        <f ca="1">IFERROR(__xludf.DUMMYFUNCTION("""COMPUTED_VALUE"""),"Бандаж для беременных эластичный 4505 - М (Болгария) - 0919037KZ37")</f>
        <v>Бандаж для беременных эластичный 4505 - М (Болгария) - 0919037KZ37</v>
      </c>
      <c r="G1235" s="1" t="str">
        <f ca="1">IFERROR(__xludf.DUMMYFUNCTION("""COMPUTED_VALUE"""),"KZ.7700.02.01.00604114 / Действителен до 27.09.2024 / 0919037KZ37 / годен до 27.09.2024")</f>
        <v>KZ.7700.02.01.00604114 / Действителен до 27.09.2024 / 0919037KZ37 / годен до 27.09.2024</v>
      </c>
      <c r="H1235" s="1" t="str">
        <f ca="1">IFERROR(__xludf.DUMMYFUNCTION("""COMPUTED_VALUE"""),"Бандаж для беременных эластичный 4505 - М (Болгария) KZ.7700.02.01.00604114 / Действителен до 27.09.2024 / 0919037KZ37 / годен до 27.09.2024")</f>
        <v>Бандаж для беременных эластичный 4505 - М (Болгария) KZ.7700.02.01.00604114 / Действителен до 27.09.2024 / 0919037KZ37 / годен до 27.09.2024</v>
      </c>
    </row>
    <row r="1236" spans="1:8" ht="12.75" x14ac:dyDescent="0.2">
      <c r="A1236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1236" s="1" t="str">
        <f ca="1">IFERROR(__xludf.DUMMYFUNCTION("""COMPUTED_VALUE"""),"KZ.7700.02.01.00604112")</f>
        <v>KZ.7700.02.01.00604112</v>
      </c>
      <c r="C1236" s="1" t="str">
        <f ca="1">IFERROR(__xludf.DUMMYFUNCTION("""COMPUTED_VALUE"""),"Действителен до 27.09.2024")</f>
        <v>Действителен до 27.09.2024</v>
      </c>
      <c r="D1236" s="8" t="str">
        <f ca="1">IFERROR(__xludf.DUMMYFUNCTION("""COMPUTED_VALUE"""),"0919037KZ37")</f>
        <v>0919037KZ37</v>
      </c>
      <c r="E1236" s="1" t="str">
        <f ca="1">IFERROR(__xludf.DUMMYFUNCTION("""COMPUTED_VALUE"""),"годен до 27.09.2024")</f>
        <v>годен до 27.09.2024</v>
      </c>
      <c r="F1236" s="1" t="str">
        <f ca="1">IFERROR(__xludf.DUMMYFUNCTION("""COMPUTED_VALUE"""),"Бандаж для беременных эластичный 4505 - S (Болгария) - 0919037KZ37")</f>
        <v>Бандаж для беременных эластичный 4505 - S (Болгария) - 0919037KZ37</v>
      </c>
      <c r="G1236" s="1" t="str">
        <f ca="1">IFERROR(__xludf.DUMMYFUNCTION("""COMPUTED_VALUE"""),"KZ.7700.02.01.00604112 / Действителен до 27.09.2024 / 0919037KZ37 / годен до 27.09.2024")</f>
        <v>KZ.7700.02.01.00604112 / Действителен до 27.09.2024 / 0919037KZ37 / годен до 27.09.2024</v>
      </c>
      <c r="H1236" s="1" t="str">
        <f ca="1">IFERROR(__xludf.DUMMYFUNCTION("""COMPUTED_VALUE"""),"Бандаж для беременных эластичный 4505 - S (Болгария) KZ.7700.02.01.00604112 / Действителен до 27.09.2024 / 0919037KZ37 / годен до 27.09.2024")</f>
        <v>Бандаж для беременных эластичный 4505 - S (Болгария) KZ.7700.02.01.00604112 / Действителен до 27.09.2024 / 0919037KZ37 / годен до 27.09.2024</v>
      </c>
    </row>
    <row r="1237" spans="1:8" ht="12.75" x14ac:dyDescent="0.2">
      <c r="A1237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237" s="1" t="str">
        <f ca="1">IFERROR(__xludf.DUMMYFUNCTION("""COMPUTED_VALUE"""),"KZ.7700.02.01.00604119")</f>
        <v>KZ.7700.02.01.00604119</v>
      </c>
      <c r="C1237" s="1" t="str">
        <f ca="1">IFERROR(__xludf.DUMMYFUNCTION("""COMPUTED_VALUE"""),"Действителен до 27.09.2024")</f>
        <v>Действителен до 27.09.2024</v>
      </c>
      <c r="D1237" s="8" t="str">
        <f ca="1">IFERROR(__xludf.DUMMYFUNCTION("""COMPUTED_VALUE"""),"0919037KZ37")</f>
        <v>0919037KZ37</v>
      </c>
      <c r="E1237" s="1" t="str">
        <f ca="1">IFERROR(__xludf.DUMMYFUNCTION("""COMPUTED_VALUE"""),"годен до 27.09.2024")</f>
        <v>годен до 27.09.2024</v>
      </c>
      <c r="F1237" s="1" t="str">
        <f ca="1">IFERROR(__xludf.DUMMYFUNCTION("""COMPUTED_VALUE"""),"Бандаж для беременных эластичный 4505 - XL (Болгария) - 0919037KZ37")</f>
        <v>Бандаж для беременных эластичный 4505 - XL (Болгария) - 0919037KZ37</v>
      </c>
      <c r="G1237" s="1" t="str">
        <f ca="1">IFERROR(__xludf.DUMMYFUNCTION("""COMPUTED_VALUE"""),"KZ.7700.02.01.00604119 / Действителен до 27.09.2024 / 0919037KZ37 / годен до 27.09.2024")</f>
        <v>KZ.7700.02.01.00604119 / Действителен до 27.09.2024 / 0919037KZ37 / годен до 27.09.2024</v>
      </c>
      <c r="H1237" s="1" t="str">
        <f ca="1">IFERROR(__xludf.DUMMYFUNCTION("""COMPUTED_VALUE"""),"Бандаж для беременных эластичный 4505 - XL (Болгария) KZ.7700.02.01.00604119 / Действителен до 27.09.2024 / 0919037KZ37 / годен до 27.09.2024")</f>
        <v>Бандаж для беременных эластичный 4505 - XL (Болгария) KZ.7700.02.01.00604119 / Действителен до 27.09.2024 / 0919037KZ37 / годен до 27.09.2024</v>
      </c>
    </row>
    <row r="1238" spans="1:8" ht="12.75" x14ac:dyDescent="0.2">
      <c r="A1238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238" s="1" t="str">
        <f ca="1">IFERROR(__xludf.DUMMYFUNCTION("""COMPUTED_VALUE"""),"KZ.7700.02.01.00604123")</f>
        <v>KZ.7700.02.01.00604123</v>
      </c>
      <c r="C1238" s="1" t="str">
        <f ca="1">IFERROR(__xludf.DUMMYFUNCTION("""COMPUTED_VALUE"""),"Действителен до 27.09.2024")</f>
        <v>Действителен до 27.09.2024</v>
      </c>
      <c r="D1238" s="8" t="str">
        <f ca="1">IFERROR(__xludf.DUMMYFUNCTION("""COMPUTED_VALUE"""),"0919037KZ37")</f>
        <v>0919037KZ37</v>
      </c>
      <c r="E1238" s="1" t="str">
        <f ca="1">IFERROR(__xludf.DUMMYFUNCTION("""COMPUTED_VALUE"""),"годен до 27.09.2024")</f>
        <v>годен до 27.09.2024</v>
      </c>
      <c r="F1238" s="1" t="str">
        <f ca="1">IFERROR(__xludf.DUMMYFUNCTION("""COMPUTED_VALUE"""),"Бандаж для беременных эластичный 4505 - XXL (Болгария) - 0919037KZ37")</f>
        <v>Бандаж для беременных эластичный 4505 - XXL (Болгария) - 0919037KZ37</v>
      </c>
      <c r="G1238" s="1" t="str">
        <f ca="1">IFERROR(__xludf.DUMMYFUNCTION("""COMPUTED_VALUE"""),"KZ.7700.02.01.00604123 / Действителен до 27.09.2024 / 0919037KZ37 / годен до 27.09.2024")</f>
        <v>KZ.7700.02.01.00604123 / Действителен до 27.09.2024 / 0919037KZ37 / годен до 27.09.2024</v>
      </c>
      <c r="H1238" s="1" t="str">
        <f ca="1">IFERROR(__xludf.DUMMYFUNCTION("""COMPUTED_VALUE"""),"Бандаж для беременных эластичный 4505 - XXL (Болгария) KZ.7700.02.01.00604123 / Действителен до 27.09.2024 / 0919037KZ37 / годен до 27.09.2024")</f>
        <v>Бандаж для беременных эластичный 4505 - XXL (Болгария) KZ.7700.02.01.00604123 / Действителен до 27.09.2024 / 0919037KZ37 / годен до 27.09.2024</v>
      </c>
    </row>
    <row r="1239" spans="1:8" ht="12.75" x14ac:dyDescent="0.2">
      <c r="A1239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1239" s="1" t="str">
        <f ca="1">IFERROR(__xludf.DUMMYFUNCTION("""COMPUTED_VALUE"""),"KZ.7700.02.01.00604126")</f>
        <v>KZ.7700.02.01.00604126</v>
      </c>
      <c r="C1239" s="1" t="str">
        <f ca="1">IFERROR(__xludf.DUMMYFUNCTION("""COMPUTED_VALUE"""),"Действителен до 27.09.2024")</f>
        <v>Действителен до 27.09.2024</v>
      </c>
      <c r="D1239" s="8" t="str">
        <f ca="1">IFERROR(__xludf.DUMMYFUNCTION("""COMPUTED_VALUE"""),"0919037KZ37")</f>
        <v>0919037KZ37</v>
      </c>
      <c r="E1239" s="1" t="str">
        <f ca="1">IFERROR(__xludf.DUMMYFUNCTION("""COMPUTED_VALUE"""),"годен до 27.09.2024")</f>
        <v>годен до 27.09.2024</v>
      </c>
      <c r="F1239" s="1" t="str">
        <f ca="1">IFERROR(__xludf.DUMMYFUNCTION("""COMPUTED_VALUE"""),"Бандаж грыжевой лево-и правосторонний 5001 M/L (Болгария) - 0919037KZ37")</f>
        <v>Бандаж грыжевой лево-и правосторонний 5001 M/L (Болгария) - 0919037KZ37</v>
      </c>
      <c r="G1239" s="1" t="str">
        <f ca="1">IFERROR(__xludf.DUMMYFUNCTION("""COMPUTED_VALUE"""),"KZ.7700.02.01.00604126 / Действителен до 27.09.2024 / 0919037KZ37 / годен до 27.09.2024")</f>
        <v>KZ.7700.02.01.00604126 / Действителен до 27.09.2024 / 0919037KZ37 / годен до 27.09.2024</v>
      </c>
      <c r="H1239" s="1" t="str">
        <f ca="1">IFERROR(__xludf.DUMMYFUNCTION("""COMPUTED_VALUE"""),"Бандаж грыжевой лево-и правосторонний 5001 M/L (Болгария) KZ.7700.02.01.00604126 / Действителен до 27.09.2024 / 0919037KZ37 / годен до 27.09.2024")</f>
        <v>Бандаж грыжевой лево-и правосторонний 5001 M/L (Болгария) KZ.7700.02.01.00604126 / Действителен до 27.09.2024 / 0919037KZ37 / годен до 27.09.2024</v>
      </c>
    </row>
    <row r="1240" spans="1:8" ht="12.75" x14ac:dyDescent="0.2">
      <c r="A1240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1240" s="1" t="str">
        <f ca="1">IFERROR(__xludf.DUMMYFUNCTION("""COMPUTED_VALUE"""),"KZ.7700.02.01.00604125")</f>
        <v>KZ.7700.02.01.00604125</v>
      </c>
      <c r="C1240" s="1" t="str">
        <f ca="1">IFERROR(__xludf.DUMMYFUNCTION("""COMPUTED_VALUE"""),"Действителен до 27.09.2024")</f>
        <v>Действителен до 27.09.2024</v>
      </c>
      <c r="D1240" s="8" t="str">
        <f ca="1">IFERROR(__xludf.DUMMYFUNCTION("""COMPUTED_VALUE"""),"0919037KZ37")</f>
        <v>0919037KZ37</v>
      </c>
      <c r="E1240" s="1" t="str">
        <f ca="1">IFERROR(__xludf.DUMMYFUNCTION("""COMPUTED_VALUE"""),"годен до 27.09.2024")</f>
        <v>годен до 27.09.2024</v>
      </c>
      <c r="F1240" s="1" t="str">
        <f ca="1">IFERROR(__xludf.DUMMYFUNCTION("""COMPUTED_VALUE"""),"Бандаж грыжевой лево-и правосторонний 5001 XS/S (Болгария) - 0919037KZ37")</f>
        <v>Бандаж грыжевой лево-и правосторонний 5001 XS/S (Болгария) - 0919037KZ37</v>
      </c>
      <c r="G1240" s="1" t="str">
        <f ca="1">IFERROR(__xludf.DUMMYFUNCTION("""COMPUTED_VALUE"""),"KZ.7700.02.01.00604125 / Действителен до 27.09.2024 / 0919037KZ37 / годен до 27.09.2024")</f>
        <v>KZ.7700.02.01.00604125 / Действителен до 27.09.2024 / 0919037KZ37 / годен до 27.09.2024</v>
      </c>
      <c r="H1240" s="1" t="str">
        <f ca="1">IFERROR(__xludf.DUMMYFUNCTION("""COMPUTED_VALUE"""),"Бандаж грыжевой лево-и правосторонний 5001 XS/S (Болгария) KZ.7700.02.01.00604125 / Действителен до 27.09.2024 / 0919037KZ37 / годен до 27.09.2024")</f>
        <v>Бандаж грыжевой лево-и правосторонний 5001 XS/S (Болгария) KZ.7700.02.01.00604125 / Действителен до 27.09.2024 / 0919037KZ37 / годен до 27.09.2024</v>
      </c>
    </row>
    <row r="1241" spans="1:8" ht="12.75" x14ac:dyDescent="0.2">
      <c r="A1241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1241" s="1" t="str">
        <f ca="1">IFERROR(__xludf.DUMMYFUNCTION("""COMPUTED_VALUE"""),"KZ.7700.02.01.00604129")</f>
        <v>KZ.7700.02.01.00604129</v>
      </c>
      <c r="C1241" s="1" t="str">
        <f ca="1">IFERROR(__xludf.DUMMYFUNCTION("""COMPUTED_VALUE"""),"Действителен до 27.09.2024")</f>
        <v>Действителен до 27.09.2024</v>
      </c>
      <c r="D1241" s="8" t="str">
        <f ca="1">IFERROR(__xludf.DUMMYFUNCTION("""COMPUTED_VALUE"""),"0919037KZ37")</f>
        <v>0919037KZ37</v>
      </c>
      <c r="E1241" s="1" t="str">
        <f ca="1">IFERROR(__xludf.DUMMYFUNCTION("""COMPUTED_VALUE"""),"годен до 27.09.2024")</f>
        <v>годен до 27.09.2024</v>
      </c>
      <c r="F1241" s="1" t="str">
        <f ca="1">IFERROR(__xludf.DUMMYFUNCTION("""COMPUTED_VALUE"""),"Бандаж при пупочной грыже 5051 M/L (Болгария) - 0919037KZ37")</f>
        <v>Бандаж при пупочной грыже 5051 M/L (Болгария) - 0919037KZ37</v>
      </c>
      <c r="G1241" s="1" t="str">
        <f ca="1">IFERROR(__xludf.DUMMYFUNCTION("""COMPUTED_VALUE"""),"KZ.7700.02.01.00604129 / Действителен до 27.09.2024 / 0919037KZ37 / годен до 27.09.2024")</f>
        <v>KZ.7700.02.01.00604129 / Действителен до 27.09.2024 / 0919037KZ37 / годен до 27.09.2024</v>
      </c>
      <c r="H1241" s="1" t="str">
        <f ca="1">IFERROR(__xludf.DUMMYFUNCTION("""COMPUTED_VALUE"""),"Бандаж при пупочной грыже 5051 M/L (Болгария) KZ.7700.02.01.00604129 / Действителен до 27.09.2024 / 0919037KZ37 / годен до 27.09.2024")</f>
        <v>Бандаж при пупочной грыже 5051 M/L (Болгария) KZ.7700.02.01.00604129 / Действителен до 27.09.2024 / 0919037KZ37 / годен до 27.09.2024</v>
      </c>
    </row>
    <row r="1242" spans="1:8" ht="12.75" x14ac:dyDescent="0.2">
      <c r="A1242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1242" s="1" t="str">
        <f ca="1">IFERROR(__xludf.DUMMYFUNCTION("""COMPUTED_VALUE"""),"KZ.7700.02.01.00604130")</f>
        <v>KZ.7700.02.01.00604130</v>
      </c>
      <c r="C1242" s="1" t="str">
        <f ca="1">IFERROR(__xludf.DUMMYFUNCTION("""COMPUTED_VALUE"""),"Действителен до 27.09.2024")</f>
        <v>Действителен до 27.09.2024</v>
      </c>
      <c r="D1242" s="8" t="str">
        <f ca="1">IFERROR(__xludf.DUMMYFUNCTION("""COMPUTED_VALUE"""),"0919037KZ37")</f>
        <v>0919037KZ37</v>
      </c>
      <c r="E1242" s="1" t="str">
        <f ca="1">IFERROR(__xludf.DUMMYFUNCTION("""COMPUTED_VALUE"""),"годен до 27.09.2024")</f>
        <v>годен до 27.09.2024</v>
      </c>
      <c r="F1242" s="1" t="str">
        <f ca="1">IFERROR(__xludf.DUMMYFUNCTION("""COMPUTED_VALUE"""),"Бандаж при пупочной грыже 5051 XL/XXL (Болгария) - 0919037KZ37")</f>
        <v>Бандаж при пупочной грыже 5051 XL/XXL (Болгария) - 0919037KZ37</v>
      </c>
      <c r="G1242" s="1" t="str">
        <f ca="1">IFERROR(__xludf.DUMMYFUNCTION("""COMPUTED_VALUE"""),"KZ.7700.02.01.00604130 / Действителен до 27.09.2024 / 0919037KZ37 / годен до 27.09.2024")</f>
        <v>KZ.7700.02.01.00604130 / Действителен до 27.09.2024 / 0919037KZ37 / годен до 27.09.2024</v>
      </c>
      <c r="H1242" s="1" t="str">
        <f ca="1">IFERROR(__xludf.DUMMYFUNCTION("""COMPUTED_VALUE"""),"Бандаж при пупочной грыже 5051 XL/XXL (Болгария) KZ.7700.02.01.00604130 / Действителен до 27.09.2024 / 0919037KZ37 / годен до 27.09.2024")</f>
        <v>Бандаж при пупочной грыже 5051 XL/XXL (Болгария) KZ.7700.02.01.00604130 / Действителен до 27.09.2024 / 0919037KZ37 / годен до 27.09.2024</v>
      </c>
    </row>
    <row r="1243" spans="1:8" ht="12.75" x14ac:dyDescent="0.2">
      <c r="A1243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1243" s="1" t="str">
        <f ca="1">IFERROR(__xludf.DUMMYFUNCTION("""COMPUTED_VALUE"""),"KZ.7700.02.01.00604131")</f>
        <v>KZ.7700.02.01.00604131</v>
      </c>
      <c r="C1243" s="1" t="str">
        <f ca="1">IFERROR(__xludf.DUMMYFUNCTION("""COMPUTED_VALUE"""),"Действителен до 27.09.2024")</f>
        <v>Действителен до 27.09.2024</v>
      </c>
      <c r="D1243" s="8" t="str">
        <f ca="1">IFERROR(__xludf.DUMMYFUNCTION("""COMPUTED_VALUE"""),"0919037KZ37")</f>
        <v>0919037KZ37</v>
      </c>
      <c r="E1243" s="1" t="str">
        <f ca="1">IFERROR(__xludf.DUMMYFUNCTION("""COMPUTED_VALUE"""),"годен до 27.09.2024")</f>
        <v>годен до 27.09.2024</v>
      </c>
      <c r="F1243" s="1" t="str">
        <f ca="1">IFERROR(__xludf.DUMMYFUNCTION("""COMPUTED_VALUE"""),"Бандаж при пупочной грыже 5051 XXXL/XXXXL (Болгария) - 0919037KZ37")</f>
        <v>Бандаж при пупочной грыже 5051 XXXL/XXXXL (Болгария) - 0919037KZ37</v>
      </c>
      <c r="G1243" s="1" t="str">
        <f ca="1">IFERROR(__xludf.DUMMYFUNCTION("""COMPUTED_VALUE"""),"KZ.7700.02.01.00604131 / Действителен до 27.09.2024 / 0919037KZ37 / годен до 27.09.2024")</f>
        <v>KZ.7700.02.01.00604131 / Действителен до 27.09.2024 / 0919037KZ37 / годен до 27.09.2024</v>
      </c>
      <c r="H1243" s="1" t="str">
        <f ca="1">IFERROR(__xludf.DUMMYFUNCTION("""COMPUTED_VALUE"""),"Бандаж при пупочной грыже 5051 XXXL/XXXXL (Болгария) KZ.7700.02.01.00604131 / Действителен до 27.09.2024 / 0919037KZ37 / годен до 27.09.2024")</f>
        <v>Бандаж при пупочной грыже 5051 XXXL/XXXXL (Болгария) KZ.7700.02.01.00604131 / Действителен до 27.09.2024 / 0919037KZ37 / годен до 27.09.2024</v>
      </c>
    </row>
    <row r="1244" spans="1:8" ht="12.75" x14ac:dyDescent="0.2">
      <c r="A1244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1244" s="1" t="str">
        <f ca="1">IFERROR(__xludf.DUMMYFUNCTION("""COMPUTED_VALUE"""),"KZ.7700.02.01.00604162")</f>
        <v>KZ.7700.02.01.00604162</v>
      </c>
      <c r="C1244" s="1" t="str">
        <f ca="1">IFERROR(__xludf.DUMMYFUNCTION("""COMPUTED_VALUE"""),"Действителен до 27.09.2024")</f>
        <v>Действителен до 27.09.2024</v>
      </c>
      <c r="D1244" s="8" t="str">
        <f ca="1">IFERROR(__xludf.DUMMYFUNCTION("""COMPUTED_VALUE"""),"0919037KZ37")</f>
        <v>0919037KZ37</v>
      </c>
      <c r="E1244" s="1" t="str">
        <f ca="1">IFERROR(__xludf.DUMMYFUNCTION("""COMPUTED_VALUE"""),"годен до 27.09.2024")</f>
        <v>годен до 27.09.2024</v>
      </c>
      <c r="F1244" s="1" t="str">
        <f ca="1">IFERROR(__xludf.DUMMYFUNCTION("""COMPUTED_VALUE"""),"Бандаж на коленный сустав эластичный 6040 L (Болгария) - 0919037KZ37")</f>
        <v>Бандаж на коленный сустав эластичный 6040 L (Болгария) - 0919037KZ37</v>
      </c>
      <c r="G1244" s="1" t="str">
        <f ca="1">IFERROR(__xludf.DUMMYFUNCTION("""COMPUTED_VALUE"""),"KZ.7700.02.01.00604162 / Действителен до 27.09.2024 / 0919037KZ37 / годен до 27.09.2024")</f>
        <v>KZ.7700.02.01.00604162 / Действителен до 27.09.2024 / 0919037KZ37 / годен до 27.09.2024</v>
      </c>
      <c r="H1244" s="1" t="str">
        <f ca="1">IFERROR(__xludf.DUMMYFUNCTION("""COMPUTED_VALUE"""),"Бандаж на коленный сустав эластичный 6040 L (Болгария) KZ.7700.02.01.00604162 / Действителен до 27.09.2024 / 0919037KZ37 / годен до 27.09.2024")</f>
        <v>Бандаж на коленный сустав эластичный 6040 L (Болгария) KZ.7700.02.01.00604162 / Действителен до 27.09.2024 / 0919037KZ37 / годен до 27.09.2024</v>
      </c>
    </row>
    <row r="1245" spans="1:8" ht="12.75" x14ac:dyDescent="0.2">
      <c r="A1245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1245" s="1" t="str">
        <f ca="1">IFERROR(__xludf.DUMMYFUNCTION("""COMPUTED_VALUE"""),"KZ.7700.02.01.00604161")</f>
        <v>KZ.7700.02.01.00604161</v>
      </c>
      <c r="C1245" s="1" t="str">
        <f ca="1">IFERROR(__xludf.DUMMYFUNCTION("""COMPUTED_VALUE"""),"Действителен до 27.09.2024")</f>
        <v>Действителен до 27.09.2024</v>
      </c>
      <c r="D1245" s="8" t="str">
        <f ca="1">IFERROR(__xludf.DUMMYFUNCTION("""COMPUTED_VALUE"""),"0919037KZ37")</f>
        <v>0919037KZ37</v>
      </c>
      <c r="E1245" s="1" t="str">
        <f ca="1">IFERROR(__xludf.DUMMYFUNCTION("""COMPUTED_VALUE"""),"годен до 27.09.2024")</f>
        <v>годен до 27.09.2024</v>
      </c>
      <c r="F1245" s="1" t="str">
        <f ca="1">IFERROR(__xludf.DUMMYFUNCTION("""COMPUTED_VALUE"""),"Бандаж на коленный сустав эластичный 6040 M (Болгария) - 0919037KZ37")</f>
        <v>Бандаж на коленный сустав эластичный 6040 M (Болгария) - 0919037KZ37</v>
      </c>
      <c r="G1245" s="1" t="str">
        <f ca="1">IFERROR(__xludf.DUMMYFUNCTION("""COMPUTED_VALUE"""),"KZ.7700.02.01.00604161 / Действителен до 27.09.2024 / 0919037KZ37 / годен до 27.09.2024")</f>
        <v>KZ.7700.02.01.00604161 / Действителен до 27.09.2024 / 0919037KZ37 / годен до 27.09.2024</v>
      </c>
      <c r="H1245" s="1" t="str">
        <f ca="1">IFERROR(__xludf.DUMMYFUNCTION("""COMPUTED_VALUE"""),"Бандаж на коленный сустав эластичный 6040 M (Болгария) KZ.7700.02.01.00604161 / Действителен до 27.09.2024 / 0919037KZ37 / годен до 27.09.2024")</f>
        <v>Бандаж на коленный сустав эластичный 6040 M (Болгария) KZ.7700.02.01.00604161 / Действителен до 27.09.2024 / 0919037KZ37 / годен до 27.09.2024</v>
      </c>
    </row>
    <row r="1246" spans="1:8" ht="12.75" x14ac:dyDescent="0.2">
      <c r="A1246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1246" s="1" t="str">
        <f ca="1">IFERROR(__xludf.DUMMYFUNCTION("""COMPUTED_VALUE"""),"KZ.7700.02.01.00604156")</f>
        <v>KZ.7700.02.01.00604156</v>
      </c>
      <c r="C1246" s="1" t="str">
        <f ca="1">IFERROR(__xludf.DUMMYFUNCTION("""COMPUTED_VALUE"""),"Действителен до 27.09.2024")</f>
        <v>Действителен до 27.09.2024</v>
      </c>
      <c r="D1246" s="8" t="str">
        <f ca="1">IFERROR(__xludf.DUMMYFUNCTION("""COMPUTED_VALUE"""),"0919037KZ37")</f>
        <v>0919037KZ37</v>
      </c>
      <c r="E1246" s="1" t="str">
        <f ca="1">IFERROR(__xludf.DUMMYFUNCTION("""COMPUTED_VALUE"""),"годен до 27.09.2024")</f>
        <v>годен до 27.09.2024</v>
      </c>
      <c r="F1246" s="1" t="str">
        <f ca="1">IFERROR(__xludf.DUMMYFUNCTION("""COMPUTED_VALUE"""),"Бандаж на коленный сустав эластичный 6040 S (Болгария) - 0919037KZ37")</f>
        <v>Бандаж на коленный сустав эластичный 6040 S (Болгария) - 0919037KZ37</v>
      </c>
      <c r="G1246" s="1" t="str">
        <f ca="1">IFERROR(__xludf.DUMMYFUNCTION("""COMPUTED_VALUE"""),"KZ.7700.02.01.00604156 / Действителен до 27.09.2024 / 0919037KZ37 / годен до 27.09.2024")</f>
        <v>KZ.7700.02.01.00604156 / Действителен до 27.09.2024 / 0919037KZ37 / годен до 27.09.2024</v>
      </c>
      <c r="H1246" s="1" t="str">
        <f ca="1">IFERROR(__xludf.DUMMYFUNCTION("""COMPUTED_VALUE"""),"Бандаж на коленный сустав эластичный 6040 S (Болгария) KZ.7700.02.01.00604156 / Действителен до 27.09.2024 / 0919037KZ37 / годен до 27.09.2024")</f>
        <v>Бандаж на коленный сустав эластичный 6040 S (Болгария) KZ.7700.02.01.00604156 / Действителен до 27.09.2024 / 0919037KZ37 / годен до 27.09.2024</v>
      </c>
    </row>
    <row r="1247" spans="1:8" ht="12.75" x14ac:dyDescent="0.2">
      <c r="A1247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1247" s="1" t="str">
        <f ca="1">IFERROR(__xludf.DUMMYFUNCTION("""COMPUTED_VALUE"""),"KZ.7700.02.01.00604164")</f>
        <v>KZ.7700.02.01.00604164</v>
      </c>
      <c r="C1247" s="1" t="str">
        <f ca="1">IFERROR(__xludf.DUMMYFUNCTION("""COMPUTED_VALUE"""),"Действителен до 27.09.2024")</f>
        <v>Действителен до 27.09.2024</v>
      </c>
      <c r="D1247" s="8" t="str">
        <f ca="1">IFERROR(__xludf.DUMMYFUNCTION("""COMPUTED_VALUE"""),"0919037KZ37")</f>
        <v>0919037KZ37</v>
      </c>
      <c r="E1247" s="1" t="str">
        <f ca="1">IFERROR(__xludf.DUMMYFUNCTION("""COMPUTED_VALUE"""),"годен до 27.09.2024")</f>
        <v>годен до 27.09.2024</v>
      </c>
      <c r="F1247" s="1" t="str">
        <f ca="1">IFERROR(__xludf.DUMMYFUNCTION("""COMPUTED_VALUE"""),"Бандаж на коленный сустав эластичный 6040 XL (Болгария) - 0919037KZ37")</f>
        <v>Бандаж на коленный сустав эластичный 6040 XL (Болгария) - 0919037KZ37</v>
      </c>
      <c r="G1247" s="1" t="str">
        <f ca="1">IFERROR(__xludf.DUMMYFUNCTION("""COMPUTED_VALUE"""),"KZ.7700.02.01.00604164 / Действителен до 27.09.2024 / 0919037KZ37 / годен до 27.09.2024")</f>
        <v>KZ.7700.02.01.00604164 / Действителен до 27.09.2024 / 0919037KZ37 / годен до 27.09.2024</v>
      </c>
      <c r="H1247" s="1" t="str">
        <f ca="1">IFERROR(__xludf.DUMMYFUNCTION("""COMPUTED_VALUE"""),"Бандаж на коленный сустав эластичный 6040 XL (Болгария) KZ.7700.02.01.00604164 / Действителен до 27.09.2024 / 0919037KZ37 / годен до 27.09.2024")</f>
        <v>Бандаж на коленный сустав эластичный 6040 XL (Болгария) KZ.7700.02.01.00604164 / Действителен до 27.09.2024 / 0919037KZ37 / годен до 27.09.2024</v>
      </c>
    </row>
    <row r="1248" spans="1:8" ht="12.75" x14ac:dyDescent="0.2">
      <c r="A1248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1248" s="1" t="str">
        <f ca="1">IFERROR(__xludf.DUMMYFUNCTION("""COMPUTED_VALUE"""),"KZ.7700.02.01.00604133")</f>
        <v>KZ.7700.02.01.00604133</v>
      </c>
      <c r="C1248" s="1" t="str">
        <f ca="1">IFERROR(__xludf.DUMMYFUNCTION("""COMPUTED_VALUE"""),"Действителен до 27.09.2024")</f>
        <v>Действителен до 27.09.2024</v>
      </c>
      <c r="D1248" s="8" t="str">
        <f ca="1">IFERROR(__xludf.DUMMYFUNCTION("""COMPUTED_VALUE"""),"0919037KZ37")</f>
        <v>0919037KZ37</v>
      </c>
      <c r="E1248" s="1" t="str">
        <f ca="1">IFERROR(__xludf.DUMMYFUNCTION("""COMPUTED_VALUE"""),"годен до 27.09.2024")</f>
        <v>годен до 27.09.2024</v>
      </c>
      <c r="F1248" s="1" t="str">
        <f ca="1">IFERROR(__xludf.DUMMYFUNCTION("""COMPUTED_VALUE"""),"Бандаж на коленный сустав разъемный 6058 L\XL (Болгария) - 0919037KZ37")</f>
        <v>Бандаж на коленный сустав разъемный 6058 L\XL (Болгария) - 0919037KZ37</v>
      </c>
      <c r="G1248" s="1" t="str">
        <f ca="1">IFERROR(__xludf.DUMMYFUNCTION("""COMPUTED_VALUE"""),"KZ.7700.02.01.00604133 / Действителен до 27.09.2024 / 0919037KZ37 / годен до 27.09.2024")</f>
        <v>KZ.7700.02.01.00604133 / Действителен до 27.09.2024 / 0919037KZ37 / годен до 27.09.2024</v>
      </c>
      <c r="H1248" s="1" t="str">
        <f ca="1">IFERROR(__xludf.DUMMYFUNCTION("""COMPUTED_VALUE"""),"Бандаж на коленный сустав разъемный 6058 L\XL (Болгария) KZ.7700.02.01.00604133 / Действителен до 27.09.2024 / 0919037KZ37 / годен до 27.09.2024")</f>
        <v>Бандаж на коленный сустав разъемный 6058 L\XL (Болгария) KZ.7700.02.01.00604133 / Действителен до 27.09.2024 / 0919037KZ37 / годен до 27.09.2024</v>
      </c>
    </row>
    <row r="1249" spans="1:8" ht="12.75" x14ac:dyDescent="0.2">
      <c r="A1249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1249" s="1" t="str">
        <f ca="1">IFERROR(__xludf.DUMMYFUNCTION("""COMPUTED_VALUE"""),"KZ.7700.02.01.00604134")</f>
        <v>KZ.7700.02.01.00604134</v>
      </c>
      <c r="C1249" s="1" t="str">
        <f ca="1">IFERROR(__xludf.DUMMYFUNCTION("""COMPUTED_VALUE"""),"Действителен до 27.09.2024")</f>
        <v>Действителен до 27.09.2024</v>
      </c>
      <c r="D1249" s="8" t="str">
        <f ca="1">IFERROR(__xludf.DUMMYFUNCTION("""COMPUTED_VALUE"""),"0919037KZ37")</f>
        <v>0919037KZ37</v>
      </c>
      <c r="E1249" s="1" t="str">
        <f ca="1">IFERROR(__xludf.DUMMYFUNCTION("""COMPUTED_VALUE"""),"годен до 27.09.2024")</f>
        <v>годен до 27.09.2024</v>
      </c>
      <c r="F1249" s="1" t="str">
        <f ca="1">IFERROR(__xludf.DUMMYFUNCTION("""COMPUTED_VALUE"""),"Бандаж на коленный сустав разъемный 6058 XXL (Болгария) - 0919037KZ37")</f>
        <v>Бандаж на коленный сустав разъемный 6058 XXL (Болгария) - 0919037KZ37</v>
      </c>
      <c r="G1249" s="1" t="str">
        <f ca="1">IFERROR(__xludf.DUMMYFUNCTION("""COMPUTED_VALUE"""),"KZ.7700.02.01.00604134 / Действителен до 27.09.2024 / 0919037KZ37 / годен до 27.09.2024")</f>
        <v>KZ.7700.02.01.00604134 / Действителен до 27.09.2024 / 0919037KZ37 / годен до 27.09.2024</v>
      </c>
      <c r="H1249" s="1" t="str">
        <f ca="1">IFERROR(__xludf.DUMMYFUNCTION("""COMPUTED_VALUE"""),"Бандаж на коленный сустав разъемный 6058 XXL (Болгария) KZ.7700.02.01.00604134 / Действителен до 27.09.2024 / 0919037KZ37 / годен до 27.09.2024")</f>
        <v>Бандаж на коленный сустав разъемный 6058 XXL (Болгария) KZ.7700.02.01.00604134 / Действителен до 27.09.2024 / 0919037KZ37 / годен до 27.09.2024</v>
      </c>
    </row>
    <row r="1250" spans="1:8" ht="12.75" x14ac:dyDescent="0.2">
      <c r="A1250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1250" s="1" t="str">
        <f ca="1">IFERROR(__xludf.DUMMYFUNCTION("""COMPUTED_VALUE"""),"KZ.7700.02.01.00604173")</f>
        <v>KZ.7700.02.01.00604173</v>
      </c>
      <c r="C1250" s="1" t="str">
        <f ca="1">IFERROR(__xludf.DUMMYFUNCTION("""COMPUTED_VALUE"""),"Действителен до 27.09.2024")</f>
        <v>Действителен до 27.09.2024</v>
      </c>
      <c r="D1250" s="8" t="str">
        <f ca="1">IFERROR(__xludf.DUMMYFUNCTION("""COMPUTED_VALUE"""),"0919037KZ37")</f>
        <v>0919037KZ37</v>
      </c>
      <c r="E1250" s="1" t="str">
        <f ca="1">IFERROR(__xludf.DUMMYFUNCTION("""COMPUTED_VALUE"""),"годен до 27.09.2024")</f>
        <v>годен до 27.09.2024</v>
      </c>
      <c r="F1250" s="1" t="str">
        <f ca="1">IFERROR(__xludf.DUMMYFUNCTION("""COMPUTED_VALUE"""),"Бандаж на голеностопный сустав легкой фиксации 7034 L (бежевый) (Болгария) - 0919037KZ37")</f>
        <v>Бандаж на голеностопный сустав легкой фиксации 7034 L (бежевый) (Болгария) - 0919037KZ37</v>
      </c>
      <c r="G1250" s="1" t="str">
        <f ca="1">IFERROR(__xludf.DUMMYFUNCTION("""COMPUTED_VALUE"""),"KZ.7700.02.01.00604173 / Действителен до 27.09.2024 / 0919037KZ37 / годен до 27.09.2024")</f>
        <v>KZ.7700.02.01.00604173 / Действителен до 27.09.2024 / 0919037KZ37 / годен до 27.09.2024</v>
      </c>
      <c r="H1250" s="1" t="str">
        <f ca="1">IFERROR(__xludf.DUMMYFUNCTION("""COMPUTED_VALUE"""),"Бандаж на голеностопный сустав легкой фиксации 7034 L (бежевый) (Болгария) KZ.7700.02.01.00604173 / Действителен до 27.09.2024 / 0919037KZ37 / годен до 27.09.2024")</f>
        <v>Бандаж на голеностопный сустав легкой фиксации 7034 L (бежевый) (Болгария) KZ.7700.02.01.00604173 / Действителен до 27.09.2024 / 0919037KZ37 / годен до 27.09.2024</v>
      </c>
    </row>
    <row r="1251" spans="1:8" ht="12.75" x14ac:dyDescent="0.2">
      <c r="A1251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1251" s="1" t="str">
        <f ca="1">IFERROR(__xludf.DUMMYFUNCTION("""COMPUTED_VALUE"""),"KZ.7700.02.01.00604170")</f>
        <v>KZ.7700.02.01.00604170</v>
      </c>
      <c r="C1251" s="1" t="str">
        <f ca="1">IFERROR(__xludf.DUMMYFUNCTION("""COMPUTED_VALUE"""),"Действителен до 27.09.2024")</f>
        <v>Действителен до 27.09.2024</v>
      </c>
      <c r="D1251" s="8" t="str">
        <f ca="1">IFERROR(__xludf.DUMMYFUNCTION("""COMPUTED_VALUE"""),"0919037KZ37")</f>
        <v>0919037KZ37</v>
      </c>
      <c r="E1251" s="1" t="str">
        <f ca="1">IFERROR(__xludf.DUMMYFUNCTION("""COMPUTED_VALUE"""),"годен до 27.09.2024")</f>
        <v>годен до 27.09.2024</v>
      </c>
      <c r="F1251" s="1" t="str">
        <f ca="1">IFERROR(__xludf.DUMMYFUNCTION("""COMPUTED_VALUE"""),"Бандаж на голеностопный сустав легкой фиксации 7034 M (бежевый) (Болгария) - 0919037KZ37")</f>
        <v>Бандаж на голеностопный сустав легкой фиксации 7034 M (бежевый) (Болгария) - 0919037KZ37</v>
      </c>
      <c r="G1251" s="1" t="str">
        <f ca="1">IFERROR(__xludf.DUMMYFUNCTION("""COMPUTED_VALUE"""),"KZ.7700.02.01.00604170 / Действителен до 27.09.2024 / 0919037KZ37 / годен до 27.09.2024")</f>
        <v>KZ.7700.02.01.00604170 / Действителен до 27.09.2024 / 0919037KZ37 / годен до 27.09.2024</v>
      </c>
      <c r="H1251" s="1" t="str">
        <f ca="1">IFERROR(__xludf.DUMMYFUNCTION("""COMPUTED_VALUE"""),"Бандаж на голеностопный сустав легкой фиксации 7034 M (бежевый) (Болгария) KZ.7700.02.01.00604170 / Действителен до 27.09.2024 / 0919037KZ37 / годен до 27.09.2024")</f>
        <v>Бандаж на голеностопный сустав легкой фиксации 7034 M (бежевый) (Болгария) KZ.7700.02.01.00604170 / Действителен до 27.09.2024 / 0919037KZ37 / годен до 27.09.2024</v>
      </c>
    </row>
    <row r="1252" spans="1:8" ht="12.75" x14ac:dyDescent="0.2">
      <c r="A1252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1252" s="1" t="str">
        <f ca="1">IFERROR(__xludf.DUMMYFUNCTION("""COMPUTED_VALUE"""),"KZ.7700.02.01.00604174")</f>
        <v>KZ.7700.02.01.00604174</v>
      </c>
      <c r="C1252" s="1" t="str">
        <f ca="1">IFERROR(__xludf.DUMMYFUNCTION("""COMPUTED_VALUE"""),"Действителен до 27.09.2024")</f>
        <v>Действителен до 27.09.2024</v>
      </c>
      <c r="D1252" s="8" t="str">
        <f ca="1">IFERROR(__xludf.DUMMYFUNCTION("""COMPUTED_VALUE"""),"0919037KZ37")</f>
        <v>0919037KZ37</v>
      </c>
      <c r="E1252" s="1" t="str">
        <f ca="1">IFERROR(__xludf.DUMMYFUNCTION("""COMPUTED_VALUE"""),"годен до 27.09.2024")</f>
        <v>годен до 27.09.2024</v>
      </c>
      <c r="F1252" s="1" t="str">
        <f ca="1">IFERROR(__xludf.DUMMYFUNCTION("""COMPUTED_VALUE"""),"Бандаж на голеностопный сустав легкой фиксации 7034 XL (бежевый) (Болгария) - 0919037KZ37")</f>
        <v>Бандаж на голеностопный сустав легкой фиксации 7034 XL (бежевый) (Болгария) - 0919037KZ37</v>
      </c>
      <c r="G1252" s="1" t="str">
        <f ca="1">IFERROR(__xludf.DUMMYFUNCTION("""COMPUTED_VALUE"""),"KZ.7700.02.01.00604174 / Действителен до 27.09.2024 / 0919037KZ37 / годен до 27.09.2024")</f>
        <v>KZ.7700.02.01.00604174 / Действителен до 27.09.2024 / 0919037KZ37 / годен до 27.09.2024</v>
      </c>
      <c r="H1252" s="1" t="str">
        <f ca="1">IFERROR(__xludf.DUMMYFUNCTION("""COMPUTED_VALUE"""),"Бандаж на голеностопный сустав легкой фиксации 7034 XL (бежевый) (Болгария) KZ.7700.02.01.00604174 / Действителен до 27.09.2024 / 0919037KZ37 / годен до 27.09.2024")</f>
        <v>Бандаж на голеностопный сустав легкой фиксации 7034 XL (бежевый) (Болгария) KZ.7700.02.01.00604174 / Действителен до 27.09.2024 / 0919037KZ37 / годен до 27.09.2024</v>
      </c>
    </row>
    <row r="1253" spans="1:8" ht="12.75" x14ac:dyDescent="0.2">
      <c r="A1253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1253" s="1" t="str">
        <f ca="1">IFERROR(__xludf.DUMMYFUNCTION("""COMPUTED_VALUE"""),"KZ.7700.02.01.00604166")</f>
        <v>KZ.7700.02.01.00604166</v>
      </c>
      <c r="C1253" s="1" t="str">
        <f ca="1">IFERROR(__xludf.DUMMYFUNCTION("""COMPUTED_VALUE"""),"Действителен до 27.09.2024")</f>
        <v>Действителен до 27.09.2024</v>
      </c>
      <c r="D1253" s="8" t="str">
        <f ca="1">IFERROR(__xludf.DUMMYFUNCTION("""COMPUTED_VALUE"""),"0919037KZ37")</f>
        <v>0919037KZ37</v>
      </c>
      <c r="E1253" s="1" t="str">
        <f ca="1">IFERROR(__xludf.DUMMYFUNCTION("""COMPUTED_VALUE"""),"годен до 27.09.2024")</f>
        <v>годен до 27.09.2024</v>
      </c>
      <c r="F1253" s="1" t="str">
        <f ca="1">IFERROR(__xludf.DUMMYFUNCTION("""COMPUTED_VALUE"""),"Бандаж на голеностопный сустав эластичный 7035 L (Болгария) - 0919037KZ37")</f>
        <v>Бандаж на голеностопный сустав эластичный 7035 L (Болгария) - 0919037KZ37</v>
      </c>
      <c r="G1253" s="1" t="str">
        <f ca="1">IFERROR(__xludf.DUMMYFUNCTION("""COMPUTED_VALUE"""),"KZ.7700.02.01.00604166 / Действителен до 27.09.2024 / 0919037KZ37 / годен до 27.09.2024")</f>
        <v>KZ.7700.02.01.00604166 / Действителен до 27.09.2024 / 0919037KZ37 / годен до 27.09.2024</v>
      </c>
      <c r="H1253" s="1" t="str">
        <f ca="1">IFERROR(__xludf.DUMMYFUNCTION("""COMPUTED_VALUE"""),"Бандаж на голеностопный сустав эластичный 7035 L (Болгария) KZ.7700.02.01.00604166 / Действителен до 27.09.2024 / 0919037KZ37 / годен до 27.09.2024")</f>
        <v>Бандаж на голеностопный сустав эластичный 7035 L (Болгария) KZ.7700.02.01.00604166 / Действителен до 27.09.2024 / 0919037KZ37 / годен до 27.09.2024</v>
      </c>
    </row>
    <row r="1254" spans="1:8" ht="12.75" x14ac:dyDescent="0.2">
      <c r="A1254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254" s="1" t="str">
        <f ca="1">IFERROR(__xludf.DUMMYFUNCTION("""COMPUTED_VALUE"""),"KZ.7700.02.01.00604165")</f>
        <v>KZ.7700.02.01.00604165</v>
      </c>
      <c r="C1254" s="1" t="str">
        <f ca="1">IFERROR(__xludf.DUMMYFUNCTION("""COMPUTED_VALUE"""),"Действителен до 27.09.2024")</f>
        <v>Действителен до 27.09.2024</v>
      </c>
      <c r="D1254" s="8" t="str">
        <f ca="1">IFERROR(__xludf.DUMMYFUNCTION("""COMPUTED_VALUE"""),"0919037KZ37")</f>
        <v>0919037KZ37</v>
      </c>
      <c r="E1254" s="1" t="str">
        <f ca="1">IFERROR(__xludf.DUMMYFUNCTION("""COMPUTED_VALUE"""),"годен до 27.09.2024")</f>
        <v>годен до 27.09.2024</v>
      </c>
      <c r="F1254" s="1" t="str">
        <f ca="1">IFERROR(__xludf.DUMMYFUNCTION("""COMPUTED_VALUE"""),"Бандаж на голеностопный сустав эластичный 7035 M (Болгария) - 0919037KZ37")</f>
        <v>Бандаж на голеностопный сустав эластичный 7035 M (Болгария) - 0919037KZ37</v>
      </c>
      <c r="G1254" s="1" t="str">
        <f ca="1">IFERROR(__xludf.DUMMYFUNCTION("""COMPUTED_VALUE"""),"KZ.7700.02.01.00604165 / Действителен до 27.09.2024 / 0919037KZ37 / годен до 27.09.2024")</f>
        <v>KZ.7700.02.01.00604165 / Действителен до 27.09.2024 / 0919037KZ37 / годен до 27.09.2024</v>
      </c>
      <c r="H1254" s="1" t="str">
        <f ca="1">IFERROR(__xludf.DUMMYFUNCTION("""COMPUTED_VALUE"""),"Бандаж на голеностопный сустав эластичный 7035 M (Болгария) KZ.7700.02.01.00604165 / Действителен до 27.09.2024 / 0919037KZ37 / годен до 27.09.2024")</f>
        <v>Бандаж на голеностопный сустав эластичный 7035 M (Болгария) KZ.7700.02.01.00604165 / Действителен до 27.09.2024 / 0919037KZ37 / годен до 27.09.2024</v>
      </c>
    </row>
    <row r="1255" spans="1:8" ht="12.75" x14ac:dyDescent="0.2">
      <c r="A1255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1255" s="1" t="str">
        <f ca="1">IFERROR(__xludf.DUMMYFUNCTION("""COMPUTED_VALUE"""),"KZ.7700.02.01.00604189")</f>
        <v>KZ.7700.02.01.00604189</v>
      </c>
      <c r="C1255" s="1" t="str">
        <f ca="1">IFERROR(__xludf.DUMMYFUNCTION("""COMPUTED_VALUE"""),"Действителен до 27.09.2024")</f>
        <v>Действителен до 27.09.2024</v>
      </c>
      <c r="D1255" s="8" t="str">
        <f ca="1">IFERROR(__xludf.DUMMYFUNCTION("""COMPUTED_VALUE"""),"0919037KZ37")</f>
        <v>0919037KZ37</v>
      </c>
      <c r="E1255" s="1" t="str">
        <f ca="1">IFERROR(__xludf.DUMMYFUNCTION("""COMPUTED_VALUE"""),"годен до 27.09.2024")</f>
        <v>годен до 27.09.2024</v>
      </c>
      <c r="F1255" s="1" t="str">
        <f ca="1">IFERROR(__xludf.DUMMYFUNCTION("""COMPUTED_VALUE"""),"Бандаж на голеностопный сустав эластичный 7035 L (Болгария) - 0919037KZ37")</f>
        <v>Бандаж на голеностопный сустав эластичный 7035 L (Болгария) - 0919037KZ37</v>
      </c>
      <c r="G1255" s="1" t="str">
        <f ca="1">IFERROR(__xludf.DUMMYFUNCTION("""COMPUTED_VALUE"""),"KZ.7700.02.01.00604189 / Действителен до 27.09.2024 / 0919037KZ37 / годен до 27.09.2024")</f>
        <v>KZ.7700.02.01.00604189 / Действителен до 27.09.2024 / 0919037KZ37 / годен до 27.09.2024</v>
      </c>
      <c r="H1255" s="1" t="str">
        <f ca="1">IFERROR(__xludf.DUMMYFUNCTION("""COMPUTED_VALUE"""),"Бандаж на голеностопный сустав эластичный 7035 L (Болгария) KZ.7700.02.01.00604189 / Действителен до 27.09.2024 / 0919037KZ37 / годен до 27.09.2024")</f>
        <v>Бандаж на голеностопный сустав эластичный 7035 L (Болгария) KZ.7700.02.01.00604189 / Действителен до 27.09.2024 / 0919037KZ37 / годен до 27.09.2024</v>
      </c>
    </row>
    <row r="1256" spans="1:8" ht="12.75" x14ac:dyDescent="0.2">
      <c r="A1256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1256" s="1" t="str">
        <f ca="1">IFERROR(__xludf.DUMMYFUNCTION("""COMPUTED_VALUE"""),"KZ.7700.02.01.00604177")</f>
        <v>KZ.7700.02.01.00604177</v>
      </c>
      <c r="C1256" s="1" t="str">
        <f ca="1">IFERROR(__xludf.DUMMYFUNCTION("""COMPUTED_VALUE"""),"Действителен до 27.09.2024")</f>
        <v>Действителен до 27.09.2024</v>
      </c>
      <c r="D1256" s="8" t="str">
        <f ca="1">IFERROR(__xludf.DUMMYFUNCTION("""COMPUTED_VALUE"""),"0919037KZ37")</f>
        <v>0919037KZ37</v>
      </c>
      <c r="E1256" s="1" t="str">
        <f ca="1">IFERROR(__xludf.DUMMYFUNCTION("""COMPUTED_VALUE"""),"годен до 27.09.2024")</f>
        <v>годен до 27.09.2024</v>
      </c>
      <c r="F1256" s="1" t="str">
        <f ca="1">IFERROR(__xludf.DUMMYFUNCTION("""COMPUTED_VALUE"""),"Бандаж на локтевой сустав эластичный 8317 L (Болгария) - 0919037KZ37")</f>
        <v>Бандаж на локтевой сустав эластичный 8317 L (Болгария) - 0919037KZ37</v>
      </c>
      <c r="G1256" s="1" t="str">
        <f ca="1">IFERROR(__xludf.DUMMYFUNCTION("""COMPUTED_VALUE"""),"KZ.7700.02.01.00604177 / Действителен до 27.09.2024 / 0919037KZ37 / годен до 27.09.2024")</f>
        <v>KZ.7700.02.01.00604177 / Действителен до 27.09.2024 / 0919037KZ37 / годен до 27.09.2024</v>
      </c>
      <c r="H1256" s="1" t="str">
        <f ca="1">IFERROR(__xludf.DUMMYFUNCTION("""COMPUTED_VALUE"""),"Бандаж на локтевой сустав эластичный 8317 L (Болгария) KZ.7700.02.01.00604177 / Действителен до 27.09.2024 / 0919037KZ37 / годен до 27.09.2024")</f>
        <v>Бандаж на локтевой сустав эластичный 8317 L (Болгария) KZ.7700.02.01.00604177 / Действителен до 27.09.2024 / 0919037KZ37 / годен до 27.09.2024</v>
      </c>
    </row>
    <row r="1257" spans="1:8" ht="12.75" x14ac:dyDescent="0.2">
      <c r="A1257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1257" s="1" t="str">
        <f ca="1">IFERROR(__xludf.DUMMYFUNCTION("""COMPUTED_VALUE"""),"KZ.7700.02.01.00604176")</f>
        <v>KZ.7700.02.01.00604176</v>
      </c>
      <c r="C1257" s="1" t="str">
        <f ca="1">IFERROR(__xludf.DUMMYFUNCTION("""COMPUTED_VALUE"""),"Действителен до 27.09.2024")</f>
        <v>Действителен до 27.09.2024</v>
      </c>
      <c r="D1257" s="8" t="str">
        <f ca="1">IFERROR(__xludf.DUMMYFUNCTION("""COMPUTED_VALUE"""),"0919037KZ37")</f>
        <v>0919037KZ37</v>
      </c>
      <c r="E1257" s="1" t="str">
        <f ca="1">IFERROR(__xludf.DUMMYFUNCTION("""COMPUTED_VALUE"""),"годен до 27.09.2024")</f>
        <v>годен до 27.09.2024</v>
      </c>
      <c r="F1257" s="1" t="str">
        <f ca="1">IFERROR(__xludf.DUMMYFUNCTION("""COMPUTED_VALUE"""),"Бандаж на локтевой сустав эластичный 8317 S (Болгария) - 0919037KZ37")</f>
        <v>Бандаж на локтевой сустав эластичный 8317 S (Болгария) - 0919037KZ37</v>
      </c>
      <c r="G1257" s="1" t="str">
        <f ca="1">IFERROR(__xludf.DUMMYFUNCTION("""COMPUTED_VALUE"""),"KZ.7700.02.01.00604176 / Действителен до 27.09.2024 / 0919037KZ37 / годен до 27.09.2024")</f>
        <v>KZ.7700.02.01.00604176 / Действителен до 27.09.2024 / 0919037KZ37 / годен до 27.09.2024</v>
      </c>
      <c r="H1257" s="1" t="str">
        <f ca="1">IFERROR(__xludf.DUMMYFUNCTION("""COMPUTED_VALUE"""),"Бандаж на локтевой сустав эластичный 8317 S (Болгария) KZ.7700.02.01.00604176 / Действителен до 27.09.2024 / 0919037KZ37 / годен до 27.09.2024")</f>
        <v>Бандаж на локтевой сустав эластичный 8317 S (Болгария) KZ.7700.02.01.00604176 / Действителен до 27.09.2024 / 0919037KZ37 / годен до 27.09.2024</v>
      </c>
    </row>
    <row r="1258" spans="1:8" ht="12.75" x14ac:dyDescent="0.2">
      <c r="A1258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258" s="1" t="str">
        <f ca="1">IFERROR(__xludf.DUMMYFUNCTION("""COMPUTED_VALUE"""),"KZ.7700.02.01.00604168")</f>
        <v>KZ.7700.02.01.00604168</v>
      </c>
      <c r="C1258" s="1" t="str">
        <f ca="1">IFERROR(__xludf.DUMMYFUNCTION("""COMPUTED_VALUE"""),"Действителен до 27.09.2024")</f>
        <v>Действителен до 27.09.2024</v>
      </c>
      <c r="D1258" s="8" t="str">
        <f ca="1">IFERROR(__xludf.DUMMYFUNCTION("""COMPUTED_VALUE"""),"0919037KZ37")</f>
        <v>0919037KZ37</v>
      </c>
      <c r="E1258" s="1" t="str">
        <f ca="1">IFERROR(__xludf.DUMMYFUNCTION("""COMPUTED_VALUE"""),"годен до 27.09.2024")</f>
        <v>годен до 27.09.2024</v>
      </c>
      <c r="F1258" s="1" t="str">
        <f ca="1">IFERROR(__xludf.DUMMYFUNCTION("""COMPUTED_VALUE"""),"Бандаж на лучезапястный сустав эластичный 8503 M (Болгария) - 0919037KZ37")</f>
        <v>Бандаж на лучезапястный сустав эластичный 8503 M (Болгария) - 0919037KZ37</v>
      </c>
      <c r="G1258" s="1" t="str">
        <f ca="1">IFERROR(__xludf.DUMMYFUNCTION("""COMPUTED_VALUE"""),"KZ.7700.02.01.00604168 / Действителен до 27.09.2024 / 0919037KZ37 / годен до 27.09.2024")</f>
        <v>KZ.7700.02.01.00604168 / Действителен до 27.09.2024 / 0919037KZ37 / годен до 27.09.2024</v>
      </c>
      <c r="H1258" s="1" t="str">
        <f ca="1">IFERROR(__xludf.DUMMYFUNCTION("""COMPUTED_VALUE"""),"Бандаж на лучезапястный сустав эластичный 8503 M (Болгария) KZ.7700.02.01.00604168 / Действителен до 27.09.2024 / 0919037KZ37 / годен до 27.09.2024")</f>
        <v>Бандаж на лучезапястный сустав эластичный 8503 M (Болгария) KZ.7700.02.01.00604168 / Действителен до 27.09.2024 / 0919037KZ37 / годен до 27.09.2024</v>
      </c>
    </row>
    <row r="1259" spans="1:8" ht="12.75" x14ac:dyDescent="0.2">
      <c r="A1259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259" s="1" t="str">
        <f ca="1">IFERROR(__xludf.DUMMYFUNCTION("""COMPUTED_VALUE"""),"KZ.7700.02.01.00604167")</f>
        <v>KZ.7700.02.01.00604167</v>
      </c>
      <c r="C1259" s="1" t="str">
        <f ca="1">IFERROR(__xludf.DUMMYFUNCTION("""COMPUTED_VALUE"""),"Действителен до 27.09.2024")</f>
        <v>Действителен до 27.09.2024</v>
      </c>
      <c r="D1259" s="8" t="str">
        <f ca="1">IFERROR(__xludf.DUMMYFUNCTION("""COMPUTED_VALUE"""),"0919037KZ37")</f>
        <v>0919037KZ37</v>
      </c>
      <c r="E1259" s="1" t="str">
        <f ca="1">IFERROR(__xludf.DUMMYFUNCTION("""COMPUTED_VALUE"""),"годен до 27.09.2024")</f>
        <v>годен до 27.09.2024</v>
      </c>
      <c r="F1259" s="1" t="str">
        <f ca="1">IFERROR(__xludf.DUMMYFUNCTION("""COMPUTED_VALUE"""),"Бандаж на лучезапястный сустав эластичный 8503 S (Болгария) - 0919037KZ37")</f>
        <v>Бандаж на лучезапястный сустав эластичный 8503 S (Болгария) - 0919037KZ37</v>
      </c>
      <c r="G1259" s="1" t="str">
        <f ca="1">IFERROR(__xludf.DUMMYFUNCTION("""COMPUTED_VALUE"""),"KZ.7700.02.01.00604167 / Действителен до 27.09.2024 / 0919037KZ37 / годен до 27.09.2024")</f>
        <v>KZ.7700.02.01.00604167 / Действителен до 27.09.2024 / 0919037KZ37 / годен до 27.09.2024</v>
      </c>
      <c r="H1259" s="1" t="str">
        <f ca="1">IFERROR(__xludf.DUMMYFUNCTION("""COMPUTED_VALUE"""),"Бандаж на лучезапястный сустав эластичный 8503 S (Болгария) KZ.7700.02.01.00604167 / Действителен до 27.09.2024 / 0919037KZ37 / годен до 27.09.2024")</f>
        <v>Бандаж на лучезапястный сустав эластичный 8503 S (Болгария) KZ.7700.02.01.00604167 / Действителен до 27.09.2024 / 0919037KZ37 / годен до 27.09.2024</v>
      </c>
    </row>
    <row r="1260" spans="1:8" ht="12.75" x14ac:dyDescent="0.2">
      <c r="A1260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1260" s="1" t="str">
        <f ca="1">IFERROR(__xludf.DUMMYFUNCTION("""COMPUTED_VALUE"""),"KZ.7700.02.01.00604136")</f>
        <v>KZ.7700.02.01.00604136</v>
      </c>
      <c r="C1260" s="1" t="str">
        <f ca="1">IFERROR(__xludf.DUMMYFUNCTION("""COMPUTED_VALUE"""),"Действителен до 27.09.2024")</f>
        <v>Действителен до 27.09.2024</v>
      </c>
      <c r="D1260" s="8" t="str">
        <f ca="1">IFERROR(__xludf.DUMMYFUNCTION("""COMPUTED_VALUE"""),"0919037KZ37")</f>
        <v>0919037KZ37</v>
      </c>
      <c r="E1260" s="1" t="str">
        <f ca="1">IFERROR(__xludf.DUMMYFUNCTION("""COMPUTED_VALUE"""),"годен до 27.09.2024")</f>
        <v>годен до 27.09.2024</v>
      </c>
      <c r="F1260" s="1" t="str">
        <f ca="1">IFERROR(__xludf.DUMMYFUNCTION("""COMPUTED_VALUE"""),"Бандаж на лучезапястный сустав легкой фиксации 8505 S/M (Бежевый) (Болгария) - 0919037KZ37")</f>
        <v>Бандаж на лучезапястный сустав легкой фиксации 8505 S/M (Бежевый) (Болгария) - 0919037KZ37</v>
      </c>
      <c r="G1260" s="1" t="str">
        <f ca="1">IFERROR(__xludf.DUMMYFUNCTION("""COMPUTED_VALUE"""),"KZ.7700.02.01.00604136 / Действителен до 27.09.2024 / 0919037KZ37 / годен до 27.09.2024")</f>
        <v>KZ.7700.02.01.00604136 / Действителен до 27.09.2024 / 0919037KZ37 / годен до 27.09.2024</v>
      </c>
      <c r="H1260" s="1" t="str">
        <f ca="1">IFERROR(__xludf.DUMMYFUNCTION("""COMPUTED_VALUE"""),"Бандаж на лучезапястный сустав легкой фиксации 8505 S/M (Бежевый) (Болгария) KZ.7700.02.01.00604136 / Действителен до 27.09.2024 / 0919037KZ37 / годен до 27.09.2024")</f>
        <v>Бандаж на лучезапястный сустав легкой фиксации 8505 S/M (Бежевый) (Болгария) KZ.7700.02.01.00604136 / Действителен до 27.09.2024 / 0919037KZ37 / годен до 27.09.2024</v>
      </c>
    </row>
    <row r="1261" spans="1:8" ht="12.75" x14ac:dyDescent="0.2">
      <c r="A1261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261" s="1" t="str">
        <f ca="1">IFERROR(__xludf.DUMMYFUNCTION("""COMPUTED_VALUE"""),"KZ.7700.02.01.00604143")</f>
        <v>KZ.7700.02.01.00604143</v>
      </c>
      <c r="C1261" s="1" t="str">
        <f ca="1">IFERROR(__xludf.DUMMYFUNCTION("""COMPUTED_VALUE"""),"Действителен до 27.09.2024")</f>
        <v>Действителен до 27.09.2024</v>
      </c>
      <c r="D1261" s="8" t="str">
        <f ca="1">IFERROR(__xludf.DUMMYFUNCTION("""COMPUTED_VALUE"""),"0919037KZ37")</f>
        <v>0919037KZ37</v>
      </c>
      <c r="E1261" s="1" t="str">
        <f ca="1">IFERROR(__xludf.DUMMYFUNCTION("""COMPUTED_VALUE"""),"годен до 27.09.2024")</f>
        <v>годен до 27.09.2024</v>
      </c>
      <c r="F1261" s="1" t="str">
        <f ca="1">IFERROR(__xludf.DUMMYFUNCTION("""COMPUTED_VALUE"""),"Бандаж на лучезапястный сустав с фиксацией пальца 8552 L\XL (Болгария) - 0919037KZ37")</f>
        <v>Бандаж на лучезапястный сустав с фиксацией пальца 8552 L\XL (Болгария) - 0919037KZ37</v>
      </c>
      <c r="G1261" s="1" t="str">
        <f ca="1">IFERROR(__xludf.DUMMYFUNCTION("""COMPUTED_VALUE"""),"KZ.7700.02.01.00604143 / Действителен до 27.09.2024 / 0919037KZ37 / годен до 27.09.2024")</f>
        <v>KZ.7700.02.01.00604143 / Действителен до 27.09.2024 / 0919037KZ37 / годен до 27.09.2024</v>
      </c>
      <c r="H1261" s="1" t="str">
        <f ca="1">IFERROR(__xludf.DUMMYFUNCTION("""COMPUTED_VALUE"""),"Бандаж на лучезапястный сустав с фиксацией пальца 8552 L\XL (Болгария) KZ.7700.02.01.00604143 / Действителен до 27.09.2024 / 0919037KZ37 / годен до 27.09.2024")</f>
        <v>Бандаж на лучезапястный сустав с фиксацией пальца 8552 L\XL (Болгария) KZ.7700.02.01.00604143 / Действителен до 27.09.2024 / 0919037KZ37 / годен до 27.09.2024</v>
      </c>
    </row>
    <row r="1262" spans="1:8" ht="12.75" x14ac:dyDescent="0.2">
      <c r="A1262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262" s="1" t="str">
        <f ca="1">IFERROR(__xludf.DUMMYFUNCTION("""COMPUTED_VALUE"""),"KZ.7700.02.01.00604141")</f>
        <v>KZ.7700.02.01.00604141</v>
      </c>
      <c r="C1262" s="1" t="str">
        <f ca="1">IFERROR(__xludf.DUMMYFUNCTION("""COMPUTED_VALUE"""),"Действителен до 27.09.2024")</f>
        <v>Действителен до 27.09.2024</v>
      </c>
      <c r="D1262" s="8" t="str">
        <f ca="1">IFERROR(__xludf.DUMMYFUNCTION("""COMPUTED_VALUE"""),"0919037KZ37")</f>
        <v>0919037KZ37</v>
      </c>
      <c r="E1262" s="1" t="str">
        <f ca="1">IFERROR(__xludf.DUMMYFUNCTION("""COMPUTED_VALUE"""),"годен до 27.09.2024")</f>
        <v>годен до 27.09.2024</v>
      </c>
      <c r="F1262" s="1" t="str">
        <f ca="1">IFERROR(__xludf.DUMMYFUNCTION("""COMPUTED_VALUE"""),"Бандаж на лучезапястный сустав с фиксацией пальца 8552 S\M (Болгария) - 0919037KZ37")</f>
        <v>Бандаж на лучезапястный сустав с фиксацией пальца 8552 S\M (Болгария) - 0919037KZ37</v>
      </c>
      <c r="G1262" s="1" t="str">
        <f ca="1">IFERROR(__xludf.DUMMYFUNCTION("""COMPUTED_VALUE"""),"KZ.7700.02.01.00604141 / Действителен до 27.09.2024 / 0919037KZ37 / годен до 27.09.2024")</f>
        <v>KZ.7700.02.01.00604141 / Действителен до 27.09.2024 / 0919037KZ37 / годен до 27.09.2024</v>
      </c>
      <c r="H1262" s="1" t="str">
        <f ca="1">IFERROR(__xludf.DUMMYFUNCTION("""COMPUTED_VALUE"""),"Бандаж на лучезапястный сустав с фиксацией пальца 8552 S\M (Болгария) KZ.7700.02.01.00604141 / Действителен до 27.09.2024 / 0919037KZ37 / годен до 27.09.2024")</f>
        <v>Бандаж на лучезапястный сустав с фиксацией пальца 8552 S\M (Болгария) KZ.7700.02.01.00604141 / Действителен до 27.09.2024 / 0919037KZ37 / годен до 27.09.2024</v>
      </c>
    </row>
    <row r="1263" spans="1:8" ht="12.75" x14ac:dyDescent="0.2">
      <c r="A1263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263" s="1" t="str">
        <f ca="1">IFERROR(__xludf.DUMMYFUNCTION("""COMPUTED_VALUE"""),"KZ.7700.02.01.00604148")</f>
        <v>KZ.7700.02.01.00604148</v>
      </c>
      <c r="C1263" s="1" t="str">
        <f ca="1">IFERROR(__xludf.DUMMYFUNCTION("""COMPUTED_VALUE"""),"Действителен до 27.09.2024")</f>
        <v>Действителен до 27.09.2024</v>
      </c>
      <c r="D1263" s="8" t="str">
        <f ca="1">IFERROR(__xludf.DUMMYFUNCTION("""COMPUTED_VALUE"""),"0919037KZ37")</f>
        <v>0919037KZ37</v>
      </c>
      <c r="E1263" s="1" t="str">
        <f ca="1">IFERROR(__xludf.DUMMYFUNCTION("""COMPUTED_VALUE"""),"годен до 27.09.2024")</f>
        <v>годен до 27.09.2024</v>
      </c>
      <c r="F1263" s="1" t="str">
        <f ca="1">IFERROR(__xludf.DUMMYFUNCTION("""COMPUTED_VALUE"""),"Бандаж для руки поддерживающий облегченный (косынка) 9912 L (черный) (Болгария) - 0919037KZ37")</f>
        <v>Бандаж для руки поддерживающий облегченный (косынка) 9912 L (черный) (Болгария) - 0919037KZ37</v>
      </c>
      <c r="G1263" s="1" t="str">
        <f ca="1">IFERROR(__xludf.DUMMYFUNCTION("""COMPUTED_VALUE"""),"KZ.7700.02.01.00604148 / Действителен до 27.09.2024 / 0919037KZ37 / годен до 27.09.2024")</f>
        <v>KZ.7700.02.01.00604148 / Действителен до 27.09.2024 / 0919037KZ37 / годен до 27.09.2024</v>
      </c>
      <c r="H1263" s="1" t="str">
        <f ca="1">IFERROR(__xludf.DUMMYFUNCTION("""COMPUTED_VALUE"""),"Бандаж для руки поддерживающий облегченный (косынка) 9912 L (черный) (Болгария) KZ.7700.02.01.00604148 / Действителен до 27.09.2024 / 0919037KZ37 / годен до 27.09.2024")</f>
        <v>Бандаж для руки поддерживающий облегченный (косынка) 9912 L (черный) (Болгария) KZ.7700.02.01.00604148 / Действителен до 27.09.2024 / 0919037KZ37 / годен до 27.09.2024</v>
      </c>
    </row>
    <row r="1264" spans="1:8" ht="12.75" x14ac:dyDescent="0.2">
      <c r="A1264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264" s="1" t="str">
        <f ca="1">IFERROR(__xludf.DUMMYFUNCTION("""COMPUTED_VALUE"""),"KZ.7700.02.01.00604146")</f>
        <v>KZ.7700.02.01.00604146</v>
      </c>
      <c r="C1264" s="1" t="str">
        <f ca="1">IFERROR(__xludf.DUMMYFUNCTION("""COMPUTED_VALUE"""),"Действителен до 27.09.2024")</f>
        <v>Действителен до 27.09.2024</v>
      </c>
      <c r="D1264" s="8" t="str">
        <f ca="1">IFERROR(__xludf.DUMMYFUNCTION("""COMPUTED_VALUE"""),"0919037KZ37")</f>
        <v>0919037KZ37</v>
      </c>
      <c r="E1264" s="1" t="str">
        <f ca="1">IFERROR(__xludf.DUMMYFUNCTION("""COMPUTED_VALUE"""),"годен до 27.09.2024")</f>
        <v>годен до 27.09.2024</v>
      </c>
      <c r="F1264" s="1" t="str">
        <f ca="1">IFERROR(__xludf.DUMMYFUNCTION("""COMPUTED_VALUE"""),"Бандаж для руки поддерживающий облегченный (косынка) 9912 M (черный) (Болгария) - 0919037KZ37")</f>
        <v>Бандаж для руки поддерживающий облегченный (косынка) 9912 M (черный) (Болгария) - 0919037KZ37</v>
      </c>
      <c r="G1264" s="1" t="str">
        <f ca="1">IFERROR(__xludf.DUMMYFUNCTION("""COMPUTED_VALUE"""),"KZ.7700.02.01.00604146 / Действителен до 27.09.2024 / 0919037KZ37 / годен до 27.09.2024")</f>
        <v>KZ.7700.02.01.00604146 / Действителен до 27.09.2024 / 0919037KZ37 / годен до 27.09.2024</v>
      </c>
      <c r="H1264" s="1" t="str">
        <f ca="1">IFERROR(__xludf.DUMMYFUNCTION("""COMPUTED_VALUE"""),"Бандаж для руки поддерживающий облегченный (косынка) 9912 M (черный) (Болгария) KZ.7700.02.01.00604146 / Действителен до 27.09.2024 / 0919037KZ37 / годен до 27.09.2024")</f>
        <v>Бандаж для руки поддерживающий облегченный (косынка) 9912 M (черный) (Болгария) KZ.7700.02.01.00604146 / Действителен до 27.09.2024 / 0919037KZ37 / годен до 27.09.2024</v>
      </c>
    </row>
    <row r="1265" spans="1:8" ht="12.75" x14ac:dyDescent="0.2">
      <c r="A1265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1265" s="1" t="str">
        <f ca="1">IFERROR(__xludf.DUMMYFUNCTION("""COMPUTED_VALUE"""),"KZ.7700.02.01.00604144")</f>
        <v>KZ.7700.02.01.00604144</v>
      </c>
      <c r="C1265" s="1" t="str">
        <f ca="1">IFERROR(__xludf.DUMMYFUNCTION("""COMPUTED_VALUE"""),"Действителен до 27.09.2024")</f>
        <v>Действителен до 27.09.2024</v>
      </c>
      <c r="D1265" s="8" t="str">
        <f ca="1">IFERROR(__xludf.DUMMYFUNCTION("""COMPUTED_VALUE"""),"0919037KZ37")</f>
        <v>0919037KZ37</v>
      </c>
      <c r="E1265" s="1" t="str">
        <f ca="1">IFERROR(__xludf.DUMMYFUNCTION("""COMPUTED_VALUE"""),"годен до 27.09.2024")</f>
        <v>годен до 27.09.2024</v>
      </c>
      <c r="F1265" s="1" t="str">
        <f ca="1">IFERROR(__xludf.DUMMYFUNCTION("""COMPUTED_VALUE"""),"Бандаж для руки поддерживающий облегченный (косынка) 9912 S (черный) (Болгария) - 0919037KZ37")</f>
        <v>Бандаж для руки поддерживающий облегченный (косынка) 9912 S (черный) (Болгария) - 0919037KZ37</v>
      </c>
      <c r="G1265" s="1" t="str">
        <f ca="1">IFERROR(__xludf.DUMMYFUNCTION("""COMPUTED_VALUE"""),"KZ.7700.02.01.00604144 / Действителен до 27.09.2024 / 0919037KZ37 / годен до 27.09.2024")</f>
        <v>KZ.7700.02.01.00604144 / Действителен до 27.09.2024 / 0919037KZ37 / годен до 27.09.2024</v>
      </c>
      <c r="H1265" s="1" t="str">
        <f ca="1">IFERROR(__xludf.DUMMYFUNCTION("""COMPUTED_VALUE"""),"Бандаж для руки поддерживающий облегченный (косынка) 9912 S (черный) (Болгария) KZ.7700.02.01.00604144 / Действителен до 27.09.2024 / 0919037KZ37 / годен до 27.09.2024")</f>
        <v>Бандаж для руки поддерживающий облегченный (косынка) 9912 S (черный) (Болгария) KZ.7700.02.01.00604144 / Действителен до 27.09.2024 / 0919037KZ37 / годен до 27.09.2024</v>
      </c>
    </row>
    <row r="1266" spans="1:8" ht="12.75" x14ac:dyDescent="0.2">
      <c r="A1266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266" s="1" t="str">
        <f ca="1">IFERROR(__xludf.DUMMYFUNCTION("""COMPUTED_VALUE"""),"KZ.7700.02.01.00604154")</f>
        <v>KZ.7700.02.01.00604154</v>
      </c>
      <c r="C1266" s="1" t="str">
        <f ca="1">IFERROR(__xludf.DUMMYFUNCTION("""COMPUTED_VALUE"""),"Действителен до 27.09.2024")</f>
        <v>Действителен до 27.09.2024</v>
      </c>
      <c r="D1266" s="8" t="str">
        <f ca="1">IFERROR(__xludf.DUMMYFUNCTION("""COMPUTED_VALUE"""),"0919037KZ37")</f>
        <v>0919037KZ37</v>
      </c>
      <c r="E1266" s="1" t="str">
        <f ca="1">IFERROR(__xludf.DUMMYFUNCTION("""COMPUTED_VALUE"""),"годен до 27.09.2024")</f>
        <v>годен до 27.09.2024</v>
      </c>
      <c r="F1266" s="1" t="str">
        <f ca="1">IFERROR(__xludf.DUMMYFUNCTION("""COMPUTED_VALUE"""),"Бандаж для руки поддерживающий облегченный (косынка) 9912 XL (черный) (Болгария) - 0919037KZ37")</f>
        <v>Бандаж для руки поддерживающий облегченный (косынка) 9912 XL (черный) (Болгария) - 0919037KZ37</v>
      </c>
      <c r="G1266" s="1" t="str">
        <f ca="1">IFERROR(__xludf.DUMMYFUNCTION("""COMPUTED_VALUE"""),"KZ.7700.02.01.00604154 / Действителен до 27.09.2024 / 0919037KZ37 / годен до 27.09.2024")</f>
        <v>KZ.7700.02.01.00604154 / Действителен до 27.09.2024 / 0919037KZ37 / годен до 27.09.2024</v>
      </c>
      <c r="H1266" s="1" t="str">
        <f ca="1">IFERROR(__xludf.DUMMYFUNCTION("""COMPUTED_VALUE"""),"Бандаж для руки поддерживающий облегченный (косынка) 9912 XL (черный) (Болгария) KZ.7700.02.01.00604154 / Действителен до 27.09.2024 / 0919037KZ37 / годен до 27.09.2024")</f>
        <v>Бандаж для руки поддерживающий облегченный (косынка) 9912 XL (черный) (Болгария) KZ.7700.02.01.00604154 / Действителен до 27.09.2024 / 0919037KZ37 / годен до 27.09.2024</v>
      </c>
    </row>
    <row r="1267" spans="1:8" ht="12.75" x14ac:dyDescent="0.2">
      <c r="A1267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267" s="1" t="str">
        <f ca="1">IFERROR(__xludf.DUMMYFUNCTION("""COMPUTED_VALUE"""),"KZ.7700.02.01.00604178")</f>
        <v>KZ.7700.02.01.00604178</v>
      </c>
      <c r="C1267" s="1" t="str">
        <f ca="1">IFERROR(__xludf.DUMMYFUNCTION("""COMPUTED_VALUE"""),"Действителен до 27.09.2024")</f>
        <v>Действителен до 27.09.2024</v>
      </c>
      <c r="D1267" s="8" t="str">
        <f ca="1">IFERROR(__xludf.DUMMYFUNCTION("""COMPUTED_VALUE"""),"0919037KZ37")</f>
        <v>0919037KZ37</v>
      </c>
      <c r="E1267" s="1" t="str">
        <f ca="1">IFERROR(__xludf.DUMMYFUNCTION("""COMPUTED_VALUE"""),"годен до 27.09.2024")</f>
        <v>годен до 27.09.2024</v>
      </c>
      <c r="F1267" s="1" t="str">
        <f ca="1">IFERROR(__xludf.DUMMYFUNCTION("""COMPUTED_VALUE"""),"Бинт эластичный медицинский средней растяжимости (ширина 80 мм) 02х80х1 - 0919037KZ37")</f>
        <v>Бинт эластичный медицинский средней растяжимости (ширина 80 мм) 02х80х1 - 0919037KZ37</v>
      </c>
      <c r="G1267" s="1" t="str">
        <f ca="1">IFERROR(__xludf.DUMMYFUNCTION("""COMPUTED_VALUE"""),"KZ.7700.02.01.00604178 / Действителен до 27.09.2024 / 0919037KZ37 / годен до 27.09.2024")</f>
        <v>KZ.7700.02.01.00604178 / Действителен до 27.09.2024 / 0919037KZ37 / годен до 27.09.2024</v>
      </c>
      <c r="H1267" s="1" t="str">
        <f ca="1">IFERROR(__xludf.DUMMYFUNCTION("""COMPUTED_VALUE"""),"Бинт эластичный медицинский средней растяжимости (ширина 80 мм) 02х80х1 KZ.7700.02.01.00604178 / Действителен до 27.09.2024 / 0919037KZ37 / годен до 27.09.2024")</f>
        <v>Бинт эластичный медицинский средней растяжимости (ширина 80 мм) 02х80х1 KZ.7700.02.01.00604178 / Действителен до 27.09.2024 / 0919037KZ37 / годен до 27.09.2024</v>
      </c>
    </row>
    <row r="1268" spans="1:8" ht="12.75" x14ac:dyDescent="0.2">
      <c r="A1268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268" s="1" t="str">
        <f ca="1">IFERROR(__xludf.DUMMYFUNCTION("""COMPUTED_VALUE"""),"KZ.7700.02.01.00604179")</f>
        <v>KZ.7700.02.01.00604179</v>
      </c>
      <c r="C1268" s="1" t="str">
        <f ca="1">IFERROR(__xludf.DUMMYFUNCTION("""COMPUTED_VALUE"""),"Действителен до 27.09.2024")</f>
        <v>Действителен до 27.09.2024</v>
      </c>
      <c r="D1268" s="8" t="str">
        <f ca="1">IFERROR(__xludf.DUMMYFUNCTION("""COMPUTED_VALUE"""),"0919037KZ37")</f>
        <v>0919037KZ37</v>
      </c>
      <c r="E1268" s="1" t="str">
        <f ca="1">IFERROR(__xludf.DUMMYFUNCTION("""COMPUTED_VALUE"""),"годен до 27.09.2024")</f>
        <v>годен до 27.09.2024</v>
      </c>
      <c r="F1268" s="1" t="str">
        <f ca="1">IFERROR(__xludf.DUMMYFUNCTION("""COMPUTED_VALUE"""),"Бинт эластичный медицинский средней растяжимости (ширина 80 мм) 02х80х1.5 - 0919037KZ37")</f>
        <v>Бинт эластичный медицинский средней растяжимости (ширина 80 мм) 02х80х1.5 - 0919037KZ37</v>
      </c>
      <c r="G1268" s="1" t="str">
        <f ca="1">IFERROR(__xludf.DUMMYFUNCTION("""COMPUTED_VALUE"""),"KZ.7700.02.01.00604179 / Действителен до 27.09.2024 / 0919037KZ37 / годен до 27.09.2024")</f>
        <v>KZ.7700.02.01.00604179 / Действителен до 27.09.2024 / 0919037KZ37 / годен до 27.09.2024</v>
      </c>
      <c r="H1268" s="1" t="str">
        <f ca="1">IFERROR(__xludf.DUMMYFUNCTION("""COMPUTED_VALUE"""),"Бинт эластичный медицинский средней растяжимости (ширина 80 мм) 02х80х1.5 KZ.7700.02.01.00604179 / Действителен до 27.09.2024 / 0919037KZ37 / годен до 27.09.2024")</f>
        <v>Бинт эластичный медицинский средней растяжимости (ширина 80 мм) 02х80х1.5 KZ.7700.02.01.00604179 / Действителен до 27.09.2024 / 0919037KZ37 / годен до 27.09.2024</v>
      </c>
    </row>
    <row r="1269" spans="1:8" ht="12.75" x14ac:dyDescent="0.2">
      <c r="A1269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269" s="1" t="str">
        <f ca="1">IFERROR(__xludf.DUMMYFUNCTION("""COMPUTED_VALUE"""),"KZ.7700.02.01.00604180")</f>
        <v>KZ.7700.02.01.00604180</v>
      </c>
      <c r="C1269" s="1" t="str">
        <f ca="1">IFERROR(__xludf.DUMMYFUNCTION("""COMPUTED_VALUE"""),"Действителен до 27.09.2024")</f>
        <v>Действителен до 27.09.2024</v>
      </c>
      <c r="D1269" s="8" t="str">
        <f ca="1">IFERROR(__xludf.DUMMYFUNCTION("""COMPUTED_VALUE"""),"0919037KZ37")</f>
        <v>0919037KZ37</v>
      </c>
      <c r="E1269" s="1" t="str">
        <f ca="1">IFERROR(__xludf.DUMMYFUNCTION("""COMPUTED_VALUE"""),"годен до 27.09.2024")</f>
        <v>годен до 27.09.2024</v>
      </c>
      <c r="F1269" s="1" t="str">
        <f ca="1">IFERROR(__xludf.DUMMYFUNCTION("""COMPUTED_VALUE"""),"Бинт эластичный медицинский средней растяжимости (ширина 80 мм) 02х80х2 - 0919037KZ37")</f>
        <v>Бинт эластичный медицинский средней растяжимости (ширина 80 мм) 02х80х2 - 0919037KZ37</v>
      </c>
      <c r="G1269" s="1" t="str">
        <f ca="1">IFERROR(__xludf.DUMMYFUNCTION("""COMPUTED_VALUE"""),"KZ.7700.02.01.00604180 / Действителен до 27.09.2024 / 0919037KZ37 / годен до 27.09.2024")</f>
        <v>KZ.7700.02.01.00604180 / Действителен до 27.09.2024 / 0919037KZ37 / годен до 27.09.2024</v>
      </c>
      <c r="H1269" s="1" t="str">
        <f ca="1">IFERROR(__xludf.DUMMYFUNCTION("""COMPUTED_VALUE"""),"Бинт эластичный медицинский средней растяжимости (ширина 80 мм) 02х80х2 KZ.7700.02.01.00604180 / Действителен до 27.09.2024 / 0919037KZ37 / годен до 27.09.2024")</f>
        <v>Бинт эластичный медицинский средней растяжимости (ширина 80 мм) 02х80х2 KZ.7700.02.01.00604180 / Действителен до 27.09.2024 / 0919037KZ37 / годен до 27.09.2024</v>
      </c>
    </row>
    <row r="1270" spans="1:8" ht="12.75" x14ac:dyDescent="0.2">
      <c r="A1270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270" s="1" t="str">
        <f ca="1">IFERROR(__xludf.DUMMYFUNCTION("""COMPUTED_VALUE"""),"KZ.7700.02.01.00604182")</f>
        <v>KZ.7700.02.01.00604182</v>
      </c>
      <c r="C1270" s="1" t="str">
        <f ca="1">IFERROR(__xludf.DUMMYFUNCTION("""COMPUTED_VALUE"""),"Действителен до 27.09.2024")</f>
        <v>Действителен до 27.09.2024</v>
      </c>
      <c r="D1270" s="8" t="str">
        <f ca="1">IFERROR(__xludf.DUMMYFUNCTION("""COMPUTED_VALUE"""),"0919037KZ37")</f>
        <v>0919037KZ37</v>
      </c>
      <c r="E1270" s="1" t="str">
        <f ca="1">IFERROR(__xludf.DUMMYFUNCTION("""COMPUTED_VALUE"""),"годен до 27.09.2024")</f>
        <v>годен до 27.09.2024</v>
      </c>
      <c r="F1270" s="1" t="str">
        <f ca="1">IFERROR(__xludf.DUMMYFUNCTION("""COMPUTED_VALUE"""),"Бинт эластичный медицинский средней растяжимости (ширина 80 мм) 02х80х2.5 - 0919037KZ37")</f>
        <v>Бинт эластичный медицинский средней растяжимости (ширина 80 мм) 02х80х2.5 - 0919037KZ37</v>
      </c>
      <c r="G1270" s="1" t="str">
        <f ca="1">IFERROR(__xludf.DUMMYFUNCTION("""COMPUTED_VALUE"""),"KZ.7700.02.01.00604182 / Действителен до 27.09.2024 / 0919037KZ37 / годен до 27.09.2024")</f>
        <v>KZ.7700.02.01.00604182 / Действителен до 27.09.2024 / 0919037KZ37 / годен до 27.09.2024</v>
      </c>
      <c r="H1270" s="1" t="str">
        <f ca="1">IFERROR(__xludf.DUMMYFUNCTION("""COMPUTED_VALUE"""),"Бинт эластичный медицинский средней растяжимости (ширина 80 мм) 02х80х2.5 KZ.7700.02.01.00604182 / Действителен до 27.09.2024 / 0919037KZ37 / годен до 27.09.2024")</f>
        <v>Бинт эластичный медицинский средней растяжимости (ширина 80 мм) 02х80х2.5 KZ.7700.02.01.00604182 / Действителен до 27.09.2024 / 0919037KZ37 / годен до 27.09.2024</v>
      </c>
    </row>
    <row r="1271" spans="1:8" ht="12.75" x14ac:dyDescent="0.2">
      <c r="A1271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271" s="1" t="str">
        <f ca="1">IFERROR(__xludf.DUMMYFUNCTION("""COMPUTED_VALUE"""),"KZ.7700.02.01.00604183")</f>
        <v>KZ.7700.02.01.00604183</v>
      </c>
      <c r="C1271" s="1" t="str">
        <f ca="1">IFERROR(__xludf.DUMMYFUNCTION("""COMPUTED_VALUE"""),"Действителен до 27.09.2024")</f>
        <v>Действителен до 27.09.2024</v>
      </c>
      <c r="D1271" s="8" t="str">
        <f ca="1">IFERROR(__xludf.DUMMYFUNCTION("""COMPUTED_VALUE"""),"0919037KZ37")</f>
        <v>0919037KZ37</v>
      </c>
      <c r="E1271" s="1" t="str">
        <f ca="1">IFERROR(__xludf.DUMMYFUNCTION("""COMPUTED_VALUE"""),"годен до 27.09.2024")</f>
        <v>годен до 27.09.2024</v>
      </c>
      <c r="F1271" s="1" t="str">
        <f ca="1">IFERROR(__xludf.DUMMYFUNCTION("""COMPUTED_VALUE"""),"Бинт эластичный медицинский средней растяжимости (ширина 80 мм) 02х80х3 - 0919037KZ37")</f>
        <v>Бинт эластичный медицинский средней растяжимости (ширина 80 мм) 02х80х3 - 0919037KZ37</v>
      </c>
      <c r="G1271" s="1" t="str">
        <f ca="1">IFERROR(__xludf.DUMMYFUNCTION("""COMPUTED_VALUE"""),"KZ.7700.02.01.00604183 / Действителен до 27.09.2024 / 0919037KZ37 / годен до 27.09.2024")</f>
        <v>KZ.7700.02.01.00604183 / Действителен до 27.09.2024 / 0919037KZ37 / годен до 27.09.2024</v>
      </c>
      <c r="H1271" s="1" t="str">
        <f ca="1">IFERROR(__xludf.DUMMYFUNCTION("""COMPUTED_VALUE"""),"Бинт эластичный медицинский средней растяжимости (ширина 80 мм) 02х80х3 KZ.7700.02.01.00604183 / Действителен до 27.09.2024 / 0919037KZ37 / годен до 27.09.2024")</f>
        <v>Бинт эластичный медицинский средней растяжимости (ширина 80 мм) 02х80х3 KZ.7700.02.01.00604183 / Действителен до 27.09.2024 / 0919037KZ37 / годен до 27.09.2024</v>
      </c>
    </row>
    <row r="1272" spans="1:8" ht="12.75" x14ac:dyDescent="0.2">
      <c r="A1272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272" s="1" t="str">
        <f ca="1">IFERROR(__xludf.DUMMYFUNCTION("""COMPUTED_VALUE"""),"KZ.7700.02.01.00604184")</f>
        <v>KZ.7700.02.01.00604184</v>
      </c>
      <c r="C1272" s="1" t="str">
        <f ca="1">IFERROR(__xludf.DUMMYFUNCTION("""COMPUTED_VALUE"""),"Действителен до 27.09.2024")</f>
        <v>Действителен до 27.09.2024</v>
      </c>
      <c r="D1272" s="8" t="str">
        <f ca="1">IFERROR(__xludf.DUMMYFUNCTION("""COMPUTED_VALUE"""),"0919037KZ37")</f>
        <v>0919037KZ37</v>
      </c>
      <c r="E1272" s="1" t="str">
        <f ca="1">IFERROR(__xludf.DUMMYFUNCTION("""COMPUTED_VALUE"""),"годен до 27.09.2024")</f>
        <v>годен до 27.09.2024</v>
      </c>
      <c r="F1272" s="1" t="str">
        <f ca="1">IFERROR(__xludf.DUMMYFUNCTION("""COMPUTED_VALUE"""),"Бинт эластичный медицинский средней растяжимости (ширина 80 мм) 02х80х3.5 - 0919037KZ37")</f>
        <v>Бинт эластичный медицинский средней растяжимости (ширина 80 мм) 02х80х3.5 - 0919037KZ37</v>
      </c>
      <c r="G1272" s="1" t="str">
        <f ca="1">IFERROR(__xludf.DUMMYFUNCTION("""COMPUTED_VALUE"""),"KZ.7700.02.01.00604184 / Действителен до 27.09.2024 / 0919037KZ37 / годен до 27.09.2024")</f>
        <v>KZ.7700.02.01.00604184 / Действителен до 27.09.2024 / 0919037KZ37 / годен до 27.09.2024</v>
      </c>
      <c r="H1272" s="1" t="str">
        <f ca="1">IFERROR(__xludf.DUMMYFUNCTION("""COMPUTED_VALUE"""),"Бинт эластичный медицинский средней растяжимости (ширина 80 мм) 02х80х3.5 KZ.7700.02.01.00604184 / Действителен до 27.09.2024 / 0919037KZ37 / годен до 27.09.2024")</f>
        <v>Бинт эластичный медицинский средней растяжимости (ширина 80 мм) 02х80х3.5 KZ.7700.02.01.00604184 / Действителен до 27.09.2024 / 0919037KZ37 / годен до 27.09.2024</v>
      </c>
    </row>
    <row r="1273" spans="1:8" ht="12.75" x14ac:dyDescent="0.2">
      <c r="A1273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273" s="1" t="str">
        <f ca="1">IFERROR(__xludf.DUMMYFUNCTION("""COMPUTED_VALUE"""),"KZ.7700.02.01.00604186")</f>
        <v>KZ.7700.02.01.00604186</v>
      </c>
      <c r="C1273" s="1" t="str">
        <f ca="1">IFERROR(__xludf.DUMMYFUNCTION("""COMPUTED_VALUE"""),"Действителен до 27.09.2024")</f>
        <v>Действителен до 27.09.2024</v>
      </c>
      <c r="D1273" s="8" t="str">
        <f ca="1">IFERROR(__xludf.DUMMYFUNCTION("""COMPUTED_VALUE"""),"0919037KZ37")</f>
        <v>0919037KZ37</v>
      </c>
      <c r="E1273" s="1" t="str">
        <f ca="1">IFERROR(__xludf.DUMMYFUNCTION("""COMPUTED_VALUE"""),"годен до 27.09.2024")</f>
        <v>годен до 27.09.2024</v>
      </c>
      <c r="F1273" s="1" t="str">
        <f ca="1">IFERROR(__xludf.DUMMYFUNCTION("""COMPUTED_VALUE"""),"Бинт эластичный медицинский средней растяжимости (ширина 80 мм) 02х80х4 - 0919037KZ37")</f>
        <v>Бинт эластичный медицинский средней растяжимости (ширина 80 мм) 02х80х4 - 0919037KZ37</v>
      </c>
      <c r="G1273" s="1" t="str">
        <f ca="1">IFERROR(__xludf.DUMMYFUNCTION("""COMPUTED_VALUE"""),"KZ.7700.02.01.00604186 / Действителен до 27.09.2024 / 0919037KZ37 / годен до 27.09.2024")</f>
        <v>KZ.7700.02.01.00604186 / Действителен до 27.09.2024 / 0919037KZ37 / годен до 27.09.2024</v>
      </c>
      <c r="H1273" s="1" t="str">
        <f ca="1">IFERROR(__xludf.DUMMYFUNCTION("""COMPUTED_VALUE"""),"Бинт эластичный медицинский средней растяжимости (ширина 80 мм) 02х80х4 KZ.7700.02.01.00604186 / Действителен до 27.09.2024 / 0919037KZ37 / годен до 27.09.2024")</f>
        <v>Бинт эластичный медицинский средней растяжимости (ширина 80 мм) 02х80х4 KZ.7700.02.01.00604186 / Действителен до 27.09.2024 / 0919037KZ37 / годен до 27.09.2024</v>
      </c>
    </row>
    <row r="1274" spans="1:8" ht="12.75" x14ac:dyDescent="0.2">
      <c r="A1274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274" s="1" t="str">
        <f ca="1">IFERROR(__xludf.DUMMYFUNCTION("""COMPUTED_VALUE"""),"KZ.7700.02.01.00604187")</f>
        <v>KZ.7700.02.01.00604187</v>
      </c>
      <c r="C1274" s="1" t="str">
        <f ca="1">IFERROR(__xludf.DUMMYFUNCTION("""COMPUTED_VALUE"""),"Действителен до 27.09.2024")</f>
        <v>Действителен до 27.09.2024</v>
      </c>
      <c r="D1274" s="8" t="str">
        <f ca="1">IFERROR(__xludf.DUMMYFUNCTION("""COMPUTED_VALUE"""),"0919037KZ37")</f>
        <v>0919037KZ37</v>
      </c>
      <c r="E1274" s="1" t="str">
        <f ca="1">IFERROR(__xludf.DUMMYFUNCTION("""COMPUTED_VALUE"""),"годен до 27.09.2024")</f>
        <v>годен до 27.09.2024</v>
      </c>
      <c r="F1274" s="1" t="str">
        <f ca="1">IFERROR(__xludf.DUMMYFUNCTION("""COMPUTED_VALUE"""),"Бинт эластичный медицинский средней растяжимости (ширина 80 мм) 02х80х5 - 0919037KZ37")</f>
        <v>Бинт эластичный медицинский средней растяжимости (ширина 80 мм) 02х80х5 - 0919037KZ37</v>
      </c>
      <c r="G1274" s="1" t="str">
        <f ca="1">IFERROR(__xludf.DUMMYFUNCTION("""COMPUTED_VALUE"""),"KZ.7700.02.01.00604187 / Действителен до 27.09.2024 / 0919037KZ37 / годен до 27.09.2024")</f>
        <v>KZ.7700.02.01.00604187 / Действителен до 27.09.2024 / 0919037KZ37 / годен до 27.09.2024</v>
      </c>
      <c r="H1274" s="1" t="str">
        <f ca="1">IFERROR(__xludf.DUMMYFUNCTION("""COMPUTED_VALUE"""),"Бинт эластичный медицинский средней растяжимости (ширина 80 мм) 02х80х5 KZ.7700.02.01.00604187 / Действителен до 27.09.2024 / 0919037KZ37 / годен до 27.09.2024")</f>
        <v>Бинт эластичный медицинский средней растяжимости (ширина 80 мм) 02х80х5 KZ.7700.02.01.00604187 / Действителен до 27.09.2024 / 0919037KZ37 / годен до 27.09.2024</v>
      </c>
    </row>
    <row r="1275" spans="1:8" ht="12.75" x14ac:dyDescent="0.2">
      <c r="A1275" s="1" t="str">
        <f ca="1">IFERROR(__xludf.DUMMYFUNCTION("""COMPUTED_VALUE"""),"МЕДИЦИНСКИЙ НЕТКАНЫЙ ПЛАСТЫРЬ (19mm х 72mm) №100")</f>
        <v>МЕДИЦИНСКИЙ НЕТКАНЫЙ ПЛАСТЫРЬ (19mm х 72mm) №100</v>
      </c>
      <c r="B1275" s="1" t="str">
        <f ca="1">IFERROR(__xludf.DUMMYFUNCTION("""COMPUTED_VALUE"""),"KZ.7700.02.01.00723272")</f>
        <v>KZ.7700.02.01.00723272</v>
      </c>
      <c r="C1275" s="1" t="str">
        <f ca="1">IFERROR(__xludf.DUMMYFUNCTION("""COMPUTED_VALUE"""),"Действителен до 01.01.2026")</f>
        <v>Действителен до 01.01.2026</v>
      </c>
      <c r="D1275" s="8" t="str">
        <f ca="1">IFERROR(__xludf.DUMMYFUNCTION("""COMPUTED_VALUE"""),"111-142-6")</f>
        <v>111-142-6</v>
      </c>
      <c r="E1275" s="1" t="str">
        <f ca="1">IFERROR(__xludf.DUMMYFUNCTION("""COMPUTED_VALUE"""),"годен до 12.2025")</f>
        <v>годен до 12.2025</v>
      </c>
      <c r="F1275" s="1" t="str">
        <f ca="1">IFERROR(__xludf.DUMMYFUNCTION("""COMPUTED_VALUE"""),"МЕДИЦИНСКИЙ НЕТКАНЫЙ ПЛАСТЫРЬ (19mm х 72mm) №100 - 111-142-6")</f>
        <v>МЕДИЦИНСКИЙ НЕТКАНЫЙ ПЛАСТЫРЬ (19mm х 72mm) №100 - 111-142-6</v>
      </c>
      <c r="G1275" s="1" t="str">
        <f ca="1">IFERROR(__xludf.DUMMYFUNCTION("""COMPUTED_VALUE"""),"KZ.7700.02.01.00723272 / Действителен до 01.01.2026 / 111-142-6 / годен до 12.2025")</f>
        <v>KZ.7700.02.01.00723272 / Действителен до 01.01.2026 / 111-142-6 / годен до 12.2025</v>
      </c>
      <c r="H1275" s="1" t="str">
        <f ca="1">IFERROR(__xludf.DUMMYFUNCTION("""COMPUTED_VALUE"""),"МЕДИЦИНСКИЙ НЕТКАНЫЙ ПЛАСТЫРЬ (19mm х 72mm) №100 KZ.7700.02.01.00723272 / Действителен до 01.01.2026 / 111-142-6 / годен до 12.2025")</f>
        <v>МЕДИЦИНСКИЙ НЕТКАНЫЙ ПЛАСТЫРЬ (19mm х 72mm) №100 KZ.7700.02.01.00723272 / Действителен до 01.01.2026 / 111-142-6 / годен до 12.2025</v>
      </c>
    </row>
    <row r="1276" spans="1:8" ht="12.75" x14ac:dyDescent="0.2">
      <c r="A1276" s="1" t="str">
        <f ca="1">IFERROR(__xludf.DUMMYFUNCTION("""COMPUTED_VALUE"""),"МЕДИЦИНСКИЙ НЕТКАНЫЙ ПЛАСТЫРЬ В РУЛОНЕ (5 м x 1,25cm)")</f>
        <v>МЕДИЦИНСКИЙ НЕТКАНЫЙ ПЛАСТЫРЬ В РУЛОНЕ (5 м x 1,25cm)</v>
      </c>
      <c r="B1276" s="1" t="str">
        <f ca="1">IFERROR(__xludf.DUMMYFUNCTION("""COMPUTED_VALUE"""),"KZ.7700.02.01.00723267")</f>
        <v>KZ.7700.02.01.00723267</v>
      </c>
      <c r="C1276" s="1" t="str">
        <f ca="1">IFERROR(__xludf.DUMMYFUNCTION("""COMPUTED_VALUE"""),"Действителен до 01.12.2025")</f>
        <v>Действителен до 01.12.2025</v>
      </c>
      <c r="D1276" s="8" t="str">
        <f ca="1">IFERROR(__xludf.DUMMYFUNCTION("""COMPUTED_VALUE"""),"2051229-2")</f>
        <v>2051229-2</v>
      </c>
      <c r="E1276" s="1" t="str">
        <f ca="1">IFERROR(__xludf.DUMMYFUNCTION("""COMPUTED_VALUE"""),"годен до 11.2025")</f>
        <v>годен до 11.2025</v>
      </c>
      <c r="F1276" s="1" t="str">
        <f ca="1">IFERROR(__xludf.DUMMYFUNCTION("""COMPUTED_VALUE"""),"МЕДИЦИНСКИЙ НЕТКАНЫЙ ПЛАСТЫРЬ В РУЛОНЕ (5 м x 1,25cm) - 2051229-2")</f>
        <v>МЕДИЦИНСКИЙ НЕТКАНЫЙ ПЛАСТЫРЬ В РУЛОНЕ (5 м x 1,25cm) - 2051229-2</v>
      </c>
      <c r="G1276" s="1" t="str">
        <f ca="1">IFERROR(__xludf.DUMMYFUNCTION("""COMPUTED_VALUE"""),"KZ.7700.02.01.00723267 / Действителен до 01.12.2025 / 2051229-2 / годен до 11.2025")</f>
        <v>KZ.7700.02.01.00723267 / Действителен до 01.12.2025 / 2051229-2 / годен до 11.2025</v>
      </c>
      <c r="H1276" s="1" t="str">
        <f ca="1">IFERROR(__xludf.DUMMYFUNCTION("""COMPUTED_VALUE"""),"МЕДИЦИНСКИЙ НЕТКАНЫЙ ПЛАСТЫРЬ В РУЛОНЕ (5 м x 1,25cm) KZ.7700.02.01.00723267 / Действителен до 01.12.2025 / 2051229-2 / годен до 11.2025")</f>
        <v>МЕДИЦИНСКИЙ НЕТКАНЫЙ ПЛАСТЫРЬ В РУЛОНЕ (5 м x 1,25cm) KZ.7700.02.01.00723267 / Действителен до 01.12.2025 / 2051229-2 / годен до 11.2025</v>
      </c>
    </row>
    <row r="1277" spans="1:8" ht="12.75" x14ac:dyDescent="0.2">
      <c r="A1277" s="1" t="str">
        <f ca="1">IFERROR(__xludf.DUMMYFUNCTION("""COMPUTED_VALUE"""),"МЕДИЦИНСКИЙ НЕТКАНЫЙ ПЛАСТЫРЬ В РУЛОНЕ (5 м x 2,5cm)")</f>
        <v>МЕДИЦИНСКИЙ НЕТКАНЫЙ ПЛАСТЫРЬ В РУЛОНЕ (5 м x 2,5cm)</v>
      </c>
      <c r="B1277" s="1" t="str">
        <f ca="1">IFERROR(__xludf.DUMMYFUNCTION("""COMPUTED_VALUE"""),"KZ.7700.02.01.00723271")</f>
        <v>KZ.7700.02.01.00723271</v>
      </c>
      <c r="C1277" s="1" t="str">
        <f ca="1">IFERROR(__xludf.DUMMYFUNCTION("""COMPUTED_VALUE"""),"Действителен до 01.12.2025")</f>
        <v>Действителен до 01.12.2025</v>
      </c>
      <c r="D1277" s="8" t="str">
        <f ca="1">IFERROR(__xludf.DUMMYFUNCTION("""COMPUTED_VALUE"""),"2053229-2")</f>
        <v>2053229-2</v>
      </c>
      <c r="E1277" s="1" t="str">
        <f ca="1">IFERROR(__xludf.DUMMYFUNCTION("""COMPUTED_VALUE"""),"годен до 11.2025")</f>
        <v>годен до 11.2025</v>
      </c>
      <c r="F1277" s="1" t="str">
        <f ca="1">IFERROR(__xludf.DUMMYFUNCTION("""COMPUTED_VALUE"""),"МЕДИЦИНСКИЙ НЕТКАНЫЙ ПЛАСТЫРЬ В РУЛОНЕ (5 м x 2,5cm) - 2053229-2")</f>
        <v>МЕДИЦИНСКИЙ НЕТКАНЫЙ ПЛАСТЫРЬ В РУЛОНЕ (5 м x 2,5cm) - 2053229-2</v>
      </c>
      <c r="G1277" s="1" t="str">
        <f ca="1">IFERROR(__xludf.DUMMYFUNCTION("""COMPUTED_VALUE"""),"KZ.7700.02.01.00723271 / Действителен до 01.12.2025 / 2053229-2 / годен до 11.2025")</f>
        <v>KZ.7700.02.01.00723271 / Действителен до 01.12.2025 / 2053229-2 / годен до 11.2025</v>
      </c>
      <c r="H1277" s="1" t="str">
        <f ca="1">IFERROR(__xludf.DUMMYFUNCTION("""COMPUTED_VALUE"""),"МЕДИЦИНСКИЙ НЕТКАНЫЙ ПЛАСТЫРЬ В РУЛОНЕ (5 м x 2,5cm) KZ.7700.02.01.00723271 / Действителен до 01.12.2025 / 2053229-2 / годен до 11.2025")</f>
        <v>МЕДИЦИНСКИЙ НЕТКАНЫЙ ПЛАСТЫРЬ В РУЛОНЕ (5 м x 2,5cm) KZ.7700.02.01.00723271 / Действителен до 01.12.2025 / 2053229-2 / годен до 11.2025</v>
      </c>
    </row>
    <row r="1278" spans="1:8" ht="12.75" x14ac:dyDescent="0.2">
      <c r="A1278" s="1" t="str">
        <f ca="1">IFERROR(__xludf.DUMMYFUNCTION("""COMPUTED_VALUE"""),"МЕДИЦИНСКИЙ ХЛОПЧАТОБУМАЖНЫЙ ПЛАСТЫРЬ В РУЛОНЕ (5m x 1,25cm)")</f>
        <v>МЕДИЦИНСКИЙ ХЛОПЧАТОБУМАЖНЫЙ ПЛАСТЫРЬ В РУЛОНЕ (5m x 1,25cm)</v>
      </c>
      <c r="B1278" s="1" t="str">
        <f ca="1">IFERROR(__xludf.DUMMYFUNCTION("""COMPUTED_VALUE"""),"KZ.7700.02.01.00723266")</f>
        <v>KZ.7700.02.01.00723266</v>
      </c>
      <c r="C1278" s="1" t="str">
        <f ca="1">IFERROR(__xludf.DUMMYFUNCTION("""COMPUTED_VALUE"""),"Действителен до 01.12.2025")</f>
        <v>Действителен до 01.12.2025</v>
      </c>
      <c r="D1278" s="8" t="str">
        <f ca="1">IFERROR(__xludf.DUMMYFUNCTION("""COMPUTED_VALUE"""),"207341-5")</f>
        <v>207341-5</v>
      </c>
      <c r="E1278" s="1" t="str">
        <f ca="1">IFERROR(__xludf.DUMMYFUNCTION("""COMPUTED_VALUE"""),"годен до 11.2025")</f>
        <v>годен до 11.2025</v>
      </c>
      <c r="F1278" s="1" t="str">
        <f ca="1">IFERROR(__xludf.DUMMYFUNCTION("""COMPUTED_VALUE"""),"МЕДИЦИНСКИЙ ХЛОПЧАТОБУМАЖНЫЙ ПЛАСТЫРЬ В РУЛОНЕ (5m x 1,25cm) - 207341-5")</f>
        <v>МЕДИЦИНСКИЙ ХЛОПЧАТОБУМАЖНЫЙ ПЛАСТЫРЬ В РУЛОНЕ (5m x 1,25cm) - 207341-5</v>
      </c>
      <c r="G1278" s="1" t="str">
        <f ca="1">IFERROR(__xludf.DUMMYFUNCTION("""COMPUTED_VALUE"""),"KZ.7700.02.01.00723266 / Действителен до 01.12.2025 / 207341-5 / годен до 11.2025")</f>
        <v>KZ.7700.02.01.00723266 / Действителен до 01.12.2025 / 207341-5 / годен до 11.2025</v>
      </c>
      <c r="H1278" s="1" t="str">
        <f ca="1">IFERROR(__xludf.DUMMYFUNCTION("""COMPUTED_VALUE"""),"МЕДИЦИНСКИЙ ХЛОПЧАТОБУМАЖНЫЙ ПЛАСТЫРЬ В РУЛОНЕ (5m x 1,25cm) KZ.7700.02.01.00723266 / Действителен до 01.12.2025 / 207341-5 / годен до 11.2025")</f>
        <v>МЕДИЦИНСКИЙ ХЛОПЧАТОБУМАЖНЫЙ ПЛАСТЫРЬ В РУЛОНЕ (5m x 1,25cm) KZ.7700.02.01.00723266 / Действителен до 01.12.2025 / 207341-5 / годен до 11.2025</v>
      </c>
    </row>
    <row r="1279" spans="1:8" ht="12.75" x14ac:dyDescent="0.2">
      <c r="A1279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B1279" s="1" t="str">
        <f ca="1">IFERROR(__xludf.DUMMYFUNCTION("""COMPUTED_VALUE"""),"KZ.7700.02.01.00723263")</f>
        <v>KZ.7700.02.01.00723263</v>
      </c>
      <c r="C1279" s="1" t="str">
        <f ca="1">IFERROR(__xludf.DUMMYFUNCTION("""COMPUTED_VALUE"""),"Действителен до 01.12.2025")</f>
        <v>Действителен до 01.12.2025</v>
      </c>
      <c r="D1279" s="8" t="str">
        <f ca="1">IFERROR(__xludf.DUMMYFUNCTION("""COMPUTED_VALUE"""),"208341-5")</f>
        <v>208341-5</v>
      </c>
      <c r="E1279" s="1" t="str">
        <f ca="1">IFERROR(__xludf.DUMMYFUNCTION("""COMPUTED_VALUE"""),"годен до 11.2025")</f>
        <v>годен до 11.2025</v>
      </c>
      <c r="F1279" s="1" t="str">
        <f ca="1">IFERROR(__xludf.DUMMYFUNCTION("""COMPUTED_VALUE"""),"МЕДИЦИНСКИЙ ХЛОПЧАТОБУМАЖНЫЙ ПЛАСТЫРЬ В РУЛОНЕ (5m x 2,5cm) - 208341-5")</f>
        <v>МЕДИЦИНСКИЙ ХЛОПЧАТОБУМАЖНЫЙ ПЛАСТЫРЬ В РУЛОНЕ (5m x 2,5cm) - 208341-5</v>
      </c>
      <c r="G1279" s="1" t="str">
        <f ca="1">IFERROR(__xludf.DUMMYFUNCTION("""COMPUTED_VALUE"""),"KZ.7700.02.01.00723263 / Действителен до 01.12.2025 / 208341-5 / годен до 11.2025")</f>
        <v>KZ.7700.02.01.00723263 / Действителен до 01.12.2025 / 208341-5 / годен до 11.2025</v>
      </c>
      <c r="H1279" s="1" t="str">
        <f ca="1">IFERROR(__xludf.DUMMYFUNCTION("""COMPUTED_VALUE"""),"МЕДИЦИНСКИЙ ХЛОПЧАТОБУМАЖНЫЙ ПЛАСТЫРЬ В РУЛОНЕ (5m x 2,5cm) KZ.7700.02.01.00723263 / Действителен до 01.12.2025 / 208341-5 / годен до 11.2025")</f>
        <v>МЕДИЦИНСКИЙ ХЛОПЧАТОБУМАЖНЫЙ ПЛАСТЫРЬ В РУЛОНЕ (5m x 2,5cm) KZ.7700.02.01.00723263 / Действителен до 01.12.2025 / 208341-5 / годен до 11.2025</v>
      </c>
    </row>
    <row r="1280" spans="1:8" ht="12.75" x14ac:dyDescent="0.2">
      <c r="A1280" s="1" t="str">
        <f ca="1">IFERROR(__xludf.DUMMYFUNCTION("""COMPUTED_VALUE"""),"МОЗОЛЬНЫЙ ПЛАСТЫРЬ (19mm х 72mm) №4")</f>
        <v>МОЗОЛЬНЫЙ ПЛАСТЫРЬ (19mm х 72mm) №4</v>
      </c>
      <c r="B1280" s="1" t="str">
        <f ca="1">IFERROR(__xludf.DUMMYFUNCTION("""COMPUTED_VALUE"""),"KZ.7700.02.01.00723276")</f>
        <v>KZ.7700.02.01.00723276</v>
      </c>
      <c r="C1280" s="1" t="str">
        <f ca="1">IFERROR(__xludf.DUMMYFUNCTION("""COMPUTED_VALUE"""),"Действителен до 01.01.2026")</f>
        <v>Действителен до 01.01.2026</v>
      </c>
      <c r="D1280" s="8" t="str">
        <f ca="1">IFERROR(__xludf.DUMMYFUNCTION("""COMPUTED_VALUE"""),"20224-12")</f>
        <v>20224-12</v>
      </c>
      <c r="E1280" s="1" t="str">
        <f ca="1">IFERROR(__xludf.DUMMYFUNCTION("""COMPUTED_VALUE"""),"годен до 12.2025")</f>
        <v>годен до 12.2025</v>
      </c>
      <c r="F1280" s="1" t="str">
        <f ca="1">IFERROR(__xludf.DUMMYFUNCTION("""COMPUTED_VALUE"""),"МОЗОЛЬНЫЙ ПЛАСТЫРЬ (19mm х 72mm) №4 - 20224-12")</f>
        <v>МОЗОЛЬНЫЙ ПЛАСТЫРЬ (19mm х 72mm) №4 - 20224-12</v>
      </c>
      <c r="G1280" s="1" t="str">
        <f ca="1">IFERROR(__xludf.DUMMYFUNCTION("""COMPUTED_VALUE"""),"KZ.7700.02.01.00723276 / Действителен до 01.01.2026 / 20224-12 / годен до 12.2025")</f>
        <v>KZ.7700.02.01.00723276 / Действителен до 01.01.2026 / 20224-12 / годен до 12.2025</v>
      </c>
      <c r="H1280" s="1" t="str">
        <f ca="1">IFERROR(__xludf.DUMMYFUNCTION("""COMPUTED_VALUE"""),"МОЗОЛЬНЫЙ ПЛАСТЫРЬ (19mm х 72mm) №4 KZ.7700.02.01.00723276 / Действителен до 01.01.2026 / 20224-12 / годен до 12.2025")</f>
        <v>МОЗОЛЬНЫЙ ПЛАСТЫРЬ (19mm х 72mm) №4 KZ.7700.02.01.00723276 / Действителен до 01.01.2026 / 20224-12 / годен до 12.2025</v>
      </c>
    </row>
    <row r="1281" spans="1:8" ht="12.75" x14ac:dyDescent="0.2">
      <c r="A1281" s="1" t="str">
        <f ca="1">IFERROR(__xludf.DUMMYFUNCTION("""COMPUTED_VALUE"""),"ПЛАСТЫРИ ДЛЯ ДЕТЕЙ (19mm х 72mm) №20")</f>
        <v>ПЛАСТЫРИ ДЛЯ ДЕТЕЙ (19mm х 72mm) №20</v>
      </c>
      <c r="B1281" s="1" t="str">
        <f ca="1">IFERROR(__xludf.DUMMYFUNCTION("""COMPUTED_VALUE"""),"KZ.7700.02.01.00723281")</f>
        <v>KZ.7700.02.01.00723281</v>
      </c>
      <c r="C1281" s="1" t="str">
        <f ca="1">IFERROR(__xludf.DUMMYFUNCTION("""COMPUTED_VALUE"""),"Действителен до 01.01.2026")</f>
        <v>Действителен до 01.01.2026</v>
      </c>
      <c r="D1281" s="8" t="str">
        <f ca="1">IFERROR(__xludf.DUMMYFUNCTION("""COMPUTED_VALUE"""),"20213-12")</f>
        <v>20213-12</v>
      </c>
      <c r="E1281" s="1" t="str">
        <f ca="1">IFERROR(__xludf.DUMMYFUNCTION("""COMPUTED_VALUE"""),"годен до 12.2025")</f>
        <v>годен до 12.2025</v>
      </c>
      <c r="F1281" s="1" t="str">
        <f ca="1">IFERROR(__xludf.DUMMYFUNCTION("""COMPUTED_VALUE"""),"ПЛАСТЫРИ ДЛЯ ДЕТЕЙ (19mm х 72mm) №20 - 20213-12")</f>
        <v>ПЛАСТЫРИ ДЛЯ ДЕТЕЙ (19mm х 72mm) №20 - 20213-12</v>
      </c>
      <c r="G1281" s="1" t="str">
        <f ca="1">IFERROR(__xludf.DUMMYFUNCTION("""COMPUTED_VALUE"""),"KZ.7700.02.01.00723281 / Действителен до 01.01.2026 / 20213-12 / годен до 12.2025")</f>
        <v>KZ.7700.02.01.00723281 / Действителен до 01.01.2026 / 20213-12 / годен до 12.2025</v>
      </c>
      <c r="H1281" s="1" t="str">
        <f ca="1">IFERROR(__xludf.DUMMYFUNCTION("""COMPUTED_VALUE"""),"ПЛАСТЫРИ ДЛЯ ДЕТЕЙ (19mm х 72mm) №20 KZ.7700.02.01.00723281 / Действителен до 01.01.2026 / 20213-12 / годен до 12.2025")</f>
        <v>ПЛАСТЫРИ ДЛЯ ДЕТЕЙ (19mm х 72mm) №20 KZ.7700.02.01.00723281 / Действителен до 01.01.2026 / 20213-12 / годен до 12.2025</v>
      </c>
    </row>
    <row r="1282" spans="1:8" ht="12.75" x14ac:dyDescent="0.2">
      <c r="A1282" s="1" t="str">
        <f ca="1">IFERROR(__xludf.DUMMYFUNCTION("""COMPUTED_VALUE"""),"КОМПЛЕКТ ПЛАСТЫРЕЙ НА ТКАНЕВОЙ ОСНОВЕ №20")</f>
        <v>КОМПЛЕКТ ПЛАСТЫРЕЙ НА ТКАНЕВОЙ ОСНОВЕ №20</v>
      </c>
      <c r="B1282" s="1" t="str">
        <f ca="1">IFERROR(__xludf.DUMMYFUNCTION("""COMPUTED_VALUE"""),"KZ.7700.02.01.00662237")</f>
        <v>KZ.7700.02.01.00662237</v>
      </c>
      <c r="C1282" s="1" t="str">
        <f ca="1">IFERROR(__xludf.DUMMYFUNCTION("""COMPUTED_VALUE"""),"Действителен до 01.04.2025")</f>
        <v>Действителен до 01.04.2025</v>
      </c>
      <c r="D1282" s="8" t="str">
        <f ca="1">IFERROR(__xludf.DUMMYFUNCTION("""COMPUTED_VALUE"""),"20214-06")</f>
        <v>20214-06</v>
      </c>
      <c r="E1282" s="1" t="str">
        <f ca="1">IFERROR(__xludf.DUMMYFUNCTION("""COMPUTED_VALUE"""),"годен до 03.2025")</f>
        <v>годен до 03.2025</v>
      </c>
      <c r="F1282" s="1" t="str">
        <f ca="1">IFERROR(__xludf.DUMMYFUNCTION("""COMPUTED_VALUE"""),"КОМПЛЕКТ ПЛАСТЫРЕЙ НА ТКАНЕВОЙ ОСНОВЕ №20 - 20214-06")</f>
        <v>КОМПЛЕКТ ПЛАСТЫРЕЙ НА ТКАНЕВОЙ ОСНОВЕ №20 - 20214-06</v>
      </c>
      <c r="G1282" s="1" t="str">
        <f ca="1">IFERROR(__xludf.DUMMYFUNCTION("""COMPUTED_VALUE"""),"KZ.7700.02.01.00662237 / Действителен до 01.04.2025 / 20214-06 / годен до 03.2025")</f>
        <v>KZ.7700.02.01.00662237 / Действителен до 01.04.2025 / 20214-06 / годен до 03.2025</v>
      </c>
      <c r="H1282" s="1" t="str">
        <f ca="1">IFERROR(__xludf.DUMMYFUNCTION("""COMPUTED_VALUE"""),"КОМПЛЕКТ ПЛАСТЫРЕЙ НА ТКАНЕВОЙ ОСНОВЕ №20 KZ.7700.02.01.00662237 / Действителен до 01.04.2025 / 20214-06 / годен до 03.2025")</f>
        <v>КОМПЛЕКТ ПЛАСТЫРЕЙ НА ТКАНЕВОЙ ОСНОВЕ №20 KZ.7700.02.01.00662237 / Действителен до 01.04.2025 / 20214-06 / годен до 03.2025</v>
      </c>
    </row>
    <row r="1283" spans="1:8" ht="12.75" x14ac:dyDescent="0.2">
      <c r="A1283" s="1" t="str">
        <f ca="1">IFERROR(__xludf.DUMMYFUNCTION("""COMPUTED_VALUE"""),"МЕДИЦИНСКИЙ НЕТКАНЫЙ ПЛАСТЫРЬ (19mm х 72mm) №10")</f>
        <v>МЕДИЦИНСКИЙ НЕТКАНЫЙ ПЛАСТЫРЬ (19mm х 72mm) №10</v>
      </c>
      <c r="B1283" s="1" t="str">
        <f ca="1">IFERROR(__xludf.DUMMYFUNCTION("""COMPUTED_VALUE"""),"KZ.7700.02.01.00662234")</f>
        <v>KZ.7700.02.01.00662234</v>
      </c>
      <c r="C1283" s="1" t="str">
        <f ca="1">IFERROR(__xludf.DUMMYFUNCTION("""COMPUTED_VALUE"""),"Действителен до 01.04.2025")</f>
        <v>Действителен до 01.04.2025</v>
      </c>
      <c r="D1283" s="8" t="str">
        <f ca="1">IFERROR(__xludf.DUMMYFUNCTION("""COMPUTED_VALUE"""),"111-110-2")</f>
        <v>111-110-2</v>
      </c>
      <c r="E1283" s="1" t="str">
        <f ca="1">IFERROR(__xludf.DUMMYFUNCTION("""COMPUTED_VALUE"""),"годен до 03.2025")</f>
        <v>годен до 03.2025</v>
      </c>
      <c r="F1283" s="1" t="str">
        <f ca="1">IFERROR(__xludf.DUMMYFUNCTION("""COMPUTED_VALUE"""),"МЕДИЦИНСКИЙ НЕТКАНЫЙ ПЛАСТЫРЬ (19mm х 72mm) №10 - 111-110-2")</f>
        <v>МЕДИЦИНСКИЙ НЕТКАНЫЙ ПЛАСТЫРЬ (19mm х 72mm) №10 - 111-110-2</v>
      </c>
      <c r="G1283" s="1" t="str">
        <f ca="1">IFERROR(__xludf.DUMMYFUNCTION("""COMPUTED_VALUE"""),"KZ.7700.02.01.00662234 / Действителен до 01.04.2025 / 111-110-2 / годен до 03.2025")</f>
        <v>KZ.7700.02.01.00662234 / Действителен до 01.04.2025 / 111-110-2 / годен до 03.2025</v>
      </c>
      <c r="H1283" s="1" t="str">
        <f ca="1">IFERROR(__xludf.DUMMYFUNCTION("""COMPUTED_VALUE"""),"МЕДИЦИНСКИЙ НЕТКАНЫЙ ПЛАСТЫРЬ (19mm х 72mm) №10 KZ.7700.02.01.00662234 / Действителен до 01.04.2025 / 111-110-2 / годен до 03.2025")</f>
        <v>МЕДИЦИНСКИЙ НЕТКАНЫЙ ПЛАСТЫРЬ (19mm х 72mm) №10 KZ.7700.02.01.00662234 / Действителен до 01.04.2025 / 111-110-2 / годен до 03.2025</v>
      </c>
    </row>
    <row r="1284" spans="1:8" ht="12.75" x14ac:dyDescent="0.2">
      <c r="A1284" s="1" t="str">
        <f ca="1">IFERROR(__xludf.DUMMYFUNCTION("""COMPUTED_VALUE"""),"МЕДИЦИНСКИЙ НЕТКАНЫЙ ПЛАСТЫРЬ (19mm х 72mm) №100")</f>
        <v>МЕДИЦИНСКИЙ НЕТКАНЫЙ ПЛАСТЫРЬ (19mm х 72mm) №100</v>
      </c>
      <c r="B1284" s="1" t="str">
        <f ca="1">IFERROR(__xludf.DUMMYFUNCTION("""COMPUTED_VALUE"""),"KZ.7700.02.01.00662235")</f>
        <v>KZ.7700.02.01.00662235</v>
      </c>
      <c r="C1284" s="1" t="str">
        <f ca="1">IFERROR(__xludf.DUMMYFUNCTION("""COMPUTED_VALUE"""),"Действителен до 01.04.2025")</f>
        <v>Действителен до 01.04.2025</v>
      </c>
      <c r="D1284" s="8" t="str">
        <f ca="1">IFERROR(__xludf.DUMMYFUNCTION("""COMPUTED_VALUE"""),"111-110-1")</f>
        <v>111-110-1</v>
      </c>
      <c r="E1284" s="1" t="str">
        <f ca="1">IFERROR(__xludf.DUMMYFUNCTION("""COMPUTED_VALUE"""),"годен до 03.2025")</f>
        <v>годен до 03.2025</v>
      </c>
      <c r="F1284" s="1" t="str">
        <f ca="1">IFERROR(__xludf.DUMMYFUNCTION("""COMPUTED_VALUE"""),"МЕДИЦИНСКИЙ НЕТКАНЫЙ ПЛАСТЫРЬ (19mm х 72mm) №100 - 111-110-1")</f>
        <v>МЕДИЦИНСКИЙ НЕТКАНЫЙ ПЛАСТЫРЬ (19mm х 72mm) №100 - 111-110-1</v>
      </c>
      <c r="G1284" s="1" t="str">
        <f ca="1">IFERROR(__xludf.DUMMYFUNCTION("""COMPUTED_VALUE"""),"KZ.7700.02.01.00662235 / Действителен до 01.04.2025 / 111-110-1 / годен до 03.2025")</f>
        <v>KZ.7700.02.01.00662235 / Действителен до 01.04.2025 / 111-110-1 / годен до 03.2025</v>
      </c>
      <c r="H1284" s="1" t="str">
        <f ca="1">IFERROR(__xludf.DUMMYFUNCTION("""COMPUTED_VALUE"""),"МЕДИЦИНСКИЙ НЕТКАНЫЙ ПЛАСТЫРЬ (19mm х 72mm) №100 KZ.7700.02.01.00662235 / Действителен до 01.04.2025 / 111-110-1 / годен до 03.2025")</f>
        <v>МЕДИЦИНСКИЙ НЕТКАНЫЙ ПЛАСТЫРЬ (19mm х 72mm) №100 KZ.7700.02.01.00662235 / Действителен до 01.04.2025 / 111-110-1 / годен до 03.2025</v>
      </c>
    </row>
    <row r="1285" spans="1:8" ht="12.75" x14ac:dyDescent="0.2">
      <c r="A1285" s="1" t="str">
        <f ca="1">IFERROR(__xludf.DUMMYFUNCTION("""COMPUTED_VALUE"""),"МЕДИЦИНСКИЙ НЕТКАНЫЙ ПЛАСТЫРЬ В РУЛОНЕ (5 м x 1,25cm)")</f>
        <v>МЕДИЦИНСКИЙ НЕТКАНЫЙ ПЛАСТЫРЬ В РУЛОНЕ (5 м x 1,25cm)</v>
      </c>
      <c r="B1285" s="1" t="str">
        <f ca="1">IFERROR(__xludf.DUMMYFUNCTION("""COMPUTED_VALUE"""),"KZ.7700.02.01.00662242")</f>
        <v>KZ.7700.02.01.00662242</v>
      </c>
      <c r="C1285" s="1" t="str">
        <f ca="1">IFERROR(__xludf.DUMMYFUNCTION("""COMPUTED_VALUE"""),"Действителен до 01.04.2025")</f>
        <v>Действителен до 01.04.2025</v>
      </c>
      <c r="D1285" s="8" t="str">
        <f ca="1">IFERROR(__xludf.DUMMYFUNCTION("""COMPUTED_VALUE"""),"2051207-1")</f>
        <v>2051207-1</v>
      </c>
      <c r="E1285" s="1" t="str">
        <f ca="1">IFERROR(__xludf.DUMMYFUNCTION("""COMPUTED_VALUE"""),"годен до 03.2025")</f>
        <v>годен до 03.2025</v>
      </c>
      <c r="F1285" s="1" t="str">
        <f ca="1">IFERROR(__xludf.DUMMYFUNCTION("""COMPUTED_VALUE"""),"МЕДИЦИНСКИЙ НЕТКАНЫЙ ПЛАСТЫРЬ В РУЛОНЕ (5 м x 1,25cm) - 2051207-1")</f>
        <v>МЕДИЦИНСКИЙ НЕТКАНЫЙ ПЛАСТЫРЬ В РУЛОНЕ (5 м x 1,25cm) - 2051207-1</v>
      </c>
      <c r="G1285" s="1" t="str">
        <f ca="1">IFERROR(__xludf.DUMMYFUNCTION("""COMPUTED_VALUE"""),"KZ.7700.02.01.00662242 / Действителен до 01.04.2025 / 2051207-1 / годен до 03.2025")</f>
        <v>KZ.7700.02.01.00662242 / Действителен до 01.04.2025 / 2051207-1 / годен до 03.2025</v>
      </c>
      <c r="H1285" s="1" t="str">
        <f ca="1">IFERROR(__xludf.DUMMYFUNCTION("""COMPUTED_VALUE"""),"МЕДИЦИНСКИЙ НЕТКАНЫЙ ПЛАСТЫРЬ В РУЛОНЕ (5 м x 1,25cm) KZ.7700.02.01.00662242 / Действителен до 01.04.2025 / 2051207-1 / годен до 03.2025")</f>
        <v>МЕДИЦИНСКИЙ НЕТКАНЫЙ ПЛАСТЫРЬ В РУЛОНЕ (5 м x 1,25cm) KZ.7700.02.01.00662242 / Действителен до 01.04.2025 / 2051207-1 / годен до 03.2025</v>
      </c>
    </row>
    <row r="1286" spans="1:8" ht="12.75" x14ac:dyDescent="0.2">
      <c r="A1286" s="1" t="str">
        <f ca="1">IFERROR(__xludf.DUMMYFUNCTION("""COMPUTED_VALUE"""),"МЕДИЦИНСКИЙ НЕТКАНЫЙ ПЛАСТЫРЬ В РУЛОНЕ (5 м x 2,5cm)")</f>
        <v>МЕДИЦИНСКИЙ НЕТКАНЫЙ ПЛАСТЫРЬ В РУЛОНЕ (5 м x 2,5cm)</v>
      </c>
      <c r="B1286" s="1" t="str">
        <f ca="1">IFERROR(__xludf.DUMMYFUNCTION("""COMPUTED_VALUE"""),"KZ.7700.02.01.00662251")</f>
        <v>KZ.7700.02.01.00662251</v>
      </c>
      <c r="C1286" s="1" t="str">
        <f ca="1">IFERROR(__xludf.DUMMYFUNCTION("""COMPUTED_VALUE"""),"Действителен до 01.04.2025")</f>
        <v>Действителен до 01.04.2025</v>
      </c>
      <c r="D1286" s="8" t="str">
        <f ca="1">IFERROR(__xludf.DUMMYFUNCTION("""COMPUTED_VALUE"""),"2053207-1")</f>
        <v>2053207-1</v>
      </c>
      <c r="E1286" s="1" t="str">
        <f ca="1">IFERROR(__xludf.DUMMYFUNCTION("""COMPUTED_VALUE"""),"годен до 03.2025")</f>
        <v>годен до 03.2025</v>
      </c>
      <c r="F1286" s="1" t="str">
        <f ca="1">IFERROR(__xludf.DUMMYFUNCTION("""COMPUTED_VALUE"""),"МЕДИЦИНСКИЙ НЕТКАНЫЙ ПЛАСТЫРЬ В РУЛОНЕ (5 м x 2,5cm) - 2053207-1")</f>
        <v>МЕДИЦИНСКИЙ НЕТКАНЫЙ ПЛАСТЫРЬ В РУЛОНЕ (5 м x 2,5cm) - 2053207-1</v>
      </c>
      <c r="G1286" s="1" t="str">
        <f ca="1">IFERROR(__xludf.DUMMYFUNCTION("""COMPUTED_VALUE"""),"KZ.7700.02.01.00662251 / Действителен до 01.04.2025 / 2053207-1 / годен до 03.2025")</f>
        <v>KZ.7700.02.01.00662251 / Действителен до 01.04.2025 / 2053207-1 / годен до 03.2025</v>
      </c>
      <c r="H1286" s="1" t="str">
        <f ca="1">IFERROR(__xludf.DUMMYFUNCTION("""COMPUTED_VALUE"""),"МЕДИЦИНСКИЙ НЕТКАНЫЙ ПЛАСТЫРЬ В РУЛОНЕ (5 м x 2,5cm) KZ.7700.02.01.00662251 / Действителен до 01.04.2025 / 2053207-1 / годен до 03.2025")</f>
        <v>МЕДИЦИНСКИЙ НЕТКАНЫЙ ПЛАСТЫРЬ В РУЛОНЕ (5 м x 2,5cm) KZ.7700.02.01.00662251 / Действителен до 01.04.2025 / 2053207-1 / годен до 03.2025</v>
      </c>
    </row>
    <row r="1287" spans="1:8" ht="12.75" x14ac:dyDescent="0.2">
      <c r="A1287" s="1" t="str">
        <f ca="1">IFERROR(__xludf.DUMMYFUNCTION("""COMPUTED_VALUE"""),"МЕДИЦИНСКИЙ ПЛАСТЫРЬ НА НЕТКАНОЙ ОСНОВЕ (10сm х 6сm) №10")</f>
        <v>МЕДИЦИНСКИЙ ПЛАСТЫРЬ НА НЕТКАНОЙ ОСНОВЕ (10сm х 6сm) №10</v>
      </c>
      <c r="B1287" s="1" t="str">
        <f ca="1">IFERROR(__xludf.DUMMYFUNCTION("""COMPUTED_VALUE"""),"KZ.7700.02.01.00662236")</f>
        <v>KZ.7700.02.01.00662236</v>
      </c>
      <c r="C1287" s="1" t="str">
        <f ca="1">IFERROR(__xludf.DUMMYFUNCTION("""COMPUTED_VALUE"""),"Действителен до 01.04.2025")</f>
        <v>Действителен до 01.04.2025</v>
      </c>
      <c r="D1287" s="8" t="str">
        <f ca="1">IFERROR(__xludf.DUMMYFUNCTION("""COMPUTED_VALUE"""),"20218110-2")</f>
        <v>20218110-2</v>
      </c>
      <c r="E1287" s="1" t="str">
        <f ca="1">IFERROR(__xludf.DUMMYFUNCTION("""COMPUTED_VALUE"""),"годен до 03.2025")</f>
        <v>годен до 03.2025</v>
      </c>
      <c r="F1287" s="1" t="str">
        <f ca="1">IFERROR(__xludf.DUMMYFUNCTION("""COMPUTED_VALUE"""),"МЕДИЦИНСКИЙ ПЛАСТЫРЬ НА НЕТКАНОЙ ОСНОВЕ (10сm х 6сm) №10 - 20218110-2")</f>
        <v>МЕДИЦИНСКИЙ ПЛАСТЫРЬ НА НЕТКАНОЙ ОСНОВЕ (10сm х 6сm) №10 - 20218110-2</v>
      </c>
      <c r="G1287" s="1" t="str">
        <f ca="1">IFERROR(__xludf.DUMMYFUNCTION("""COMPUTED_VALUE"""),"KZ.7700.02.01.00662236 / Действителен до 01.04.2025 / 20218110-2 / годен до 03.2025")</f>
        <v>KZ.7700.02.01.00662236 / Действителен до 01.04.2025 / 20218110-2 / годен до 03.2025</v>
      </c>
      <c r="H1287" s="1" t="str">
        <f ca="1">IFERROR(__xludf.DUMMYFUNCTION("""COMPUTED_VALUE"""),"МЕДИЦИНСКИЙ ПЛАСТЫРЬ НА НЕТКАНОЙ ОСНОВЕ (10сm х 6сm) №10 KZ.7700.02.01.00662236 / Действителен до 01.04.2025 / 20218110-2 / годен до 03.2025")</f>
        <v>МЕДИЦИНСКИЙ ПЛАСТЫРЬ НА НЕТКАНОЙ ОСНОВЕ (10сm х 6сm) №10 KZ.7700.02.01.00662236 / Действителен до 01.04.2025 / 20218110-2 / годен до 03.2025</v>
      </c>
    </row>
    <row r="1288" spans="1:8" ht="12.75" x14ac:dyDescent="0.2">
      <c r="A1288" s="1" t="str">
        <f ca="1">IFERROR(__xludf.DUMMYFUNCTION("""COMPUTED_VALUE"""),"МЕДИЦИНСКИЙ ПЛАСТЫРЬ НА ТКАНЕВОЙ ОСНОВЕ (19mm х 72mm) №10")</f>
        <v>МЕДИЦИНСКИЙ ПЛАСТЫРЬ НА ТКАНЕВОЙ ОСНОВЕ (19mm х 72mm) №10</v>
      </c>
      <c r="B1288" s="1" t="str">
        <f ca="1">IFERROR(__xludf.DUMMYFUNCTION("""COMPUTED_VALUE"""),"KZ.7700.02.01.00662232")</f>
        <v>KZ.7700.02.01.00662232</v>
      </c>
      <c r="C1288" s="1" t="str">
        <f ca="1">IFERROR(__xludf.DUMMYFUNCTION("""COMPUTED_VALUE"""),"Действителен до 01.04.2025")</f>
        <v>Действителен до 01.04.2025</v>
      </c>
      <c r="D1288" s="8" t="str">
        <f ca="1">IFERROR(__xludf.DUMMYFUNCTION("""COMPUTED_VALUE"""),"111-308-4")</f>
        <v>111-308-4</v>
      </c>
      <c r="E1288" s="1" t="str">
        <f ca="1">IFERROR(__xludf.DUMMYFUNCTION("""COMPUTED_VALUE"""),"годен до 03.2025")</f>
        <v>годен до 03.2025</v>
      </c>
      <c r="F1288" s="1" t="str">
        <f ca="1">IFERROR(__xludf.DUMMYFUNCTION("""COMPUTED_VALUE"""),"МЕДИЦИНСКИЙ ПЛАСТЫРЬ НА ТКАНЕВОЙ ОСНОВЕ (19mm х 72mm) №10 - 111-308-4")</f>
        <v>МЕДИЦИНСКИЙ ПЛАСТЫРЬ НА ТКАНЕВОЙ ОСНОВЕ (19mm х 72mm) №10 - 111-308-4</v>
      </c>
      <c r="G1288" s="1" t="str">
        <f ca="1">IFERROR(__xludf.DUMMYFUNCTION("""COMPUTED_VALUE"""),"KZ.7700.02.01.00662232 / Действителен до 01.04.2025 / 111-308-4 / годен до 03.2025")</f>
        <v>KZ.7700.02.01.00662232 / Действителен до 01.04.2025 / 111-308-4 / годен до 03.2025</v>
      </c>
      <c r="H1288" s="1" t="str">
        <f ca="1">IFERROR(__xludf.DUMMYFUNCTION("""COMPUTED_VALUE"""),"МЕДИЦИНСКИЙ ПЛАСТЫРЬ НА ТКАНЕВОЙ ОСНОВЕ (19mm х 72mm) №10 KZ.7700.02.01.00662232 / Действителен до 01.04.2025 / 111-308-4 / годен до 03.2025")</f>
        <v>МЕДИЦИНСКИЙ ПЛАСТЫРЬ НА ТКАНЕВОЙ ОСНОВЕ (19mm х 72mm) №10 KZ.7700.02.01.00662232 / Действителен до 01.04.2025 / 111-308-4 / годен до 03.2025</v>
      </c>
    </row>
    <row r="1289" spans="1:8" ht="12.75" x14ac:dyDescent="0.2">
      <c r="A1289" s="1" t="str">
        <f ca="1">IFERROR(__xludf.DUMMYFUNCTION("""COMPUTED_VALUE"""),"МЕДИЦИНСКИЙ ПЛАСТЫРЬ НА ТКАНЕВОЙ ОСНОВЕ (19mm х 72mm) №100")</f>
        <v>МЕДИЦИНСКИЙ ПЛАСТЫРЬ НА ТКАНЕВОЙ ОСНОВЕ (19mm х 72mm) №100</v>
      </c>
      <c r="B1289" s="1" t="str">
        <f ca="1">IFERROR(__xludf.DUMMYFUNCTION("""COMPUTED_VALUE"""),"KZ.7700.02.01.00662233")</f>
        <v>KZ.7700.02.01.00662233</v>
      </c>
      <c r="C1289" s="1" t="str">
        <f ca="1">IFERROR(__xludf.DUMMYFUNCTION("""COMPUTED_VALUE"""),"Действителен до 01.04.2025")</f>
        <v>Действителен до 01.04.2025</v>
      </c>
      <c r="D1289" s="8" t="str">
        <f ca="1">IFERROR(__xludf.DUMMYFUNCTION("""COMPUTED_VALUE"""),"111-308-5")</f>
        <v>111-308-5</v>
      </c>
      <c r="E1289" s="1" t="str">
        <f ca="1">IFERROR(__xludf.DUMMYFUNCTION("""COMPUTED_VALUE"""),"годен до 03.2025")</f>
        <v>годен до 03.2025</v>
      </c>
      <c r="F1289" s="1" t="str">
        <f ca="1">IFERROR(__xludf.DUMMYFUNCTION("""COMPUTED_VALUE"""),"МЕДИЦИНСКИЙ ПЛАСТЫРЬ НА ТКАНЕВОЙ ОСНОВЕ (19mm х 72mm) №100 - 111-308-5")</f>
        <v>МЕДИЦИНСКИЙ ПЛАСТЫРЬ НА ТКАНЕВОЙ ОСНОВЕ (19mm х 72mm) №100 - 111-308-5</v>
      </c>
      <c r="G1289" s="1" t="str">
        <f ca="1">IFERROR(__xludf.DUMMYFUNCTION("""COMPUTED_VALUE"""),"KZ.7700.02.01.00662233 / Действителен до 01.04.2025 / 111-308-5 / годен до 03.2025")</f>
        <v>KZ.7700.02.01.00662233 / Действителен до 01.04.2025 / 111-308-5 / годен до 03.2025</v>
      </c>
      <c r="H1289" s="1" t="str">
        <f ca="1">IFERROR(__xludf.DUMMYFUNCTION("""COMPUTED_VALUE"""),"МЕДИЦИНСКИЙ ПЛАСТЫРЬ НА ТКАНЕВОЙ ОСНОВЕ (19mm х 72mm) №100 KZ.7700.02.01.00662233 / Действителен до 01.04.2025 / 111-308-5 / годен до 03.2025")</f>
        <v>МЕДИЦИНСКИЙ ПЛАСТЫРЬ НА ТКАНЕВОЙ ОСНОВЕ (19mm х 72mm) №100 KZ.7700.02.01.00662233 / Действителен до 01.04.2025 / 111-308-5 / годен до 03.2025</v>
      </c>
    </row>
    <row r="1290" spans="1:8" ht="12.75" x14ac:dyDescent="0.2">
      <c r="A1290" s="1" t="str">
        <f ca="1">IFERROR(__xludf.DUMMYFUNCTION("""COMPUTED_VALUE"""),"МЕДИЦИНСКИЙ ХЛОПЧАТОБУМАЖНЫЙ ПЛАСТЫРЬ В РУЛОНЕ (5m x 1,25cm)")</f>
        <v>МЕДИЦИНСКИЙ ХЛОПЧАТОБУМАЖНЫЙ ПЛАСТЫРЬ В РУЛОНЕ (5m x 1,25cm)</v>
      </c>
      <c r="B1290" s="1" t="str">
        <f ca="1">IFERROR(__xludf.DUMMYFUNCTION("""COMPUTED_VALUE"""),"KZ.7700.02.01.00662240")</f>
        <v>KZ.7700.02.01.00662240</v>
      </c>
      <c r="C1290" s="1" t="str">
        <f ca="1">IFERROR(__xludf.DUMMYFUNCTION("""COMPUTED_VALUE"""),"Действителен до 01.04.2025")</f>
        <v>Действителен до 01.04.2025</v>
      </c>
      <c r="D1290" s="8" t="str">
        <f ca="1">IFERROR(__xludf.DUMMYFUNCTION("""COMPUTED_VALUE"""),"207208-5")</f>
        <v>207208-5</v>
      </c>
      <c r="E1290" s="1" t="str">
        <f ca="1">IFERROR(__xludf.DUMMYFUNCTION("""COMPUTED_VALUE"""),"годен до 03.2025")</f>
        <v>годен до 03.2025</v>
      </c>
      <c r="F1290" s="1" t="str">
        <f ca="1">IFERROR(__xludf.DUMMYFUNCTION("""COMPUTED_VALUE"""),"МЕДИЦИНСКИЙ ХЛОПЧАТОБУМАЖНЫЙ ПЛАСТЫРЬ В РУЛОНЕ (5m x 1,25cm) - 207208-5")</f>
        <v>МЕДИЦИНСКИЙ ХЛОПЧАТОБУМАЖНЫЙ ПЛАСТЫРЬ В РУЛОНЕ (5m x 1,25cm) - 207208-5</v>
      </c>
      <c r="G1290" s="1" t="str">
        <f ca="1">IFERROR(__xludf.DUMMYFUNCTION("""COMPUTED_VALUE"""),"KZ.7700.02.01.00662240 / Действителен до 01.04.2025 / 207208-5 / годен до 03.2025")</f>
        <v>KZ.7700.02.01.00662240 / Действителен до 01.04.2025 / 207208-5 / годен до 03.2025</v>
      </c>
      <c r="H1290" s="1" t="str">
        <f ca="1">IFERROR(__xludf.DUMMYFUNCTION("""COMPUTED_VALUE"""),"МЕДИЦИНСКИЙ ХЛОПЧАТОБУМАЖНЫЙ ПЛАСТЫРЬ В РУЛОНЕ (5m x 1,25cm) KZ.7700.02.01.00662240 / Действителен до 01.04.2025 / 207208-5 / годен до 03.2025")</f>
        <v>МЕДИЦИНСКИЙ ХЛОПЧАТОБУМАЖНЫЙ ПЛАСТЫРЬ В РУЛОНЕ (5m x 1,25cm) KZ.7700.02.01.00662240 / Действителен до 01.04.2025 / 207208-5 / годен до 03.2025</v>
      </c>
    </row>
    <row r="1291" spans="1:8" ht="12.75" x14ac:dyDescent="0.2">
      <c r="A1291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B1291" s="1" t="str">
        <f ca="1">IFERROR(__xludf.DUMMYFUNCTION("""COMPUTED_VALUE"""),"KZ.7700.02.01.00662241")</f>
        <v>KZ.7700.02.01.00662241</v>
      </c>
      <c r="C1291" s="1" t="str">
        <f ca="1">IFERROR(__xludf.DUMMYFUNCTION("""COMPUTED_VALUE"""),"Действителен до 01.04.2025")</f>
        <v>Действителен до 01.04.2025</v>
      </c>
      <c r="D1291" s="8" t="str">
        <f ca="1">IFERROR(__xludf.DUMMYFUNCTION("""COMPUTED_VALUE"""),"208208-5")</f>
        <v>208208-5</v>
      </c>
      <c r="E1291" s="1" t="str">
        <f ca="1">IFERROR(__xludf.DUMMYFUNCTION("""COMPUTED_VALUE"""),"годен до 03.2025")</f>
        <v>годен до 03.2025</v>
      </c>
      <c r="F1291" s="1" t="str">
        <f ca="1">IFERROR(__xludf.DUMMYFUNCTION("""COMPUTED_VALUE"""),"МЕДИЦИНСКИЙ ХЛОПЧАТОБУМАЖНЫЙ ПЛАСТЫРЬ В РУЛОНЕ (5m x 2,5cm) - 208208-5")</f>
        <v>МЕДИЦИНСКИЙ ХЛОПЧАТОБУМАЖНЫЙ ПЛАСТЫРЬ В РУЛОНЕ (5m x 2,5cm) - 208208-5</v>
      </c>
      <c r="G1291" s="1" t="str">
        <f ca="1">IFERROR(__xludf.DUMMYFUNCTION("""COMPUTED_VALUE"""),"KZ.7700.02.01.00662241 / Действителен до 01.04.2025 / 208208-5 / годен до 03.2025")</f>
        <v>KZ.7700.02.01.00662241 / Действителен до 01.04.2025 / 208208-5 / годен до 03.2025</v>
      </c>
      <c r="H1291" s="1" t="str">
        <f ca="1">IFERROR(__xludf.DUMMYFUNCTION("""COMPUTED_VALUE"""),"МЕДИЦИНСКИЙ ХЛОПЧАТОБУМАЖНЫЙ ПЛАСТЫРЬ В РУЛОНЕ (5m x 2,5cm) KZ.7700.02.01.00662241 / Действителен до 01.04.2025 / 208208-5 / годен до 03.2025")</f>
        <v>МЕДИЦИНСКИЙ ХЛОПЧАТОБУМАЖНЫЙ ПЛАСТЫРЬ В РУЛОНЕ (5m x 2,5cm) KZ.7700.02.01.00662241 / Действителен до 01.04.2025 / 208208-5 / годен до 03.2025</v>
      </c>
    </row>
    <row r="1292" spans="1:8" ht="12.75" x14ac:dyDescent="0.2">
      <c r="A1292" s="1" t="str">
        <f ca="1">IFERROR(__xludf.DUMMYFUNCTION("""COMPUTED_VALUE"""),"МОЗОЛЬНЫЙ ПЛАСТЫРЬ (19mm х 72mm) №4")</f>
        <v>МОЗОЛЬНЫЙ ПЛАСТЫРЬ (19mm х 72mm) №4</v>
      </c>
      <c r="B1292" s="1" t="str">
        <f ca="1">IFERROR(__xludf.DUMMYFUNCTION("""COMPUTED_VALUE"""),"KZ.7700.02.01.00662239")</f>
        <v>KZ.7700.02.01.00662239</v>
      </c>
      <c r="C1292" s="1" t="str">
        <f ca="1">IFERROR(__xludf.DUMMYFUNCTION("""COMPUTED_VALUE"""),"Действителен до 01.04.2025")</f>
        <v>Действителен до 01.04.2025</v>
      </c>
      <c r="D1292" s="8" t="str">
        <f ca="1">IFERROR(__xludf.DUMMYFUNCTION("""COMPUTED_VALUE"""),"20224-06")</f>
        <v>20224-06</v>
      </c>
      <c r="E1292" s="1" t="str">
        <f ca="1">IFERROR(__xludf.DUMMYFUNCTION("""COMPUTED_VALUE"""),"годен до 03.2025")</f>
        <v>годен до 03.2025</v>
      </c>
      <c r="F1292" s="1" t="str">
        <f ca="1">IFERROR(__xludf.DUMMYFUNCTION("""COMPUTED_VALUE"""),"МОЗОЛЬНЫЙ ПЛАСТЫРЬ (19mm х 72mm) №4 - 20224-06")</f>
        <v>МОЗОЛЬНЫЙ ПЛАСТЫРЬ (19mm х 72mm) №4 - 20224-06</v>
      </c>
      <c r="G1292" s="1" t="str">
        <f ca="1">IFERROR(__xludf.DUMMYFUNCTION("""COMPUTED_VALUE"""),"KZ.7700.02.01.00662239 / Действителен до 01.04.2025 / 20224-06 / годен до 03.2025")</f>
        <v>KZ.7700.02.01.00662239 / Действителен до 01.04.2025 / 20224-06 / годен до 03.2025</v>
      </c>
      <c r="H1292" s="1" t="str">
        <f ca="1">IFERROR(__xludf.DUMMYFUNCTION("""COMPUTED_VALUE"""),"МОЗОЛЬНЫЙ ПЛАСТЫРЬ (19mm х 72mm) №4 KZ.7700.02.01.00662239 / Действителен до 01.04.2025 / 20224-06 / годен до 03.2025")</f>
        <v>МОЗОЛЬНЫЙ ПЛАСТЫРЬ (19mm х 72mm) №4 KZ.7700.02.01.00662239 / Действителен до 01.04.2025 / 20224-06 / годен до 03.2025</v>
      </c>
    </row>
    <row r="1293" spans="1:8" ht="12.75" x14ac:dyDescent="0.2">
      <c r="A1293" s="1" t="str">
        <f ca="1">IFERROR(__xludf.DUMMYFUNCTION("""COMPUTED_VALUE"""),"ПЛАСТЫРИ ДЛЯ ДЕТЕЙ (19mm х 72mm) №20")</f>
        <v>ПЛАСТЫРИ ДЛЯ ДЕТЕЙ (19mm х 72mm) №20</v>
      </c>
      <c r="B1293" s="1" t="str">
        <f ca="1">IFERROR(__xludf.DUMMYFUNCTION("""COMPUTED_VALUE"""),"KZ.7700.02.01.00662238")</f>
        <v>KZ.7700.02.01.00662238</v>
      </c>
      <c r="C1293" s="1" t="str">
        <f ca="1">IFERROR(__xludf.DUMMYFUNCTION("""COMPUTED_VALUE"""),"Действителен до 01.04.2025")</f>
        <v>Действителен до 01.04.2025</v>
      </c>
      <c r="D1293" s="8" t="str">
        <f ca="1">IFERROR(__xludf.DUMMYFUNCTION("""COMPUTED_VALUE"""),"20213-06")</f>
        <v>20213-06</v>
      </c>
      <c r="E1293" s="1" t="str">
        <f ca="1">IFERROR(__xludf.DUMMYFUNCTION("""COMPUTED_VALUE"""),"годен до 03.2025")</f>
        <v>годен до 03.2025</v>
      </c>
      <c r="F1293" s="1" t="str">
        <f ca="1">IFERROR(__xludf.DUMMYFUNCTION("""COMPUTED_VALUE"""),"ПЛАСТЫРИ ДЛЯ ДЕТЕЙ (19mm х 72mm) №20 - 20213-06")</f>
        <v>ПЛАСТЫРИ ДЛЯ ДЕТЕЙ (19mm х 72mm) №20 - 20213-06</v>
      </c>
      <c r="G1293" s="1" t="str">
        <f ca="1">IFERROR(__xludf.DUMMYFUNCTION("""COMPUTED_VALUE"""),"KZ.7700.02.01.00662238 / Действителен до 01.04.2025 / 20213-06 / годен до 03.2025")</f>
        <v>KZ.7700.02.01.00662238 / Действителен до 01.04.2025 / 20213-06 / годен до 03.2025</v>
      </c>
      <c r="H1293" s="1" t="str">
        <f ca="1">IFERROR(__xludf.DUMMYFUNCTION("""COMPUTED_VALUE"""),"ПЛАСТЫРИ ДЛЯ ДЕТЕЙ (19mm х 72mm) №20 KZ.7700.02.01.00662238 / Действителен до 01.04.2025 / 20213-06 / годен до 03.2025")</f>
        <v>ПЛАСТЫРИ ДЛЯ ДЕТЕЙ (19mm х 72mm) №20 KZ.7700.02.01.00662238 / Действителен до 01.04.2025 / 20213-06 / годен до 03.2025</v>
      </c>
    </row>
    <row r="1294" spans="1:8" ht="12.75" x14ac:dyDescent="0.2">
      <c r="A1294" s="1" t="str">
        <f ca="1">IFERROR(__xludf.DUMMYFUNCTION("""COMPUTED_VALUE"""),"Система контроля уровня глюкозы в крови Bionime Rightest: GM550")</f>
        <v>Система контроля уровня глюкозы в крови Bionime Rightest: GM550</v>
      </c>
      <c r="B1294" s="1" t="str">
        <f ca="1">IFERROR(__xludf.DUMMYFUNCTION("""COMPUTED_VALUE"""),"KZ.7700.02.01.00724452")</f>
        <v>KZ.7700.02.01.00724452</v>
      </c>
      <c r="C1294" s="1" t="str">
        <f ca="1">IFERROR(__xludf.DUMMYFUNCTION("""COMPUTED_VALUE"""),"Действителен до Бессрочно")</f>
        <v>Действителен до Бессрочно</v>
      </c>
      <c r="D1294" s="8" t="str">
        <f ca="1">IFERROR(__xludf.DUMMYFUNCTION("""COMPUTED_VALUE"""),"99GM55004K")</f>
        <v>99GM55004K</v>
      </c>
      <c r="E1294" s="1" t="str">
        <f ca="1">IFERROR(__xludf.DUMMYFUNCTION("""COMPUTED_VALUE"""),"без срока годности")</f>
        <v>без срока годности</v>
      </c>
      <c r="F1294" s="1" t="str">
        <f ca="1">IFERROR(__xludf.DUMMYFUNCTION("""COMPUTED_VALUE"""),"Система контроля уровня глюкозы в крови Bionime Rightest: GM550 - 99GM55004K")</f>
        <v>Система контроля уровня глюкозы в крови Bionime Rightest: GM550 - 99GM55004K</v>
      </c>
      <c r="G1294" s="1" t="str">
        <f ca="1">IFERROR(__xludf.DUMMYFUNCTION("""COMPUTED_VALUE"""),"KZ.7700.02.01.00724452 / Действителен до Бессрочно / 99GM55004K / без срока годности")</f>
        <v>KZ.7700.02.01.00724452 / Действителен до Бессрочно / 99GM55004K / без срока годности</v>
      </c>
      <c r="H1294" s="1" t="str">
        <f ca="1">IFERROR(__xludf.DUMMYFUNCTION("""COMPUTED_VALUE"""),"Система контроля уровня глюкозы в крови Bionime Rightest: GM550 KZ.7700.02.01.00724452 / Действителен до Бессрочно / 99GM55004K / без срока годности")</f>
        <v>Система контроля уровня глюкозы в крови Bionime Rightest: GM550 KZ.7700.02.01.00724452 / Действителен до Бессрочно / 99GM55004K / без срока годности</v>
      </c>
    </row>
    <row r="1295" spans="1:8" ht="12.75" x14ac:dyDescent="0.2">
      <c r="A1295" s="1" t="str">
        <f ca="1">IFERROR(__xludf.DUMMYFUNCTION("""COMPUTED_VALUE"""),"Глюкометр GAMMA MINI")</f>
        <v>Глюкометр GAMMA MINI</v>
      </c>
      <c r="B1295" s="1" t="str">
        <f ca="1">IFERROR(__xludf.DUMMYFUNCTION("""COMPUTED_VALUE"""),"KZ.7700.02.01.00759239")</f>
        <v>KZ.7700.02.01.00759239</v>
      </c>
      <c r="C1295" s="1" t="str">
        <f ca="1">IFERROR(__xludf.DUMMYFUNCTION("""COMPUTED_VALUE"""),"Действителен до Бессрочно")</f>
        <v>Действителен до Бессрочно</v>
      </c>
      <c r="D1295" s="8" t="str">
        <f ca="1">IFERROR(__xludf.DUMMYFUNCTION("""COMPUTED_VALUE"""),"2021-06-07")</f>
        <v>2021-06-07</v>
      </c>
      <c r="E1295" s="1" t="str">
        <f ca="1">IFERROR(__xludf.DUMMYFUNCTION("""COMPUTED_VALUE"""),"без срока годности")</f>
        <v>без срока годности</v>
      </c>
      <c r="F1295" s="1" t="str">
        <f ca="1">IFERROR(__xludf.DUMMYFUNCTION("""COMPUTED_VALUE"""),"Глюкометр GAMMA MINI - 2021-06-07")</f>
        <v>Глюкометр GAMMA MINI - 2021-06-07</v>
      </c>
      <c r="G1295" s="1" t="str">
        <f ca="1">IFERROR(__xludf.DUMMYFUNCTION("""COMPUTED_VALUE"""),"KZ.7700.02.01.00759239 / Действителен до Бессрочно / 2021-06-07 / без срока годности")</f>
        <v>KZ.7700.02.01.00759239 / Действителен до Бессрочно / 2021-06-07 / без срока годности</v>
      </c>
      <c r="H1295" s="1" t="str">
        <f ca="1">IFERROR(__xludf.DUMMYFUNCTION("""COMPUTED_VALUE"""),"Глюкометр GAMMA MINI KZ.7700.02.01.00759239 / Действителен до Бессрочно / 2021-06-07 / без срока годности")</f>
        <v>Глюкометр GAMMA MINI KZ.7700.02.01.00759239 / Действителен до Бессрочно / 2021-06-07 / без срока годности</v>
      </c>
    </row>
    <row r="1296" spans="1:8" ht="12.75" x14ac:dyDescent="0.2">
      <c r="A1296" s="1" t="str">
        <f ca="1">IFERROR(__xludf.DUMMYFUNCTION("""COMPUTED_VALUE"""),"Глюкометр GAMMA MINI")</f>
        <v>Глюкометр GAMMA MINI</v>
      </c>
      <c r="B1296" s="1" t="str">
        <f ca="1">IFERROR(__xludf.DUMMYFUNCTION("""COMPUTED_VALUE"""),"KZ.7700.02.01.00731515")</f>
        <v>KZ.7700.02.01.00731515</v>
      </c>
      <c r="C1296" s="1" t="str">
        <f ca="1">IFERROR(__xludf.DUMMYFUNCTION("""COMPUTED_VALUE"""),"Действителен до Бессрочно")</f>
        <v>Действителен до Бессрочно</v>
      </c>
      <c r="D1296" s="8" t="str">
        <f ca="1">IFERROR(__xludf.DUMMYFUNCTION("""COMPUTED_VALUE"""),"2021-03-02")</f>
        <v>2021-03-02</v>
      </c>
      <c r="E1296" s="1" t="str">
        <f ca="1">IFERROR(__xludf.DUMMYFUNCTION("""COMPUTED_VALUE"""),"без срока годности")</f>
        <v>без срока годности</v>
      </c>
      <c r="F1296" s="1" t="str">
        <f ca="1">IFERROR(__xludf.DUMMYFUNCTION("""COMPUTED_VALUE"""),"Глюкометр GAMMA MINI - 2021-03-02")</f>
        <v>Глюкометр GAMMA MINI - 2021-03-02</v>
      </c>
      <c r="G1296" s="1" t="str">
        <f ca="1">IFERROR(__xludf.DUMMYFUNCTION("""COMPUTED_VALUE"""),"KZ.7700.02.01.00731515 / Действителен до Бессрочно / 2021-03-02 / без срока годности")</f>
        <v>KZ.7700.02.01.00731515 / Действителен до Бессрочно / 2021-03-02 / без срока годности</v>
      </c>
      <c r="H1296" s="1" t="str">
        <f ca="1">IFERROR(__xludf.DUMMYFUNCTION("""COMPUTED_VALUE"""),"Глюкометр GAMMA MINI KZ.7700.02.01.00731515 / Действителен до Бессрочно / 2021-03-02 / без срока годности")</f>
        <v>Глюкометр GAMMA MINI KZ.7700.02.01.00731515 / Действителен до Бессрочно / 2021-03-02 / без срока годности</v>
      </c>
    </row>
    <row r="1297" spans="1:8" ht="12.75" x14ac:dyDescent="0.2">
      <c r="A1297" s="1" t="str">
        <f ca="1">IFERROR(__xludf.DUMMYFUNCTION("""COMPUTED_VALUE"""),"Глюкометр GAMMA MINI")</f>
        <v>Глюкометр GAMMA MINI</v>
      </c>
      <c r="B1297" s="1" t="str">
        <f ca="1">IFERROR(__xludf.DUMMYFUNCTION("""COMPUTED_VALUE"""),"KZ.7700.02.01.00653318")</f>
        <v>KZ.7700.02.01.00653318</v>
      </c>
      <c r="C1297" s="1" t="str">
        <f ca="1">IFERROR(__xludf.DUMMYFUNCTION("""COMPUTED_VALUE"""),"Действителен до Бессрочно")</f>
        <v>Действителен до Бессрочно</v>
      </c>
      <c r="D1297" s="8" t="str">
        <f ca="1">IFERROR(__xludf.DUMMYFUNCTION("""COMPUTED_VALUE"""),"2020-04-29")</f>
        <v>2020-04-29</v>
      </c>
      <c r="E1297" s="1" t="str">
        <f ca="1">IFERROR(__xludf.DUMMYFUNCTION("""COMPUTED_VALUE"""),"без срока годности")</f>
        <v>без срока годности</v>
      </c>
      <c r="F1297" s="1" t="str">
        <f ca="1">IFERROR(__xludf.DUMMYFUNCTION("""COMPUTED_VALUE"""),"Глюкометр GAMMA MINI - 2020-04-29")</f>
        <v>Глюкометр GAMMA MINI - 2020-04-29</v>
      </c>
      <c r="G1297" s="1" t="str">
        <f ca="1">IFERROR(__xludf.DUMMYFUNCTION("""COMPUTED_VALUE"""),"KZ.7700.02.01.00653318 / Действителен до Бессрочно / 2020-04-29 / без срока годности")</f>
        <v>KZ.7700.02.01.00653318 / Действителен до Бессрочно / 2020-04-29 / без срока годности</v>
      </c>
      <c r="H1297" s="1" t="str">
        <f ca="1">IFERROR(__xludf.DUMMYFUNCTION("""COMPUTED_VALUE"""),"Глюкометр GAMMA MINI KZ.7700.02.01.00653318 / Действителен до Бессрочно / 2020-04-29 / без срока годности")</f>
        <v>Глюкометр GAMMA MINI KZ.7700.02.01.00653318 / Действителен до Бессрочно / 2020-04-29 / без срока годности</v>
      </c>
    </row>
    <row r="1298" spans="1:8" ht="12.75" x14ac:dyDescent="0.2">
      <c r="A1298" s="1" t="str">
        <f ca="1">IFERROR(__xludf.DUMMYFUNCTION("""COMPUTED_VALUE"""),"Глюкометр GAMMA MINI")</f>
        <v>Глюкометр GAMMA MINI</v>
      </c>
      <c r="B1298" s="1" t="str">
        <f ca="1">IFERROR(__xludf.DUMMYFUNCTION("""COMPUTED_VALUE"""),"KZ.7700.02.01.00678766")</f>
        <v>KZ.7700.02.01.00678766</v>
      </c>
      <c r="C1298" s="1" t="str">
        <f ca="1">IFERROR(__xludf.DUMMYFUNCTION("""COMPUTED_VALUE"""),"Действителен до Бессрочно")</f>
        <v>Действителен до Бессрочно</v>
      </c>
      <c r="D1298" s="8" t="str">
        <f ca="1">IFERROR(__xludf.DUMMYFUNCTION("""COMPUTED_VALUE"""),"2020-08-17")</f>
        <v>2020-08-17</v>
      </c>
      <c r="E1298" s="1" t="str">
        <f ca="1">IFERROR(__xludf.DUMMYFUNCTION("""COMPUTED_VALUE"""),"без срока годности")</f>
        <v>без срока годности</v>
      </c>
      <c r="F1298" s="1" t="str">
        <f ca="1">IFERROR(__xludf.DUMMYFUNCTION("""COMPUTED_VALUE"""),"Глюкометр GAMMA MINI - 2020-08-17")</f>
        <v>Глюкометр GAMMA MINI - 2020-08-17</v>
      </c>
      <c r="G1298" s="1" t="str">
        <f ca="1">IFERROR(__xludf.DUMMYFUNCTION("""COMPUTED_VALUE"""),"KZ.7700.02.01.00678766 / Действителен до Бессрочно / 2020-08-17 / без срока годности")</f>
        <v>KZ.7700.02.01.00678766 / Действителен до Бессрочно / 2020-08-17 / без срока годности</v>
      </c>
      <c r="H1298" s="1" t="str">
        <f ca="1">IFERROR(__xludf.DUMMYFUNCTION("""COMPUTED_VALUE"""),"Глюкометр GAMMA MINI KZ.7700.02.01.00678766 / Действителен до Бессрочно / 2020-08-17 / без срока годности")</f>
        <v>Глюкометр GAMMA MINI KZ.7700.02.01.00678766 / Действителен до Бессрочно / 2020-08-17 / без срока годности</v>
      </c>
    </row>
    <row r="1299" spans="1:8" ht="12.75" x14ac:dyDescent="0.2">
      <c r="A1299" s="1" t="str">
        <f ca="1">IFERROR(__xludf.DUMMYFUNCTION("""COMPUTED_VALUE"""),"Глюкометр GAMMA MINI")</f>
        <v>Глюкометр GAMMA MINI</v>
      </c>
      <c r="B1299" s="1" t="str">
        <f ca="1">IFERROR(__xludf.DUMMYFUNCTION("""COMPUTED_VALUE"""),"KZ.7700.02.01.00636615")</f>
        <v>KZ.7700.02.01.00636615</v>
      </c>
      <c r="C1299" s="1" t="str">
        <f ca="1">IFERROR(__xludf.DUMMYFUNCTION("""COMPUTED_VALUE"""),"Действителен до Бессрочно")</f>
        <v>Действителен до Бессрочно</v>
      </c>
      <c r="D1299" s="8" t="str">
        <f ca="1">IFERROR(__xludf.DUMMYFUNCTION("""COMPUTED_VALUE"""),"2020-03-17")</f>
        <v>2020-03-17</v>
      </c>
      <c r="E1299" s="1" t="str">
        <f ca="1">IFERROR(__xludf.DUMMYFUNCTION("""COMPUTED_VALUE"""),"без срока годности")</f>
        <v>без срока годности</v>
      </c>
      <c r="F1299" s="1" t="str">
        <f ca="1">IFERROR(__xludf.DUMMYFUNCTION("""COMPUTED_VALUE"""),"Глюкометр GAMMA MINI - 2020-03-17")</f>
        <v>Глюкометр GAMMA MINI - 2020-03-17</v>
      </c>
      <c r="G1299" s="1" t="str">
        <f ca="1">IFERROR(__xludf.DUMMYFUNCTION("""COMPUTED_VALUE"""),"KZ.7700.02.01.00636615 / Действителен до Бессрочно / 2020-03-17 / без срока годности")</f>
        <v>KZ.7700.02.01.00636615 / Действителен до Бессрочно / 2020-03-17 / без срока годности</v>
      </c>
      <c r="H1299" s="1" t="str">
        <f ca="1">IFERROR(__xludf.DUMMYFUNCTION("""COMPUTED_VALUE"""),"Глюкометр GAMMA MINI KZ.7700.02.01.00636615 / Действителен до Бессрочно / 2020-03-17 / без срока годности")</f>
        <v>Глюкометр GAMMA MINI KZ.7700.02.01.00636615 / Действителен до Бессрочно / 2020-03-17 / без срока годности</v>
      </c>
    </row>
    <row r="1300" spans="1:8" ht="12.75" x14ac:dyDescent="0.2">
      <c r="A1300" s="1" t="str">
        <f ca="1">IFERROR(__xludf.DUMMYFUNCTION("""COMPUTED_VALUE"""),"Глюкометр GAMMA MINI")</f>
        <v>Глюкометр GAMMA MINI</v>
      </c>
      <c r="B1300" s="1" t="str">
        <f ca="1">IFERROR(__xludf.DUMMYFUNCTION("""COMPUTED_VALUE"""),"KZ.7700.02.01.00609846")</f>
        <v>KZ.7700.02.01.00609846</v>
      </c>
      <c r="C1300" s="1" t="str">
        <f ca="1">IFERROR(__xludf.DUMMYFUNCTION("""COMPUTED_VALUE"""),"Действителен до Бессрочно")</f>
        <v>Действителен до Бессрочно</v>
      </c>
      <c r="D1300" s="8" t="str">
        <f ca="1">IFERROR(__xludf.DUMMYFUNCTION("""COMPUTED_VALUE"""),"2019-11-08")</f>
        <v>2019-11-08</v>
      </c>
      <c r="E1300" s="1" t="str">
        <f ca="1">IFERROR(__xludf.DUMMYFUNCTION("""COMPUTED_VALUE"""),"без срока годности")</f>
        <v>без срока годности</v>
      </c>
      <c r="F1300" s="1" t="str">
        <f ca="1">IFERROR(__xludf.DUMMYFUNCTION("""COMPUTED_VALUE"""),"Глюкометр GAMMA MINI - 2019-11-08")</f>
        <v>Глюкометр GAMMA MINI - 2019-11-08</v>
      </c>
      <c r="G1300" s="1" t="str">
        <f ca="1">IFERROR(__xludf.DUMMYFUNCTION("""COMPUTED_VALUE"""),"KZ.7700.02.01.00609846 / Действителен до Бессрочно / 2019-11-08 / без срока годности")</f>
        <v>KZ.7700.02.01.00609846 / Действителен до Бессрочно / 2019-11-08 / без срока годности</v>
      </c>
      <c r="H1300" s="1" t="str">
        <f ca="1">IFERROR(__xludf.DUMMYFUNCTION("""COMPUTED_VALUE"""),"Глюкометр GAMMA MINI KZ.7700.02.01.00609846 / Действителен до Бессрочно / 2019-11-08 / без срока годности")</f>
        <v>Глюкометр GAMMA MINI KZ.7700.02.01.00609846 / Действителен до Бессрочно / 2019-11-08 / без срока годности</v>
      </c>
    </row>
    <row r="1301" spans="1:8" ht="12.75" x14ac:dyDescent="0.2">
      <c r="A1301" s="1" t="str">
        <f ca="1">IFERROR(__xludf.DUMMYFUNCTION("""COMPUTED_VALUE"""),"Система контроля уровня глюкозы в крови Bionime Rightest: GM550")</f>
        <v>Система контроля уровня глюкозы в крови Bionime Rightest: GM550</v>
      </c>
      <c r="B1301" s="1" t="str">
        <f ca="1">IFERROR(__xludf.DUMMYFUNCTION("""COMPUTED_VALUE"""),"KZ.7700.02.01.00630235")</f>
        <v>KZ.7700.02.01.00630235</v>
      </c>
      <c r="C1301" s="1" t="str">
        <f ca="1">IFERROR(__xludf.DUMMYFUNCTION("""COMPUTED_VALUE"""),"Действителен до Бессрочно")</f>
        <v>Действителен до Бессрочно</v>
      </c>
      <c r="D1301" s="8" t="str">
        <f ca="1">IFERROR(__xludf.DUMMYFUNCTION("""COMPUTED_VALUE"""),"99GM55004K")</f>
        <v>99GM55004K</v>
      </c>
      <c r="E1301" s="1" t="str">
        <f ca="1">IFERROR(__xludf.DUMMYFUNCTION("""COMPUTED_VALUE"""),"без срока годности")</f>
        <v>без срока годности</v>
      </c>
      <c r="F1301" s="1" t="str">
        <f ca="1">IFERROR(__xludf.DUMMYFUNCTION("""COMPUTED_VALUE"""),"Система контроля уровня глюкозы в крови Bionime Rightest: GM550 - 99GM55004K")</f>
        <v>Система контроля уровня глюкозы в крови Bionime Rightest: GM550 - 99GM55004K</v>
      </c>
      <c r="G1301" s="1" t="str">
        <f ca="1">IFERROR(__xludf.DUMMYFUNCTION("""COMPUTED_VALUE"""),"KZ.7700.02.01.00630235 / Действителен до Бессрочно / 99GM55004K / без срока годности")</f>
        <v>KZ.7700.02.01.00630235 / Действителен до Бессрочно / 99GM55004K / без срока годности</v>
      </c>
      <c r="H1301" s="1" t="str">
        <f ca="1">IFERROR(__xludf.DUMMYFUNCTION("""COMPUTED_VALUE"""),"Система контроля уровня глюкозы в крови Bionime Rightest: GM550 KZ.7700.02.01.00630235 / Действителен до Бессрочно / 99GM55004K / без срока годности")</f>
        <v>Система контроля уровня глюкозы в крови Bionime Rightest: GM550 KZ.7700.02.01.00630235 / Действителен до Бессрочно / 99GM55004K / без срока годности</v>
      </c>
    </row>
    <row r="1302" spans="1:8" ht="12.75" x14ac:dyDescent="0.2">
      <c r="A1302" s="1" t="str">
        <f ca="1">IFERROR(__xludf.DUMMYFUNCTION("""COMPUTED_VALUE"""),"Система контроля уровня глюкозы в крови Bionime Rightest: GM550")</f>
        <v>Система контроля уровня глюкозы в крови Bionime Rightest: GM550</v>
      </c>
      <c r="B1302" s="1" t="str">
        <f ca="1">IFERROR(__xludf.DUMMYFUNCTION("""COMPUTED_VALUE"""),"KZ.7700.02.01.00681204")</f>
        <v>KZ.7700.02.01.00681204</v>
      </c>
      <c r="C1302" s="1" t="str">
        <f ca="1">IFERROR(__xludf.DUMMYFUNCTION("""COMPUTED_VALUE"""),"Действителен до Бессрочно")</f>
        <v>Действителен до Бессрочно</v>
      </c>
      <c r="D1302" s="8" t="str">
        <f ca="1">IFERROR(__xludf.DUMMYFUNCTION("""COMPUTED_VALUE"""),"99GM55004K")</f>
        <v>99GM55004K</v>
      </c>
      <c r="E1302" s="1" t="str">
        <f ca="1">IFERROR(__xludf.DUMMYFUNCTION("""COMPUTED_VALUE"""),"без срока годности")</f>
        <v>без срока годности</v>
      </c>
      <c r="F1302" s="1" t="str">
        <f ca="1">IFERROR(__xludf.DUMMYFUNCTION("""COMPUTED_VALUE"""),"Система контроля уровня глюкозы в крови Bionime Rightest: GM550 - 99GM55004K")</f>
        <v>Система контроля уровня глюкозы в крови Bionime Rightest: GM550 - 99GM55004K</v>
      </c>
      <c r="G1302" s="1" t="str">
        <f ca="1">IFERROR(__xludf.DUMMYFUNCTION("""COMPUTED_VALUE"""),"KZ.7700.02.01.00681204 / Действителен до Бессрочно / 99GM55004K / без срока годности")</f>
        <v>KZ.7700.02.01.00681204 / Действителен до Бессрочно / 99GM55004K / без срока годности</v>
      </c>
      <c r="H1302" s="1" t="str">
        <f ca="1">IFERROR(__xludf.DUMMYFUNCTION("""COMPUTED_VALUE"""),"Система контроля уровня глюкозы в крови Bionime Rightest: GM550 KZ.7700.02.01.00681204 / Действителен до Бессрочно / 99GM55004K / без срока годности")</f>
        <v>Система контроля уровня глюкозы в крови Bionime Rightest: GM550 KZ.7700.02.01.00681204 / Действителен до Бессрочно / 99GM55004K / без срока годности</v>
      </c>
    </row>
    <row r="1303" spans="1:8" ht="12.75" x14ac:dyDescent="0.2">
      <c r="A1303" s="1" t="str">
        <f ca="1">IFERROR(__xludf.DUMMYFUNCTION("""COMPUTED_VALUE"""),"Система контроля уровня глюкозы в крови Bionime Rightest: GM550")</f>
        <v>Система контроля уровня глюкозы в крови Bionime Rightest: GM550</v>
      </c>
      <c r="B1303" s="1" t="str">
        <f ca="1">IFERROR(__xludf.DUMMYFUNCTION("""COMPUTED_VALUE"""),"KZ.7700.02.01.00672229")</f>
        <v>KZ.7700.02.01.00672229</v>
      </c>
      <c r="C1303" s="1" t="str">
        <f ca="1">IFERROR(__xludf.DUMMYFUNCTION("""COMPUTED_VALUE"""),"Действителен до Бессрочно")</f>
        <v>Действителен до Бессрочно</v>
      </c>
      <c r="D1303" s="8" t="str">
        <f ca="1">IFERROR(__xludf.DUMMYFUNCTION("""COMPUTED_VALUE"""),"99GM55004K")</f>
        <v>99GM55004K</v>
      </c>
      <c r="E1303" s="1" t="str">
        <f ca="1">IFERROR(__xludf.DUMMYFUNCTION("""COMPUTED_VALUE"""),"без срока годности")</f>
        <v>без срока годности</v>
      </c>
      <c r="F1303" s="1" t="str">
        <f ca="1">IFERROR(__xludf.DUMMYFUNCTION("""COMPUTED_VALUE"""),"Система контроля уровня глюкозы в крови Bionime Rightest: GM550 - 99GM55004K")</f>
        <v>Система контроля уровня глюкозы в крови Bionime Rightest: GM550 - 99GM55004K</v>
      </c>
      <c r="G1303" s="1" t="str">
        <f ca="1">IFERROR(__xludf.DUMMYFUNCTION("""COMPUTED_VALUE"""),"KZ.7700.02.01.00672229 / Действителен до Бессрочно / 99GM55004K / без срока годности")</f>
        <v>KZ.7700.02.01.00672229 / Действителен до Бессрочно / 99GM55004K / без срока годности</v>
      </c>
      <c r="H1303" s="1" t="str">
        <f ca="1">IFERROR(__xludf.DUMMYFUNCTION("""COMPUTED_VALUE"""),"Система контроля уровня глюкозы в крови Bionime Rightest: GM550 KZ.7700.02.01.00672229 / Действителен до Бессрочно / 99GM55004K / без срока годности")</f>
        <v>Система контроля уровня глюкозы в крови Bionime Rightest: GM550 KZ.7700.02.01.00672229 / Действителен до Бессрочно / 99GM55004K / без срока годности</v>
      </c>
    </row>
    <row r="1304" spans="1:8" ht="12.75" x14ac:dyDescent="0.2">
      <c r="A1304" s="1" t="str">
        <f ca="1">IFERROR(__xludf.DUMMYFUNCTION("""COMPUTED_VALUE"""),"Система контроля уровня глюкозы в крови Bionime Rightest: GM550")</f>
        <v>Система контроля уровня глюкозы в крови Bionime Rightest: GM550</v>
      </c>
      <c r="B1304" s="1" t="str">
        <f ca="1">IFERROR(__xludf.DUMMYFUNCTION("""COMPUTED_VALUE"""),"KZ.7700.02.01.00595736")</f>
        <v>KZ.7700.02.01.00595736</v>
      </c>
      <c r="C1304" s="1" t="str">
        <f ca="1">IFERROR(__xludf.DUMMYFUNCTION("""COMPUTED_VALUE"""),"Действителен до Бессрочно")</f>
        <v>Действителен до Бессрочно</v>
      </c>
      <c r="D1304" s="8" t="str">
        <f ca="1">IFERROR(__xludf.DUMMYFUNCTION("""COMPUTED_VALUE"""),"2550SFB0678")</f>
        <v>2550SFB0678</v>
      </c>
      <c r="E1304" s="1" t="str">
        <f ca="1">IFERROR(__xludf.DUMMYFUNCTION("""COMPUTED_VALUE"""),"без срока годности")</f>
        <v>без срока годности</v>
      </c>
      <c r="F1304" s="1" t="str">
        <f ca="1">IFERROR(__xludf.DUMMYFUNCTION("""COMPUTED_VALUE"""),"Система контроля уровня глюкозы в крови Bionime Rightest: GM550 - 2550SFB0678")</f>
        <v>Система контроля уровня глюкозы в крови Bionime Rightest: GM550 - 2550SFB0678</v>
      </c>
      <c r="G1304" s="1" t="str">
        <f ca="1">IFERROR(__xludf.DUMMYFUNCTION("""COMPUTED_VALUE"""),"KZ.7700.02.01.00595736 / Действителен до Бессрочно / 2550SFB0678 / без срока годности")</f>
        <v>KZ.7700.02.01.00595736 / Действителен до Бессрочно / 2550SFB0678 / без срока годности</v>
      </c>
      <c r="H1304" s="1" t="str">
        <f ca="1">IFERROR(__xludf.DUMMYFUNCTION("""COMPUTED_VALUE"""),"Система контроля уровня глюкозы в крови Bionime Rightest: GM550 KZ.7700.02.01.00595736 / Действителен до Бессрочно / 2550SFB0678 / без срока годности")</f>
        <v>Система контроля уровня глюкозы в крови Bionime Rightest: GM550 KZ.7700.02.01.00595736 / Действителен до Бессрочно / 2550SFB0678 / без срока годности</v>
      </c>
    </row>
    <row r="1305" spans="1:8" ht="12.75" x14ac:dyDescent="0.2">
      <c r="A1305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305" s="1" t="str">
        <f ca="1">IFERROR(__xludf.DUMMYFUNCTION("""COMPUTED_VALUE"""),"KZ.7700.02.01.00696747")</f>
        <v>KZ.7700.02.01.00696747</v>
      </c>
      <c r="C1305" s="1" t="str">
        <f ca="1">IFERROR(__xludf.DUMMYFUNCTION("""COMPUTED_VALUE"""),"Действителен до Бессрочно")</f>
        <v>Действителен до Бессрочно</v>
      </c>
      <c r="D1305" s="8" t="str">
        <f ca="1">IFERROR(__xludf.DUMMYFUNCTION("""COMPUTED_VALUE"""),"202008")</f>
        <v>202008</v>
      </c>
      <c r="E1305" s="1" t="str">
        <f ca="1">IFERROR(__xludf.DUMMYFUNCTION("""COMPUTED_VALUE"""),"без срока годности")</f>
        <v>без срока годности</v>
      </c>
      <c r="F1305" s="1" t="str">
        <f ca="1">IFERROR(__xludf.DUMMYFUNCTION("""COMPUTED_VALUE"""),"Ингалятор компрессорный Gamma модель EFFECT NEW - 202008")</f>
        <v>Ингалятор компрессорный Gamma модель EFFECT NEW - 202008</v>
      </c>
      <c r="G1305" s="1" t="str">
        <f ca="1">IFERROR(__xludf.DUMMYFUNCTION("""COMPUTED_VALUE"""),"KZ.7700.02.01.00696747 / Действителен до Бессрочно / 202008 / без срока годности")</f>
        <v>KZ.7700.02.01.00696747 / Действителен до Бессрочно / 202008 / без срока годности</v>
      </c>
      <c r="H1305" s="1" t="str">
        <f ca="1">IFERROR(__xludf.DUMMYFUNCTION("""COMPUTED_VALUE"""),"Ингалятор компрессорный Gamma модель EFFECT NEW KZ.7700.02.01.00696747 / Действителен до Бессрочно / 202008 / без срока годности")</f>
        <v>Ингалятор компрессорный Gamma модель EFFECT NEW KZ.7700.02.01.00696747 / Действителен до Бессрочно / 202008 / без срока годности</v>
      </c>
    </row>
    <row r="1306" spans="1:8" ht="12.75" x14ac:dyDescent="0.2">
      <c r="A1306" s="1" t="str">
        <f ca="1">IFERROR(__xludf.DUMMYFUNCTION("""COMPUTED_VALUE"""),"Ингалятор компрессорный Gamma модель NEMO")</f>
        <v>Ингалятор компрессорный Gamma модель NEMO</v>
      </c>
      <c r="B1306" s="1" t="str">
        <f ca="1">IFERROR(__xludf.DUMMYFUNCTION("""COMPUTED_VALUE"""),"KZ.7700.02.01.00696771")</f>
        <v>KZ.7700.02.01.00696771</v>
      </c>
      <c r="C1306" s="1" t="str">
        <f ca="1">IFERROR(__xludf.DUMMYFUNCTION("""COMPUTED_VALUE"""),"Действителен до Бессрочно")</f>
        <v>Действителен до Бессрочно</v>
      </c>
      <c r="D1306" s="8" t="str">
        <f ca="1">IFERROR(__xludf.DUMMYFUNCTION("""COMPUTED_VALUE"""),"202008")</f>
        <v>202008</v>
      </c>
      <c r="E1306" s="1" t="str">
        <f ca="1">IFERROR(__xludf.DUMMYFUNCTION("""COMPUTED_VALUE"""),"без срока годности")</f>
        <v>без срока годности</v>
      </c>
      <c r="F1306" s="1" t="str">
        <f ca="1">IFERROR(__xludf.DUMMYFUNCTION("""COMPUTED_VALUE"""),"Ингалятор компрессорный Gamma модель NEMO - 202008")</f>
        <v>Ингалятор компрессорный Gamma модель NEMO - 202008</v>
      </c>
      <c r="G1306" s="1" t="str">
        <f ca="1">IFERROR(__xludf.DUMMYFUNCTION("""COMPUTED_VALUE"""),"KZ.7700.02.01.00696771 / Действителен до Бессрочно / 202008 / без срока годности")</f>
        <v>KZ.7700.02.01.00696771 / Действителен до Бессрочно / 202008 / без срока годности</v>
      </c>
      <c r="H1306" s="1" t="str">
        <f ca="1">IFERROR(__xludf.DUMMYFUNCTION("""COMPUTED_VALUE"""),"Ингалятор компрессорный Gamma модель NEMO KZ.7700.02.01.00696771 / Действителен до Бессрочно / 202008 / без срока годности")</f>
        <v>Ингалятор компрессорный Gamma модель NEMO KZ.7700.02.01.00696771 / Действителен до Бессрочно / 202008 / без срока годности</v>
      </c>
    </row>
    <row r="1307" spans="1:8" ht="12.75" x14ac:dyDescent="0.2">
      <c r="A1307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307" s="1" t="str">
        <f ca="1">IFERROR(__xludf.DUMMYFUNCTION("""COMPUTED_VALUE"""),"KZ.7700.02.01.00647923")</f>
        <v>KZ.7700.02.01.00647923</v>
      </c>
      <c r="C1307" s="1" t="str">
        <f ca="1">IFERROR(__xludf.DUMMYFUNCTION("""COMPUTED_VALUE"""),"Действителен до Бессрочно")</f>
        <v>Действителен до Бессрочно</v>
      </c>
      <c r="D1307" s="8" t="str">
        <f ca="1">IFERROR(__xludf.DUMMYFUNCTION("""COMPUTED_VALUE"""),"202003")</f>
        <v>202003</v>
      </c>
      <c r="E1307" s="1" t="str">
        <f ca="1">IFERROR(__xludf.DUMMYFUNCTION("""COMPUTED_VALUE"""),"без срока годности")</f>
        <v>без срока годности</v>
      </c>
      <c r="F1307" s="1" t="str">
        <f ca="1">IFERROR(__xludf.DUMMYFUNCTION("""COMPUTED_VALUE"""),"Ингалятор компрессорный Gamma модель EFFECT NEW - 202003")</f>
        <v>Ингалятор компрессорный Gamma модель EFFECT NEW - 202003</v>
      </c>
      <c r="G1307" s="1" t="str">
        <f ca="1">IFERROR(__xludf.DUMMYFUNCTION("""COMPUTED_VALUE"""),"KZ.7700.02.01.00647923 / Действителен до Бессрочно / 202003 / без срока годности")</f>
        <v>KZ.7700.02.01.00647923 / Действителен до Бессрочно / 202003 / без срока годности</v>
      </c>
      <c r="H1307" s="1" t="str">
        <f ca="1">IFERROR(__xludf.DUMMYFUNCTION("""COMPUTED_VALUE"""),"Ингалятор компрессорный Gamma модель EFFECT NEW KZ.7700.02.01.00647923 / Действителен до Бессрочно / 202003 / без срока годности")</f>
        <v>Ингалятор компрессорный Gamma модель EFFECT NEW KZ.7700.02.01.00647923 / Действителен до Бессрочно / 202003 / без срока годности</v>
      </c>
    </row>
    <row r="1308" spans="1:8" ht="12.75" x14ac:dyDescent="0.2">
      <c r="A1308" s="1" t="str">
        <f ca="1">IFERROR(__xludf.DUMMYFUNCTION("""COMPUTED_VALUE"""),"Ингалятор компрессорный Gamma модель NEMO")</f>
        <v>Ингалятор компрессорный Gamma модель NEMO</v>
      </c>
      <c r="B1308" s="1" t="str">
        <f ca="1">IFERROR(__xludf.DUMMYFUNCTION("""COMPUTED_VALUE"""),"KZ.7700.02.01.00647924")</f>
        <v>KZ.7700.02.01.00647924</v>
      </c>
      <c r="C1308" s="1" t="str">
        <f ca="1">IFERROR(__xludf.DUMMYFUNCTION("""COMPUTED_VALUE"""),"Действителен до Бессрочно")</f>
        <v>Действителен до Бессрочно</v>
      </c>
      <c r="D1308" s="8" t="str">
        <f ca="1">IFERROR(__xludf.DUMMYFUNCTION("""COMPUTED_VALUE"""),"202003")</f>
        <v>202003</v>
      </c>
      <c r="E1308" s="1" t="str">
        <f ca="1">IFERROR(__xludf.DUMMYFUNCTION("""COMPUTED_VALUE"""),"без срока годности")</f>
        <v>без срока годности</v>
      </c>
      <c r="F1308" s="1" t="str">
        <f ca="1">IFERROR(__xludf.DUMMYFUNCTION("""COMPUTED_VALUE"""),"Ингалятор компрессорный Gamma модель NEMO - 202003")</f>
        <v>Ингалятор компрессорный Gamma модель NEMO - 202003</v>
      </c>
      <c r="G1308" s="1" t="str">
        <f ca="1">IFERROR(__xludf.DUMMYFUNCTION("""COMPUTED_VALUE"""),"KZ.7700.02.01.00647924 / Действителен до Бессрочно / 202003 / без срока годности")</f>
        <v>KZ.7700.02.01.00647924 / Действителен до Бессрочно / 202003 / без срока годности</v>
      </c>
      <c r="H1308" s="1" t="str">
        <f ca="1">IFERROR(__xludf.DUMMYFUNCTION("""COMPUTED_VALUE"""),"Ингалятор компрессорный Gamma модель NEMO KZ.7700.02.01.00647924 / Действителен до Бессрочно / 202003 / без срока годности")</f>
        <v>Ингалятор компрессорный Gamma модель NEMO KZ.7700.02.01.00647924 / Действителен до Бессрочно / 202003 / без срока годности</v>
      </c>
    </row>
    <row r="1309" spans="1:8" ht="12.75" x14ac:dyDescent="0.2">
      <c r="A1309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309" s="1" t="str">
        <f ca="1">IFERROR(__xludf.DUMMYFUNCTION("""COMPUTED_VALUE"""),"KZ.7700.02.01.00617908")</f>
        <v>KZ.7700.02.01.00617908</v>
      </c>
      <c r="C1309" s="1" t="str">
        <f ca="1">IFERROR(__xludf.DUMMYFUNCTION("""COMPUTED_VALUE"""),"Действителен до Бессрочно")</f>
        <v>Действителен до Бессрочно</v>
      </c>
      <c r="D1309" s="8" t="str">
        <f ca="1">IFERROR(__xludf.DUMMYFUNCTION("""COMPUTED_VALUE"""),"201912")</f>
        <v>201912</v>
      </c>
      <c r="E1309" s="1" t="str">
        <f ca="1">IFERROR(__xludf.DUMMYFUNCTION("""COMPUTED_VALUE"""),"без срока годности")</f>
        <v>без срока годности</v>
      </c>
      <c r="F1309" s="1" t="str">
        <f ca="1">IFERROR(__xludf.DUMMYFUNCTION("""COMPUTED_VALUE"""),"Ингалятор компрессорный Gamma модель EFFECT NEW - 201912")</f>
        <v>Ингалятор компрессорный Gamma модель EFFECT NEW - 201912</v>
      </c>
      <c r="G1309" s="1" t="str">
        <f ca="1">IFERROR(__xludf.DUMMYFUNCTION("""COMPUTED_VALUE"""),"KZ.7700.02.01.00617908 / Действителен до Бессрочно / 201912 / без срока годности")</f>
        <v>KZ.7700.02.01.00617908 / Действителен до Бессрочно / 201912 / без срока годности</v>
      </c>
      <c r="H1309" s="1" t="str">
        <f ca="1">IFERROR(__xludf.DUMMYFUNCTION("""COMPUTED_VALUE"""),"Ингалятор компрессорный Gamma модель EFFECT NEW KZ.7700.02.01.00617908 / Действителен до Бессрочно / 201912 / без срока годности")</f>
        <v>Ингалятор компрессорный Gamma модель EFFECT NEW KZ.7700.02.01.00617908 / Действителен до Бессрочно / 201912 / без срока годности</v>
      </c>
    </row>
    <row r="1310" spans="1:8" ht="12.75" x14ac:dyDescent="0.2">
      <c r="A1310" s="1" t="str">
        <f ca="1">IFERROR(__xludf.DUMMYFUNCTION("""COMPUTED_VALUE"""),"Ингалятор компрессорный Gamma модель NEMO")</f>
        <v>Ингалятор компрессорный Gamma модель NEMO</v>
      </c>
      <c r="B1310" s="1" t="str">
        <f ca="1">IFERROR(__xludf.DUMMYFUNCTION("""COMPUTED_VALUE"""),"KZ.7700.02.01.00617909")</f>
        <v>KZ.7700.02.01.00617909</v>
      </c>
      <c r="C1310" s="1" t="str">
        <f ca="1">IFERROR(__xludf.DUMMYFUNCTION("""COMPUTED_VALUE"""),"Действителен до Бессрочно")</f>
        <v>Действителен до Бессрочно</v>
      </c>
      <c r="D1310" s="8" t="str">
        <f ca="1">IFERROR(__xludf.DUMMYFUNCTION("""COMPUTED_VALUE"""),"201912")</f>
        <v>201912</v>
      </c>
      <c r="E1310" s="1" t="str">
        <f ca="1">IFERROR(__xludf.DUMMYFUNCTION("""COMPUTED_VALUE"""),"без срока годности")</f>
        <v>без срока годности</v>
      </c>
      <c r="F1310" s="1" t="str">
        <f ca="1">IFERROR(__xludf.DUMMYFUNCTION("""COMPUTED_VALUE"""),"Ингалятор компрессорный Gamma модель NEMO - 201912")</f>
        <v>Ингалятор компрессорный Gamma модель NEMO - 201912</v>
      </c>
      <c r="G1310" s="1" t="str">
        <f ca="1">IFERROR(__xludf.DUMMYFUNCTION("""COMPUTED_VALUE"""),"KZ.7700.02.01.00617909 / Действителен до Бессрочно / 201912 / без срока годности")</f>
        <v>KZ.7700.02.01.00617909 / Действителен до Бессрочно / 201912 / без срока годности</v>
      </c>
      <c r="H1310" s="1" t="str">
        <f ca="1">IFERROR(__xludf.DUMMYFUNCTION("""COMPUTED_VALUE"""),"Ингалятор компрессорный Gamma модель NEMO KZ.7700.02.01.00617909 / Действителен до Бессрочно / 201912 / без срока годности")</f>
        <v>Ингалятор компрессорный Gamma модель NEMO KZ.7700.02.01.00617909 / Действителен до Бессрочно / 201912 / без срока годности</v>
      </c>
    </row>
    <row r="1311" spans="1:8" ht="12.75" x14ac:dyDescent="0.2">
      <c r="A1311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311" s="1" t="str">
        <f ca="1">IFERROR(__xludf.DUMMYFUNCTION("""COMPUTED_VALUE"""),"KZ.7700.02.01.00665910")</f>
        <v>KZ.7700.02.01.00665910</v>
      </c>
      <c r="C1311" s="1" t="str">
        <f ca="1">IFERROR(__xludf.DUMMYFUNCTION("""COMPUTED_VALUE"""),"Действителен до Бессрочно")</f>
        <v>Действителен до Бессрочно</v>
      </c>
      <c r="D1311" s="8" t="str">
        <f ca="1">IFERROR(__xludf.DUMMYFUNCTION("""COMPUTED_VALUE"""),"202005")</f>
        <v>202005</v>
      </c>
      <c r="E1311" s="1" t="str">
        <f ca="1">IFERROR(__xludf.DUMMYFUNCTION("""COMPUTED_VALUE"""),"без срока годности")</f>
        <v>без срока годности</v>
      </c>
      <c r="F1311" s="1" t="str">
        <f ca="1">IFERROR(__xludf.DUMMYFUNCTION("""COMPUTED_VALUE"""),"Ингалятор компрессорный Gamma модель EFFECT NEW - 202005")</f>
        <v>Ингалятор компрессорный Gamma модель EFFECT NEW - 202005</v>
      </c>
      <c r="G1311" s="1" t="str">
        <f ca="1">IFERROR(__xludf.DUMMYFUNCTION("""COMPUTED_VALUE"""),"KZ.7700.02.01.00665910 / Действителен до Бессрочно / 202005 / без срока годности")</f>
        <v>KZ.7700.02.01.00665910 / Действителен до Бессрочно / 202005 / без срока годности</v>
      </c>
      <c r="H1311" s="1" t="str">
        <f ca="1">IFERROR(__xludf.DUMMYFUNCTION("""COMPUTED_VALUE"""),"Ингалятор компрессорный Gamma модель EFFECT NEW KZ.7700.02.01.00665910 / Действителен до Бессрочно / 202005 / без срока годности")</f>
        <v>Ингалятор компрессорный Gamma модель EFFECT NEW KZ.7700.02.01.00665910 / Действителен до Бессрочно / 202005 / без срока годности</v>
      </c>
    </row>
    <row r="1312" spans="1:8" ht="12.75" x14ac:dyDescent="0.2">
      <c r="A1312" s="1" t="str">
        <f ca="1">IFERROR(__xludf.DUMMYFUNCTION("""COMPUTED_VALUE"""),"Ингалятор компрессорный Gamma модель NEMO")</f>
        <v>Ингалятор компрессорный Gamma модель NEMO</v>
      </c>
      <c r="B1312" s="1" t="str">
        <f ca="1">IFERROR(__xludf.DUMMYFUNCTION("""COMPUTED_VALUE"""),"KZ.7700.02.01.00665911")</f>
        <v>KZ.7700.02.01.00665911</v>
      </c>
      <c r="C1312" s="1" t="str">
        <f ca="1">IFERROR(__xludf.DUMMYFUNCTION("""COMPUTED_VALUE"""),"Действителен до Бессрочно")</f>
        <v>Действителен до Бессрочно</v>
      </c>
      <c r="D1312" s="8" t="str">
        <f ca="1">IFERROR(__xludf.DUMMYFUNCTION("""COMPUTED_VALUE"""),"202005")</f>
        <v>202005</v>
      </c>
      <c r="E1312" s="1" t="str">
        <f ca="1">IFERROR(__xludf.DUMMYFUNCTION("""COMPUTED_VALUE"""),"без срока годности")</f>
        <v>без срока годности</v>
      </c>
      <c r="F1312" s="1" t="str">
        <f ca="1">IFERROR(__xludf.DUMMYFUNCTION("""COMPUTED_VALUE"""),"Ингалятор компрессорный Gamma модель NEMO - 202005")</f>
        <v>Ингалятор компрессорный Gamma модель NEMO - 202005</v>
      </c>
      <c r="G1312" s="1" t="str">
        <f ca="1">IFERROR(__xludf.DUMMYFUNCTION("""COMPUTED_VALUE"""),"KZ.7700.02.01.00665911 / Действителен до Бессрочно / 202005 / без срока годности")</f>
        <v>KZ.7700.02.01.00665911 / Действителен до Бессрочно / 202005 / без срока годности</v>
      </c>
      <c r="H1312" s="1" t="str">
        <f ca="1">IFERROR(__xludf.DUMMYFUNCTION("""COMPUTED_VALUE"""),"Ингалятор компрессорный Gamma модель NEMO KZ.7700.02.01.00665911 / Действителен до Бессрочно / 202005 / без срока годности")</f>
        <v>Ингалятор компрессорный Gamma модель NEMO KZ.7700.02.01.00665911 / Действителен до Бессрочно / 202005 / без срока годности</v>
      </c>
    </row>
    <row r="1313" spans="1:8" ht="12.75" x14ac:dyDescent="0.2">
      <c r="A1313" s="1" t="str">
        <f ca="1">IFERROR(__xludf.DUMMYFUNCTION("""COMPUTED_VALUE"""),"Ингалятор компрессорный Gamma модель NEMO")</f>
        <v>Ингалятор компрессорный Gamma модель NEMO</v>
      </c>
      <c r="B1313" s="1" t="str">
        <f ca="1">IFERROR(__xludf.DUMMYFUNCTION("""COMPUTED_VALUE"""),"KZ.7700.02.01.00609081")</f>
        <v>KZ.7700.02.01.00609081</v>
      </c>
      <c r="C1313" s="1" t="str">
        <f ca="1">IFERROR(__xludf.DUMMYFUNCTION("""COMPUTED_VALUE"""),"Действителен до Бессрочно")</f>
        <v>Действителен до Бессрочно</v>
      </c>
      <c r="D1313" s="8" t="str">
        <f ca="1">IFERROR(__xludf.DUMMYFUNCTION("""COMPUTED_VALUE"""),"201910")</f>
        <v>201910</v>
      </c>
      <c r="E1313" s="1" t="str">
        <f ca="1">IFERROR(__xludf.DUMMYFUNCTION("""COMPUTED_VALUE"""),"без срока годности")</f>
        <v>без срока годности</v>
      </c>
      <c r="F1313" s="1" t="str">
        <f ca="1">IFERROR(__xludf.DUMMYFUNCTION("""COMPUTED_VALUE"""),"Ингалятор компрессорный Gamma модель NEMO - 201910")</f>
        <v>Ингалятор компрессорный Gamma модель NEMO - 201910</v>
      </c>
      <c r="G1313" s="1" t="str">
        <f ca="1">IFERROR(__xludf.DUMMYFUNCTION("""COMPUTED_VALUE"""),"KZ.7700.02.01.00609081 / Действителен до Бессрочно / 201910 / без срока годности")</f>
        <v>KZ.7700.02.01.00609081 / Действителен до Бессрочно / 201910 / без срока годности</v>
      </c>
      <c r="H1313" s="1" t="str">
        <f ca="1">IFERROR(__xludf.DUMMYFUNCTION("""COMPUTED_VALUE"""),"Ингалятор компрессорный Gamma модель NEMO KZ.7700.02.01.00609081 / Действителен до Бессрочно / 201910 / без срока годности")</f>
        <v>Ингалятор компрессорный Gamma модель NEMO KZ.7700.02.01.00609081 / Действителен до Бессрочно / 201910 / без срока годности</v>
      </c>
    </row>
    <row r="1314" spans="1:8" ht="12.75" x14ac:dyDescent="0.2">
      <c r="A1314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314" s="1" t="str">
        <f ca="1">IFERROR(__xludf.DUMMYFUNCTION("""COMPUTED_VALUE"""),"KZ.7700.02.01.00609082 ")</f>
        <v xml:space="preserve">KZ.7700.02.01.00609082 </v>
      </c>
      <c r="C1314" s="1" t="str">
        <f ca="1">IFERROR(__xludf.DUMMYFUNCTION("""COMPUTED_VALUE"""),"Действителен до Бессрочно")</f>
        <v>Действителен до Бессрочно</v>
      </c>
      <c r="D1314" s="8" t="str">
        <f ca="1">IFERROR(__xludf.DUMMYFUNCTION("""COMPUTED_VALUE"""),"201910")</f>
        <v>201910</v>
      </c>
      <c r="E1314" s="1" t="str">
        <f ca="1">IFERROR(__xludf.DUMMYFUNCTION("""COMPUTED_VALUE"""),"без срока годности")</f>
        <v>без срока годности</v>
      </c>
      <c r="F1314" s="1" t="str">
        <f ca="1">IFERROR(__xludf.DUMMYFUNCTION("""COMPUTED_VALUE"""),"Ингалятор компрессорный Gamma модель EFFECT NEW - 201910")</f>
        <v>Ингалятор компрессорный Gamma модель EFFECT NEW - 201910</v>
      </c>
      <c r="G1314" s="1" t="str">
        <f ca="1">IFERROR(__xludf.DUMMYFUNCTION("""COMPUTED_VALUE"""),"KZ.7700.02.01.00609082  / Действителен до Бессрочно / 201910 / без срока годности")</f>
        <v>KZ.7700.02.01.00609082  / Действителен до Бессрочно / 201910 / без срока годности</v>
      </c>
      <c r="H1314" s="1" t="str">
        <f ca="1">IFERROR(__xludf.DUMMYFUNCTION("""COMPUTED_VALUE"""),"Ингалятор компрессорный Gamma модель EFFECT NEW KZ.7700.02.01.00609082  / Действителен до Бессрочно / 201910 / без срока годности")</f>
        <v>Ингалятор компрессорный Gamma модель EFFECT NEW KZ.7700.02.01.00609082  / Действителен до Бессрочно / 201910 / без срока годности</v>
      </c>
    </row>
    <row r="1315" spans="1:8" ht="12.75" x14ac:dyDescent="0.2">
      <c r="A1315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315" s="1" t="str">
        <f ca="1">IFERROR(__xludf.DUMMYFUNCTION("""COMPUTED_VALUE"""),"KZ.7700.02.01.00581497")</f>
        <v>KZ.7700.02.01.00581497</v>
      </c>
      <c r="C1315" s="1" t="str">
        <f ca="1">IFERROR(__xludf.DUMMYFUNCTION("""COMPUTED_VALUE"""),"Действителен до Бессрочно")</f>
        <v>Действителен до Бессрочно</v>
      </c>
      <c r="D1315" s="8" t="str">
        <f ca="1">IFERROR(__xludf.DUMMYFUNCTION("""COMPUTED_VALUE"""),"201907")</f>
        <v>201907</v>
      </c>
      <c r="E1315" s="1" t="str">
        <f ca="1">IFERROR(__xludf.DUMMYFUNCTION("""COMPUTED_VALUE"""),"без срока годности")</f>
        <v>без срока годности</v>
      </c>
      <c r="F1315" s="1" t="str">
        <f ca="1">IFERROR(__xludf.DUMMYFUNCTION("""COMPUTED_VALUE"""),"Ингалятор компрессорный Gamma модель EFFECT NEW - 201907")</f>
        <v>Ингалятор компрессорный Gamma модель EFFECT NEW - 201907</v>
      </c>
      <c r="G1315" s="1" t="str">
        <f ca="1">IFERROR(__xludf.DUMMYFUNCTION("""COMPUTED_VALUE"""),"KZ.7700.02.01.00581497 / Действителен до Бессрочно / 201907 / без срока годности")</f>
        <v>KZ.7700.02.01.00581497 / Действителен до Бессрочно / 201907 / без срока годности</v>
      </c>
      <c r="H1315" s="1" t="str">
        <f ca="1">IFERROR(__xludf.DUMMYFUNCTION("""COMPUTED_VALUE"""),"Ингалятор компрессорный Gamma модель EFFECT NEW KZ.7700.02.01.00581497 / Действителен до Бессрочно / 201907 / без срока годности")</f>
        <v>Ингалятор компрессорный Gamma модель EFFECT NEW KZ.7700.02.01.00581497 / Действителен до Бессрочно / 201907 / без срока годности</v>
      </c>
    </row>
    <row r="1316" spans="1:8" ht="12.75" x14ac:dyDescent="0.2">
      <c r="A1316" s="1" t="str">
        <f ca="1">IFERROR(__xludf.DUMMYFUNCTION("""COMPUTED_VALUE"""),"Ингалятор компрессорный Gamma модель NEMO")</f>
        <v>Ингалятор компрессорный Gamma модель NEMO</v>
      </c>
      <c r="B1316" s="1" t="str">
        <f ca="1">IFERROR(__xludf.DUMMYFUNCTION("""COMPUTED_VALUE"""),"KZ.7700.02.01.00581498")</f>
        <v>KZ.7700.02.01.00581498</v>
      </c>
      <c r="C1316" s="1" t="str">
        <f ca="1">IFERROR(__xludf.DUMMYFUNCTION("""COMPUTED_VALUE"""),"Действителен до Бессрочно")</f>
        <v>Действителен до Бессрочно</v>
      </c>
      <c r="D1316" s="8" t="str">
        <f ca="1">IFERROR(__xludf.DUMMYFUNCTION("""COMPUTED_VALUE"""),"201907")</f>
        <v>201907</v>
      </c>
      <c r="E1316" s="1" t="str">
        <f ca="1">IFERROR(__xludf.DUMMYFUNCTION("""COMPUTED_VALUE"""),"без срока годности")</f>
        <v>без срока годности</v>
      </c>
      <c r="F1316" s="1" t="str">
        <f ca="1">IFERROR(__xludf.DUMMYFUNCTION("""COMPUTED_VALUE"""),"Ингалятор компрессорный Gamma модель NEMO - 201907")</f>
        <v>Ингалятор компрессорный Gamma модель NEMO - 201907</v>
      </c>
      <c r="G1316" s="1" t="str">
        <f ca="1">IFERROR(__xludf.DUMMYFUNCTION("""COMPUTED_VALUE"""),"KZ.7700.02.01.00581498 / Действителен до Бессрочно / 201907 / без срока годности")</f>
        <v>KZ.7700.02.01.00581498 / Действителен до Бессрочно / 201907 / без срока годности</v>
      </c>
      <c r="H1316" s="1" t="str">
        <f ca="1">IFERROR(__xludf.DUMMYFUNCTION("""COMPUTED_VALUE"""),"Ингалятор компрессорный Gamma модель NEMO KZ.7700.02.01.00581498 / Действителен до Бессрочно / 201907 / без срока годности")</f>
        <v>Ингалятор компрессорный Gamma модель NEMO KZ.7700.02.01.00581498 / Действителен до Бессрочно / 201907 / без срока годности</v>
      </c>
    </row>
    <row r="1317" spans="1:8" ht="12.75" x14ac:dyDescent="0.2">
      <c r="A1317" s="1" t="str">
        <f ca="1">IFERROR(__xludf.DUMMYFUNCTION("""COMPUTED_VALUE"""),"Ингалятор компрессорный Gamma модель NEMO")</f>
        <v>Ингалятор компрессорный Gamma модель NEMO</v>
      </c>
      <c r="B1317" s="1" t="str">
        <f ca="1">IFERROR(__xludf.DUMMYFUNCTION("""COMPUTED_VALUE"""),"KZ.7700.02.01.00575771")</f>
        <v>KZ.7700.02.01.00575771</v>
      </c>
      <c r="C1317" s="1" t="str">
        <f ca="1">IFERROR(__xludf.DUMMYFUNCTION("""COMPUTED_VALUE"""),"Действителен до Бессрочно")</f>
        <v>Действителен до Бессрочно</v>
      </c>
      <c r="D1317" s="8" t="str">
        <f ca="1">IFERROR(__xludf.DUMMYFUNCTION("""COMPUTED_VALUE"""),"201904")</f>
        <v>201904</v>
      </c>
      <c r="E1317" s="1" t="str">
        <f ca="1">IFERROR(__xludf.DUMMYFUNCTION("""COMPUTED_VALUE"""),"без срока годности")</f>
        <v>без срока годности</v>
      </c>
      <c r="F1317" s="1" t="str">
        <f ca="1">IFERROR(__xludf.DUMMYFUNCTION("""COMPUTED_VALUE"""),"Ингалятор компрессорный Gamma модель NEMO - 201904")</f>
        <v>Ингалятор компрессорный Gamma модель NEMO - 201904</v>
      </c>
      <c r="G1317" s="1" t="str">
        <f ca="1">IFERROR(__xludf.DUMMYFUNCTION("""COMPUTED_VALUE"""),"KZ.7700.02.01.00575771 / Действителен до Бессрочно / 201904 / без срока годности")</f>
        <v>KZ.7700.02.01.00575771 / Действителен до Бессрочно / 201904 / без срока годности</v>
      </c>
      <c r="H1317" s="1" t="str">
        <f ca="1">IFERROR(__xludf.DUMMYFUNCTION("""COMPUTED_VALUE"""),"Ингалятор компрессорный Gamma модель NEMO KZ.7700.02.01.00575771 / Действителен до Бессрочно / 201904 / без срока годности")</f>
        <v>Ингалятор компрессорный Gamma модель NEMO KZ.7700.02.01.00575771 / Действителен до Бессрочно / 201904 / без срока годности</v>
      </c>
    </row>
    <row r="1318" spans="1:8" ht="12.75" x14ac:dyDescent="0.2">
      <c r="A1318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318" s="1" t="str">
        <f ca="1">IFERROR(__xludf.DUMMYFUNCTION("""COMPUTED_VALUE"""),"KZ.7700.02.01.00575772")</f>
        <v>KZ.7700.02.01.00575772</v>
      </c>
      <c r="C1318" s="1" t="str">
        <f ca="1">IFERROR(__xludf.DUMMYFUNCTION("""COMPUTED_VALUE"""),"Действителен до Бессрочно")</f>
        <v>Действителен до Бессрочно</v>
      </c>
      <c r="D1318" s="8" t="str">
        <f ca="1">IFERROR(__xludf.DUMMYFUNCTION("""COMPUTED_VALUE"""),"201904")</f>
        <v>201904</v>
      </c>
      <c r="E1318" s="1" t="str">
        <f ca="1">IFERROR(__xludf.DUMMYFUNCTION("""COMPUTED_VALUE"""),"без срока годности")</f>
        <v>без срока годности</v>
      </c>
      <c r="F1318" s="1" t="str">
        <f ca="1">IFERROR(__xludf.DUMMYFUNCTION("""COMPUTED_VALUE"""),"Ингалятор компрессорный Gamma модель EFFECT NEW - 201904")</f>
        <v>Ингалятор компрессорный Gamma модель EFFECT NEW - 201904</v>
      </c>
      <c r="G1318" s="1" t="str">
        <f ca="1">IFERROR(__xludf.DUMMYFUNCTION("""COMPUTED_VALUE"""),"KZ.7700.02.01.00575772 / Действителен до Бессрочно / 201904 / без срока годности")</f>
        <v>KZ.7700.02.01.00575772 / Действителен до Бессрочно / 201904 / без срока годности</v>
      </c>
      <c r="H1318" s="1" t="str">
        <f ca="1">IFERROR(__xludf.DUMMYFUNCTION("""COMPUTED_VALUE"""),"Ингалятор компрессорный Gamma модель EFFECT NEW KZ.7700.02.01.00575772 / Действителен до Бессрочно / 201904 / без срока годности")</f>
        <v>Ингалятор компрессорный Gamma модель EFFECT NEW KZ.7700.02.01.00575772 / Действителен до Бессрочно / 201904 / без срока годности</v>
      </c>
    </row>
    <row r="1319" spans="1:8" ht="12.75" x14ac:dyDescent="0.2">
      <c r="A1319" s="1" t="str">
        <f ca="1">IFERROR(__xludf.DUMMYFUNCTION("""COMPUTED_VALUE"""),"Электронный термометр Dr.Frei Т-10")</f>
        <v>Электронный термометр Dr.Frei Т-10</v>
      </c>
      <c r="B1319" s="1" t="str">
        <f ca="1">IFERROR(__xludf.DUMMYFUNCTION("""COMPUTED_VALUE"""),"KZ.7700.02.01.00719905")</f>
        <v>KZ.7700.02.01.00719905</v>
      </c>
      <c r="C1319" s="1" t="str">
        <f ca="1">IFERROR(__xludf.DUMMYFUNCTION("""COMPUTED_VALUE"""),"Действителен до Бессрочно")</f>
        <v>Действителен до Бессрочно</v>
      </c>
      <c r="D1319" s="8" t="str">
        <f ca="1">IFERROR(__xludf.DUMMYFUNCTION("""COMPUTED_VALUE"""),"2101")</f>
        <v>2101</v>
      </c>
      <c r="E1319" s="1" t="str">
        <f ca="1">IFERROR(__xludf.DUMMYFUNCTION("""COMPUTED_VALUE"""),"без срока годности")</f>
        <v>без срока годности</v>
      </c>
      <c r="F1319" s="1" t="str">
        <f ca="1">IFERROR(__xludf.DUMMYFUNCTION("""COMPUTED_VALUE"""),"Электронный термометр Dr.Frei Т-10 - 2101")</f>
        <v>Электронный термометр Dr.Frei Т-10 - 2101</v>
      </c>
      <c r="G1319" s="1" t="str">
        <f ca="1">IFERROR(__xludf.DUMMYFUNCTION("""COMPUTED_VALUE"""),"KZ.7700.02.01.00719905 / Действителен до Бессрочно / 2101 / без срока годности")</f>
        <v>KZ.7700.02.01.00719905 / Действителен до Бессрочно / 2101 / без срока годности</v>
      </c>
      <c r="H1319" s="1" t="str">
        <f ca="1">IFERROR(__xludf.DUMMYFUNCTION("""COMPUTED_VALUE"""),"Электронный термометр Dr.Frei Т-10 KZ.7700.02.01.00719905 / Действителен до Бессрочно / 2101 / без срока годности")</f>
        <v>Электронный термометр Dr.Frei Т-10 KZ.7700.02.01.00719905 / Действителен до Бессрочно / 2101 / без срока годности</v>
      </c>
    </row>
    <row r="1320" spans="1:8" ht="12.75" x14ac:dyDescent="0.2">
      <c r="A1320" s="1" t="str">
        <f ca="1">IFERROR(__xludf.DUMMYFUNCTION("""COMPUTED_VALUE"""),"Электронный термометр Dr.Frei Т-20")</f>
        <v>Электронный термометр Dr.Frei Т-20</v>
      </c>
      <c r="B1320" s="1" t="str">
        <f ca="1">IFERROR(__xludf.DUMMYFUNCTION("""COMPUTED_VALUE"""),"KZ.7700.02.01.00719902")</f>
        <v>KZ.7700.02.01.00719902</v>
      </c>
      <c r="C1320" s="1" t="str">
        <f ca="1">IFERROR(__xludf.DUMMYFUNCTION("""COMPUTED_VALUE"""),"Действителен до Бессрочно")</f>
        <v>Действителен до Бессрочно</v>
      </c>
      <c r="D1320" s="8" t="str">
        <f ca="1">IFERROR(__xludf.DUMMYFUNCTION("""COMPUTED_VALUE"""),"2101")</f>
        <v>2101</v>
      </c>
      <c r="E1320" s="1" t="str">
        <f ca="1">IFERROR(__xludf.DUMMYFUNCTION("""COMPUTED_VALUE"""),"без срока годности")</f>
        <v>без срока годности</v>
      </c>
      <c r="F1320" s="1" t="str">
        <f ca="1">IFERROR(__xludf.DUMMYFUNCTION("""COMPUTED_VALUE"""),"Электронный термометр Dr.Frei Т-20 - 2101")</f>
        <v>Электронный термометр Dr.Frei Т-20 - 2101</v>
      </c>
      <c r="G1320" s="1" t="str">
        <f ca="1">IFERROR(__xludf.DUMMYFUNCTION("""COMPUTED_VALUE"""),"KZ.7700.02.01.00719902 / Действителен до Бессрочно / 2101 / без срока годности")</f>
        <v>KZ.7700.02.01.00719902 / Действителен до Бессрочно / 2101 / без срока годности</v>
      </c>
      <c r="H1320" s="1" t="str">
        <f ca="1">IFERROR(__xludf.DUMMYFUNCTION("""COMPUTED_VALUE"""),"Электронный термометр Dr.Frei Т-20 KZ.7700.02.01.00719902 / Действителен до Бессрочно / 2101 / без срока годности")</f>
        <v>Электронный термометр Dr.Frei Т-20 KZ.7700.02.01.00719902 / Действителен до Бессрочно / 2101 / без срока годности</v>
      </c>
    </row>
    <row r="1321" spans="1:8" ht="12.75" x14ac:dyDescent="0.2">
      <c r="A1321" s="1" t="str">
        <f ca="1">IFERROR(__xludf.DUMMYFUNCTION("""COMPUTED_VALUE"""),"Электронный термометр Dr.Frei Т-10")</f>
        <v>Электронный термометр Dr.Frei Т-10</v>
      </c>
      <c r="B1321" s="1" t="str">
        <f ca="1">IFERROR(__xludf.DUMMYFUNCTION("""COMPUTED_VALUE"""),"KZ.7700.02.01.00726393")</f>
        <v>KZ.7700.02.01.00726393</v>
      </c>
      <c r="C1321" s="1" t="str">
        <f ca="1">IFERROR(__xludf.DUMMYFUNCTION("""COMPUTED_VALUE"""),"Действителен до Бессрочно")</f>
        <v>Действителен до Бессрочно</v>
      </c>
      <c r="D1321" s="8" t="str">
        <f ca="1">IFERROR(__xludf.DUMMYFUNCTION("""COMPUTED_VALUE"""),"2010")</f>
        <v>2010</v>
      </c>
      <c r="E1321" s="1" t="str">
        <f ca="1">IFERROR(__xludf.DUMMYFUNCTION("""COMPUTED_VALUE"""),"без срока годности")</f>
        <v>без срока годности</v>
      </c>
      <c r="F1321" s="1" t="str">
        <f ca="1">IFERROR(__xludf.DUMMYFUNCTION("""COMPUTED_VALUE"""),"Электронный термометр Dr.Frei Т-10 - 2010")</f>
        <v>Электронный термометр Dr.Frei Т-10 - 2010</v>
      </c>
      <c r="G1321" s="1" t="str">
        <f ca="1">IFERROR(__xludf.DUMMYFUNCTION("""COMPUTED_VALUE"""),"KZ.7700.02.01.00726393 / Действителен до Бессрочно / 2010 / без срока годности")</f>
        <v>KZ.7700.02.01.00726393 / Действителен до Бессрочно / 2010 / без срока годности</v>
      </c>
      <c r="H1321" s="1" t="str">
        <f ca="1">IFERROR(__xludf.DUMMYFUNCTION("""COMPUTED_VALUE"""),"Электронный термометр Dr.Frei Т-10 KZ.7700.02.01.00726393 / Действителен до Бессрочно / 2010 / без срока годности")</f>
        <v>Электронный термометр Dr.Frei Т-10 KZ.7700.02.01.00726393 / Действителен до Бессрочно / 2010 / без срока годности</v>
      </c>
    </row>
    <row r="1322" spans="1:8" ht="12.75" x14ac:dyDescent="0.2">
      <c r="A1322" s="1" t="str">
        <f ca="1">IFERROR(__xludf.DUMMYFUNCTION("""COMPUTED_VALUE"""),"Электронный термометр Dr.Frei Т-20")</f>
        <v>Электронный термометр Dr.Frei Т-20</v>
      </c>
      <c r="B1322" s="1" t="str">
        <f ca="1">IFERROR(__xludf.DUMMYFUNCTION("""COMPUTED_VALUE"""),"KZ.7700.02.01.00726384")</f>
        <v>KZ.7700.02.01.00726384</v>
      </c>
      <c r="C1322" s="1" t="str">
        <f ca="1">IFERROR(__xludf.DUMMYFUNCTION("""COMPUTED_VALUE"""),"Действителен до Бессрочно")</f>
        <v>Действителен до Бессрочно</v>
      </c>
      <c r="D1322" s="8" t="str">
        <f ca="1">IFERROR(__xludf.DUMMYFUNCTION("""COMPUTED_VALUE"""),"2010")</f>
        <v>2010</v>
      </c>
      <c r="E1322" s="1" t="str">
        <f ca="1">IFERROR(__xludf.DUMMYFUNCTION("""COMPUTED_VALUE"""),"без срока годности")</f>
        <v>без срока годности</v>
      </c>
      <c r="F1322" s="1" t="str">
        <f ca="1">IFERROR(__xludf.DUMMYFUNCTION("""COMPUTED_VALUE"""),"Электронный термометр Dr.Frei Т-20 - 2010")</f>
        <v>Электронный термометр Dr.Frei Т-20 - 2010</v>
      </c>
      <c r="G1322" s="1" t="str">
        <f ca="1">IFERROR(__xludf.DUMMYFUNCTION("""COMPUTED_VALUE"""),"KZ.7700.02.01.00726384 / Действителен до Бессрочно / 2010 / без срока годности")</f>
        <v>KZ.7700.02.01.00726384 / Действителен до Бессрочно / 2010 / без срока годности</v>
      </c>
      <c r="H1322" s="1" t="str">
        <f ca="1">IFERROR(__xludf.DUMMYFUNCTION("""COMPUTED_VALUE"""),"Электронный термометр Dr.Frei Т-20 KZ.7700.02.01.00726384 / Действителен до Бессрочно / 2010 / без срока годности")</f>
        <v>Электронный термометр Dr.Frei Т-20 KZ.7700.02.01.00726384 / Действителен до Бессрочно / 2010 / без срока годности</v>
      </c>
    </row>
    <row r="1323" spans="1:8" ht="12.75" x14ac:dyDescent="0.2">
      <c r="A1323" s="1" t="str">
        <f ca="1">IFERROR(__xludf.DUMMYFUNCTION("""COMPUTED_VALUE"""),"Электронный термометр Dr.Frei Т-10")</f>
        <v>Электронный термометр Dr.Frei Т-10</v>
      </c>
      <c r="B1323" s="1" t="str">
        <f ca="1">IFERROR(__xludf.DUMMYFUNCTION("""COMPUTED_VALUE"""),"KZ.7700.02.01.00739945")</f>
        <v>KZ.7700.02.01.00739945</v>
      </c>
      <c r="C1323" s="1" t="str">
        <f ca="1">IFERROR(__xludf.DUMMYFUNCTION("""COMPUTED_VALUE"""),"Действителен до Бессрочно")</f>
        <v>Действителен до Бессрочно</v>
      </c>
      <c r="D1323" s="8" t="str">
        <f ca="1">IFERROR(__xludf.DUMMYFUNCTION("""COMPUTED_VALUE"""),"2103")</f>
        <v>2103</v>
      </c>
      <c r="E1323" s="1" t="str">
        <f ca="1">IFERROR(__xludf.DUMMYFUNCTION("""COMPUTED_VALUE"""),"без срока годности")</f>
        <v>без срока годности</v>
      </c>
      <c r="F1323" s="1" t="str">
        <f ca="1">IFERROR(__xludf.DUMMYFUNCTION("""COMPUTED_VALUE"""),"Электронный термометр Dr.Frei Т-10 - 2103")</f>
        <v>Электронный термометр Dr.Frei Т-10 - 2103</v>
      </c>
      <c r="G1323" s="1" t="str">
        <f ca="1">IFERROR(__xludf.DUMMYFUNCTION("""COMPUTED_VALUE"""),"KZ.7700.02.01.00739945 / Действителен до Бессрочно / 2103 / без срока годности")</f>
        <v>KZ.7700.02.01.00739945 / Действителен до Бессрочно / 2103 / без срока годности</v>
      </c>
      <c r="H1323" s="1" t="str">
        <f ca="1">IFERROR(__xludf.DUMMYFUNCTION("""COMPUTED_VALUE"""),"Электронный термометр Dr.Frei Т-10 KZ.7700.02.01.00739945 / Действителен до Бессрочно / 2103 / без срока годности")</f>
        <v>Электронный термометр Dr.Frei Т-10 KZ.7700.02.01.00739945 / Действителен до Бессрочно / 2103 / без срока годности</v>
      </c>
    </row>
    <row r="1324" spans="1:8" ht="12.75" x14ac:dyDescent="0.2">
      <c r="A1324" s="1" t="str">
        <f ca="1">IFERROR(__xludf.DUMMYFUNCTION("""COMPUTED_VALUE"""),"Электронный термометр Dr.Frei Т-20")</f>
        <v>Электронный термометр Dr.Frei Т-20</v>
      </c>
      <c r="B1324" s="1" t="str">
        <f ca="1">IFERROR(__xludf.DUMMYFUNCTION("""COMPUTED_VALUE"""),"KZ.7700.02.01.00739947")</f>
        <v>KZ.7700.02.01.00739947</v>
      </c>
      <c r="C1324" s="1" t="str">
        <f ca="1">IFERROR(__xludf.DUMMYFUNCTION("""COMPUTED_VALUE"""),"Действителен до Бессрочно")</f>
        <v>Действителен до Бессрочно</v>
      </c>
      <c r="D1324" s="8" t="str">
        <f ca="1">IFERROR(__xludf.DUMMYFUNCTION("""COMPUTED_VALUE"""),"2103")</f>
        <v>2103</v>
      </c>
      <c r="E1324" s="1" t="str">
        <f ca="1">IFERROR(__xludf.DUMMYFUNCTION("""COMPUTED_VALUE"""),"без срока годности")</f>
        <v>без срока годности</v>
      </c>
      <c r="F1324" s="1" t="str">
        <f ca="1">IFERROR(__xludf.DUMMYFUNCTION("""COMPUTED_VALUE"""),"Электронный термометр Dr.Frei Т-20 - 2103")</f>
        <v>Электронный термометр Dr.Frei Т-20 - 2103</v>
      </c>
      <c r="G1324" s="1" t="str">
        <f ca="1">IFERROR(__xludf.DUMMYFUNCTION("""COMPUTED_VALUE"""),"KZ.7700.02.01.00739947 / Действителен до Бессрочно / 2103 / без срока годности")</f>
        <v>KZ.7700.02.01.00739947 / Действителен до Бессрочно / 2103 / без срока годности</v>
      </c>
      <c r="H1324" s="1" t="str">
        <f ca="1">IFERROR(__xludf.DUMMYFUNCTION("""COMPUTED_VALUE"""),"Электронный термометр Dr.Frei Т-20 KZ.7700.02.01.00739947 / Действителен до Бессрочно / 2103 / без срока годности")</f>
        <v>Электронный термометр Dr.Frei Т-20 KZ.7700.02.01.00739947 / Действителен до Бессрочно / 2103 / без срока годности</v>
      </c>
    </row>
    <row r="1325" spans="1:8" ht="12.75" x14ac:dyDescent="0.2">
      <c r="A1325" s="1" t="str">
        <f ca="1">IFERROR(__xludf.DUMMYFUNCTION("""COMPUTED_VALUE"""),"Электронный термометр Dr.Frei Т-10")</f>
        <v>Электронный термометр Dr.Frei Т-10</v>
      </c>
      <c r="B1325" s="1" t="str">
        <f ca="1">IFERROR(__xludf.DUMMYFUNCTION("""COMPUTED_VALUE"""),"KZ.7700.02.01.00636167")</f>
        <v>KZ.7700.02.01.00636167</v>
      </c>
      <c r="C1325" s="1" t="str">
        <f ca="1">IFERROR(__xludf.DUMMYFUNCTION("""COMPUTED_VALUE"""),"Действителен до Бессрочно")</f>
        <v>Действителен до Бессрочно</v>
      </c>
      <c r="D1325" s="8" t="str">
        <f ca="1">IFERROR(__xludf.DUMMYFUNCTION("""COMPUTED_VALUE"""),"1912")</f>
        <v>1912</v>
      </c>
      <c r="E1325" s="1" t="str">
        <f ca="1">IFERROR(__xludf.DUMMYFUNCTION("""COMPUTED_VALUE"""),"без срока годности")</f>
        <v>без срока годности</v>
      </c>
      <c r="F1325" s="1" t="str">
        <f ca="1">IFERROR(__xludf.DUMMYFUNCTION("""COMPUTED_VALUE"""),"Электронный термометр Dr.Frei Т-10 - 1912")</f>
        <v>Электронный термометр Dr.Frei Т-10 - 1912</v>
      </c>
      <c r="G1325" s="1" t="str">
        <f ca="1">IFERROR(__xludf.DUMMYFUNCTION("""COMPUTED_VALUE"""),"KZ.7700.02.01.00636167 / Действителен до Бессрочно / 1912 / без срока годности")</f>
        <v>KZ.7700.02.01.00636167 / Действителен до Бессрочно / 1912 / без срока годности</v>
      </c>
      <c r="H1325" s="1" t="str">
        <f ca="1">IFERROR(__xludf.DUMMYFUNCTION("""COMPUTED_VALUE"""),"Электронный термометр Dr.Frei Т-10 KZ.7700.02.01.00636167 / Действителен до Бессрочно / 1912 / без срока годности")</f>
        <v>Электронный термометр Dr.Frei Т-10 KZ.7700.02.01.00636167 / Действителен до Бессрочно / 1912 / без срока годности</v>
      </c>
    </row>
    <row r="1326" spans="1:8" ht="12.75" x14ac:dyDescent="0.2">
      <c r="A1326" s="1" t="str">
        <f ca="1">IFERROR(__xludf.DUMMYFUNCTION("""COMPUTED_VALUE"""),"Электронный термометр Dr.Frei Т-20")</f>
        <v>Электронный термометр Dr.Frei Т-20</v>
      </c>
      <c r="B1326" s="1" t="str">
        <f ca="1">IFERROR(__xludf.DUMMYFUNCTION("""COMPUTED_VALUE"""),"KZ.7700.02.01.00636166")</f>
        <v>KZ.7700.02.01.00636166</v>
      </c>
      <c r="C1326" s="1" t="str">
        <f ca="1">IFERROR(__xludf.DUMMYFUNCTION("""COMPUTED_VALUE"""),"Действителен до Бессрочно")</f>
        <v>Действителен до Бессрочно</v>
      </c>
      <c r="D1326" s="8" t="str">
        <f ca="1">IFERROR(__xludf.DUMMYFUNCTION("""COMPUTED_VALUE"""),"1912")</f>
        <v>1912</v>
      </c>
      <c r="E1326" s="1" t="str">
        <f ca="1">IFERROR(__xludf.DUMMYFUNCTION("""COMPUTED_VALUE"""),"без срока годности")</f>
        <v>без срока годности</v>
      </c>
      <c r="F1326" s="1" t="str">
        <f ca="1">IFERROR(__xludf.DUMMYFUNCTION("""COMPUTED_VALUE"""),"Электронный термометр Dr.Frei Т-20 - 1912")</f>
        <v>Электронный термометр Dr.Frei Т-20 - 1912</v>
      </c>
      <c r="G1326" s="1" t="str">
        <f ca="1">IFERROR(__xludf.DUMMYFUNCTION("""COMPUTED_VALUE"""),"KZ.7700.02.01.00636166 / Действителен до Бессрочно / 1912 / без срока годности")</f>
        <v>KZ.7700.02.01.00636166 / Действителен до Бессрочно / 1912 / без срока годности</v>
      </c>
      <c r="H1326" s="1" t="str">
        <f ca="1">IFERROR(__xludf.DUMMYFUNCTION("""COMPUTED_VALUE"""),"Электронный термометр Dr.Frei Т-20 KZ.7700.02.01.00636166 / Действителен до Бессрочно / 1912 / без срока годности")</f>
        <v>Электронный термометр Dr.Frei Т-20 KZ.7700.02.01.00636166 / Действителен до Бессрочно / 1912 / без срока годности</v>
      </c>
    </row>
    <row r="1327" spans="1:8" ht="12.75" x14ac:dyDescent="0.2">
      <c r="A1327" s="1" t="str">
        <f ca="1">IFERROR(__xludf.DUMMYFUNCTION("""COMPUTED_VALUE"""),"Электронный термометр Dr.Frei Т-10")</f>
        <v>Электронный термометр Dr.Frei Т-10</v>
      </c>
      <c r="B1327" s="1" t="str">
        <f ca="1">IFERROR(__xludf.DUMMYFUNCTION("""COMPUTED_VALUE"""),"KZ.7700.02.01.00701673")</f>
        <v>KZ.7700.02.01.00701673</v>
      </c>
      <c r="C1327" s="1" t="str">
        <f ca="1">IFERROR(__xludf.DUMMYFUNCTION("""COMPUTED_VALUE"""),"Действителен до Бессрочно")</f>
        <v>Действителен до Бессрочно</v>
      </c>
      <c r="D1327" s="8" t="str">
        <f ca="1">IFERROR(__xludf.DUMMYFUNCTION("""COMPUTED_VALUE"""),"2008")</f>
        <v>2008</v>
      </c>
      <c r="E1327" s="1" t="str">
        <f ca="1">IFERROR(__xludf.DUMMYFUNCTION("""COMPUTED_VALUE"""),"без срока годности")</f>
        <v>без срока годности</v>
      </c>
      <c r="F1327" s="1" t="str">
        <f ca="1">IFERROR(__xludf.DUMMYFUNCTION("""COMPUTED_VALUE"""),"Электронный термометр Dr.Frei Т-10 - 2008")</f>
        <v>Электронный термометр Dr.Frei Т-10 - 2008</v>
      </c>
      <c r="G1327" s="1" t="str">
        <f ca="1">IFERROR(__xludf.DUMMYFUNCTION("""COMPUTED_VALUE"""),"KZ.7700.02.01.00701673 / Действителен до Бессрочно / 2008 / без срока годности")</f>
        <v>KZ.7700.02.01.00701673 / Действителен до Бессрочно / 2008 / без срока годности</v>
      </c>
      <c r="H1327" s="1" t="str">
        <f ca="1">IFERROR(__xludf.DUMMYFUNCTION("""COMPUTED_VALUE"""),"Электронный термометр Dr.Frei Т-10 KZ.7700.02.01.00701673 / Действителен до Бессрочно / 2008 / без срока годности")</f>
        <v>Электронный термометр Dr.Frei Т-10 KZ.7700.02.01.00701673 / Действителен до Бессрочно / 2008 / без срока годности</v>
      </c>
    </row>
    <row r="1328" spans="1:8" ht="12.75" x14ac:dyDescent="0.2">
      <c r="A1328" s="1" t="str">
        <f ca="1">IFERROR(__xludf.DUMMYFUNCTION("""COMPUTED_VALUE"""),"Электронный термометр Dr.Frei Т-20")</f>
        <v>Электронный термометр Dr.Frei Т-20</v>
      </c>
      <c r="B1328" s="1" t="str">
        <f ca="1">IFERROR(__xludf.DUMMYFUNCTION("""COMPUTED_VALUE"""),"KZ.7700.02.01.00701684")</f>
        <v>KZ.7700.02.01.00701684</v>
      </c>
      <c r="C1328" s="1" t="str">
        <f ca="1">IFERROR(__xludf.DUMMYFUNCTION("""COMPUTED_VALUE"""),"Действителен до Бессрочно")</f>
        <v>Действителен до Бессрочно</v>
      </c>
      <c r="D1328" s="8" t="str">
        <f ca="1">IFERROR(__xludf.DUMMYFUNCTION("""COMPUTED_VALUE"""),"2008")</f>
        <v>2008</v>
      </c>
      <c r="E1328" s="1" t="str">
        <f ca="1">IFERROR(__xludf.DUMMYFUNCTION("""COMPUTED_VALUE"""),"без срока годности")</f>
        <v>без срока годности</v>
      </c>
      <c r="F1328" s="1" t="str">
        <f ca="1">IFERROR(__xludf.DUMMYFUNCTION("""COMPUTED_VALUE"""),"Электронный термометр Dr.Frei Т-20 - 2008")</f>
        <v>Электронный термометр Dr.Frei Т-20 - 2008</v>
      </c>
      <c r="G1328" s="1" t="str">
        <f ca="1">IFERROR(__xludf.DUMMYFUNCTION("""COMPUTED_VALUE"""),"KZ.7700.02.01.00701684 / Действителен до Бессрочно / 2008 / без срока годности")</f>
        <v>KZ.7700.02.01.00701684 / Действителен до Бессрочно / 2008 / без срока годности</v>
      </c>
      <c r="H1328" s="1" t="str">
        <f ca="1">IFERROR(__xludf.DUMMYFUNCTION("""COMPUTED_VALUE"""),"Электронный термометр Dr.Frei Т-20 KZ.7700.02.01.00701684 / Действителен до Бессрочно / 2008 / без срока годности")</f>
        <v>Электронный термометр Dr.Frei Т-20 KZ.7700.02.01.00701684 / Действителен до Бессрочно / 2008 / без срока годности</v>
      </c>
    </row>
    <row r="1329" spans="1:8" ht="12.75" x14ac:dyDescent="0.2">
      <c r="A1329" s="1" t="str">
        <f ca="1">IFERROR(__xludf.DUMMYFUNCTION("""COMPUTED_VALUE"""),"Электронный термометр Dr.Frei Т-10")</f>
        <v>Электронный термометр Dr.Frei Т-10</v>
      </c>
      <c r="B1329" s="1" t="str">
        <f ca="1">IFERROR(__xludf.DUMMYFUNCTION("""COMPUTED_VALUE"""),"KZ.7700.02.01.00666283")</f>
        <v>KZ.7700.02.01.00666283</v>
      </c>
      <c r="C1329" s="1" t="str">
        <f ca="1">IFERROR(__xludf.DUMMYFUNCTION("""COMPUTED_VALUE"""),"Действителен до Бессрочно")</f>
        <v>Действителен до Бессрочно</v>
      </c>
      <c r="D1329" s="8" t="str">
        <f ca="1">IFERROR(__xludf.DUMMYFUNCTION("""COMPUTED_VALUE"""),"2005")</f>
        <v>2005</v>
      </c>
      <c r="E1329" s="1" t="str">
        <f ca="1">IFERROR(__xludf.DUMMYFUNCTION("""COMPUTED_VALUE"""),"без срока годности")</f>
        <v>без срока годности</v>
      </c>
      <c r="F1329" s="1" t="str">
        <f ca="1">IFERROR(__xludf.DUMMYFUNCTION("""COMPUTED_VALUE"""),"Электронный термометр Dr.Frei Т-10 - 2005")</f>
        <v>Электронный термометр Dr.Frei Т-10 - 2005</v>
      </c>
      <c r="G1329" s="1" t="str">
        <f ca="1">IFERROR(__xludf.DUMMYFUNCTION("""COMPUTED_VALUE"""),"KZ.7700.02.01.00666283 / Действителен до Бессрочно / 2005 / без срока годности")</f>
        <v>KZ.7700.02.01.00666283 / Действителен до Бессрочно / 2005 / без срока годности</v>
      </c>
      <c r="H1329" s="1" t="str">
        <f ca="1">IFERROR(__xludf.DUMMYFUNCTION("""COMPUTED_VALUE"""),"Электронный термометр Dr.Frei Т-10 KZ.7700.02.01.00666283 / Действителен до Бессрочно / 2005 / без срока годности")</f>
        <v>Электронный термометр Dr.Frei Т-10 KZ.7700.02.01.00666283 / Действителен до Бессрочно / 2005 / без срока годности</v>
      </c>
    </row>
    <row r="1330" spans="1:8" ht="12.75" x14ac:dyDescent="0.2">
      <c r="A1330" s="1" t="str">
        <f ca="1">IFERROR(__xludf.DUMMYFUNCTION("""COMPUTED_VALUE"""),"Электронный термометр Dr.Frei Т-20")</f>
        <v>Электронный термометр Dr.Frei Т-20</v>
      </c>
      <c r="B1330" s="1" t="str">
        <f ca="1">IFERROR(__xludf.DUMMYFUNCTION("""COMPUTED_VALUE"""),"KZ.7700.02.01.00666284")</f>
        <v>KZ.7700.02.01.00666284</v>
      </c>
      <c r="C1330" s="1" t="str">
        <f ca="1">IFERROR(__xludf.DUMMYFUNCTION("""COMPUTED_VALUE"""),"Действителен до Бессрочно")</f>
        <v>Действителен до Бессрочно</v>
      </c>
      <c r="D1330" s="8" t="str">
        <f ca="1">IFERROR(__xludf.DUMMYFUNCTION("""COMPUTED_VALUE"""),"2005")</f>
        <v>2005</v>
      </c>
      <c r="E1330" s="1" t="str">
        <f ca="1">IFERROR(__xludf.DUMMYFUNCTION("""COMPUTED_VALUE"""),"без срока годности")</f>
        <v>без срока годности</v>
      </c>
      <c r="F1330" s="1" t="str">
        <f ca="1">IFERROR(__xludf.DUMMYFUNCTION("""COMPUTED_VALUE"""),"Электронный термометр Dr.Frei Т-20 - 2005")</f>
        <v>Электронный термометр Dr.Frei Т-20 - 2005</v>
      </c>
      <c r="G1330" s="1" t="str">
        <f ca="1">IFERROR(__xludf.DUMMYFUNCTION("""COMPUTED_VALUE"""),"KZ.7700.02.01.00666284 / Действителен до Бессрочно / 2005 / без срока годности")</f>
        <v>KZ.7700.02.01.00666284 / Действителен до Бессрочно / 2005 / без срока годности</v>
      </c>
      <c r="H1330" s="1" t="str">
        <f ca="1">IFERROR(__xludf.DUMMYFUNCTION("""COMPUTED_VALUE"""),"Электронный термометр Dr.Frei Т-20 KZ.7700.02.01.00666284 / Действителен до Бессрочно / 2005 / без срока годности")</f>
        <v>Электронный термометр Dr.Frei Т-20 KZ.7700.02.01.00666284 / Действителен до Бессрочно / 2005 / без срока годности</v>
      </c>
    </row>
    <row r="1331" spans="1:8" ht="12.75" x14ac:dyDescent="0.2">
      <c r="A1331" s="1" t="str">
        <f ca="1">IFERROR(__xludf.DUMMYFUNCTION("""COMPUTED_VALUE"""),"Электронный термометр Dr.Frei Т-10")</f>
        <v>Электронный термометр Dr.Frei Т-10</v>
      </c>
      <c r="B1331" s="1" t="str">
        <f ca="1">IFERROR(__xludf.DUMMYFUNCTION("""COMPUTED_VALUE"""),"KZ.7700.02.01.00592771")</f>
        <v>KZ.7700.02.01.00592771</v>
      </c>
      <c r="C1331" s="1" t="str">
        <f ca="1">IFERROR(__xludf.DUMMYFUNCTION("""COMPUTED_VALUE"""),"Действителен до Бессрочно")</f>
        <v>Действителен до Бессрочно</v>
      </c>
      <c r="D1331" s="8" t="str">
        <f ca="1">IFERROR(__xludf.DUMMYFUNCTION("""COMPUTED_VALUE"""),"1908")</f>
        <v>1908</v>
      </c>
      <c r="E1331" s="1" t="str">
        <f ca="1">IFERROR(__xludf.DUMMYFUNCTION("""COMPUTED_VALUE"""),"без срока годности")</f>
        <v>без срока годности</v>
      </c>
      <c r="F1331" s="1" t="str">
        <f ca="1">IFERROR(__xludf.DUMMYFUNCTION("""COMPUTED_VALUE"""),"Электронный термометр Dr.Frei Т-10 - 1908")</f>
        <v>Электронный термометр Dr.Frei Т-10 - 1908</v>
      </c>
      <c r="G1331" s="1" t="str">
        <f ca="1">IFERROR(__xludf.DUMMYFUNCTION("""COMPUTED_VALUE"""),"KZ.7700.02.01.00592771 / Действителен до Бессрочно / 1908 / без срока годности")</f>
        <v>KZ.7700.02.01.00592771 / Действителен до Бессрочно / 1908 / без срока годности</v>
      </c>
      <c r="H1331" s="1" t="str">
        <f ca="1">IFERROR(__xludf.DUMMYFUNCTION("""COMPUTED_VALUE"""),"Электронный термометр Dr.Frei Т-10 KZ.7700.02.01.00592771 / Действителен до Бессрочно / 1908 / без срока годности")</f>
        <v>Электронный термометр Dr.Frei Т-10 KZ.7700.02.01.00592771 / Действителен до Бессрочно / 1908 / без срока годности</v>
      </c>
    </row>
    <row r="1332" spans="1:8" ht="12.75" x14ac:dyDescent="0.2">
      <c r="A1332" s="1" t="str">
        <f ca="1">IFERROR(__xludf.DUMMYFUNCTION("""COMPUTED_VALUE"""),"Электронный термометр Dr.Frei Т-20")</f>
        <v>Электронный термометр Dr.Frei Т-20</v>
      </c>
      <c r="B1332" s="1" t="str">
        <f ca="1">IFERROR(__xludf.DUMMYFUNCTION("""COMPUTED_VALUE"""),"KZ.7700.02.01.00592772")</f>
        <v>KZ.7700.02.01.00592772</v>
      </c>
      <c r="C1332" s="1" t="str">
        <f ca="1">IFERROR(__xludf.DUMMYFUNCTION("""COMPUTED_VALUE"""),"Действителен до Бессрочно")</f>
        <v>Действителен до Бессрочно</v>
      </c>
      <c r="D1332" s="8" t="str">
        <f ca="1">IFERROR(__xludf.DUMMYFUNCTION("""COMPUTED_VALUE"""),"1908")</f>
        <v>1908</v>
      </c>
      <c r="E1332" s="1" t="str">
        <f ca="1">IFERROR(__xludf.DUMMYFUNCTION("""COMPUTED_VALUE"""),"без срока годности")</f>
        <v>без срока годности</v>
      </c>
      <c r="F1332" s="1" t="str">
        <f ca="1">IFERROR(__xludf.DUMMYFUNCTION("""COMPUTED_VALUE"""),"Электронный термометр Dr.Frei Т-20 - 1908")</f>
        <v>Электронный термометр Dr.Frei Т-20 - 1908</v>
      </c>
      <c r="G1332" s="1" t="str">
        <f ca="1">IFERROR(__xludf.DUMMYFUNCTION("""COMPUTED_VALUE"""),"KZ.7700.02.01.00592772 / Действителен до Бессрочно / 1908 / без срока годности")</f>
        <v>KZ.7700.02.01.00592772 / Действителен до Бессрочно / 1908 / без срока годности</v>
      </c>
      <c r="H1332" s="1" t="str">
        <f ca="1">IFERROR(__xludf.DUMMYFUNCTION("""COMPUTED_VALUE"""),"Электронный термометр Dr.Frei Т-20 KZ.7700.02.01.00592772 / Действителен до Бессрочно / 1908 / без срока годности")</f>
        <v>Электронный термометр Dr.Frei Т-20 KZ.7700.02.01.00592772 / Действителен до Бессрочно / 1908 / без срока годности</v>
      </c>
    </row>
    <row r="1333" spans="1:8" ht="12.75" x14ac:dyDescent="0.2">
      <c r="A1333" s="1" t="str">
        <f ca="1">IFERROR(__xludf.DUMMYFUNCTION("""COMPUTED_VALUE"""),"Система контроля уровня глюкозы в крови Bionime Rightest: GM550")</f>
        <v>Система контроля уровня глюкозы в крови Bionime Rightest: GM550</v>
      </c>
      <c r="B1333" s="1" t="str">
        <f ca="1">IFERROR(__xludf.DUMMYFUNCTION("""COMPUTED_VALUE"""),"KZ.7700.02.01.00764162")</f>
        <v>KZ.7700.02.01.00764162</v>
      </c>
      <c r="C1333" s="1" t="str">
        <f ca="1">IFERROR(__xludf.DUMMYFUNCTION("""COMPUTED_VALUE"""),"Действителен до Бессрочно")</f>
        <v>Действителен до Бессрочно</v>
      </c>
      <c r="D1333" s="8" t="str">
        <f ca="1">IFERROR(__xludf.DUMMYFUNCTION("""COMPUTED_VALUE"""),"99GM55004K")</f>
        <v>99GM55004K</v>
      </c>
      <c r="E1333" s="1" t="str">
        <f ca="1">IFERROR(__xludf.DUMMYFUNCTION("""COMPUTED_VALUE"""),"без срока годности")</f>
        <v>без срока годности</v>
      </c>
      <c r="F1333" s="1" t="str">
        <f ca="1">IFERROR(__xludf.DUMMYFUNCTION("""COMPUTED_VALUE"""),"Система контроля уровня глюкозы в крови Bionime Rightest: GM550 - 99GM55004K")</f>
        <v>Система контроля уровня глюкозы в крови Bionime Rightest: GM550 - 99GM55004K</v>
      </c>
      <c r="G1333" s="1" t="str">
        <f ca="1">IFERROR(__xludf.DUMMYFUNCTION("""COMPUTED_VALUE"""),"KZ.7700.02.01.00764162 / Действителен до Бессрочно / 99GM55004K / без срока годности")</f>
        <v>KZ.7700.02.01.00764162 / Действителен до Бессрочно / 99GM55004K / без срока годности</v>
      </c>
      <c r="H1333" s="1" t="str">
        <f ca="1">IFERROR(__xludf.DUMMYFUNCTION("""COMPUTED_VALUE"""),"Система контроля уровня глюкозы в крови Bionime Rightest: GM550 KZ.7700.02.01.00764162 / Действителен до Бессрочно / 99GM55004K / без срока годности")</f>
        <v>Система контроля уровня глюкозы в крови Bionime Rightest: GM550 KZ.7700.02.01.00764162 / Действителен до Бессрочно / 99GM55004K / без срока годности</v>
      </c>
    </row>
    <row r="1334" spans="1:8" ht="12.75" x14ac:dyDescent="0.2">
      <c r="A1334" s="1" t="str">
        <f ca="1">IFERROR(__xludf.DUMMYFUNCTION("""COMPUTED_VALUE"""),"Стетофонендоскоп Раппопорт Dr.Frei S-30")</f>
        <v>Стетофонендоскоп Раппопорт Dr.Frei S-30</v>
      </c>
      <c r="B1334" s="1" t="str">
        <f ca="1">IFERROR(__xludf.DUMMYFUNCTION("""COMPUTED_VALUE"""),"KZ.7700.02.01.00584497")</f>
        <v>KZ.7700.02.01.00584497</v>
      </c>
      <c r="C1334" s="1" t="str">
        <f ca="1">IFERROR(__xludf.DUMMYFUNCTION("""COMPUTED_VALUE"""),"Действителен до Бессрочно")</f>
        <v>Действителен до Бессрочно</v>
      </c>
      <c r="D1334" s="8" t="str">
        <f ca="1">IFERROR(__xludf.DUMMYFUNCTION("""COMPUTED_VALUE"""),"YTC19039")</f>
        <v>YTC19039</v>
      </c>
      <c r="E1334" s="1" t="str">
        <f ca="1">IFERROR(__xludf.DUMMYFUNCTION("""COMPUTED_VALUE"""),"без срока годности")</f>
        <v>без срока годности</v>
      </c>
      <c r="F1334" s="1" t="str">
        <f ca="1">IFERROR(__xludf.DUMMYFUNCTION("""COMPUTED_VALUE"""),"Стетофонендоскоп Раппопорт Dr.Frei S-30 - YTC19039")</f>
        <v>Стетофонендоскоп Раппопорт Dr.Frei S-30 - YTC19039</v>
      </c>
      <c r="G1334" s="1" t="str">
        <f ca="1">IFERROR(__xludf.DUMMYFUNCTION("""COMPUTED_VALUE"""),"KZ.7700.02.01.00584497 / Действителен до Бессрочно / YTC19039 / без срока годности")</f>
        <v>KZ.7700.02.01.00584497 / Действителен до Бессрочно / YTC19039 / без срока годности</v>
      </c>
      <c r="H1334" s="1" t="str">
        <f ca="1">IFERROR(__xludf.DUMMYFUNCTION("""COMPUTED_VALUE"""),"Стетофонендоскоп Раппопорт Dr.Frei S-30 KZ.7700.02.01.00584497 / Действителен до Бессрочно / YTC19039 / без срока годности")</f>
        <v>Стетофонендоскоп Раппопорт Dr.Frei S-30 KZ.7700.02.01.00584497 / Действителен до Бессрочно / YTC19039 / без срока годности</v>
      </c>
    </row>
    <row r="1335" spans="1:8" ht="12.75" x14ac:dyDescent="0.2">
      <c r="A1335" s="1" t="str">
        <f ca="1">IFERROR(__xludf.DUMMYFUNCTION("""COMPUTED_VALUE"""),"Профессиональный стетоскоп с двусторонней головкой Dr.Frei Модель S-20")</f>
        <v>Профессиональный стетоскоп с двусторонней головкой Dr.Frei Модель S-20</v>
      </c>
      <c r="B1335" s="1" t="str">
        <f ca="1">IFERROR(__xludf.DUMMYFUNCTION("""COMPUTED_VALUE"""),"KZ.7700.02.01.00584498 ")</f>
        <v xml:space="preserve">KZ.7700.02.01.00584498 </v>
      </c>
      <c r="C1335" s="1" t="str">
        <f ca="1">IFERROR(__xludf.DUMMYFUNCTION("""COMPUTED_VALUE"""),"Действителен до Бессрочно")</f>
        <v>Действителен до Бессрочно</v>
      </c>
      <c r="D1335" s="8" t="str">
        <f ca="1">IFERROR(__xludf.DUMMYFUNCTION("""COMPUTED_VALUE"""),"YTC19039")</f>
        <v>YTC19039</v>
      </c>
      <c r="E1335" s="1" t="str">
        <f ca="1">IFERROR(__xludf.DUMMYFUNCTION("""COMPUTED_VALUE"""),"без срока годности")</f>
        <v>без срока годности</v>
      </c>
      <c r="F1335" s="1" t="str">
        <f ca="1">IFERROR(__xludf.DUMMYFUNCTION("""COMPUTED_VALUE"""),"Профессиональный стетоскоп с двусторонней головкой Dr.Frei Модель S-20 - YTC19039")</f>
        <v>Профессиональный стетоскоп с двусторонней головкой Dr.Frei Модель S-20 - YTC19039</v>
      </c>
      <c r="G1335" s="1" t="str">
        <f ca="1">IFERROR(__xludf.DUMMYFUNCTION("""COMPUTED_VALUE"""),"KZ.7700.02.01.00584498  / Действителен до Бессрочно / YTC19039 / без срока годности")</f>
        <v>KZ.7700.02.01.00584498  / Действителен до Бессрочно / YTC19039 / без срока годности</v>
      </c>
      <c r="H1335" s="1" t="str">
        <f ca="1">IFERROR(__xludf.DUMMYFUNCTION("""COMPUTED_VALUE"""),"Профессиональный стетоскоп с двусторонней головкой Dr.Frei Модель S-20 KZ.7700.02.01.00584498  / Действителен до Бессрочно / YTC19039 / без срока годности")</f>
        <v>Профессиональный стетоскоп с двусторонней головкой Dr.Frei Модель S-20 KZ.7700.02.01.00584498  / Действителен до Бессрочно / YTC19039 / без срока годности</v>
      </c>
    </row>
    <row r="1336" spans="1:8" ht="12.75" x14ac:dyDescent="0.2">
      <c r="A1336" s="1" t="str">
        <f ca="1">IFERROR(__xludf.DUMMYFUNCTION("""COMPUTED_VALUE"""),"Профессиональный стетоскоп с односторонней головкой Dr.Frei Модель S-10")</f>
        <v>Профессиональный стетоскоп с односторонней головкой Dr.Frei Модель S-10</v>
      </c>
      <c r="B1336" s="1" t="str">
        <f ca="1">IFERROR(__xludf.DUMMYFUNCTION("""COMPUTED_VALUE"""),"KZ.7700.02.01.00584496")</f>
        <v>KZ.7700.02.01.00584496</v>
      </c>
      <c r="C1336" s="1" t="str">
        <f ca="1">IFERROR(__xludf.DUMMYFUNCTION("""COMPUTED_VALUE"""),"Действителен до Бессрочно")</f>
        <v>Действителен до Бессрочно</v>
      </c>
      <c r="D1336" s="8" t="str">
        <f ca="1">IFERROR(__xludf.DUMMYFUNCTION("""COMPUTED_VALUE"""),"YTC19039")</f>
        <v>YTC19039</v>
      </c>
      <c r="E1336" s="1" t="str">
        <f ca="1">IFERROR(__xludf.DUMMYFUNCTION("""COMPUTED_VALUE"""),"без срока годности")</f>
        <v>без срока годности</v>
      </c>
      <c r="F1336" s="1" t="str">
        <f ca="1">IFERROR(__xludf.DUMMYFUNCTION("""COMPUTED_VALUE"""),"Профессиональный стетоскоп с односторонней головкой Dr.Frei Модель S-10 - YTC19039")</f>
        <v>Профессиональный стетоскоп с односторонней головкой Dr.Frei Модель S-10 - YTC19039</v>
      </c>
      <c r="G1336" s="1" t="str">
        <f ca="1">IFERROR(__xludf.DUMMYFUNCTION("""COMPUTED_VALUE"""),"KZ.7700.02.01.00584496 / Действителен до Бессрочно / YTC19039 / без срока годности")</f>
        <v>KZ.7700.02.01.00584496 / Действителен до Бессрочно / YTC19039 / без срока годности</v>
      </c>
      <c r="H1336" s="1" t="str">
        <f ca="1">IFERROR(__xludf.DUMMYFUNCTION("""COMPUTED_VALUE"""),"Профессиональный стетоскоп с односторонней головкой Dr.Frei Модель S-10 KZ.7700.02.01.00584496 / Действителен до Бессрочно / YTC19039 / без срока годности")</f>
        <v>Профессиональный стетоскоп с односторонней головкой Dr.Frei Модель S-10 KZ.7700.02.01.00584496 / Действителен до Бессрочно / YTC19039 / без срока годности</v>
      </c>
    </row>
    <row r="1337" spans="1:8" ht="12.75" x14ac:dyDescent="0.2">
      <c r="A1337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337" s="1" t="str">
        <f ca="1">IFERROR(__xludf.DUMMYFUNCTION("""COMPUTED_VALUE"""),"KZ.7700.02.01.00584500")</f>
        <v>KZ.7700.02.01.00584500</v>
      </c>
      <c r="C1337" s="1" t="str">
        <f ca="1">IFERROR(__xludf.DUMMYFUNCTION("""COMPUTED_VALUE"""),"Действителен до Бессрочно")</f>
        <v>Действителен до Бессрочно</v>
      </c>
      <c r="D1337" s="8" t="str">
        <f ca="1">IFERROR(__xludf.DUMMYFUNCTION("""COMPUTED_VALUE"""),"YTC19039")</f>
        <v>YTC19039</v>
      </c>
      <c r="E1337" s="1" t="str">
        <f ca="1">IFERROR(__xludf.DUMMYFUNCTION("""COMPUTED_VALUE"""),"без срока годности")</f>
        <v>без срока годности</v>
      </c>
      <c r="F1337" s="1" t="str">
        <f ca="1">IFERROR(__xludf.DUMMYFUNCTION("""COMPUTED_VALUE"""),"Измеритель артериального давления Premium Dr.Frei А-30 - YTC19039")</f>
        <v>Измеритель артериального давления Premium Dr.Frei А-30 - YTC19039</v>
      </c>
      <c r="G1337" s="1" t="str">
        <f ca="1">IFERROR(__xludf.DUMMYFUNCTION("""COMPUTED_VALUE"""),"KZ.7700.02.01.00584500 / Действителен до Бессрочно / YTC19039 / без срока годности")</f>
        <v>KZ.7700.02.01.00584500 / Действителен до Бессрочно / YTC19039 / без срока годности</v>
      </c>
      <c r="H1337" s="1" t="str">
        <f ca="1">IFERROR(__xludf.DUMMYFUNCTION("""COMPUTED_VALUE"""),"Измеритель артериального давления Premium Dr.Frei А-30 KZ.7700.02.01.00584500 / Действителен до Бессрочно / YTC19039 / без срока годности")</f>
        <v>Измеритель артериального давления Premium Dr.Frei А-30 KZ.7700.02.01.00584500 / Действителен до Бессрочно / YTC19039 / без срока годности</v>
      </c>
    </row>
    <row r="1338" spans="1:8" ht="12.75" x14ac:dyDescent="0.2">
      <c r="A1338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338" s="1" t="str">
        <f ca="1">IFERROR(__xludf.DUMMYFUNCTION("""COMPUTED_VALUE"""),"KZ.7700.02.01.00584499")</f>
        <v>KZ.7700.02.01.00584499</v>
      </c>
      <c r="C1338" s="1" t="str">
        <f ca="1">IFERROR(__xludf.DUMMYFUNCTION("""COMPUTED_VALUE"""),"Действителен до Бессрочно")</f>
        <v>Действителен до Бессрочно</v>
      </c>
      <c r="D1338" s="8" t="str">
        <f ca="1">IFERROR(__xludf.DUMMYFUNCTION("""COMPUTED_VALUE"""),"YTC19039")</f>
        <v>YTC19039</v>
      </c>
      <c r="E1338" s="1" t="str">
        <f ca="1">IFERROR(__xludf.DUMMYFUNCTION("""COMPUTED_VALUE"""),"без срока годности")</f>
        <v>без срока годности</v>
      </c>
      <c r="F1338" s="1" t="str">
        <f ca="1">IFERROR(__xludf.DUMMYFUNCTION("""COMPUTED_VALUE"""),"Измеритель артериального давления Классик Dr.Frei А-20 - YTC19039")</f>
        <v>Измеритель артериального давления Классик Dr.Frei А-20 - YTC19039</v>
      </c>
      <c r="G1338" s="1" t="str">
        <f ca="1">IFERROR(__xludf.DUMMYFUNCTION("""COMPUTED_VALUE"""),"KZ.7700.02.01.00584499 / Действителен до Бессрочно / YTC19039 / без срока годности")</f>
        <v>KZ.7700.02.01.00584499 / Действителен до Бессрочно / YTC19039 / без срока годности</v>
      </c>
      <c r="H1338" s="1" t="str">
        <f ca="1">IFERROR(__xludf.DUMMYFUNCTION("""COMPUTED_VALUE"""),"Измеритель артериального давления Классик Dr.Frei А-20 KZ.7700.02.01.00584499 / Действителен до Бессрочно / YTC19039 / без срока годности")</f>
        <v>Измеритель артериального давления Классик Dr.Frei А-20 KZ.7700.02.01.00584499 / Действителен до Бессрочно / YTC19039 / без срока годности</v>
      </c>
    </row>
    <row r="1339" spans="1:8" ht="12.75" x14ac:dyDescent="0.2">
      <c r="A1339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339" s="1" t="str">
        <f ca="1">IFERROR(__xludf.DUMMYFUNCTION("""COMPUTED_VALUE"""),"KZ.7700.02.01.00584501")</f>
        <v>KZ.7700.02.01.00584501</v>
      </c>
      <c r="C1339" s="1" t="str">
        <f ca="1">IFERROR(__xludf.DUMMYFUNCTION("""COMPUTED_VALUE"""),"Действителен до Бессрочно")</f>
        <v>Действителен до Бессрочно</v>
      </c>
      <c r="D1339" s="8" t="str">
        <f ca="1">IFERROR(__xludf.DUMMYFUNCTION("""COMPUTED_VALUE"""),"YTC19039")</f>
        <v>YTC19039</v>
      </c>
      <c r="E1339" s="1" t="str">
        <f ca="1">IFERROR(__xludf.DUMMYFUNCTION("""COMPUTED_VALUE"""),"без срока годности")</f>
        <v>без срока годности</v>
      </c>
      <c r="F1339" s="1" t="str">
        <f ca="1">IFERROR(__xludf.DUMMYFUNCTION("""COMPUTED_VALUE"""),"Измеритель артериального давления Комфорт Dr.Frei А-40 - YTC19039")</f>
        <v>Измеритель артериального давления Комфорт Dr.Frei А-40 - YTC19039</v>
      </c>
      <c r="G1339" s="1" t="str">
        <f ca="1">IFERROR(__xludf.DUMMYFUNCTION("""COMPUTED_VALUE"""),"KZ.7700.02.01.00584501 / Действителен до Бессрочно / YTC19039 / без срока годности")</f>
        <v>KZ.7700.02.01.00584501 / Действителен до Бессрочно / YTC19039 / без срока годности</v>
      </c>
      <c r="H1339" s="1" t="str">
        <f ca="1">IFERROR(__xludf.DUMMYFUNCTION("""COMPUTED_VALUE"""),"Измеритель артериального давления Комфорт Dr.Frei А-40 KZ.7700.02.01.00584501 / Действителен до Бессрочно / YTC19039 / без срока годности")</f>
        <v>Измеритель артериального давления Комфорт Dr.Frei А-40 KZ.7700.02.01.00584501 / Действителен до Бессрочно / YTC19039 / без срока годности</v>
      </c>
    </row>
    <row r="1340" spans="1:8" ht="12.75" x14ac:dyDescent="0.2">
      <c r="A1340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340" s="1" t="str">
        <f ca="1">IFERROR(__xludf.DUMMYFUNCTION("""COMPUTED_VALUE"""),"KZ.7700.02.01.00612476 ")</f>
        <v xml:space="preserve">KZ.7700.02.01.00612476 </v>
      </c>
      <c r="C1340" s="1" t="str">
        <f ca="1">IFERROR(__xludf.DUMMYFUNCTION("""COMPUTED_VALUE"""),"Действителен до Бессрочно")</f>
        <v>Действителен до Бессрочно</v>
      </c>
      <c r="D1340" s="8" t="str">
        <f ca="1">IFERROR(__xludf.DUMMYFUNCTION("""COMPUTED_VALUE"""),"YTC19059")</f>
        <v>YTC19059</v>
      </c>
      <c r="E1340" s="1" t="str">
        <f ca="1">IFERROR(__xludf.DUMMYFUNCTION("""COMPUTED_VALUE"""),"без срока годности")</f>
        <v>без срока годности</v>
      </c>
      <c r="F1340" s="1" t="str">
        <f ca="1">IFERROR(__xludf.DUMMYFUNCTION("""COMPUTED_VALUE"""),"Измеритель артериального давления Классик Dr.Frei А-20 - YTC19059")</f>
        <v>Измеритель артериального давления Классик Dr.Frei А-20 - YTC19059</v>
      </c>
      <c r="G1340" s="1" t="str">
        <f ca="1">IFERROR(__xludf.DUMMYFUNCTION("""COMPUTED_VALUE"""),"KZ.7700.02.01.00612476  / Действителен до Бессрочно / YTC19059 / без срока годности")</f>
        <v>KZ.7700.02.01.00612476  / Действителен до Бессрочно / YTC19059 / без срока годности</v>
      </c>
      <c r="H1340" s="1" t="str">
        <f ca="1">IFERROR(__xludf.DUMMYFUNCTION("""COMPUTED_VALUE"""),"Измеритель артериального давления Классик Dr.Frei А-20 KZ.7700.02.01.00612476  / Действителен до Бессрочно / YTC19059 / без срока годности")</f>
        <v>Измеритель артериального давления Классик Dr.Frei А-20 KZ.7700.02.01.00612476  / Действителен до Бессрочно / YTC19059 / без срока годности</v>
      </c>
    </row>
    <row r="1341" spans="1:8" ht="12.75" x14ac:dyDescent="0.2">
      <c r="A1341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341" s="1" t="str">
        <f ca="1">IFERROR(__xludf.DUMMYFUNCTION("""COMPUTED_VALUE"""),"KZ.7700.02.01.00612478")</f>
        <v>KZ.7700.02.01.00612478</v>
      </c>
      <c r="C1341" s="1" t="str">
        <f ca="1">IFERROR(__xludf.DUMMYFUNCTION("""COMPUTED_VALUE"""),"Действителен до Бессрочно")</f>
        <v>Действителен до Бессрочно</v>
      </c>
      <c r="D1341" s="8" t="str">
        <f ca="1">IFERROR(__xludf.DUMMYFUNCTION("""COMPUTED_VALUE"""),"YTC19059")</f>
        <v>YTC19059</v>
      </c>
      <c r="E1341" s="1" t="str">
        <f ca="1">IFERROR(__xludf.DUMMYFUNCTION("""COMPUTED_VALUE"""),"без срока годности")</f>
        <v>без срока годности</v>
      </c>
      <c r="F1341" s="1" t="str">
        <f ca="1">IFERROR(__xludf.DUMMYFUNCTION("""COMPUTED_VALUE"""),"Измеритель артериального давления Комфорт Dr.Frei А-40 - YTC19059")</f>
        <v>Измеритель артериального давления Комфорт Dr.Frei А-40 - YTC19059</v>
      </c>
      <c r="G1341" s="1" t="str">
        <f ca="1">IFERROR(__xludf.DUMMYFUNCTION("""COMPUTED_VALUE"""),"KZ.7700.02.01.00612478 / Действителен до Бессрочно / YTC19059 / без срока годности")</f>
        <v>KZ.7700.02.01.00612478 / Действителен до Бессрочно / YTC19059 / без срока годности</v>
      </c>
      <c r="H1341" s="1" t="str">
        <f ca="1">IFERROR(__xludf.DUMMYFUNCTION("""COMPUTED_VALUE"""),"Измеритель артериального давления Комфорт Dr.Frei А-40 KZ.7700.02.01.00612478 / Действителен до Бессрочно / YTC19059 / без срока годности")</f>
        <v>Измеритель артериального давления Комфорт Dr.Frei А-40 KZ.7700.02.01.00612478 / Действителен до Бессрочно / YTC19059 / без срока годности</v>
      </c>
    </row>
    <row r="1342" spans="1:8" ht="12.75" x14ac:dyDescent="0.2">
      <c r="A1342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342" s="1" t="str">
        <f ca="1">IFERROR(__xludf.DUMMYFUNCTION("""COMPUTED_VALUE"""),"KZ.7700.02.01.00612477")</f>
        <v>KZ.7700.02.01.00612477</v>
      </c>
      <c r="C1342" s="1" t="str">
        <f ca="1">IFERROR(__xludf.DUMMYFUNCTION("""COMPUTED_VALUE"""),"Действителен до Бессрочно")</f>
        <v>Действителен до Бессрочно</v>
      </c>
      <c r="D1342" s="8" t="str">
        <f ca="1">IFERROR(__xludf.DUMMYFUNCTION("""COMPUTED_VALUE"""),"YTC19059")</f>
        <v>YTC19059</v>
      </c>
      <c r="E1342" s="1" t="str">
        <f ca="1">IFERROR(__xludf.DUMMYFUNCTION("""COMPUTED_VALUE"""),"без срока годности")</f>
        <v>без срока годности</v>
      </c>
      <c r="F1342" s="1" t="str">
        <f ca="1">IFERROR(__xludf.DUMMYFUNCTION("""COMPUTED_VALUE"""),"Измеритель артериального давления Premium Dr.Frei А-30 - YTC19059")</f>
        <v>Измеритель артериального давления Premium Dr.Frei А-30 - YTC19059</v>
      </c>
      <c r="G1342" s="1" t="str">
        <f ca="1">IFERROR(__xludf.DUMMYFUNCTION("""COMPUTED_VALUE"""),"KZ.7700.02.01.00612477 / Действителен до Бессрочно / YTC19059 / без срока годности")</f>
        <v>KZ.7700.02.01.00612477 / Действителен до Бессрочно / YTC19059 / без срока годности</v>
      </c>
      <c r="H1342" s="1" t="str">
        <f ca="1">IFERROR(__xludf.DUMMYFUNCTION("""COMPUTED_VALUE"""),"Измеритель артериального давления Premium Dr.Frei А-30 KZ.7700.02.01.00612477 / Действителен до Бессрочно / YTC19059 / без срока годности")</f>
        <v>Измеритель артериального давления Premium Dr.Frei А-30 KZ.7700.02.01.00612477 / Действителен до Бессрочно / YTC19059 / без срока годности</v>
      </c>
    </row>
    <row r="1343" spans="1:8" ht="12.75" x14ac:dyDescent="0.2">
      <c r="A1343" s="1" t="str">
        <f ca="1">IFERROR(__xludf.DUMMYFUNCTION("""COMPUTED_VALUE"""),"Измеритель артериального давления Профессиональный Dr.Frei А-10")</f>
        <v>Измеритель артериального давления Профессиональный Dr.Frei А-10</v>
      </c>
      <c r="B1343" s="1" t="str">
        <f ca="1">IFERROR(__xludf.DUMMYFUNCTION("""COMPUTED_VALUE"""),"KZ.7700.02.01.00640814 ")</f>
        <v xml:space="preserve">KZ.7700.02.01.00640814 </v>
      </c>
      <c r="C1343" s="1" t="str">
        <f ca="1">IFERROR(__xludf.DUMMYFUNCTION("""COMPUTED_VALUE"""),"Действителен до Бессрочно")</f>
        <v>Действителен до Бессрочно</v>
      </c>
      <c r="D1343" s="8" t="str">
        <f ca="1">IFERROR(__xludf.DUMMYFUNCTION("""COMPUTED_VALUE"""),"YTC19094")</f>
        <v>YTC19094</v>
      </c>
      <c r="E1343" s="1" t="str">
        <f ca="1">IFERROR(__xludf.DUMMYFUNCTION("""COMPUTED_VALUE"""),"без срока годности")</f>
        <v>без срока годности</v>
      </c>
      <c r="F1343" s="1" t="str">
        <f ca="1">IFERROR(__xludf.DUMMYFUNCTION("""COMPUTED_VALUE"""),"Измеритель артериального давления Профессиональный Dr.Frei А-10 - YTC19094")</f>
        <v>Измеритель артериального давления Профессиональный Dr.Frei А-10 - YTC19094</v>
      </c>
      <c r="G1343" s="1" t="str">
        <f ca="1">IFERROR(__xludf.DUMMYFUNCTION("""COMPUTED_VALUE"""),"KZ.7700.02.01.00640814  / Действителен до Бессрочно / YTC19094 / без срока годности")</f>
        <v>KZ.7700.02.01.00640814  / Действителен до Бессрочно / YTC19094 / без срока годности</v>
      </c>
      <c r="H1343" s="1" t="str">
        <f ca="1">IFERROR(__xludf.DUMMYFUNCTION("""COMPUTED_VALUE"""),"Измеритель артериального давления Профессиональный Dr.Frei А-10 KZ.7700.02.01.00640814  / Действителен до Бессрочно / YTC19094 / без срока годности")</f>
        <v>Измеритель артериального давления Профессиональный Dr.Frei А-10 KZ.7700.02.01.00640814  / Действителен до Бессрочно / YTC19094 / без срока годности</v>
      </c>
    </row>
    <row r="1344" spans="1:8" ht="12.75" x14ac:dyDescent="0.2">
      <c r="A1344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344" s="1" t="str">
        <f ca="1">IFERROR(__xludf.DUMMYFUNCTION("""COMPUTED_VALUE"""),"KZ.7700.02.01.00640815 ")</f>
        <v xml:space="preserve">KZ.7700.02.01.00640815 </v>
      </c>
      <c r="C1344" s="1" t="str">
        <f ca="1">IFERROR(__xludf.DUMMYFUNCTION("""COMPUTED_VALUE"""),"Действителен до Бессрочно")</f>
        <v>Действителен до Бессрочно</v>
      </c>
      <c r="D1344" s="8" t="str">
        <f ca="1">IFERROR(__xludf.DUMMYFUNCTION("""COMPUTED_VALUE"""),"YTC19094")</f>
        <v>YTC19094</v>
      </c>
      <c r="E1344" s="1" t="str">
        <f ca="1">IFERROR(__xludf.DUMMYFUNCTION("""COMPUTED_VALUE"""),"без срока годности")</f>
        <v>без срока годности</v>
      </c>
      <c r="F1344" s="1" t="str">
        <f ca="1">IFERROR(__xludf.DUMMYFUNCTION("""COMPUTED_VALUE"""),"Измеритель артериального давления Классик Dr.Frei А-20 - YTC19094")</f>
        <v>Измеритель артериального давления Классик Dr.Frei А-20 - YTC19094</v>
      </c>
      <c r="G1344" s="1" t="str">
        <f ca="1">IFERROR(__xludf.DUMMYFUNCTION("""COMPUTED_VALUE"""),"KZ.7700.02.01.00640815  / Действителен до Бессрочно / YTC19094 / без срока годности")</f>
        <v>KZ.7700.02.01.00640815  / Действителен до Бессрочно / YTC19094 / без срока годности</v>
      </c>
      <c r="H1344" s="1" t="str">
        <f ca="1">IFERROR(__xludf.DUMMYFUNCTION("""COMPUTED_VALUE"""),"Измеритель артериального давления Классик Dr.Frei А-20 KZ.7700.02.01.00640815  / Действителен до Бессрочно / YTC19094 / без срока годности")</f>
        <v>Измеритель артериального давления Классик Dr.Frei А-20 KZ.7700.02.01.00640815  / Действителен до Бессрочно / YTC19094 / без срока годности</v>
      </c>
    </row>
    <row r="1345" spans="1:8" ht="12.75" x14ac:dyDescent="0.2">
      <c r="A1345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345" s="1" t="str">
        <f ca="1">IFERROR(__xludf.DUMMYFUNCTION("""COMPUTED_VALUE"""),"KZ.7700.02.01.00640816")</f>
        <v>KZ.7700.02.01.00640816</v>
      </c>
      <c r="C1345" s="1" t="str">
        <f ca="1">IFERROR(__xludf.DUMMYFUNCTION("""COMPUTED_VALUE"""),"Действителен до Бессрочно")</f>
        <v>Действителен до Бессрочно</v>
      </c>
      <c r="D1345" s="8" t="str">
        <f ca="1">IFERROR(__xludf.DUMMYFUNCTION("""COMPUTED_VALUE"""),"YTC19094")</f>
        <v>YTC19094</v>
      </c>
      <c r="E1345" s="1" t="str">
        <f ca="1">IFERROR(__xludf.DUMMYFUNCTION("""COMPUTED_VALUE"""),"без срока годности")</f>
        <v>без срока годности</v>
      </c>
      <c r="F1345" s="1" t="str">
        <f ca="1">IFERROR(__xludf.DUMMYFUNCTION("""COMPUTED_VALUE"""),"Измеритель артериального давления Premium Dr.Frei А-30 - YTC19094")</f>
        <v>Измеритель артериального давления Premium Dr.Frei А-30 - YTC19094</v>
      </c>
      <c r="G1345" s="1" t="str">
        <f ca="1">IFERROR(__xludf.DUMMYFUNCTION("""COMPUTED_VALUE"""),"KZ.7700.02.01.00640816 / Действителен до Бессрочно / YTC19094 / без срока годности")</f>
        <v>KZ.7700.02.01.00640816 / Действителен до Бессрочно / YTC19094 / без срока годности</v>
      </c>
      <c r="H1345" s="1" t="str">
        <f ca="1">IFERROR(__xludf.DUMMYFUNCTION("""COMPUTED_VALUE"""),"Измеритель артериального давления Premium Dr.Frei А-30 KZ.7700.02.01.00640816 / Действителен до Бессрочно / YTC19094 / без срока годности")</f>
        <v>Измеритель артериального давления Premium Dr.Frei А-30 KZ.7700.02.01.00640816 / Действителен до Бессрочно / YTC19094 / без срока годности</v>
      </c>
    </row>
    <row r="1346" spans="1:8" ht="12.75" x14ac:dyDescent="0.2">
      <c r="A1346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346" s="1" t="str">
        <f ca="1">IFERROR(__xludf.DUMMYFUNCTION("""COMPUTED_VALUE"""),"KZ.7700.02.01.00640817 ")</f>
        <v xml:space="preserve">KZ.7700.02.01.00640817 </v>
      </c>
      <c r="C1346" s="1" t="str">
        <f ca="1">IFERROR(__xludf.DUMMYFUNCTION("""COMPUTED_VALUE"""),"Действителен до Бессрочно")</f>
        <v>Действителен до Бессрочно</v>
      </c>
      <c r="D1346" s="8" t="str">
        <f ca="1">IFERROR(__xludf.DUMMYFUNCTION("""COMPUTED_VALUE"""),"YTC19094")</f>
        <v>YTC19094</v>
      </c>
      <c r="E1346" s="1" t="str">
        <f ca="1">IFERROR(__xludf.DUMMYFUNCTION("""COMPUTED_VALUE"""),"без срока годности")</f>
        <v>без срока годности</v>
      </c>
      <c r="F1346" s="1" t="str">
        <f ca="1">IFERROR(__xludf.DUMMYFUNCTION("""COMPUTED_VALUE"""),"Измеритель артериального давления Комфорт Dr.Frei А-40 - YTC19094")</f>
        <v>Измеритель артериального давления Комфорт Dr.Frei А-40 - YTC19094</v>
      </c>
      <c r="G1346" s="1" t="str">
        <f ca="1">IFERROR(__xludf.DUMMYFUNCTION("""COMPUTED_VALUE"""),"KZ.7700.02.01.00640817  / Действителен до Бессрочно / YTC19094 / без срока годности")</f>
        <v>KZ.7700.02.01.00640817  / Действителен до Бессрочно / YTC19094 / без срока годности</v>
      </c>
      <c r="H1346" s="1" t="str">
        <f ca="1">IFERROR(__xludf.DUMMYFUNCTION("""COMPUTED_VALUE"""),"Измеритель артериального давления Комфорт Dr.Frei А-40 KZ.7700.02.01.00640817  / Действителен до Бессрочно / YTC19094 / без срока годности")</f>
        <v>Измеритель артериального давления Комфорт Dr.Frei А-40 KZ.7700.02.01.00640817  / Действителен до Бессрочно / YTC19094 / без срока годности</v>
      </c>
    </row>
    <row r="1347" spans="1:8" ht="12.75" x14ac:dyDescent="0.2">
      <c r="A1347" s="1" t="str">
        <f ca="1">IFERROR(__xludf.DUMMYFUNCTION("""COMPUTED_VALUE"""),"Профессиональный стетоскоп с односторонней головкой Dr.Frei Модель S-10")</f>
        <v>Профессиональный стетоскоп с односторонней головкой Dr.Frei Модель S-10</v>
      </c>
      <c r="B1347" s="1" t="str">
        <f ca="1">IFERROR(__xludf.DUMMYFUNCTION("""COMPUTED_VALUE"""),"KZ.7700.02.01.00640818 ")</f>
        <v xml:space="preserve">KZ.7700.02.01.00640818 </v>
      </c>
      <c r="C1347" s="1" t="str">
        <f ca="1">IFERROR(__xludf.DUMMYFUNCTION("""COMPUTED_VALUE"""),"Действителен до Бессрочно")</f>
        <v>Действителен до Бессрочно</v>
      </c>
      <c r="D1347" s="8" t="str">
        <f ca="1">IFERROR(__xludf.DUMMYFUNCTION("""COMPUTED_VALUE"""),"YTC19094")</f>
        <v>YTC19094</v>
      </c>
      <c r="E1347" s="1" t="str">
        <f ca="1">IFERROR(__xludf.DUMMYFUNCTION("""COMPUTED_VALUE"""),"без срока годности")</f>
        <v>без срока годности</v>
      </c>
      <c r="F1347" s="1" t="str">
        <f ca="1">IFERROR(__xludf.DUMMYFUNCTION("""COMPUTED_VALUE"""),"Профессиональный стетоскоп с односторонней головкой Dr.Frei Модель S-10 - YTC19094")</f>
        <v>Профессиональный стетоскоп с односторонней головкой Dr.Frei Модель S-10 - YTC19094</v>
      </c>
      <c r="G1347" s="1" t="str">
        <f ca="1">IFERROR(__xludf.DUMMYFUNCTION("""COMPUTED_VALUE"""),"KZ.7700.02.01.00640818  / Действителен до Бессрочно / YTC19094 / без срока годности")</f>
        <v>KZ.7700.02.01.00640818  / Действителен до Бессрочно / YTC19094 / без срока годности</v>
      </c>
      <c r="H1347" s="1" t="str">
        <f ca="1">IFERROR(__xludf.DUMMYFUNCTION("""COMPUTED_VALUE"""),"Профессиональный стетоскоп с односторонней головкой Dr.Frei Модель S-10 KZ.7700.02.01.00640818  / Действителен до Бессрочно / YTC19094 / без срока годности")</f>
        <v>Профессиональный стетоскоп с односторонней головкой Dr.Frei Модель S-10 KZ.7700.02.01.00640818  / Действителен до Бессрочно / YTC19094 / без срока годности</v>
      </c>
    </row>
    <row r="1348" spans="1:8" ht="12.75" x14ac:dyDescent="0.2">
      <c r="A1348" s="1" t="str">
        <f ca="1">IFERROR(__xludf.DUMMYFUNCTION("""COMPUTED_VALUE"""),"Профессиональный стетоскоп с двусторонней головкой Dr.Frei Модель S-20")</f>
        <v>Профессиональный стетоскоп с двусторонней головкой Dr.Frei Модель S-20</v>
      </c>
      <c r="B1348" s="1" t="str">
        <f ca="1">IFERROR(__xludf.DUMMYFUNCTION("""COMPUTED_VALUE"""),"KZ.7700.02.01.00640819 ")</f>
        <v xml:space="preserve">KZ.7700.02.01.00640819 </v>
      </c>
      <c r="C1348" s="1" t="str">
        <f ca="1">IFERROR(__xludf.DUMMYFUNCTION("""COMPUTED_VALUE"""),"Действителен до Бессрочно")</f>
        <v>Действителен до Бессрочно</v>
      </c>
      <c r="D1348" s="8" t="str">
        <f ca="1">IFERROR(__xludf.DUMMYFUNCTION("""COMPUTED_VALUE"""),"YTC19094")</f>
        <v>YTC19094</v>
      </c>
      <c r="E1348" s="1" t="str">
        <f ca="1">IFERROR(__xludf.DUMMYFUNCTION("""COMPUTED_VALUE"""),"без срока годности")</f>
        <v>без срока годности</v>
      </c>
      <c r="F1348" s="1" t="str">
        <f ca="1">IFERROR(__xludf.DUMMYFUNCTION("""COMPUTED_VALUE"""),"Профессиональный стетоскоп с двусторонней головкой Dr.Frei Модель S-20 - YTC19094")</f>
        <v>Профессиональный стетоскоп с двусторонней головкой Dr.Frei Модель S-20 - YTC19094</v>
      </c>
      <c r="G1348" s="1" t="str">
        <f ca="1">IFERROR(__xludf.DUMMYFUNCTION("""COMPUTED_VALUE"""),"KZ.7700.02.01.00640819  / Действителен до Бессрочно / YTC19094 / без срока годности")</f>
        <v>KZ.7700.02.01.00640819  / Действителен до Бессрочно / YTC19094 / без срока годности</v>
      </c>
      <c r="H1348" s="1" t="str">
        <f ca="1">IFERROR(__xludf.DUMMYFUNCTION("""COMPUTED_VALUE"""),"Профессиональный стетоскоп с двусторонней головкой Dr.Frei Модель S-20 KZ.7700.02.01.00640819  / Действителен до Бессрочно / YTC19094 / без срока годности")</f>
        <v>Профессиональный стетоскоп с двусторонней головкой Dr.Frei Модель S-20 KZ.7700.02.01.00640819  / Действителен до Бессрочно / YTC19094 / без срока годности</v>
      </c>
    </row>
    <row r="1349" spans="1:8" ht="12.75" x14ac:dyDescent="0.2">
      <c r="A1349" s="1" t="str">
        <f ca="1">IFERROR(__xludf.DUMMYFUNCTION("""COMPUTED_VALUE"""),"Стетофонендоскоп Раппопорт Dr.Frei S-30")</f>
        <v>Стетофонендоскоп Раппопорт Dr.Frei S-30</v>
      </c>
      <c r="B1349" s="1" t="str">
        <f ca="1">IFERROR(__xludf.DUMMYFUNCTION("""COMPUTED_VALUE"""),"KZ.7700.02.01.00640820 ")</f>
        <v xml:space="preserve">KZ.7700.02.01.00640820 </v>
      </c>
      <c r="C1349" s="1" t="str">
        <f ca="1">IFERROR(__xludf.DUMMYFUNCTION("""COMPUTED_VALUE"""),"Действителен до Бессрочно")</f>
        <v>Действителен до Бессрочно</v>
      </c>
      <c r="D1349" s="8" t="str">
        <f ca="1">IFERROR(__xludf.DUMMYFUNCTION("""COMPUTED_VALUE"""),"YTC19094")</f>
        <v>YTC19094</v>
      </c>
      <c r="E1349" s="1" t="str">
        <f ca="1">IFERROR(__xludf.DUMMYFUNCTION("""COMPUTED_VALUE"""),"без срока годности")</f>
        <v>без срока годности</v>
      </c>
      <c r="F1349" s="1" t="str">
        <f ca="1">IFERROR(__xludf.DUMMYFUNCTION("""COMPUTED_VALUE"""),"Стетофонендоскоп Раппопорт Dr.Frei S-30 - YTC19094")</f>
        <v>Стетофонендоскоп Раппопорт Dr.Frei S-30 - YTC19094</v>
      </c>
      <c r="G1349" s="1" t="str">
        <f ca="1">IFERROR(__xludf.DUMMYFUNCTION("""COMPUTED_VALUE"""),"KZ.7700.02.01.00640820  / Действителен до Бессрочно / YTC19094 / без срока годности")</f>
        <v>KZ.7700.02.01.00640820  / Действителен до Бессрочно / YTC19094 / без срока годности</v>
      </c>
      <c r="H1349" s="1" t="str">
        <f ca="1">IFERROR(__xludf.DUMMYFUNCTION("""COMPUTED_VALUE"""),"Стетофонендоскоп Раппопорт Dr.Frei S-30 KZ.7700.02.01.00640820  / Действителен до Бессрочно / YTC19094 / без срока годности")</f>
        <v>Стетофонендоскоп Раппопорт Dr.Frei S-30 KZ.7700.02.01.00640820  / Действителен до Бессрочно / YTC19094 / без срока годности</v>
      </c>
    </row>
    <row r="1350" spans="1:8" ht="12.75" x14ac:dyDescent="0.2">
      <c r="A1350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350" s="1" t="str">
        <f ca="1">IFERROR(__xludf.DUMMYFUNCTION("""COMPUTED_VALUE"""),"KZ.7700.02.01.00670194")</f>
        <v>KZ.7700.02.01.00670194</v>
      </c>
      <c r="C1350" s="1" t="str">
        <f ca="1">IFERROR(__xludf.DUMMYFUNCTION("""COMPUTED_VALUE"""),"Действителен до Бессрочно")</f>
        <v>Действителен до Бессрочно</v>
      </c>
      <c r="D1350" s="8" t="str">
        <f ca="1">IFERROR(__xludf.DUMMYFUNCTION("""COMPUTED_VALUE"""),"YTC20033")</f>
        <v>YTC20033</v>
      </c>
      <c r="E1350" s="1" t="str">
        <f ca="1">IFERROR(__xludf.DUMMYFUNCTION("""COMPUTED_VALUE"""),"без срока годности")</f>
        <v>без срока годности</v>
      </c>
      <c r="F1350" s="1" t="str">
        <f ca="1">IFERROR(__xludf.DUMMYFUNCTION("""COMPUTED_VALUE"""),"Измеритель артериального давления Комфорт Dr.Frei А-40 - YTC20033")</f>
        <v>Измеритель артериального давления Комфорт Dr.Frei А-40 - YTC20033</v>
      </c>
      <c r="G1350" s="1" t="str">
        <f ca="1">IFERROR(__xludf.DUMMYFUNCTION("""COMPUTED_VALUE"""),"KZ.7700.02.01.00670194 / Действителен до Бессрочно / YTC20033 / без срока годности")</f>
        <v>KZ.7700.02.01.00670194 / Действителен до Бессрочно / YTC20033 / без срока годности</v>
      </c>
      <c r="H1350" s="1" t="str">
        <f ca="1">IFERROR(__xludf.DUMMYFUNCTION("""COMPUTED_VALUE"""),"Измеритель артериального давления Комфорт Dr.Frei А-40 KZ.7700.02.01.00670194 / Действителен до Бессрочно / YTC20033 / без срока годности")</f>
        <v>Измеритель артериального давления Комфорт Dr.Frei А-40 KZ.7700.02.01.00670194 / Действителен до Бессрочно / YTC20033 / без срока годности</v>
      </c>
    </row>
    <row r="1351" spans="1:8" ht="12.75" x14ac:dyDescent="0.2">
      <c r="A1351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351" s="1" t="str">
        <f ca="1">IFERROR(__xludf.DUMMYFUNCTION("""COMPUTED_VALUE"""),"KZ.7700.02.01.00670193")</f>
        <v>KZ.7700.02.01.00670193</v>
      </c>
      <c r="C1351" s="1" t="str">
        <f ca="1">IFERROR(__xludf.DUMMYFUNCTION("""COMPUTED_VALUE"""),"Действителен до Бессрочно")</f>
        <v>Действителен до Бессрочно</v>
      </c>
      <c r="D1351" s="8" t="str">
        <f ca="1">IFERROR(__xludf.DUMMYFUNCTION("""COMPUTED_VALUE"""),"YTC20033")</f>
        <v>YTC20033</v>
      </c>
      <c r="E1351" s="1" t="str">
        <f ca="1">IFERROR(__xludf.DUMMYFUNCTION("""COMPUTED_VALUE"""),"без срока годности")</f>
        <v>без срока годности</v>
      </c>
      <c r="F1351" s="1" t="str">
        <f ca="1">IFERROR(__xludf.DUMMYFUNCTION("""COMPUTED_VALUE"""),"Измеритель артериального давления Premium Dr.Frei А-30 - YTC20033")</f>
        <v>Измеритель артериального давления Premium Dr.Frei А-30 - YTC20033</v>
      </c>
      <c r="G1351" s="1" t="str">
        <f ca="1">IFERROR(__xludf.DUMMYFUNCTION("""COMPUTED_VALUE"""),"KZ.7700.02.01.00670193 / Действителен до Бессрочно / YTC20033 / без срока годности")</f>
        <v>KZ.7700.02.01.00670193 / Действителен до Бессрочно / YTC20033 / без срока годности</v>
      </c>
      <c r="H1351" s="1" t="str">
        <f ca="1">IFERROR(__xludf.DUMMYFUNCTION("""COMPUTED_VALUE"""),"Измеритель артериального давления Premium Dr.Frei А-30 KZ.7700.02.01.00670193 / Действителен до Бессрочно / YTC20033 / без срока годности")</f>
        <v>Измеритель артериального давления Premium Dr.Frei А-30 KZ.7700.02.01.00670193 / Действителен до Бессрочно / YTC20033 / без срока годности</v>
      </c>
    </row>
    <row r="1352" spans="1:8" ht="12.75" x14ac:dyDescent="0.2">
      <c r="A1352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352" s="1" t="str">
        <f ca="1">IFERROR(__xludf.DUMMYFUNCTION("""COMPUTED_VALUE"""),"KZ.7700.02.01.00670192")</f>
        <v>KZ.7700.02.01.00670192</v>
      </c>
      <c r="C1352" s="1" t="str">
        <f ca="1">IFERROR(__xludf.DUMMYFUNCTION("""COMPUTED_VALUE"""),"Действителен до Бессрочно")</f>
        <v>Действителен до Бессрочно</v>
      </c>
      <c r="D1352" s="8" t="str">
        <f ca="1">IFERROR(__xludf.DUMMYFUNCTION("""COMPUTED_VALUE"""),"YTC20033")</f>
        <v>YTC20033</v>
      </c>
      <c r="E1352" s="1" t="str">
        <f ca="1">IFERROR(__xludf.DUMMYFUNCTION("""COMPUTED_VALUE"""),"без срока годности")</f>
        <v>без срока годности</v>
      </c>
      <c r="F1352" s="1" t="str">
        <f ca="1">IFERROR(__xludf.DUMMYFUNCTION("""COMPUTED_VALUE"""),"Измеритель артериального давления Классик Dr.Frei А-20 - YTC20033")</f>
        <v>Измеритель артериального давления Классик Dr.Frei А-20 - YTC20033</v>
      </c>
      <c r="G1352" s="1" t="str">
        <f ca="1">IFERROR(__xludf.DUMMYFUNCTION("""COMPUTED_VALUE"""),"KZ.7700.02.01.00670192 / Действителен до Бессрочно / YTC20033 / без срока годности")</f>
        <v>KZ.7700.02.01.00670192 / Действителен до Бессрочно / YTC20033 / без срока годности</v>
      </c>
      <c r="H1352" s="1" t="str">
        <f ca="1">IFERROR(__xludf.DUMMYFUNCTION("""COMPUTED_VALUE"""),"Измеритель артериального давления Классик Dr.Frei А-20 KZ.7700.02.01.00670192 / Действителен до Бессрочно / YTC20033 / без срока годности")</f>
        <v>Измеритель артериального давления Классик Dr.Frei А-20 KZ.7700.02.01.00670192 / Действителен до Бессрочно / YTC20033 / без срока годности</v>
      </c>
    </row>
    <row r="1353" spans="1:8" ht="12.75" x14ac:dyDescent="0.2">
      <c r="A1353" s="1" t="str">
        <f ca="1">IFERROR(__xludf.DUMMYFUNCTION("""COMPUTED_VALUE"""),"Стетофонендоскоп Раппопорт Dr.Frei S-30")</f>
        <v>Стетофонендоскоп Раппопорт Dr.Frei S-30</v>
      </c>
      <c r="B1353" s="1" t="str">
        <f ca="1">IFERROR(__xludf.DUMMYFUNCTION("""COMPUTED_VALUE"""),"KZ.7700.02.01.00670197")</f>
        <v>KZ.7700.02.01.00670197</v>
      </c>
      <c r="C1353" s="1" t="str">
        <f ca="1">IFERROR(__xludf.DUMMYFUNCTION("""COMPUTED_VALUE"""),"Действителен до Бессрочно")</f>
        <v>Действителен до Бессрочно</v>
      </c>
      <c r="D1353" s="8" t="str">
        <f ca="1">IFERROR(__xludf.DUMMYFUNCTION("""COMPUTED_VALUE"""),"YTC20033")</f>
        <v>YTC20033</v>
      </c>
      <c r="E1353" s="1" t="str">
        <f ca="1">IFERROR(__xludf.DUMMYFUNCTION("""COMPUTED_VALUE"""),"без срока годности")</f>
        <v>без срока годности</v>
      </c>
      <c r="F1353" s="1" t="str">
        <f ca="1">IFERROR(__xludf.DUMMYFUNCTION("""COMPUTED_VALUE"""),"Стетофонендоскоп Раппопорт Dr.Frei S-30 - YTC20033")</f>
        <v>Стетофонендоскоп Раппопорт Dr.Frei S-30 - YTC20033</v>
      </c>
      <c r="G1353" s="1" t="str">
        <f ca="1">IFERROR(__xludf.DUMMYFUNCTION("""COMPUTED_VALUE"""),"KZ.7700.02.01.00670197 / Действителен до Бессрочно / YTC20033 / без срока годности")</f>
        <v>KZ.7700.02.01.00670197 / Действителен до Бессрочно / YTC20033 / без срока годности</v>
      </c>
      <c r="H1353" s="1" t="str">
        <f ca="1">IFERROR(__xludf.DUMMYFUNCTION("""COMPUTED_VALUE"""),"Стетофонендоскоп Раппопорт Dr.Frei S-30 KZ.7700.02.01.00670197 / Действителен до Бессрочно / YTC20033 / без срока годности")</f>
        <v>Стетофонендоскоп Раппопорт Dr.Frei S-30 KZ.7700.02.01.00670197 / Действителен до Бессрочно / YTC20033 / без срока годности</v>
      </c>
    </row>
    <row r="1354" spans="1:8" ht="12.75" x14ac:dyDescent="0.2">
      <c r="A1354" s="1" t="str">
        <f ca="1">IFERROR(__xludf.DUMMYFUNCTION("""COMPUTED_VALUE"""),"Профессиональный стетоскоп с двусторонней головкой Dr.Frei Модель S-20")</f>
        <v>Профессиональный стетоскоп с двусторонней головкой Dr.Frei Модель S-20</v>
      </c>
      <c r="B1354" s="1" t="str">
        <f ca="1">IFERROR(__xludf.DUMMYFUNCTION("""COMPUTED_VALUE"""),"KZ.7700.02.01.00670196")</f>
        <v>KZ.7700.02.01.00670196</v>
      </c>
      <c r="C1354" s="1" t="str">
        <f ca="1">IFERROR(__xludf.DUMMYFUNCTION("""COMPUTED_VALUE"""),"Действителен до Бессрочно")</f>
        <v>Действителен до Бессрочно</v>
      </c>
      <c r="D1354" s="8" t="str">
        <f ca="1">IFERROR(__xludf.DUMMYFUNCTION("""COMPUTED_VALUE"""),"YTC20033")</f>
        <v>YTC20033</v>
      </c>
      <c r="E1354" s="1" t="str">
        <f ca="1">IFERROR(__xludf.DUMMYFUNCTION("""COMPUTED_VALUE"""),"без срока годности")</f>
        <v>без срока годности</v>
      </c>
      <c r="F1354" s="1" t="str">
        <f ca="1">IFERROR(__xludf.DUMMYFUNCTION("""COMPUTED_VALUE"""),"Профессиональный стетоскоп с двусторонней головкой Dr.Frei Модель S-20 - YTC20033")</f>
        <v>Профессиональный стетоскоп с двусторонней головкой Dr.Frei Модель S-20 - YTC20033</v>
      </c>
      <c r="G1354" s="1" t="str">
        <f ca="1">IFERROR(__xludf.DUMMYFUNCTION("""COMPUTED_VALUE"""),"KZ.7700.02.01.00670196 / Действителен до Бессрочно / YTC20033 / без срока годности")</f>
        <v>KZ.7700.02.01.00670196 / Действителен до Бессрочно / YTC20033 / без срока годности</v>
      </c>
      <c r="H1354" s="1" t="str">
        <f ca="1">IFERROR(__xludf.DUMMYFUNCTION("""COMPUTED_VALUE"""),"Профессиональный стетоскоп с двусторонней головкой Dr.Frei Модель S-20 KZ.7700.02.01.00670196 / Действителен до Бессрочно / YTC20033 / без срока годности")</f>
        <v>Профессиональный стетоскоп с двусторонней головкой Dr.Frei Модель S-20 KZ.7700.02.01.00670196 / Действителен до Бессрочно / YTC20033 / без срока годности</v>
      </c>
    </row>
    <row r="1355" spans="1:8" ht="12.75" x14ac:dyDescent="0.2">
      <c r="A1355" s="1" t="str">
        <f ca="1">IFERROR(__xludf.DUMMYFUNCTION("""COMPUTED_VALUE"""),"Профессиональный стетоскоп с односторонней головкой Dr.Frei Модель S-10")</f>
        <v>Профессиональный стетоскоп с односторонней головкой Dr.Frei Модель S-10</v>
      </c>
      <c r="B1355" s="1" t="str">
        <f ca="1">IFERROR(__xludf.DUMMYFUNCTION("""COMPUTED_VALUE"""),"KZ.7700.02.01.00670195")</f>
        <v>KZ.7700.02.01.00670195</v>
      </c>
      <c r="C1355" s="1" t="str">
        <f ca="1">IFERROR(__xludf.DUMMYFUNCTION("""COMPUTED_VALUE"""),"Действителен до Бессрочно")</f>
        <v>Действителен до Бессрочно</v>
      </c>
      <c r="D1355" s="8" t="str">
        <f ca="1">IFERROR(__xludf.DUMMYFUNCTION("""COMPUTED_VALUE"""),"YTC20033")</f>
        <v>YTC20033</v>
      </c>
      <c r="E1355" s="1" t="str">
        <f ca="1">IFERROR(__xludf.DUMMYFUNCTION("""COMPUTED_VALUE"""),"без срока годности")</f>
        <v>без срока годности</v>
      </c>
      <c r="F1355" s="1" t="str">
        <f ca="1">IFERROR(__xludf.DUMMYFUNCTION("""COMPUTED_VALUE"""),"Профессиональный стетоскоп с односторонней головкой Dr.Frei Модель S-10 - YTC20033")</f>
        <v>Профессиональный стетоскоп с односторонней головкой Dr.Frei Модель S-10 - YTC20033</v>
      </c>
      <c r="G1355" s="1" t="str">
        <f ca="1">IFERROR(__xludf.DUMMYFUNCTION("""COMPUTED_VALUE"""),"KZ.7700.02.01.00670195 / Действителен до Бессрочно / YTC20033 / без срока годности")</f>
        <v>KZ.7700.02.01.00670195 / Действителен до Бессрочно / YTC20033 / без срока годности</v>
      </c>
      <c r="H1355" s="1" t="str">
        <f ca="1">IFERROR(__xludf.DUMMYFUNCTION("""COMPUTED_VALUE"""),"Профессиональный стетоскоп с односторонней головкой Dr.Frei Модель S-10 KZ.7700.02.01.00670195 / Действителен до Бессрочно / YTC20033 / без срока годности")</f>
        <v>Профессиональный стетоскоп с односторонней головкой Dr.Frei Модель S-10 KZ.7700.02.01.00670195 / Действителен до Бессрочно / YTC20033 / без срока годности</v>
      </c>
    </row>
    <row r="1356" spans="1:8" ht="12.75" x14ac:dyDescent="0.2">
      <c r="A1356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356" s="1" t="str">
        <f ca="1">IFERROR(__xludf.DUMMYFUNCTION("""COMPUTED_VALUE"""),"KZ.7700.02.01.00701444")</f>
        <v>KZ.7700.02.01.00701444</v>
      </c>
      <c r="C1356" s="1" t="str">
        <f ca="1">IFERROR(__xludf.DUMMYFUNCTION("""COMPUTED_VALUE"""),"Действителен до Бессрочно")</f>
        <v>Действителен до Бессрочно</v>
      </c>
      <c r="D1356" s="8" t="str">
        <f ca="1">IFERROR(__xludf.DUMMYFUNCTION("""COMPUTED_VALUE"""),"YTC20083")</f>
        <v>YTC20083</v>
      </c>
      <c r="E1356" s="1" t="str">
        <f ca="1">IFERROR(__xludf.DUMMYFUNCTION("""COMPUTED_VALUE"""),"без срока годности")</f>
        <v>без срока годности</v>
      </c>
      <c r="F1356" s="1" t="str">
        <f ca="1">IFERROR(__xludf.DUMMYFUNCTION("""COMPUTED_VALUE"""),"Измеритель артериального давления Premium Dr.Frei А-30 - YTC20083")</f>
        <v>Измеритель артериального давления Premium Dr.Frei А-30 - YTC20083</v>
      </c>
      <c r="G1356" s="1" t="str">
        <f ca="1">IFERROR(__xludf.DUMMYFUNCTION("""COMPUTED_VALUE"""),"KZ.7700.02.01.00701444 / Действителен до Бессрочно / YTC20083 / без срока годности")</f>
        <v>KZ.7700.02.01.00701444 / Действителен до Бессрочно / YTC20083 / без срока годности</v>
      </c>
      <c r="H1356" s="1" t="str">
        <f ca="1">IFERROR(__xludf.DUMMYFUNCTION("""COMPUTED_VALUE"""),"Измеритель артериального давления Premium Dr.Frei А-30 KZ.7700.02.01.00701444 / Действителен до Бессрочно / YTC20083 / без срока годности")</f>
        <v>Измеритель артериального давления Premium Dr.Frei А-30 KZ.7700.02.01.00701444 / Действителен до Бессрочно / YTC20083 / без срока годности</v>
      </c>
    </row>
    <row r="1357" spans="1:8" ht="12.75" x14ac:dyDescent="0.2">
      <c r="A1357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357" s="1" t="str">
        <f ca="1">IFERROR(__xludf.DUMMYFUNCTION("""COMPUTED_VALUE"""),"KZ.7700.02.01.00701483")</f>
        <v>KZ.7700.02.01.00701483</v>
      </c>
      <c r="C1357" s="1" t="str">
        <f ca="1">IFERROR(__xludf.DUMMYFUNCTION("""COMPUTED_VALUE"""),"Действителен до Бессрочно")</f>
        <v>Действителен до Бессрочно</v>
      </c>
      <c r="D1357" s="8" t="str">
        <f ca="1">IFERROR(__xludf.DUMMYFUNCTION("""COMPUTED_VALUE"""),"YTC20083")</f>
        <v>YTC20083</v>
      </c>
      <c r="E1357" s="1" t="str">
        <f ca="1">IFERROR(__xludf.DUMMYFUNCTION("""COMPUTED_VALUE"""),"без срока годности")</f>
        <v>без срока годности</v>
      </c>
      <c r="F1357" s="1" t="str">
        <f ca="1">IFERROR(__xludf.DUMMYFUNCTION("""COMPUTED_VALUE"""),"Измеритель артериального давления Комфорт Dr.Frei А-40 - YTC20083")</f>
        <v>Измеритель артериального давления Комфорт Dr.Frei А-40 - YTC20083</v>
      </c>
      <c r="G1357" s="1" t="str">
        <f ca="1">IFERROR(__xludf.DUMMYFUNCTION("""COMPUTED_VALUE"""),"KZ.7700.02.01.00701483 / Действителен до Бессрочно / YTC20083 / без срока годности")</f>
        <v>KZ.7700.02.01.00701483 / Действителен до Бессрочно / YTC20083 / без срока годности</v>
      </c>
      <c r="H1357" s="1" t="str">
        <f ca="1">IFERROR(__xludf.DUMMYFUNCTION("""COMPUTED_VALUE"""),"Измеритель артериального давления Комфорт Dr.Frei А-40 KZ.7700.02.01.00701483 / Действителен до Бессрочно / YTC20083 / без срока годности")</f>
        <v>Измеритель артериального давления Комфорт Dr.Frei А-40 KZ.7700.02.01.00701483 / Действителен до Бессрочно / YTC20083 / без срока годности</v>
      </c>
    </row>
    <row r="1358" spans="1:8" ht="12.75" x14ac:dyDescent="0.2">
      <c r="A1358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358" s="1" t="str">
        <f ca="1">IFERROR(__xludf.DUMMYFUNCTION("""COMPUTED_VALUE"""),"KZ.7700.02.01.00701449")</f>
        <v>KZ.7700.02.01.00701449</v>
      </c>
      <c r="C1358" s="1" t="str">
        <f ca="1">IFERROR(__xludf.DUMMYFUNCTION("""COMPUTED_VALUE"""),"Действителен до Бессрочно")</f>
        <v>Действителен до Бессрочно</v>
      </c>
      <c r="D1358" s="8" t="str">
        <f ca="1">IFERROR(__xludf.DUMMYFUNCTION("""COMPUTED_VALUE"""),"YTC20083")</f>
        <v>YTC20083</v>
      </c>
      <c r="E1358" s="1" t="str">
        <f ca="1">IFERROR(__xludf.DUMMYFUNCTION("""COMPUTED_VALUE"""),"без срока годности")</f>
        <v>без срока годности</v>
      </c>
      <c r="F1358" s="1" t="str">
        <f ca="1">IFERROR(__xludf.DUMMYFUNCTION("""COMPUTED_VALUE"""),"Измеритель артериального давления Классик Dr.Frei А-20 - YTC20083")</f>
        <v>Измеритель артериального давления Классик Dr.Frei А-20 - YTC20083</v>
      </c>
      <c r="G1358" s="1" t="str">
        <f ca="1">IFERROR(__xludf.DUMMYFUNCTION("""COMPUTED_VALUE"""),"KZ.7700.02.01.00701449 / Действителен до Бессрочно / YTC20083 / без срока годности")</f>
        <v>KZ.7700.02.01.00701449 / Действителен до Бессрочно / YTC20083 / без срока годности</v>
      </c>
      <c r="H1358" s="1" t="str">
        <f ca="1">IFERROR(__xludf.DUMMYFUNCTION("""COMPUTED_VALUE"""),"Измеритель артериального давления Классик Dr.Frei А-20 KZ.7700.02.01.00701449 / Действителен до Бессрочно / YTC20083 / без срока годности")</f>
        <v>Измеритель артериального давления Классик Dr.Frei А-20 KZ.7700.02.01.00701449 / Действителен до Бессрочно / YTC20083 / без срока годности</v>
      </c>
    </row>
    <row r="1359" spans="1:8" ht="12.75" x14ac:dyDescent="0.2">
      <c r="A1359" s="1" t="str">
        <f ca="1">IFERROR(__xludf.DUMMYFUNCTION("""COMPUTED_VALUE"""),"Измеритель артериального давления Профессиональный Dr.Frei А-10")</f>
        <v>Измеритель артериального давления Профессиональный Dr.Frei А-10</v>
      </c>
      <c r="B1359" s="1" t="str">
        <f ca="1">IFERROR(__xludf.DUMMYFUNCTION("""COMPUTED_VALUE"""),"KZ.7700.02.01.00735025")</f>
        <v>KZ.7700.02.01.00735025</v>
      </c>
      <c r="C1359" s="1" t="str">
        <f ca="1">IFERROR(__xludf.DUMMYFUNCTION("""COMPUTED_VALUE"""),"Действителен до Бессрочно")</f>
        <v>Действителен до Бессрочно</v>
      </c>
      <c r="D1359" s="8" t="str">
        <f ca="1">IFERROR(__xludf.DUMMYFUNCTION("""COMPUTED_VALUE"""),"YTC20129")</f>
        <v>YTC20129</v>
      </c>
      <c r="E1359" s="1" t="str">
        <f ca="1">IFERROR(__xludf.DUMMYFUNCTION("""COMPUTED_VALUE"""),"без срока годности")</f>
        <v>без срока годности</v>
      </c>
      <c r="F1359" s="1" t="str">
        <f ca="1">IFERROR(__xludf.DUMMYFUNCTION("""COMPUTED_VALUE"""),"Измеритель артериального давления Профессиональный Dr.Frei А-10 - YTC20129")</f>
        <v>Измеритель артериального давления Профессиональный Dr.Frei А-10 - YTC20129</v>
      </c>
      <c r="G1359" s="1" t="str">
        <f ca="1">IFERROR(__xludf.DUMMYFUNCTION("""COMPUTED_VALUE"""),"KZ.7700.02.01.00735025 / Действителен до Бессрочно / YTC20129 / без срока годности")</f>
        <v>KZ.7700.02.01.00735025 / Действителен до Бессрочно / YTC20129 / без срока годности</v>
      </c>
      <c r="H1359" s="1" t="str">
        <f ca="1">IFERROR(__xludf.DUMMYFUNCTION("""COMPUTED_VALUE"""),"Измеритель артериального давления Профессиональный Dr.Frei А-10 KZ.7700.02.01.00735025 / Действителен до Бессрочно / YTC20129 / без срока годности")</f>
        <v>Измеритель артериального давления Профессиональный Dr.Frei А-10 KZ.7700.02.01.00735025 / Действителен до Бессрочно / YTC20129 / без срока годности</v>
      </c>
    </row>
    <row r="1360" spans="1:8" ht="12.75" x14ac:dyDescent="0.2">
      <c r="A1360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360" s="1" t="str">
        <f ca="1">IFERROR(__xludf.DUMMYFUNCTION("""COMPUTED_VALUE"""),"KZ.7700.02.01.00735032")</f>
        <v>KZ.7700.02.01.00735032</v>
      </c>
      <c r="C1360" s="1" t="str">
        <f ca="1">IFERROR(__xludf.DUMMYFUNCTION("""COMPUTED_VALUE"""),"Действителен до Бессрочно")</f>
        <v>Действителен до Бессрочно</v>
      </c>
      <c r="D1360" s="8" t="str">
        <f ca="1">IFERROR(__xludf.DUMMYFUNCTION("""COMPUTED_VALUE"""),"YTC20129")</f>
        <v>YTC20129</v>
      </c>
      <c r="E1360" s="1" t="str">
        <f ca="1">IFERROR(__xludf.DUMMYFUNCTION("""COMPUTED_VALUE"""),"без срока годности")</f>
        <v>без срока годности</v>
      </c>
      <c r="F1360" s="1" t="str">
        <f ca="1">IFERROR(__xludf.DUMMYFUNCTION("""COMPUTED_VALUE"""),"Измеритель артериального давления Классик Dr.Frei А-20 - YTC20129")</f>
        <v>Измеритель артериального давления Классик Dr.Frei А-20 - YTC20129</v>
      </c>
      <c r="G1360" s="1" t="str">
        <f ca="1">IFERROR(__xludf.DUMMYFUNCTION("""COMPUTED_VALUE"""),"KZ.7700.02.01.00735032 / Действителен до Бессрочно / YTC20129 / без срока годности")</f>
        <v>KZ.7700.02.01.00735032 / Действителен до Бессрочно / YTC20129 / без срока годности</v>
      </c>
      <c r="H1360" s="1" t="str">
        <f ca="1">IFERROR(__xludf.DUMMYFUNCTION("""COMPUTED_VALUE"""),"Измеритель артериального давления Классик Dr.Frei А-20 KZ.7700.02.01.00735032 / Действителен до Бессрочно / YTC20129 / без срока годности")</f>
        <v>Измеритель артериального давления Классик Dr.Frei А-20 KZ.7700.02.01.00735032 / Действителен до Бессрочно / YTC20129 / без срока годности</v>
      </c>
    </row>
    <row r="1361" spans="1:8" ht="12.75" x14ac:dyDescent="0.2">
      <c r="A1361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361" s="1" t="str">
        <f ca="1">IFERROR(__xludf.DUMMYFUNCTION("""COMPUTED_VALUE"""),"KZ.7700.02.01.00735028")</f>
        <v>KZ.7700.02.01.00735028</v>
      </c>
      <c r="C1361" s="1" t="str">
        <f ca="1">IFERROR(__xludf.DUMMYFUNCTION("""COMPUTED_VALUE"""),"Действителен до Бессрочно")</f>
        <v>Действителен до Бессрочно</v>
      </c>
      <c r="D1361" s="8" t="str">
        <f ca="1">IFERROR(__xludf.DUMMYFUNCTION("""COMPUTED_VALUE"""),"YTC20129")</f>
        <v>YTC20129</v>
      </c>
      <c r="E1361" s="1" t="str">
        <f ca="1">IFERROR(__xludf.DUMMYFUNCTION("""COMPUTED_VALUE"""),"без срока годности")</f>
        <v>без срока годности</v>
      </c>
      <c r="F1361" s="1" t="str">
        <f ca="1">IFERROR(__xludf.DUMMYFUNCTION("""COMPUTED_VALUE"""),"Измеритель артериального давления Premium Dr.Frei А-30 - YTC20129")</f>
        <v>Измеритель артериального давления Premium Dr.Frei А-30 - YTC20129</v>
      </c>
      <c r="G1361" s="1" t="str">
        <f ca="1">IFERROR(__xludf.DUMMYFUNCTION("""COMPUTED_VALUE"""),"KZ.7700.02.01.00735028 / Действителен до Бессрочно / YTC20129 / без срока годности")</f>
        <v>KZ.7700.02.01.00735028 / Действителен до Бессрочно / YTC20129 / без срока годности</v>
      </c>
      <c r="H1361" s="1" t="str">
        <f ca="1">IFERROR(__xludf.DUMMYFUNCTION("""COMPUTED_VALUE"""),"Измеритель артериального давления Premium Dr.Frei А-30 KZ.7700.02.01.00735028 / Действителен до Бессрочно / YTC20129 / без срока годности")</f>
        <v>Измеритель артериального давления Premium Dr.Frei А-30 KZ.7700.02.01.00735028 / Действителен до Бессрочно / YTC20129 / без срока годности</v>
      </c>
    </row>
    <row r="1362" spans="1:8" ht="12.75" x14ac:dyDescent="0.2">
      <c r="A1362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362" s="1" t="str">
        <f ca="1">IFERROR(__xludf.DUMMYFUNCTION("""COMPUTED_VALUE"""),"KZ.7700.02.01.00735029")</f>
        <v>KZ.7700.02.01.00735029</v>
      </c>
      <c r="C1362" s="1" t="str">
        <f ca="1">IFERROR(__xludf.DUMMYFUNCTION("""COMPUTED_VALUE"""),"Действителен до Бессрочно")</f>
        <v>Действителен до Бессрочно</v>
      </c>
      <c r="D1362" s="8" t="str">
        <f ca="1">IFERROR(__xludf.DUMMYFUNCTION("""COMPUTED_VALUE"""),"YTC20129")</f>
        <v>YTC20129</v>
      </c>
      <c r="E1362" s="1" t="str">
        <f ca="1">IFERROR(__xludf.DUMMYFUNCTION("""COMPUTED_VALUE"""),"без срока годности")</f>
        <v>без срока годности</v>
      </c>
      <c r="F1362" s="1" t="str">
        <f ca="1">IFERROR(__xludf.DUMMYFUNCTION("""COMPUTED_VALUE"""),"Измеритель артериального давления Комфорт Dr.Frei А-40 - YTC20129")</f>
        <v>Измеритель артериального давления Комфорт Dr.Frei А-40 - YTC20129</v>
      </c>
      <c r="G1362" s="1" t="str">
        <f ca="1">IFERROR(__xludf.DUMMYFUNCTION("""COMPUTED_VALUE"""),"KZ.7700.02.01.00735029 / Действителен до Бессрочно / YTC20129 / без срока годности")</f>
        <v>KZ.7700.02.01.00735029 / Действителен до Бессрочно / YTC20129 / без срока годности</v>
      </c>
      <c r="H1362" s="1" t="str">
        <f ca="1">IFERROR(__xludf.DUMMYFUNCTION("""COMPUTED_VALUE"""),"Измеритель артериального давления Комфорт Dr.Frei А-40 KZ.7700.02.01.00735029 / Действителен до Бессрочно / YTC20129 / без срока годности")</f>
        <v>Измеритель артериального давления Комфорт Dr.Frei А-40 KZ.7700.02.01.00735029 / Действителен до Бессрочно / YTC20129 / без срока годности</v>
      </c>
    </row>
    <row r="1363" spans="1:8" ht="12.75" x14ac:dyDescent="0.2">
      <c r="A1363" s="1" t="str">
        <f ca="1">IFERROR(__xludf.DUMMYFUNCTION("""COMPUTED_VALUE"""),"Профессиональный стетоскоп с односторонней головкой Dr.Frei Модель S-10")</f>
        <v>Профессиональный стетоскоп с односторонней головкой Dr.Frei Модель S-10</v>
      </c>
      <c r="B1363" s="1" t="str">
        <f ca="1">IFERROR(__xludf.DUMMYFUNCTION("""COMPUTED_VALUE"""),"KZ.7700.02.01.00750998")</f>
        <v>KZ.7700.02.01.00750998</v>
      </c>
      <c r="C1363" s="1" t="str">
        <f ca="1">IFERROR(__xludf.DUMMYFUNCTION("""COMPUTED_VALUE"""),"Действителен до Бессрочно")</f>
        <v>Действителен до Бессрочно</v>
      </c>
      <c r="D1363" s="8" t="str">
        <f ca="1">IFERROR(__xludf.DUMMYFUNCTION("""COMPUTED_VALUE"""),"YTC20134")</f>
        <v>YTC20134</v>
      </c>
      <c r="E1363" s="1" t="str">
        <f ca="1">IFERROR(__xludf.DUMMYFUNCTION("""COMPUTED_VALUE"""),"без срока годности")</f>
        <v>без срока годности</v>
      </c>
      <c r="F1363" s="1" t="str">
        <f ca="1">IFERROR(__xludf.DUMMYFUNCTION("""COMPUTED_VALUE"""),"Профессиональный стетоскоп с односторонней головкой Dr.Frei Модель S-10 - YTC20134")</f>
        <v>Профессиональный стетоскоп с односторонней головкой Dr.Frei Модель S-10 - YTC20134</v>
      </c>
      <c r="G1363" s="1" t="str">
        <f ca="1">IFERROR(__xludf.DUMMYFUNCTION("""COMPUTED_VALUE"""),"KZ.7700.02.01.00750998 / Действителен до Бессрочно / YTC20134 / без срока годности")</f>
        <v>KZ.7700.02.01.00750998 / Действителен до Бессрочно / YTC20134 / без срока годности</v>
      </c>
      <c r="H1363" s="1" t="str">
        <f ca="1">IFERROR(__xludf.DUMMYFUNCTION("""COMPUTED_VALUE"""),"Профессиональный стетоскоп с односторонней головкой Dr.Frei Модель S-10 KZ.7700.02.01.00750998 / Действителен до Бессрочно / YTC20134 / без срока годности")</f>
        <v>Профессиональный стетоскоп с односторонней головкой Dr.Frei Модель S-10 KZ.7700.02.01.00750998 / Действителен до Бессрочно / YTC20134 / без срока годности</v>
      </c>
    </row>
    <row r="1364" spans="1:8" ht="12.75" x14ac:dyDescent="0.2">
      <c r="A1364" s="1" t="str">
        <f ca="1">IFERROR(__xludf.DUMMYFUNCTION("""COMPUTED_VALUE"""),"Профессиональный стетоскоп с двусторонней головкой Dr.Frei Модель S-20")</f>
        <v>Профессиональный стетоскоп с двусторонней головкой Dr.Frei Модель S-20</v>
      </c>
      <c r="B1364" s="1" t="str">
        <f ca="1">IFERROR(__xludf.DUMMYFUNCTION("""COMPUTED_VALUE"""),"KZ.7700.02.01.00751001")</f>
        <v>KZ.7700.02.01.00751001</v>
      </c>
      <c r="C1364" s="1" t="str">
        <f ca="1">IFERROR(__xludf.DUMMYFUNCTION("""COMPUTED_VALUE"""),"Действителен до Бессрочно")</f>
        <v>Действителен до Бессрочно</v>
      </c>
      <c r="D1364" s="8" t="str">
        <f ca="1">IFERROR(__xludf.DUMMYFUNCTION("""COMPUTED_VALUE"""),"YTC20134")</f>
        <v>YTC20134</v>
      </c>
      <c r="E1364" s="1" t="str">
        <f ca="1">IFERROR(__xludf.DUMMYFUNCTION("""COMPUTED_VALUE"""),"без срока годности")</f>
        <v>без срока годности</v>
      </c>
      <c r="F1364" s="1" t="str">
        <f ca="1">IFERROR(__xludf.DUMMYFUNCTION("""COMPUTED_VALUE"""),"Профессиональный стетоскоп с двусторонней головкой Dr.Frei Модель S-20 - YTC20134")</f>
        <v>Профессиональный стетоскоп с двусторонней головкой Dr.Frei Модель S-20 - YTC20134</v>
      </c>
      <c r="G1364" s="1" t="str">
        <f ca="1">IFERROR(__xludf.DUMMYFUNCTION("""COMPUTED_VALUE"""),"KZ.7700.02.01.00751001 / Действителен до Бессрочно / YTC20134 / без срока годности")</f>
        <v>KZ.7700.02.01.00751001 / Действителен до Бессрочно / YTC20134 / без срока годности</v>
      </c>
      <c r="H1364" s="1" t="str">
        <f ca="1">IFERROR(__xludf.DUMMYFUNCTION("""COMPUTED_VALUE"""),"Профессиональный стетоскоп с двусторонней головкой Dr.Frei Модель S-20 KZ.7700.02.01.00751001 / Действителен до Бессрочно / YTC20134 / без срока годности")</f>
        <v>Профессиональный стетоскоп с двусторонней головкой Dr.Frei Модель S-20 KZ.7700.02.01.00751001 / Действителен до Бессрочно / YTC20134 / без срока годности</v>
      </c>
    </row>
    <row r="1365" spans="1:8" ht="12.75" x14ac:dyDescent="0.2">
      <c r="A1365" s="1" t="str">
        <f ca="1">IFERROR(__xludf.DUMMYFUNCTION("""COMPUTED_VALUE"""),"Измеритель артериального давления Профессиональный Dr.Frei А-10")</f>
        <v>Измеритель артериального давления Профессиональный Dr.Frei А-10</v>
      </c>
      <c r="B1365" s="1" t="str">
        <f ca="1">IFERROR(__xludf.DUMMYFUNCTION("""COMPUTED_VALUE"""),"KZ.7700.02.01.00751005")</f>
        <v>KZ.7700.02.01.00751005</v>
      </c>
      <c r="C1365" s="1" t="str">
        <f ca="1">IFERROR(__xludf.DUMMYFUNCTION("""COMPUTED_VALUE"""),"Действителен до Бессрочно")</f>
        <v>Действителен до Бессрочно</v>
      </c>
      <c r="D1365" s="8" t="str">
        <f ca="1">IFERROR(__xludf.DUMMYFUNCTION("""COMPUTED_VALUE"""),"YTC20134")</f>
        <v>YTC20134</v>
      </c>
      <c r="E1365" s="1" t="str">
        <f ca="1">IFERROR(__xludf.DUMMYFUNCTION("""COMPUTED_VALUE"""),"без срока годности")</f>
        <v>без срока годности</v>
      </c>
      <c r="F1365" s="1" t="str">
        <f ca="1">IFERROR(__xludf.DUMMYFUNCTION("""COMPUTED_VALUE"""),"Измеритель артериального давления Профессиональный Dr.Frei А-10 - YTC20134")</f>
        <v>Измеритель артериального давления Профессиональный Dr.Frei А-10 - YTC20134</v>
      </c>
      <c r="G1365" s="1" t="str">
        <f ca="1">IFERROR(__xludf.DUMMYFUNCTION("""COMPUTED_VALUE"""),"KZ.7700.02.01.00751005 / Действителен до Бессрочно / YTC20134 / без срока годности")</f>
        <v>KZ.7700.02.01.00751005 / Действителен до Бессрочно / YTC20134 / без срока годности</v>
      </c>
      <c r="H1365" s="1" t="str">
        <f ca="1">IFERROR(__xludf.DUMMYFUNCTION("""COMPUTED_VALUE"""),"Измеритель артериального давления Профессиональный Dr.Frei А-10 KZ.7700.02.01.00751005 / Действителен до Бессрочно / YTC20134 / без срока годности")</f>
        <v>Измеритель артериального давления Профессиональный Dr.Frei А-10 KZ.7700.02.01.00751005 / Действителен до Бессрочно / YTC20134 / без срока годности</v>
      </c>
    </row>
    <row r="1366" spans="1:8" ht="12.75" x14ac:dyDescent="0.2">
      <c r="A1366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366" s="1" t="str">
        <f ca="1">IFERROR(__xludf.DUMMYFUNCTION("""COMPUTED_VALUE"""),"KZ.7700.02.01.00751000")</f>
        <v>KZ.7700.02.01.00751000</v>
      </c>
      <c r="C1366" s="1" t="str">
        <f ca="1">IFERROR(__xludf.DUMMYFUNCTION("""COMPUTED_VALUE"""),"Действителен до Бессрочно")</f>
        <v>Действителен до Бессрочно</v>
      </c>
      <c r="D1366" s="8" t="str">
        <f ca="1">IFERROR(__xludf.DUMMYFUNCTION("""COMPUTED_VALUE"""),"YTC20134")</f>
        <v>YTC20134</v>
      </c>
      <c r="E1366" s="1" t="str">
        <f ca="1">IFERROR(__xludf.DUMMYFUNCTION("""COMPUTED_VALUE"""),"без срока годности")</f>
        <v>без срока годности</v>
      </c>
      <c r="F1366" s="1" t="str">
        <f ca="1">IFERROR(__xludf.DUMMYFUNCTION("""COMPUTED_VALUE"""),"Измеритель артериального давления Классик Dr.Frei А-20 - YTC20134")</f>
        <v>Измеритель артериального давления Классик Dr.Frei А-20 - YTC20134</v>
      </c>
      <c r="G1366" s="1" t="str">
        <f ca="1">IFERROR(__xludf.DUMMYFUNCTION("""COMPUTED_VALUE"""),"KZ.7700.02.01.00751000 / Действителен до Бессрочно / YTC20134 / без срока годности")</f>
        <v>KZ.7700.02.01.00751000 / Действителен до Бессрочно / YTC20134 / без срока годности</v>
      </c>
      <c r="H1366" s="1" t="str">
        <f ca="1">IFERROR(__xludf.DUMMYFUNCTION("""COMPUTED_VALUE"""),"Измеритель артериального давления Классик Dr.Frei А-20 KZ.7700.02.01.00751000 / Действителен до Бессрочно / YTC20134 / без срока годности")</f>
        <v>Измеритель артериального давления Классик Dr.Frei А-20 KZ.7700.02.01.00751000 / Действителен до Бессрочно / YTC20134 / без срока годности</v>
      </c>
    </row>
    <row r="1367" spans="1:8" ht="12.75" x14ac:dyDescent="0.2">
      <c r="A1367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367" s="1" t="str">
        <f ca="1">IFERROR(__xludf.DUMMYFUNCTION("""COMPUTED_VALUE"""),"KZ.7700.02.01.00750999")</f>
        <v>KZ.7700.02.01.00750999</v>
      </c>
      <c r="C1367" s="1" t="str">
        <f ca="1">IFERROR(__xludf.DUMMYFUNCTION("""COMPUTED_VALUE"""),"Действителен до Бессрочно")</f>
        <v>Действителен до Бессрочно</v>
      </c>
      <c r="D1367" s="8" t="str">
        <f ca="1">IFERROR(__xludf.DUMMYFUNCTION("""COMPUTED_VALUE"""),"YTC20134")</f>
        <v>YTC20134</v>
      </c>
      <c r="E1367" s="1" t="str">
        <f ca="1">IFERROR(__xludf.DUMMYFUNCTION("""COMPUTED_VALUE"""),"без срока годности")</f>
        <v>без срока годности</v>
      </c>
      <c r="F1367" s="1" t="str">
        <f ca="1">IFERROR(__xludf.DUMMYFUNCTION("""COMPUTED_VALUE"""),"Измеритель артериального давления Premium Dr.Frei А-30 - YTC20134")</f>
        <v>Измеритель артериального давления Premium Dr.Frei А-30 - YTC20134</v>
      </c>
      <c r="G1367" s="1" t="str">
        <f ca="1">IFERROR(__xludf.DUMMYFUNCTION("""COMPUTED_VALUE"""),"KZ.7700.02.01.00750999 / Действителен до Бессрочно / YTC20134 / без срока годности")</f>
        <v>KZ.7700.02.01.00750999 / Действителен до Бессрочно / YTC20134 / без срока годности</v>
      </c>
      <c r="H1367" s="1" t="str">
        <f ca="1">IFERROR(__xludf.DUMMYFUNCTION("""COMPUTED_VALUE"""),"Измеритель артериального давления Premium Dr.Frei А-30 KZ.7700.02.01.00750999 / Действителен до Бессрочно / YTC20134 / без срока годности")</f>
        <v>Измеритель артериального давления Premium Dr.Frei А-30 KZ.7700.02.01.00750999 / Действителен до Бессрочно / YTC20134 / без срока годности</v>
      </c>
    </row>
    <row r="1368" spans="1:8" ht="12.75" x14ac:dyDescent="0.2">
      <c r="A1368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368" s="1" t="str">
        <f ca="1">IFERROR(__xludf.DUMMYFUNCTION("""COMPUTED_VALUE"""),"KZ.7700.02.01.00750997")</f>
        <v>KZ.7700.02.01.00750997</v>
      </c>
      <c r="C1368" s="1" t="str">
        <f ca="1">IFERROR(__xludf.DUMMYFUNCTION("""COMPUTED_VALUE"""),"Действителен до Бессрочно")</f>
        <v>Действителен до Бессрочно</v>
      </c>
      <c r="D1368" s="8" t="str">
        <f ca="1">IFERROR(__xludf.DUMMYFUNCTION("""COMPUTED_VALUE"""),"YTC20134")</f>
        <v>YTC20134</v>
      </c>
      <c r="E1368" s="1" t="str">
        <f ca="1">IFERROR(__xludf.DUMMYFUNCTION("""COMPUTED_VALUE"""),"без срока годности")</f>
        <v>без срока годности</v>
      </c>
      <c r="F1368" s="1" t="str">
        <f ca="1">IFERROR(__xludf.DUMMYFUNCTION("""COMPUTED_VALUE"""),"Измеритель артериального давления Комфорт Dr.Frei А-40 - YTC20134")</f>
        <v>Измеритель артериального давления Комфорт Dr.Frei А-40 - YTC20134</v>
      </c>
      <c r="G1368" s="1" t="str">
        <f ca="1">IFERROR(__xludf.DUMMYFUNCTION("""COMPUTED_VALUE"""),"KZ.7700.02.01.00750997 / Действителен до Бессрочно / YTC20134 / без срока годности")</f>
        <v>KZ.7700.02.01.00750997 / Действителен до Бессрочно / YTC20134 / без срока годности</v>
      </c>
      <c r="H1368" s="1" t="str">
        <f ca="1">IFERROR(__xludf.DUMMYFUNCTION("""COMPUTED_VALUE"""),"Измеритель артериального давления Комфорт Dr.Frei А-40 KZ.7700.02.01.00750997 / Действителен до Бессрочно / YTC20134 / без срока годности")</f>
        <v>Измеритель артериального давления Комфорт Dr.Frei А-40 KZ.7700.02.01.00750997 / Действителен до Бессрочно / YTC20134 / без срока годности</v>
      </c>
    </row>
    <row r="1369" spans="1:8" ht="12.75" x14ac:dyDescent="0.2">
      <c r="A1369" s="1" t="str">
        <f ca="1">IFERROR(__xludf.DUMMYFUNCTION("""COMPUTED_VALUE"""),"Тонометр на запястие автомат Gamma Active")</f>
        <v>Тонометр на запястие автомат Gamma Active</v>
      </c>
      <c r="B1369" s="1" t="str">
        <f ca="1">IFERROR(__xludf.DUMMYFUNCTION("""COMPUTED_VALUE"""),"KZ.7700.02.01.00751612")</f>
        <v>KZ.7700.02.01.00751612</v>
      </c>
      <c r="C1369" s="1" t="str">
        <f ca="1">IFERROR(__xludf.DUMMYFUNCTION("""COMPUTED_VALUE"""),"Действителен до Бессрочно")</f>
        <v>Действителен до Бессрочно</v>
      </c>
      <c r="D1369" s="8" t="str">
        <f ca="1">IFERROR(__xludf.DUMMYFUNCTION("""COMPUTED_VALUE"""),"17-03-2021")</f>
        <v>17-03-2021</v>
      </c>
      <c r="E1369" s="1" t="str">
        <f ca="1">IFERROR(__xludf.DUMMYFUNCTION("""COMPUTED_VALUE"""),"без срока годности")</f>
        <v>без срока годности</v>
      </c>
      <c r="F1369" s="1" t="str">
        <f ca="1">IFERROR(__xludf.DUMMYFUNCTION("""COMPUTED_VALUE"""),"Тонометр на запястие автомат Gamma Active - 17-03-2021")</f>
        <v>Тонометр на запястие автомат Gamma Active - 17-03-2021</v>
      </c>
      <c r="G1369" s="1" t="str">
        <f ca="1">IFERROR(__xludf.DUMMYFUNCTION("""COMPUTED_VALUE"""),"KZ.7700.02.01.00751612 / Действителен до Бессрочно / 17-03-2021 / без срока годности")</f>
        <v>KZ.7700.02.01.00751612 / Действителен до Бессрочно / 17-03-2021 / без срока годности</v>
      </c>
      <c r="H1369" s="1" t="str">
        <f ca="1">IFERROR(__xludf.DUMMYFUNCTION("""COMPUTED_VALUE"""),"Тонометр на запястие автомат Gamma Active KZ.7700.02.01.00751612 / Действителен до Бессрочно / 17-03-2021 / без срока годности")</f>
        <v>Тонометр на запястие автомат Gamma Active KZ.7700.02.01.00751612 / Действителен до Бессрочно / 17-03-2021 / без срока годности</v>
      </c>
    </row>
    <row r="1370" spans="1:8" ht="12.75" x14ac:dyDescent="0.2">
      <c r="A1370" s="1" t="str">
        <f ca="1">IFERROR(__xludf.DUMMYFUNCTION("""COMPUTED_VALUE"""),"Тонометр автомат Gamma Control")</f>
        <v>Тонометр автомат Gamma Control</v>
      </c>
      <c r="B1370" s="1" t="str">
        <f ca="1">IFERROR(__xludf.DUMMYFUNCTION("""COMPUTED_VALUE"""),"KZ.7700.02.01.00751613")</f>
        <v>KZ.7700.02.01.00751613</v>
      </c>
      <c r="C1370" s="1" t="str">
        <f ca="1">IFERROR(__xludf.DUMMYFUNCTION("""COMPUTED_VALUE"""),"Действителен до Бессрочно")</f>
        <v>Действителен до Бессрочно</v>
      </c>
      <c r="D1370" s="8" t="str">
        <f ca="1">IFERROR(__xludf.DUMMYFUNCTION("""COMPUTED_VALUE"""),"16-03-2021")</f>
        <v>16-03-2021</v>
      </c>
      <c r="E1370" s="1" t="str">
        <f ca="1">IFERROR(__xludf.DUMMYFUNCTION("""COMPUTED_VALUE"""),"без срока годности")</f>
        <v>без срока годности</v>
      </c>
      <c r="F1370" s="1" t="str">
        <f ca="1">IFERROR(__xludf.DUMMYFUNCTION("""COMPUTED_VALUE"""),"Тонометр автомат Gamma Control - 16-03-2021")</f>
        <v>Тонометр автомат Gamma Control - 16-03-2021</v>
      </c>
      <c r="G1370" s="1" t="str">
        <f ca="1">IFERROR(__xludf.DUMMYFUNCTION("""COMPUTED_VALUE"""),"KZ.7700.02.01.00751613 / Действителен до Бессрочно / 16-03-2021 / без срока годности")</f>
        <v>KZ.7700.02.01.00751613 / Действителен до Бессрочно / 16-03-2021 / без срока годности</v>
      </c>
      <c r="H1370" s="1" t="str">
        <f ca="1">IFERROR(__xludf.DUMMYFUNCTION("""COMPUTED_VALUE"""),"Тонометр автомат Gamma Control KZ.7700.02.01.00751613 / Действителен до Бессрочно / 16-03-2021 / без срока годности")</f>
        <v>Тонометр автомат Gamma Control KZ.7700.02.01.00751613 / Действителен до Бессрочно / 16-03-2021 / без срока годности</v>
      </c>
    </row>
    <row r="1371" spans="1:8" ht="12.75" x14ac:dyDescent="0.2">
      <c r="A1371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371" s="1" t="str">
        <f ca="1">IFERROR(__xludf.DUMMYFUNCTION("""COMPUTED_VALUE"""),"KZ.7700.02.01.00751615")</f>
        <v>KZ.7700.02.01.00751615</v>
      </c>
      <c r="C1371" s="1" t="str">
        <f ca="1">IFERROR(__xludf.DUMMYFUNCTION("""COMPUTED_VALUE"""),"Действителен до Бессрочно")</f>
        <v>Действителен до Бессрочно</v>
      </c>
      <c r="D1371" s="8" t="str">
        <f ca="1">IFERROR(__xludf.DUMMYFUNCTION("""COMPUTED_VALUE"""),"17-03-2021")</f>
        <v>17-03-2021</v>
      </c>
      <c r="E1371" s="1" t="str">
        <f ca="1">IFERROR(__xludf.DUMMYFUNCTION("""COMPUTED_VALUE"""),"без срока годности")</f>
        <v>без срока годности</v>
      </c>
      <c r="F1371" s="1" t="str">
        <f ca="1">IFERROR(__xludf.DUMMYFUNCTION("""COMPUTED_VALUE"""),"Автоматический измеритель артериального давления ТМ DR.FREI МОДЕЛЬ M-100A - 17-03-2021")</f>
        <v>Автоматический измеритель артериального давления ТМ DR.FREI МОДЕЛЬ M-100A - 17-03-2021</v>
      </c>
      <c r="G1371" s="1" t="str">
        <f ca="1">IFERROR(__xludf.DUMMYFUNCTION("""COMPUTED_VALUE"""),"KZ.7700.02.01.00751615 / Действителен до Бессрочно / 17-03-2021 / без срока годности")</f>
        <v>KZ.7700.02.01.00751615 / Действителен до Бессрочно / 17-03-2021 / без срока годности</v>
      </c>
      <c r="H1371" s="1" t="str">
        <f ca="1">IFERROR(__xludf.DUMMYFUNCTION("""COMPUTED_VALUE"""),"Автоматический измеритель артериального давления ТМ DR.FREI МОДЕЛЬ M-100A KZ.7700.02.01.00751615 / Действителен до Бессрочно / 17-03-2021 / без срока годности")</f>
        <v>Автоматический измеритель артериального давления ТМ DR.FREI МОДЕЛЬ M-100A KZ.7700.02.01.00751615 / Действителен до Бессрочно / 17-03-2021 / без срока годности</v>
      </c>
    </row>
    <row r="1372" spans="1:8" ht="12.75" x14ac:dyDescent="0.2">
      <c r="A1372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372" s="1" t="str">
        <f ca="1">IFERROR(__xludf.DUMMYFUNCTION("""COMPUTED_VALUE"""),"KZ.7700.02.01.00751616")</f>
        <v>KZ.7700.02.01.00751616</v>
      </c>
      <c r="C1372" s="1" t="str">
        <f ca="1">IFERROR(__xludf.DUMMYFUNCTION("""COMPUTED_VALUE"""),"Действителен до Бессрочно")</f>
        <v>Действителен до Бессрочно</v>
      </c>
      <c r="D1372" s="8" t="str">
        <f ca="1">IFERROR(__xludf.DUMMYFUNCTION("""COMPUTED_VALUE"""),"17-03-2021")</f>
        <v>17-03-2021</v>
      </c>
      <c r="E1372" s="1" t="str">
        <f ca="1">IFERROR(__xludf.DUMMYFUNCTION("""COMPUTED_VALUE"""),"без срока годности")</f>
        <v>без срока годности</v>
      </c>
      <c r="F1372" s="1" t="str">
        <f ca="1">IFERROR(__xludf.DUMMYFUNCTION("""COMPUTED_VALUE"""),"Полуавтоматический измеритель артериального давления ТМ DR.FREI МОДЕЛЬ M-150S - 17-03-2021")</f>
        <v>Полуавтоматический измеритель артериального давления ТМ DR.FREI МОДЕЛЬ M-150S - 17-03-2021</v>
      </c>
      <c r="G1372" s="1" t="str">
        <f ca="1">IFERROR(__xludf.DUMMYFUNCTION("""COMPUTED_VALUE"""),"KZ.7700.02.01.00751616 / Действителен до Бессрочно / 17-03-2021 / без срока годности")</f>
        <v>KZ.7700.02.01.00751616 / Действителен до Бессрочно / 17-03-2021 / без срока годности</v>
      </c>
      <c r="H1372" s="1" t="str">
        <f ca="1">IFERROR(__xludf.DUMMYFUNCTION("""COMPUTED_VALUE"""),"Полуавтоматический измеритель артериального давления ТМ DR.FREI МОДЕЛЬ M-150S KZ.7700.02.01.00751616 / Действителен до Бессрочно / 17-03-2021 / без срока годности")</f>
        <v>Полуавтоматический измеритель артериального давления ТМ DR.FREI МОДЕЛЬ M-150S KZ.7700.02.01.00751616 / Действителен до Бессрочно / 17-03-2021 / без срока годности</v>
      </c>
    </row>
    <row r="1373" spans="1:8" ht="12.75" x14ac:dyDescent="0.2">
      <c r="A1373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373" s="1" t="str">
        <f ca="1">IFERROR(__xludf.DUMMYFUNCTION("""COMPUTED_VALUE"""),"KZ.7700.02.01.00751614")</f>
        <v>KZ.7700.02.01.00751614</v>
      </c>
      <c r="C1373" s="1" t="str">
        <f ca="1">IFERROR(__xludf.DUMMYFUNCTION("""COMPUTED_VALUE"""),"Действителен до Бессрочно")</f>
        <v>Действителен до Бессрочно</v>
      </c>
      <c r="D1373" s="8" t="str">
        <f ca="1">IFERROR(__xludf.DUMMYFUNCTION("""COMPUTED_VALUE"""),"17-03-2021")</f>
        <v>17-03-2021</v>
      </c>
      <c r="E1373" s="1" t="str">
        <f ca="1">IFERROR(__xludf.DUMMYFUNCTION("""COMPUTED_VALUE"""),"без срока годности")</f>
        <v>без срока годности</v>
      </c>
      <c r="F1373" s="1" t="str">
        <f ca="1">IFERROR(__xludf.DUMMYFUNCTION("""COMPUTED_VALUE"""),"Автоматический измеритель артериального давления ТМ DR.FREI МОДЕЛЬ M-200A - 17-03-2021")</f>
        <v>Автоматический измеритель артериального давления ТМ DR.FREI МОДЕЛЬ M-200A - 17-03-2021</v>
      </c>
      <c r="G1373" s="1" t="str">
        <f ca="1">IFERROR(__xludf.DUMMYFUNCTION("""COMPUTED_VALUE"""),"KZ.7700.02.01.00751614 / Действителен до Бессрочно / 17-03-2021 / без срока годности")</f>
        <v>KZ.7700.02.01.00751614 / Действителен до Бессрочно / 17-03-2021 / без срока годности</v>
      </c>
      <c r="H1373" s="1" t="str">
        <f ca="1">IFERROR(__xludf.DUMMYFUNCTION("""COMPUTED_VALUE"""),"Автоматический измеритель артериального давления ТМ DR.FREI МОДЕЛЬ M-200A KZ.7700.02.01.00751614 / Действителен до Бессрочно / 17-03-2021 / без срока годности")</f>
        <v>Автоматический измеритель артериального давления ТМ DR.FREI МОДЕЛЬ M-200A KZ.7700.02.01.00751614 / Действителен до Бессрочно / 17-03-2021 / без срока годности</v>
      </c>
    </row>
    <row r="1374" spans="1:8" ht="12.75" x14ac:dyDescent="0.2">
      <c r="A1374" s="1" t="str">
        <f ca="1">IFERROR(__xludf.DUMMYFUNCTION("""COMPUTED_VALUE"""),"Тонометр автомат Gamma Plus")</f>
        <v>Тонометр автомат Gamma Plus</v>
      </c>
      <c r="B1374" s="1" t="str">
        <f ca="1">IFERROR(__xludf.DUMMYFUNCTION("""COMPUTED_VALUE"""),"KZ.7700.02.01.00751610")</f>
        <v>KZ.7700.02.01.00751610</v>
      </c>
      <c r="C1374" s="1" t="str">
        <f ca="1">IFERROR(__xludf.DUMMYFUNCTION("""COMPUTED_VALUE"""),"Действителен до Бессрочно")</f>
        <v>Действителен до Бессрочно</v>
      </c>
      <c r="D1374" s="8" t="str">
        <f ca="1">IFERROR(__xludf.DUMMYFUNCTION("""COMPUTED_VALUE"""),"16-03-2021")</f>
        <v>16-03-2021</v>
      </c>
      <c r="E1374" s="1" t="str">
        <f ca="1">IFERROR(__xludf.DUMMYFUNCTION("""COMPUTED_VALUE"""),"без срока годности")</f>
        <v>без срока годности</v>
      </c>
      <c r="F1374" s="1" t="str">
        <f ca="1">IFERROR(__xludf.DUMMYFUNCTION("""COMPUTED_VALUE"""),"Тонометр автомат Gamma Plus - 16-03-2021")</f>
        <v>Тонометр автомат Gamma Plus - 16-03-2021</v>
      </c>
      <c r="G1374" s="1" t="str">
        <f ca="1">IFERROR(__xludf.DUMMYFUNCTION("""COMPUTED_VALUE"""),"KZ.7700.02.01.00751610 / Действителен до Бессрочно / 16-03-2021 / без срока годности")</f>
        <v>KZ.7700.02.01.00751610 / Действителен до Бессрочно / 16-03-2021 / без срока годности</v>
      </c>
      <c r="H1374" s="1" t="str">
        <f ca="1">IFERROR(__xludf.DUMMYFUNCTION("""COMPUTED_VALUE"""),"Тонометр автомат Gamma Plus KZ.7700.02.01.00751610 / Действителен до Бессрочно / 16-03-2021 / без срока годности")</f>
        <v>Тонометр автомат Gamma Plus KZ.7700.02.01.00751610 / Действителен до Бессрочно / 16-03-2021 / без срока годности</v>
      </c>
    </row>
    <row r="1375" spans="1:8" ht="12.75" x14ac:dyDescent="0.2">
      <c r="A1375" s="1" t="str">
        <f ca="1">IFERROR(__xludf.DUMMYFUNCTION("""COMPUTED_VALUE"""),"Тонометр на запястие автомат Gamma Active")</f>
        <v>Тонометр на запястие автомат Gamma Active</v>
      </c>
      <c r="B1375" s="1" t="str">
        <f ca="1">IFERROR(__xludf.DUMMYFUNCTION("""COMPUTED_VALUE"""),"KZ.7700.02.01.00718986")</f>
        <v>KZ.7700.02.01.00718986</v>
      </c>
      <c r="C1375" s="1" t="str">
        <f ca="1">IFERROR(__xludf.DUMMYFUNCTION("""COMPUTED_VALUE"""),"Действителен до 09.12.2025")</f>
        <v>Действителен до 09.12.2025</v>
      </c>
      <c r="D1375" s="8" t="str">
        <f ca="1">IFERROR(__xludf.DUMMYFUNCTION("""COMPUTED_VALUE"""),"09-12-2020")</f>
        <v>09-12-2020</v>
      </c>
      <c r="E1375" s="1" t="str">
        <f ca="1">IFERROR(__xludf.DUMMYFUNCTION("""COMPUTED_VALUE"""),"годен до 09.12.2025")</f>
        <v>годен до 09.12.2025</v>
      </c>
      <c r="F1375" s="1" t="str">
        <f ca="1">IFERROR(__xludf.DUMMYFUNCTION("""COMPUTED_VALUE"""),"Тонометр на запястие автомат Gamma Active - 09-12-2020")</f>
        <v>Тонометр на запястие автомат Gamma Active - 09-12-2020</v>
      </c>
      <c r="G1375" s="1" t="str">
        <f ca="1">IFERROR(__xludf.DUMMYFUNCTION("""COMPUTED_VALUE"""),"KZ.7700.02.01.00718986 / Действителен до 09.12.2025 / 09-12-2020 / годен до 09.12.2025")</f>
        <v>KZ.7700.02.01.00718986 / Действителен до 09.12.2025 / 09-12-2020 / годен до 09.12.2025</v>
      </c>
      <c r="H1375" s="1" t="str">
        <f ca="1">IFERROR(__xludf.DUMMYFUNCTION("""COMPUTED_VALUE"""),"Тонометр на запястие автомат Gamma Active KZ.7700.02.01.00718986 / Действителен до 09.12.2025 / 09-12-2020 / годен до 09.12.2025")</f>
        <v>Тонометр на запястие автомат Gamma Active KZ.7700.02.01.00718986 / Действителен до 09.12.2025 / 09-12-2020 / годен до 09.12.2025</v>
      </c>
    </row>
    <row r="1376" spans="1:8" ht="12.75" x14ac:dyDescent="0.2">
      <c r="A1376" s="1" t="str">
        <f ca="1">IFERROR(__xludf.DUMMYFUNCTION("""COMPUTED_VALUE"""),"Тонометр автомат Gamma Control")</f>
        <v>Тонометр автомат Gamma Control</v>
      </c>
      <c r="B1376" s="1" t="str">
        <f ca="1">IFERROR(__xludf.DUMMYFUNCTION("""COMPUTED_VALUE"""),"KZ.7700.02.01.00719020")</f>
        <v>KZ.7700.02.01.00719020</v>
      </c>
      <c r="C1376" s="1" t="str">
        <f ca="1">IFERROR(__xludf.DUMMYFUNCTION("""COMPUTED_VALUE"""),"Действителен до 07.12.2025")</f>
        <v>Действителен до 07.12.2025</v>
      </c>
      <c r="D1376" s="8" t="str">
        <f ca="1">IFERROR(__xludf.DUMMYFUNCTION("""COMPUTED_VALUE"""),"07-12-2020")</f>
        <v>07-12-2020</v>
      </c>
      <c r="E1376" s="1" t="str">
        <f ca="1">IFERROR(__xludf.DUMMYFUNCTION("""COMPUTED_VALUE"""),"годен до  07.12.2025")</f>
        <v>годен до  07.12.2025</v>
      </c>
      <c r="F1376" s="1" t="str">
        <f ca="1">IFERROR(__xludf.DUMMYFUNCTION("""COMPUTED_VALUE"""),"Тонометр автомат Gamma Control - 07-12-2020")</f>
        <v>Тонометр автомат Gamma Control - 07-12-2020</v>
      </c>
      <c r="G1376" s="1" t="str">
        <f ca="1">IFERROR(__xludf.DUMMYFUNCTION("""COMPUTED_VALUE"""),"KZ.7700.02.01.00719020 / Действителен до 07.12.2025 / 07-12-2020 / годен до  07.12.2025")</f>
        <v>KZ.7700.02.01.00719020 / Действителен до 07.12.2025 / 07-12-2020 / годен до  07.12.2025</v>
      </c>
      <c r="H1376" s="1" t="str">
        <f ca="1">IFERROR(__xludf.DUMMYFUNCTION("""COMPUTED_VALUE"""),"Тонометр автомат Gamma Control KZ.7700.02.01.00719020 / Действителен до 07.12.2025 / 07-12-2020 / годен до  07.12.2025")</f>
        <v>Тонометр автомат Gamma Control KZ.7700.02.01.00719020 / Действителен до 07.12.2025 / 07-12-2020 / годен до  07.12.2025</v>
      </c>
    </row>
    <row r="1377" spans="1:8" ht="12.75" x14ac:dyDescent="0.2">
      <c r="A1377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377" s="1" t="str">
        <f ca="1">IFERROR(__xludf.DUMMYFUNCTION("""COMPUTED_VALUE"""),"KZ.7700.02.01.00718951")</f>
        <v>KZ.7700.02.01.00718951</v>
      </c>
      <c r="C1377" s="1" t="str">
        <f ca="1">IFERROR(__xludf.DUMMYFUNCTION("""COMPUTED_VALUE"""),"Действителен до Бессрочно")</f>
        <v>Действителен до Бессрочно</v>
      </c>
      <c r="D1377" s="8" t="str">
        <f ca="1">IFERROR(__xludf.DUMMYFUNCTION("""COMPUTED_VALUE"""),"09-12-2020")</f>
        <v>09-12-2020</v>
      </c>
      <c r="E1377" s="1" t="str">
        <f ca="1">IFERROR(__xludf.DUMMYFUNCTION("""COMPUTED_VALUE"""),"без срока годности")</f>
        <v>без срока годности</v>
      </c>
      <c r="F1377" s="1" t="str">
        <f ca="1">IFERROR(__xludf.DUMMYFUNCTION("""COMPUTED_VALUE"""),"Автоматический измеритель артериального давления ТМ DR.FREI МОДЕЛЬ M-100A - 09-12-2020")</f>
        <v>Автоматический измеритель артериального давления ТМ DR.FREI МОДЕЛЬ M-100A - 09-12-2020</v>
      </c>
      <c r="G1377" s="1" t="str">
        <f ca="1">IFERROR(__xludf.DUMMYFUNCTION("""COMPUTED_VALUE"""),"KZ.7700.02.01.00718951 / Действителен до Бессрочно / 09-12-2020 / без срока годности")</f>
        <v>KZ.7700.02.01.00718951 / Действителен до Бессрочно / 09-12-2020 / без срока годности</v>
      </c>
      <c r="H1377" s="1" t="str">
        <f ca="1">IFERROR(__xludf.DUMMYFUNCTION("""COMPUTED_VALUE"""),"Автоматический измеритель артериального давления ТМ DR.FREI МОДЕЛЬ M-100A KZ.7700.02.01.00718951 / Действителен до Бессрочно / 09-12-2020 / без срока годности")</f>
        <v>Автоматический измеритель артериального давления ТМ DR.FREI МОДЕЛЬ M-100A KZ.7700.02.01.00718951 / Действителен до Бессрочно / 09-12-2020 / без срока годности</v>
      </c>
    </row>
    <row r="1378" spans="1:8" ht="12.75" x14ac:dyDescent="0.2">
      <c r="A1378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378" s="1" t="str">
        <f ca="1">IFERROR(__xludf.DUMMYFUNCTION("""COMPUTED_VALUE"""),"KZ.7700.02.01.00718988")</f>
        <v>KZ.7700.02.01.00718988</v>
      </c>
      <c r="C1378" s="1" t="str">
        <f ca="1">IFERROR(__xludf.DUMMYFUNCTION("""COMPUTED_VALUE"""),"Действителен до Бессрочно")</f>
        <v>Действителен до Бессрочно</v>
      </c>
      <c r="D1378" s="8" t="str">
        <f ca="1">IFERROR(__xludf.DUMMYFUNCTION("""COMPUTED_VALUE"""),"10-12-2020")</f>
        <v>10-12-2020</v>
      </c>
      <c r="E1378" s="1" t="str">
        <f ca="1">IFERROR(__xludf.DUMMYFUNCTION("""COMPUTED_VALUE"""),"без срока годности")</f>
        <v>без срока годности</v>
      </c>
      <c r="F1378" s="1" t="str">
        <f ca="1">IFERROR(__xludf.DUMMYFUNCTION("""COMPUTED_VALUE"""),"Полуавтоматический измеритель артериального давления ТМ DR.FREI МОДЕЛЬ M-150S - 10-12-2020")</f>
        <v>Полуавтоматический измеритель артериального давления ТМ DR.FREI МОДЕЛЬ M-150S - 10-12-2020</v>
      </c>
      <c r="G1378" s="1" t="str">
        <f ca="1">IFERROR(__xludf.DUMMYFUNCTION("""COMPUTED_VALUE"""),"KZ.7700.02.01.00718988 / Действителен до Бессрочно / 10-12-2020 / без срока годности")</f>
        <v>KZ.7700.02.01.00718988 / Действителен до Бессрочно / 10-12-2020 / без срока годности</v>
      </c>
      <c r="H1378" s="1" t="str">
        <f ca="1">IFERROR(__xludf.DUMMYFUNCTION("""COMPUTED_VALUE"""),"Полуавтоматический измеритель артериального давления ТМ DR.FREI МОДЕЛЬ M-150S KZ.7700.02.01.00718988 / Действителен до Бессрочно / 10-12-2020 / без срока годности")</f>
        <v>Полуавтоматический измеритель артериального давления ТМ DR.FREI МОДЕЛЬ M-150S KZ.7700.02.01.00718988 / Действителен до Бессрочно / 10-12-2020 / без срока годности</v>
      </c>
    </row>
    <row r="1379" spans="1:8" ht="12.75" x14ac:dyDescent="0.2">
      <c r="A1379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379" s="1" t="str">
        <f ca="1">IFERROR(__xludf.DUMMYFUNCTION("""COMPUTED_VALUE"""),"KZ.7700.02.01.00718947")</f>
        <v>KZ.7700.02.01.00718947</v>
      </c>
      <c r="C1379" s="1" t="str">
        <f ca="1">IFERROR(__xludf.DUMMYFUNCTION("""COMPUTED_VALUE"""),"Действителен до Бессрочно")</f>
        <v>Действителен до Бессрочно</v>
      </c>
      <c r="D1379" s="8" t="str">
        <f ca="1">IFERROR(__xludf.DUMMYFUNCTION("""COMPUTED_VALUE"""),"09-12-2020")</f>
        <v>09-12-2020</v>
      </c>
      <c r="E1379" s="1" t="str">
        <f ca="1">IFERROR(__xludf.DUMMYFUNCTION("""COMPUTED_VALUE"""),"без срока годности")</f>
        <v>без срока годности</v>
      </c>
      <c r="F1379" s="1" t="str">
        <f ca="1">IFERROR(__xludf.DUMMYFUNCTION("""COMPUTED_VALUE"""),"Автоматический измеритель артериального давления ТМ DR.FREI МОДЕЛЬ M-200A - 09-12-2020")</f>
        <v>Автоматический измеритель артериального давления ТМ DR.FREI МОДЕЛЬ M-200A - 09-12-2020</v>
      </c>
      <c r="G1379" s="1" t="str">
        <f ca="1">IFERROR(__xludf.DUMMYFUNCTION("""COMPUTED_VALUE"""),"KZ.7700.02.01.00718947 / Действителен до Бессрочно / 09-12-2020 / без срока годности")</f>
        <v>KZ.7700.02.01.00718947 / Действителен до Бессрочно / 09-12-2020 / без срока годности</v>
      </c>
      <c r="H1379" s="1" t="str">
        <f ca="1">IFERROR(__xludf.DUMMYFUNCTION("""COMPUTED_VALUE"""),"Автоматический измеритель артериального давления ТМ DR.FREI МОДЕЛЬ M-200A KZ.7700.02.01.00718947 / Действителен до Бессрочно / 09-12-2020 / без срока годности")</f>
        <v>Автоматический измеритель артериального давления ТМ DR.FREI МОДЕЛЬ M-200A KZ.7700.02.01.00718947 / Действителен до Бессрочно / 09-12-2020 / без срока годности</v>
      </c>
    </row>
    <row r="1380" spans="1:8" ht="12.75" x14ac:dyDescent="0.2">
      <c r="A1380" s="1" t="str">
        <f ca="1">IFERROR(__xludf.DUMMYFUNCTION("""COMPUTED_VALUE"""),"Тонометр автомат Gamma Plus")</f>
        <v>Тонометр автомат Gamma Plus</v>
      </c>
      <c r="B1380" s="1" t="str">
        <f ca="1">IFERROR(__xludf.DUMMYFUNCTION("""COMPUTED_VALUE"""),"KZ.7700.02.01.00718997")</f>
        <v>KZ.7700.02.01.00718997</v>
      </c>
      <c r="C1380" s="1" t="str">
        <f ca="1">IFERROR(__xludf.DUMMYFUNCTION("""COMPUTED_VALUE"""),"Действителен до 07.12.2025")</f>
        <v>Действителен до 07.12.2025</v>
      </c>
      <c r="D1380" s="8" t="str">
        <f ca="1">IFERROR(__xludf.DUMMYFUNCTION("""COMPUTED_VALUE"""),"07-12-2020")</f>
        <v>07-12-2020</v>
      </c>
      <c r="E1380" s="1" t="str">
        <f ca="1">IFERROR(__xludf.DUMMYFUNCTION("""COMPUTED_VALUE"""),"годен до 07.12.2025 ")</f>
        <v xml:space="preserve">годен до 07.12.2025 </v>
      </c>
      <c r="F1380" s="1" t="str">
        <f ca="1">IFERROR(__xludf.DUMMYFUNCTION("""COMPUTED_VALUE"""),"Тонометр автомат Gamma Plus - 07-12-2020")</f>
        <v>Тонометр автомат Gamma Plus - 07-12-2020</v>
      </c>
      <c r="G1380" s="1" t="str">
        <f ca="1">IFERROR(__xludf.DUMMYFUNCTION("""COMPUTED_VALUE"""),"KZ.7700.02.01.00718997 / Действителен до 07.12.2025 / 07-12-2020 / годен до 07.12.2025 ")</f>
        <v xml:space="preserve">KZ.7700.02.01.00718997 / Действителен до 07.12.2025 / 07-12-2020 / годен до 07.12.2025 </v>
      </c>
      <c r="H1380" s="1" t="str">
        <f ca="1">IFERROR(__xludf.DUMMYFUNCTION("""COMPUTED_VALUE"""),"Тонометр автомат Gamma Plus KZ.7700.02.01.00718997 / Действителен до 07.12.2025 / 07-12-2020 / годен до 07.12.2025 ")</f>
        <v xml:space="preserve">Тонометр автомат Gamma Plus KZ.7700.02.01.00718997 / Действителен до 07.12.2025 / 07-12-2020 / годен до 07.12.2025 </v>
      </c>
    </row>
    <row r="1381" spans="1:8" ht="12.75" x14ac:dyDescent="0.2">
      <c r="A1381" s="1" t="str">
        <f ca="1">IFERROR(__xludf.DUMMYFUNCTION("""COMPUTED_VALUE"""),"Тонометр автомат Gamma Smart")</f>
        <v>Тонометр автомат Gamma Smart</v>
      </c>
      <c r="B1381" s="1" t="str">
        <f ca="1">IFERROR(__xludf.DUMMYFUNCTION("""COMPUTED_VALUE"""),"KZ.7700.02.01.00719037")</f>
        <v>KZ.7700.02.01.00719037</v>
      </c>
      <c r="C1381" s="1" t="str">
        <f ca="1">IFERROR(__xludf.DUMMYFUNCTION("""COMPUTED_VALUE"""),"Действителен до 15.12.2025")</f>
        <v>Действителен до 15.12.2025</v>
      </c>
      <c r="D1381" s="8" t="str">
        <f ca="1">IFERROR(__xludf.DUMMYFUNCTION("""COMPUTED_VALUE"""),"15-12-2020")</f>
        <v>15-12-2020</v>
      </c>
      <c r="E1381" s="1" t="str">
        <f ca="1">IFERROR(__xludf.DUMMYFUNCTION("""COMPUTED_VALUE"""),"годен до 15.12.2025")</f>
        <v>годен до 15.12.2025</v>
      </c>
      <c r="F1381" s="1" t="str">
        <f ca="1">IFERROR(__xludf.DUMMYFUNCTION("""COMPUTED_VALUE"""),"Тонометр автомат Gamma Smart - 15-12-2020")</f>
        <v>Тонометр автомат Gamma Smart - 15-12-2020</v>
      </c>
      <c r="G1381" s="1" t="str">
        <f ca="1">IFERROR(__xludf.DUMMYFUNCTION("""COMPUTED_VALUE"""),"KZ.7700.02.01.00719037 / Действителен до 15.12.2025 / 15-12-2020 / годен до 15.12.2025")</f>
        <v>KZ.7700.02.01.00719037 / Действителен до 15.12.2025 / 15-12-2020 / годен до 15.12.2025</v>
      </c>
      <c r="H1381" s="1" t="str">
        <f ca="1">IFERROR(__xludf.DUMMYFUNCTION("""COMPUTED_VALUE"""),"Тонометр автомат Gamma Smart KZ.7700.02.01.00719037 / Действителен до 15.12.2025 / 15-12-2020 / годен до 15.12.2025")</f>
        <v>Тонометр автомат Gamma Smart KZ.7700.02.01.00719037 / Действителен до 15.12.2025 / 15-12-2020 / годен до 15.12.2025</v>
      </c>
    </row>
    <row r="1382" spans="1:8" ht="12.75" x14ac:dyDescent="0.2">
      <c r="A1382" s="1" t="str">
        <f ca="1">IFERROR(__xludf.DUMMYFUNCTION("""COMPUTED_VALUE"""),"Тонометр на запястие автомат Gamma Active")</f>
        <v>Тонометр на запястие автомат Gamma Active</v>
      </c>
      <c r="B1382" s="1" t="str">
        <f ca="1">IFERROR(__xludf.DUMMYFUNCTION("""COMPUTED_VALUE"""),"KZ.7700.02.01.00736073")</f>
        <v>KZ.7700.02.01.00736073</v>
      </c>
      <c r="C1382" s="1" t="str">
        <f ca="1">IFERROR(__xludf.DUMMYFUNCTION("""COMPUTED_VALUE"""),"Действителен до Бессрочно")</f>
        <v>Действителен до Бессрочно</v>
      </c>
      <c r="D1382" s="8" t="str">
        <f ca="1">IFERROR(__xludf.DUMMYFUNCTION("""COMPUTED_VALUE"""),"19-11-2020")</f>
        <v>19-11-2020</v>
      </c>
      <c r="E1382" s="1" t="str">
        <f ca="1">IFERROR(__xludf.DUMMYFUNCTION("""COMPUTED_VALUE"""),"без срока годности")</f>
        <v>без срока годности</v>
      </c>
      <c r="F1382" s="1" t="str">
        <f ca="1">IFERROR(__xludf.DUMMYFUNCTION("""COMPUTED_VALUE"""),"Тонометр на запястие автомат Gamma Active - 19-11-2020")</f>
        <v>Тонометр на запястие автомат Gamma Active - 19-11-2020</v>
      </c>
      <c r="G1382" s="1" t="str">
        <f ca="1">IFERROR(__xludf.DUMMYFUNCTION("""COMPUTED_VALUE"""),"KZ.7700.02.01.00736073 / Действителен до Бессрочно / 19-11-2020 / без срока годности")</f>
        <v>KZ.7700.02.01.00736073 / Действителен до Бессрочно / 19-11-2020 / без срока годности</v>
      </c>
      <c r="H1382" s="1" t="str">
        <f ca="1">IFERROR(__xludf.DUMMYFUNCTION("""COMPUTED_VALUE"""),"Тонометр на запястие автомат Gamma Active KZ.7700.02.01.00736073 / Действителен до Бессрочно / 19-11-2020 / без срока годности")</f>
        <v>Тонометр на запястие автомат Gamma Active KZ.7700.02.01.00736073 / Действителен до Бессрочно / 19-11-2020 / без срока годности</v>
      </c>
    </row>
    <row r="1383" spans="1:8" ht="12.75" x14ac:dyDescent="0.2">
      <c r="A1383" s="1" t="str">
        <f ca="1">IFERROR(__xludf.DUMMYFUNCTION("""COMPUTED_VALUE"""),"Тонометр автомат Gamma Control")</f>
        <v>Тонометр автомат Gamma Control</v>
      </c>
      <c r="B1383" s="1" t="str">
        <f ca="1">IFERROR(__xludf.DUMMYFUNCTION("""COMPUTED_VALUE"""),"KZ.7700.02.01.00736082")</f>
        <v>KZ.7700.02.01.00736082</v>
      </c>
      <c r="C1383" s="1" t="str">
        <f ca="1">IFERROR(__xludf.DUMMYFUNCTION("""COMPUTED_VALUE"""),"Действителен до Бессрочно")</f>
        <v>Действителен до Бессрочно</v>
      </c>
      <c r="D1383" s="8" t="str">
        <f ca="1">IFERROR(__xludf.DUMMYFUNCTION("""COMPUTED_VALUE"""),"17-11-2020")</f>
        <v>17-11-2020</v>
      </c>
      <c r="E1383" s="1" t="str">
        <f ca="1">IFERROR(__xludf.DUMMYFUNCTION("""COMPUTED_VALUE"""),"без срока годности")</f>
        <v>без срока годности</v>
      </c>
      <c r="F1383" s="1" t="str">
        <f ca="1">IFERROR(__xludf.DUMMYFUNCTION("""COMPUTED_VALUE"""),"Тонометр автомат Gamma Control - 17-11-2020")</f>
        <v>Тонометр автомат Gamma Control - 17-11-2020</v>
      </c>
      <c r="G1383" s="1" t="str">
        <f ca="1">IFERROR(__xludf.DUMMYFUNCTION("""COMPUTED_VALUE"""),"KZ.7700.02.01.00736082 / Действителен до Бессрочно / 17-11-2020 / без срока годности")</f>
        <v>KZ.7700.02.01.00736082 / Действителен до Бессрочно / 17-11-2020 / без срока годности</v>
      </c>
      <c r="H1383" s="1" t="str">
        <f ca="1">IFERROR(__xludf.DUMMYFUNCTION("""COMPUTED_VALUE"""),"Тонометр автомат Gamma Control KZ.7700.02.01.00736082 / Действителен до Бессрочно / 17-11-2020 / без срока годности")</f>
        <v>Тонометр автомат Gamma Control KZ.7700.02.01.00736082 / Действителен до Бессрочно / 17-11-2020 / без срока годности</v>
      </c>
    </row>
    <row r="1384" spans="1:8" ht="12.75" x14ac:dyDescent="0.2">
      <c r="A1384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384" s="1" t="str">
        <f ca="1">IFERROR(__xludf.DUMMYFUNCTION("""COMPUTED_VALUE"""),"KZ.7700.02.01.00736072")</f>
        <v>KZ.7700.02.01.00736072</v>
      </c>
      <c r="C1384" s="1" t="str">
        <f ca="1">IFERROR(__xludf.DUMMYFUNCTION("""COMPUTED_VALUE"""),"Действителен до Бессрочно")</f>
        <v>Действителен до Бессрочно</v>
      </c>
      <c r="D1384" s="8" t="str">
        <f ca="1">IFERROR(__xludf.DUMMYFUNCTION("""COMPUTED_VALUE"""),"25-11-2020")</f>
        <v>25-11-2020</v>
      </c>
      <c r="E1384" s="1" t="str">
        <f ca="1">IFERROR(__xludf.DUMMYFUNCTION("""COMPUTED_VALUE"""),"без срока годности")</f>
        <v>без срока годности</v>
      </c>
      <c r="F1384" s="1" t="str">
        <f ca="1">IFERROR(__xludf.DUMMYFUNCTION("""COMPUTED_VALUE"""),"Автоматический измеритель артериального давления ТМ DR.FREI МОДЕЛЬ M-100A - 25-11-2020")</f>
        <v>Автоматический измеритель артериального давления ТМ DR.FREI МОДЕЛЬ M-100A - 25-11-2020</v>
      </c>
      <c r="G1384" s="1" t="str">
        <f ca="1">IFERROR(__xludf.DUMMYFUNCTION("""COMPUTED_VALUE"""),"KZ.7700.02.01.00736072 / Действителен до Бессрочно / 25-11-2020 / без срока годности")</f>
        <v>KZ.7700.02.01.00736072 / Действителен до Бессрочно / 25-11-2020 / без срока годности</v>
      </c>
      <c r="H1384" s="1" t="str">
        <f ca="1">IFERROR(__xludf.DUMMYFUNCTION("""COMPUTED_VALUE"""),"Автоматический измеритель артериального давления ТМ DR.FREI МОДЕЛЬ M-100A KZ.7700.02.01.00736072 / Действителен до Бессрочно / 25-11-2020 / без срока годности")</f>
        <v>Автоматический измеритель артериального давления ТМ DR.FREI МОДЕЛЬ M-100A KZ.7700.02.01.00736072 / Действителен до Бессрочно / 25-11-2020 / без срока годности</v>
      </c>
    </row>
    <row r="1385" spans="1:8" ht="12.75" x14ac:dyDescent="0.2">
      <c r="A1385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385" s="1" t="str">
        <f ca="1">IFERROR(__xludf.DUMMYFUNCTION("""COMPUTED_VALUE"""),"KZ.7700.02.01.00736075")</f>
        <v>KZ.7700.02.01.00736075</v>
      </c>
      <c r="C1385" s="1" t="str">
        <f ca="1">IFERROR(__xludf.DUMMYFUNCTION("""COMPUTED_VALUE"""),"Действителен до Бессрочно")</f>
        <v>Действителен до Бессрочно</v>
      </c>
      <c r="D1385" s="8" t="str">
        <f ca="1">IFERROR(__xludf.DUMMYFUNCTION("""COMPUTED_VALUE"""),"28-11-2020")</f>
        <v>28-11-2020</v>
      </c>
      <c r="E1385" s="1" t="str">
        <f ca="1">IFERROR(__xludf.DUMMYFUNCTION("""COMPUTED_VALUE"""),"без срока годности")</f>
        <v>без срока годности</v>
      </c>
      <c r="F1385" s="1" t="str">
        <f ca="1">IFERROR(__xludf.DUMMYFUNCTION("""COMPUTED_VALUE"""),"Полуавтоматический измеритель артериального давления ТМ DR.FREI МОДЕЛЬ M-150S - 28-11-2020")</f>
        <v>Полуавтоматический измеритель артериального давления ТМ DR.FREI МОДЕЛЬ M-150S - 28-11-2020</v>
      </c>
      <c r="G1385" s="1" t="str">
        <f ca="1">IFERROR(__xludf.DUMMYFUNCTION("""COMPUTED_VALUE"""),"KZ.7700.02.01.00736075 / Действителен до Бессрочно / 28-11-2020 / без срока годности")</f>
        <v>KZ.7700.02.01.00736075 / Действителен до Бессрочно / 28-11-2020 / без срока годности</v>
      </c>
      <c r="H1385" s="1" t="str">
        <f ca="1">IFERROR(__xludf.DUMMYFUNCTION("""COMPUTED_VALUE"""),"Полуавтоматический измеритель артериального давления ТМ DR.FREI МОДЕЛЬ M-150S KZ.7700.02.01.00736075 / Действителен до Бессрочно / 28-11-2020 / без срока годности")</f>
        <v>Полуавтоматический измеритель артериального давления ТМ DR.FREI МОДЕЛЬ M-150S KZ.7700.02.01.00736075 / Действителен до Бессрочно / 28-11-2020 / без срока годности</v>
      </c>
    </row>
    <row r="1386" spans="1:8" ht="12.75" x14ac:dyDescent="0.2">
      <c r="A1386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386" s="1" t="str">
        <f ca="1">IFERROR(__xludf.DUMMYFUNCTION("""COMPUTED_VALUE"""),"KZ.7700.02.01.00736077")</f>
        <v>KZ.7700.02.01.00736077</v>
      </c>
      <c r="C1386" s="1" t="str">
        <f ca="1">IFERROR(__xludf.DUMMYFUNCTION("""COMPUTED_VALUE"""),"Действителен до Бессрочно")</f>
        <v>Действителен до Бессрочно</v>
      </c>
      <c r="D1386" s="8" t="str">
        <f ca="1">IFERROR(__xludf.DUMMYFUNCTION("""COMPUTED_VALUE"""),"23-11-2020")</f>
        <v>23-11-2020</v>
      </c>
      <c r="E1386" s="1" t="str">
        <f ca="1">IFERROR(__xludf.DUMMYFUNCTION("""COMPUTED_VALUE"""),"без срока годности")</f>
        <v>без срока годности</v>
      </c>
      <c r="F1386" s="1" t="str">
        <f ca="1">IFERROR(__xludf.DUMMYFUNCTION("""COMPUTED_VALUE"""),"Автоматический измеритель артериального давления ТМ DR.FREI МОДЕЛЬ M-200A - 23-11-2020")</f>
        <v>Автоматический измеритель артериального давления ТМ DR.FREI МОДЕЛЬ M-200A - 23-11-2020</v>
      </c>
      <c r="G1386" s="1" t="str">
        <f ca="1">IFERROR(__xludf.DUMMYFUNCTION("""COMPUTED_VALUE"""),"KZ.7700.02.01.00736077 / Действителен до Бессрочно / 23-11-2020 / без срока годности")</f>
        <v>KZ.7700.02.01.00736077 / Действителен до Бессрочно / 23-11-2020 / без срока годности</v>
      </c>
      <c r="H1386" s="1" t="str">
        <f ca="1">IFERROR(__xludf.DUMMYFUNCTION("""COMPUTED_VALUE"""),"Автоматический измеритель артериального давления ТМ DR.FREI МОДЕЛЬ M-200A KZ.7700.02.01.00736077 / Действителен до Бессрочно / 23-11-2020 / без срока годности")</f>
        <v>Автоматический измеритель артериального давления ТМ DR.FREI МОДЕЛЬ M-200A KZ.7700.02.01.00736077 / Действителен до Бессрочно / 23-11-2020 / без срока годности</v>
      </c>
    </row>
    <row r="1387" spans="1:8" ht="12.75" x14ac:dyDescent="0.2">
      <c r="A1387" s="1" t="str">
        <f ca="1">IFERROR(__xludf.DUMMYFUNCTION("""COMPUTED_VALUE"""),"Тонометр автомат Gamma Plus")</f>
        <v>Тонометр автомат Gamma Plus</v>
      </c>
      <c r="B1387" s="1" t="str">
        <f ca="1">IFERROR(__xludf.DUMMYFUNCTION("""COMPUTED_VALUE"""),"KZ.7700.02.01.00736087")</f>
        <v>KZ.7700.02.01.00736087</v>
      </c>
      <c r="C1387" s="1" t="str">
        <f ca="1">IFERROR(__xludf.DUMMYFUNCTION("""COMPUTED_VALUE"""),"Действителен до Бессрочно")</f>
        <v>Действителен до Бессрочно</v>
      </c>
      <c r="D1387" s="8" t="str">
        <f ca="1">IFERROR(__xludf.DUMMYFUNCTION("""COMPUTED_VALUE"""),"17-11-2020")</f>
        <v>17-11-2020</v>
      </c>
      <c r="E1387" s="1" t="str">
        <f ca="1">IFERROR(__xludf.DUMMYFUNCTION("""COMPUTED_VALUE"""),"без срока годности")</f>
        <v>без срока годности</v>
      </c>
      <c r="F1387" s="1" t="str">
        <f ca="1">IFERROR(__xludf.DUMMYFUNCTION("""COMPUTED_VALUE"""),"Тонометр автомат Gamma Plus - 17-11-2020")</f>
        <v>Тонометр автомат Gamma Plus - 17-11-2020</v>
      </c>
      <c r="G1387" s="1" t="str">
        <f ca="1">IFERROR(__xludf.DUMMYFUNCTION("""COMPUTED_VALUE"""),"KZ.7700.02.01.00736087 / Действителен до Бессрочно / 17-11-2020 / без срока годности")</f>
        <v>KZ.7700.02.01.00736087 / Действителен до Бессрочно / 17-11-2020 / без срока годности</v>
      </c>
      <c r="H1387" s="1" t="str">
        <f ca="1">IFERROR(__xludf.DUMMYFUNCTION("""COMPUTED_VALUE"""),"Тонометр автомат Gamma Plus KZ.7700.02.01.00736087 / Действителен до Бессрочно / 17-11-2020 / без срока годности")</f>
        <v>Тонометр автомат Gamma Plus KZ.7700.02.01.00736087 / Действителен до Бессрочно / 17-11-2020 / без срока годности</v>
      </c>
    </row>
    <row r="1388" spans="1:8" ht="12.75" x14ac:dyDescent="0.2">
      <c r="A1388" s="1" t="str">
        <f ca="1">IFERROR(__xludf.DUMMYFUNCTION("""COMPUTED_VALUE"""),"Тонометр автомат Gamma Smart")</f>
        <v>Тонометр автомат Gamma Smart</v>
      </c>
      <c r="B1388" s="1" t="str">
        <f ca="1">IFERROR(__xludf.DUMMYFUNCTION("""COMPUTED_VALUE"""),"KZ.7700.02.01.00736076")</f>
        <v>KZ.7700.02.01.00736076</v>
      </c>
      <c r="C1388" s="1" t="str">
        <f ca="1">IFERROR(__xludf.DUMMYFUNCTION("""COMPUTED_VALUE"""),"Действителен до Бессрочно")</f>
        <v>Действителен до Бессрочно</v>
      </c>
      <c r="D1388" s="8" t="str">
        <f ca="1">IFERROR(__xludf.DUMMYFUNCTION("""COMPUTED_VALUE"""),"19-11-2020")</f>
        <v>19-11-2020</v>
      </c>
      <c r="E1388" s="1" t="str">
        <f ca="1">IFERROR(__xludf.DUMMYFUNCTION("""COMPUTED_VALUE"""),"без срока годности")</f>
        <v>без срока годности</v>
      </c>
      <c r="F1388" s="1" t="str">
        <f ca="1">IFERROR(__xludf.DUMMYFUNCTION("""COMPUTED_VALUE"""),"Тонометр автомат Gamma Smart - 19-11-2020")</f>
        <v>Тонометр автомат Gamma Smart - 19-11-2020</v>
      </c>
      <c r="G1388" s="1" t="str">
        <f ca="1">IFERROR(__xludf.DUMMYFUNCTION("""COMPUTED_VALUE"""),"KZ.7700.02.01.00736076 / Действителен до Бессрочно / 19-11-2020 / без срока годности")</f>
        <v>KZ.7700.02.01.00736076 / Действителен до Бессрочно / 19-11-2020 / без срока годности</v>
      </c>
      <c r="H1388" s="1" t="str">
        <f ca="1">IFERROR(__xludf.DUMMYFUNCTION("""COMPUTED_VALUE"""),"Тонометр автомат Gamma Smart KZ.7700.02.01.00736076 / Действителен до Бессрочно / 19-11-2020 / без срока годности")</f>
        <v>Тонометр автомат Gamma Smart KZ.7700.02.01.00736076 / Действителен до Бессрочно / 19-11-2020 / без срока годности</v>
      </c>
    </row>
    <row r="1389" spans="1:8" ht="12.75" x14ac:dyDescent="0.2">
      <c r="A1389" s="1" t="str">
        <f ca="1">IFERROR(__xludf.DUMMYFUNCTION("""COMPUTED_VALUE"""),"Тонометр автомат Gamma Control")</f>
        <v>Тонометр автомат Gamma Control</v>
      </c>
      <c r="B1389" s="1" t="str">
        <f ca="1">IFERROR(__xludf.DUMMYFUNCTION("""COMPUTED_VALUE"""),"KZ.7700.02.01.00671074")</f>
        <v>KZ.7700.02.01.00671074</v>
      </c>
      <c r="C1389" s="1" t="str">
        <f ca="1">IFERROR(__xludf.DUMMYFUNCTION("""COMPUTED_VALUE"""),"Действителен до 11.06.2025")</f>
        <v>Действителен до 11.06.2025</v>
      </c>
      <c r="D1389" s="8" t="str">
        <f ca="1">IFERROR(__xludf.DUMMYFUNCTION("""COMPUTED_VALUE"""),"11-06-2020")</f>
        <v>11-06-2020</v>
      </c>
      <c r="E1389" s="1" t="str">
        <f ca="1">IFERROR(__xludf.DUMMYFUNCTION("""COMPUTED_VALUE"""),"годен до 11.06.2025")</f>
        <v>годен до 11.06.2025</v>
      </c>
      <c r="F1389" s="1" t="str">
        <f ca="1">IFERROR(__xludf.DUMMYFUNCTION("""COMPUTED_VALUE"""),"Тонометр автомат Gamma Control - 11-06-2020")</f>
        <v>Тонометр автомат Gamma Control - 11-06-2020</v>
      </c>
      <c r="G1389" s="1" t="str">
        <f ca="1">IFERROR(__xludf.DUMMYFUNCTION("""COMPUTED_VALUE"""),"KZ.7700.02.01.00671074 / Действителен до 11.06.2025 / 11-06-2020 / годен до 11.06.2025")</f>
        <v>KZ.7700.02.01.00671074 / Действителен до 11.06.2025 / 11-06-2020 / годен до 11.06.2025</v>
      </c>
      <c r="H1389" s="1" t="str">
        <f ca="1">IFERROR(__xludf.DUMMYFUNCTION("""COMPUTED_VALUE"""),"Тонометр автомат Gamma Control KZ.7700.02.01.00671074 / Действителен до 11.06.2025 / 11-06-2020 / годен до 11.06.2025")</f>
        <v>Тонометр автомат Gamma Control KZ.7700.02.01.00671074 / Действителен до 11.06.2025 / 11-06-2020 / годен до 11.06.2025</v>
      </c>
    </row>
    <row r="1390" spans="1:8" ht="12.75" x14ac:dyDescent="0.2">
      <c r="A1390" s="1" t="str">
        <f ca="1">IFERROR(__xludf.DUMMYFUNCTION("""COMPUTED_VALUE"""),"Тонометр автомат Gamma Control")</f>
        <v>Тонометр автомат Gamma Control</v>
      </c>
      <c r="B1390" s="1" t="str">
        <f ca="1">IFERROR(__xludf.DUMMYFUNCTION("""COMPUTED_VALUE"""),"KZ.7700.02.01.00671073")</f>
        <v>KZ.7700.02.01.00671073</v>
      </c>
      <c r="C1390" s="1" t="str">
        <f ca="1">IFERROR(__xludf.DUMMYFUNCTION("""COMPUTED_VALUE"""),"Действителен до 12.06.2025")</f>
        <v>Действителен до 12.06.2025</v>
      </c>
      <c r="D1390" s="8" t="str">
        <f ca="1">IFERROR(__xludf.DUMMYFUNCTION("""COMPUTED_VALUE"""),"12-06-2020")</f>
        <v>12-06-2020</v>
      </c>
      <c r="E1390" s="1" t="str">
        <f ca="1">IFERROR(__xludf.DUMMYFUNCTION("""COMPUTED_VALUE"""),"годен до 12.06.2025")</f>
        <v>годен до 12.06.2025</v>
      </c>
      <c r="F1390" s="1" t="str">
        <f ca="1">IFERROR(__xludf.DUMMYFUNCTION("""COMPUTED_VALUE"""),"Тонометр автомат Gamma Control - 12-06-2020")</f>
        <v>Тонометр автомат Gamma Control - 12-06-2020</v>
      </c>
      <c r="G1390" s="1" t="str">
        <f ca="1">IFERROR(__xludf.DUMMYFUNCTION("""COMPUTED_VALUE"""),"KZ.7700.02.01.00671073 / Действителен до 12.06.2025 / 12-06-2020 / годен до 12.06.2025")</f>
        <v>KZ.7700.02.01.00671073 / Действителен до 12.06.2025 / 12-06-2020 / годен до 12.06.2025</v>
      </c>
      <c r="H1390" s="1" t="str">
        <f ca="1">IFERROR(__xludf.DUMMYFUNCTION("""COMPUTED_VALUE"""),"Тонометр автомат Gamma Control KZ.7700.02.01.00671073 / Действителен до 12.06.2025 / 12-06-2020 / годен до 12.06.2025")</f>
        <v>Тонометр автомат Gamma Control KZ.7700.02.01.00671073 / Действителен до 12.06.2025 / 12-06-2020 / годен до 12.06.2025</v>
      </c>
    </row>
    <row r="1391" spans="1:8" ht="12.75" x14ac:dyDescent="0.2">
      <c r="A1391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391" s="1" t="str">
        <f ca="1">IFERROR(__xludf.DUMMYFUNCTION("""COMPUTED_VALUE"""),"KZ.7700.02.01.00671069")</f>
        <v>KZ.7700.02.01.00671069</v>
      </c>
      <c r="C1391" s="1" t="str">
        <f ca="1">IFERROR(__xludf.DUMMYFUNCTION("""COMPUTED_VALUE"""),"Действителен до Бессрочно")</f>
        <v>Действителен до Бессрочно</v>
      </c>
      <c r="D1391" s="8" t="str">
        <f ca="1">IFERROR(__xludf.DUMMYFUNCTION("""COMPUTED_VALUE"""),"10-06-2020")</f>
        <v>10-06-2020</v>
      </c>
      <c r="E1391" s="1" t="str">
        <f ca="1">IFERROR(__xludf.DUMMYFUNCTION("""COMPUTED_VALUE"""),"без срока годности")</f>
        <v>без срока годности</v>
      </c>
      <c r="F1391" s="1" t="str">
        <f ca="1">IFERROR(__xludf.DUMMYFUNCTION("""COMPUTED_VALUE"""),"Автоматический измеритель артериального давления ТМ DR.FREI МОДЕЛЬ M-100A - 10-06-2020")</f>
        <v>Автоматический измеритель артериального давления ТМ DR.FREI МОДЕЛЬ M-100A - 10-06-2020</v>
      </c>
      <c r="G1391" s="1" t="str">
        <f ca="1">IFERROR(__xludf.DUMMYFUNCTION("""COMPUTED_VALUE"""),"KZ.7700.02.01.00671069 / Действителен до Бессрочно / 10-06-2020 / без срока годности")</f>
        <v>KZ.7700.02.01.00671069 / Действителен до Бессрочно / 10-06-2020 / без срока годности</v>
      </c>
      <c r="H1391" s="1" t="str">
        <f ca="1">IFERROR(__xludf.DUMMYFUNCTION("""COMPUTED_VALUE"""),"Автоматический измеритель артериального давления ТМ DR.FREI МОДЕЛЬ M-100A KZ.7700.02.01.00671069 / Действителен до Бессрочно / 10-06-2020 / без срока годности")</f>
        <v>Автоматический измеритель артериального давления ТМ DR.FREI МОДЕЛЬ M-100A KZ.7700.02.01.00671069 / Действителен до Бессрочно / 10-06-2020 / без срока годности</v>
      </c>
    </row>
    <row r="1392" spans="1:8" ht="12.75" x14ac:dyDescent="0.2">
      <c r="A1392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392" s="1" t="str">
        <f ca="1">IFERROR(__xludf.DUMMYFUNCTION("""COMPUTED_VALUE"""),"KZ.7700.02.01.00671071")</f>
        <v>KZ.7700.02.01.00671071</v>
      </c>
      <c r="C1392" s="1" t="str">
        <f ca="1">IFERROR(__xludf.DUMMYFUNCTION("""COMPUTED_VALUE"""),"Действителен до Бессрочно")</f>
        <v>Действителен до Бессрочно</v>
      </c>
      <c r="D1392" s="8" t="str">
        <f ca="1">IFERROR(__xludf.DUMMYFUNCTION("""COMPUTED_VALUE"""),"10-06-2020")</f>
        <v>10-06-2020</v>
      </c>
      <c r="E1392" s="1" t="str">
        <f ca="1">IFERROR(__xludf.DUMMYFUNCTION("""COMPUTED_VALUE"""),"без срока годности")</f>
        <v>без срока годности</v>
      </c>
      <c r="F1392" s="1" t="str">
        <f ca="1">IFERROR(__xludf.DUMMYFUNCTION("""COMPUTED_VALUE"""),"Полуавтоматический измеритель артериального давления ТМ DR.FREI МОДЕЛЬ M-150S - 10-06-2020")</f>
        <v>Полуавтоматический измеритель артериального давления ТМ DR.FREI МОДЕЛЬ M-150S - 10-06-2020</v>
      </c>
      <c r="G1392" s="1" t="str">
        <f ca="1">IFERROR(__xludf.DUMMYFUNCTION("""COMPUTED_VALUE"""),"KZ.7700.02.01.00671071 / Действителен до Бессрочно / 10-06-2020 / без срока годности")</f>
        <v>KZ.7700.02.01.00671071 / Действителен до Бессрочно / 10-06-2020 / без срока годности</v>
      </c>
      <c r="H1392" s="1" t="str">
        <f ca="1">IFERROR(__xludf.DUMMYFUNCTION("""COMPUTED_VALUE"""),"Полуавтоматический измеритель артериального давления ТМ DR.FREI МОДЕЛЬ M-150S KZ.7700.02.01.00671071 / Действителен до Бессрочно / 10-06-2020 / без срока годности")</f>
        <v>Полуавтоматический измеритель артериального давления ТМ DR.FREI МОДЕЛЬ M-150S KZ.7700.02.01.00671071 / Действителен до Бессрочно / 10-06-2020 / без срока годности</v>
      </c>
    </row>
    <row r="1393" spans="1:8" ht="12.75" x14ac:dyDescent="0.2">
      <c r="A1393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393" s="1" t="str">
        <f ca="1">IFERROR(__xludf.DUMMYFUNCTION("""COMPUTED_VALUE"""),"KZ.7700.02.01.00671070")</f>
        <v>KZ.7700.02.01.00671070</v>
      </c>
      <c r="C1393" s="1" t="str">
        <f ca="1">IFERROR(__xludf.DUMMYFUNCTION("""COMPUTED_VALUE"""),"Действителен до Бессрочно")</f>
        <v>Действителен до Бессрочно</v>
      </c>
      <c r="D1393" s="8" t="str">
        <f ca="1">IFERROR(__xludf.DUMMYFUNCTION("""COMPUTED_VALUE"""),"10-06-2020")</f>
        <v>10-06-2020</v>
      </c>
      <c r="E1393" s="1" t="str">
        <f ca="1">IFERROR(__xludf.DUMMYFUNCTION("""COMPUTED_VALUE"""),"без срока годности")</f>
        <v>без срока годности</v>
      </c>
      <c r="F1393" s="1" t="str">
        <f ca="1">IFERROR(__xludf.DUMMYFUNCTION("""COMPUTED_VALUE"""),"Автоматический измеритель артериального давления ТМ DR.FREI МОДЕЛЬ M-200A - 10-06-2020")</f>
        <v>Автоматический измеритель артериального давления ТМ DR.FREI МОДЕЛЬ M-200A - 10-06-2020</v>
      </c>
      <c r="G1393" s="1" t="str">
        <f ca="1">IFERROR(__xludf.DUMMYFUNCTION("""COMPUTED_VALUE"""),"KZ.7700.02.01.00671070 / Действителен до Бессрочно / 10-06-2020 / без срока годности")</f>
        <v>KZ.7700.02.01.00671070 / Действителен до Бессрочно / 10-06-2020 / без срока годности</v>
      </c>
      <c r="H1393" s="1" t="str">
        <f ca="1">IFERROR(__xludf.DUMMYFUNCTION("""COMPUTED_VALUE"""),"Автоматический измеритель артериального давления ТМ DR.FREI МОДЕЛЬ M-200A KZ.7700.02.01.00671070 / Действителен до Бессрочно / 10-06-2020 / без срока годности")</f>
        <v>Автоматический измеритель артериального давления ТМ DR.FREI МОДЕЛЬ M-200A KZ.7700.02.01.00671070 / Действителен до Бессрочно / 10-06-2020 / без срока годности</v>
      </c>
    </row>
    <row r="1394" spans="1:8" ht="12.75" x14ac:dyDescent="0.2">
      <c r="A1394" s="1" t="str">
        <f ca="1">IFERROR(__xludf.DUMMYFUNCTION("""COMPUTED_VALUE"""),"Тонометр автомат Gamma Plus")</f>
        <v>Тонометр автомат Gamma Plus</v>
      </c>
      <c r="B1394" s="1" t="str">
        <f ca="1">IFERROR(__xludf.DUMMYFUNCTION("""COMPUTED_VALUE"""),"KZ.7700.02.01.00671072")</f>
        <v>KZ.7700.02.01.00671072</v>
      </c>
      <c r="C1394" s="1" t="str">
        <f ca="1">IFERROR(__xludf.DUMMYFUNCTION("""COMPUTED_VALUE"""),"Действителен до 12.06.2025")</f>
        <v>Действителен до 12.06.2025</v>
      </c>
      <c r="D1394" s="8" t="str">
        <f ca="1">IFERROR(__xludf.DUMMYFUNCTION("""COMPUTED_VALUE"""),"12-06-2020")</f>
        <v>12-06-2020</v>
      </c>
      <c r="E1394" s="1" t="str">
        <f ca="1">IFERROR(__xludf.DUMMYFUNCTION("""COMPUTED_VALUE"""),"годен до 12.06.2025")</f>
        <v>годен до 12.06.2025</v>
      </c>
      <c r="F1394" s="1" t="str">
        <f ca="1">IFERROR(__xludf.DUMMYFUNCTION("""COMPUTED_VALUE"""),"Тонометр автомат Gamma Plus - 12-06-2020")</f>
        <v>Тонометр автомат Gamma Plus - 12-06-2020</v>
      </c>
      <c r="G1394" s="1" t="str">
        <f ca="1">IFERROR(__xludf.DUMMYFUNCTION("""COMPUTED_VALUE"""),"KZ.7700.02.01.00671072 / Действителен до 12.06.2025 / 12-06-2020 / годен до 12.06.2025")</f>
        <v>KZ.7700.02.01.00671072 / Действителен до 12.06.2025 / 12-06-2020 / годен до 12.06.2025</v>
      </c>
      <c r="H1394" s="1" t="str">
        <f ca="1">IFERROR(__xludf.DUMMYFUNCTION("""COMPUTED_VALUE"""),"Тонометр автомат Gamma Plus KZ.7700.02.01.00671072 / Действителен до 12.06.2025 / 12-06-2020 / годен до 12.06.2025")</f>
        <v>Тонометр автомат Gamma Plus KZ.7700.02.01.00671072 / Действителен до 12.06.2025 / 12-06-2020 / годен до 12.06.2025</v>
      </c>
    </row>
    <row r="1395" spans="1:8" ht="12.75" x14ac:dyDescent="0.2">
      <c r="A1395" s="1" t="str">
        <f ca="1">IFERROR(__xludf.DUMMYFUNCTION("""COMPUTED_VALUE"""),"Тонометр автомат Gamma Plus")</f>
        <v>Тонометр автомат Gamma Plus</v>
      </c>
      <c r="B1395" s="1" t="str">
        <f ca="1">IFERROR(__xludf.DUMMYFUNCTION("""COMPUTED_VALUE"""),"KZ.7700.02.01.00704092")</f>
        <v>KZ.7700.02.01.00704092</v>
      </c>
      <c r="C1395" s="1" t="str">
        <f ca="1">IFERROR(__xludf.DUMMYFUNCTION("""COMPUTED_VALUE"""),"Действителен до 17.11.2025")</f>
        <v>Действителен до 17.11.2025</v>
      </c>
      <c r="D1395" s="8" t="str">
        <f ca="1">IFERROR(__xludf.DUMMYFUNCTION("""COMPUTED_VALUE"""),"17-11-2020")</f>
        <v>17-11-2020</v>
      </c>
      <c r="E1395" s="1" t="str">
        <f ca="1">IFERROR(__xludf.DUMMYFUNCTION("""COMPUTED_VALUE"""),"годен до 17.11.2025")</f>
        <v>годен до 17.11.2025</v>
      </c>
      <c r="F1395" s="1" t="str">
        <f ca="1">IFERROR(__xludf.DUMMYFUNCTION("""COMPUTED_VALUE"""),"Тонометр автомат Gamma Plus - 17-11-2020")</f>
        <v>Тонометр автомат Gamma Plus - 17-11-2020</v>
      </c>
      <c r="G1395" s="1" t="str">
        <f ca="1">IFERROR(__xludf.DUMMYFUNCTION("""COMPUTED_VALUE"""),"KZ.7700.02.01.00704092 / Действителен до 17.11.2025 / 17-11-2020 / годен до 17.11.2025")</f>
        <v>KZ.7700.02.01.00704092 / Действителен до 17.11.2025 / 17-11-2020 / годен до 17.11.2025</v>
      </c>
      <c r="H1395" s="1" t="str">
        <f ca="1">IFERROR(__xludf.DUMMYFUNCTION("""COMPUTED_VALUE"""),"Тонометр автомат Gamma Plus KZ.7700.02.01.00704092 / Действителен до 17.11.2025 / 17-11-2020 / годен до 17.11.2025")</f>
        <v>Тонометр автомат Gamma Plus KZ.7700.02.01.00704092 / Действителен до 17.11.2025 / 17-11-2020 / годен до 17.11.2025</v>
      </c>
    </row>
    <row r="1396" spans="1:8" ht="12.75" x14ac:dyDescent="0.2">
      <c r="A1396" s="1" t="str">
        <f ca="1">IFERROR(__xludf.DUMMYFUNCTION("""COMPUTED_VALUE"""),"Тонометр автомат Gamma Smart")</f>
        <v>Тонометр автомат Gamma Smart</v>
      </c>
      <c r="B1396" s="1" t="str">
        <f ca="1">IFERROR(__xludf.DUMMYFUNCTION("""COMPUTED_VALUE"""),"KZ.7700.02.01.00704121")</f>
        <v>KZ.7700.02.01.00704121</v>
      </c>
      <c r="C1396" s="1" t="str">
        <f ca="1">IFERROR(__xludf.DUMMYFUNCTION("""COMPUTED_VALUE"""),"Действителен до 19.11.2025")</f>
        <v>Действителен до 19.11.2025</v>
      </c>
      <c r="D1396" s="8" t="str">
        <f ca="1">IFERROR(__xludf.DUMMYFUNCTION("""COMPUTED_VALUE"""),"19-11-2020")</f>
        <v>19-11-2020</v>
      </c>
      <c r="E1396" s="1" t="str">
        <f ca="1">IFERROR(__xludf.DUMMYFUNCTION("""COMPUTED_VALUE"""),"годен до 19.11.2025")</f>
        <v>годен до 19.11.2025</v>
      </c>
      <c r="F1396" s="1" t="str">
        <f ca="1">IFERROR(__xludf.DUMMYFUNCTION("""COMPUTED_VALUE"""),"Тонометр автомат Gamma Smart - 19-11-2020")</f>
        <v>Тонометр автомат Gamma Smart - 19-11-2020</v>
      </c>
      <c r="G1396" s="1" t="str">
        <f ca="1">IFERROR(__xludf.DUMMYFUNCTION("""COMPUTED_VALUE"""),"KZ.7700.02.01.00704121 / Действителен до 19.11.2025 / 19-11-2020 / годен до 19.11.2025")</f>
        <v>KZ.7700.02.01.00704121 / Действителен до 19.11.2025 / 19-11-2020 / годен до 19.11.2025</v>
      </c>
      <c r="H1396" s="1" t="str">
        <f ca="1">IFERROR(__xludf.DUMMYFUNCTION("""COMPUTED_VALUE"""),"Тонометр автомат Gamma Smart KZ.7700.02.01.00704121 / Действителен до 19.11.2025 / 19-11-2020 / годен до 19.11.2025")</f>
        <v>Тонометр автомат Gamma Smart KZ.7700.02.01.00704121 / Действителен до 19.11.2025 / 19-11-2020 / годен до 19.11.2025</v>
      </c>
    </row>
    <row r="1397" spans="1:8" ht="12.75" x14ac:dyDescent="0.2">
      <c r="A1397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397" s="1" t="str">
        <f ca="1">IFERROR(__xludf.DUMMYFUNCTION("""COMPUTED_VALUE"""),"KZ.7700.02.01.00704130")</f>
        <v>KZ.7700.02.01.00704130</v>
      </c>
      <c r="C1397" s="1" t="str">
        <f ca="1">IFERROR(__xludf.DUMMYFUNCTION("""COMPUTED_VALUE"""),"Действителен до Бессрочно")</f>
        <v>Действителен до Бессрочно</v>
      </c>
      <c r="D1397" s="8" t="str">
        <f ca="1">IFERROR(__xludf.DUMMYFUNCTION("""COMPUTED_VALUE"""),"23-11-2020")</f>
        <v>23-11-2020</v>
      </c>
      <c r="E1397" s="1" t="str">
        <f ca="1">IFERROR(__xludf.DUMMYFUNCTION("""COMPUTED_VALUE"""),"без срока годности")</f>
        <v>без срока годности</v>
      </c>
      <c r="F1397" s="1" t="str">
        <f ca="1">IFERROR(__xludf.DUMMYFUNCTION("""COMPUTED_VALUE"""),"Автоматический измеритель артериального давления ТМ DR.FREI МОДЕЛЬ M-200A - 23-11-2020")</f>
        <v>Автоматический измеритель артериального давления ТМ DR.FREI МОДЕЛЬ M-200A - 23-11-2020</v>
      </c>
      <c r="G1397" s="1" t="str">
        <f ca="1">IFERROR(__xludf.DUMMYFUNCTION("""COMPUTED_VALUE"""),"KZ.7700.02.01.00704130 / Действителен до Бессрочно / 23-11-2020 / без срока годности")</f>
        <v>KZ.7700.02.01.00704130 / Действителен до Бессрочно / 23-11-2020 / без срока годности</v>
      </c>
      <c r="H1397" s="1" t="str">
        <f ca="1">IFERROR(__xludf.DUMMYFUNCTION("""COMPUTED_VALUE"""),"Автоматический измеритель артериального давления ТМ DR.FREI МОДЕЛЬ M-200A KZ.7700.02.01.00704130 / Действителен до Бессрочно / 23-11-2020 / без срока годности")</f>
        <v>Автоматический измеритель артериального давления ТМ DR.FREI МОДЕЛЬ M-200A KZ.7700.02.01.00704130 / Действителен до Бессрочно / 23-11-2020 / без срока годности</v>
      </c>
    </row>
    <row r="1398" spans="1:8" ht="12.75" x14ac:dyDescent="0.2">
      <c r="A1398" s="1" t="str">
        <f ca="1">IFERROR(__xludf.DUMMYFUNCTION("""COMPUTED_VALUE"""),"Тонометр на запястие автомат Gamma Active")</f>
        <v>Тонометр на запястие автомат Gamma Active</v>
      </c>
      <c r="B1398" s="1" t="str">
        <f ca="1">IFERROR(__xludf.DUMMYFUNCTION("""COMPUTED_VALUE"""),"KZ.7700.02.01.00682412")</f>
        <v>KZ.7700.02.01.00682412</v>
      </c>
      <c r="C1398" s="1" t="str">
        <f ca="1">IFERROR(__xludf.DUMMYFUNCTION("""COMPUTED_VALUE"""),"Действителен до 1.08.2025")</f>
        <v>Действителен до 1.08.2025</v>
      </c>
      <c r="D1398" s="8" t="str">
        <f ca="1">IFERROR(__xludf.DUMMYFUNCTION("""COMPUTED_VALUE"""),"01-08-2020")</f>
        <v>01-08-2020</v>
      </c>
      <c r="E1398" s="1" t="str">
        <f ca="1">IFERROR(__xludf.DUMMYFUNCTION("""COMPUTED_VALUE"""),"годен до 01.08.2025")</f>
        <v>годен до 01.08.2025</v>
      </c>
      <c r="F1398" s="1" t="str">
        <f ca="1">IFERROR(__xludf.DUMMYFUNCTION("""COMPUTED_VALUE"""),"Тонометр на запястие автомат Gamma Active - 01-08-2020")</f>
        <v>Тонометр на запястие автомат Gamma Active - 01-08-2020</v>
      </c>
      <c r="G1398" s="1" t="str">
        <f ca="1">IFERROR(__xludf.DUMMYFUNCTION("""COMPUTED_VALUE"""),"KZ.7700.02.01.00682412 / Действителен до 1.08.2025 / 01-08-2020 / годен до 01.08.2025")</f>
        <v>KZ.7700.02.01.00682412 / Действителен до 1.08.2025 / 01-08-2020 / годен до 01.08.2025</v>
      </c>
      <c r="H1398" s="1" t="str">
        <f ca="1">IFERROR(__xludf.DUMMYFUNCTION("""COMPUTED_VALUE"""),"Тонометр на запястие автомат Gamma Active KZ.7700.02.01.00682412 / Действителен до 1.08.2025 / 01-08-2020 / годен до 01.08.2025")</f>
        <v>Тонометр на запястие автомат Gamma Active KZ.7700.02.01.00682412 / Действителен до 1.08.2025 / 01-08-2020 / годен до 01.08.2025</v>
      </c>
    </row>
    <row r="1399" spans="1:8" ht="12.75" x14ac:dyDescent="0.2">
      <c r="A1399" s="1" t="str">
        <f ca="1">IFERROR(__xludf.DUMMYFUNCTION("""COMPUTED_VALUE"""),"Тонометр автомат Gamma Control")</f>
        <v>Тонометр автомат Gamma Control</v>
      </c>
      <c r="B1399" s="1" t="str">
        <f ca="1">IFERROR(__xludf.DUMMYFUNCTION("""COMPUTED_VALUE"""),"KZ.7700.02.01.00682410")</f>
        <v>KZ.7700.02.01.00682410</v>
      </c>
      <c r="C1399" s="1" t="str">
        <f ca="1">IFERROR(__xludf.DUMMYFUNCTION("""COMPUTED_VALUE"""),"Действителен до 28.07.2025")</f>
        <v>Действителен до 28.07.2025</v>
      </c>
      <c r="D1399" s="8" t="str">
        <f ca="1">IFERROR(__xludf.DUMMYFUNCTION("""COMPUTED_VALUE"""),"28-07-2020")</f>
        <v>28-07-2020</v>
      </c>
      <c r="E1399" s="1" t="str">
        <f ca="1">IFERROR(__xludf.DUMMYFUNCTION("""COMPUTED_VALUE"""),"годен до 28.07.2025")</f>
        <v>годен до 28.07.2025</v>
      </c>
      <c r="F1399" s="1" t="str">
        <f ca="1">IFERROR(__xludf.DUMMYFUNCTION("""COMPUTED_VALUE"""),"Тонометр автомат Gamma Control - 28-07-2020")</f>
        <v>Тонометр автомат Gamma Control - 28-07-2020</v>
      </c>
      <c r="G1399" s="1" t="str">
        <f ca="1">IFERROR(__xludf.DUMMYFUNCTION("""COMPUTED_VALUE"""),"KZ.7700.02.01.00682410 / Действителен до 28.07.2025 / 28-07-2020 / годен до 28.07.2025")</f>
        <v>KZ.7700.02.01.00682410 / Действителен до 28.07.2025 / 28-07-2020 / годен до 28.07.2025</v>
      </c>
      <c r="H1399" s="1" t="str">
        <f ca="1">IFERROR(__xludf.DUMMYFUNCTION("""COMPUTED_VALUE"""),"Тонометр автомат Gamma Control KZ.7700.02.01.00682410 / Действителен до 28.07.2025 / 28-07-2020 / годен до 28.07.2025")</f>
        <v>Тонометр автомат Gamma Control KZ.7700.02.01.00682410 / Действителен до 28.07.2025 / 28-07-2020 / годен до 28.07.2025</v>
      </c>
    </row>
    <row r="1400" spans="1:8" ht="12.75" x14ac:dyDescent="0.2">
      <c r="A1400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400" s="1" t="str">
        <f ca="1">IFERROR(__xludf.DUMMYFUNCTION("""COMPUTED_VALUE"""),"KZ.7700.02.01.00682407")</f>
        <v>KZ.7700.02.01.00682407</v>
      </c>
      <c r="C1400" s="1" t="str">
        <f ca="1">IFERROR(__xludf.DUMMYFUNCTION("""COMPUTED_VALUE"""),"Действителен до Бессрочно")</f>
        <v>Действителен до Бессрочно</v>
      </c>
      <c r="D1400" s="8" t="str">
        <f ca="1">IFERROR(__xludf.DUMMYFUNCTION("""COMPUTED_VALUE"""),"28-07-2020")</f>
        <v>28-07-2020</v>
      </c>
      <c r="E1400" s="1" t="str">
        <f ca="1">IFERROR(__xludf.DUMMYFUNCTION("""COMPUTED_VALUE"""),"без срока годности")</f>
        <v>без срока годности</v>
      </c>
      <c r="F1400" s="1" t="str">
        <f ca="1">IFERROR(__xludf.DUMMYFUNCTION("""COMPUTED_VALUE"""),"Автоматический измеритель артериального давления ТМ DR.FREI МОДЕЛЬ M-100A - 28-07-2020")</f>
        <v>Автоматический измеритель артериального давления ТМ DR.FREI МОДЕЛЬ M-100A - 28-07-2020</v>
      </c>
      <c r="G1400" s="1" t="str">
        <f ca="1">IFERROR(__xludf.DUMMYFUNCTION("""COMPUTED_VALUE"""),"KZ.7700.02.01.00682407 / Действителен до Бессрочно / 28-07-2020 / без срока годности")</f>
        <v>KZ.7700.02.01.00682407 / Действителен до Бессрочно / 28-07-2020 / без срока годности</v>
      </c>
      <c r="H1400" s="1" t="str">
        <f ca="1">IFERROR(__xludf.DUMMYFUNCTION("""COMPUTED_VALUE"""),"Автоматический измеритель артериального давления ТМ DR.FREI МОДЕЛЬ M-100A KZ.7700.02.01.00682407 / Действителен до Бессрочно / 28-07-2020 / без срока годности")</f>
        <v>Автоматический измеритель артериального давления ТМ DR.FREI МОДЕЛЬ M-100A KZ.7700.02.01.00682407 / Действителен до Бессрочно / 28-07-2020 / без срока годности</v>
      </c>
    </row>
    <row r="1401" spans="1:8" ht="12.75" x14ac:dyDescent="0.2">
      <c r="A1401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401" s="1" t="str">
        <f ca="1">IFERROR(__xludf.DUMMYFUNCTION("""COMPUTED_VALUE"""),"KZ.7700.02.01.00682409")</f>
        <v>KZ.7700.02.01.00682409</v>
      </c>
      <c r="C1401" s="1" t="str">
        <f ca="1">IFERROR(__xludf.DUMMYFUNCTION("""COMPUTED_VALUE"""),"Действителен до Бессрочно")</f>
        <v>Действителен до Бессрочно</v>
      </c>
      <c r="D1401" s="8" t="str">
        <f ca="1">IFERROR(__xludf.DUMMYFUNCTION("""COMPUTED_VALUE"""),"28-07-2020")</f>
        <v>28-07-2020</v>
      </c>
      <c r="E1401" s="1" t="str">
        <f ca="1">IFERROR(__xludf.DUMMYFUNCTION("""COMPUTED_VALUE"""),"без срока годности")</f>
        <v>без срока годности</v>
      </c>
      <c r="F1401" s="1" t="str">
        <f ca="1">IFERROR(__xludf.DUMMYFUNCTION("""COMPUTED_VALUE"""),"Полуавтоматический измеритель артериального давления ТМ DR.FREI МОДЕЛЬ M-150S - 28-07-2020")</f>
        <v>Полуавтоматический измеритель артериального давления ТМ DR.FREI МОДЕЛЬ M-150S - 28-07-2020</v>
      </c>
      <c r="G1401" s="1" t="str">
        <f ca="1">IFERROR(__xludf.DUMMYFUNCTION("""COMPUTED_VALUE"""),"KZ.7700.02.01.00682409 / Действителен до Бессрочно / 28-07-2020 / без срока годности")</f>
        <v>KZ.7700.02.01.00682409 / Действителен до Бессрочно / 28-07-2020 / без срока годности</v>
      </c>
      <c r="H1401" s="1" t="str">
        <f ca="1">IFERROR(__xludf.DUMMYFUNCTION("""COMPUTED_VALUE"""),"Полуавтоматический измеритель артериального давления ТМ DR.FREI МОДЕЛЬ M-150S KZ.7700.02.01.00682409 / Действителен до Бессрочно / 28-07-2020 / без срока годности")</f>
        <v>Полуавтоматический измеритель артериального давления ТМ DR.FREI МОДЕЛЬ M-150S KZ.7700.02.01.00682409 / Действителен до Бессрочно / 28-07-2020 / без срока годности</v>
      </c>
    </row>
    <row r="1402" spans="1:8" ht="12.75" x14ac:dyDescent="0.2">
      <c r="A1402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402" s="1" t="str">
        <f ca="1">IFERROR(__xludf.DUMMYFUNCTION("""COMPUTED_VALUE"""),"KZ.7700.02.01.00682408")</f>
        <v>KZ.7700.02.01.00682408</v>
      </c>
      <c r="C1402" s="1" t="str">
        <f ca="1">IFERROR(__xludf.DUMMYFUNCTION("""COMPUTED_VALUE"""),"Действителен до Бессрочно")</f>
        <v>Действителен до Бессрочно</v>
      </c>
      <c r="D1402" s="8" t="str">
        <f ca="1">IFERROR(__xludf.DUMMYFUNCTION("""COMPUTED_VALUE"""),"28-07-2020")</f>
        <v>28-07-2020</v>
      </c>
      <c r="E1402" s="1" t="str">
        <f ca="1">IFERROR(__xludf.DUMMYFUNCTION("""COMPUTED_VALUE"""),"без срока годности")</f>
        <v>без срока годности</v>
      </c>
      <c r="F1402" s="1" t="str">
        <f ca="1">IFERROR(__xludf.DUMMYFUNCTION("""COMPUTED_VALUE"""),"Автоматический измеритель артериального давления ТМ DR.FREI МОДЕЛЬ M-200A - 28-07-2020")</f>
        <v>Автоматический измеритель артериального давления ТМ DR.FREI МОДЕЛЬ M-200A - 28-07-2020</v>
      </c>
      <c r="G1402" s="1" t="str">
        <f ca="1">IFERROR(__xludf.DUMMYFUNCTION("""COMPUTED_VALUE"""),"KZ.7700.02.01.00682408 / Действителен до Бессрочно / 28-07-2020 / без срока годности")</f>
        <v>KZ.7700.02.01.00682408 / Действителен до Бессрочно / 28-07-2020 / без срока годности</v>
      </c>
      <c r="H1402" s="1" t="str">
        <f ca="1">IFERROR(__xludf.DUMMYFUNCTION("""COMPUTED_VALUE"""),"Автоматический измеритель артериального давления ТМ DR.FREI МОДЕЛЬ M-200A KZ.7700.02.01.00682408 / Действителен до Бессрочно / 28-07-2020 / без срока годности")</f>
        <v>Автоматический измеритель артериального давления ТМ DR.FREI МОДЕЛЬ M-200A KZ.7700.02.01.00682408 / Действителен до Бессрочно / 28-07-2020 / без срока годности</v>
      </c>
    </row>
    <row r="1403" spans="1:8" ht="12.75" x14ac:dyDescent="0.2">
      <c r="A1403" s="1" t="str">
        <f ca="1">IFERROR(__xludf.DUMMYFUNCTION("""COMPUTED_VALUE"""),"Тонометр автомат Gamma Plus")</f>
        <v>Тонометр автомат Gamma Plus</v>
      </c>
      <c r="B1403" s="1" t="str">
        <f ca="1">IFERROR(__xludf.DUMMYFUNCTION("""COMPUTED_VALUE"""),"KZ.7700.02.01.00682411")</f>
        <v>KZ.7700.02.01.00682411</v>
      </c>
      <c r="C1403" s="1" t="str">
        <f ca="1">IFERROR(__xludf.DUMMYFUNCTION("""COMPUTED_VALUE"""),"Действителен до 28.07.2025")</f>
        <v>Действителен до 28.07.2025</v>
      </c>
      <c r="D1403" s="8" t="str">
        <f ca="1">IFERROR(__xludf.DUMMYFUNCTION("""COMPUTED_VALUE"""),"28-07-2020")</f>
        <v>28-07-2020</v>
      </c>
      <c r="E1403" s="1" t="str">
        <f ca="1">IFERROR(__xludf.DUMMYFUNCTION("""COMPUTED_VALUE"""),"годен  до   28.07.2025")</f>
        <v>годен  до   28.07.2025</v>
      </c>
      <c r="F1403" s="1" t="str">
        <f ca="1">IFERROR(__xludf.DUMMYFUNCTION("""COMPUTED_VALUE"""),"Тонометр автомат Gamma Plus - 28-07-2020")</f>
        <v>Тонометр автомат Gamma Plus - 28-07-2020</v>
      </c>
      <c r="G1403" s="1" t="str">
        <f ca="1">IFERROR(__xludf.DUMMYFUNCTION("""COMPUTED_VALUE"""),"KZ.7700.02.01.00682411 / Действителен до 28.07.2025 / 28-07-2020 / годен  до   28.07.2025")</f>
        <v>KZ.7700.02.01.00682411 / Действителен до 28.07.2025 / 28-07-2020 / годен  до   28.07.2025</v>
      </c>
      <c r="H1403" s="1" t="str">
        <f ca="1">IFERROR(__xludf.DUMMYFUNCTION("""COMPUTED_VALUE"""),"Тонометр автомат Gamma Plus KZ.7700.02.01.00682411 / Действителен до 28.07.2025 / 28-07-2020 / годен  до   28.07.2025")</f>
        <v>Тонометр автомат Gamma Plus KZ.7700.02.01.00682411 / Действителен до 28.07.2025 / 28-07-2020 / годен  до   28.07.2025</v>
      </c>
    </row>
    <row r="1404" spans="1:8" ht="12.75" x14ac:dyDescent="0.2">
      <c r="A1404" s="1" t="str">
        <f ca="1">IFERROR(__xludf.DUMMYFUNCTION("""COMPUTED_VALUE"""),"Тонометр на запястие автомат Gamma Active")</f>
        <v>Тонометр на запястие автомат Gamma Active</v>
      </c>
      <c r="B1404" s="1" t="str">
        <f ca="1">IFERROR(__xludf.DUMMYFUNCTION("""COMPUTED_VALUE"""),"KZ.7700.02.01.00639809")</f>
        <v>KZ.7700.02.01.00639809</v>
      </c>
      <c r="C1404" s="1" t="str">
        <f ca="1">IFERROR(__xludf.DUMMYFUNCTION("""COMPUTED_VALUE"""),"Действителен до 14.01..2025")</f>
        <v>Действителен до 14.01..2025</v>
      </c>
      <c r="D1404" s="8" t="str">
        <f ca="1">IFERROR(__xludf.DUMMYFUNCTION("""COMPUTED_VALUE"""),"202001030")</f>
        <v>202001030</v>
      </c>
      <c r="E1404" s="1" t="str">
        <f ca="1">IFERROR(__xludf.DUMMYFUNCTION("""COMPUTED_VALUE"""),"годен  до   14.01.2025")</f>
        <v>годен  до   14.01.2025</v>
      </c>
      <c r="F1404" s="1" t="str">
        <f ca="1">IFERROR(__xludf.DUMMYFUNCTION("""COMPUTED_VALUE"""),"Тонометр на запястие автомат Gamma Active - 202001030")</f>
        <v>Тонометр на запястие автомат Gamma Active - 202001030</v>
      </c>
      <c r="G1404" s="1" t="str">
        <f ca="1">IFERROR(__xludf.DUMMYFUNCTION("""COMPUTED_VALUE"""),"KZ.7700.02.01.00639809 / Действителен до 14.01..2025 / 202001030 / годен  до   14.01.2025")</f>
        <v>KZ.7700.02.01.00639809 / Действителен до 14.01..2025 / 202001030 / годен  до   14.01.2025</v>
      </c>
      <c r="H1404" s="1" t="str">
        <f ca="1">IFERROR(__xludf.DUMMYFUNCTION("""COMPUTED_VALUE"""),"Тонометр на запястие автомат Gamma Active KZ.7700.02.01.00639809 / Действителен до 14.01..2025 / 202001030 / годен  до   14.01.2025")</f>
        <v>Тонометр на запястие автомат Gamma Active KZ.7700.02.01.00639809 / Действителен до 14.01..2025 / 202001030 / годен  до   14.01.2025</v>
      </c>
    </row>
    <row r="1405" spans="1:8" ht="12.75" x14ac:dyDescent="0.2">
      <c r="A1405" s="1" t="str">
        <f ca="1">IFERROR(__xludf.DUMMYFUNCTION("""COMPUTED_VALUE"""),"Тонометр автомат Gamma Smart")</f>
        <v>Тонометр автомат Gamma Smart</v>
      </c>
      <c r="B1405" s="1" t="str">
        <f ca="1">IFERROR(__xludf.DUMMYFUNCTION("""COMPUTED_VALUE"""),"KZ.7700.02.01.00639808")</f>
        <v>KZ.7700.02.01.00639808</v>
      </c>
      <c r="C1405" s="1" t="str">
        <f ca="1">IFERROR(__xludf.DUMMYFUNCTION("""COMPUTED_VALUE"""),"Действителен до 13.01.2025")</f>
        <v>Действителен до 13.01.2025</v>
      </c>
      <c r="D1405" s="8" t="str">
        <f ca="1">IFERROR(__xludf.DUMMYFUNCTION("""COMPUTED_VALUE"""),"202001021")</f>
        <v>202001021</v>
      </c>
      <c r="E1405" s="1" t="str">
        <f ca="1">IFERROR(__xludf.DUMMYFUNCTION("""COMPUTED_VALUE"""),"годен  до   13.01.2025")</f>
        <v>годен  до   13.01.2025</v>
      </c>
      <c r="F1405" s="1" t="str">
        <f ca="1">IFERROR(__xludf.DUMMYFUNCTION("""COMPUTED_VALUE"""),"Тонометр автомат Gamma Smart - 202001021")</f>
        <v>Тонометр автомат Gamma Smart - 202001021</v>
      </c>
      <c r="G1405" s="1" t="str">
        <f ca="1">IFERROR(__xludf.DUMMYFUNCTION("""COMPUTED_VALUE"""),"KZ.7700.02.01.00639808 / Действителен до 13.01.2025 / 202001021 / годен  до   13.01.2025")</f>
        <v>KZ.7700.02.01.00639808 / Действителен до 13.01.2025 / 202001021 / годен  до   13.01.2025</v>
      </c>
      <c r="H1405" s="1" t="str">
        <f ca="1">IFERROR(__xludf.DUMMYFUNCTION("""COMPUTED_VALUE"""),"Тонометр автомат Gamma Smart KZ.7700.02.01.00639808 / Действителен до 13.01.2025 / 202001021 / годен  до   13.01.2025")</f>
        <v>Тонометр автомат Gamma Smart KZ.7700.02.01.00639808 / Действителен до 13.01.2025 / 202001021 / годен  до   13.01.2025</v>
      </c>
    </row>
    <row r="1406" spans="1:8" ht="12.75" x14ac:dyDescent="0.2">
      <c r="A1406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406" s="1" t="str">
        <f ca="1">IFERROR(__xludf.DUMMYFUNCTION("""COMPUTED_VALUE"""),"KZ.7700.02.01.00639811")</f>
        <v>KZ.7700.02.01.00639811</v>
      </c>
      <c r="C1406" s="1" t="str">
        <f ca="1">IFERROR(__xludf.DUMMYFUNCTION("""COMPUTED_VALUE"""),"Действителен до Бессрочно")</f>
        <v>Действителен до Бессрочно</v>
      </c>
      <c r="D1406" s="8" t="str">
        <f ca="1">IFERROR(__xludf.DUMMYFUNCTION("""COMPUTED_VALUE"""),"202001017")</f>
        <v>202001017</v>
      </c>
      <c r="E1406" s="1" t="str">
        <f ca="1">IFERROR(__xludf.DUMMYFUNCTION("""COMPUTED_VALUE"""),"без срока годности")</f>
        <v>без срока годности</v>
      </c>
      <c r="F1406" s="1" t="str">
        <f ca="1">IFERROR(__xludf.DUMMYFUNCTION("""COMPUTED_VALUE"""),"Автоматический измеритель артериального давления ТМ DR.FREI МОДЕЛЬ M-200A - 202001017")</f>
        <v>Автоматический измеритель артериального давления ТМ DR.FREI МОДЕЛЬ M-200A - 202001017</v>
      </c>
      <c r="G1406" s="1" t="str">
        <f ca="1">IFERROR(__xludf.DUMMYFUNCTION("""COMPUTED_VALUE"""),"KZ.7700.02.01.00639811 / Действителен до Бессрочно / 202001017 / без срока годности")</f>
        <v>KZ.7700.02.01.00639811 / Действителен до Бессрочно / 202001017 / без срока годности</v>
      </c>
      <c r="H1406" s="1" t="str">
        <f ca="1">IFERROR(__xludf.DUMMYFUNCTION("""COMPUTED_VALUE"""),"Автоматический измеритель артериального давления ТМ DR.FREI МОДЕЛЬ M-200A KZ.7700.02.01.00639811 / Действителен до Бессрочно / 202001017 / без срока годности")</f>
        <v>Автоматический измеритель артериального давления ТМ DR.FREI МОДЕЛЬ M-200A KZ.7700.02.01.00639811 / Действителен до Бессрочно / 202001017 / без срока годности</v>
      </c>
    </row>
    <row r="1407" spans="1:8" ht="12.75" x14ac:dyDescent="0.2">
      <c r="A1407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407" s="1" t="str">
        <f ca="1">IFERROR(__xludf.DUMMYFUNCTION("""COMPUTED_VALUE"""),"KZ.7700.02.01.00639810")</f>
        <v>KZ.7700.02.01.00639810</v>
      </c>
      <c r="C1407" s="1" t="str">
        <f ca="1">IFERROR(__xludf.DUMMYFUNCTION("""COMPUTED_VALUE"""),"Действителен до Бессрочно")</f>
        <v>Действителен до Бессрочно</v>
      </c>
      <c r="D1407" s="8" t="str">
        <f ca="1">IFERROR(__xludf.DUMMYFUNCTION("""COMPUTED_VALUE"""),"202001016")</f>
        <v>202001016</v>
      </c>
      <c r="E1407" s="1" t="str">
        <f ca="1">IFERROR(__xludf.DUMMYFUNCTION("""COMPUTED_VALUE"""),"без срока годности")</f>
        <v>без срока годности</v>
      </c>
      <c r="F1407" s="1" t="str">
        <f ca="1">IFERROR(__xludf.DUMMYFUNCTION("""COMPUTED_VALUE"""),"Автоматический измеритель артериального давления ТМ DR.FREI МОДЕЛЬ M-100A - 202001016")</f>
        <v>Автоматический измеритель артериального давления ТМ DR.FREI МОДЕЛЬ M-100A - 202001016</v>
      </c>
      <c r="G1407" s="1" t="str">
        <f ca="1">IFERROR(__xludf.DUMMYFUNCTION("""COMPUTED_VALUE"""),"KZ.7700.02.01.00639810 / Действителен до Бессрочно / 202001016 / без срока годности")</f>
        <v>KZ.7700.02.01.00639810 / Действителен до Бессрочно / 202001016 / без срока годности</v>
      </c>
      <c r="H1407" s="1" t="str">
        <f ca="1">IFERROR(__xludf.DUMMYFUNCTION("""COMPUTED_VALUE"""),"Автоматический измеритель артериального давления ТМ DR.FREI МОДЕЛЬ M-100A KZ.7700.02.01.00639810 / Действителен до Бессрочно / 202001016 / без срока годности")</f>
        <v>Автоматический измеритель артериального давления ТМ DR.FREI МОДЕЛЬ M-100A KZ.7700.02.01.00639810 / Действителен до Бессрочно / 202001016 / без срока годности</v>
      </c>
    </row>
    <row r="1408" spans="1:8" ht="12.75" x14ac:dyDescent="0.2">
      <c r="A1408" s="1" t="str">
        <f ca="1">IFERROR(__xludf.DUMMYFUNCTION("""COMPUTED_VALUE"""),"Тонометр автомат Gamma Control")</f>
        <v>Тонометр автомат Gamma Control</v>
      </c>
      <c r="B1408" s="1" t="str">
        <f ca="1">IFERROR(__xludf.DUMMYFUNCTION("""COMPUTED_VALUE"""),"KZ.7700.02.01.00609850")</f>
        <v>KZ.7700.02.01.00609850</v>
      </c>
      <c r="C1408" s="1" t="str">
        <f ca="1">IFERROR(__xludf.DUMMYFUNCTION("""COMPUTED_VALUE"""),"Действителен до 16.09.2024")</f>
        <v>Действителен до 16.09.2024</v>
      </c>
      <c r="D1408" s="8" t="str">
        <f ca="1">IFERROR(__xludf.DUMMYFUNCTION("""COMPUTED_VALUE"""),"201909164")</f>
        <v>201909164</v>
      </c>
      <c r="E1408" s="1" t="str">
        <f ca="1">IFERROR(__xludf.DUMMYFUNCTION("""COMPUTED_VALUE"""),"годен до 16.09.2024")</f>
        <v>годен до 16.09.2024</v>
      </c>
      <c r="F1408" s="1" t="str">
        <f ca="1">IFERROR(__xludf.DUMMYFUNCTION("""COMPUTED_VALUE"""),"Тонометр автомат Gamma Control - 201909164")</f>
        <v>Тонометр автомат Gamma Control - 201909164</v>
      </c>
      <c r="G1408" s="1" t="str">
        <f ca="1">IFERROR(__xludf.DUMMYFUNCTION("""COMPUTED_VALUE"""),"KZ.7700.02.01.00609850 / Действителен до 16.09.2024 / 201909164 / годен до 16.09.2024")</f>
        <v>KZ.7700.02.01.00609850 / Действителен до 16.09.2024 / 201909164 / годен до 16.09.2024</v>
      </c>
      <c r="H1408" s="1" t="str">
        <f ca="1">IFERROR(__xludf.DUMMYFUNCTION("""COMPUTED_VALUE"""),"Тонометр автомат Gamma Control KZ.7700.02.01.00609850 / Действителен до 16.09.2024 / 201909164 / годен до 16.09.2024")</f>
        <v>Тонометр автомат Gamma Control KZ.7700.02.01.00609850 / Действителен до 16.09.2024 / 201909164 / годен до 16.09.2024</v>
      </c>
    </row>
    <row r="1409" spans="1:8" ht="12.75" x14ac:dyDescent="0.2">
      <c r="A1409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409" s="1" t="str">
        <f ca="1">IFERROR(__xludf.DUMMYFUNCTION("""COMPUTED_VALUE"""),"KZ.7700.02.01.00609847")</f>
        <v>KZ.7700.02.01.00609847</v>
      </c>
      <c r="C1409" s="1" t="str">
        <f ca="1">IFERROR(__xludf.DUMMYFUNCTION("""COMPUTED_VALUE"""),"Действителен до Бессрочно")</f>
        <v>Действителен до Бессрочно</v>
      </c>
      <c r="D1409" s="8" t="str">
        <f ca="1">IFERROR(__xludf.DUMMYFUNCTION("""COMPUTED_VALUE"""),"201910039")</f>
        <v>201910039</v>
      </c>
      <c r="E1409" s="1" t="str">
        <f ca="1">IFERROR(__xludf.DUMMYFUNCTION("""COMPUTED_VALUE"""),"без срока годности")</f>
        <v>без срока годности</v>
      </c>
      <c r="F1409" s="1" t="str">
        <f ca="1">IFERROR(__xludf.DUMMYFUNCTION("""COMPUTED_VALUE"""),"Автоматический измеритель артериального давления ТМ DR.FREI МОДЕЛЬ M-100A - 201910039")</f>
        <v>Автоматический измеритель артериального давления ТМ DR.FREI МОДЕЛЬ M-100A - 201910039</v>
      </c>
      <c r="G1409" s="1" t="str">
        <f ca="1">IFERROR(__xludf.DUMMYFUNCTION("""COMPUTED_VALUE"""),"KZ.7700.02.01.00609847 / Действителен до Бессрочно / 201910039 / без срока годности")</f>
        <v>KZ.7700.02.01.00609847 / Действителен до Бессрочно / 201910039 / без срока годности</v>
      </c>
      <c r="H1409" s="1" t="str">
        <f ca="1">IFERROR(__xludf.DUMMYFUNCTION("""COMPUTED_VALUE"""),"Автоматический измеритель артериального давления ТМ DR.FREI МОДЕЛЬ M-100A KZ.7700.02.01.00609847 / Действителен до Бессрочно / 201910039 / без срока годности")</f>
        <v>Автоматический измеритель артериального давления ТМ DR.FREI МОДЕЛЬ M-100A KZ.7700.02.01.00609847 / Действителен до Бессрочно / 201910039 / без срока годности</v>
      </c>
    </row>
    <row r="1410" spans="1:8" ht="12.75" x14ac:dyDescent="0.2">
      <c r="A1410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410" s="1" t="str">
        <f ca="1">IFERROR(__xludf.DUMMYFUNCTION("""COMPUTED_VALUE"""),"KZ.7700.02.01.00609848")</f>
        <v>KZ.7700.02.01.00609848</v>
      </c>
      <c r="C1410" s="1" t="str">
        <f ca="1">IFERROR(__xludf.DUMMYFUNCTION("""COMPUTED_VALUE"""),"Действителен до Бессрочно")</f>
        <v>Действителен до Бессрочно</v>
      </c>
      <c r="D1410" s="8" t="str">
        <f ca="1">IFERROR(__xludf.DUMMYFUNCTION("""COMPUTED_VALUE"""),"201910024")</f>
        <v>201910024</v>
      </c>
      <c r="E1410" s="1" t="str">
        <f ca="1">IFERROR(__xludf.DUMMYFUNCTION("""COMPUTED_VALUE"""),"без срока годности")</f>
        <v>без срока годности</v>
      </c>
      <c r="F1410" s="1" t="str">
        <f ca="1">IFERROR(__xludf.DUMMYFUNCTION("""COMPUTED_VALUE"""),"Автоматический измеритель артериального давления ТМ DR.FREI МОДЕЛЬ M-200A - 201910024")</f>
        <v>Автоматический измеритель артериального давления ТМ DR.FREI МОДЕЛЬ M-200A - 201910024</v>
      </c>
      <c r="G1410" s="1" t="str">
        <f ca="1">IFERROR(__xludf.DUMMYFUNCTION("""COMPUTED_VALUE"""),"KZ.7700.02.01.00609848 / Действителен до Бессрочно / 201910024 / без срока годности")</f>
        <v>KZ.7700.02.01.00609848 / Действителен до Бессрочно / 201910024 / без срока годности</v>
      </c>
      <c r="H1410" s="1" t="str">
        <f ca="1">IFERROR(__xludf.DUMMYFUNCTION("""COMPUTED_VALUE"""),"Автоматический измеритель артериального давления ТМ DR.FREI МОДЕЛЬ M-200A KZ.7700.02.01.00609848 / Действителен до Бессрочно / 201910024 / без срока годности")</f>
        <v>Автоматический измеритель артериального давления ТМ DR.FREI МОДЕЛЬ M-200A KZ.7700.02.01.00609848 / Действителен до Бессрочно / 201910024 / без срока годности</v>
      </c>
    </row>
    <row r="1411" spans="1:8" ht="12.75" x14ac:dyDescent="0.2">
      <c r="A1411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411" s="1" t="str">
        <f ca="1">IFERROR(__xludf.DUMMYFUNCTION("""COMPUTED_VALUE"""),"KZ.7700.02.01.00609849")</f>
        <v>KZ.7700.02.01.00609849</v>
      </c>
      <c r="C1411" s="1" t="str">
        <f ca="1">IFERROR(__xludf.DUMMYFUNCTION("""COMPUTED_VALUE"""),"Действителен до Бессрочно")</f>
        <v>Действителен до Бессрочно</v>
      </c>
      <c r="D1411" s="8" t="str">
        <f ca="1">IFERROR(__xludf.DUMMYFUNCTION("""COMPUTED_VALUE"""),"201910023")</f>
        <v>201910023</v>
      </c>
      <c r="E1411" s="1" t="str">
        <f ca="1">IFERROR(__xludf.DUMMYFUNCTION("""COMPUTED_VALUE"""),"без срока годности")</f>
        <v>без срока годности</v>
      </c>
      <c r="F1411" s="1" t="str">
        <f ca="1">IFERROR(__xludf.DUMMYFUNCTION("""COMPUTED_VALUE"""),"Полуавтоматический измеритель артериального давления ТМ DR.FREI МОДЕЛЬ M-150S - 201910023")</f>
        <v>Полуавтоматический измеритель артериального давления ТМ DR.FREI МОДЕЛЬ M-150S - 201910023</v>
      </c>
      <c r="G1411" s="1" t="str">
        <f ca="1">IFERROR(__xludf.DUMMYFUNCTION("""COMPUTED_VALUE"""),"KZ.7700.02.01.00609849 / Действителен до Бессрочно / 201910023 / без срока годности")</f>
        <v>KZ.7700.02.01.00609849 / Действителен до Бессрочно / 201910023 / без срока годности</v>
      </c>
      <c r="H1411" s="1" t="str">
        <f ca="1">IFERROR(__xludf.DUMMYFUNCTION("""COMPUTED_VALUE"""),"Полуавтоматический измеритель артериального давления ТМ DR.FREI МОДЕЛЬ M-150S KZ.7700.02.01.00609849 / Действителен до Бессрочно / 201910023 / без срока годности")</f>
        <v>Полуавтоматический измеритель артериального давления ТМ DR.FREI МОДЕЛЬ M-150S KZ.7700.02.01.00609849 / Действителен до Бессрочно / 201910023 / без срока годности</v>
      </c>
    </row>
    <row r="1412" spans="1:8" ht="12.75" x14ac:dyDescent="0.2">
      <c r="A1412" s="1" t="str">
        <f ca="1">IFERROR(__xludf.DUMMYFUNCTION("""COMPUTED_VALUE"""),"Тонометр автомат Gamma Plus")</f>
        <v>Тонометр автомат Gamma Plus</v>
      </c>
      <c r="B1412" s="1" t="str">
        <f ca="1">IFERROR(__xludf.DUMMYFUNCTION("""COMPUTED_VALUE"""),"KZ.7700.02.01.00609851")</f>
        <v>KZ.7700.02.01.00609851</v>
      </c>
      <c r="C1412" s="1" t="str">
        <f ca="1">IFERROR(__xludf.DUMMYFUNCTION("""COMPUTED_VALUE"""),"Действителен до 16.09.2024")</f>
        <v>Действителен до 16.09.2024</v>
      </c>
      <c r="D1412" s="8" t="str">
        <f ca="1">IFERROR(__xludf.DUMMYFUNCTION("""COMPUTED_VALUE"""),"201909162")</f>
        <v>201909162</v>
      </c>
      <c r="E1412" s="1" t="str">
        <f ca="1">IFERROR(__xludf.DUMMYFUNCTION("""COMPUTED_VALUE"""),"годен до 16.09.2024")</f>
        <v>годен до 16.09.2024</v>
      </c>
      <c r="F1412" s="1" t="str">
        <f ca="1">IFERROR(__xludf.DUMMYFUNCTION("""COMPUTED_VALUE"""),"Тонометр автомат Gamma Plus - 201909162")</f>
        <v>Тонометр автомат Gamma Plus - 201909162</v>
      </c>
      <c r="G1412" s="1" t="str">
        <f ca="1">IFERROR(__xludf.DUMMYFUNCTION("""COMPUTED_VALUE"""),"KZ.7700.02.01.00609851 / Действителен до 16.09.2024 / 201909162 / годен до 16.09.2024")</f>
        <v>KZ.7700.02.01.00609851 / Действителен до 16.09.2024 / 201909162 / годен до 16.09.2024</v>
      </c>
      <c r="H1412" s="1" t="str">
        <f ca="1">IFERROR(__xludf.DUMMYFUNCTION("""COMPUTED_VALUE"""),"Тонометр автомат Gamma Plus KZ.7700.02.01.00609851 / Действителен до 16.09.2024 / 201909162 / годен до 16.09.2024")</f>
        <v>Тонометр автомат Gamma Plus KZ.7700.02.01.00609851 / Действителен до 16.09.2024 / 201909162 / годен до 16.09.2024</v>
      </c>
    </row>
    <row r="1413" spans="1:8" ht="12.75" x14ac:dyDescent="0.2">
      <c r="A1413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413" s="1" t="str">
        <f ca="1">IFERROR(__xludf.DUMMYFUNCTION("""COMPUTED_VALUE"""),"KZ.7700.02.01.00589197")</f>
        <v>KZ.7700.02.01.00589197</v>
      </c>
      <c r="C1413" s="1" t="str">
        <f ca="1">IFERROR(__xludf.DUMMYFUNCTION("""COMPUTED_VALUE"""),"Действителен до Бессрочно")</f>
        <v>Действителен до Бессрочно</v>
      </c>
      <c r="D1413" s="8" t="str">
        <f ca="1">IFERROR(__xludf.DUMMYFUNCTION("""COMPUTED_VALUE"""),"201908039")</f>
        <v>201908039</v>
      </c>
      <c r="E1413" s="1" t="str">
        <f ca="1">IFERROR(__xludf.DUMMYFUNCTION("""COMPUTED_VALUE"""),"без срока годности")</f>
        <v>без срока годности</v>
      </c>
      <c r="F1413" s="1" t="str">
        <f ca="1">IFERROR(__xludf.DUMMYFUNCTION("""COMPUTED_VALUE"""),"Автоматический измеритель артериального давления ТМ DR.FREI МОДЕЛЬ M-100A - 201908039")</f>
        <v>Автоматический измеритель артериального давления ТМ DR.FREI МОДЕЛЬ M-100A - 201908039</v>
      </c>
      <c r="G1413" s="1" t="str">
        <f ca="1">IFERROR(__xludf.DUMMYFUNCTION("""COMPUTED_VALUE"""),"KZ.7700.02.01.00589197 / Действителен до Бессрочно / 201908039 / без срока годности")</f>
        <v>KZ.7700.02.01.00589197 / Действителен до Бессрочно / 201908039 / без срока годности</v>
      </c>
      <c r="H1413" s="1" t="str">
        <f ca="1">IFERROR(__xludf.DUMMYFUNCTION("""COMPUTED_VALUE"""),"Автоматический измеритель артериального давления ТМ DR.FREI МОДЕЛЬ M-100A KZ.7700.02.01.00589197 / Действителен до Бессрочно / 201908039 / без срока годности")</f>
        <v>Автоматический измеритель артериального давления ТМ DR.FREI МОДЕЛЬ M-100A KZ.7700.02.01.00589197 / Действителен до Бессрочно / 201908039 / без срока годности</v>
      </c>
    </row>
    <row r="1414" spans="1:8" ht="12.75" x14ac:dyDescent="0.2">
      <c r="A1414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414" s="1" t="str">
        <f ca="1">IFERROR(__xludf.DUMMYFUNCTION("""COMPUTED_VALUE"""),"KZ.7700.02.01.00588260")</f>
        <v>KZ.7700.02.01.00588260</v>
      </c>
      <c r="C1414" s="1" t="str">
        <f ca="1">IFERROR(__xludf.DUMMYFUNCTION("""COMPUTED_VALUE"""),"Действителен до Бессрочно")</f>
        <v>Действителен до Бессрочно</v>
      </c>
      <c r="D1414" s="8" t="str">
        <f ca="1">IFERROR(__xludf.DUMMYFUNCTION("""COMPUTED_VALUE"""),"201905015")</f>
        <v>201905015</v>
      </c>
      <c r="E1414" s="1" t="str">
        <f ca="1">IFERROR(__xludf.DUMMYFUNCTION("""COMPUTED_VALUE"""),"без срока годности")</f>
        <v>без срока годности</v>
      </c>
      <c r="F1414" s="1" t="str">
        <f ca="1">IFERROR(__xludf.DUMMYFUNCTION("""COMPUTED_VALUE"""),"Автоматический измеритель артериального давления ТМ DR.FREI МОДЕЛЬ M-100A - 201905015")</f>
        <v>Автоматический измеритель артериального давления ТМ DR.FREI МОДЕЛЬ M-100A - 201905015</v>
      </c>
      <c r="G1414" s="1" t="str">
        <f ca="1">IFERROR(__xludf.DUMMYFUNCTION("""COMPUTED_VALUE"""),"KZ.7700.02.01.00588260 / Действителен до Бессрочно / 201905015 / без срока годности")</f>
        <v>KZ.7700.02.01.00588260 / Действителен до Бессрочно / 201905015 / без срока годности</v>
      </c>
      <c r="H1414" s="1" t="str">
        <f ca="1">IFERROR(__xludf.DUMMYFUNCTION("""COMPUTED_VALUE"""),"Автоматический измеритель артериального давления ТМ DR.FREI МОДЕЛЬ M-100A KZ.7700.02.01.00588260 / Действителен до Бессрочно / 201905015 / без срока годности")</f>
        <v>Автоматический измеритель артериального давления ТМ DR.FREI МОДЕЛЬ M-100A KZ.7700.02.01.00588260 / Действителен до Бессрочно / 201905015 / без срока годности</v>
      </c>
    </row>
    <row r="1415" spans="1:8" ht="12.75" x14ac:dyDescent="0.2">
      <c r="A1415" s="1" t="str">
        <f ca="1">IFERROR(__xludf.DUMMYFUNCTION("""COMPUTED_VALUE"""),"М 0201 L/XL Гигеническая маска, черная")</f>
        <v>М 0201 L/XL Гигеническая маска, черная</v>
      </c>
      <c r="B1415" s="1" t="str">
        <f ca="1">IFERROR(__xludf.DUMMYFUNCTION("""COMPUTED_VALUE"""),"KZ.3510317.05.01.30838")</f>
        <v>KZ.3510317.05.01.30838</v>
      </c>
      <c r="C1415" s="1" t="str">
        <f ca="1">IFERROR(__xludf.DUMMYFUNCTION("""COMPUTED_VALUE"""),"Действителен до 14.05.2022")</f>
        <v>Действителен до 14.05.2022</v>
      </c>
      <c r="D1415" s="8" t="str">
        <f ca="1">IFERROR(__xludf.DUMMYFUNCTION("""COMPUTED_VALUE"""),"0321022KZ022")</f>
        <v>0321022KZ022</v>
      </c>
      <c r="E1415" s="1" t="str">
        <f ca="1">IFERROR(__xludf.DUMMYFUNCTION("""COMPUTED_VALUE"""),"годен  до   30.03.2026              ")</f>
        <v xml:space="preserve">годен  до   30.03.2026              </v>
      </c>
      <c r="F1415" s="1" t="str">
        <f ca="1">IFERROR(__xludf.DUMMYFUNCTION("""COMPUTED_VALUE"""),"М 0201 L/XL Гигеническая маска, черная - 0321022KZ022")</f>
        <v>М 0201 L/XL Гигеническая маска, черная - 0321022KZ022</v>
      </c>
      <c r="G1415" s="1" t="str">
        <f ca="1">IFERROR(__xludf.DUMMYFUNCTION("""COMPUTED_VALUE"""),"KZ.3510317.05.01.30838 / Действителен до 14.05.2022 / 0321022KZ022 / годен  до   30.03.2026              ")</f>
        <v xml:space="preserve">KZ.3510317.05.01.30838 / Действителен до 14.05.2022 / 0321022KZ022 / годен  до   30.03.2026              </v>
      </c>
      <c r="H1415" s="1" t="str">
        <f ca="1">IFERROR(__xludf.DUMMYFUNCTION("""COMPUTED_VALUE"""),"М 0201 L/XL Гигеническая маска, черная KZ.3510317.05.01.30838 / Действителен до 14.05.2022 / 0321022KZ022 / годен  до   30.03.2026              ")</f>
        <v xml:space="preserve">М 0201 L/XL Гигеническая маска, черная KZ.3510317.05.01.30838 / Действителен до 14.05.2022 / 0321022KZ022 / годен  до   30.03.2026              </v>
      </c>
    </row>
    <row r="1416" spans="1:8" ht="12.75" x14ac:dyDescent="0.2">
      <c r="A1416" s="1" t="str">
        <f ca="1">IFERROR(__xludf.DUMMYFUNCTION("""COMPUTED_VALUE"""),"М 0201 XS/M Гигеническая маска, черная")</f>
        <v>М 0201 XS/M Гигеническая маска, черная</v>
      </c>
      <c r="B1416" s="1" t="str">
        <f ca="1">IFERROR(__xludf.DUMMYFUNCTION("""COMPUTED_VALUE"""),"KZ.3510317.05.01.30838")</f>
        <v>KZ.3510317.05.01.30838</v>
      </c>
      <c r="C1416" s="1" t="str">
        <f ca="1">IFERROR(__xludf.DUMMYFUNCTION("""COMPUTED_VALUE"""),"Действителен до 14.05.2022")</f>
        <v>Действителен до 14.05.2022</v>
      </c>
      <c r="D1416" s="8" t="str">
        <f ca="1">IFERROR(__xludf.DUMMYFUNCTION("""COMPUTED_VALUE"""),"0321022KZ022")</f>
        <v>0321022KZ022</v>
      </c>
      <c r="E1416" s="1" t="str">
        <f ca="1">IFERROR(__xludf.DUMMYFUNCTION("""COMPUTED_VALUE"""),"годен  до   30.03.2026 ")</f>
        <v xml:space="preserve">годен  до   30.03.2026 </v>
      </c>
      <c r="F1416" s="1" t="str">
        <f ca="1">IFERROR(__xludf.DUMMYFUNCTION("""COMPUTED_VALUE"""),"М 0201 XS/M Гигеническая маска, черная - 0321022KZ022")</f>
        <v>М 0201 XS/M Гигеническая маска, черная - 0321022KZ022</v>
      </c>
      <c r="G1416" s="1" t="str">
        <f ca="1">IFERROR(__xludf.DUMMYFUNCTION("""COMPUTED_VALUE"""),"KZ.3510317.05.01.30838 / Действителен до 14.05.2022 / 0321022KZ022 / годен  до   30.03.2026 ")</f>
        <v xml:space="preserve">KZ.3510317.05.01.30838 / Действителен до 14.05.2022 / 0321022KZ022 / годен  до   30.03.2026 </v>
      </c>
      <c r="H1416" s="1" t="str">
        <f ca="1">IFERROR(__xludf.DUMMYFUNCTION("""COMPUTED_VALUE"""),"М 0201 XS/M Гигеническая маска, черная KZ.3510317.05.01.30838 / Действителен до 14.05.2022 / 0321022KZ022 / годен  до   30.03.2026 ")</f>
        <v xml:space="preserve">М 0201 XS/M Гигеническая маска, черная KZ.3510317.05.01.30838 / Действителен до 14.05.2022 / 0321022KZ022 / годен  до   30.03.2026 </v>
      </c>
    </row>
    <row r="1417" spans="1:8" ht="12.75" x14ac:dyDescent="0.2">
      <c r="A1417" s="1" t="str">
        <f ca="1">IFERROR(__xludf.DUMMYFUNCTION("""COMPUTED_VALUE"""),"М 0201 XS/M Гигеническая маска, черная")</f>
        <v>М 0201 XS/M Гигеническая маска, черная</v>
      </c>
      <c r="B1417" s="1" t="str">
        <f ca="1">IFERROR(__xludf.DUMMYFUNCTION("""COMPUTED_VALUE"""),"KZ.3510317.05.01.30617")</f>
        <v>KZ.3510317.05.01.30617</v>
      </c>
      <c r="C1417" s="1" t="str">
        <f ca="1">IFERROR(__xludf.DUMMYFUNCTION("""COMPUTED_VALUE"""),"Действителен до 2.11.2021")</f>
        <v>Действителен до 2.11.2021</v>
      </c>
      <c r="D1417" s="8" t="str">
        <f ca="1">IFERROR(__xludf.DUMMYFUNCTION("""COMPUTED_VALUE"""),"1020089KZ89")</f>
        <v>1020089KZ89</v>
      </c>
      <c r="E1417" s="1" t="str">
        <f ca="1">IFERROR(__xludf.DUMMYFUNCTION("""COMPUTED_VALUE"""),"годен  до   07.10.2025")</f>
        <v>годен  до   07.10.2025</v>
      </c>
      <c r="F1417" s="1" t="str">
        <f ca="1">IFERROR(__xludf.DUMMYFUNCTION("""COMPUTED_VALUE"""),"М 0201 XS/M Гигеническая маска, черная - 1020089KZ89")</f>
        <v>М 0201 XS/M Гигеническая маска, черная - 1020089KZ89</v>
      </c>
      <c r="G1417" s="1" t="str">
        <f ca="1">IFERROR(__xludf.DUMMYFUNCTION("""COMPUTED_VALUE"""),"KZ.3510317.05.01.30617 / Действителен до 2.11.2021 / 1020089KZ89 / годен  до   07.10.2025")</f>
        <v>KZ.3510317.05.01.30617 / Действителен до 2.11.2021 / 1020089KZ89 / годен  до   07.10.2025</v>
      </c>
      <c r="H1417" s="1" t="str">
        <f ca="1">IFERROR(__xludf.DUMMYFUNCTION("""COMPUTED_VALUE"""),"М 0201 XS/M Гигеническая маска, черная KZ.3510317.05.01.30617 / Действителен до 2.11.2021 / 1020089KZ89 / годен  до   07.10.2025")</f>
        <v>М 0201 XS/M Гигеническая маска, черная KZ.3510317.05.01.30617 / Действителен до 2.11.2021 / 1020089KZ89 / годен  до   07.10.2025</v>
      </c>
    </row>
    <row r="1418" spans="1:8" ht="12.75" x14ac:dyDescent="0.2">
      <c r="A1418" s="1" t="str">
        <f ca="1">IFERROR(__xludf.DUMMYFUNCTION("""COMPUTED_VALUE"""),"М 0201 L/XL Гигеническая маска, черная")</f>
        <v>М 0201 L/XL Гигеническая маска, черная</v>
      </c>
      <c r="B1418" s="1" t="str">
        <f ca="1">IFERROR(__xludf.DUMMYFUNCTION("""COMPUTED_VALUE"""),"KZ.3510317.05.01.30617")</f>
        <v>KZ.3510317.05.01.30617</v>
      </c>
      <c r="C1418" s="1" t="str">
        <f ca="1">IFERROR(__xludf.DUMMYFUNCTION("""COMPUTED_VALUE"""),"Действителен до 2.11.2021")</f>
        <v>Действителен до 2.11.2021</v>
      </c>
      <c r="D1418" s="8" t="str">
        <f ca="1">IFERROR(__xludf.DUMMYFUNCTION("""COMPUTED_VALUE"""),"1020089KZ89")</f>
        <v>1020089KZ89</v>
      </c>
      <c r="E1418" s="1" t="str">
        <f ca="1">IFERROR(__xludf.DUMMYFUNCTION("""COMPUTED_VALUE"""),"годен  до   07.10.2025")</f>
        <v>годен  до   07.10.2025</v>
      </c>
      <c r="F1418" s="1" t="str">
        <f ca="1">IFERROR(__xludf.DUMMYFUNCTION("""COMPUTED_VALUE"""),"М 0201 L/XL Гигеническая маска, черная - 1020089KZ89")</f>
        <v>М 0201 L/XL Гигеническая маска, черная - 1020089KZ89</v>
      </c>
      <c r="G1418" s="1" t="str">
        <f ca="1">IFERROR(__xludf.DUMMYFUNCTION("""COMPUTED_VALUE"""),"KZ.3510317.05.01.30617 / Действителен до 2.11.2021 / 1020089KZ89 / годен  до   07.10.2025")</f>
        <v>KZ.3510317.05.01.30617 / Действителен до 2.11.2021 / 1020089KZ89 / годен  до   07.10.2025</v>
      </c>
      <c r="H1418" s="1" t="str">
        <f ca="1">IFERROR(__xludf.DUMMYFUNCTION("""COMPUTED_VALUE"""),"М 0201 L/XL Гигеническая маска, черная KZ.3510317.05.01.30617 / Действителен до 2.11.2021 / 1020089KZ89 / годен  до   07.10.2025")</f>
        <v>М 0201 L/XL Гигеническая маска, черная KZ.3510317.05.01.30617 / Действителен до 2.11.2021 / 1020089KZ89 / годен  до   07.10.2025</v>
      </c>
    </row>
    <row r="1419" spans="1:8" ht="12.75" x14ac:dyDescent="0.2">
      <c r="A1419" s="1" t="str">
        <f ca="1">IFERROR(__xludf.DUMMYFUNCTION("""COMPUTED_VALUE"""),"М 0201 XS/M Гигиеническая маска, бежевая")</f>
        <v>М 0201 XS/M Гигиеническая маска, бежевая</v>
      </c>
      <c r="B1419" s="1" t="str">
        <f ca="1">IFERROR(__xludf.DUMMYFUNCTION("""COMPUTED_VALUE"""),"KZ.3510317.05.01.30617")</f>
        <v>KZ.3510317.05.01.30617</v>
      </c>
      <c r="C1419" s="1" t="str">
        <f ca="1">IFERROR(__xludf.DUMMYFUNCTION("""COMPUTED_VALUE"""),"Действителен до 2.11.2021")</f>
        <v>Действителен до 2.11.2021</v>
      </c>
      <c r="D1419" s="8" t="str">
        <f ca="1">IFERROR(__xludf.DUMMYFUNCTION("""COMPUTED_VALUE"""),"1020089KZ89")</f>
        <v>1020089KZ89</v>
      </c>
      <c r="E1419" s="1" t="str">
        <f ca="1">IFERROR(__xludf.DUMMYFUNCTION("""COMPUTED_VALUE"""),"годен  до   07.10.2025")</f>
        <v>годен  до   07.10.2025</v>
      </c>
      <c r="F1419" s="1" t="str">
        <f ca="1">IFERROR(__xludf.DUMMYFUNCTION("""COMPUTED_VALUE"""),"М 0201 XS/M Гигиеническая маска, бежевая - 1020089KZ89")</f>
        <v>М 0201 XS/M Гигиеническая маска, бежевая - 1020089KZ89</v>
      </c>
      <c r="G1419" s="1" t="str">
        <f ca="1">IFERROR(__xludf.DUMMYFUNCTION("""COMPUTED_VALUE"""),"KZ.3510317.05.01.30617 / Действителен до 2.11.2021 / 1020089KZ89 / годен  до   07.10.2025")</f>
        <v>KZ.3510317.05.01.30617 / Действителен до 2.11.2021 / 1020089KZ89 / годен  до   07.10.2025</v>
      </c>
      <c r="H1419" s="1" t="str">
        <f ca="1">IFERROR(__xludf.DUMMYFUNCTION("""COMPUTED_VALUE"""),"М 0201 XS/M Гигиеническая маска, бежевая KZ.3510317.05.01.30617 / Действителен до 2.11.2021 / 1020089KZ89 / годен  до   07.10.2025")</f>
        <v>М 0201 XS/M Гигиеническая маска, бежевая KZ.3510317.05.01.30617 / Действителен до 2.11.2021 / 1020089KZ89 / годен  до   07.10.2025</v>
      </c>
    </row>
    <row r="1420" spans="1:8" ht="12.75" x14ac:dyDescent="0.2">
      <c r="A1420" s="1" t="str">
        <f ca="1">IFERROR(__xludf.DUMMYFUNCTION("""COMPUTED_VALUE"""),"М 0201 L/XL/M Гигиеническая маска, бежевая")</f>
        <v>М 0201 L/XL/M Гигиеническая маска, бежевая</v>
      </c>
      <c r="B1420" s="1" t="str">
        <f ca="1">IFERROR(__xludf.DUMMYFUNCTION("""COMPUTED_VALUE"""),"KZ.3510317.05.01.30617")</f>
        <v>KZ.3510317.05.01.30617</v>
      </c>
      <c r="C1420" s="1" t="str">
        <f ca="1">IFERROR(__xludf.DUMMYFUNCTION("""COMPUTED_VALUE"""),"Действителен до 2.11.2021")</f>
        <v>Действителен до 2.11.2021</v>
      </c>
      <c r="D1420" s="8" t="str">
        <f ca="1">IFERROR(__xludf.DUMMYFUNCTION("""COMPUTED_VALUE"""),"1020089KZ89")</f>
        <v>1020089KZ89</v>
      </c>
      <c r="E1420" s="1" t="str">
        <f ca="1">IFERROR(__xludf.DUMMYFUNCTION("""COMPUTED_VALUE"""),"годен  до   07.10.2025")</f>
        <v>годен  до   07.10.2025</v>
      </c>
      <c r="F1420" s="1" t="str">
        <f ca="1">IFERROR(__xludf.DUMMYFUNCTION("""COMPUTED_VALUE"""),"М 0201 L/XL/M Гигиеническая маска, бежевая - 1020089KZ89")</f>
        <v>М 0201 L/XL/M Гигиеническая маска, бежевая - 1020089KZ89</v>
      </c>
      <c r="G1420" s="1" t="str">
        <f ca="1">IFERROR(__xludf.DUMMYFUNCTION("""COMPUTED_VALUE"""),"KZ.3510317.05.01.30617 / Действителен до 2.11.2021 / 1020089KZ89 / годен  до   07.10.2025")</f>
        <v>KZ.3510317.05.01.30617 / Действителен до 2.11.2021 / 1020089KZ89 / годен  до   07.10.2025</v>
      </c>
      <c r="H1420" s="1" t="str">
        <f ca="1">IFERROR(__xludf.DUMMYFUNCTION("""COMPUTED_VALUE"""),"М 0201 L/XL/M Гигиеническая маска, бежевая KZ.3510317.05.01.30617 / Действителен до 2.11.2021 / 1020089KZ89 / годен  до   07.10.2025")</f>
        <v>М 0201 L/XL/M Гигиеническая маска, бежевая KZ.3510317.05.01.30617 / Действителен до 2.11.2021 / 1020089KZ89 / годен  до   07.10.2025</v>
      </c>
    </row>
    <row r="1421" spans="1:8" ht="12.75" x14ac:dyDescent="0.2">
      <c r="A1421" s="1" t="str">
        <f ca="1">IFERROR(__xludf.DUMMYFUNCTION("""COMPUTED_VALUE"""),"Адаптер МА20 Dr.Frei")</f>
        <v>Адаптер МА20 Dr.Frei</v>
      </c>
      <c r="B1421" s="1" t="str">
        <f ca="1">IFERROR(__xludf.DUMMYFUNCTION("""COMPUTED_VALUE"""),"KZ.7100317.21.01.31368")</f>
        <v>KZ.7100317.21.01.31368</v>
      </c>
      <c r="C1421" s="1" t="str">
        <f ca="1">IFERROR(__xludf.DUMMYFUNCTION("""COMPUTED_VALUE"""),"Действителен с 31.01.2017")</f>
        <v>Действителен с 31.01.2017</v>
      </c>
      <c r="D1421" s="8" t="str">
        <f ca="1">IFERROR(__xludf.DUMMYFUNCTION("""COMPUTED_VALUE"""),"дата изгот. 2016")</f>
        <v>дата изгот. 2016</v>
      </c>
      <c r="E1421" s="1" t="str">
        <f ca="1">IFERROR(__xludf.DUMMYFUNCTION("""COMPUTED_VALUE"""),"по неустоновлен")</f>
        <v>по неустоновлен</v>
      </c>
      <c r="F1421" s="1" t="str">
        <f ca="1">IFERROR(__xludf.DUMMYFUNCTION("""COMPUTED_VALUE"""),"Адаптер МА20 Dr.Frei - дата изгот. 2016")</f>
        <v>Адаптер МА20 Dr.Frei - дата изгот. 2016</v>
      </c>
      <c r="G1421" s="1" t="str">
        <f ca="1">IFERROR(__xludf.DUMMYFUNCTION("""COMPUTED_VALUE"""),"KZ.7100317.21.01.31368 / Действителен с 31.01.2017 / дата изгот. 2016 / по неустоновлен")</f>
        <v>KZ.7100317.21.01.31368 / Действителен с 31.01.2017 / дата изгот. 2016 / по неустоновлен</v>
      </c>
      <c r="H1421" s="1" t="str">
        <f ca="1">IFERROR(__xludf.DUMMYFUNCTION("""COMPUTED_VALUE"""),"Адаптер МА20 Dr.Frei KZ.7100317.21.01.31368 / Действителен с 31.01.2017 / дата изгот. 2016 / по неустоновлен")</f>
        <v>Адаптер МА20 Dr.Frei KZ.7100317.21.01.31368 / Действителен с 31.01.2017 / дата изгот. 2016 / по неустоновлен</v>
      </c>
    </row>
    <row r="1422" spans="1:8" ht="12.75" x14ac:dyDescent="0.2">
      <c r="A1422" s="1" t="str">
        <f ca="1">IFERROR(__xludf.DUMMYFUNCTION("""COMPUTED_VALUE"""),"Электронный термометр Dr.Frei Т-10")</f>
        <v>Электронный термометр Dr.Frei Т-10</v>
      </c>
      <c r="B1422" s="1" t="str">
        <f ca="1">IFERROR(__xludf.DUMMYFUNCTION("""COMPUTED_VALUE"""),"KZ.7700.02.01.00764034")</f>
        <v>KZ.7700.02.01.00764034</v>
      </c>
      <c r="C1422" s="1" t="str">
        <f ca="1">IFERROR(__xludf.DUMMYFUNCTION("""COMPUTED_VALUE"""),"Действителен до Бессрочно")</f>
        <v>Действителен до Бессрочно</v>
      </c>
      <c r="D1422" s="8" t="str">
        <f ca="1">IFERROR(__xludf.DUMMYFUNCTION("""COMPUTED_VALUE"""),"2105")</f>
        <v>2105</v>
      </c>
      <c r="E1422" s="1" t="str">
        <f ca="1">IFERROR(__xludf.DUMMYFUNCTION("""COMPUTED_VALUE"""),"без срока годности")</f>
        <v>без срока годности</v>
      </c>
      <c r="F1422" s="1" t="str">
        <f ca="1">IFERROR(__xludf.DUMMYFUNCTION("""COMPUTED_VALUE"""),"Электронный термометр Dr.Frei Т-10 - 2105")</f>
        <v>Электронный термометр Dr.Frei Т-10 - 2105</v>
      </c>
      <c r="G1422" s="1" t="str">
        <f ca="1">IFERROR(__xludf.DUMMYFUNCTION("""COMPUTED_VALUE"""),"KZ.7700.02.01.00764034 / Действителен до Бессрочно / 2105 / без срока годности")</f>
        <v>KZ.7700.02.01.00764034 / Действителен до Бессрочно / 2105 / без срока годности</v>
      </c>
      <c r="H1422" s="1" t="str">
        <f ca="1">IFERROR(__xludf.DUMMYFUNCTION("""COMPUTED_VALUE"""),"Электронный термометр Dr.Frei Т-10 KZ.7700.02.01.00764034 / Действителен до Бессрочно / 2105 / без срока годности")</f>
        <v>Электронный термометр Dr.Frei Т-10 KZ.7700.02.01.00764034 / Действителен до Бессрочно / 2105 / без срока годности</v>
      </c>
    </row>
    <row r="1423" spans="1:8" ht="12.75" x14ac:dyDescent="0.2">
      <c r="A1423" s="1" t="str">
        <f ca="1">IFERROR(__xludf.DUMMYFUNCTION("""COMPUTED_VALUE"""),"Электронный термометр Dr.Frei Т-20")</f>
        <v>Электронный термометр Dr.Frei Т-20</v>
      </c>
      <c r="B1423" s="1" t="str">
        <f ca="1">IFERROR(__xludf.DUMMYFUNCTION("""COMPUTED_VALUE"""),"KZ.7700.02.01.00764028")</f>
        <v>KZ.7700.02.01.00764028</v>
      </c>
      <c r="C1423" s="1" t="str">
        <f ca="1">IFERROR(__xludf.DUMMYFUNCTION("""COMPUTED_VALUE"""),"Действителен до Бессрочно")</f>
        <v>Действителен до Бессрочно</v>
      </c>
      <c r="D1423" s="8" t="str">
        <f ca="1">IFERROR(__xludf.DUMMYFUNCTION("""COMPUTED_VALUE"""),"2105")</f>
        <v>2105</v>
      </c>
      <c r="E1423" s="1" t="str">
        <f ca="1">IFERROR(__xludf.DUMMYFUNCTION("""COMPUTED_VALUE"""),"без срока годности")</f>
        <v>без срока годности</v>
      </c>
      <c r="F1423" s="1" t="str">
        <f ca="1">IFERROR(__xludf.DUMMYFUNCTION("""COMPUTED_VALUE"""),"Электронный термометр Dr.Frei Т-20 - 2105")</f>
        <v>Электронный термометр Dr.Frei Т-20 - 2105</v>
      </c>
      <c r="G1423" s="1" t="str">
        <f ca="1">IFERROR(__xludf.DUMMYFUNCTION("""COMPUTED_VALUE"""),"KZ.7700.02.01.00764028 / Действителен до Бессрочно / 2105 / без срока годности")</f>
        <v>KZ.7700.02.01.00764028 / Действителен до Бессрочно / 2105 / без срока годности</v>
      </c>
      <c r="H1423" s="1" t="str">
        <f ca="1">IFERROR(__xludf.DUMMYFUNCTION("""COMPUTED_VALUE"""),"Электронный термометр Dr.Frei Т-20 KZ.7700.02.01.00764028 / Действителен до Бессрочно / 2105 / без срока годности")</f>
        <v>Электронный термометр Dr.Frei Т-20 KZ.7700.02.01.00764028 / Действителен до Бессрочно / 2105 / без срока годности</v>
      </c>
    </row>
    <row r="1424" spans="1:8" ht="12.75" x14ac:dyDescent="0.2">
      <c r="A1424" s="1" t="str">
        <f ca="1">IFERROR(__xludf.DUMMYFUNCTION("""COMPUTED_VALUE"""),"Зубная паста торговой марки DENTISSIMO:PRO-WHITENING TOOTHPASTE")</f>
        <v>Зубная паста торговой марки DENTISSIMO:PRO-WHITENING TOOTHPASTE</v>
      </c>
      <c r="B1424" s="1" t="str">
        <f ca="1">IFERROR(__xludf.DUMMYFUNCTION("""COMPUTED_VALUE"""),"KZ.7100317.23.01.16267")</f>
        <v>KZ.7100317.23.01.16267</v>
      </c>
      <c r="C1424" s="1" t="str">
        <f ca="1">IFERROR(__xludf.DUMMYFUNCTION("""COMPUTED_VALUE"""),"Действителен по 24.05.2022")</f>
        <v>Действителен по 24.05.2022</v>
      </c>
      <c r="D1424" s="8" t="str">
        <f ca="1">IFERROR(__xludf.DUMMYFUNCTION("""COMPUTED_VALUE"""),"08-2024")</f>
        <v>08-2024</v>
      </c>
      <c r="E1424" s="9">
        <f ca="1">IFERROR(__xludf.DUMMYFUNCTION("""COMPUTED_VALUE"""),45505)</f>
        <v>45505</v>
      </c>
      <c r="F1424" s="1" t="str">
        <f ca="1">IFERROR(__xludf.DUMMYFUNCTION("""COMPUTED_VALUE"""),"Зубная паста торговой марки DENTISSIMO:PRO-WHITENING TOOTHPASTE - 08-2024")</f>
        <v>Зубная паста торговой марки DENTISSIMO:PRO-WHITENING TOOTHPASTE - 08-2024</v>
      </c>
      <c r="G1424" s="1" t="str">
        <f ca="1">IFERROR(__xludf.DUMMYFUNCTION("""COMPUTED_VALUE"""),"KZ.7100317.23.01.16267 / Действителен по 24.05.2022 / 08-2024 / 45505")</f>
        <v>KZ.7100317.23.01.16267 / Действителен по 24.05.2022 / 08-2024 / 45505</v>
      </c>
      <c r="H1424" s="1" t="str">
        <f ca="1">IFERROR(__xludf.DUMMYFUNCTION("""COMPUTED_VALUE"""),"Зубная паста торговой марки DENTISSIMO:PRO-WHITENING TOOTHPASTE KZ.7100317.23.01.16267 / Действителен по 24.05.2022 / 08-2024 / 45505")</f>
        <v>Зубная паста торговой марки DENTISSIMO:PRO-WHITENING TOOTHPASTE KZ.7100317.23.01.16267 / Действителен по 24.05.2022 / 08-2024 / 45505</v>
      </c>
    </row>
    <row r="1425" spans="1:8" ht="12.75" x14ac:dyDescent="0.2">
      <c r="A1425" s="1" t="str">
        <f ca="1">IFERROR(__xludf.DUMMYFUNCTION("""COMPUTED_VALUE"""),"Зубная паста торговой марки DENTISSIMO: BIO-NATURAL WITH HERBS TOOTHPASTE")</f>
        <v>Зубная паста торговой марки DENTISSIMO: BIO-NATURAL WITH HERBS TOOTHPASTE</v>
      </c>
      <c r="B1425" s="1" t="str">
        <f ca="1">IFERROR(__xludf.DUMMYFUNCTION("""COMPUTED_VALUE"""),"KZ.7100317.23.01.16267")</f>
        <v>KZ.7100317.23.01.16267</v>
      </c>
      <c r="C1425" s="1" t="str">
        <f ca="1">IFERROR(__xludf.DUMMYFUNCTION("""COMPUTED_VALUE"""),"Действителен по 24.05.2022")</f>
        <v>Действителен по 24.05.2022</v>
      </c>
      <c r="D1425" s="8" t="str">
        <f ca="1">IFERROR(__xludf.DUMMYFUNCTION("""COMPUTED_VALUE"""),"08-2024")</f>
        <v>08-2024</v>
      </c>
      <c r="E1425" s="9">
        <f ca="1">IFERROR(__xludf.DUMMYFUNCTION("""COMPUTED_VALUE"""),45505)</f>
        <v>45505</v>
      </c>
      <c r="F1425" s="1" t="str">
        <f ca="1">IFERROR(__xludf.DUMMYFUNCTION("""COMPUTED_VALUE"""),"Зубная паста торговой марки DENTISSIMO: BIO-NATURAL WITH HERBS TOOTHPASTE - 08-2024")</f>
        <v>Зубная паста торговой марки DENTISSIMO: BIO-NATURAL WITH HERBS TOOTHPASTE - 08-2024</v>
      </c>
      <c r="G1425" s="1" t="str">
        <f ca="1">IFERROR(__xludf.DUMMYFUNCTION("""COMPUTED_VALUE"""),"KZ.7100317.23.01.16267 / Действителен по 24.05.2022 / 08-2024 / 45505")</f>
        <v>KZ.7100317.23.01.16267 / Действителен по 24.05.2022 / 08-2024 / 45505</v>
      </c>
      <c r="H1425" s="1" t="str">
        <f ca="1">IFERROR(__xludf.DUMMYFUNCTION("""COMPUTED_VALUE"""),"Зубная паста торговой марки DENTISSIMO: BIO-NATURAL WITH HERBS TOOTHPASTE KZ.7100317.23.01.16267 / Действителен по 24.05.2022 / 08-2024 / 45505")</f>
        <v>Зубная паста торговой марки DENTISSIMO: BIO-NATURAL WITH HERBS TOOTHPASTE KZ.7100317.23.01.16267 / Действителен по 24.05.2022 / 08-2024 / 45505</v>
      </c>
    </row>
    <row r="1426" spans="1:8" ht="12.75" x14ac:dyDescent="0.2">
      <c r="A1426" s="1" t="str">
        <f ca="1">IFERROR(__xludf.DUMMYFUNCTION("""COMPUTED_VALUE"""),"Зубная паста торговой марки DENTISSIMO:PRO-CARE TEETH&amp;GUM TOOTHPASTE")</f>
        <v>Зубная паста торговой марки DENTISSIMO:PRO-CARE TEETH&amp;GUM TOOTHPASTE</v>
      </c>
      <c r="B1426" s="1" t="str">
        <f ca="1">IFERROR(__xludf.DUMMYFUNCTION("""COMPUTED_VALUE"""),"KZ.7100317.23.01.16267")</f>
        <v>KZ.7100317.23.01.16267</v>
      </c>
      <c r="C1426" s="1" t="str">
        <f ca="1">IFERROR(__xludf.DUMMYFUNCTION("""COMPUTED_VALUE"""),"Действителен по 24.05.2022")</f>
        <v>Действителен по 24.05.2022</v>
      </c>
      <c r="D1426" s="8" t="str">
        <f ca="1">IFERROR(__xludf.DUMMYFUNCTION("""COMPUTED_VALUE"""),"08-2024")</f>
        <v>08-2024</v>
      </c>
      <c r="E1426" s="9">
        <f ca="1">IFERROR(__xludf.DUMMYFUNCTION("""COMPUTED_VALUE"""),45505)</f>
        <v>45505</v>
      </c>
      <c r="F1426" s="1" t="str">
        <f ca="1">IFERROR(__xludf.DUMMYFUNCTION("""COMPUTED_VALUE"""),"Зубная паста торговой марки DENTISSIMO:PRO-CARE TEETH&amp;GUM TOOTHPASTE - 08-2024")</f>
        <v>Зубная паста торговой марки DENTISSIMO:PRO-CARE TEETH&amp;GUM TOOTHPASTE - 08-2024</v>
      </c>
      <c r="G1426" s="1" t="str">
        <f ca="1">IFERROR(__xludf.DUMMYFUNCTION("""COMPUTED_VALUE"""),"KZ.7100317.23.01.16267 / Действителен по 24.05.2022 / 08-2024 / 45505")</f>
        <v>KZ.7100317.23.01.16267 / Действителен по 24.05.2022 / 08-2024 / 45505</v>
      </c>
      <c r="H1426" s="1" t="str">
        <f ca="1">IFERROR(__xludf.DUMMYFUNCTION("""COMPUTED_VALUE"""),"Зубная паста торговой марки DENTISSIMO:PRO-CARE TEETH&amp;GUM TOOTHPASTE KZ.7100317.23.01.16267 / Действителен по 24.05.2022 / 08-2024 / 45505")</f>
        <v>Зубная паста торговой марки DENTISSIMO:PRO-CARE TEETH&amp;GUM TOOTHPASTE KZ.7100317.23.01.16267 / Действителен по 24.05.2022 / 08-2024 / 45505</v>
      </c>
    </row>
    <row r="1427" spans="1:8" ht="12.75" x14ac:dyDescent="0.2">
      <c r="A1427" s="1" t="str">
        <f ca="1">IFERROR(__xludf.DUMMYFUNCTION("""COMPUTED_VALUE"""),"Зубная паста-гель торговой марки DENTISSIMO: Для беременных женщин и молодых мам")</f>
        <v>Зубная паста-гель торговой марки DENTISSIMO: Для беременных женщин и молодых мам</v>
      </c>
      <c r="B1427" s="1" t="str">
        <f ca="1">IFERROR(__xludf.DUMMYFUNCTION("""COMPUTED_VALUE"""),"KZ.7500995.23.01.40888 ")</f>
        <v xml:space="preserve">KZ.7500995.23.01.40888 </v>
      </c>
      <c r="C1427" s="1" t="str">
        <f ca="1">IFERROR(__xludf.DUMMYFUNCTION("""COMPUTED_VALUE"""),"Действителен по 18.09.2021")</f>
        <v>Действителен по 18.09.2021</v>
      </c>
      <c r="D1427" s="8" t="str">
        <f ca="1">IFERROR(__xludf.DUMMYFUNCTION("""COMPUTED_VALUE"""),"09-2023")</f>
        <v>09-2023</v>
      </c>
      <c r="E1427" s="9">
        <f ca="1">IFERROR(__xludf.DUMMYFUNCTION("""COMPUTED_VALUE"""),45170)</f>
        <v>45170</v>
      </c>
      <c r="F1427" s="1" t="str">
        <f ca="1">IFERROR(__xludf.DUMMYFUNCTION("""COMPUTED_VALUE"""),"Зубная паста-гель торговой марки DENTISSIMO: Для беременных женщин и молодых мам - 09-2023")</f>
        <v>Зубная паста-гель торговой марки DENTISSIMO: Для беременных женщин и молодых мам - 09-2023</v>
      </c>
      <c r="G1427" s="1" t="str">
        <f ca="1">IFERROR(__xludf.DUMMYFUNCTION("""COMPUTED_VALUE"""),"KZ.7500995.23.01.40888  / Действителен по 18.09.2021 / 09-2023 / 45170")</f>
        <v>KZ.7500995.23.01.40888  / Действителен по 18.09.2021 / 09-2023 / 45170</v>
      </c>
      <c r="H1427" s="1" t="str">
        <f ca="1">IFERROR(__xludf.DUMMYFUNCTION("""COMPUTED_VALUE"""),"Зубная паста-гель торговой марки DENTISSIMO: Для беременных женщин и молодых мам KZ.7500995.23.01.40888  / Действителен по 18.09.2021 / 09-2023 / 45170")</f>
        <v>Зубная паста-гель торговой марки DENTISSIMO: Для беременных женщин и молодых мам KZ.7500995.23.01.40888  / Действителен по 18.09.2021 / 09-2023 / 45170</v>
      </c>
    </row>
    <row r="1428" spans="1:8" ht="12.75" x14ac:dyDescent="0.2">
      <c r="A1428" s="1" t="str">
        <f ca="1">IFERROR(__xludf.DUMMYFUNCTION("""COMPUTED_VALUE"""),"Зубная паста торговой марки DENTISSIMO: COMPLETE CARE PLUS TOOTHPASTE")</f>
        <v>Зубная паста торговой марки DENTISSIMO: COMPLETE CARE PLUS TOOTHPASTE</v>
      </c>
      <c r="B1428" s="1" t="str">
        <f ca="1">IFERROR(__xludf.DUMMYFUNCTION("""COMPUTED_VALUE"""),"KZ.7500995.23.01.40888 ")</f>
        <v xml:space="preserve">KZ.7500995.23.01.40888 </v>
      </c>
      <c r="C1428" s="1" t="str">
        <f ca="1">IFERROR(__xludf.DUMMYFUNCTION("""COMPUTED_VALUE"""),"Действителен по 18.09.2021")</f>
        <v>Действителен по 18.09.2021</v>
      </c>
      <c r="D1428" s="8" t="str">
        <f ca="1">IFERROR(__xludf.DUMMYFUNCTION("""COMPUTED_VALUE"""),"08-2023")</f>
        <v>08-2023</v>
      </c>
      <c r="E1428" s="9">
        <f ca="1">IFERROR(__xludf.DUMMYFUNCTION("""COMPUTED_VALUE"""),45139)</f>
        <v>45139</v>
      </c>
      <c r="F1428" s="1" t="str">
        <f ca="1">IFERROR(__xludf.DUMMYFUNCTION("""COMPUTED_VALUE"""),"Зубная паста торговой марки DENTISSIMO: COMPLETE CARE PLUS TOOTHPASTE - 08-2023")</f>
        <v>Зубная паста торговой марки DENTISSIMO: COMPLETE CARE PLUS TOOTHPASTE - 08-2023</v>
      </c>
      <c r="G1428" s="1" t="str">
        <f ca="1">IFERROR(__xludf.DUMMYFUNCTION("""COMPUTED_VALUE"""),"KZ.7500995.23.01.40888  / Действителен по 18.09.2021 / 08-2023 / 45139")</f>
        <v>KZ.7500995.23.01.40888  / Действителен по 18.09.2021 / 08-2023 / 45139</v>
      </c>
      <c r="H1428" s="1" t="str">
        <f ca="1">IFERROR(__xludf.DUMMYFUNCTION("""COMPUTED_VALUE"""),"Зубная паста торговой марки DENTISSIMO: COMPLETE CARE PLUS TOOTHPASTE KZ.7500995.23.01.40888  / Действителен по 18.09.2021 / 08-2023 / 45139")</f>
        <v>Зубная паста торговой марки DENTISSIMO: COMPLETE CARE PLUS TOOTHPASTE KZ.7500995.23.01.40888  / Действителен по 18.09.2021 / 08-2023 / 45139</v>
      </c>
    </row>
    <row r="1429" spans="1:8" ht="12.75" x14ac:dyDescent="0.2">
      <c r="A1429" s="1" t="str">
        <f ca="1">IFERROR(__xludf.DUMMYFUNCTION("""COMPUTED_VALUE"""),"Детская зубная щетка торговой марки DENTISSIMO: KIDS Timer Soft (3-6) Years")</f>
        <v>Детская зубная щетка торговой марки DENTISSIMO: KIDS Timer Soft (3-6) Years</v>
      </c>
      <c r="B1429" s="1" t="str">
        <f ca="1">IFERROR(__xludf.DUMMYFUNCTION("""COMPUTED_VALUE"""),"KZ.7500317.23.01.31319 ")</f>
        <v xml:space="preserve">KZ.7500317.23.01.31319 </v>
      </c>
      <c r="C1429" s="1" t="str">
        <f ca="1">IFERROR(__xludf.DUMMYFUNCTION("""COMPUTED_VALUE"""),"Действителен по 23.06.2022")</f>
        <v>Действителен по 23.06.2022</v>
      </c>
      <c r="D1429" s="8" t="str">
        <f ca="1">IFERROR(__xludf.DUMMYFUNCTION("""COMPUTED_VALUE"""),"20-09-2020")</f>
        <v>20-09-2020</v>
      </c>
      <c r="E1429" s="1" t="str">
        <f ca="1">IFERROR(__xludf.DUMMYFUNCTION("""COMPUTED_VALUE"""),"Срок годн. не ограничен")</f>
        <v>Срок годн. не ограничен</v>
      </c>
      <c r="F1429" s="1" t="str">
        <f ca="1">IFERROR(__xludf.DUMMYFUNCTION("""COMPUTED_VALUE"""),"Детская зубная щетка торговой марки DENTISSIMO: KIDS Timer Soft (3-6) Years - 20-09-2020")</f>
        <v>Детская зубная щетка торговой марки DENTISSIMO: KIDS Timer Soft (3-6) Years - 20-09-2020</v>
      </c>
      <c r="G1429" s="1" t="str">
        <f ca="1">IFERROR(__xludf.DUMMYFUNCTION("""COMPUTED_VALUE"""),"KZ.7500317.23.01.31319  / Действителен по 23.06.2022 / 20-09-2020 / Срок годн. не ограничен")</f>
        <v>KZ.7500317.23.01.31319  / Действителен по 23.06.2022 / 20-09-2020 / Срок годн. не ограничен</v>
      </c>
      <c r="H1429" s="1" t="str">
        <f ca="1">IFERROR(__xludf.DUMMYFUNCTION("""COMPUTED_VALUE"""),"Детская зубная щетка торговой марки DENTISSIMO: KIDS Timer Soft (3-6) Years KZ.7500317.23.01.31319  / Действителен по 23.06.2022 / 20-09-2020 / Срок годн. не ограничен")</f>
        <v>Детская зубная щетка торговой марки DENTISSIMO: KIDS Timer Soft (3-6) Years KZ.7500317.23.01.31319  / Действителен по 23.06.2022 / 20-09-2020 / Срок годн. не ограничен</v>
      </c>
    </row>
    <row r="1430" spans="1:8" ht="12.75" x14ac:dyDescent="0.2">
      <c r="A1430" s="1" t="str">
        <f ca="1">IFERROR(__xludf.DUMMYFUNCTION("""COMPUTED_VALUE"""),"Детские зубные щетки торговой марки DENTISSIMO : KIDS SOFT 2-6")</f>
        <v>Детские зубные щетки торговой марки DENTISSIMO : KIDS SOFT 2-6</v>
      </c>
      <c r="B1430" s="1" t="str">
        <f ca="1">IFERROR(__xludf.DUMMYFUNCTION("""COMPUTED_VALUE"""),"KZ.7100317.23.01.16266  ")</f>
        <v xml:space="preserve">KZ.7100317.23.01.16266  </v>
      </c>
      <c r="C1430" s="1" t="str">
        <f ca="1">IFERROR(__xludf.DUMMYFUNCTION("""COMPUTED_VALUE"""),"Действителен по 24.05.2022")</f>
        <v>Действителен по 24.05.2022</v>
      </c>
      <c r="D1430" s="8" t="str">
        <f ca="1">IFERROR(__xludf.DUMMYFUNCTION("""COMPUTED_VALUE"""),"28-01-2019")</f>
        <v>28-01-2019</v>
      </c>
      <c r="E1430" s="1" t="str">
        <f ca="1">IFERROR(__xludf.DUMMYFUNCTION("""COMPUTED_VALUE"""),"Срок годн. не ограничен")</f>
        <v>Срок годн. не ограничен</v>
      </c>
      <c r="F1430" s="1" t="str">
        <f ca="1">IFERROR(__xludf.DUMMYFUNCTION("""COMPUTED_VALUE"""),"Детские зубные щетки торговой марки DENTISSIMO : KIDS SOFT 2-6 - 28-01-2019")</f>
        <v>Детские зубные щетки торговой марки DENTISSIMO : KIDS SOFT 2-6 - 28-01-2019</v>
      </c>
      <c r="G1430" s="1" t="str">
        <f ca="1">IFERROR(__xludf.DUMMYFUNCTION("""COMPUTED_VALUE"""),"KZ.7100317.23.01.16266   / Действителен по 24.05.2022 / 28-01-2019 / Срок годн. не ограничен")</f>
        <v>KZ.7100317.23.01.16266   / Действителен по 24.05.2022 / 28-01-2019 / Срок годн. не ограничен</v>
      </c>
      <c r="H1430" s="1" t="str">
        <f ca="1">IFERROR(__xludf.DUMMYFUNCTION("""COMPUTED_VALUE"""),"Детские зубные щетки торговой марки DENTISSIMO : KIDS SOFT 2-6 KZ.7100317.23.01.16266   / Действителен по 24.05.2022 / 28-01-2019 / Срок годн. не ограничен")</f>
        <v>Детские зубные щетки торговой марки DENTISSIMO : KIDS SOFT 2-6 KZ.7100317.23.01.16266   / Действителен по 24.05.2022 / 28-01-2019 / Срок годн. не ограничен</v>
      </c>
    </row>
    <row r="1431" spans="1:8" ht="12.75" x14ac:dyDescent="0.2">
      <c r="A1431" s="1" t="str">
        <f ca="1">IFERROR(__xludf.DUMMYFUNCTION("""COMPUTED_VALUE"""),"Адаптер GAMMA")</f>
        <v>Адаптер GAMMA</v>
      </c>
      <c r="B1431" s="1" t="str">
        <f ca="1">IFERROR(__xludf.DUMMYFUNCTION("""COMPUTED_VALUE"""),"KZ.7500506.21.01.11494  ")</f>
        <v xml:space="preserve">KZ.7500506.21.01.11494  </v>
      </c>
      <c r="C1431" s="1" t="str">
        <f ca="1">IFERROR(__xludf.DUMMYFUNCTION("""COMPUTED_VALUE"""),"Действителен по неустановлен")</f>
        <v>Действителен по неустановлен</v>
      </c>
      <c r="D1431" s="8" t="str">
        <f ca="1">IFERROR(__xludf.DUMMYFUNCTION("""COMPUTED_VALUE"""),"no")</f>
        <v>no</v>
      </c>
      <c r="E1431" s="1"/>
      <c r="F1431" s="1" t="str">
        <f ca="1">IFERROR(__xludf.DUMMYFUNCTION("""COMPUTED_VALUE"""),"Адаптер GAMMA - no")</f>
        <v>Адаптер GAMMA - no</v>
      </c>
      <c r="G1431" s="1" t="str">
        <f ca="1">IFERROR(__xludf.DUMMYFUNCTION("""COMPUTED_VALUE"""),"KZ.7500506.21.01.11494   / Действителен по неустановлен / no / ")</f>
        <v xml:space="preserve">KZ.7500506.21.01.11494   / Действителен по неустановлен / no / </v>
      </c>
      <c r="H1431" s="1" t="str">
        <f ca="1">IFERROR(__xludf.DUMMYFUNCTION("""COMPUTED_VALUE"""),"Адаптер GAMMA KZ.7500506.21.01.11494   / Действителен по неустановлен / no / ")</f>
        <v xml:space="preserve">Адаптер GAMMA KZ.7500506.21.01.11494   / Действителен по неустановлен / no / </v>
      </c>
    </row>
    <row r="1432" spans="1:8" ht="12.75" x14ac:dyDescent="0.2">
      <c r="A1432" s="1" t="str">
        <f ca="1">IFERROR(__xludf.DUMMYFUNCTION("""COMPUTED_VALUE"""),"Тест-полоски GAMMA MS")</f>
        <v>Тест-полоски GAMMA MS</v>
      </c>
      <c r="B1432" s="1"/>
      <c r="C1432" s="1"/>
      <c r="D1432" s="8" t="str">
        <f ca="1">IFERROR(__xludf.DUMMYFUNCTION("""COMPUTED_VALUE"""),"не подлежит сертификации, не относится к мед.изделиям")</f>
        <v>не подлежит сертификации, не относится к мед.изделиям</v>
      </c>
      <c r="E1432" s="1"/>
      <c r="F1432" s="1" t="str">
        <f ca="1">IFERROR(__xludf.DUMMYFUNCTION("""COMPUTED_VALUE"""),"Тест-полоски GAMMA MS - не подлежит сертификации, не относится к мед.изделиям")</f>
        <v>Тест-полоски GAMMA MS - не подлежит сертификации, не относится к мед.изделиям</v>
      </c>
      <c r="G1432" s="1" t="str">
        <f ca="1">IFERROR(__xludf.DUMMYFUNCTION("""COMPUTED_VALUE""")," /  / не подлежит сертификации, не относится к мед.изделиям / ")</f>
        <v xml:space="preserve"> /  / не подлежит сертификации, не относится к мед.изделиям / </v>
      </c>
      <c r="H1432" s="1" t="str">
        <f ca="1">IFERROR(__xludf.DUMMYFUNCTION("""COMPUTED_VALUE"""),"Тест-полоски GAMMA MS  /  / не подлежит сертификации, не относится к мед.изделиям / ")</f>
        <v xml:space="preserve">Тест-полоски GAMMA MS  /  / не подлежит сертификации, не относится к мед.изделиям / </v>
      </c>
    </row>
    <row r="1433" spans="1:8" ht="12.75" x14ac:dyDescent="0.2">
      <c r="A1433" s="1" t="str">
        <f ca="1">IFERROR(__xludf.DUMMYFUNCTION("""COMPUTED_VALUE"""),"Детские зубные щетки торговой марки DENTISSIMO : JUNIOR SOFT 6+")</f>
        <v>Детские зубные щетки торговой марки DENTISSIMO : JUNIOR SOFT 6+</v>
      </c>
      <c r="B1433" s="1" t="str">
        <f ca="1">IFERROR(__xludf.DUMMYFUNCTION("""COMPUTED_VALUE"""),"KZ.7500317.23.01.31318")</f>
        <v>KZ.7500317.23.01.31318</v>
      </c>
      <c r="C1433" s="1" t="str">
        <f ca="1">IFERROR(__xludf.DUMMYFUNCTION("""COMPUTED_VALUE"""),"Действителен по 23.06.2022")</f>
        <v>Действителен по 23.06.2022</v>
      </c>
      <c r="D1433" s="8" t="str">
        <f ca="1">IFERROR(__xludf.DUMMYFUNCTION("""COMPUTED_VALUE"""),"28-01-2019")</f>
        <v>28-01-2019</v>
      </c>
      <c r="E1433" s="1" t="str">
        <f ca="1">IFERROR(__xludf.DUMMYFUNCTION("""COMPUTED_VALUE"""),"Срок годн. не ограничен")</f>
        <v>Срок годн. не ограничен</v>
      </c>
      <c r="F1433" s="1" t="str">
        <f ca="1">IFERROR(__xludf.DUMMYFUNCTION("""COMPUTED_VALUE"""),"Детские зубные щетки торговой марки DENTISSIMO : JUNIOR SOFT 6+ - 28-01-2019")</f>
        <v>Детские зубные щетки торговой марки DENTISSIMO : JUNIOR SOFT 6+ - 28-01-2019</v>
      </c>
      <c r="G1433" s="1" t="str">
        <f ca="1">IFERROR(__xludf.DUMMYFUNCTION("""COMPUTED_VALUE"""),"KZ.7500317.23.01.31318 / Действителен по 23.06.2022 / 28-01-2019 / Срок годн. не ограничен")</f>
        <v>KZ.7500317.23.01.31318 / Действителен по 23.06.2022 / 28-01-2019 / Срок годн. не ограничен</v>
      </c>
      <c r="H1433" s="1" t="str">
        <f ca="1">IFERROR(__xludf.DUMMYFUNCTION("""COMPUTED_VALUE"""),"Детские зубные щетки торговой марки DENTISSIMO : JUNIOR SOFT 6+ KZ.7500317.23.01.31318 / Действителен по 23.06.2022 / 28-01-2019 / Срок годн. не ограничен")</f>
        <v>Детские зубные щетки торговой марки DENTISSIMO : JUNIOR SOFT 6+ KZ.7500317.23.01.31318 / Действителен по 23.06.2022 / 28-01-2019 / Срок годн. не ограничен</v>
      </c>
    </row>
    <row r="1434" spans="1:8" ht="12.75" x14ac:dyDescent="0.2">
      <c r="A1434" s="1" t="str">
        <f ca="1">IFERROR(__xludf.DUMMYFUNCTION("""COMPUTED_VALUE"""),"Детские зубные щетки торговой марки DENTISSIMO : JUNIOR SOFT 6+")</f>
        <v>Детские зубные щетки торговой марки DENTISSIMO : JUNIOR SOFT 6+</v>
      </c>
      <c r="B1434" s="1" t="str">
        <f ca="1">IFERROR(__xludf.DUMMYFUNCTION("""COMPUTED_VALUE"""),"KZ.7100317.23.01.16261")</f>
        <v>KZ.7100317.23.01.16261</v>
      </c>
      <c r="C1434" s="1" t="str">
        <f ca="1">IFERROR(__xludf.DUMMYFUNCTION("""COMPUTED_VALUE"""),"Действителен по15.01.2022")</f>
        <v>Действителен по15.01.2022</v>
      </c>
      <c r="D1434" s="8" t="str">
        <f ca="1">IFERROR(__xludf.DUMMYFUNCTION("""COMPUTED_VALUE"""),"12-02-2018")</f>
        <v>12-02-2018</v>
      </c>
      <c r="E1434" s="1" t="str">
        <f ca="1">IFERROR(__xludf.DUMMYFUNCTION("""COMPUTED_VALUE"""),"Срок годн. не ограничен")</f>
        <v>Срок годн. не ограничен</v>
      </c>
      <c r="F1434" s="1" t="str">
        <f ca="1">IFERROR(__xludf.DUMMYFUNCTION("""COMPUTED_VALUE"""),"Детские зубные щетки торговой марки DENTISSIMO : JUNIOR SOFT 6+ - 12-02-2018")</f>
        <v>Детские зубные щетки торговой марки DENTISSIMO : JUNIOR SOFT 6+ - 12-02-2018</v>
      </c>
      <c r="G1434" s="1" t="str">
        <f ca="1">IFERROR(__xludf.DUMMYFUNCTION("""COMPUTED_VALUE"""),"KZ.7100317.23.01.16261 / Действителен по15.01.2022 / 12-02-2018 / Срок годн. не ограничен")</f>
        <v>KZ.7100317.23.01.16261 / Действителен по15.01.2022 / 12-02-2018 / Срок годн. не ограничен</v>
      </c>
      <c r="H1434" s="1" t="str">
        <f ca="1">IFERROR(__xludf.DUMMYFUNCTION("""COMPUTED_VALUE"""),"Детские зубные щетки торговой марки DENTISSIMO : JUNIOR SOFT 6+ KZ.7100317.23.01.16261 / Действителен по15.01.2022 / 12-02-2018 / Срок годн. не ограничен")</f>
        <v>Детские зубные щетки торговой марки DENTISSIMO : JUNIOR SOFT 6+ KZ.7100317.23.01.16261 / Действителен по15.01.2022 / 12-02-2018 / Срок годн. не ограничен</v>
      </c>
    </row>
    <row r="1435" spans="1:8" ht="12.75" x14ac:dyDescent="0.2">
      <c r="A1435" s="1" t="str">
        <f ca="1">IFERROR(__xludf.DUMMYFUNCTION("""COMPUTED_VALUE"""),"Зубные щетки для взрослых торговой марки DENTISSIMO: PARODONTAL Centle Interdent")</f>
        <v>Зубные щетки для взрослых торговой марки DENTISSIMO: PARODONTAL Centle Interdent</v>
      </c>
      <c r="B1435" s="1" t="str">
        <f ca="1">IFERROR(__xludf.DUMMYFUNCTION("""COMPUTED_VALUE"""),"KZ.7500995.05.01.04483")</f>
        <v>KZ.7500995.05.01.04483</v>
      </c>
      <c r="C1435" s="1" t="str">
        <f ca="1">IFERROR(__xludf.DUMMYFUNCTION("""COMPUTED_VALUE"""),"Действителен по17.09.2021")</f>
        <v>Действителен по17.09.2021</v>
      </c>
      <c r="D1435" s="8" t="str">
        <f ca="1">IFERROR(__xludf.DUMMYFUNCTION("""COMPUTED_VALUE"""),"28-01-2019")</f>
        <v>28-01-2019</v>
      </c>
      <c r="E1435" s="1" t="str">
        <f ca="1">IFERROR(__xludf.DUMMYFUNCTION("""COMPUTED_VALUE"""),"Срок годн. не ограничен")</f>
        <v>Срок годн. не ограничен</v>
      </c>
      <c r="F1435" s="1" t="str">
        <f ca="1">IFERROR(__xludf.DUMMYFUNCTION("""COMPUTED_VALUE"""),"Зубные щетки для взрослых торговой марки DENTISSIMO: PARODONTAL Centle Interdent - 28-01-2019")</f>
        <v>Зубные щетки для взрослых торговой марки DENTISSIMO: PARODONTAL Centle Interdent - 28-01-2019</v>
      </c>
      <c r="G1435" s="1" t="str">
        <f ca="1">IFERROR(__xludf.DUMMYFUNCTION("""COMPUTED_VALUE"""),"KZ.7500995.05.01.04483 / Действителен по17.09.2021 / 28-01-2019 / Срок годн. не ограничен")</f>
        <v>KZ.7500995.05.01.04483 / Действителен по17.09.2021 / 28-01-2019 / Срок годн. не ограничен</v>
      </c>
      <c r="H1435" s="1" t="str">
        <f ca="1">IFERROR(__xludf.DUMMYFUNCTION("""COMPUTED_VALUE"""),"Зубные щетки для взрослых торговой марки DENTISSIMO: PARODONTAL Centle Interdent KZ.7500995.05.01.04483 / Действителен по17.09.2021 / 28-01-2019 / Срок годн. не ограничен")</f>
        <v>Зубные щетки для взрослых торговой марки DENTISSIMO: PARODONTAL Centle Interdent KZ.7500995.05.01.04483 / Действителен по17.09.2021 / 28-01-2019 / Срок годн. не ограничен</v>
      </c>
    </row>
    <row r="1436" spans="1:8" ht="12.75" x14ac:dyDescent="0.2">
      <c r="A1436" s="1" t="str">
        <f ca="1">IFERROR(__xludf.DUMMYFUNCTION("""COMPUTED_VALUE"""),"Зубные щетки для взрослых торговой марки DENTISSIMO: SILVER Tynex Hard Tartar")</f>
        <v>Зубные щетки для взрослых торговой марки DENTISSIMO: SILVER Tynex Hard Tartar</v>
      </c>
      <c r="B1436" s="1" t="str">
        <f ca="1">IFERROR(__xludf.DUMMYFUNCTION("""COMPUTED_VALUE"""),"KZ.7500995.05.01.04483")</f>
        <v>KZ.7500995.05.01.04483</v>
      </c>
      <c r="C1436" s="1" t="str">
        <f ca="1">IFERROR(__xludf.DUMMYFUNCTION("""COMPUTED_VALUE"""),"Действителен по17.09.2021")</f>
        <v>Действителен по17.09.2021</v>
      </c>
      <c r="D1436" s="8" t="str">
        <f ca="1">IFERROR(__xludf.DUMMYFUNCTION("""COMPUTED_VALUE"""),"20-06-2019")</f>
        <v>20-06-2019</v>
      </c>
      <c r="E1436" s="1" t="str">
        <f ca="1">IFERROR(__xludf.DUMMYFUNCTION("""COMPUTED_VALUE"""),"Срок годн. не ограничен")</f>
        <v>Срок годн. не ограничен</v>
      </c>
      <c r="F1436" s="1" t="str">
        <f ca="1">IFERROR(__xludf.DUMMYFUNCTION("""COMPUTED_VALUE"""),"Зубные щетки для взрослых торговой марки DENTISSIMO: SILVER Tynex Hard Tartar - 20-06-2019")</f>
        <v>Зубные щетки для взрослых торговой марки DENTISSIMO: SILVER Tynex Hard Tartar - 20-06-2019</v>
      </c>
      <c r="G1436" s="1" t="str">
        <f ca="1">IFERROR(__xludf.DUMMYFUNCTION("""COMPUTED_VALUE"""),"KZ.7500995.05.01.04483 / Действителен по17.09.2021 / 20-06-2019 / Срок годн. не ограничен")</f>
        <v>KZ.7500995.05.01.04483 / Действителен по17.09.2021 / 20-06-2019 / Срок годн. не ограничен</v>
      </c>
      <c r="H1436" s="1" t="str">
        <f ca="1">IFERROR(__xludf.DUMMYFUNCTION("""COMPUTED_VALUE"""),"Зубные щетки для взрослых торговой марки DENTISSIMO: SILVER Tynex Hard Tartar KZ.7500995.05.01.04483 / Действителен по17.09.2021 / 20-06-2019 / Срок годн. не ограничен")</f>
        <v>Зубные щетки для взрослых торговой марки DENTISSIMO: SILVER Tynex Hard Tartar KZ.7500995.05.01.04483 / Действителен по17.09.2021 / 20-06-2019 / Срок годн. не ограничен</v>
      </c>
    </row>
    <row r="1437" spans="1:8" ht="12.75" x14ac:dyDescent="0.2">
      <c r="A1437" s="1" t="str">
        <f ca="1">IFERROR(__xludf.DUMMYFUNCTION("""COMPUTED_VALUE"""),"Зубные щетки для взрослых торговой марки DENTISSIMO: HARD Tartar Control")</f>
        <v>Зубные щетки для взрослых торговой марки DENTISSIMO: HARD Tartar Control</v>
      </c>
      <c r="B1437" s="1" t="str">
        <f ca="1">IFERROR(__xludf.DUMMYFUNCTION("""COMPUTED_VALUE"""),"KZ.7500995.05.01.04483")</f>
        <v>KZ.7500995.05.01.04483</v>
      </c>
      <c r="C1437" s="1" t="str">
        <f ca="1">IFERROR(__xludf.DUMMYFUNCTION("""COMPUTED_VALUE"""),"Действителен по17.09.2021")</f>
        <v>Действителен по17.09.2021</v>
      </c>
      <c r="D1437" s="8" t="str">
        <f ca="1">IFERROR(__xludf.DUMMYFUNCTION("""COMPUTED_VALUE"""),"28-01-2019")</f>
        <v>28-01-2019</v>
      </c>
      <c r="E1437" s="1" t="str">
        <f ca="1">IFERROR(__xludf.DUMMYFUNCTION("""COMPUTED_VALUE"""),"Срок годн. не ограничен")</f>
        <v>Срок годн. не ограничен</v>
      </c>
      <c r="F1437" s="1" t="str">
        <f ca="1">IFERROR(__xludf.DUMMYFUNCTION("""COMPUTED_VALUE"""),"Зубные щетки для взрослых торговой марки DENTISSIMO: HARD Tartar Control - 28-01-2019")</f>
        <v>Зубные щетки для взрослых торговой марки DENTISSIMO: HARD Tartar Control - 28-01-2019</v>
      </c>
      <c r="G1437" s="1" t="str">
        <f ca="1">IFERROR(__xludf.DUMMYFUNCTION("""COMPUTED_VALUE"""),"KZ.7500995.05.01.04483 / Действителен по17.09.2021 / 28-01-2019 / Срок годн. не ограничен")</f>
        <v>KZ.7500995.05.01.04483 / Действителен по17.09.2021 / 28-01-2019 / Срок годн. не ограничен</v>
      </c>
      <c r="H1437" s="1" t="str">
        <f ca="1">IFERROR(__xludf.DUMMYFUNCTION("""COMPUTED_VALUE"""),"Зубные щетки для взрослых торговой марки DENTISSIMO: HARD Tartar Control KZ.7500995.05.01.04483 / Действителен по17.09.2021 / 28-01-2019 / Срок годн. не ограничен")</f>
        <v>Зубные щетки для взрослых торговой марки DENTISSIMO: HARD Tartar Control KZ.7500995.05.01.04483 / Действителен по17.09.2021 / 28-01-2019 / Срок годн. не ограничен</v>
      </c>
    </row>
    <row r="1438" spans="1:8" ht="12.75" x14ac:dyDescent="0.2">
      <c r="A1438" s="1" t="str">
        <f ca="1">IFERROR(__xludf.DUMMYFUNCTION("""COMPUTED_VALUE"""),"Зубные щетки для взрослых торговой марки DENTISSIMO: GOLD Tynex Medium Anti-Plaq")</f>
        <v>Зубные щетки для взрослых торговой марки DENTISSIMO: GOLD Tynex Medium Anti-Plaq</v>
      </c>
      <c r="B1438" s="1" t="str">
        <f ca="1">IFERROR(__xludf.DUMMYFUNCTION("""COMPUTED_VALUE"""),"KZ.7500995.05.01.04483")</f>
        <v>KZ.7500995.05.01.04483</v>
      </c>
      <c r="C1438" s="1" t="str">
        <f ca="1">IFERROR(__xludf.DUMMYFUNCTION("""COMPUTED_VALUE"""),"Действителен по17.09.2021")</f>
        <v>Действителен по17.09.2021</v>
      </c>
      <c r="D1438" s="8" t="str">
        <f ca="1">IFERROR(__xludf.DUMMYFUNCTION("""COMPUTED_VALUE"""),"20-06-2019")</f>
        <v>20-06-2019</v>
      </c>
      <c r="E1438" s="1" t="str">
        <f ca="1">IFERROR(__xludf.DUMMYFUNCTION("""COMPUTED_VALUE"""),"Срок годн. не ограничен")</f>
        <v>Срок годн. не ограничен</v>
      </c>
      <c r="F1438" s="1" t="str">
        <f ca="1">IFERROR(__xludf.DUMMYFUNCTION("""COMPUTED_VALUE"""),"Зубные щетки для взрослых торговой марки DENTISSIMO: GOLD Tynex Medium Anti-Plaq - 20-06-2019")</f>
        <v>Зубные щетки для взрослых торговой марки DENTISSIMO: GOLD Tynex Medium Anti-Plaq - 20-06-2019</v>
      </c>
      <c r="G1438" s="1" t="str">
        <f ca="1">IFERROR(__xludf.DUMMYFUNCTION("""COMPUTED_VALUE"""),"KZ.7500995.05.01.04483 / Действителен по17.09.2021 / 20-06-2019 / Срок годн. не ограничен")</f>
        <v>KZ.7500995.05.01.04483 / Действителен по17.09.2021 / 20-06-2019 / Срок годн. не ограничен</v>
      </c>
      <c r="H1438" s="1" t="str">
        <f ca="1">IFERROR(__xludf.DUMMYFUNCTION("""COMPUTED_VALUE"""),"Зубные щетки для взрослых торговой марки DENTISSIMO: GOLD Tynex Medium Anti-Plaq KZ.7500995.05.01.04483 / Действителен по17.09.2021 / 20-06-2019 / Срок годн. не ограничен")</f>
        <v>Зубные щетки для взрослых торговой марки DENTISSIMO: GOLD Tynex Medium Anti-Plaq KZ.7500995.05.01.04483 / Действителен по17.09.2021 / 20-06-2019 / Срок годн. не ограничен</v>
      </c>
    </row>
    <row r="1439" spans="1:8" ht="12.75" x14ac:dyDescent="0.2">
      <c r="A1439" s="1" t="str">
        <f ca="1">IFERROR(__xludf.DUMMYFUNCTION("""COMPUTED_VALUE"""),"Зубные щетки для взрослых торговой марки DENTISSIMO: Medium antiplaque")</f>
        <v>Зубные щетки для взрослых торговой марки DENTISSIMO: Medium antiplaque</v>
      </c>
      <c r="B1439" s="1" t="str">
        <f ca="1">IFERROR(__xludf.DUMMYFUNCTION("""COMPUTED_VALUE"""),"KZ.7500995.05.01.04483")</f>
        <v>KZ.7500995.05.01.04483</v>
      </c>
      <c r="C1439" s="1" t="str">
        <f ca="1">IFERROR(__xludf.DUMMYFUNCTION("""COMPUTED_VALUE"""),"Действителен по17.09.2021")</f>
        <v>Действителен по17.09.2021</v>
      </c>
      <c r="D1439" s="8" t="str">
        <f ca="1">IFERROR(__xludf.DUMMYFUNCTION("""COMPUTED_VALUE"""),"28-01-2019")</f>
        <v>28-01-2019</v>
      </c>
      <c r="E1439" s="1" t="str">
        <f ca="1">IFERROR(__xludf.DUMMYFUNCTION("""COMPUTED_VALUE"""),"Срок годн. не ограничен")</f>
        <v>Срок годн. не ограничен</v>
      </c>
      <c r="F1439" s="1" t="str">
        <f ca="1">IFERROR(__xludf.DUMMYFUNCTION("""COMPUTED_VALUE"""),"Зубные щетки для взрослых торговой марки DENTISSIMO: Medium antiplaque - 28-01-2019")</f>
        <v>Зубные щетки для взрослых торговой марки DENTISSIMO: Medium antiplaque - 28-01-2019</v>
      </c>
      <c r="G1439" s="1" t="str">
        <f ca="1">IFERROR(__xludf.DUMMYFUNCTION("""COMPUTED_VALUE"""),"KZ.7500995.05.01.04483 / Действителен по17.09.2021 / 28-01-2019 / Срок годн. не ограничен")</f>
        <v>KZ.7500995.05.01.04483 / Действителен по17.09.2021 / 28-01-2019 / Срок годн. не ограничен</v>
      </c>
      <c r="H1439" s="1" t="str">
        <f ca="1">IFERROR(__xludf.DUMMYFUNCTION("""COMPUTED_VALUE"""),"Зубные щетки для взрослых торговой марки DENTISSIMO: Medium antiplaque KZ.7500995.05.01.04483 / Действителен по17.09.2021 / 28-01-2019 / Срок годн. не ограничен")</f>
        <v>Зубные щетки для взрослых торговой марки DENTISSIMO: Medium antiplaque KZ.7500995.05.01.04483 / Действителен по17.09.2021 / 28-01-2019 / Срок годн. не ограничен</v>
      </c>
    </row>
    <row r="1440" spans="1:8" ht="12.75" x14ac:dyDescent="0.2">
      <c r="A1440" s="1" t="str">
        <f ca="1">IFERROR(__xludf.DUMMYFUNCTION("""COMPUTED_VALUE"""),"Зубные щетки для взрослых торговой марки DENTISSIMO: SENSITIVE Interdental clean")</f>
        <v>Зубные щетки для взрослых торговой марки DENTISSIMO: SENSITIVE Interdental clean</v>
      </c>
      <c r="B1440" s="1" t="str">
        <f ca="1">IFERROR(__xludf.DUMMYFUNCTION("""COMPUTED_VALUE"""),"KZ.7500995.05.01.04758")</f>
        <v>KZ.7500995.05.01.04758</v>
      </c>
      <c r="C1440" s="1" t="str">
        <f ca="1">IFERROR(__xludf.DUMMYFUNCTION("""COMPUTED_VALUE"""),"Действителен по 03.06.2022")</f>
        <v>Действителен по 03.06.2022</v>
      </c>
      <c r="D1440" s="8" t="str">
        <f ca="1">IFERROR(__xludf.DUMMYFUNCTION("""COMPUTED_VALUE"""),"28-01-2019")</f>
        <v>28-01-2019</v>
      </c>
      <c r="E1440" s="1" t="str">
        <f ca="1">IFERROR(__xludf.DUMMYFUNCTION("""COMPUTED_VALUE"""),"Срок годн. не ограничен")</f>
        <v>Срок годн. не ограничен</v>
      </c>
      <c r="F1440" s="1" t="str">
        <f ca="1">IFERROR(__xludf.DUMMYFUNCTION("""COMPUTED_VALUE"""),"Зубные щетки для взрослых торговой марки DENTISSIMO: SENSITIVE Interdental clean - 28-01-2019")</f>
        <v>Зубные щетки для взрослых торговой марки DENTISSIMO: SENSITIVE Interdental clean - 28-01-2019</v>
      </c>
      <c r="G1440" s="1" t="str">
        <f ca="1">IFERROR(__xludf.DUMMYFUNCTION("""COMPUTED_VALUE"""),"KZ.7500995.05.01.04758 / Действителен по 03.06.2022 / 28-01-2019 / Срок годн. не ограничен")</f>
        <v>KZ.7500995.05.01.04758 / Действителен по 03.06.2022 / 28-01-2019 / Срок годн. не ограничен</v>
      </c>
      <c r="H1440" s="1" t="str">
        <f ca="1">IFERROR(__xludf.DUMMYFUNCTION("""COMPUTED_VALUE"""),"Зубные щетки для взрослых торговой марки DENTISSIMO: SENSITIVE Interdental clean KZ.7500995.05.01.04758 / Действителен по 03.06.2022 / 28-01-2019 / Срок годн. не ограничен")</f>
        <v>Зубные щетки для взрослых торговой марки DENTISSIMO: SENSITIVE Interdental clean KZ.7500995.05.01.04758 / Действителен по 03.06.2022 / 28-01-2019 / Срок годн. не ограничен</v>
      </c>
    </row>
    <row r="1441" spans="1:8" ht="12.75" x14ac:dyDescent="0.2">
      <c r="A1441" s="1" t="str">
        <f ca="1">IFERROR(__xludf.DUMMYFUNCTION("""COMPUTED_VALUE"""),"Зубные щетки для взрослых торговой марки DENTISSIMO: GOLD Tynex Medium Anti-Plaq")</f>
        <v>Зубные щетки для взрослых торговой марки DENTISSIMO: GOLD Tynex Medium Anti-Plaq</v>
      </c>
      <c r="B1441" s="1" t="str">
        <f ca="1">IFERROR(__xludf.DUMMYFUNCTION("""COMPUTED_VALUE"""),"KZ.7500995.05.01.04758")</f>
        <v>KZ.7500995.05.01.04758</v>
      </c>
      <c r="C1441" s="1" t="str">
        <f ca="1">IFERROR(__xludf.DUMMYFUNCTION("""COMPUTED_VALUE"""),"Действителен по 03.06.2022")</f>
        <v>Действителен по 03.06.2022</v>
      </c>
      <c r="D1441" s="8" t="str">
        <f ca="1">IFERROR(__xludf.DUMMYFUNCTION("""COMPUTED_VALUE"""),"28-10-2020")</f>
        <v>28-10-2020</v>
      </c>
      <c r="E1441" s="1" t="str">
        <f ca="1">IFERROR(__xludf.DUMMYFUNCTION("""COMPUTED_VALUE"""),"Срок годн. не ограничен")</f>
        <v>Срок годн. не ограничен</v>
      </c>
      <c r="F1441" s="1" t="str">
        <f ca="1">IFERROR(__xludf.DUMMYFUNCTION("""COMPUTED_VALUE"""),"Зубные щетки для взрослых торговой марки DENTISSIMO: GOLD Tynex Medium Anti-Plaq - 28-10-2020")</f>
        <v>Зубные щетки для взрослых торговой марки DENTISSIMO: GOLD Tynex Medium Anti-Plaq - 28-10-2020</v>
      </c>
      <c r="G1441" s="1" t="str">
        <f ca="1">IFERROR(__xludf.DUMMYFUNCTION("""COMPUTED_VALUE"""),"KZ.7500995.05.01.04758 / Действителен по 03.06.2022 / 28-10-2020 / Срок годн. не ограничен")</f>
        <v>KZ.7500995.05.01.04758 / Действителен по 03.06.2022 / 28-10-2020 / Срок годн. не ограничен</v>
      </c>
      <c r="H1441" s="1" t="str">
        <f ca="1">IFERROR(__xludf.DUMMYFUNCTION("""COMPUTED_VALUE"""),"Зубные щетки для взрослых торговой марки DENTISSIMO: GOLD Tynex Medium Anti-Plaq KZ.7500995.05.01.04758 / Действителен по 03.06.2022 / 28-10-2020 / Срок годн. не ограничен")</f>
        <v>Зубные щетки для взрослых торговой марки DENTISSIMO: GOLD Tynex Medium Anti-Plaq KZ.7500995.05.01.04758 / Действителен по 03.06.2022 / 28-10-2020 / Срок годн. не ограничен</v>
      </c>
    </row>
    <row r="1442" spans="1:8" ht="12.75" x14ac:dyDescent="0.2">
      <c r="A1442" s="1" t="str">
        <f ca="1">IFERROR(__xludf.DUMMYFUNCTION("""COMPUTED_VALUE"""),"Детские зубные щетки торговой марки DENTISSIMO : KIDS SOFT 2-6")</f>
        <v>Детские зубные щетки торговой марки DENTISSIMO : KIDS SOFT 2-6</v>
      </c>
      <c r="B1442" s="1" t="str">
        <f ca="1">IFERROR(__xludf.DUMMYFUNCTION("""COMPUTED_VALUE"""),"KZ.7100317.23.01.16266 ")</f>
        <v xml:space="preserve">KZ.7100317.23.01.16266 </v>
      </c>
      <c r="C1442" s="1" t="str">
        <f ca="1">IFERROR(__xludf.DUMMYFUNCTION("""COMPUTED_VALUE"""),"Действителен по 24.05.2022")</f>
        <v>Действителен по 24.05.2022</v>
      </c>
      <c r="D1442" s="8" t="str">
        <f ca="1">IFERROR(__xludf.DUMMYFUNCTION("""COMPUTED_VALUE"""),"28-01-2019")</f>
        <v>28-01-2019</v>
      </c>
      <c r="E1442" s="1" t="str">
        <f ca="1">IFERROR(__xludf.DUMMYFUNCTION("""COMPUTED_VALUE"""),"Срок годн. не ограничен")</f>
        <v>Срок годн. не ограничен</v>
      </c>
      <c r="F1442" s="1" t="str">
        <f ca="1">IFERROR(__xludf.DUMMYFUNCTION("""COMPUTED_VALUE"""),"Детские зубные щетки торговой марки DENTISSIMO : KIDS SOFT 2-6 - 28-01-2019")</f>
        <v>Детские зубные щетки торговой марки DENTISSIMO : KIDS SOFT 2-6 - 28-01-2019</v>
      </c>
      <c r="G1442" s="1" t="str">
        <f ca="1">IFERROR(__xludf.DUMMYFUNCTION("""COMPUTED_VALUE"""),"KZ.7100317.23.01.16266  / Действителен по 24.05.2022 / 28-01-2019 / Срок годн. не ограничен")</f>
        <v>KZ.7100317.23.01.16266  / Действителен по 24.05.2022 / 28-01-2019 / Срок годн. не ограничен</v>
      </c>
      <c r="H1442" s="1" t="str">
        <f ca="1">IFERROR(__xludf.DUMMYFUNCTION("""COMPUTED_VALUE"""),"Детские зубные щетки торговой марки DENTISSIMO : KIDS SOFT 2-6 KZ.7100317.23.01.16266  / Действителен по 24.05.2022 / 28-01-2019 / Срок годн. не ограничен")</f>
        <v>Детские зубные щетки торговой марки DENTISSIMO : KIDS SOFT 2-6 KZ.7100317.23.01.16266  / Действителен по 24.05.2022 / 28-01-2019 / Срок годн. не ограничен</v>
      </c>
    </row>
    <row r="1443" spans="1:8" ht="12.75" x14ac:dyDescent="0.2">
      <c r="A1443" s="1" t="str">
        <f ca="1">IFERROR(__xludf.DUMMYFUNCTION("""COMPUTED_VALUE"""),"Зубная паста торговой марки DENTISSIMO: JUNIOR 6+ APPLE TOOTHPASTE")</f>
        <v>Зубная паста торговой марки DENTISSIMO: JUNIOR 6+ APPLE TOOTHPASTE</v>
      </c>
      <c r="B1443" s="1"/>
      <c r="C1443" s="1"/>
      <c r="D1443" s="8" t="str">
        <f ca="1">IFERROR(__xludf.DUMMYFUNCTION("""COMPUTED_VALUE"""),"не подлежит сертификации.Есть СГР")</f>
        <v>не подлежит сертификации.Есть СГР</v>
      </c>
      <c r="E1443" s="1"/>
      <c r="F1443" s="1" t="str">
        <f ca="1">IFERROR(__xludf.DUMMYFUNCTION("""COMPUTED_VALUE"""),"Зубная паста торговой марки DENTISSIMO: JUNIOR 6+ APPLE TOOTHPASTE - не подлежит сертификации.Есть СГР")</f>
        <v>Зубная паста торговой марки DENTISSIMO: JUNIOR 6+ APPLE TOOTHPASTE - не подлежит сертификации.Есть СГР</v>
      </c>
      <c r="G1443" s="1" t="str">
        <f ca="1">IFERROR(__xludf.DUMMYFUNCTION("""COMPUTED_VALUE""")," /  / не подлежит сертификации.Есть СГР / ")</f>
        <v xml:space="preserve"> /  / не подлежит сертификации.Есть СГР / </v>
      </c>
      <c r="H1443" s="1" t="str">
        <f ca="1">IFERROR(__xludf.DUMMYFUNCTION("""COMPUTED_VALUE"""),"Зубная паста торговой марки DENTISSIMO: JUNIOR 6+ APPLE TOOTHPASTE  /  / не подлежит сертификации.Есть СГР / ")</f>
        <v xml:space="preserve">Зубная паста торговой марки DENTISSIMO: JUNIOR 6+ APPLE TOOTHPASTE  /  / не подлежит сертификации.Есть СГР / </v>
      </c>
    </row>
    <row r="1444" spans="1:8" ht="12.75" x14ac:dyDescent="0.2">
      <c r="A1444" s="1" t="str">
        <f ca="1">IFERROR(__xludf.DUMMYFUNCTION("""COMPUTED_VALUE"""),"Зубная паста торговой марки DENTISSIMO: KIDS 2-6 CARAMEL TOOTHPASTE")</f>
        <v>Зубная паста торговой марки DENTISSIMO: KIDS 2-6 CARAMEL TOOTHPASTE</v>
      </c>
      <c r="B1444" s="1"/>
      <c r="C1444" s="1"/>
      <c r="D1444" s="8" t="str">
        <f ca="1">IFERROR(__xludf.DUMMYFUNCTION("""COMPUTED_VALUE"""),"не подлежит сертификации.Есть СГР")</f>
        <v>не подлежит сертификации.Есть СГР</v>
      </c>
      <c r="E1444" s="1"/>
      <c r="F1444" s="1" t="str">
        <f ca="1">IFERROR(__xludf.DUMMYFUNCTION("""COMPUTED_VALUE"""),"Зубная паста торговой марки DENTISSIMO: KIDS 2-6 CARAMEL TOOTHPASTE - не подлежит сертификации.Есть СГР")</f>
        <v>Зубная паста торговой марки DENTISSIMO: KIDS 2-6 CARAMEL TOOTHPASTE - не подлежит сертификации.Есть СГР</v>
      </c>
      <c r="G1444" s="1" t="str">
        <f ca="1">IFERROR(__xludf.DUMMYFUNCTION("""COMPUTED_VALUE""")," /  / не подлежит сертификации.Есть СГР / ")</f>
        <v xml:space="preserve"> /  / не подлежит сертификации.Есть СГР / </v>
      </c>
      <c r="H1444" s="1" t="str">
        <f ca="1">IFERROR(__xludf.DUMMYFUNCTION("""COMPUTED_VALUE"""),"Зубная паста торговой марки DENTISSIMO: KIDS 2-6 CARAMEL TOOTHPASTE  /  / не подлежит сертификации.Есть СГР / ")</f>
        <v xml:space="preserve">Зубная паста торговой марки DENTISSIMO: KIDS 2-6 CARAMEL TOOTHPASTE  /  / не подлежит сертификации.Есть СГР / </v>
      </c>
    </row>
    <row r="1445" spans="1:8" ht="12.75" x14ac:dyDescent="0.2">
      <c r="A1445" s="1" t="str">
        <f ca="1">IFERROR(__xludf.DUMMYFUNCTION("""COMPUTED_VALUE"""),"Зубная паста торговой марки DENTISSIMO: EXTRA-WHITENING BLACK")</f>
        <v>Зубная паста торговой марки DENTISSIMO: EXTRA-WHITENING BLACK</v>
      </c>
      <c r="B1445" s="1"/>
      <c r="C1445" s="1"/>
      <c r="D1445" s="8" t="str">
        <f ca="1">IFERROR(__xludf.DUMMYFUNCTION("""COMPUTED_VALUE"""),"не подлежит сертификации.Есть СГР")</f>
        <v>не подлежит сертификации.Есть СГР</v>
      </c>
      <c r="E1445" s="1"/>
      <c r="F1445" s="1" t="str">
        <f ca="1">IFERROR(__xludf.DUMMYFUNCTION("""COMPUTED_VALUE"""),"Зубная паста торговой марки DENTISSIMO: EXTRA-WHITENING BLACK - не подлежит сертификации.Есть СГР")</f>
        <v>Зубная паста торговой марки DENTISSIMO: EXTRA-WHITENING BLACK - не подлежит сертификации.Есть СГР</v>
      </c>
      <c r="G1445" s="1" t="str">
        <f ca="1">IFERROR(__xludf.DUMMYFUNCTION("""COMPUTED_VALUE""")," /  / не подлежит сертификации.Есть СГР / ")</f>
        <v xml:space="preserve"> /  / не подлежит сертификации.Есть СГР / </v>
      </c>
      <c r="H1445" s="1" t="str">
        <f ca="1">IFERROR(__xludf.DUMMYFUNCTION("""COMPUTED_VALUE"""),"Зубная паста торговой марки DENTISSIMO: EXTRA-WHITENING BLACK  /  / не подлежит сертификации.Есть СГР / ")</f>
        <v xml:space="preserve">Зубная паста торговой марки DENTISSIMO: EXTRA-WHITENING BLACK  /  / не подлежит сертификации.Есть СГР / </v>
      </c>
    </row>
    <row r="1446" spans="1:8" ht="12.75" x14ac:dyDescent="0.2">
      <c r="A1446" s="1" t="str">
        <f ca="1">IFERROR(__xludf.DUMMYFUNCTION("""COMPUTED_VALUE"""),"Зубная паста-гель Отбеливающая для взрослых ТМ DENTISSIMO: GOLD ADVANCED")</f>
        <v>Зубная паста-гель Отбеливающая для взрослых ТМ DENTISSIMO: GOLD ADVANCED</v>
      </c>
      <c r="B1446" s="1"/>
      <c r="C1446" s="1"/>
      <c r="D1446" s="8" t="str">
        <f ca="1">IFERROR(__xludf.DUMMYFUNCTION("""COMPUTED_VALUE"""),"не подлежит сертификации.Есть СГР")</f>
        <v>не подлежит сертификации.Есть СГР</v>
      </c>
      <c r="E1446" s="1"/>
      <c r="F1446" s="1" t="str">
        <f ca="1">IFERROR(__xludf.DUMMYFUNCTION("""COMPUTED_VALUE"""),"Зубная паста-гель Отбеливающая для взрослых ТМ DENTISSIMO: GOLD ADVANCED - не подлежит сертификации.Есть СГР")</f>
        <v>Зубная паста-гель Отбеливающая для взрослых ТМ DENTISSIMO: GOLD ADVANCED - не подлежит сертификации.Есть СГР</v>
      </c>
      <c r="G1446" s="1" t="str">
        <f ca="1">IFERROR(__xludf.DUMMYFUNCTION("""COMPUTED_VALUE""")," /  / не подлежит сертификации.Есть СГР / ")</f>
        <v xml:space="preserve"> /  / не подлежит сертификации.Есть СГР / </v>
      </c>
      <c r="H1446" s="1" t="str">
        <f ca="1">IFERROR(__xludf.DUMMYFUNCTION("""COMPUTED_VALUE"""),"Зубная паста-гель Отбеливающая для взрослых ТМ DENTISSIMO: GOLD ADVANCED  /  / не подлежит сертификации.Есть СГР / ")</f>
        <v xml:space="preserve">Зубная паста-гель Отбеливающая для взрослых ТМ DENTISSIMO: GOLD ADVANCED  /  / не подлежит сертификации.Есть СГР / </v>
      </c>
    </row>
    <row r="1447" spans="1:8" ht="12.75" x14ac:dyDescent="0.2">
      <c r="A1447" s="1" t="str">
        <f ca="1">IFERROR(__xludf.DUMMYFUNCTION("""COMPUTED_VALUE"""),"Зубная паста торговой марки DENTISSIMO:PRO-WHITENING TOOTHPASTE")</f>
        <v>Зубная паста торговой марки DENTISSIMO:PRO-WHITENING TOOTHPASTE</v>
      </c>
      <c r="B1447" s="1"/>
      <c r="C1447" s="1"/>
      <c r="D1447" s="8" t="str">
        <f ca="1">IFERROR(__xludf.DUMMYFUNCTION("""COMPUTED_VALUE"""),"не подлежит сертификации.Есть СГР")</f>
        <v>не подлежит сертификации.Есть СГР</v>
      </c>
      <c r="E1447" s="1"/>
      <c r="F1447" s="1" t="str">
        <f ca="1">IFERROR(__xludf.DUMMYFUNCTION("""COMPUTED_VALUE"""),"Зубная паста торговой марки DENTISSIMO:PRO-WHITENING TOOTHPASTE - не подлежит сертификации.Есть СГР")</f>
        <v>Зубная паста торговой марки DENTISSIMO:PRO-WHITENING TOOTHPASTE - не подлежит сертификации.Есть СГР</v>
      </c>
      <c r="G1447" s="1" t="str">
        <f ca="1">IFERROR(__xludf.DUMMYFUNCTION("""COMPUTED_VALUE""")," /  / не подлежит сертификации.Есть СГР / ")</f>
        <v xml:space="preserve"> /  / не подлежит сертификации.Есть СГР / </v>
      </c>
      <c r="H1447" s="1" t="str">
        <f ca="1">IFERROR(__xludf.DUMMYFUNCTION("""COMPUTED_VALUE"""),"Зубная паста торговой марки DENTISSIMO:PRO-WHITENING TOOTHPASTE  /  / не подлежит сертификации.Есть СГР / ")</f>
        <v xml:space="preserve">Зубная паста торговой марки DENTISSIMO:PRO-WHITENING TOOTHPASTE  /  / не подлежит сертификации.Есть СГР / </v>
      </c>
    </row>
    <row r="1448" spans="1:8" ht="12.75" x14ac:dyDescent="0.2">
      <c r="A1448" s="1" t="str">
        <f ca="1">IFERROR(__xludf.DUMMYFUNCTION("""COMPUTED_VALUE"""),"Ополаскиватель для полости рта DENTISSIMO FRESH BREATH/Свежее дыхание")</f>
        <v>Ополаскиватель для полости рта DENTISSIMO FRESH BREATH/Свежее дыхание</v>
      </c>
      <c r="B1448" s="1" t="str">
        <f ca="1">IFERROR(__xludf.DUMMYFUNCTION("""COMPUTED_VALUE"""),"KZ.7500995.23.01.40895")</f>
        <v>KZ.7500995.23.01.40895</v>
      </c>
      <c r="C1448" s="1" t="str">
        <f ca="1">IFERROR(__xludf.DUMMYFUNCTION("""COMPUTED_VALUE"""),"Действителен до 06.10.2021")</f>
        <v>Действителен до 06.10.2021</v>
      </c>
      <c r="D1448" s="8" t="str">
        <f ca="1">IFERROR(__xludf.DUMMYFUNCTION("""COMPUTED_VALUE"""),"06-2023")</f>
        <v>06-2023</v>
      </c>
      <c r="E1448" s="9">
        <f ca="1">IFERROR(__xludf.DUMMYFUNCTION("""COMPUTED_VALUE"""),45078)</f>
        <v>45078</v>
      </c>
      <c r="F1448" s="1" t="str">
        <f ca="1">IFERROR(__xludf.DUMMYFUNCTION("""COMPUTED_VALUE"""),"Ополаскиватель для полости рта DENTISSIMO FRESH BREATH/Свежее дыхание - 06-2023")</f>
        <v>Ополаскиватель для полости рта DENTISSIMO FRESH BREATH/Свежее дыхание - 06-2023</v>
      </c>
      <c r="G1448" s="1" t="str">
        <f ca="1">IFERROR(__xludf.DUMMYFUNCTION("""COMPUTED_VALUE"""),"KZ.7500995.23.01.40895 / Действителен до 06.10.2021 / 06-2023 / 45078")</f>
        <v>KZ.7500995.23.01.40895 / Действителен до 06.10.2021 / 06-2023 / 45078</v>
      </c>
      <c r="H1448" s="1" t="str">
        <f ca="1">IFERROR(__xludf.DUMMYFUNCTION("""COMPUTED_VALUE"""),"Ополаскиватель для полости рта DENTISSIMO FRESH BREATH/Свежее дыхание KZ.7500995.23.01.40895 / Действителен до 06.10.2021 / 06-2023 / 45078")</f>
        <v>Ополаскиватель для полости рта DENTISSIMO FRESH BREATH/Свежее дыхание KZ.7500995.23.01.40895 / Действителен до 06.10.2021 / 06-2023 / 45078</v>
      </c>
    </row>
    <row r="1449" spans="1:8" ht="12.75" x14ac:dyDescent="0.2">
      <c r="A1449" s="1" t="str">
        <f ca="1">IFERROR(__xludf.DUMMYFUNCTION("""COMPUTED_VALUE"""),"Ополаскиватель для полости рта DENTISSIMO GUM PROTECTION/Защита десен")</f>
        <v>Ополаскиватель для полости рта DENTISSIMO GUM PROTECTION/Защита десен</v>
      </c>
      <c r="B1449" s="1" t="str">
        <f ca="1">IFERROR(__xludf.DUMMYFUNCTION("""COMPUTED_VALUE"""),"KZ.7500995.23.01.40895")</f>
        <v>KZ.7500995.23.01.40895</v>
      </c>
      <c r="C1449" s="1" t="str">
        <f ca="1">IFERROR(__xludf.DUMMYFUNCTION("""COMPUTED_VALUE"""),"Действителен до 06.10.2021")</f>
        <v>Действителен до 06.10.2021</v>
      </c>
      <c r="D1449" s="8" t="str">
        <f ca="1">IFERROR(__xludf.DUMMYFUNCTION("""COMPUTED_VALUE"""),"07-2023")</f>
        <v>07-2023</v>
      </c>
      <c r="E1449" s="9">
        <f ca="1">IFERROR(__xludf.DUMMYFUNCTION("""COMPUTED_VALUE"""),45108)</f>
        <v>45108</v>
      </c>
      <c r="F1449" s="1" t="str">
        <f ca="1">IFERROR(__xludf.DUMMYFUNCTION("""COMPUTED_VALUE"""),"Ополаскиватель для полости рта DENTISSIMO GUM PROTECTION/Защита десен - 07-2023")</f>
        <v>Ополаскиватель для полости рта DENTISSIMO GUM PROTECTION/Защита десен - 07-2023</v>
      </c>
      <c r="G1449" s="1" t="str">
        <f ca="1">IFERROR(__xludf.DUMMYFUNCTION("""COMPUTED_VALUE"""),"KZ.7500995.23.01.40895 / Действителен до 06.10.2021 / 07-2023 / 45108")</f>
        <v>KZ.7500995.23.01.40895 / Действителен до 06.10.2021 / 07-2023 / 45108</v>
      </c>
      <c r="H1449" s="1" t="str">
        <f ca="1">IFERROR(__xludf.DUMMYFUNCTION("""COMPUTED_VALUE"""),"Ополаскиватель для полости рта DENTISSIMO GUM PROTECTION/Защита десен KZ.7500995.23.01.40895 / Действителен до 06.10.2021 / 07-2023 / 45108")</f>
        <v>Ополаскиватель для полости рта DENTISSIMO GUM PROTECTION/Защита десен KZ.7500995.23.01.40895 / Действителен до 06.10.2021 / 07-2023 / 45108</v>
      </c>
    </row>
    <row r="1450" spans="1:8" ht="12.75" x14ac:dyDescent="0.2">
      <c r="A1450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450" s="1" t="str">
        <f ca="1">IFERROR(__xludf.DUMMYFUNCTION("""COMPUTED_VALUE"""),"KZ.7700.02.01.00768735")</f>
        <v>KZ.7700.02.01.00768735</v>
      </c>
      <c r="C1450" s="1" t="str">
        <f ca="1">IFERROR(__xludf.DUMMYFUNCTION("""COMPUTED_VALUE"""),"Действителен до 14.06.2026")</f>
        <v>Действителен до 14.06.2026</v>
      </c>
      <c r="D1450" s="8" t="str">
        <f ca="1">IFERROR(__xludf.DUMMYFUNCTION("""COMPUTED_VALUE"""),"0621042KZ042")</f>
        <v>0621042KZ042</v>
      </c>
      <c r="E1450" s="1" t="str">
        <f ca="1">IFERROR(__xludf.DUMMYFUNCTION("""COMPUTED_VALUE"""),"годен до 14.06.2026")</f>
        <v>годен до 14.06.2026</v>
      </c>
      <c r="F1450" s="1" t="str">
        <f ca="1">IFERROR(__xludf.DUMMYFUNCTION("""COMPUTED_VALUE"""),"Бандаж для беременных эластичный 4505 - L (Болгария) - 0621042KZ042")</f>
        <v>Бандаж для беременных эластичный 4505 - L (Болгария) - 0621042KZ042</v>
      </c>
      <c r="G1450" s="1" t="str">
        <f ca="1">IFERROR(__xludf.DUMMYFUNCTION("""COMPUTED_VALUE"""),"KZ.7700.02.01.00768735 / Действителен до 14.06.2026 / 0621042KZ042 / годен до 14.06.2026")</f>
        <v>KZ.7700.02.01.00768735 / Действителен до 14.06.2026 / 0621042KZ042 / годен до 14.06.2026</v>
      </c>
      <c r="H1450" s="1" t="str">
        <f ca="1">IFERROR(__xludf.DUMMYFUNCTION("""COMPUTED_VALUE"""),"Бандаж для беременных эластичный 4505 - L (Болгария) KZ.7700.02.01.00768735 / Действителен до 14.06.2026 / 0621042KZ042 / годен до 14.06.2026")</f>
        <v>Бандаж для беременных эластичный 4505 - L (Болгария) KZ.7700.02.01.00768735 / Действителен до 14.06.2026 / 0621042KZ042 / годен до 14.06.2026</v>
      </c>
    </row>
    <row r="1451" spans="1:8" ht="12.75" x14ac:dyDescent="0.2">
      <c r="A1451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451" s="1" t="str">
        <f ca="1">IFERROR(__xludf.DUMMYFUNCTION("""COMPUTED_VALUE"""),"KZ.7700.02.01.00768740")</f>
        <v>KZ.7700.02.01.00768740</v>
      </c>
      <c r="C1451" s="1" t="str">
        <f ca="1">IFERROR(__xludf.DUMMYFUNCTION("""COMPUTED_VALUE"""),"Действителен до 14.06.2026")</f>
        <v>Действителен до 14.06.2026</v>
      </c>
      <c r="D1451" s="8" t="str">
        <f ca="1">IFERROR(__xludf.DUMMYFUNCTION("""COMPUTED_VALUE"""),"0621042KZ042")</f>
        <v>0621042KZ042</v>
      </c>
      <c r="E1451" s="1" t="str">
        <f ca="1">IFERROR(__xludf.DUMMYFUNCTION("""COMPUTED_VALUE"""),"годен до 14.06.2026")</f>
        <v>годен до 14.06.2026</v>
      </c>
      <c r="F1451" s="1" t="str">
        <f ca="1">IFERROR(__xludf.DUMMYFUNCTION("""COMPUTED_VALUE"""),"Бандаж для беременных эластичный 4505 - XL (Болгария) - 0621042KZ042")</f>
        <v>Бандаж для беременных эластичный 4505 - XL (Болгария) - 0621042KZ042</v>
      </c>
      <c r="G1451" s="1" t="str">
        <f ca="1">IFERROR(__xludf.DUMMYFUNCTION("""COMPUTED_VALUE"""),"KZ.7700.02.01.00768740 / Действителен до 14.06.2026 / 0621042KZ042 / годен до 14.06.2026")</f>
        <v>KZ.7700.02.01.00768740 / Действителен до 14.06.2026 / 0621042KZ042 / годен до 14.06.2026</v>
      </c>
      <c r="H1451" s="1" t="str">
        <f ca="1">IFERROR(__xludf.DUMMYFUNCTION("""COMPUTED_VALUE"""),"Бандаж для беременных эластичный 4505 - XL (Болгария) KZ.7700.02.01.00768740 / Действителен до 14.06.2026 / 0621042KZ042 / годен до 14.06.2026")</f>
        <v>Бандаж для беременных эластичный 4505 - XL (Болгария) KZ.7700.02.01.00768740 / Действителен до 14.06.2026 / 0621042KZ042 / годен до 14.06.2026</v>
      </c>
    </row>
    <row r="1452" spans="1:8" ht="12.75" x14ac:dyDescent="0.2">
      <c r="A1452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452" s="1" t="str">
        <f ca="1">IFERROR(__xludf.DUMMYFUNCTION("""COMPUTED_VALUE"""),"KZ.7700.02.01.00768739")</f>
        <v>KZ.7700.02.01.00768739</v>
      </c>
      <c r="C1452" s="1" t="str">
        <f ca="1">IFERROR(__xludf.DUMMYFUNCTION("""COMPUTED_VALUE"""),"Действителен до 14.06.2026")</f>
        <v>Действителен до 14.06.2026</v>
      </c>
      <c r="D1452" s="8" t="str">
        <f ca="1">IFERROR(__xludf.DUMMYFUNCTION("""COMPUTED_VALUE"""),"0621042KZ042")</f>
        <v>0621042KZ042</v>
      </c>
      <c r="E1452" s="1" t="str">
        <f ca="1">IFERROR(__xludf.DUMMYFUNCTION("""COMPUTED_VALUE"""),"годен до 14.06.2026")</f>
        <v>годен до 14.06.2026</v>
      </c>
      <c r="F1452" s="1" t="str">
        <f ca="1">IFERROR(__xludf.DUMMYFUNCTION("""COMPUTED_VALUE"""),"Бандаж для беременных эластичный 4505 - XXL (Болгария) - 0621042KZ042")</f>
        <v>Бандаж для беременных эластичный 4505 - XXL (Болгария) - 0621042KZ042</v>
      </c>
      <c r="G1452" s="1" t="str">
        <f ca="1">IFERROR(__xludf.DUMMYFUNCTION("""COMPUTED_VALUE"""),"KZ.7700.02.01.00768739 / Действителен до 14.06.2026 / 0621042KZ042 / годен до 14.06.2026")</f>
        <v>KZ.7700.02.01.00768739 / Действителен до 14.06.2026 / 0621042KZ042 / годен до 14.06.2026</v>
      </c>
      <c r="H1452" s="1" t="str">
        <f ca="1">IFERROR(__xludf.DUMMYFUNCTION("""COMPUTED_VALUE"""),"Бандаж для беременных эластичный 4505 - XXL (Болгария) KZ.7700.02.01.00768739 / Действителен до 14.06.2026 / 0621042KZ042 / годен до 14.06.2026")</f>
        <v>Бандаж для беременных эластичный 4505 - XXL (Болгария) KZ.7700.02.01.00768739 / Действителен до 14.06.2026 / 0621042KZ042 / годен до 14.06.2026</v>
      </c>
    </row>
    <row r="1453" spans="1:8" ht="12.75" x14ac:dyDescent="0.2">
      <c r="A1453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453" s="1" t="str">
        <f ca="1">IFERROR(__xludf.DUMMYFUNCTION("""COMPUTED_VALUE"""),"KZ.7700.02.01.00768736")</f>
        <v>KZ.7700.02.01.00768736</v>
      </c>
      <c r="C1453" s="1" t="str">
        <f ca="1">IFERROR(__xludf.DUMMYFUNCTION("""COMPUTED_VALUE"""),"Действителен до 14.06.2026")</f>
        <v>Действителен до 14.06.2026</v>
      </c>
      <c r="D1453" s="8" t="str">
        <f ca="1">IFERROR(__xludf.DUMMYFUNCTION("""COMPUTED_VALUE"""),"0621042KZ042")</f>
        <v>0621042KZ042</v>
      </c>
      <c r="E1453" s="1" t="str">
        <f ca="1">IFERROR(__xludf.DUMMYFUNCTION("""COMPUTED_VALUE"""),"годен до 14.06.2026")</f>
        <v>годен до 14.06.2026</v>
      </c>
      <c r="F1453" s="1" t="str">
        <f ca="1">IFERROR(__xludf.DUMMYFUNCTION("""COMPUTED_VALUE"""),"Бандаж для беременных эластичный 4505 - XXXL (Болгария) - 0621042KZ042")</f>
        <v>Бандаж для беременных эластичный 4505 - XXXL (Болгария) - 0621042KZ042</v>
      </c>
      <c r="G1453" s="1" t="str">
        <f ca="1">IFERROR(__xludf.DUMMYFUNCTION("""COMPUTED_VALUE"""),"KZ.7700.02.01.00768736 / Действителен до 14.06.2026 / 0621042KZ042 / годен до 14.06.2026")</f>
        <v>KZ.7700.02.01.00768736 / Действителен до 14.06.2026 / 0621042KZ042 / годен до 14.06.2026</v>
      </c>
      <c r="H1453" s="1" t="str">
        <f ca="1">IFERROR(__xludf.DUMMYFUNCTION("""COMPUTED_VALUE"""),"Бандаж для беременных эластичный 4505 - XXXL (Болгария) KZ.7700.02.01.00768736 / Действителен до 14.06.2026 / 0621042KZ042 / годен до 14.06.2026")</f>
        <v>Бандаж для беременных эластичный 4505 - XXXL (Болгария) KZ.7700.02.01.00768736 / Действителен до 14.06.2026 / 0621042KZ042 / годен до 14.06.2026</v>
      </c>
    </row>
    <row r="1454" spans="1:8" ht="12.75" x14ac:dyDescent="0.2">
      <c r="A1454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1454" s="1" t="str">
        <f ca="1">IFERROR(__xludf.DUMMYFUNCTION("""COMPUTED_VALUE"""),"KZ.7700.02.01.00768732")</f>
        <v>KZ.7700.02.01.00768732</v>
      </c>
      <c r="C1454" s="1" t="str">
        <f ca="1">IFERROR(__xludf.DUMMYFUNCTION("""COMPUTED_VALUE"""),"Действителен до 14.06.2026")</f>
        <v>Действителен до 14.06.2026</v>
      </c>
      <c r="D1454" s="8" t="str">
        <f ca="1">IFERROR(__xludf.DUMMYFUNCTION("""COMPUTED_VALUE"""),"0621042KZ042")</f>
        <v>0621042KZ042</v>
      </c>
      <c r="E1454" s="1" t="str">
        <f ca="1">IFERROR(__xludf.DUMMYFUNCTION("""COMPUTED_VALUE"""),"годен до 14.06.2026")</f>
        <v>годен до 14.06.2026</v>
      </c>
      <c r="F1454" s="1" t="str">
        <f ca="1">IFERROR(__xludf.DUMMYFUNCTION("""COMPUTED_VALUE"""),"Бандаж для беременных эластичный 4505 - М (Болгария) - 0621042KZ042")</f>
        <v>Бандаж для беременных эластичный 4505 - М (Болгария) - 0621042KZ042</v>
      </c>
      <c r="G1454" s="1" t="str">
        <f ca="1">IFERROR(__xludf.DUMMYFUNCTION("""COMPUTED_VALUE"""),"KZ.7700.02.01.00768732 / Действителен до 14.06.2026 / 0621042KZ042 / годен до 14.06.2026")</f>
        <v>KZ.7700.02.01.00768732 / Действителен до 14.06.2026 / 0621042KZ042 / годен до 14.06.2026</v>
      </c>
      <c r="H1454" s="1" t="str">
        <f ca="1">IFERROR(__xludf.DUMMYFUNCTION("""COMPUTED_VALUE"""),"Бандаж для беременных эластичный 4505 - М (Болгария) KZ.7700.02.01.00768732 / Действителен до 14.06.2026 / 0621042KZ042 / годен до 14.06.2026")</f>
        <v>Бандаж для беременных эластичный 4505 - М (Болгария) KZ.7700.02.01.00768732 / Действителен до 14.06.2026 / 0621042KZ042 / годен до 14.06.2026</v>
      </c>
    </row>
    <row r="1455" spans="1:8" ht="12.75" x14ac:dyDescent="0.2">
      <c r="A1455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455" s="1" t="str">
        <f ca="1">IFERROR(__xludf.DUMMYFUNCTION("""COMPUTED_VALUE"""),"KZ.7700.02.01.00769221")</f>
        <v>KZ.7700.02.01.00769221</v>
      </c>
      <c r="C1455" s="1" t="str">
        <f ca="1">IFERROR(__xludf.DUMMYFUNCTION("""COMPUTED_VALUE"""),"Действителен до 14.06.2026")</f>
        <v>Действителен до 14.06.2026</v>
      </c>
      <c r="D1455" s="8" t="str">
        <f ca="1">IFERROR(__xludf.DUMMYFUNCTION("""COMPUTED_VALUE"""),"0621042KZ042")</f>
        <v>0621042KZ042</v>
      </c>
      <c r="E1455" s="1" t="str">
        <f ca="1">IFERROR(__xludf.DUMMYFUNCTION("""COMPUTED_VALUE"""),"годен до 14.06.2026")</f>
        <v>годен до 14.06.2026</v>
      </c>
      <c r="F1455" s="1" t="str">
        <f ca="1">IFERROR(__xludf.DUMMYFUNCTION("""COMPUTED_VALUE"""),"Бинт эластичный медицинский средней растяжимости (ширина 80 мм) 02х80х1 - 0621042KZ042")</f>
        <v>Бинт эластичный медицинский средней растяжимости (ширина 80 мм) 02х80х1 - 0621042KZ042</v>
      </c>
      <c r="G1455" s="1" t="str">
        <f ca="1">IFERROR(__xludf.DUMMYFUNCTION("""COMPUTED_VALUE"""),"KZ.7700.02.01.00769221 / Действителен до 14.06.2026 / 0621042KZ042 / годен до 14.06.2026")</f>
        <v>KZ.7700.02.01.00769221 / Действителен до 14.06.2026 / 0621042KZ042 / годен до 14.06.2026</v>
      </c>
      <c r="H1455" s="1" t="str">
        <f ca="1">IFERROR(__xludf.DUMMYFUNCTION("""COMPUTED_VALUE"""),"Бинт эластичный медицинский средней растяжимости (ширина 80 мм) 02х80х1 KZ.7700.02.01.00769221 / Действителен до 14.06.2026 / 0621042KZ042 / годен до 14.06.2026")</f>
        <v>Бинт эластичный медицинский средней растяжимости (ширина 80 мм) 02х80х1 KZ.7700.02.01.00769221 / Действителен до 14.06.2026 / 0621042KZ042 / годен до 14.06.2026</v>
      </c>
    </row>
    <row r="1456" spans="1:8" ht="12.75" x14ac:dyDescent="0.2">
      <c r="A1456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456" s="1" t="str">
        <f ca="1">IFERROR(__xludf.DUMMYFUNCTION("""COMPUTED_VALUE"""),"KZ.7700.02.01.00769224")</f>
        <v>KZ.7700.02.01.00769224</v>
      </c>
      <c r="C1456" s="1" t="str">
        <f ca="1">IFERROR(__xludf.DUMMYFUNCTION("""COMPUTED_VALUE"""),"Действителен до 14.06.2026")</f>
        <v>Действителен до 14.06.2026</v>
      </c>
      <c r="D1456" s="8" t="str">
        <f ca="1">IFERROR(__xludf.DUMMYFUNCTION("""COMPUTED_VALUE"""),"0621042KZ042")</f>
        <v>0621042KZ042</v>
      </c>
      <c r="E1456" s="1" t="str">
        <f ca="1">IFERROR(__xludf.DUMMYFUNCTION("""COMPUTED_VALUE"""),"годен до 14.06.2026")</f>
        <v>годен до 14.06.2026</v>
      </c>
      <c r="F1456" s="1" t="str">
        <f ca="1">IFERROR(__xludf.DUMMYFUNCTION("""COMPUTED_VALUE"""),"Бинт эластичный медицинский средней растяжимости (ширина 80 мм) 02х80х1.5 - 0621042KZ042")</f>
        <v>Бинт эластичный медицинский средней растяжимости (ширина 80 мм) 02х80х1.5 - 0621042KZ042</v>
      </c>
      <c r="G1456" s="1" t="str">
        <f ca="1">IFERROR(__xludf.DUMMYFUNCTION("""COMPUTED_VALUE"""),"KZ.7700.02.01.00769224 / Действителен до 14.06.2026 / 0621042KZ042 / годен до 14.06.2026")</f>
        <v>KZ.7700.02.01.00769224 / Действителен до 14.06.2026 / 0621042KZ042 / годен до 14.06.2026</v>
      </c>
      <c r="H1456" s="1" t="str">
        <f ca="1">IFERROR(__xludf.DUMMYFUNCTION("""COMPUTED_VALUE"""),"Бинт эластичный медицинский средней растяжимости (ширина 80 мм) 02х80х1.5 KZ.7700.02.01.00769224 / Действителен до 14.06.2026 / 0621042KZ042 / годен до 14.06.2026")</f>
        <v>Бинт эластичный медицинский средней растяжимости (ширина 80 мм) 02х80х1.5 KZ.7700.02.01.00769224 / Действителен до 14.06.2026 / 0621042KZ042 / годен до 14.06.2026</v>
      </c>
    </row>
    <row r="1457" spans="1:8" ht="12.75" x14ac:dyDescent="0.2">
      <c r="A1457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457" s="1" t="str">
        <f ca="1">IFERROR(__xludf.DUMMYFUNCTION("""COMPUTED_VALUE"""),"KZ.7700.02.01.00769222")</f>
        <v>KZ.7700.02.01.00769222</v>
      </c>
      <c r="C1457" s="1" t="str">
        <f ca="1">IFERROR(__xludf.DUMMYFUNCTION("""COMPUTED_VALUE"""),"Действителен до 14.06.2026")</f>
        <v>Действителен до 14.06.2026</v>
      </c>
      <c r="D1457" s="8" t="str">
        <f ca="1">IFERROR(__xludf.DUMMYFUNCTION("""COMPUTED_VALUE"""),"0621042KZ042")</f>
        <v>0621042KZ042</v>
      </c>
      <c r="E1457" s="1" t="str">
        <f ca="1">IFERROR(__xludf.DUMMYFUNCTION("""COMPUTED_VALUE"""),"годен до 14.06.2026")</f>
        <v>годен до 14.06.2026</v>
      </c>
      <c r="F1457" s="1" t="str">
        <f ca="1">IFERROR(__xludf.DUMMYFUNCTION("""COMPUTED_VALUE"""),"Бинт эластичный медицинский средней растяжимости (ширина 80 мм) 02х80х2 - 0621042KZ042")</f>
        <v>Бинт эластичный медицинский средней растяжимости (ширина 80 мм) 02х80х2 - 0621042KZ042</v>
      </c>
      <c r="G1457" s="1" t="str">
        <f ca="1">IFERROR(__xludf.DUMMYFUNCTION("""COMPUTED_VALUE"""),"KZ.7700.02.01.00769222 / Действителен до 14.06.2026 / 0621042KZ042 / годен до 14.06.2026")</f>
        <v>KZ.7700.02.01.00769222 / Действителен до 14.06.2026 / 0621042KZ042 / годен до 14.06.2026</v>
      </c>
      <c r="H1457" s="1" t="str">
        <f ca="1">IFERROR(__xludf.DUMMYFUNCTION("""COMPUTED_VALUE"""),"Бинт эластичный медицинский средней растяжимости (ширина 80 мм) 02х80х2 KZ.7700.02.01.00769222 / Действителен до 14.06.2026 / 0621042KZ042 / годен до 14.06.2026")</f>
        <v>Бинт эластичный медицинский средней растяжимости (ширина 80 мм) 02х80х2 KZ.7700.02.01.00769222 / Действителен до 14.06.2026 / 0621042KZ042 / годен до 14.06.2026</v>
      </c>
    </row>
    <row r="1458" spans="1:8" ht="12.75" x14ac:dyDescent="0.2">
      <c r="A1458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458" s="1" t="str">
        <f ca="1">IFERROR(__xludf.DUMMYFUNCTION("""COMPUTED_VALUE"""),"KZ.7700.02.01.00769220")</f>
        <v>KZ.7700.02.01.00769220</v>
      </c>
      <c r="C1458" s="1" t="str">
        <f ca="1">IFERROR(__xludf.DUMMYFUNCTION("""COMPUTED_VALUE"""),"Действителен до 14.06.2026")</f>
        <v>Действителен до 14.06.2026</v>
      </c>
      <c r="D1458" s="8" t="str">
        <f ca="1">IFERROR(__xludf.DUMMYFUNCTION("""COMPUTED_VALUE"""),"0621042KZ042")</f>
        <v>0621042KZ042</v>
      </c>
      <c r="E1458" s="1" t="str">
        <f ca="1">IFERROR(__xludf.DUMMYFUNCTION("""COMPUTED_VALUE"""),"годен до 14.06.2026")</f>
        <v>годен до 14.06.2026</v>
      </c>
      <c r="F1458" s="1" t="str">
        <f ca="1">IFERROR(__xludf.DUMMYFUNCTION("""COMPUTED_VALUE"""),"Бинт эластичный медицинский средней растяжимости (ширина 80 мм) 02х80х2.5 - 0621042KZ042")</f>
        <v>Бинт эластичный медицинский средней растяжимости (ширина 80 мм) 02х80х2.5 - 0621042KZ042</v>
      </c>
      <c r="G1458" s="1" t="str">
        <f ca="1">IFERROR(__xludf.DUMMYFUNCTION("""COMPUTED_VALUE"""),"KZ.7700.02.01.00769220 / Действителен до 14.06.2026 / 0621042KZ042 / годен до 14.06.2026")</f>
        <v>KZ.7700.02.01.00769220 / Действителен до 14.06.2026 / 0621042KZ042 / годен до 14.06.2026</v>
      </c>
      <c r="H1458" s="1" t="str">
        <f ca="1">IFERROR(__xludf.DUMMYFUNCTION("""COMPUTED_VALUE"""),"Бинт эластичный медицинский средней растяжимости (ширина 80 мм) 02х80х2.5 KZ.7700.02.01.00769220 / Действителен до 14.06.2026 / 0621042KZ042 / годен до 14.06.2026")</f>
        <v>Бинт эластичный медицинский средней растяжимости (ширина 80 мм) 02х80х2.5 KZ.7700.02.01.00769220 / Действителен до 14.06.2026 / 0621042KZ042 / годен до 14.06.2026</v>
      </c>
    </row>
    <row r="1459" spans="1:8" ht="12.75" x14ac:dyDescent="0.2">
      <c r="A1459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459" s="1" t="str">
        <f ca="1">IFERROR(__xludf.DUMMYFUNCTION("""COMPUTED_VALUE"""),"KZ.7700.02.01.00769226")</f>
        <v>KZ.7700.02.01.00769226</v>
      </c>
      <c r="C1459" s="1" t="str">
        <f ca="1">IFERROR(__xludf.DUMMYFUNCTION("""COMPUTED_VALUE"""),"Действителен до 14.06.2026")</f>
        <v>Действителен до 14.06.2026</v>
      </c>
      <c r="D1459" s="8" t="str">
        <f ca="1">IFERROR(__xludf.DUMMYFUNCTION("""COMPUTED_VALUE"""),"0621042KZ042")</f>
        <v>0621042KZ042</v>
      </c>
      <c r="E1459" s="1" t="str">
        <f ca="1">IFERROR(__xludf.DUMMYFUNCTION("""COMPUTED_VALUE"""),"годен до 14.06.2026")</f>
        <v>годен до 14.06.2026</v>
      </c>
      <c r="F1459" s="1" t="str">
        <f ca="1">IFERROR(__xludf.DUMMYFUNCTION("""COMPUTED_VALUE"""),"Бинт эластичный медицинский средней растяжимости (ширина 80 мм) 02х80х3 - 0621042KZ042")</f>
        <v>Бинт эластичный медицинский средней растяжимости (ширина 80 мм) 02х80х3 - 0621042KZ042</v>
      </c>
      <c r="G1459" s="1" t="str">
        <f ca="1">IFERROR(__xludf.DUMMYFUNCTION("""COMPUTED_VALUE"""),"KZ.7700.02.01.00769226 / Действителен до 14.06.2026 / 0621042KZ042 / годен до 14.06.2026")</f>
        <v>KZ.7700.02.01.00769226 / Действителен до 14.06.2026 / 0621042KZ042 / годен до 14.06.2026</v>
      </c>
      <c r="H1459" s="1" t="str">
        <f ca="1">IFERROR(__xludf.DUMMYFUNCTION("""COMPUTED_VALUE"""),"Бинт эластичный медицинский средней растяжимости (ширина 80 мм) 02х80х3 KZ.7700.02.01.00769226 / Действителен до 14.06.2026 / 0621042KZ042 / годен до 14.06.2026")</f>
        <v>Бинт эластичный медицинский средней растяжимости (ширина 80 мм) 02х80х3 KZ.7700.02.01.00769226 / Действителен до 14.06.2026 / 0621042KZ042 / годен до 14.06.2026</v>
      </c>
    </row>
    <row r="1460" spans="1:8" ht="12.75" x14ac:dyDescent="0.2">
      <c r="A1460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460" s="1" t="str">
        <f ca="1">IFERROR(__xludf.DUMMYFUNCTION("""COMPUTED_VALUE"""),"KZ.7700.02.01.00769227")</f>
        <v>KZ.7700.02.01.00769227</v>
      </c>
      <c r="C1460" s="1" t="str">
        <f ca="1">IFERROR(__xludf.DUMMYFUNCTION("""COMPUTED_VALUE"""),"Действителен до 14.06.2026")</f>
        <v>Действителен до 14.06.2026</v>
      </c>
      <c r="D1460" s="8" t="str">
        <f ca="1">IFERROR(__xludf.DUMMYFUNCTION("""COMPUTED_VALUE"""),"0621042KZ042")</f>
        <v>0621042KZ042</v>
      </c>
      <c r="E1460" s="1" t="str">
        <f ca="1">IFERROR(__xludf.DUMMYFUNCTION("""COMPUTED_VALUE"""),"годен до 14.06.2026")</f>
        <v>годен до 14.06.2026</v>
      </c>
      <c r="F1460" s="1" t="str">
        <f ca="1">IFERROR(__xludf.DUMMYFUNCTION("""COMPUTED_VALUE"""),"Бинт эластичный медицинский средней растяжимости (ширина 80 мм) 02х80х3.5 - 0621042KZ042")</f>
        <v>Бинт эластичный медицинский средней растяжимости (ширина 80 мм) 02х80х3.5 - 0621042KZ042</v>
      </c>
      <c r="G1460" s="1" t="str">
        <f ca="1">IFERROR(__xludf.DUMMYFUNCTION("""COMPUTED_VALUE"""),"KZ.7700.02.01.00769227 / Действителен до 14.06.2026 / 0621042KZ042 / годен до 14.06.2026")</f>
        <v>KZ.7700.02.01.00769227 / Действителен до 14.06.2026 / 0621042KZ042 / годен до 14.06.2026</v>
      </c>
      <c r="H1460" s="1" t="str">
        <f ca="1">IFERROR(__xludf.DUMMYFUNCTION("""COMPUTED_VALUE"""),"Бинт эластичный медицинский средней растяжимости (ширина 80 мм) 02х80х3.5 KZ.7700.02.01.00769227 / Действителен до 14.06.2026 / 0621042KZ042 / годен до 14.06.2026")</f>
        <v>Бинт эластичный медицинский средней растяжимости (ширина 80 мм) 02х80х3.5 KZ.7700.02.01.00769227 / Действителен до 14.06.2026 / 0621042KZ042 / годен до 14.06.2026</v>
      </c>
    </row>
    <row r="1461" spans="1:8" ht="12.75" x14ac:dyDescent="0.2">
      <c r="A1461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461" s="1" t="str">
        <f ca="1">IFERROR(__xludf.DUMMYFUNCTION("""COMPUTED_VALUE"""),"KZ.7700.02.01.00769230")</f>
        <v>KZ.7700.02.01.00769230</v>
      </c>
      <c r="C1461" s="1" t="str">
        <f ca="1">IFERROR(__xludf.DUMMYFUNCTION("""COMPUTED_VALUE"""),"Действителен до 14.06.2026")</f>
        <v>Действителен до 14.06.2026</v>
      </c>
      <c r="D1461" s="8" t="str">
        <f ca="1">IFERROR(__xludf.DUMMYFUNCTION("""COMPUTED_VALUE"""),"0621042KZ042")</f>
        <v>0621042KZ042</v>
      </c>
      <c r="E1461" s="1" t="str">
        <f ca="1">IFERROR(__xludf.DUMMYFUNCTION("""COMPUTED_VALUE"""),"годен до 14.06.2026")</f>
        <v>годен до 14.06.2026</v>
      </c>
      <c r="F1461" s="1" t="str">
        <f ca="1">IFERROR(__xludf.DUMMYFUNCTION("""COMPUTED_VALUE"""),"Бинт эластичный медицинский средней растяжимости (ширина 80 мм) 02х80х4 - 0621042KZ042")</f>
        <v>Бинт эластичный медицинский средней растяжимости (ширина 80 мм) 02х80х4 - 0621042KZ042</v>
      </c>
      <c r="G1461" s="1" t="str">
        <f ca="1">IFERROR(__xludf.DUMMYFUNCTION("""COMPUTED_VALUE"""),"KZ.7700.02.01.00769230 / Действителен до 14.06.2026 / 0621042KZ042 / годен до 14.06.2026")</f>
        <v>KZ.7700.02.01.00769230 / Действителен до 14.06.2026 / 0621042KZ042 / годен до 14.06.2026</v>
      </c>
      <c r="H1461" s="1" t="str">
        <f ca="1">IFERROR(__xludf.DUMMYFUNCTION("""COMPUTED_VALUE"""),"Бинт эластичный медицинский средней растяжимости (ширина 80 мм) 02х80х4 KZ.7700.02.01.00769230 / Действителен до 14.06.2026 / 0621042KZ042 / годен до 14.06.2026")</f>
        <v>Бинт эластичный медицинский средней растяжимости (ширина 80 мм) 02х80х4 KZ.7700.02.01.00769230 / Действителен до 14.06.2026 / 0621042KZ042 / годен до 14.06.2026</v>
      </c>
    </row>
    <row r="1462" spans="1:8" ht="12.75" x14ac:dyDescent="0.2">
      <c r="A1462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462" s="1" t="str">
        <f ca="1">IFERROR(__xludf.DUMMYFUNCTION("""COMPUTED_VALUE"""),"KZ.7700.02.01.00769232")</f>
        <v>KZ.7700.02.01.00769232</v>
      </c>
      <c r="C1462" s="1" t="str">
        <f ca="1">IFERROR(__xludf.DUMMYFUNCTION("""COMPUTED_VALUE"""),"Действителен до 14.06.2026")</f>
        <v>Действителен до 14.06.2026</v>
      </c>
      <c r="D1462" s="8" t="str">
        <f ca="1">IFERROR(__xludf.DUMMYFUNCTION("""COMPUTED_VALUE"""),"0621042KZ042")</f>
        <v>0621042KZ042</v>
      </c>
      <c r="E1462" s="1" t="str">
        <f ca="1">IFERROR(__xludf.DUMMYFUNCTION("""COMPUTED_VALUE"""),"годен до 14.06.2026")</f>
        <v>годен до 14.06.2026</v>
      </c>
      <c r="F1462" s="1" t="str">
        <f ca="1">IFERROR(__xludf.DUMMYFUNCTION("""COMPUTED_VALUE"""),"Бинт эластичный медицинский средней растяжимости (ширина 80 мм) 02х80х5 - 0621042KZ042")</f>
        <v>Бинт эластичный медицинский средней растяжимости (ширина 80 мм) 02х80х5 - 0621042KZ042</v>
      </c>
      <c r="G1462" s="1" t="str">
        <f ca="1">IFERROR(__xludf.DUMMYFUNCTION("""COMPUTED_VALUE"""),"KZ.7700.02.01.00769232 / Действителен до 14.06.2026 / 0621042KZ042 / годен до 14.06.2026")</f>
        <v>KZ.7700.02.01.00769232 / Действителен до 14.06.2026 / 0621042KZ042 / годен до 14.06.2026</v>
      </c>
      <c r="H1462" s="1" t="str">
        <f ca="1">IFERROR(__xludf.DUMMYFUNCTION("""COMPUTED_VALUE"""),"Бинт эластичный медицинский средней растяжимости (ширина 80 мм) 02х80х5 KZ.7700.02.01.00769232 / Действителен до 14.06.2026 / 0621042KZ042 / годен до 14.06.2026")</f>
        <v>Бинт эластичный медицинский средней растяжимости (ширина 80 мм) 02х80х5 KZ.7700.02.01.00769232 / Действителен до 14.06.2026 / 0621042KZ042 / годен до 14.06.2026</v>
      </c>
    </row>
    <row r="1463" spans="1:8" ht="12.75" x14ac:dyDescent="0.2">
      <c r="A1463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1463" s="1" t="str">
        <f ca="1">IFERROR(__xludf.DUMMYFUNCTION("""COMPUTED_VALUE"""),"KZ.7700.02.01.00769183")</f>
        <v>KZ.7700.02.01.00769183</v>
      </c>
      <c r="C1463" s="1" t="str">
        <f ca="1">IFERROR(__xludf.DUMMYFUNCTION("""COMPUTED_VALUE"""),"Действителен до 14.06.2026")</f>
        <v>Действителен до 14.06.2026</v>
      </c>
      <c r="D1463" s="8" t="str">
        <f ca="1">IFERROR(__xludf.DUMMYFUNCTION("""COMPUTED_VALUE"""),"0621042KZ042")</f>
        <v>0621042KZ042</v>
      </c>
      <c r="E1463" s="1" t="str">
        <f ca="1">IFERROR(__xludf.DUMMYFUNCTION("""COMPUTED_VALUE"""),"годен до 14.06.2026")</f>
        <v>годен до 14.06.2026</v>
      </c>
      <c r="F1463" s="1" t="str">
        <f ca="1">IFERROR(__xludf.DUMMYFUNCTION("""COMPUTED_VALUE"""),"Бандаж на голеностопный сустав эластичный 7035 L (Болгария) - 0621042KZ042")</f>
        <v>Бандаж на голеностопный сустав эластичный 7035 L (Болгария) - 0621042KZ042</v>
      </c>
      <c r="G1463" s="1" t="str">
        <f ca="1">IFERROR(__xludf.DUMMYFUNCTION("""COMPUTED_VALUE"""),"KZ.7700.02.01.00769183 / Действителен до 14.06.2026 / 0621042KZ042 / годен до 14.06.2026")</f>
        <v>KZ.7700.02.01.00769183 / Действителен до 14.06.2026 / 0621042KZ042 / годен до 14.06.2026</v>
      </c>
      <c r="H1463" s="1" t="str">
        <f ca="1">IFERROR(__xludf.DUMMYFUNCTION("""COMPUTED_VALUE"""),"Бандаж на голеностопный сустав эластичный 7035 L (Болгария) KZ.7700.02.01.00769183 / Действителен до 14.06.2026 / 0621042KZ042 / годен до 14.06.2026")</f>
        <v>Бандаж на голеностопный сустав эластичный 7035 L (Болгария) KZ.7700.02.01.00769183 / Действителен до 14.06.2026 / 0621042KZ042 / годен до 14.06.2026</v>
      </c>
    </row>
    <row r="1464" spans="1:8" ht="12.75" x14ac:dyDescent="0.2">
      <c r="A1464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1464" s="1" t="str">
        <f ca="1">IFERROR(__xludf.DUMMYFUNCTION("""COMPUTED_VALUE"""),"KZ.7700.02.01.00769192")</f>
        <v>KZ.7700.02.01.00769192</v>
      </c>
      <c r="C1464" s="1" t="str">
        <f ca="1">IFERROR(__xludf.DUMMYFUNCTION("""COMPUTED_VALUE"""),"Действителен до 14.06.2026")</f>
        <v>Действителен до 14.06.2026</v>
      </c>
      <c r="D1464" s="8" t="str">
        <f ca="1">IFERROR(__xludf.DUMMYFUNCTION("""COMPUTED_VALUE"""),"0621042KZ042")</f>
        <v>0621042KZ042</v>
      </c>
      <c r="E1464" s="1" t="str">
        <f ca="1">IFERROR(__xludf.DUMMYFUNCTION("""COMPUTED_VALUE"""),"годен до 14.06.2026")</f>
        <v>годен до 14.06.2026</v>
      </c>
      <c r="F1464" s="1" t="str">
        <f ca="1">IFERROR(__xludf.DUMMYFUNCTION("""COMPUTED_VALUE"""),"Бандаж на локтевой сустав эластичный 8317 L (Болгария) - 0621042KZ042")</f>
        <v>Бандаж на локтевой сустав эластичный 8317 L (Болгария) - 0621042KZ042</v>
      </c>
      <c r="G1464" s="1" t="str">
        <f ca="1">IFERROR(__xludf.DUMMYFUNCTION("""COMPUTED_VALUE"""),"KZ.7700.02.01.00769192 / Действителен до 14.06.2026 / 0621042KZ042 / годен до 14.06.2026")</f>
        <v>KZ.7700.02.01.00769192 / Действителен до 14.06.2026 / 0621042KZ042 / годен до 14.06.2026</v>
      </c>
      <c r="H1464" s="1" t="str">
        <f ca="1">IFERROR(__xludf.DUMMYFUNCTION("""COMPUTED_VALUE"""),"Бандаж на локтевой сустав эластичный 8317 L (Болгария) KZ.7700.02.01.00769192 / Действителен до 14.06.2026 / 0621042KZ042 / годен до 14.06.2026")</f>
        <v>Бандаж на локтевой сустав эластичный 8317 L (Болгария) KZ.7700.02.01.00769192 / Действителен до 14.06.2026 / 0621042KZ042 / годен до 14.06.2026</v>
      </c>
    </row>
    <row r="1465" spans="1:8" ht="12.75" x14ac:dyDescent="0.2">
      <c r="A1465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1465" s="1" t="str">
        <f ca="1">IFERROR(__xludf.DUMMYFUNCTION("""COMPUTED_VALUE"""),"KZ.7700.02.01.00769196")</f>
        <v>KZ.7700.02.01.00769196</v>
      </c>
      <c r="C1465" s="1" t="str">
        <f ca="1">IFERROR(__xludf.DUMMYFUNCTION("""COMPUTED_VALUE"""),"Действителен до 14.06.2026")</f>
        <v>Действителен до 14.06.2026</v>
      </c>
      <c r="D1465" s="8" t="str">
        <f ca="1">IFERROR(__xludf.DUMMYFUNCTION("""COMPUTED_VALUE"""),"0621042KZ042")</f>
        <v>0621042KZ042</v>
      </c>
      <c r="E1465" s="1" t="str">
        <f ca="1">IFERROR(__xludf.DUMMYFUNCTION("""COMPUTED_VALUE"""),"годен до 14.06.2026")</f>
        <v>годен до 14.06.2026</v>
      </c>
      <c r="F1465" s="1" t="str">
        <f ca="1">IFERROR(__xludf.DUMMYFUNCTION("""COMPUTED_VALUE"""),"Бандаж на локтевой сустав эластичный 8317 M (Болгария) - 0621042KZ042")</f>
        <v>Бандаж на локтевой сустав эластичный 8317 M (Болгария) - 0621042KZ042</v>
      </c>
      <c r="G1465" s="1" t="str">
        <f ca="1">IFERROR(__xludf.DUMMYFUNCTION("""COMPUTED_VALUE"""),"KZ.7700.02.01.00769196 / Действителен до 14.06.2026 / 0621042KZ042 / годен до 14.06.2026")</f>
        <v>KZ.7700.02.01.00769196 / Действителен до 14.06.2026 / 0621042KZ042 / годен до 14.06.2026</v>
      </c>
      <c r="H1465" s="1" t="str">
        <f ca="1">IFERROR(__xludf.DUMMYFUNCTION("""COMPUTED_VALUE"""),"Бандаж на локтевой сустав эластичный 8317 M (Болгария) KZ.7700.02.01.00769196 / Действителен до 14.06.2026 / 0621042KZ042 / годен до 14.06.2026")</f>
        <v>Бандаж на локтевой сустав эластичный 8317 M (Болгария) KZ.7700.02.01.00769196 / Действителен до 14.06.2026 / 0621042KZ042 / годен до 14.06.2026</v>
      </c>
    </row>
    <row r="1466" spans="1:8" ht="12.75" x14ac:dyDescent="0.2">
      <c r="A1466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1466" s="1" t="str">
        <f ca="1">IFERROR(__xludf.DUMMYFUNCTION("""COMPUTED_VALUE"""),"KZ.7700.02.01.00769188")</f>
        <v>KZ.7700.02.01.00769188</v>
      </c>
      <c r="C1466" s="1" t="str">
        <f ca="1">IFERROR(__xludf.DUMMYFUNCTION("""COMPUTED_VALUE"""),"Действителен до 14.06.2026")</f>
        <v>Действителен до 14.06.2026</v>
      </c>
      <c r="D1466" s="8" t="str">
        <f ca="1">IFERROR(__xludf.DUMMYFUNCTION("""COMPUTED_VALUE"""),"0621042KZ042")</f>
        <v>0621042KZ042</v>
      </c>
      <c r="E1466" s="1" t="str">
        <f ca="1">IFERROR(__xludf.DUMMYFUNCTION("""COMPUTED_VALUE"""),"годен до 14.06.2026")</f>
        <v>годен до 14.06.2026</v>
      </c>
      <c r="F1466" s="1" t="str">
        <f ca="1">IFERROR(__xludf.DUMMYFUNCTION("""COMPUTED_VALUE"""),"Бандаж на локтевой сустав эластичный 8317 S (Болгария) - 0621042KZ042")</f>
        <v>Бандаж на локтевой сустав эластичный 8317 S (Болгария) - 0621042KZ042</v>
      </c>
      <c r="G1466" s="1" t="str">
        <f ca="1">IFERROR(__xludf.DUMMYFUNCTION("""COMPUTED_VALUE"""),"KZ.7700.02.01.00769188 / Действителен до 14.06.2026 / 0621042KZ042 / годен до 14.06.2026")</f>
        <v>KZ.7700.02.01.00769188 / Действителен до 14.06.2026 / 0621042KZ042 / годен до 14.06.2026</v>
      </c>
      <c r="H1466" s="1" t="str">
        <f ca="1">IFERROR(__xludf.DUMMYFUNCTION("""COMPUTED_VALUE"""),"Бандаж на локтевой сустав эластичный 8317 S (Болгария) KZ.7700.02.01.00769188 / Действителен до 14.06.2026 / 0621042KZ042 / годен до 14.06.2026")</f>
        <v>Бандаж на локтевой сустав эластичный 8317 S (Болгария) KZ.7700.02.01.00769188 / Действителен до 14.06.2026 / 0621042KZ042 / годен до 14.06.2026</v>
      </c>
    </row>
    <row r="1467" spans="1:8" ht="12.75" x14ac:dyDescent="0.2">
      <c r="A1467" s="1" t="str">
        <f ca="1">IFERROR(__xludf.DUMMYFUNCTION("""COMPUTED_VALUE"""),"Бандаж на локтевой сустав эластичный 8317 XL (Болгария)")</f>
        <v>Бандаж на локтевой сустав эластичный 8317 XL (Болгария)</v>
      </c>
      <c r="B1467" s="1" t="str">
        <f ca="1">IFERROR(__xludf.DUMMYFUNCTION("""COMPUTED_VALUE"""),"KZ.7700.02.01.00769201")</f>
        <v>KZ.7700.02.01.00769201</v>
      </c>
      <c r="C1467" s="1" t="str">
        <f ca="1">IFERROR(__xludf.DUMMYFUNCTION("""COMPUTED_VALUE"""),"Действителен до 14.06.2026")</f>
        <v>Действителен до 14.06.2026</v>
      </c>
      <c r="D1467" s="8" t="str">
        <f ca="1">IFERROR(__xludf.DUMMYFUNCTION("""COMPUTED_VALUE"""),"0621042KZ042")</f>
        <v>0621042KZ042</v>
      </c>
      <c r="E1467" s="1" t="str">
        <f ca="1">IFERROR(__xludf.DUMMYFUNCTION("""COMPUTED_VALUE"""),"годен до 14.06.2026")</f>
        <v>годен до 14.06.2026</v>
      </c>
      <c r="F1467" s="1" t="str">
        <f ca="1">IFERROR(__xludf.DUMMYFUNCTION("""COMPUTED_VALUE"""),"Бандаж на локтевой сустав эластичный 8317 XL (Болгария) - 0621042KZ042")</f>
        <v>Бандаж на локтевой сустав эластичный 8317 XL (Болгария) - 0621042KZ042</v>
      </c>
      <c r="G1467" s="1" t="str">
        <f ca="1">IFERROR(__xludf.DUMMYFUNCTION("""COMPUTED_VALUE"""),"KZ.7700.02.01.00769201 / Действителен до 14.06.2026 / 0621042KZ042 / годен до 14.06.2026")</f>
        <v>KZ.7700.02.01.00769201 / Действителен до 14.06.2026 / 0621042KZ042 / годен до 14.06.2026</v>
      </c>
      <c r="H1467" s="1" t="str">
        <f ca="1">IFERROR(__xludf.DUMMYFUNCTION("""COMPUTED_VALUE"""),"Бандаж на локтевой сустав эластичный 8317 XL (Болгария) KZ.7700.02.01.00769201 / Действителен до 14.06.2026 / 0621042KZ042 / годен до 14.06.2026")</f>
        <v>Бандаж на локтевой сустав эластичный 8317 XL (Болгария) KZ.7700.02.01.00769201 / Действителен до 14.06.2026 / 0621042KZ042 / годен до 14.06.2026</v>
      </c>
    </row>
    <row r="1468" spans="1:8" ht="12.75" x14ac:dyDescent="0.2">
      <c r="A1468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1468" s="1" t="str">
        <f ca="1">IFERROR(__xludf.DUMMYFUNCTION("""COMPUTED_VALUE"""),"KZ.7700.02.01.00769199")</f>
        <v>KZ.7700.02.01.00769199</v>
      </c>
      <c r="C1468" s="1" t="str">
        <f ca="1">IFERROR(__xludf.DUMMYFUNCTION("""COMPUTED_VALUE"""),"Действителен до 14.06.2026")</f>
        <v>Действителен до 14.06.2026</v>
      </c>
      <c r="D1468" s="8" t="str">
        <f ca="1">IFERROR(__xludf.DUMMYFUNCTION("""COMPUTED_VALUE"""),"0621042KZ042")</f>
        <v>0621042KZ042</v>
      </c>
      <c r="E1468" s="1" t="str">
        <f ca="1">IFERROR(__xludf.DUMMYFUNCTION("""COMPUTED_VALUE"""),"годен до 14.06.2026")</f>
        <v>годен до 14.06.2026</v>
      </c>
      <c r="F1468" s="1" t="str">
        <f ca="1">IFERROR(__xludf.DUMMYFUNCTION("""COMPUTED_VALUE"""),"Бандаж на лучезапястный сустав эластичный 8503 L (Болгария) - 0621042KZ042")</f>
        <v>Бандаж на лучезапястный сустав эластичный 8503 L (Болгария) - 0621042KZ042</v>
      </c>
      <c r="G1468" s="1" t="str">
        <f ca="1">IFERROR(__xludf.DUMMYFUNCTION("""COMPUTED_VALUE"""),"KZ.7700.02.01.00769199 / Действителен до 14.06.2026 / 0621042KZ042 / годен до 14.06.2026")</f>
        <v>KZ.7700.02.01.00769199 / Действителен до 14.06.2026 / 0621042KZ042 / годен до 14.06.2026</v>
      </c>
      <c r="H1468" s="1" t="str">
        <f ca="1">IFERROR(__xludf.DUMMYFUNCTION("""COMPUTED_VALUE"""),"Бандаж на лучезапястный сустав эластичный 8503 L (Болгария) KZ.7700.02.01.00769199 / Действителен до 14.06.2026 / 0621042KZ042 / годен до 14.06.2026")</f>
        <v>Бандаж на лучезапястный сустав эластичный 8503 L (Болгария) KZ.7700.02.01.00769199 / Действителен до 14.06.2026 / 0621042KZ042 / годен до 14.06.2026</v>
      </c>
    </row>
    <row r="1469" spans="1:8" ht="12.75" x14ac:dyDescent="0.2">
      <c r="A1469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469" s="1" t="str">
        <f ca="1">IFERROR(__xludf.DUMMYFUNCTION("""COMPUTED_VALUE"""),"KZ.7700.02.01.00769200")</f>
        <v>KZ.7700.02.01.00769200</v>
      </c>
      <c r="C1469" s="1" t="str">
        <f ca="1">IFERROR(__xludf.DUMMYFUNCTION("""COMPUTED_VALUE"""),"Действителен до 14.06.2026")</f>
        <v>Действителен до 14.06.2026</v>
      </c>
      <c r="D1469" s="8" t="str">
        <f ca="1">IFERROR(__xludf.DUMMYFUNCTION("""COMPUTED_VALUE"""),"0621042KZ042")</f>
        <v>0621042KZ042</v>
      </c>
      <c r="E1469" s="1" t="str">
        <f ca="1">IFERROR(__xludf.DUMMYFUNCTION("""COMPUTED_VALUE"""),"годен до 14.06.2026")</f>
        <v>годен до 14.06.2026</v>
      </c>
      <c r="F1469" s="1" t="str">
        <f ca="1">IFERROR(__xludf.DUMMYFUNCTION("""COMPUTED_VALUE"""),"Бандаж на лучезапястный сустав эластичный 8503 M (Болгария) - 0621042KZ042")</f>
        <v>Бандаж на лучезапястный сустав эластичный 8503 M (Болгария) - 0621042KZ042</v>
      </c>
      <c r="G1469" s="1" t="str">
        <f ca="1">IFERROR(__xludf.DUMMYFUNCTION("""COMPUTED_VALUE"""),"KZ.7700.02.01.00769200 / Действителен до 14.06.2026 / 0621042KZ042 / годен до 14.06.2026")</f>
        <v>KZ.7700.02.01.00769200 / Действителен до 14.06.2026 / 0621042KZ042 / годен до 14.06.2026</v>
      </c>
      <c r="H1469" s="1" t="str">
        <f ca="1">IFERROR(__xludf.DUMMYFUNCTION("""COMPUTED_VALUE"""),"Бандаж на лучезапястный сустав эластичный 8503 M (Болгария) KZ.7700.02.01.00769200 / Действителен до 14.06.2026 / 0621042KZ042 / годен до 14.06.2026")</f>
        <v>Бандаж на лучезапястный сустав эластичный 8503 M (Болгария) KZ.7700.02.01.00769200 / Действителен до 14.06.2026 / 0621042KZ042 / годен до 14.06.2026</v>
      </c>
    </row>
    <row r="1470" spans="1:8" ht="12.75" x14ac:dyDescent="0.2">
      <c r="A1470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470" s="1" t="str">
        <f ca="1">IFERROR(__xludf.DUMMYFUNCTION("""COMPUTED_VALUE"""),"KZ.7700.02.01.00769195")</f>
        <v>KZ.7700.02.01.00769195</v>
      </c>
      <c r="C1470" s="1" t="str">
        <f ca="1">IFERROR(__xludf.DUMMYFUNCTION("""COMPUTED_VALUE"""),"Действителен до 14.06.2026")</f>
        <v>Действителен до 14.06.2026</v>
      </c>
      <c r="D1470" s="8" t="str">
        <f ca="1">IFERROR(__xludf.DUMMYFUNCTION("""COMPUTED_VALUE"""),"0621042KZ042")</f>
        <v>0621042KZ042</v>
      </c>
      <c r="E1470" s="1" t="str">
        <f ca="1">IFERROR(__xludf.DUMMYFUNCTION("""COMPUTED_VALUE"""),"годен до 14.06.2026")</f>
        <v>годен до 14.06.2026</v>
      </c>
      <c r="F1470" s="1" t="str">
        <f ca="1">IFERROR(__xludf.DUMMYFUNCTION("""COMPUTED_VALUE"""),"Бандаж на лучезапястный сустав эластичный 8503 S (Болгария) - 0621042KZ042")</f>
        <v>Бандаж на лучезапястный сустав эластичный 8503 S (Болгария) - 0621042KZ042</v>
      </c>
      <c r="G1470" s="1" t="str">
        <f ca="1">IFERROR(__xludf.DUMMYFUNCTION("""COMPUTED_VALUE"""),"KZ.7700.02.01.00769195 / Действителен до 14.06.2026 / 0621042KZ042 / годен до 14.06.2026")</f>
        <v>KZ.7700.02.01.00769195 / Действителен до 14.06.2026 / 0621042KZ042 / годен до 14.06.2026</v>
      </c>
      <c r="H1470" s="1" t="str">
        <f ca="1">IFERROR(__xludf.DUMMYFUNCTION("""COMPUTED_VALUE"""),"Бандаж на лучезапястный сустав эластичный 8503 S (Болгария) KZ.7700.02.01.00769195 / Действителен до 14.06.2026 / 0621042KZ042 / годен до 14.06.2026")</f>
        <v>Бандаж на лучезапястный сустав эластичный 8503 S (Болгария) KZ.7700.02.01.00769195 / Действителен до 14.06.2026 / 0621042KZ042 / годен до 14.06.2026</v>
      </c>
    </row>
    <row r="1471" spans="1:8" ht="12.75" x14ac:dyDescent="0.2">
      <c r="A1471" s="1" t="str">
        <f ca="1">IFERROR(__xludf.DUMMYFUNCTION("""COMPUTED_VALUE"""),"Бандаж на лучезапястный сустав эластичный 8503 XL (Болгария)")</f>
        <v>Бандаж на лучезапястный сустав эластичный 8503 XL (Болгария)</v>
      </c>
      <c r="B1471" s="1" t="str">
        <f ca="1">IFERROR(__xludf.DUMMYFUNCTION("""COMPUTED_VALUE"""),"KZ.7700.02.01.00769193")</f>
        <v>KZ.7700.02.01.00769193</v>
      </c>
      <c r="C1471" s="1" t="str">
        <f ca="1">IFERROR(__xludf.DUMMYFUNCTION("""COMPUTED_VALUE"""),"Действителен до 14.06.2026")</f>
        <v>Действителен до 14.06.2026</v>
      </c>
      <c r="D1471" s="8" t="str">
        <f ca="1">IFERROR(__xludf.DUMMYFUNCTION("""COMPUTED_VALUE"""),"0621042KZ042")</f>
        <v>0621042KZ042</v>
      </c>
      <c r="E1471" s="1" t="str">
        <f ca="1">IFERROR(__xludf.DUMMYFUNCTION("""COMPUTED_VALUE"""),"годен до 14.06.2026")</f>
        <v>годен до 14.06.2026</v>
      </c>
      <c r="F1471" s="1" t="str">
        <f ca="1">IFERROR(__xludf.DUMMYFUNCTION("""COMPUTED_VALUE"""),"Бандаж на лучезапястный сустав эластичный 8503 XL (Болгария) - 0621042KZ042")</f>
        <v>Бандаж на лучезапястный сустав эластичный 8503 XL (Болгария) - 0621042KZ042</v>
      </c>
      <c r="G1471" s="1" t="str">
        <f ca="1">IFERROR(__xludf.DUMMYFUNCTION("""COMPUTED_VALUE"""),"KZ.7700.02.01.00769193 / Действителен до 14.06.2026 / 0621042KZ042 / годен до 14.06.2026")</f>
        <v>KZ.7700.02.01.00769193 / Действителен до 14.06.2026 / 0621042KZ042 / годен до 14.06.2026</v>
      </c>
      <c r="H1471" s="1" t="str">
        <f ca="1">IFERROR(__xludf.DUMMYFUNCTION("""COMPUTED_VALUE"""),"Бандаж на лучезапястный сустав эластичный 8503 XL (Болгария) KZ.7700.02.01.00769193 / Действителен до 14.06.2026 / 0621042KZ042 / годен до 14.06.2026")</f>
        <v>Бандаж на лучезапястный сустав эластичный 8503 XL (Болгария) KZ.7700.02.01.00769193 / Действителен до 14.06.2026 / 0621042KZ042 / годен до 14.06.2026</v>
      </c>
    </row>
    <row r="1472" spans="1:8" ht="12.75" x14ac:dyDescent="0.2">
      <c r="A1472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1472" s="1" t="str">
        <f ca="1">IFERROR(__xludf.DUMMYFUNCTION("""COMPUTED_VALUE"""),"KZ.7700.02.01.00769198")</f>
        <v>KZ.7700.02.01.00769198</v>
      </c>
      <c r="C1472" s="1" t="str">
        <f ca="1">IFERROR(__xludf.DUMMYFUNCTION("""COMPUTED_VALUE"""),"Действителен до 14.06.2026")</f>
        <v>Действителен до 14.06.2026</v>
      </c>
      <c r="D1472" s="8" t="str">
        <f ca="1">IFERROR(__xludf.DUMMYFUNCTION("""COMPUTED_VALUE"""),"0621042KZ042")</f>
        <v>0621042KZ042</v>
      </c>
      <c r="E1472" s="1" t="str">
        <f ca="1">IFERROR(__xludf.DUMMYFUNCTION("""COMPUTED_VALUE"""),"годен до 14.06.2026")</f>
        <v>годен до 14.06.2026</v>
      </c>
      <c r="F1472" s="1" t="str">
        <f ca="1">IFERROR(__xludf.DUMMYFUNCTION("""COMPUTED_VALUE"""),"Бандаж на лучезапястный сустав легкой фиксации 8505 L/XL (Бежевый) (Болгария) - 0621042KZ042")</f>
        <v>Бандаж на лучезапястный сустав легкой фиксации 8505 L/XL (Бежевый) (Болгария) - 0621042KZ042</v>
      </c>
      <c r="G1472" s="1" t="str">
        <f ca="1">IFERROR(__xludf.DUMMYFUNCTION("""COMPUTED_VALUE"""),"KZ.7700.02.01.00769198 / Действителен до 14.06.2026 / 0621042KZ042 / годен до 14.06.2026")</f>
        <v>KZ.7700.02.01.00769198 / Действителен до 14.06.2026 / 0621042KZ042 / годен до 14.06.2026</v>
      </c>
      <c r="H1472" s="1" t="str">
        <f ca="1">IFERROR(__xludf.DUMMYFUNCTION("""COMPUTED_VALUE"""),"Бандаж на лучезапястный сустав легкой фиксации 8505 L/XL (Бежевый) (Болгария) KZ.7700.02.01.00769198 / Действителен до 14.06.2026 / 0621042KZ042 / годен до 14.06.2026")</f>
        <v>Бандаж на лучезапястный сустав легкой фиксации 8505 L/XL (Бежевый) (Болгария) KZ.7700.02.01.00769198 / Действителен до 14.06.2026 / 0621042KZ042 / годен до 14.06.2026</v>
      </c>
    </row>
    <row r="1473" spans="1:8" ht="12.75" x14ac:dyDescent="0.2">
      <c r="A1473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1473" s="1" t="str">
        <f ca="1">IFERROR(__xludf.DUMMYFUNCTION("""COMPUTED_VALUE"""),"KZ.7700.02.01.00769197")</f>
        <v>KZ.7700.02.01.00769197</v>
      </c>
      <c r="C1473" s="1" t="str">
        <f ca="1">IFERROR(__xludf.DUMMYFUNCTION("""COMPUTED_VALUE"""),"Действителен до 14.06.2026")</f>
        <v>Действителен до 14.06.2026</v>
      </c>
      <c r="D1473" s="8" t="str">
        <f ca="1">IFERROR(__xludf.DUMMYFUNCTION("""COMPUTED_VALUE"""),"0621042KZ042")</f>
        <v>0621042KZ042</v>
      </c>
      <c r="E1473" s="1" t="str">
        <f ca="1">IFERROR(__xludf.DUMMYFUNCTION("""COMPUTED_VALUE"""),"годен до 14.06.2026")</f>
        <v>годен до 14.06.2026</v>
      </c>
      <c r="F1473" s="1" t="str">
        <f ca="1">IFERROR(__xludf.DUMMYFUNCTION("""COMPUTED_VALUE"""),"Бандаж на лучезапястный сустав легкой фиксации 8505 S/M (Бежевый) (Болгария) - 0621042KZ042")</f>
        <v>Бандаж на лучезапястный сустав легкой фиксации 8505 S/M (Бежевый) (Болгария) - 0621042KZ042</v>
      </c>
      <c r="G1473" s="1" t="str">
        <f ca="1">IFERROR(__xludf.DUMMYFUNCTION("""COMPUTED_VALUE"""),"KZ.7700.02.01.00769197 / Действителен до 14.06.2026 / 0621042KZ042 / годен до 14.06.2026")</f>
        <v>KZ.7700.02.01.00769197 / Действителен до 14.06.2026 / 0621042KZ042 / годен до 14.06.2026</v>
      </c>
      <c r="H1473" s="1" t="str">
        <f ca="1">IFERROR(__xludf.DUMMYFUNCTION("""COMPUTED_VALUE"""),"Бандаж на лучезапястный сустав легкой фиксации 8505 S/M (Бежевый) (Болгария) KZ.7700.02.01.00769197 / Действителен до 14.06.2026 / 0621042KZ042 / годен до 14.06.2026")</f>
        <v>Бандаж на лучезапястный сустав легкой фиксации 8505 S/M (Бежевый) (Болгария) KZ.7700.02.01.00769197 / Действителен до 14.06.2026 / 0621042KZ042 / годен до 14.06.2026</v>
      </c>
    </row>
    <row r="1474" spans="1:8" ht="12.75" x14ac:dyDescent="0.2">
      <c r="A1474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474" s="1" t="str">
        <f ca="1">IFERROR(__xludf.DUMMYFUNCTION("""COMPUTED_VALUE"""),"KZ.7700.02.01.00769213")</f>
        <v>KZ.7700.02.01.00769213</v>
      </c>
      <c r="C1474" s="1" t="str">
        <f ca="1">IFERROR(__xludf.DUMMYFUNCTION("""COMPUTED_VALUE"""),"Действителен до 14.06.2026")</f>
        <v>Действителен до 14.06.2026</v>
      </c>
      <c r="D1474" s="8" t="str">
        <f ca="1">IFERROR(__xludf.DUMMYFUNCTION("""COMPUTED_VALUE"""),"0621042KZ042")</f>
        <v>0621042KZ042</v>
      </c>
      <c r="E1474" s="1" t="str">
        <f ca="1">IFERROR(__xludf.DUMMYFUNCTION("""COMPUTED_VALUE"""),"годен до 14.06.2026")</f>
        <v>годен до 14.06.2026</v>
      </c>
      <c r="F1474" s="1" t="str">
        <f ca="1">IFERROR(__xludf.DUMMYFUNCTION("""COMPUTED_VALUE"""),"Бандаж на лучезапястный сустав с фиксацией пальца 8552 L\XL (Болгария) - 0621042KZ042")</f>
        <v>Бандаж на лучезапястный сустав с фиксацией пальца 8552 L\XL (Болгария) - 0621042KZ042</v>
      </c>
      <c r="G1474" s="1" t="str">
        <f ca="1">IFERROR(__xludf.DUMMYFUNCTION("""COMPUTED_VALUE"""),"KZ.7700.02.01.00769213 / Действителен до 14.06.2026 / 0621042KZ042 / годен до 14.06.2026")</f>
        <v>KZ.7700.02.01.00769213 / Действителен до 14.06.2026 / 0621042KZ042 / годен до 14.06.2026</v>
      </c>
      <c r="H1474" s="1" t="str">
        <f ca="1">IFERROR(__xludf.DUMMYFUNCTION("""COMPUTED_VALUE"""),"Бандаж на лучезапястный сустав с фиксацией пальца 8552 L\XL (Болгария) KZ.7700.02.01.00769213 / Действителен до 14.06.2026 / 0621042KZ042 / годен до 14.06.2026")</f>
        <v>Бандаж на лучезапястный сустав с фиксацией пальца 8552 L\XL (Болгария) KZ.7700.02.01.00769213 / Действителен до 14.06.2026 / 0621042KZ042 / годен до 14.06.2026</v>
      </c>
    </row>
    <row r="1475" spans="1:8" ht="12.75" x14ac:dyDescent="0.2">
      <c r="A1475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475" s="1" t="str">
        <f ca="1">IFERROR(__xludf.DUMMYFUNCTION("""COMPUTED_VALUE"""),"KZ.7700.02.01.00769194")</f>
        <v>KZ.7700.02.01.00769194</v>
      </c>
      <c r="C1475" s="1" t="str">
        <f ca="1">IFERROR(__xludf.DUMMYFUNCTION("""COMPUTED_VALUE"""),"Действителен до 14.06.2026")</f>
        <v>Действителен до 14.06.2026</v>
      </c>
      <c r="D1475" s="8" t="str">
        <f ca="1">IFERROR(__xludf.DUMMYFUNCTION("""COMPUTED_VALUE"""),"0621042KZ042")</f>
        <v>0621042KZ042</v>
      </c>
      <c r="E1475" s="1" t="str">
        <f ca="1">IFERROR(__xludf.DUMMYFUNCTION("""COMPUTED_VALUE"""),"годен до 14.06.2026")</f>
        <v>годен до 14.06.2026</v>
      </c>
      <c r="F1475" s="1" t="str">
        <f ca="1">IFERROR(__xludf.DUMMYFUNCTION("""COMPUTED_VALUE"""),"Бандаж на лучезапястный сустав с фиксацией пальца 8552 S\M (Болгария) - 0621042KZ042")</f>
        <v>Бандаж на лучезапястный сустав с фиксацией пальца 8552 S\M (Болгария) - 0621042KZ042</v>
      </c>
      <c r="G1475" s="1" t="str">
        <f ca="1">IFERROR(__xludf.DUMMYFUNCTION("""COMPUTED_VALUE"""),"KZ.7700.02.01.00769194 / Действителен до 14.06.2026 / 0621042KZ042 / годен до 14.06.2026")</f>
        <v>KZ.7700.02.01.00769194 / Действителен до 14.06.2026 / 0621042KZ042 / годен до 14.06.2026</v>
      </c>
      <c r="H1475" s="1" t="str">
        <f ca="1">IFERROR(__xludf.DUMMYFUNCTION("""COMPUTED_VALUE"""),"Бандаж на лучезапястный сустав с фиксацией пальца 8552 S\M (Болгария) KZ.7700.02.01.00769194 / Действителен до 14.06.2026 / 0621042KZ042 / годен до 14.06.2026")</f>
        <v>Бандаж на лучезапястный сустав с фиксацией пальца 8552 S\M (Болгария) KZ.7700.02.01.00769194 / Действителен до 14.06.2026 / 0621042KZ042 / годен до 14.06.2026</v>
      </c>
    </row>
    <row r="1476" spans="1:8" ht="12.75" x14ac:dyDescent="0.2">
      <c r="A1476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1476" s="1" t="str">
        <f ca="1">IFERROR(__xludf.DUMMYFUNCTION("""COMPUTED_VALUE"""),"KZ.7700.02.01.00769212")</f>
        <v>KZ.7700.02.01.00769212</v>
      </c>
      <c r="C1476" s="1" t="str">
        <f ca="1">IFERROR(__xludf.DUMMYFUNCTION("""COMPUTED_VALUE"""),"Действителен до 14.06.2026")</f>
        <v>Действителен до 14.06.2026</v>
      </c>
      <c r="D1476" s="8" t="str">
        <f ca="1">IFERROR(__xludf.DUMMYFUNCTION("""COMPUTED_VALUE"""),"0621042KZ042")</f>
        <v>0621042KZ042</v>
      </c>
      <c r="E1476" s="1" t="str">
        <f ca="1">IFERROR(__xludf.DUMMYFUNCTION("""COMPUTED_VALUE"""),"годен до 14.06.2026")</f>
        <v>годен до 14.06.2026</v>
      </c>
      <c r="F1476" s="1" t="str">
        <f ca="1">IFERROR(__xludf.DUMMYFUNCTION("""COMPUTED_VALUE"""),"Бандаж для руки поддерживающий облегченный (косынка) 9912 L (белый) (Болгария) - 0621042KZ042")</f>
        <v>Бандаж для руки поддерживающий облегченный (косынка) 9912 L (белый) (Болгария) - 0621042KZ042</v>
      </c>
      <c r="G1476" s="1" t="str">
        <f ca="1">IFERROR(__xludf.DUMMYFUNCTION("""COMPUTED_VALUE"""),"KZ.7700.02.01.00769212 / Действителен до 14.06.2026 / 0621042KZ042 / годен до 14.06.2026")</f>
        <v>KZ.7700.02.01.00769212 / Действителен до 14.06.2026 / 0621042KZ042 / годен до 14.06.2026</v>
      </c>
      <c r="H1476" s="1" t="str">
        <f ca="1">IFERROR(__xludf.DUMMYFUNCTION("""COMPUTED_VALUE"""),"Бандаж для руки поддерживающий облегченный (косынка) 9912 L (белый) (Болгария) KZ.7700.02.01.00769212 / Действителен до 14.06.2026 / 0621042KZ042 / годен до 14.06.2026")</f>
        <v>Бандаж для руки поддерживающий облегченный (косынка) 9912 L (белый) (Болгария) KZ.7700.02.01.00769212 / Действителен до 14.06.2026 / 0621042KZ042 / годен до 14.06.2026</v>
      </c>
    </row>
    <row r="1477" spans="1:8" ht="12.75" x14ac:dyDescent="0.2">
      <c r="A1477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477" s="1" t="str">
        <f ca="1">IFERROR(__xludf.DUMMYFUNCTION("""COMPUTED_VALUE"""),"KZ.7700.02.01.00769216")</f>
        <v>KZ.7700.02.01.00769216</v>
      </c>
      <c r="C1477" s="1" t="str">
        <f ca="1">IFERROR(__xludf.DUMMYFUNCTION("""COMPUTED_VALUE"""),"Действителен до 14.06.2026")</f>
        <v>Действителен до 14.06.2026</v>
      </c>
      <c r="D1477" s="8" t="str">
        <f ca="1">IFERROR(__xludf.DUMMYFUNCTION("""COMPUTED_VALUE"""),"0621042KZ042")</f>
        <v>0621042KZ042</v>
      </c>
      <c r="E1477" s="1" t="str">
        <f ca="1">IFERROR(__xludf.DUMMYFUNCTION("""COMPUTED_VALUE"""),"годен до 14.06.2026")</f>
        <v>годен до 14.06.2026</v>
      </c>
      <c r="F1477" s="1" t="str">
        <f ca="1">IFERROR(__xludf.DUMMYFUNCTION("""COMPUTED_VALUE"""),"Бандаж для руки поддерживающий облегченный (косынка) 9912 L (черный) (Болгария) - 0621042KZ042")</f>
        <v>Бандаж для руки поддерживающий облегченный (косынка) 9912 L (черный) (Болгария) - 0621042KZ042</v>
      </c>
      <c r="G1477" s="1" t="str">
        <f ca="1">IFERROR(__xludf.DUMMYFUNCTION("""COMPUTED_VALUE"""),"KZ.7700.02.01.00769216 / Действителен до 14.06.2026 / 0621042KZ042 / годен до 14.06.2026")</f>
        <v>KZ.7700.02.01.00769216 / Действителен до 14.06.2026 / 0621042KZ042 / годен до 14.06.2026</v>
      </c>
      <c r="H1477" s="1" t="str">
        <f ca="1">IFERROR(__xludf.DUMMYFUNCTION("""COMPUTED_VALUE"""),"Бандаж для руки поддерживающий облегченный (косынка) 9912 L (черный) (Болгария) KZ.7700.02.01.00769216 / Действителен до 14.06.2026 / 0621042KZ042 / годен до 14.06.2026")</f>
        <v>Бандаж для руки поддерживающий облегченный (косынка) 9912 L (черный) (Болгария) KZ.7700.02.01.00769216 / Действителен до 14.06.2026 / 0621042KZ042 / годен до 14.06.2026</v>
      </c>
    </row>
    <row r="1478" spans="1:8" ht="12.75" x14ac:dyDescent="0.2">
      <c r="A1478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1478" s="1" t="str">
        <f ca="1">IFERROR(__xludf.DUMMYFUNCTION("""COMPUTED_VALUE"""),"KZ.7700.02.01.00769214")</f>
        <v>KZ.7700.02.01.00769214</v>
      </c>
      <c r="C1478" s="1" t="str">
        <f ca="1">IFERROR(__xludf.DUMMYFUNCTION("""COMPUTED_VALUE"""),"Действителен до 14.06.2026")</f>
        <v>Действителен до 14.06.2026</v>
      </c>
      <c r="D1478" s="8" t="str">
        <f ca="1">IFERROR(__xludf.DUMMYFUNCTION("""COMPUTED_VALUE"""),"0621042KZ042")</f>
        <v>0621042KZ042</v>
      </c>
      <c r="E1478" s="1" t="str">
        <f ca="1">IFERROR(__xludf.DUMMYFUNCTION("""COMPUTED_VALUE"""),"годен до 14.06.2026")</f>
        <v>годен до 14.06.2026</v>
      </c>
      <c r="F1478" s="1" t="str">
        <f ca="1">IFERROR(__xludf.DUMMYFUNCTION("""COMPUTED_VALUE"""),"Бандаж для руки поддерживающий облегченный (косынка) 9912 M (белый) (Болгария) - 0621042KZ042")</f>
        <v>Бандаж для руки поддерживающий облегченный (косынка) 9912 M (белый) (Болгария) - 0621042KZ042</v>
      </c>
      <c r="G1478" s="1" t="str">
        <f ca="1">IFERROR(__xludf.DUMMYFUNCTION("""COMPUTED_VALUE"""),"KZ.7700.02.01.00769214 / Действителен до 14.06.2026 / 0621042KZ042 / годен до 14.06.2026")</f>
        <v>KZ.7700.02.01.00769214 / Действителен до 14.06.2026 / 0621042KZ042 / годен до 14.06.2026</v>
      </c>
      <c r="H1478" s="1" t="str">
        <f ca="1">IFERROR(__xludf.DUMMYFUNCTION("""COMPUTED_VALUE"""),"Бандаж для руки поддерживающий облегченный (косынка) 9912 M (белый) (Болгария) KZ.7700.02.01.00769214 / Действителен до 14.06.2026 / 0621042KZ042 / годен до 14.06.2026")</f>
        <v>Бандаж для руки поддерживающий облегченный (косынка) 9912 M (белый) (Болгария) KZ.7700.02.01.00769214 / Действителен до 14.06.2026 / 0621042KZ042 / годен до 14.06.2026</v>
      </c>
    </row>
    <row r="1479" spans="1:8" ht="12.75" x14ac:dyDescent="0.2">
      <c r="A1479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479" s="1" t="str">
        <f ca="1">IFERROR(__xludf.DUMMYFUNCTION("""COMPUTED_VALUE"""),"KZ.7700.02.01.00769210")</f>
        <v>KZ.7700.02.01.00769210</v>
      </c>
      <c r="C1479" s="1" t="str">
        <f ca="1">IFERROR(__xludf.DUMMYFUNCTION("""COMPUTED_VALUE"""),"Действителен до 14.06.2026")</f>
        <v>Действителен до 14.06.2026</v>
      </c>
      <c r="D1479" s="8" t="str">
        <f ca="1">IFERROR(__xludf.DUMMYFUNCTION("""COMPUTED_VALUE"""),"0621042KZ042")</f>
        <v>0621042KZ042</v>
      </c>
      <c r="E1479" s="1" t="str">
        <f ca="1">IFERROR(__xludf.DUMMYFUNCTION("""COMPUTED_VALUE"""),"годен до 14.06.2026")</f>
        <v>годен до 14.06.2026</v>
      </c>
      <c r="F1479" s="1" t="str">
        <f ca="1">IFERROR(__xludf.DUMMYFUNCTION("""COMPUTED_VALUE"""),"Бандаж для руки поддерживающий облегченный (косынка) 9912 M (черный) (Болгария) - 0621042KZ042")</f>
        <v>Бандаж для руки поддерживающий облегченный (косынка) 9912 M (черный) (Болгария) - 0621042KZ042</v>
      </c>
      <c r="G1479" s="1" t="str">
        <f ca="1">IFERROR(__xludf.DUMMYFUNCTION("""COMPUTED_VALUE"""),"KZ.7700.02.01.00769210 / Действителен до 14.06.2026 / 0621042KZ042 / годен до 14.06.2026")</f>
        <v>KZ.7700.02.01.00769210 / Действителен до 14.06.2026 / 0621042KZ042 / годен до 14.06.2026</v>
      </c>
      <c r="H1479" s="1" t="str">
        <f ca="1">IFERROR(__xludf.DUMMYFUNCTION("""COMPUTED_VALUE"""),"Бандаж для руки поддерживающий облегченный (косынка) 9912 M (черный) (Болгария) KZ.7700.02.01.00769210 / Действителен до 14.06.2026 / 0621042KZ042 / годен до 14.06.2026")</f>
        <v>Бандаж для руки поддерживающий облегченный (косынка) 9912 M (черный) (Болгария) KZ.7700.02.01.00769210 / Действителен до 14.06.2026 / 0621042KZ042 / годен до 14.06.2026</v>
      </c>
    </row>
    <row r="1480" spans="1:8" ht="12.75" x14ac:dyDescent="0.2">
      <c r="A1480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B1480" s="1" t="str">
        <f ca="1">IFERROR(__xludf.DUMMYFUNCTION("""COMPUTED_VALUE"""),"KZ.7700.02.01.00769215")</f>
        <v>KZ.7700.02.01.00769215</v>
      </c>
      <c r="C1480" s="1" t="str">
        <f ca="1">IFERROR(__xludf.DUMMYFUNCTION("""COMPUTED_VALUE"""),"Действителен до 14.06.2026")</f>
        <v>Действителен до 14.06.2026</v>
      </c>
      <c r="D1480" s="8" t="str">
        <f ca="1">IFERROR(__xludf.DUMMYFUNCTION("""COMPUTED_VALUE"""),"0621042KZ042")</f>
        <v>0621042KZ042</v>
      </c>
      <c r="E1480" s="1" t="str">
        <f ca="1">IFERROR(__xludf.DUMMYFUNCTION("""COMPUTED_VALUE"""),"годен до 14.06.2026")</f>
        <v>годен до 14.06.2026</v>
      </c>
      <c r="F1480" s="1" t="str">
        <f ca="1">IFERROR(__xludf.DUMMYFUNCTION("""COMPUTED_VALUE"""),"Бандаж для руки поддерживающий облегченный (косынка) 9912 XL (белый) (Болгария) - 0621042KZ042")</f>
        <v>Бандаж для руки поддерживающий облегченный (косынка) 9912 XL (белый) (Болгария) - 0621042KZ042</v>
      </c>
      <c r="G1480" s="1" t="str">
        <f ca="1">IFERROR(__xludf.DUMMYFUNCTION("""COMPUTED_VALUE"""),"KZ.7700.02.01.00769215 / Действителен до 14.06.2026 / 0621042KZ042 / годен до 14.06.2026")</f>
        <v>KZ.7700.02.01.00769215 / Действителен до 14.06.2026 / 0621042KZ042 / годен до 14.06.2026</v>
      </c>
      <c r="H1480" s="1" t="str">
        <f ca="1">IFERROR(__xludf.DUMMYFUNCTION("""COMPUTED_VALUE"""),"Бандаж для руки поддерживающий облегченный (косынка) 9912 XL (белый) (Болгария) KZ.7700.02.01.00769215 / Действителен до 14.06.2026 / 0621042KZ042 / годен до 14.06.2026")</f>
        <v>Бандаж для руки поддерживающий облегченный (косынка) 9912 XL (белый) (Болгария) KZ.7700.02.01.00769215 / Действителен до 14.06.2026 / 0621042KZ042 / годен до 14.06.2026</v>
      </c>
    </row>
    <row r="1481" spans="1:8" ht="12.75" x14ac:dyDescent="0.2">
      <c r="A1481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B1481" s="1" t="str">
        <f ca="1">IFERROR(__xludf.DUMMYFUNCTION("""COMPUTED_VALUE"""),"KZ.7700.02.01.00769219")</f>
        <v>KZ.7700.02.01.00769219</v>
      </c>
      <c r="C1481" s="1" t="str">
        <f ca="1">IFERROR(__xludf.DUMMYFUNCTION("""COMPUTED_VALUE"""),"Действителен до 15.02.2026")</f>
        <v>Действителен до 15.02.2026</v>
      </c>
      <c r="D1481" s="8" t="str">
        <f ca="1">IFERROR(__xludf.DUMMYFUNCTION("""COMPUTED_VALUE"""),"0221176KZ176")</f>
        <v>0221176KZ176</v>
      </c>
      <c r="E1481" s="1" t="str">
        <f ca="1">IFERROR(__xludf.DUMMYFUNCTION("""COMPUTED_VALUE"""),"годен до 15.02.2026 г.")</f>
        <v>годен до 15.02.2026 г.</v>
      </c>
      <c r="F1481" s="1" t="str">
        <f ca="1">IFERROR(__xludf.DUMMYFUNCTION("""COMPUTED_VALUE"""),"Бандаж для руки поддерживающий облегченный (косынка) 9912 XL (белый) (Болгария) - 0221176KZ176")</f>
        <v>Бандаж для руки поддерживающий облегченный (косынка) 9912 XL (белый) (Болгария) - 0221176KZ176</v>
      </c>
      <c r="G1481" s="1" t="str">
        <f ca="1">IFERROR(__xludf.DUMMYFUNCTION("""COMPUTED_VALUE"""),"KZ.7700.02.01.00769219 / Действителен до 15.02.2026 / 0221176KZ176 / годен до 15.02.2026 г.")</f>
        <v>KZ.7700.02.01.00769219 / Действителен до 15.02.2026 / 0221176KZ176 / годен до 15.02.2026 г.</v>
      </c>
      <c r="H1481" s="1" t="str">
        <f ca="1">IFERROR(__xludf.DUMMYFUNCTION("""COMPUTED_VALUE"""),"Бандаж для руки поддерживающий облегченный (косынка) 9912 XL (белый) (Болгария) KZ.7700.02.01.00769219 / Действителен до 15.02.2026 / 0221176KZ176 / годен до 15.02.2026 г.")</f>
        <v>Бандаж для руки поддерживающий облегченный (косынка) 9912 XL (белый) (Болгария) KZ.7700.02.01.00769219 / Действителен до 15.02.2026 / 0221176KZ176 / годен до 15.02.2026 г.</v>
      </c>
    </row>
    <row r="1482" spans="1:8" ht="12.75" x14ac:dyDescent="0.2">
      <c r="A1482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482" s="1" t="str">
        <f ca="1">IFERROR(__xludf.DUMMYFUNCTION("""COMPUTED_VALUE"""),"KZ.7700.02.01.00769208")</f>
        <v>KZ.7700.02.01.00769208</v>
      </c>
      <c r="C1482" s="1" t="str">
        <f ca="1">IFERROR(__xludf.DUMMYFUNCTION("""COMPUTED_VALUE"""),"Действителен до 14.06.2026")</f>
        <v>Действителен до 14.06.2026</v>
      </c>
      <c r="D1482" s="8" t="str">
        <f ca="1">IFERROR(__xludf.DUMMYFUNCTION("""COMPUTED_VALUE"""),"0621042KZ042")</f>
        <v>0621042KZ042</v>
      </c>
      <c r="E1482" s="1" t="str">
        <f ca="1">IFERROR(__xludf.DUMMYFUNCTION("""COMPUTED_VALUE"""),"годен до 14.06.2026")</f>
        <v>годен до 14.06.2026</v>
      </c>
      <c r="F1482" s="1" t="str">
        <f ca="1">IFERROR(__xludf.DUMMYFUNCTION("""COMPUTED_VALUE"""),"Бандаж для руки поддерживающий облегченный (косынка) 9912 XL (черный) (Болгария) - 0621042KZ042")</f>
        <v>Бандаж для руки поддерживающий облегченный (косынка) 9912 XL (черный) (Болгария) - 0621042KZ042</v>
      </c>
      <c r="G1482" s="1" t="str">
        <f ca="1">IFERROR(__xludf.DUMMYFUNCTION("""COMPUTED_VALUE"""),"KZ.7700.02.01.00769208 / Действителен до 14.06.2026 / 0621042KZ042 / годен до 14.06.2026")</f>
        <v>KZ.7700.02.01.00769208 / Действителен до 14.06.2026 / 0621042KZ042 / годен до 14.06.2026</v>
      </c>
      <c r="H1482" s="1" t="str">
        <f ca="1">IFERROR(__xludf.DUMMYFUNCTION("""COMPUTED_VALUE"""),"Бандаж для руки поддерживающий облегченный (косынка) 9912 XL (черный) (Болгария) KZ.7700.02.01.00769208 / Действителен до 14.06.2026 / 0621042KZ042 / годен до 14.06.2026")</f>
        <v>Бандаж для руки поддерживающий облегченный (косынка) 9912 XL (черный) (Болгария) KZ.7700.02.01.00769208 / Действителен до 14.06.2026 / 0621042KZ042 / годен до 14.06.2026</v>
      </c>
    </row>
    <row r="1483" spans="1:8" ht="12.75" x14ac:dyDescent="0.2">
      <c r="A1483" s="1" t="str">
        <f ca="1">IFERROR(__xludf.DUMMYFUNCTION("""COMPUTED_VALUE"""),"КОМПЛЕКТ ПЛАСТЫРЕЙ НА ТКАНЕВОЙ ОСНОВЕ №20")</f>
        <v>КОМПЛЕКТ ПЛАСТЫРЕЙ НА ТКАНЕВОЙ ОСНОВЕ №20</v>
      </c>
      <c r="B1483" s="1" t="str">
        <f ca="1">IFERROR(__xludf.DUMMYFUNCTION("""COMPUTED_VALUE"""),"KZ.7700.02.01.00768722")</f>
        <v>KZ.7700.02.01.00768722</v>
      </c>
      <c r="C1483" s="1" t="str">
        <f ca="1">IFERROR(__xludf.DUMMYFUNCTION("""COMPUTED_VALUE"""),"Действителен до 01.04.2025")</f>
        <v>Действителен до 01.04.2025</v>
      </c>
      <c r="D1483" s="8" t="str">
        <f ca="1">IFERROR(__xludf.DUMMYFUNCTION("""COMPUTED_VALUE"""),"20214-06")</f>
        <v>20214-06</v>
      </c>
      <c r="E1483" s="1" t="str">
        <f ca="1">IFERROR(__xludf.DUMMYFUNCTION("""COMPUTED_VALUE"""),"годен до 03.2025 г.")</f>
        <v>годен до 03.2025 г.</v>
      </c>
      <c r="F1483" s="1" t="str">
        <f ca="1">IFERROR(__xludf.DUMMYFUNCTION("""COMPUTED_VALUE"""),"КОМПЛЕКТ ПЛАСТЫРЕЙ НА ТКАНЕВОЙ ОСНОВЕ №20 - 20214-06")</f>
        <v>КОМПЛЕКТ ПЛАСТЫРЕЙ НА ТКАНЕВОЙ ОСНОВЕ №20 - 20214-06</v>
      </c>
      <c r="G1483" s="1" t="str">
        <f ca="1">IFERROR(__xludf.DUMMYFUNCTION("""COMPUTED_VALUE"""),"KZ.7700.02.01.00768722 / Действителен до 01.04.2025 / 20214-06 / годен до 03.2025 г.")</f>
        <v>KZ.7700.02.01.00768722 / Действителен до 01.04.2025 / 20214-06 / годен до 03.2025 г.</v>
      </c>
      <c r="H1483" s="1" t="str">
        <f ca="1">IFERROR(__xludf.DUMMYFUNCTION("""COMPUTED_VALUE"""),"КОМПЛЕКТ ПЛАСТЫРЕЙ НА ТКАНЕВОЙ ОСНОВЕ №20 KZ.7700.02.01.00768722 / Действителен до 01.04.2025 / 20214-06 / годен до 03.2025 г.")</f>
        <v>КОМПЛЕКТ ПЛАСТЫРЕЙ НА ТКАНЕВОЙ ОСНОВЕ №20 KZ.7700.02.01.00768722 / Действителен до 01.04.2025 / 20214-06 / годен до 03.2025 г.</v>
      </c>
    </row>
    <row r="1484" spans="1:8" ht="12.75" x14ac:dyDescent="0.2">
      <c r="A1484" s="1" t="str">
        <f ca="1">IFERROR(__xludf.DUMMYFUNCTION("""COMPUTED_VALUE"""),"МЕДИЦИНСКИЙ НЕТКАНЫЙ ПЛАСТЫРЬ (19mm х 72mm) №100")</f>
        <v>МЕДИЦИНСКИЙ НЕТКАНЫЙ ПЛАСТЫРЬ (19mm х 72mm) №100</v>
      </c>
      <c r="B1484" s="1" t="str">
        <f ca="1">IFERROR(__xludf.DUMMYFUNCTION("""COMPUTED_VALUE"""),"KZ.7700.02.01.00768721")</f>
        <v>KZ.7700.02.01.00768721</v>
      </c>
      <c r="C1484" s="1" t="str">
        <f ca="1">IFERROR(__xludf.DUMMYFUNCTION("""COMPUTED_VALUE"""),"Действителен до 01.01.2026")</f>
        <v>Действителен до 01.01.2026</v>
      </c>
      <c r="D1484" s="8" t="str">
        <f ca="1">IFERROR(__xludf.DUMMYFUNCTION("""COMPUTED_VALUE"""),"111-142-6")</f>
        <v>111-142-6</v>
      </c>
      <c r="E1484" s="1" t="str">
        <f ca="1">IFERROR(__xludf.DUMMYFUNCTION("""COMPUTED_VALUE"""),"годен до 12.2025 г")</f>
        <v>годен до 12.2025 г</v>
      </c>
      <c r="F1484" s="1" t="str">
        <f ca="1">IFERROR(__xludf.DUMMYFUNCTION("""COMPUTED_VALUE"""),"МЕДИЦИНСКИЙ НЕТКАНЫЙ ПЛАСТЫРЬ (19mm х 72mm) №100 - 111-142-6")</f>
        <v>МЕДИЦИНСКИЙ НЕТКАНЫЙ ПЛАСТЫРЬ (19mm х 72mm) №100 - 111-142-6</v>
      </c>
      <c r="G1484" s="1" t="str">
        <f ca="1">IFERROR(__xludf.DUMMYFUNCTION("""COMPUTED_VALUE"""),"KZ.7700.02.01.00768721 / Действителен до 01.01.2026 / 111-142-6 / годен до 12.2025 г")</f>
        <v>KZ.7700.02.01.00768721 / Действителен до 01.01.2026 / 111-142-6 / годен до 12.2025 г</v>
      </c>
      <c r="H1484" s="1" t="str">
        <f ca="1">IFERROR(__xludf.DUMMYFUNCTION("""COMPUTED_VALUE"""),"МЕДИЦИНСКИЙ НЕТКАНЫЙ ПЛАСТЫРЬ (19mm х 72mm) №100 KZ.7700.02.01.00768721 / Действителен до 01.01.2026 / 111-142-6 / годен до 12.2025 г")</f>
        <v>МЕДИЦИНСКИЙ НЕТКАНЫЙ ПЛАСТЫРЬ (19mm х 72mm) №100 KZ.7700.02.01.00768721 / Действителен до 01.01.2026 / 111-142-6 / годен до 12.2025 г</v>
      </c>
    </row>
    <row r="1485" spans="1:8" ht="12.75" x14ac:dyDescent="0.2">
      <c r="A1485" s="1" t="str">
        <f ca="1">IFERROR(__xludf.DUMMYFUNCTION("""COMPUTED_VALUE"""),"МЕДИЦИНСКИЙ ПЛАСТЫРЬ НА ТКАНЕВОЙ ОСНОВЕ (19mm х 72mm) №100")</f>
        <v>МЕДИЦИНСКИЙ ПЛАСТЫРЬ НА ТКАНЕВОЙ ОСНОВЕ (19mm х 72mm) №100</v>
      </c>
      <c r="B1485" s="1" t="str">
        <f ca="1">IFERROR(__xludf.DUMMYFUNCTION("""COMPUTED_VALUE"""),"KZ.7700.02.01.00768731")</f>
        <v>KZ.7700.02.01.00768731</v>
      </c>
      <c r="C1485" s="1" t="str">
        <f ca="1">IFERROR(__xludf.DUMMYFUNCTION("""COMPUTED_VALUE"""),"Действителен до 01.04.2025")</f>
        <v>Действителен до 01.04.2025</v>
      </c>
      <c r="D1485" s="8" t="str">
        <f ca="1">IFERROR(__xludf.DUMMYFUNCTION("""COMPUTED_VALUE"""),"111/308-5")</f>
        <v>111/308-5</v>
      </c>
      <c r="E1485" s="1" t="str">
        <f ca="1">IFERROR(__xludf.DUMMYFUNCTION("""COMPUTED_VALUE"""),"годен до 03.2025 г")</f>
        <v>годен до 03.2025 г</v>
      </c>
      <c r="F1485" s="1" t="str">
        <f ca="1">IFERROR(__xludf.DUMMYFUNCTION("""COMPUTED_VALUE"""),"МЕДИЦИНСКИЙ ПЛАСТЫРЬ НА ТКАНЕВОЙ ОСНОВЕ (19mm х 72mm) №100 - 111/308-5")</f>
        <v>МЕДИЦИНСКИЙ ПЛАСТЫРЬ НА ТКАНЕВОЙ ОСНОВЕ (19mm х 72mm) №100 - 111/308-5</v>
      </c>
      <c r="G1485" s="1" t="str">
        <f ca="1">IFERROR(__xludf.DUMMYFUNCTION("""COMPUTED_VALUE"""),"KZ.7700.02.01.00768731 / Действителен до 01.04.2025 / 111/308-5 / годен до 03.2025 г")</f>
        <v>KZ.7700.02.01.00768731 / Действителен до 01.04.2025 / 111/308-5 / годен до 03.2025 г</v>
      </c>
      <c r="H1485" s="1" t="str">
        <f ca="1">IFERROR(__xludf.DUMMYFUNCTION("""COMPUTED_VALUE"""),"МЕДИЦИНСКИЙ ПЛАСТЫРЬ НА ТКАНЕВОЙ ОСНОВЕ (19mm х 72mm) №100 KZ.7700.02.01.00768731 / Действителен до 01.04.2025 / 111/308-5 / годен до 03.2025 г")</f>
        <v>МЕДИЦИНСКИЙ ПЛАСТЫРЬ НА ТКАНЕВОЙ ОСНОВЕ (19mm х 72mm) №100 KZ.7700.02.01.00768731 / Действителен до 01.04.2025 / 111/308-5 / годен до 03.2025 г</v>
      </c>
    </row>
    <row r="1486" spans="1:8" ht="12.75" x14ac:dyDescent="0.2">
      <c r="A1486" s="1" t="str">
        <f ca="1">IFERROR(__xludf.DUMMYFUNCTION("""COMPUTED_VALUE"""),"МЕДИЦИНСКИЙ ПЛАСТЫРЬ НА ТКАНЕВОЙ ОСНОВЕ (19mm х 72mm) №100")</f>
        <v>МЕДИЦИНСКИЙ ПЛАСТЫРЬ НА ТКАНЕВОЙ ОСНОВЕ (19mm х 72mm) №100</v>
      </c>
      <c r="B1486" s="1" t="str">
        <f ca="1">IFERROR(__xludf.DUMMYFUNCTION("""COMPUTED_VALUE"""),"KZ.7700.02.01.00768723")</f>
        <v>KZ.7700.02.01.00768723</v>
      </c>
      <c r="C1486" s="1" t="str">
        <f ca="1">IFERROR(__xludf.DUMMYFUNCTION("""COMPUTED_VALUE"""),"Действителен до 01.06.2026")</f>
        <v>Действителен до 01.06.2026</v>
      </c>
      <c r="D1486" s="8" t="str">
        <f ca="1">IFERROR(__xludf.DUMMYFUNCTION("""COMPUTED_VALUE"""),"111/309-1")</f>
        <v>111/309-1</v>
      </c>
      <c r="E1486" s="1" t="str">
        <f ca="1">IFERROR(__xludf.DUMMYFUNCTION("""COMPUTED_VALUE"""),"годен до 05.2026 г.")</f>
        <v>годен до 05.2026 г.</v>
      </c>
      <c r="F1486" s="1" t="str">
        <f ca="1">IFERROR(__xludf.DUMMYFUNCTION("""COMPUTED_VALUE"""),"МЕДИЦИНСКИЙ ПЛАСТЫРЬ НА ТКАНЕВОЙ ОСНОВЕ (19mm х 72mm) №100 - 111/309-1")</f>
        <v>МЕДИЦИНСКИЙ ПЛАСТЫРЬ НА ТКАНЕВОЙ ОСНОВЕ (19mm х 72mm) №100 - 111/309-1</v>
      </c>
      <c r="G1486" s="1" t="str">
        <f ca="1">IFERROR(__xludf.DUMMYFUNCTION("""COMPUTED_VALUE"""),"KZ.7700.02.01.00768723 / Действителен до 01.06.2026 / 111/309-1 / годен до 05.2026 г.")</f>
        <v>KZ.7700.02.01.00768723 / Действителен до 01.06.2026 / 111/309-1 / годен до 05.2026 г.</v>
      </c>
      <c r="H1486" s="1" t="str">
        <f ca="1">IFERROR(__xludf.DUMMYFUNCTION("""COMPUTED_VALUE"""),"МЕДИЦИНСКИЙ ПЛАСТЫРЬ НА ТКАНЕВОЙ ОСНОВЕ (19mm х 72mm) №100 KZ.7700.02.01.00768723 / Действителен до 01.06.2026 / 111/309-1 / годен до 05.2026 г.")</f>
        <v>МЕДИЦИНСКИЙ ПЛАСТЫРЬ НА ТКАНЕВОЙ ОСНОВЕ (19mm х 72mm) №100 KZ.7700.02.01.00768723 / Действителен до 01.06.2026 / 111/309-1 / годен до 05.2026 г.</v>
      </c>
    </row>
    <row r="1487" spans="1:8" ht="12.75" x14ac:dyDescent="0.2">
      <c r="A1487" s="1" t="str">
        <f ca="1">IFERROR(__xludf.DUMMYFUNCTION("""COMPUTED_VALUE"""),"МЕДИЦИНСКИЙ ХЛОПЧАТОБУМАЖНЫЙ ПЛАСТЫРЬ В РУЛОНЕ (5m x 1,25cm)")</f>
        <v>МЕДИЦИНСКИЙ ХЛОПЧАТОБУМАЖНЫЙ ПЛАСТЫРЬ В РУЛОНЕ (5m x 1,25cm)</v>
      </c>
      <c r="B1487" s="1" t="str">
        <f ca="1">IFERROR(__xludf.DUMMYFUNCTION("""COMPUTED_VALUE"""),"KZ.7700.02.01.00768728")</f>
        <v>KZ.7700.02.01.00768728</v>
      </c>
      <c r="C1487" s="1" t="str">
        <f ca="1">IFERROR(__xludf.DUMMYFUNCTION("""COMPUTED_VALUE"""),"Действителен до 01.12.2025")</f>
        <v>Действителен до 01.12.2025</v>
      </c>
      <c r="D1487" s="8" t="str">
        <f ca="1">IFERROR(__xludf.DUMMYFUNCTION("""COMPUTED_VALUE"""),"207341-5,")</f>
        <v>207341-5,</v>
      </c>
      <c r="E1487" s="1" t="str">
        <f ca="1">IFERROR(__xludf.DUMMYFUNCTION("""COMPUTED_VALUE"""),"годен до 11.2025 г")</f>
        <v>годен до 11.2025 г</v>
      </c>
      <c r="F1487" s="1" t="str">
        <f ca="1">IFERROR(__xludf.DUMMYFUNCTION("""COMPUTED_VALUE"""),"МЕДИЦИНСКИЙ ХЛОПЧАТОБУМАЖНЫЙ ПЛАСТЫРЬ В РУЛОНЕ (5m x 1,25cm) - 207341-5,")</f>
        <v>МЕДИЦИНСКИЙ ХЛОПЧАТОБУМАЖНЫЙ ПЛАСТЫРЬ В РУЛОНЕ (5m x 1,25cm) - 207341-5,</v>
      </c>
      <c r="G1487" s="1" t="str">
        <f ca="1">IFERROR(__xludf.DUMMYFUNCTION("""COMPUTED_VALUE"""),"KZ.7700.02.01.00768728 / Действителен до 01.12.2025 / 207341-5, / годен до 11.2025 г")</f>
        <v>KZ.7700.02.01.00768728 / Действителен до 01.12.2025 / 207341-5, / годен до 11.2025 г</v>
      </c>
      <c r="H1487" s="1" t="str">
        <f ca="1">IFERROR(__xludf.DUMMYFUNCTION("""COMPUTED_VALUE"""),"МЕДИЦИНСКИЙ ХЛОПЧАТОБУМАЖНЫЙ ПЛАСТЫРЬ В РУЛОНЕ (5m x 1,25cm) KZ.7700.02.01.00768728 / Действителен до 01.12.2025 / 207341-5, / годен до 11.2025 г")</f>
        <v>МЕДИЦИНСКИЙ ХЛОПЧАТОБУМАЖНЫЙ ПЛАСТЫРЬ В РУЛОНЕ (5m x 1,25cm) KZ.7700.02.01.00768728 / Действителен до 01.12.2025 / 207341-5, / годен до 11.2025 г</v>
      </c>
    </row>
    <row r="1488" spans="1:8" ht="12.75" x14ac:dyDescent="0.2">
      <c r="A1488" s="1" t="str">
        <f ca="1">IFERROR(__xludf.DUMMYFUNCTION("""COMPUTED_VALUE"""),"МОЗОЛЬНЫЙ ПЛАСТЫРЬ (19mm х 72mm) №4")</f>
        <v>МОЗОЛЬНЫЙ ПЛАСТЫРЬ (19mm х 72mm) №4</v>
      </c>
      <c r="B1488" s="1" t="str">
        <f ca="1">IFERROR(__xludf.DUMMYFUNCTION("""COMPUTED_VALUE"""),"KZ.7700.02.01.00768727")</f>
        <v>KZ.7700.02.01.00768727</v>
      </c>
      <c r="C1488" s="1" t="str">
        <f ca="1">IFERROR(__xludf.DUMMYFUNCTION("""COMPUTED_VALUE"""),"Действителен до 01.01.2026")</f>
        <v>Действителен до 01.01.2026</v>
      </c>
      <c r="D1488" s="8" t="str">
        <f ca="1">IFERROR(__xludf.DUMMYFUNCTION("""COMPUTED_VALUE"""),"20224-12")</f>
        <v>20224-12</v>
      </c>
      <c r="E1488" s="1" t="str">
        <f ca="1">IFERROR(__xludf.DUMMYFUNCTION("""COMPUTED_VALUE"""),"годен до 12.2025 г.")</f>
        <v>годен до 12.2025 г.</v>
      </c>
      <c r="F1488" s="1" t="str">
        <f ca="1">IFERROR(__xludf.DUMMYFUNCTION("""COMPUTED_VALUE"""),"МОЗОЛЬНЫЙ ПЛАСТЫРЬ (19mm х 72mm) №4 - 20224-12")</f>
        <v>МОЗОЛЬНЫЙ ПЛАСТЫРЬ (19mm х 72mm) №4 - 20224-12</v>
      </c>
      <c r="G1488" s="1" t="str">
        <f ca="1">IFERROR(__xludf.DUMMYFUNCTION("""COMPUTED_VALUE"""),"KZ.7700.02.01.00768727 / Действителен до 01.01.2026 / 20224-12 / годен до 12.2025 г.")</f>
        <v>KZ.7700.02.01.00768727 / Действителен до 01.01.2026 / 20224-12 / годен до 12.2025 г.</v>
      </c>
      <c r="H1488" s="1" t="str">
        <f ca="1">IFERROR(__xludf.DUMMYFUNCTION("""COMPUTED_VALUE"""),"МОЗОЛЬНЫЙ ПЛАСТЫРЬ (19mm х 72mm) №4 KZ.7700.02.01.00768727 / Действителен до 01.01.2026 / 20224-12 / годен до 12.2025 г.")</f>
        <v>МОЗОЛЬНЫЙ ПЛАСТЫРЬ (19mm х 72mm) №4 KZ.7700.02.01.00768727 / Действителен до 01.01.2026 / 20224-12 / годен до 12.2025 г.</v>
      </c>
    </row>
    <row r="1489" spans="1:8" ht="12.75" x14ac:dyDescent="0.2">
      <c r="A1489" s="1" t="str">
        <f ca="1">IFERROR(__xludf.DUMMYFUNCTION("""COMPUTED_VALUE"""),"DOLPHI 3 в 1 №3 Презервативы латексные")</f>
        <v>DOLPHI 3 в 1 №3 Презервативы латексные</v>
      </c>
      <c r="B1489" s="1" t="str">
        <f ca="1">IFERROR(__xludf.DUMMYFUNCTION("""COMPUTED_VALUE"""),"KZ.7700.02.01.00769142")</f>
        <v>KZ.7700.02.01.00769142</v>
      </c>
      <c r="C1489" s="1" t="str">
        <f ca="1">IFERROR(__xludf.DUMMYFUNCTION("""COMPUTED_VALUE"""),"Действителен до 01.07.2026")</f>
        <v>Действителен до 01.07.2026</v>
      </c>
      <c r="D1489" s="8" t="str">
        <f ca="1">IFERROR(__xludf.DUMMYFUNCTION("""COMPUTED_VALUE"""),"2106TNI2675")</f>
        <v>2106TNI2675</v>
      </c>
      <c r="E1489" s="1" t="str">
        <f ca="1">IFERROR(__xludf.DUMMYFUNCTION("""COMPUTED_VALUE"""),"годен до 06.2026 г")</f>
        <v>годен до 06.2026 г</v>
      </c>
      <c r="F1489" s="1" t="str">
        <f ca="1">IFERROR(__xludf.DUMMYFUNCTION("""COMPUTED_VALUE"""),"DOLPHI 3 в 1 №3 Презервативы латексные - 2106TNI2675")</f>
        <v>DOLPHI 3 в 1 №3 Презервативы латексные - 2106TNI2675</v>
      </c>
      <c r="G1489" s="1" t="str">
        <f ca="1">IFERROR(__xludf.DUMMYFUNCTION("""COMPUTED_VALUE"""),"KZ.7700.02.01.00769142 / Действителен до 01.07.2026 / 2106TNI2675 / годен до 06.2026 г")</f>
        <v>KZ.7700.02.01.00769142 / Действителен до 01.07.2026 / 2106TNI2675 / годен до 06.2026 г</v>
      </c>
      <c r="H1489" s="1" t="str">
        <f ca="1">IFERROR(__xludf.DUMMYFUNCTION("""COMPUTED_VALUE"""),"DOLPHI 3 в 1 №3 Презервативы латексные KZ.7700.02.01.00769142 / Действителен до 01.07.2026 / 2106TNI2675 / годен до 06.2026 г")</f>
        <v>DOLPHI 3 в 1 №3 Презервативы латексные KZ.7700.02.01.00769142 / Действителен до 01.07.2026 / 2106TNI2675 / годен до 06.2026 г</v>
      </c>
    </row>
    <row r="1490" spans="1:8" ht="12.75" x14ac:dyDescent="0.2">
      <c r="A1490" s="1" t="str">
        <f ca="1">IFERROR(__xludf.DUMMYFUNCTION("""COMPUTED_VALUE"""),"DOLPHI 3 в 1 №12 Презервативы латексные")</f>
        <v>DOLPHI 3 в 1 №12 Презервативы латексные</v>
      </c>
      <c r="B1490" s="1" t="str">
        <f ca="1">IFERROR(__xludf.DUMMYFUNCTION("""COMPUTED_VALUE"""),"KZ.7700.02.01.00769154")</f>
        <v>KZ.7700.02.01.00769154</v>
      </c>
      <c r="C1490" s="1" t="str">
        <f ca="1">IFERROR(__xludf.DUMMYFUNCTION("""COMPUTED_VALUE"""),"Действителен до 01.07.2026")</f>
        <v>Действителен до 01.07.2026</v>
      </c>
      <c r="D1490" s="8" t="str">
        <f ca="1">IFERROR(__xludf.DUMMYFUNCTION("""COMPUTED_VALUE"""),"2106TNI2675")</f>
        <v>2106TNI2675</v>
      </c>
      <c r="E1490" s="1" t="str">
        <f ca="1">IFERROR(__xludf.DUMMYFUNCTION("""COMPUTED_VALUE"""),"годен до 06.2026 г")</f>
        <v>годен до 06.2026 г</v>
      </c>
      <c r="F1490" s="1" t="str">
        <f ca="1">IFERROR(__xludf.DUMMYFUNCTION("""COMPUTED_VALUE"""),"DOLPHI 3 в 1 №12 Презервативы латексные - 2106TNI2675")</f>
        <v>DOLPHI 3 в 1 №12 Презервативы латексные - 2106TNI2675</v>
      </c>
      <c r="G1490" s="1" t="str">
        <f ca="1">IFERROR(__xludf.DUMMYFUNCTION("""COMPUTED_VALUE"""),"KZ.7700.02.01.00769154 / Действителен до 01.07.2026 / 2106TNI2675 / годен до 06.2026 г")</f>
        <v>KZ.7700.02.01.00769154 / Действителен до 01.07.2026 / 2106TNI2675 / годен до 06.2026 г</v>
      </c>
      <c r="H1490" s="1" t="str">
        <f ca="1">IFERROR(__xludf.DUMMYFUNCTION("""COMPUTED_VALUE"""),"DOLPHI 3 в 1 №12 Презервативы латексные KZ.7700.02.01.00769154 / Действителен до 01.07.2026 / 2106TNI2675 / годен до 06.2026 г")</f>
        <v>DOLPHI 3 в 1 №12 Презервативы латексные KZ.7700.02.01.00769154 / Действителен до 01.07.2026 / 2106TNI2675 / годен до 06.2026 г</v>
      </c>
    </row>
    <row r="1491" spans="1:8" ht="12.75" x14ac:dyDescent="0.2">
      <c r="A1491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1491" s="1" t="str">
        <f ca="1">IFERROR(__xludf.DUMMYFUNCTION("""COMPUTED_VALUE"""),"KZ.7700.02.01.00769151")</f>
        <v>KZ.7700.02.01.00769151</v>
      </c>
      <c r="C1491" s="1" t="str">
        <f ca="1">IFERROR(__xludf.DUMMYFUNCTION("""COMPUTED_VALUE"""),"Действителен до 01.05.2026")</f>
        <v>Действителен до 01.05.2026</v>
      </c>
      <c r="D1491" s="8" t="str">
        <f ca="1">IFERROR(__xludf.DUMMYFUNCTION("""COMPUTED_VALUE"""),"2104TNI2676")</f>
        <v>2104TNI2676</v>
      </c>
      <c r="E1491" s="1" t="str">
        <f ca="1">IFERROR(__xludf.DUMMYFUNCTION("""COMPUTED_VALUE"""),"годен до 04.2026 г.")</f>
        <v>годен до 04.2026 г.</v>
      </c>
      <c r="F1491" s="1" t="str">
        <f ca="1">IFERROR(__xludf.DUMMYFUNCTION("""COMPUTED_VALUE"""),"DOLPHI анатомические ультратонкие Презервативы латексные, № 3 - 2104TNI2676")</f>
        <v>DOLPHI анатомические ультратонкие Презервативы латексные, № 3 - 2104TNI2676</v>
      </c>
      <c r="G1491" s="1" t="str">
        <f ca="1">IFERROR(__xludf.DUMMYFUNCTION("""COMPUTED_VALUE"""),"KZ.7700.02.01.00769151 / Действителен до 01.05.2026 / 2104TNI2676 / годен до 04.2026 г.")</f>
        <v>KZ.7700.02.01.00769151 / Действителен до 01.05.2026 / 2104TNI2676 / годен до 04.2026 г.</v>
      </c>
      <c r="H1491" s="1" t="str">
        <f ca="1">IFERROR(__xludf.DUMMYFUNCTION("""COMPUTED_VALUE"""),"DOLPHI анатомические ультратонкие Презервативы латексные, № 3 KZ.7700.02.01.00769151 / Действителен до 01.05.2026 / 2104TNI2676 / годен до 04.2026 г.")</f>
        <v>DOLPHI анатомические ультратонкие Презервативы латексные, № 3 KZ.7700.02.01.00769151 / Действителен до 01.05.2026 / 2104TNI2676 / годен до 04.2026 г.</v>
      </c>
    </row>
    <row r="1492" spans="1:8" ht="12.75" x14ac:dyDescent="0.2">
      <c r="A1492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1492" s="1" t="str">
        <f ca="1">IFERROR(__xludf.DUMMYFUNCTION("""COMPUTED_VALUE"""),"KZ.7700.02.01.00769155")</f>
        <v>KZ.7700.02.01.00769155</v>
      </c>
      <c r="C1492" s="1" t="str">
        <f ca="1">IFERROR(__xludf.DUMMYFUNCTION("""COMPUTED_VALUE"""),"Действителен до 01.06.2026")</f>
        <v>Действителен до 01.06.2026</v>
      </c>
      <c r="D1492" s="8" t="str">
        <f ca="1">IFERROR(__xludf.DUMMYFUNCTION("""COMPUTED_VALUE"""),"2105TNI2843")</f>
        <v>2105TNI2843</v>
      </c>
      <c r="E1492" s="1" t="str">
        <f ca="1">IFERROR(__xludf.DUMMYFUNCTION("""COMPUTED_VALUE"""),"годен до 05.2026 г.")</f>
        <v>годен до 05.2026 г.</v>
      </c>
      <c r="F1492" s="1" t="str">
        <f ca="1">IFERROR(__xludf.DUMMYFUNCTION("""COMPUTED_VALUE"""),"DOLPHI анатомические ультратонкие, №12 Презервативы латексные - 2105TNI2843")</f>
        <v>DOLPHI анатомические ультратонкие, №12 Презервативы латексные - 2105TNI2843</v>
      </c>
      <c r="G1492" s="1" t="str">
        <f ca="1">IFERROR(__xludf.DUMMYFUNCTION("""COMPUTED_VALUE"""),"KZ.7700.02.01.00769155 / Действителен до 01.06.2026 / 2105TNI2843 / годен до 05.2026 г.")</f>
        <v>KZ.7700.02.01.00769155 / Действителен до 01.06.2026 / 2105TNI2843 / годен до 05.2026 г.</v>
      </c>
      <c r="H1492" s="1" t="str">
        <f ca="1">IFERROR(__xludf.DUMMYFUNCTION("""COMPUTED_VALUE"""),"DOLPHI анатомические ультратонкие, №12 Презервативы латексные KZ.7700.02.01.00769155 / Действителен до 01.06.2026 / 2105TNI2843 / годен до 05.2026 г.")</f>
        <v>DOLPHI анатомические ультратонкие, №12 Презервативы латексные KZ.7700.02.01.00769155 / Действителен до 01.06.2026 / 2105TNI2843 / годен до 05.2026 г.</v>
      </c>
    </row>
    <row r="1493" spans="1:8" ht="12.75" x14ac:dyDescent="0.2">
      <c r="A1493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1493" s="1" t="str">
        <f ca="1">IFERROR(__xludf.DUMMYFUNCTION("""COMPUTED_VALUE"""),"KZ.7700.02.01.00769117")</f>
        <v>KZ.7700.02.01.00769117</v>
      </c>
      <c r="C1493" s="1" t="str">
        <f ca="1">IFERROR(__xludf.DUMMYFUNCTION("""COMPUTED_VALUE"""),"Действителен до 01.07.2026")</f>
        <v>Действителен до 01.07.2026</v>
      </c>
      <c r="D1493" s="8" t="str">
        <f ca="1">IFERROR(__xludf.DUMMYFUNCTION("""COMPUTED_VALUE"""),"2106TNI2816")</f>
        <v>2106TNI2816</v>
      </c>
      <c r="E1493" s="1" t="str">
        <f ca="1">IFERROR(__xludf.DUMMYFUNCTION("""COMPUTED_VALUE"""),"годен до 06.2026 г.")</f>
        <v>годен до 06.2026 г.</v>
      </c>
      <c r="F1493" s="1" t="str">
        <f ca="1">IFERROR(__xludf.DUMMYFUNCTION("""COMPUTED_VALUE"""),"DOLPHI Класические №3 Презервативы латексные - 2106TNI2816")</f>
        <v>DOLPHI Класические №3 Презервативы латексные - 2106TNI2816</v>
      </c>
      <c r="G1493" s="1" t="str">
        <f ca="1">IFERROR(__xludf.DUMMYFUNCTION("""COMPUTED_VALUE"""),"KZ.7700.02.01.00769117 / Действителен до 01.07.2026 / 2106TNI2816 / годен до 06.2026 г.")</f>
        <v>KZ.7700.02.01.00769117 / Действителен до 01.07.2026 / 2106TNI2816 / годен до 06.2026 г.</v>
      </c>
      <c r="H1493" s="1" t="str">
        <f ca="1">IFERROR(__xludf.DUMMYFUNCTION("""COMPUTED_VALUE"""),"DOLPHI Класические №3 Презервативы латексные KZ.7700.02.01.00769117 / Действителен до 01.07.2026 / 2106TNI2816 / годен до 06.2026 г.")</f>
        <v>DOLPHI Класические №3 Презервативы латексные KZ.7700.02.01.00769117 / Действителен до 01.07.2026 / 2106TNI2816 / годен до 06.2026 г.</v>
      </c>
    </row>
    <row r="1494" spans="1:8" ht="12.75" x14ac:dyDescent="0.2">
      <c r="A1494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1494" s="1" t="str">
        <f ca="1">IFERROR(__xludf.DUMMYFUNCTION("""COMPUTED_VALUE"""),"KZ.7700.02.01.00769122")</f>
        <v>KZ.7700.02.01.00769122</v>
      </c>
      <c r="C1494" s="1" t="str">
        <f ca="1">IFERROR(__xludf.DUMMYFUNCTION("""COMPUTED_VALUE"""),"Действителен до 01.05.2026")</f>
        <v>Действителен до 01.05.2026</v>
      </c>
      <c r="D1494" s="8" t="str">
        <f ca="1">IFERROR(__xludf.DUMMYFUNCTION("""COMPUTED_VALUE"""),"2104TNI2656")</f>
        <v>2104TNI2656</v>
      </c>
      <c r="E1494" s="1" t="str">
        <f ca="1">IFERROR(__xludf.DUMMYFUNCTION("""COMPUTED_VALUE"""),"годен до 04.2026 г.")</f>
        <v>годен до 04.2026 г.</v>
      </c>
      <c r="F1494" s="1" t="str">
        <f ca="1">IFERROR(__xludf.DUMMYFUNCTION("""COMPUTED_VALUE"""),"DOLPHI классические, №12 Презервативы латексные - 2104TNI2656")</f>
        <v>DOLPHI классические, №12 Презервативы латексные - 2104TNI2656</v>
      </c>
      <c r="G1494" s="1" t="str">
        <f ca="1">IFERROR(__xludf.DUMMYFUNCTION("""COMPUTED_VALUE"""),"KZ.7700.02.01.00769122 / Действителен до 01.05.2026 / 2104TNI2656 / годен до 04.2026 г.")</f>
        <v>KZ.7700.02.01.00769122 / Действителен до 01.05.2026 / 2104TNI2656 / годен до 04.2026 г.</v>
      </c>
      <c r="H1494" s="1" t="str">
        <f ca="1">IFERROR(__xludf.DUMMYFUNCTION("""COMPUTED_VALUE"""),"DOLPHI классические, №12 Презервативы латексные KZ.7700.02.01.00769122 / Действителен до 01.05.2026 / 2104TNI2656 / годен до 04.2026 г.")</f>
        <v>DOLPHI классические, №12 Презервативы латексные KZ.7700.02.01.00769122 / Действителен до 01.05.2026 / 2104TNI2656 / годен до 04.2026 г.</v>
      </c>
    </row>
    <row r="1495" spans="1:8" ht="12.75" x14ac:dyDescent="0.2">
      <c r="A1495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1495" s="1" t="str">
        <f ca="1">IFERROR(__xludf.DUMMYFUNCTION("""COMPUTED_VALUE"""),"KZ.7700.02.01.00769140")</f>
        <v>KZ.7700.02.01.00769140</v>
      </c>
      <c r="C1495" s="1" t="str">
        <f ca="1">IFERROR(__xludf.DUMMYFUNCTION("""COMPUTED_VALUE"""),"Действителен до 01.06.2026")</f>
        <v>Действителен до 01.06.2026</v>
      </c>
      <c r="D1495" s="8" t="str">
        <f ca="1">IFERROR(__xludf.DUMMYFUNCTION("""COMPUTED_VALUE"""),"2105TNI2831")</f>
        <v>2105TNI2831</v>
      </c>
      <c r="E1495" s="1" t="str">
        <f ca="1">IFERROR(__xludf.DUMMYFUNCTION("""COMPUTED_VALUE"""),"годен до 05.2026 г.")</f>
        <v>годен до 05.2026 г.</v>
      </c>
      <c r="F1495" s="1" t="str">
        <f ca="1">IFERROR(__xludf.DUMMYFUNCTION("""COMPUTED_VALUE"""),"DOLPHI ультратонкие №3 Презервативы латескные - 2105TNI2831")</f>
        <v>DOLPHI ультратонкие №3 Презервативы латескные - 2105TNI2831</v>
      </c>
      <c r="G1495" s="1" t="str">
        <f ca="1">IFERROR(__xludf.DUMMYFUNCTION("""COMPUTED_VALUE"""),"KZ.7700.02.01.00769140 / Действителен до 01.06.2026 / 2105TNI2831 / годен до 05.2026 г.")</f>
        <v>KZ.7700.02.01.00769140 / Действителен до 01.06.2026 / 2105TNI2831 / годен до 05.2026 г.</v>
      </c>
      <c r="H1495" s="1" t="str">
        <f ca="1">IFERROR(__xludf.DUMMYFUNCTION("""COMPUTED_VALUE"""),"DOLPHI ультратонкие №3 Презервативы латескные KZ.7700.02.01.00769140 / Действителен до 01.06.2026 / 2105TNI2831 / годен до 05.2026 г.")</f>
        <v>DOLPHI ультратонкие №3 Презервативы латескные KZ.7700.02.01.00769140 / Действителен до 01.06.2026 / 2105TNI2831 / годен до 05.2026 г.</v>
      </c>
    </row>
    <row r="1496" spans="1:8" ht="12.75" x14ac:dyDescent="0.2">
      <c r="A1496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1496" s="1" t="str">
        <f ca="1">IFERROR(__xludf.DUMMYFUNCTION("""COMPUTED_VALUE"""),"KZ.7700.02.01.00769161")</f>
        <v>KZ.7700.02.01.00769161</v>
      </c>
      <c r="C1496" s="1" t="str">
        <f ca="1">IFERROR(__xludf.DUMMYFUNCTION("""COMPUTED_VALUE"""),"Действителен до 01.06.2026")</f>
        <v>Действителен до 01.06.2026</v>
      </c>
      <c r="D1496" s="8" t="str">
        <f ca="1">IFERROR(__xludf.DUMMYFUNCTION("""COMPUTED_VALUE"""),"2105TNI2831")</f>
        <v>2105TNI2831</v>
      </c>
      <c r="E1496" s="1" t="str">
        <f ca="1">IFERROR(__xludf.DUMMYFUNCTION("""COMPUTED_VALUE"""),"годен до 05.2026 г.")</f>
        <v>годен до 05.2026 г.</v>
      </c>
      <c r="F1496" s="1" t="str">
        <f ca="1">IFERROR(__xludf.DUMMYFUNCTION("""COMPUTED_VALUE"""),"DOLPHI ультратонкие №12 Презервативы латексные - 2105TNI2831")</f>
        <v>DOLPHI ультратонкие №12 Презервативы латексные - 2105TNI2831</v>
      </c>
      <c r="G1496" s="1" t="str">
        <f ca="1">IFERROR(__xludf.DUMMYFUNCTION("""COMPUTED_VALUE"""),"KZ.7700.02.01.00769161 / Действителен до 01.06.2026 / 2105TNI2831 / годен до 05.2026 г.")</f>
        <v>KZ.7700.02.01.00769161 / Действителен до 01.06.2026 / 2105TNI2831 / годен до 05.2026 г.</v>
      </c>
      <c r="H1496" s="1" t="str">
        <f ca="1">IFERROR(__xludf.DUMMYFUNCTION("""COMPUTED_VALUE"""),"DOLPHI ультратонкие №12 Презервативы латексные KZ.7700.02.01.00769161 / Действителен до 01.06.2026 / 2105TNI2831 / годен до 05.2026 г.")</f>
        <v>DOLPHI ультратонкие №12 Презервативы латексные KZ.7700.02.01.00769161 / Действителен до 01.06.2026 / 2105TNI2831 / годен до 05.2026 г.</v>
      </c>
    </row>
    <row r="1497" spans="1:8" ht="12.75" x14ac:dyDescent="0.2">
      <c r="A1497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1497" s="1" t="str">
        <f ca="1">IFERROR(__xludf.DUMMYFUNCTION("""COMPUTED_VALUE"""),"KZ.7700.02.01.00769162")</f>
        <v>KZ.7700.02.01.00769162</v>
      </c>
      <c r="C1497" s="1" t="str">
        <f ca="1">IFERROR(__xludf.DUMMYFUNCTION("""COMPUTED_VALUE"""),"Действителен до 01.06.2026")</f>
        <v>Действителен до 01.06.2026</v>
      </c>
      <c r="D1497" s="8" t="str">
        <f ca="1">IFERROR(__xludf.DUMMYFUNCTION("""COMPUTED_VALUE"""),"2105TNI2658")</f>
        <v>2105TNI2658</v>
      </c>
      <c r="E1497" s="1" t="str">
        <f ca="1">IFERROR(__xludf.DUMMYFUNCTION("""COMPUTED_VALUE"""),"годен до 05.2026 г.")</f>
        <v>годен до 05.2026 г.</v>
      </c>
      <c r="F1497" s="1" t="str">
        <f ca="1">IFERROR(__xludf.DUMMYFUNCTION("""COMPUTED_VALUE"""),"Mister Ben классические № 3 Презервативы латексные - 2105TNI2658")</f>
        <v>Mister Ben классические № 3 Презервативы латексные - 2105TNI2658</v>
      </c>
      <c r="G1497" s="1" t="str">
        <f ca="1">IFERROR(__xludf.DUMMYFUNCTION("""COMPUTED_VALUE"""),"KZ.7700.02.01.00769162 / Действителен до 01.06.2026 / 2105TNI2658 / годен до 05.2026 г.")</f>
        <v>KZ.7700.02.01.00769162 / Действителен до 01.06.2026 / 2105TNI2658 / годен до 05.2026 г.</v>
      </c>
      <c r="H1497" s="1" t="str">
        <f ca="1">IFERROR(__xludf.DUMMYFUNCTION("""COMPUTED_VALUE"""),"Mister Ben классические № 3 Презервативы латексные KZ.7700.02.01.00769162 / Действителен до 01.06.2026 / 2105TNI2658 / годен до 05.2026 г.")</f>
        <v>Mister Ben классические № 3 Презервативы латексные KZ.7700.02.01.00769162 / Действителен до 01.06.2026 / 2105TNI2658 / годен до 05.2026 г.</v>
      </c>
    </row>
    <row r="1498" spans="1:8" ht="12.75" x14ac:dyDescent="0.2">
      <c r="A1498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1498" s="1" t="str">
        <f ca="1">IFERROR(__xludf.DUMMYFUNCTION("""COMPUTED_VALUE"""),"KZ.7700.02.01.00769160")</f>
        <v>KZ.7700.02.01.00769160</v>
      </c>
      <c r="C1498" s="1" t="str">
        <f ca="1">IFERROR(__xludf.DUMMYFUNCTION("""COMPUTED_VALUE"""),"Действителен до 01.06.2026")</f>
        <v>Действителен до 01.06.2026</v>
      </c>
      <c r="D1498" s="8" t="str">
        <f ca="1">IFERROR(__xludf.DUMMYFUNCTION("""COMPUTED_VALUE"""),"2105TNI2831")</f>
        <v>2105TNI2831</v>
      </c>
      <c r="E1498" s="1" t="str">
        <f ca="1">IFERROR(__xludf.DUMMYFUNCTION("""COMPUTED_VALUE"""),"годен до 05.2026 г.")</f>
        <v>годен до 05.2026 г.</v>
      </c>
      <c r="F1498" s="1" t="str">
        <f ca="1">IFERROR(__xludf.DUMMYFUNCTION("""COMPUTED_VALUE"""),"Mister Ben Ультратонкие № 3 Презервативы латексные - 2105TNI2831")</f>
        <v>Mister Ben Ультратонкие № 3 Презервативы латексные - 2105TNI2831</v>
      </c>
      <c r="G1498" s="1" t="str">
        <f ca="1">IFERROR(__xludf.DUMMYFUNCTION("""COMPUTED_VALUE"""),"KZ.7700.02.01.00769160 / Действителен до 01.06.2026 / 2105TNI2831 / годен до 05.2026 г.")</f>
        <v>KZ.7700.02.01.00769160 / Действителен до 01.06.2026 / 2105TNI2831 / годен до 05.2026 г.</v>
      </c>
      <c r="H1498" s="1" t="str">
        <f ca="1">IFERROR(__xludf.DUMMYFUNCTION("""COMPUTED_VALUE"""),"Mister Ben Ультратонкие № 3 Презервативы латексные KZ.7700.02.01.00769160 / Действителен до 01.06.2026 / 2105TNI2831 / годен до 05.2026 г.")</f>
        <v>Mister Ben Ультратонкие № 3 Презервативы латексные KZ.7700.02.01.00769160 / Действителен до 01.06.2026 / 2105TNI2831 / годен до 05.2026 г.</v>
      </c>
    </row>
    <row r="1499" spans="1:8" ht="12.75" x14ac:dyDescent="0.2">
      <c r="A1499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1499" s="1" t="str">
        <f ca="1">IFERROR(__xludf.DUMMYFUNCTION("""COMPUTED_VALUE"""),"KZ.7700.02.01.00769149")</f>
        <v>KZ.7700.02.01.00769149</v>
      </c>
      <c r="C1499" s="1" t="str">
        <f ca="1">IFERROR(__xludf.DUMMYFUNCTION("""COMPUTED_VALUE"""),"Действителен до 01.06.2026")</f>
        <v>Действителен до 01.06.2026</v>
      </c>
      <c r="D1499" s="8" t="str">
        <f ca="1">IFERROR(__xludf.DUMMYFUNCTION("""COMPUTED_VALUE"""),"2103TNI2655")</f>
        <v>2103TNI2655</v>
      </c>
      <c r="E1499" s="1" t="str">
        <f ca="1">IFERROR(__xludf.DUMMYFUNCTION("""COMPUTED_VALUE"""),"годен до 03.2026 г.")</f>
        <v>годен до 03.2026 г.</v>
      </c>
      <c r="F1499" s="1" t="str">
        <f ca="1">IFERROR(__xludf.DUMMYFUNCTION("""COMPUTED_VALUE"""),"Sexxxy классические №3 Презервативы латексные - 2103TNI2655")</f>
        <v>Sexxxy классические №3 Презервативы латексные - 2103TNI2655</v>
      </c>
      <c r="G1499" s="1" t="str">
        <f ca="1">IFERROR(__xludf.DUMMYFUNCTION("""COMPUTED_VALUE"""),"KZ.7700.02.01.00769149 / Действителен до 01.06.2026 / 2103TNI2655 / годен до 03.2026 г.")</f>
        <v>KZ.7700.02.01.00769149 / Действителен до 01.06.2026 / 2103TNI2655 / годен до 03.2026 г.</v>
      </c>
      <c r="H1499" s="1" t="str">
        <f ca="1">IFERROR(__xludf.DUMMYFUNCTION("""COMPUTED_VALUE"""),"Sexxxy классические №3 Презервативы латексные KZ.7700.02.01.00769149 / Действителен до 01.06.2026 / 2103TNI2655 / годен до 03.2026 г.")</f>
        <v>Sexxxy классические №3 Презервативы латексные KZ.7700.02.01.00769149 / Действителен до 01.06.2026 / 2103TNI2655 / годен до 03.2026 г.</v>
      </c>
    </row>
    <row r="1500" spans="1:8" ht="12.75" x14ac:dyDescent="0.2">
      <c r="A1500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500" s="1" t="str">
        <f ca="1">IFERROR(__xludf.DUMMYFUNCTION("""COMPUTED_VALUE"""),"KZ.7700.02.01.00769895")</f>
        <v>KZ.7700.02.01.00769895</v>
      </c>
      <c r="C1500" s="1" t="str">
        <f ca="1">IFERROR(__xludf.DUMMYFUNCTION("""COMPUTED_VALUE"""),"Действителен до 14.06.2026")</f>
        <v>Действителен до 14.06.2026</v>
      </c>
      <c r="D1500" s="8" t="str">
        <f ca="1">IFERROR(__xludf.DUMMYFUNCTION("""COMPUTED_VALUE"""),"0621042KZ042")</f>
        <v>0621042KZ042</v>
      </c>
      <c r="E1500" s="1" t="str">
        <f ca="1">IFERROR(__xludf.DUMMYFUNCTION("""COMPUTED_VALUE"""),"годен до 14.06.2026")</f>
        <v>годен до 14.06.2026</v>
      </c>
      <c r="F1500" s="1" t="str">
        <f ca="1">IFERROR(__xludf.DUMMYFUNCTION("""COMPUTED_VALUE"""),"Бандаж на шейный отдел позвоночника мягкой фиксацией 1001 I(S) (Болгария) - 0621042KZ042")</f>
        <v>Бандаж на шейный отдел позвоночника мягкой фиксацией 1001 I(S) (Болгария) - 0621042KZ042</v>
      </c>
      <c r="G1500" s="1" t="str">
        <f ca="1">IFERROR(__xludf.DUMMYFUNCTION("""COMPUTED_VALUE"""),"KZ.7700.02.01.00769895 / Действителен до 14.06.2026 / 0621042KZ042 / годен до 14.06.2026")</f>
        <v>KZ.7700.02.01.00769895 / Действителен до 14.06.2026 / 0621042KZ042 / годен до 14.06.2026</v>
      </c>
      <c r="H1500" s="1" t="str">
        <f ca="1">IFERROR(__xludf.DUMMYFUNCTION("""COMPUTED_VALUE"""),"Бандаж на шейный отдел позвоночника мягкой фиксацией 1001 I(S) (Болгария) KZ.7700.02.01.00769895 / Действителен до 14.06.2026 / 0621042KZ042 / годен до 14.06.2026")</f>
        <v>Бандаж на шейный отдел позвоночника мягкой фиксацией 1001 I(S) (Болгария) KZ.7700.02.01.00769895 / Действителен до 14.06.2026 / 0621042KZ042 / годен до 14.06.2026</v>
      </c>
    </row>
    <row r="1501" spans="1:8" ht="12.75" x14ac:dyDescent="0.2">
      <c r="A1501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501" s="1" t="str">
        <f ca="1">IFERROR(__xludf.DUMMYFUNCTION("""COMPUTED_VALUE"""),"KZ.7700.02.01.00769897")</f>
        <v>KZ.7700.02.01.00769897</v>
      </c>
      <c r="C1501" s="1" t="str">
        <f ca="1">IFERROR(__xludf.DUMMYFUNCTION("""COMPUTED_VALUE"""),"Действителен до 14.06.2026")</f>
        <v>Действителен до 14.06.2026</v>
      </c>
      <c r="D1501" s="8" t="str">
        <f ca="1">IFERROR(__xludf.DUMMYFUNCTION("""COMPUTED_VALUE"""),"0621042KZ042")</f>
        <v>0621042KZ042</v>
      </c>
      <c r="E1501" s="1" t="str">
        <f ca="1">IFERROR(__xludf.DUMMYFUNCTION("""COMPUTED_VALUE"""),"годен до 14.06.2026")</f>
        <v>годен до 14.06.2026</v>
      </c>
      <c r="F1501" s="1" t="str">
        <f ca="1">IFERROR(__xludf.DUMMYFUNCTION("""COMPUTED_VALUE"""),"Бандаж на шейный отдел позвоночника мягкой фиксацией 1001 II(M) (Болгария) - 0621042KZ042")</f>
        <v>Бандаж на шейный отдел позвоночника мягкой фиксацией 1001 II(M) (Болгария) - 0621042KZ042</v>
      </c>
      <c r="G1501" s="1" t="str">
        <f ca="1">IFERROR(__xludf.DUMMYFUNCTION("""COMPUTED_VALUE"""),"KZ.7700.02.01.00769897 / Действителен до 14.06.2026 / 0621042KZ042 / годен до 14.06.2026")</f>
        <v>KZ.7700.02.01.00769897 / Действителен до 14.06.2026 / 0621042KZ042 / годен до 14.06.2026</v>
      </c>
      <c r="H1501" s="1" t="str">
        <f ca="1">IFERROR(__xludf.DUMMYFUNCTION("""COMPUTED_VALUE"""),"Бандаж на шейный отдел позвоночника мягкой фиксацией 1001 II(M) (Болгария) KZ.7700.02.01.00769897 / Действителен до 14.06.2026 / 0621042KZ042 / годен до 14.06.2026")</f>
        <v>Бандаж на шейный отдел позвоночника мягкой фиксацией 1001 II(M) (Болгария) KZ.7700.02.01.00769897 / Действителен до 14.06.2026 / 0621042KZ042 / годен до 14.06.2026</v>
      </c>
    </row>
    <row r="1502" spans="1:8" ht="12.75" x14ac:dyDescent="0.2">
      <c r="A1502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502" s="1" t="str">
        <f ca="1">IFERROR(__xludf.DUMMYFUNCTION("""COMPUTED_VALUE"""),"KZ.7700.02.01.00769900")</f>
        <v>KZ.7700.02.01.00769900</v>
      </c>
      <c r="C1502" s="1" t="str">
        <f ca="1">IFERROR(__xludf.DUMMYFUNCTION("""COMPUTED_VALUE"""),"Действителен до 14.06.2026")</f>
        <v>Действителен до 14.06.2026</v>
      </c>
      <c r="D1502" s="8" t="str">
        <f ca="1">IFERROR(__xludf.DUMMYFUNCTION("""COMPUTED_VALUE"""),"0621042KZ042")</f>
        <v>0621042KZ042</v>
      </c>
      <c r="E1502" s="1" t="str">
        <f ca="1">IFERROR(__xludf.DUMMYFUNCTION("""COMPUTED_VALUE"""),"годен до 14.06.2026")</f>
        <v>годен до 14.06.2026</v>
      </c>
      <c r="F1502" s="1" t="str">
        <f ca="1">IFERROR(__xludf.DUMMYFUNCTION("""COMPUTED_VALUE"""),"Бандаж на шейный отдел позвоночника мягкой фиксацией 1001 III(L) (Болгария) - 0621042KZ042")</f>
        <v>Бандаж на шейный отдел позвоночника мягкой фиксацией 1001 III(L) (Болгария) - 0621042KZ042</v>
      </c>
      <c r="G1502" s="1" t="str">
        <f ca="1">IFERROR(__xludf.DUMMYFUNCTION("""COMPUTED_VALUE"""),"KZ.7700.02.01.00769900 / Действителен до 14.06.2026 / 0621042KZ042 / годен до 14.06.2026")</f>
        <v>KZ.7700.02.01.00769900 / Действителен до 14.06.2026 / 0621042KZ042 / годен до 14.06.2026</v>
      </c>
      <c r="H1502" s="1" t="str">
        <f ca="1">IFERROR(__xludf.DUMMYFUNCTION("""COMPUTED_VALUE"""),"Бандаж на шейный отдел позвоночника мягкой фиксацией 1001 III(L) (Болгария) KZ.7700.02.01.00769900 / Действителен до 14.06.2026 / 0621042KZ042 / годен до 14.06.2026")</f>
        <v>Бандаж на шейный отдел позвоночника мягкой фиксацией 1001 III(L) (Болгария) KZ.7700.02.01.00769900 / Действителен до 14.06.2026 / 0621042KZ042 / годен до 14.06.2026</v>
      </c>
    </row>
    <row r="1503" spans="1:8" ht="12.75" x14ac:dyDescent="0.2">
      <c r="A1503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503" s="1" t="str">
        <f ca="1">IFERROR(__xludf.DUMMYFUNCTION("""COMPUTED_VALUE"""),"KZ.7700.02.01.00769893")</f>
        <v>KZ.7700.02.01.00769893</v>
      </c>
      <c r="C1503" s="1" t="str">
        <f ca="1">IFERROR(__xludf.DUMMYFUNCTION("""COMPUTED_VALUE"""),"Действителен до 14.06.2026")</f>
        <v>Действителен до 14.06.2026</v>
      </c>
      <c r="D1503" s="8" t="str">
        <f ca="1">IFERROR(__xludf.DUMMYFUNCTION("""COMPUTED_VALUE"""),"0621042KZ042")</f>
        <v>0621042KZ042</v>
      </c>
      <c r="E1503" s="1" t="str">
        <f ca="1">IFERROR(__xludf.DUMMYFUNCTION("""COMPUTED_VALUE"""),"годен до 14.06.2026")</f>
        <v>годен до 14.06.2026</v>
      </c>
      <c r="F1503" s="1" t="str">
        <f ca="1">IFERROR(__xludf.DUMMYFUNCTION("""COMPUTED_VALUE"""),"Бандаж на шейный отдел позвоночника мягкой фиксацией с жесткой вставкой 1005 II(M) - 0621042KZ042")</f>
        <v>Бандаж на шейный отдел позвоночника мягкой фиксацией с жесткой вставкой 1005 II(M) - 0621042KZ042</v>
      </c>
      <c r="G1503" s="1" t="str">
        <f ca="1">IFERROR(__xludf.DUMMYFUNCTION("""COMPUTED_VALUE"""),"KZ.7700.02.01.00769893 / Действителен до 14.06.2026 / 0621042KZ042 / годен до 14.06.2026")</f>
        <v>KZ.7700.02.01.00769893 / Действителен до 14.06.2026 / 0621042KZ042 / годен до 14.06.2026</v>
      </c>
      <c r="H1503" s="1" t="str">
        <f ca="1">IFERROR(__xludf.DUMMYFUNCTION("""COMPUTED_VALUE"""),"Бандаж на шейный отдел позвоночника мягкой фиксацией с жесткой вставкой 1005 II(M) KZ.7700.02.01.00769893 / Действителен до 14.06.2026 / 0621042KZ042 / годен до 14.06.2026")</f>
        <v>Бандаж на шейный отдел позвоночника мягкой фиксацией с жесткой вставкой 1005 II(M) KZ.7700.02.01.00769893 / Действителен до 14.06.2026 / 0621042KZ042 / годен до 14.06.2026</v>
      </c>
    </row>
    <row r="1504" spans="1:8" ht="12.75" x14ac:dyDescent="0.2">
      <c r="A1504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504" s="1" t="str">
        <f ca="1">IFERROR(__xludf.DUMMYFUNCTION("""COMPUTED_VALUE"""),"KZ.7700.02.01.00769899")</f>
        <v>KZ.7700.02.01.00769899</v>
      </c>
      <c r="C1504" s="1" t="str">
        <f ca="1">IFERROR(__xludf.DUMMYFUNCTION("""COMPUTED_VALUE"""),"Действителен до 14.06.2026")</f>
        <v>Действителен до 14.06.2026</v>
      </c>
      <c r="D1504" s="8" t="str">
        <f ca="1">IFERROR(__xludf.DUMMYFUNCTION("""COMPUTED_VALUE"""),"0621042KZ042")</f>
        <v>0621042KZ042</v>
      </c>
      <c r="E1504" s="1" t="str">
        <f ca="1">IFERROR(__xludf.DUMMYFUNCTION("""COMPUTED_VALUE"""),"годен до 14.06.2026")</f>
        <v>годен до 14.06.2026</v>
      </c>
      <c r="F1504" s="1" t="str">
        <f ca="1">IFERROR(__xludf.DUMMYFUNCTION("""COMPUTED_VALUE"""),"Реклинатор (корректор осанки) детский 2005 L (Болгария) - 0621042KZ042")</f>
        <v>Реклинатор (корректор осанки) детский 2005 L (Болгария) - 0621042KZ042</v>
      </c>
      <c r="G1504" s="1" t="str">
        <f ca="1">IFERROR(__xludf.DUMMYFUNCTION("""COMPUTED_VALUE"""),"KZ.7700.02.01.00769899 / Действителен до 14.06.2026 / 0621042KZ042 / годен до 14.06.2026")</f>
        <v>KZ.7700.02.01.00769899 / Действителен до 14.06.2026 / 0621042KZ042 / годен до 14.06.2026</v>
      </c>
      <c r="H1504" s="1" t="str">
        <f ca="1">IFERROR(__xludf.DUMMYFUNCTION("""COMPUTED_VALUE"""),"Реклинатор (корректор осанки) детский 2005 L (Болгария) KZ.7700.02.01.00769899 / Действителен до 14.06.2026 / 0621042KZ042 / годен до 14.06.2026")</f>
        <v>Реклинатор (корректор осанки) детский 2005 L (Болгария) KZ.7700.02.01.00769899 / Действителен до 14.06.2026 / 0621042KZ042 / годен до 14.06.2026</v>
      </c>
    </row>
    <row r="1505" spans="1:8" ht="12.75" x14ac:dyDescent="0.2">
      <c r="A1505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1505" s="1" t="str">
        <f ca="1">IFERROR(__xludf.DUMMYFUNCTION("""COMPUTED_VALUE"""),"KZ.7700.02.01.00769896")</f>
        <v>KZ.7700.02.01.00769896</v>
      </c>
      <c r="C1505" s="1" t="str">
        <f ca="1">IFERROR(__xludf.DUMMYFUNCTION("""COMPUTED_VALUE"""),"Действителен до 14.06.2026")</f>
        <v>Действителен до 14.06.2026</v>
      </c>
      <c r="D1505" s="8" t="str">
        <f ca="1">IFERROR(__xludf.DUMMYFUNCTION("""COMPUTED_VALUE"""),"0621042KZ042")</f>
        <v>0621042KZ042</v>
      </c>
      <c r="E1505" s="1" t="str">
        <f ca="1">IFERROR(__xludf.DUMMYFUNCTION("""COMPUTED_VALUE"""),"годен до 14.06.2026")</f>
        <v>годен до 14.06.2026</v>
      </c>
      <c r="F1505" s="1" t="str">
        <f ca="1">IFERROR(__xludf.DUMMYFUNCTION("""COMPUTED_VALUE"""),"Реклинатор (корректор осанки) детский 2005 M (Болгария) - 0621042KZ042")</f>
        <v>Реклинатор (корректор осанки) детский 2005 M (Болгария) - 0621042KZ042</v>
      </c>
      <c r="G1505" s="1" t="str">
        <f ca="1">IFERROR(__xludf.DUMMYFUNCTION("""COMPUTED_VALUE"""),"KZ.7700.02.01.00769896 / Действителен до 14.06.2026 / 0621042KZ042 / годен до 14.06.2026")</f>
        <v>KZ.7700.02.01.00769896 / Действителен до 14.06.2026 / 0621042KZ042 / годен до 14.06.2026</v>
      </c>
      <c r="H1505" s="1" t="str">
        <f ca="1">IFERROR(__xludf.DUMMYFUNCTION("""COMPUTED_VALUE"""),"Реклинатор (корректор осанки) детский 2005 M (Болгария) KZ.7700.02.01.00769896 / Действителен до 14.06.2026 / 0621042KZ042 / годен до 14.06.2026")</f>
        <v>Реклинатор (корректор осанки) детский 2005 M (Болгария) KZ.7700.02.01.00769896 / Действителен до 14.06.2026 / 0621042KZ042 / годен до 14.06.2026</v>
      </c>
    </row>
    <row r="1506" spans="1:8" ht="12.75" x14ac:dyDescent="0.2">
      <c r="A1506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1506" s="1" t="str">
        <f ca="1">IFERROR(__xludf.DUMMYFUNCTION("""COMPUTED_VALUE"""),"KZ.7700.02.01.00769892")</f>
        <v>KZ.7700.02.01.00769892</v>
      </c>
      <c r="C1506" s="1" t="str">
        <f ca="1">IFERROR(__xludf.DUMMYFUNCTION("""COMPUTED_VALUE"""),"Действителен до 14.06.2026")</f>
        <v>Действителен до 14.06.2026</v>
      </c>
      <c r="D1506" s="8" t="str">
        <f ca="1">IFERROR(__xludf.DUMMYFUNCTION("""COMPUTED_VALUE"""),"0621042KZ042")</f>
        <v>0621042KZ042</v>
      </c>
      <c r="E1506" s="1" t="str">
        <f ca="1">IFERROR(__xludf.DUMMYFUNCTION("""COMPUTED_VALUE"""),"годен до 14.06.2026")</f>
        <v>годен до 14.06.2026</v>
      </c>
      <c r="F1506" s="1" t="str">
        <f ca="1">IFERROR(__xludf.DUMMYFUNCTION("""COMPUTED_VALUE"""),"Реклинатор (корректор осанки) детский 2005 S (Болгария) - 0621042KZ042")</f>
        <v>Реклинатор (корректор осанки) детский 2005 S (Болгария) - 0621042KZ042</v>
      </c>
      <c r="G1506" s="1" t="str">
        <f ca="1">IFERROR(__xludf.DUMMYFUNCTION("""COMPUTED_VALUE"""),"KZ.7700.02.01.00769892 / Действителен до 14.06.2026 / 0621042KZ042 / годен до 14.06.2026")</f>
        <v>KZ.7700.02.01.00769892 / Действителен до 14.06.2026 / 0621042KZ042 / годен до 14.06.2026</v>
      </c>
      <c r="H1506" s="1" t="str">
        <f ca="1">IFERROR(__xludf.DUMMYFUNCTION("""COMPUTED_VALUE"""),"Реклинатор (корректор осанки) детский 2005 S (Болгария) KZ.7700.02.01.00769892 / Действителен до 14.06.2026 / 0621042KZ042 / годен до 14.06.2026")</f>
        <v>Реклинатор (корректор осанки) детский 2005 S (Болгария) KZ.7700.02.01.00769892 / Действителен до 14.06.2026 / 0621042KZ042 / годен до 14.06.2026</v>
      </c>
    </row>
    <row r="1507" spans="1:8" ht="12.75" x14ac:dyDescent="0.2">
      <c r="A1507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1507" s="1" t="str">
        <f ca="1">IFERROR(__xludf.DUMMYFUNCTION("""COMPUTED_VALUE"""),"KZ.7700.02.01.00769909")</f>
        <v>KZ.7700.02.01.00769909</v>
      </c>
      <c r="C1507" s="1" t="str">
        <f ca="1">IFERROR(__xludf.DUMMYFUNCTION("""COMPUTED_VALUE"""),"Действителен до 14.06.2026")</f>
        <v>Действителен до 14.06.2026</v>
      </c>
      <c r="D1507" s="8" t="str">
        <f ca="1">IFERROR(__xludf.DUMMYFUNCTION("""COMPUTED_VALUE"""),"0621042KZ042")</f>
        <v>0621042KZ042</v>
      </c>
      <c r="E1507" s="1" t="str">
        <f ca="1">IFERROR(__xludf.DUMMYFUNCTION("""COMPUTED_VALUE"""),"годен до 14.06.2026")</f>
        <v>годен до 14.06.2026</v>
      </c>
      <c r="F1507" s="1" t="str">
        <f ca="1">IFERROR(__xludf.DUMMYFUNCTION("""COMPUTED_VALUE"""),"Корректор осанки с ребрами жесткости эластичный 2011 L (Болгария) - 0621042KZ042")</f>
        <v>Корректор осанки с ребрами жесткости эластичный 2011 L (Болгария) - 0621042KZ042</v>
      </c>
      <c r="G1507" s="1" t="str">
        <f ca="1">IFERROR(__xludf.DUMMYFUNCTION("""COMPUTED_VALUE"""),"KZ.7700.02.01.00769909 / Действителен до 14.06.2026 / 0621042KZ042 / годен до 14.06.2026")</f>
        <v>KZ.7700.02.01.00769909 / Действителен до 14.06.2026 / 0621042KZ042 / годен до 14.06.2026</v>
      </c>
      <c r="H1507" s="1" t="str">
        <f ca="1">IFERROR(__xludf.DUMMYFUNCTION("""COMPUTED_VALUE"""),"Корректор осанки с ребрами жесткости эластичный 2011 L (Болгария) KZ.7700.02.01.00769909 / Действителен до 14.06.2026 / 0621042KZ042 / годен до 14.06.2026")</f>
        <v>Корректор осанки с ребрами жесткости эластичный 2011 L (Болгария) KZ.7700.02.01.00769909 / Действителен до 14.06.2026 / 0621042KZ042 / годен до 14.06.2026</v>
      </c>
    </row>
    <row r="1508" spans="1:8" ht="12.75" x14ac:dyDescent="0.2">
      <c r="A1508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1508" s="1" t="str">
        <f ca="1">IFERROR(__xludf.DUMMYFUNCTION("""COMPUTED_VALUE"""),"KZ.7700.02.01.00769902")</f>
        <v>KZ.7700.02.01.00769902</v>
      </c>
      <c r="C1508" s="1" t="str">
        <f ca="1">IFERROR(__xludf.DUMMYFUNCTION("""COMPUTED_VALUE"""),"Действителен до 14.06.2026")</f>
        <v>Действителен до 14.06.2026</v>
      </c>
      <c r="D1508" s="8" t="str">
        <f ca="1">IFERROR(__xludf.DUMMYFUNCTION("""COMPUTED_VALUE"""),"0621042KZ042")</f>
        <v>0621042KZ042</v>
      </c>
      <c r="E1508" s="1" t="str">
        <f ca="1">IFERROR(__xludf.DUMMYFUNCTION("""COMPUTED_VALUE"""),"годен до 14.06.2026")</f>
        <v>годен до 14.06.2026</v>
      </c>
      <c r="F1508" s="1" t="str">
        <f ca="1">IFERROR(__xludf.DUMMYFUNCTION("""COMPUTED_VALUE"""),"Корректор осанки с ребрами жесткости эластичный 2011 M (Болгария) - 0621042KZ042")</f>
        <v>Корректор осанки с ребрами жесткости эластичный 2011 M (Болгария) - 0621042KZ042</v>
      </c>
      <c r="G1508" s="1" t="str">
        <f ca="1">IFERROR(__xludf.DUMMYFUNCTION("""COMPUTED_VALUE"""),"KZ.7700.02.01.00769902 / Действителен до 14.06.2026 / 0621042KZ042 / годен до 14.06.2026")</f>
        <v>KZ.7700.02.01.00769902 / Действителен до 14.06.2026 / 0621042KZ042 / годен до 14.06.2026</v>
      </c>
      <c r="H1508" s="1" t="str">
        <f ca="1">IFERROR(__xludf.DUMMYFUNCTION("""COMPUTED_VALUE"""),"Корректор осанки с ребрами жесткости эластичный 2011 M (Болгария) KZ.7700.02.01.00769902 / Действителен до 14.06.2026 / 0621042KZ042 / годен до 14.06.2026")</f>
        <v>Корректор осанки с ребрами жесткости эластичный 2011 M (Болгария) KZ.7700.02.01.00769902 / Действителен до 14.06.2026 / 0621042KZ042 / годен до 14.06.2026</v>
      </c>
    </row>
    <row r="1509" spans="1:8" ht="12.75" x14ac:dyDescent="0.2">
      <c r="A1509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1509" s="1" t="str">
        <f ca="1">IFERROR(__xludf.DUMMYFUNCTION("""COMPUTED_VALUE"""),"KZ.7700.02.01.00769894")</f>
        <v>KZ.7700.02.01.00769894</v>
      </c>
      <c r="C1509" s="1" t="str">
        <f ca="1">IFERROR(__xludf.DUMMYFUNCTION("""COMPUTED_VALUE"""),"Действителен до 14.06.2026")</f>
        <v>Действителен до 14.06.2026</v>
      </c>
      <c r="D1509" s="8" t="str">
        <f ca="1">IFERROR(__xludf.DUMMYFUNCTION("""COMPUTED_VALUE"""),"0621042KZ042")</f>
        <v>0621042KZ042</v>
      </c>
      <c r="E1509" s="1" t="str">
        <f ca="1">IFERROR(__xludf.DUMMYFUNCTION("""COMPUTED_VALUE"""),"годен до 14.06.2026")</f>
        <v>годен до 14.06.2026</v>
      </c>
      <c r="F1509" s="1" t="str">
        <f ca="1">IFERROR(__xludf.DUMMYFUNCTION("""COMPUTED_VALUE"""),"Корректор осанки с ребрами жесткости эластичный 2011 S (Болгария) - 0621042KZ042")</f>
        <v>Корректор осанки с ребрами жесткости эластичный 2011 S (Болгария) - 0621042KZ042</v>
      </c>
      <c r="G1509" s="1" t="str">
        <f ca="1">IFERROR(__xludf.DUMMYFUNCTION("""COMPUTED_VALUE"""),"KZ.7700.02.01.00769894 / Действителен до 14.06.2026 / 0621042KZ042 / годен до 14.06.2026")</f>
        <v>KZ.7700.02.01.00769894 / Действителен до 14.06.2026 / 0621042KZ042 / годен до 14.06.2026</v>
      </c>
      <c r="H1509" s="1" t="str">
        <f ca="1">IFERROR(__xludf.DUMMYFUNCTION("""COMPUTED_VALUE"""),"Корректор осанки с ребрами жесткости эластичный 2011 S (Болгария) KZ.7700.02.01.00769894 / Действителен до 14.06.2026 / 0621042KZ042 / годен до 14.06.2026")</f>
        <v>Корректор осанки с ребрами жесткости эластичный 2011 S (Болгария) KZ.7700.02.01.00769894 / Действителен до 14.06.2026 / 0621042KZ042 / годен до 14.06.2026</v>
      </c>
    </row>
    <row r="1510" spans="1:8" ht="12.75" x14ac:dyDescent="0.2">
      <c r="A1510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1510" s="1" t="str">
        <f ca="1">IFERROR(__xludf.DUMMYFUNCTION("""COMPUTED_VALUE"""),"KZ.7700.02.01.00769906")</f>
        <v>KZ.7700.02.01.00769906</v>
      </c>
      <c r="C1510" s="1" t="str">
        <f ca="1">IFERROR(__xludf.DUMMYFUNCTION("""COMPUTED_VALUE"""),"Действителен до 14.06.2026")</f>
        <v>Действителен до 14.06.2026</v>
      </c>
      <c r="D1510" s="8" t="str">
        <f ca="1">IFERROR(__xludf.DUMMYFUNCTION("""COMPUTED_VALUE"""),"0621042KZ042")</f>
        <v>0621042KZ042</v>
      </c>
      <c r="E1510" s="1" t="str">
        <f ca="1">IFERROR(__xludf.DUMMYFUNCTION("""COMPUTED_VALUE"""),"годен до 14.06.2026")</f>
        <v>годен до 14.06.2026</v>
      </c>
      <c r="F1510" s="1" t="str">
        <f ca="1">IFERROR(__xludf.DUMMYFUNCTION("""COMPUTED_VALUE"""),"Корректор осанки с ребрами жесткости эластичный 2011 XL (Болгария) - 0621042KZ042")</f>
        <v>Корректор осанки с ребрами жесткости эластичный 2011 XL (Болгария) - 0621042KZ042</v>
      </c>
      <c r="G1510" s="1" t="str">
        <f ca="1">IFERROR(__xludf.DUMMYFUNCTION("""COMPUTED_VALUE"""),"KZ.7700.02.01.00769906 / Действителен до 14.06.2026 / 0621042KZ042 / годен до 14.06.2026")</f>
        <v>KZ.7700.02.01.00769906 / Действителен до 14.06.2026 / 0621042KZ042 / годен до 14.06.2026</v>
      </c>
      <c r="H1510" s="1" t="str">
        <f ca="1">IFERROR(__xludf.DUMMYFUNCTION("""COMPUTED_VALUE"""),"Корректор осанки с ребрами жесткости эластичный 2011 XL (Болгария) KZ.7700.02.01.00769906 / Действителен до 14.06.2026 / 0621042KZ042 / годен до 14.06.2026")</f>
        <v>Корректор осанки с ребрами жесткости эластичный 2011 XL (Болгария) KZ.7700.02.01.00769906 / Действителен до 14.06.2026 / 0621042KZ042 / годен до 14.06.2026</v>
      </c>
    </row>
    <row r="1511" spans="1:8" ht="12.75" x14ac:dyDescent="0.2">
      <c r="A1511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1511" s="1" t="str">
        <f ca="1">IFERROR(__xludf.DUMMYFUNCTION("""COMPUTED_VALUE"""),"KZ.7700.02.01.00769903")</f>
        <v>KZ.7700.02.01.00769903</v>
      </c>
      <c r="C1511" s="1" t="str">
        <f ca="1">IFERROR(__xludf.DUMMYFUNCTION("""COMPUTED_VALUE"""),"Действителен до 14.06.2026")</f>
        <v>Действителен до 14.06.2026</v>
      </c>
      <c r="D1511" s="8" t="str">
        <f ca="1">IFERROR(__xludf.DUMMYFUNCTION("""COMPUTED_VALUE"""),"0621042KZ042")</f>
        <v>0621042KZ042</v>
      </c>
      <c r="E1511" s="1" t="str">
        <f ca="1">IFERROR(__xludf.DUMMYFUNCTION("""COMPUTED_VALUE"""),"годен до 14.06.2026")</f>
        <v>годен до 14.06.2026</v>
      </c>
      <c r="F1511" s="1" t="str">
        <f ca="1">IFERROR(__xludf.DUMMYFUNCTION("""COMPUTED_VALUE"""),"Корректор осанки с ребрами жесткости эластичный 2011 XXL (Болгария) - 0621042KZ042")</f>
        <v>Корректор осанки с ребрами жесткости эластичный 2011 XXL (Болгария) - 0621042KZ042</v>
      </c>
      <c r="G1511" s="1" t="str">
        <f ca="1">IFERROR(__xludf.DUMMYFUNCTION("""COMPUTED_VALUE"""),"KZ.7700.02.01.00769903 / Действителен до 14.06.2026 / 0621042KZ042 / годен до 14.06.2026")</f>
        <v>KZ.7700.02.01.00769903 / Действителен до 14.06.2026 / 0621042KZ042 / годен до 14.06.2026</v>
      </c>
      <c r="H1511" s="1" t="str">
        <f ca="1">IFERROR(__xludf.DUMMYFUNCTION("""COMPUTED_VALUE"""),"Корректор осанки с ребрами жесткости эластичный 2011 XXL (Болгария) KZ.7700.02.01.00769903 / Действителен до 14.06.2026 / 0621042KZ042 / годен до 14.06.2026")</f>
        <v>Корректор осанки с ребрами жесткости эластичный 2011 XXL (Болгария) KZ.7700.02.01.00769903 / Действителен до 14.06.2026 / 0621042KZ042 / годен до 14.06.2026</v>
      </c>
    </row>
    <row r="1512" spans="1:8" ht="12.75" x14ac:dyDescent="0.2">
      <c r="A1512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1512" s="1" t="str">
        <f ca="1">IFERROR(__xludf.DUMMYFUNCTION("""COMPUTED_VALUE"""),"KZ.7700.02.01.00769910")</f>
        <v>KZ.7700.02.01.00769910</v>
      </c>
      <c r="C1512" s="1" t="str">
        <f ca="1">IFERROR(__xludf.DUMMYFUNCTION("""COMPUTED_VALUE"""),"Действителен до 14.06.2026")</f>
        <v>Действителен до 14.06.2026</v>
      </c>
      <c r="D1512" s="8" t="str">
        <f ca="1">IFERROR(__xludf.DUMMYFUNCTION("""COMPUTED_VALUE"""),"0621042KZ042")</f>
        <v>0621042KZ042</v>
      </c>
      <c r="E1512" s="1" t="str">
        <f ca="1">IFERROR(__xludf.DUMMYFUNCTION("""COMPUTED_VALUE"""),"годен до 14.06.2026")</f>
        <v>годен до 14.06.2026</v>
      </c>
      <c r="F1512" s="1" t="str">
        <f ca="1">IFERROR(__xludf.DUMMYFUNCTION("""COMPUTED_VALUE"""),"Корректор лечебно-профилактический (с 4 ребрами жесткости) эластичный 3011 - L - 0621042KZ042")</f>
        <v>Корректор лечебно-профилактический (с 4 ребрами жесткости) эластичный 3011 - L - 0621042KZ042</v>
      </c>
      <c r="G1512" s="1" t="str">
        <f ca="1">IFERROR(__xludf.DUMMYFUNCTION("""COMPUTED_VALUE"""),"KZ.7700.02.01.00769910 / Действителен до 14.06.2026 / 0621042KZ042 / годен до 14.06.2026")</f>
        <v>KZ.7700.02.01.00769910 / Действителен до 14.06.2026 / 0621042KZ042 / годен до 14.06.2026</v>
      </c>
      <c r="H1512" s="1" t="str">
        <f ca="1">IFERROR(__xludf.DUMMYFUNCTION("""COMPUTED_VALUE"""),"Корректор лечебно-профилактический (с 4 ребрами жесткости) эластичный 3011 - L KZ.7700.02.01.00769910 / Действителен до 14.06.2026 / 0621042KZ042 / годен до 14.06.2026")</f>
        <v>Корректор лечебно-профилактический (с 4 ребрами жесткости) эластичный 3011 - L KZ.7700.02.01.00769910 / Действителен до 14.06.2026 / 0621042KZ042 / годен до 14.06.2026</v>
      </c>
    </row>
    <row r="1513" spans="1:8" ht="12.75" x14ac:dyDescent="0.2">
      <c r="A1513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1513" s="1" t="str">
        <f ca="1">IFERROR(__xludf.DUMMYFUNCTION("""COMPUTED_VALUE"""),"KZ.7700.02.01.00769911")</f>
        <v>KZ.7700.02.01.00769911</v>
      </c>
      <c r="C1513" s="1" t="str">
        <f ca="1">IFERROR(__xludf.DUMMYFUNCTION("""COMPUTED_VALUE"""),"Действителен до 14.06.2026")</f>
        <v>Действителен до 14.06.2026</v>
      </c>
      <c r="D1513" s="8" t="str">
        <f ca="1">IFERROR(__xludf.DUMMYFUNCTION("""COMPUTED_VALUE"""),"0621042KZ042")</f>
        <v>0621042KZ042</v>
      </c>
      <c r="E1513" s="1" t="str">
        <f ca="1">IFERROR(__xludf.DUMMYFUNCTION("""COMPUTED_VALUE"""),"годен до 14.06.2026")</f>
        <v>годен до 14.06.2026</v>
      </c>
      <c r="F1513" s="1" t="str">
        <f ca="1">IFERROR(__xludf.DUMMYFUNCTION("""COMPUTED_VALUE"""),"Корректор лечебно-профилактический (с 4 ребрами жесткости) эластичный 3011- XL - 0621042KZ042")</f>
        <v>Корректор лечебно-профилактический (с 4 ребрами жесткости) эластичный 3011- XL - 0621042KZ042</v>
      </c>
      <c r="G1513" s="1" t="str">
        <f ca="1">IFERROR(__xludf.DUMMYFUNCTION("""COMPUTED_VALUE"""),"KZ.7700.02.01.00769911 / Действителен до 14.06.2026 / 0621042KZ042 / годен до 14.06.2026")</f>
        <v>KZ.7700.02.01.00769911 / Действителен до 14.06.2026 / 0621042KZ042 / годен до 14.06.2026</v>
      </c>
      <c r="H1513" s="1" t="str">
        <f ca="1">IFERROR(__xludf.DUMMYFUNCTION("""COMPUTED_VALUE"""),"Корректор лечебно-профилактический (с 4 ребрами жесткости) эластичный 3011- XL KZ.7700.02.01.00769911 / Действителен до 14.06.2026 / 0621042KZ042 / годен до 14.06.2026")</f>
        <v>Корректор лечебно-профилактический (с 4 ребрами жесткости) эластичный 3011- XL KZ.7700.02.01.00769911 / Действителен до 14.06.2026 / 0621042KZ042 / годен до 14.06.2026</v>
      </c>
    </row>
    <row r="1514" spans="1:8" ht="12.75" x14ac:dyDescent="0.2">
      <c r="A1514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1514" s="1" t="str">
        <f ca="1">IFERROR(__xludf.DUMMYFUNCTION("""COMPUTED_VALUE"""),"KZ.7700.02.01.00769907")</f>
        <v>KZ.7700.02.01.00769907</v>
      </c>
      <c r="C1514" s="1" t="str">
        <f ca="1">IFERROR(__xludf.DUMMYFUNCTION("""COMPUTED_VALUE"""),"Действителен до 14.06.2026")</f>
        <v>Действителен до 14.06.2026</v>
      </c>
      <c r="D1514" s="8" t="str">
        <f ca="1">IFERROR(__xludf.DUMMYFUNCTION("""COMPUTED_VALUE"""),"0621042KZ042")</f>
        <v>0621042KZ042</v>
      </c>
      <c r="E1514" s="1" t="str">
        <f ca="1">IFERROR(__xludf.DUMMYFUNCTION("""COMPUTED_VALUE"""),"годен до 14.06.2026")</f>
        <v>годен до 14.06.2026</v>
      </c>
      <c r="F1514" s="1" t="str">
        <f ca="1">IFERROR(__xludf.DUMMYFUNCTION("""COMPUTED_VALUE"""),"Корректор лечебно-профилактический (с 4 ребрами жесткости) эластичный 3011- XXL - 0621042KZ042")</f>
        <v>Корректор лечебно-профилактический (с 4 ребрами жесткости) эластичный 3011- XXL - 0621042KZ042</v>
      </c>
      <c r="G1514" s="1" t="str">
        <f ca="1">IFERROR(__xludf.DUMMYFUNCTION("""COMPUTED_VALUE"""),"KZ.7700.02.01.00769907 / Действителен до 14.06.2026 / 0621042KZ042 / годен до 14.06.2026")</f>
        <v>KZ.7700.02.01.00769907 / Действителен до 14.06.2026 / 0621042KZ042 / годен до 14.06.2026</v>
      </c>
      <c r="H1514" s="1" t="str">
        <f ca="1">IFERROR(__xludf.DUMMYFUNCTION("""COMPUTED_VALUE"""),"Корректор лечебно-профилактический (с 4 ребрами жесткости) эластичный 3011- XXL KZ.7700.02.01.00769907 / Действителен до 14.06.2026 / 0621042KZ042 / годен до 14.06.2026")</f>
        <v>Корректор лечебно-профилактический (с 4 ребрами жесткости) эластичный 3011- XXL KZ.7700.02.01.00769907 / Действителен до 14.06.2026 / 0621042KZ042 / годен до 14.06.2026</v>
      </c>
    </row>
    <row r="1515" spans="1:8" ht="12.75" x14ac:dyDescent="0.2">
      <c r="A1515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1515" s="1" t="str">
        <f ca="1">IFERROR(__xludf.DUMMYFUNCTION("""COMPUTED_VALUE"""),"KZ.7700.02.01.00769908")</f>
        <v>KZ.7700.02.01.00769908</v>
      </c>
      <c r="C1515" s="1" t="str">
        <f ca="1">IFERROR(__xludf.DUMMYFUNCTION("""COMPUTED_VALUE"""),"Действителен до 14.06.2026")</f>
        <v>Действителен до 14.06.2026</v>
      </c>
      <c r="D1515" s="8" t="str">
        <f ca="1">IFERROR(__xludf.DUMMYFUNCTION("""COMPUTED_VALUE"""),"0621042KZ042")</f>
        <v>0621042KZ042</v>
      </c>
      <c r="E1515" s="1" t="str">
        <f ca="1">IFERROR(__xludf.DUMMYFUNCTION("""COMPUTED_VALUE"""),"годен до 14.06.2026")</f>
        <v>годен до 14.06.2026</v>
      </c>
      <c r="F1515" s="1" t="str">
        <f ca="1">IFERROR(__xludf.DUMMYFUNCTION("""COMPUTED_VALUE"""),"Корректор лечебно-профилактический (с 4 ребрами жесткости) эластичный 3011- XXXL - 0621042KZ042")</f>
        <v>Корректор лечебно-профилактический (с 4 ребрами жесткости) эластичный 3011- XXXL - 0621042KZ042</v>
      </c>
      <c r="G1515" s="1" t="str">
        <f ca="1">IFERROR(__xludf.DUMMYFUNCTION("""COMPUTED_VALUE"""),"KZ.7700.02.01.00769908 / Действителен до 14.06.2026 / 0621042KZ042 / годен до 14.06.2026")</f>
        <v>KZ.7700.02.01.00769908 / Действителен до 14.06.2026 / 0621042KZ042 / годен до 14.06.2026</v>
      </c>
      <c r="H1515" s="1" t="str">
        <f ca="1">IFERROR(__xludf.DUMMYFUNCTION("""COMPUTED_VALUE"""),"Корректор лечебно-профилактический (с 4 ребрами жесткости) эластичный 3011- XXXL KZ.7700.02.01.00769908 / Действителен до 14.06.2026 / 0621042KZ042 / годен до 14.06.2026")</f>
        <v>Корректор лечебно-профилактический (с 4 ребрами жесткости) эластичный 3011- XXXL KZ.7700.02.01.00769908 / Действителен до 14.06.2026 / 0621042KZ042 / годен до 14.06.2026</v>
      </c>
    </row>
    <row r="1516" spans="1:8" ht="12.75" x14ac:dyDescent="0.2">
      <c r="A1516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1516" s="1" t="str">
        <f ca="1">IFERROR(__xludf.DUMMYFUNCTION("""COMPUTED_VALUE"""),"KZ.7700.02.01.00769905")</f>
        <v>KZ.7700.02.01.00769905</v>
      </c>
      <c r="C1516" s="1" t="str">
        <f ca="1">IFERROR(__xludf.DUMMYFUNCTION("""COMPUTED_VALUE"""),"Действителен до 14.06.2026")</f>
        <v>Действителен до 14.06.2026</v>
      </c>
      <c r="D1516" s="8" t="str">
        <f ca="1">IFERROR(__xludf.DUMMYFUNCTION("""COMPUTED_VALUE"""),"0621042KZ042")</f>
        <v>0621042KZ042</v>
      </c>
      <c r="E1516" s="1" t="str">
        <f ca="1">IFERROR(__xludf.DUMMYFUNCTION("""COMPUTED_VALUE"""),"годен до 14.06.2026")</f>
        <v>годен до 14.06.2026</v>
      </c>
      <c r="F1516" s="1" t="str">
        <f ca="1">IFERROR(__xludf.DUMMYFUNCTION("""COMPUTED_VALUE"""),"Корректор лечебно-профилактический (с 4 ребрами жесткости) эластичный 3011 XXXXL - 0621042KZ042")</f>
        <v>Корректор лечебно-профилактический (с 4 ребрами жесткости) эластичный 3011 XXXXL - 0621042KZ042</v>
      </c>
      <c r="G1516" s="1" t="str">
        <f ca="1">IFERROR(__xludf.DUMMYFUNCTION("""COMPUTED_VALUE"""),"KZ.7700.02.01.00769905 / Действителен до 14.06.2026 / 0621042KZ042 / годен до 14.06.2026")</f>
        <v>KZ.7700.02.01.00769905 / Действителен до 14.06.2026 / 0621042KZ042 / годен до 14.06.2026</v>
      </c>
      <c r="H1516" s="1" t="str">
        <f ca="1">IFERROR(__xludf.DUMMYFUNCTION("""COMPUTED_VALUE"""),"Корректор лечебно-профилактический (с 4 ребрами жесткости) эластичный 3011 XXXXL KZ.7700.02.01.00769905 / Действителен до 14.06.2026 / 0621042KZ042 / годен до 14.06.2026")</f>
        <v>Корректор лечебно-профилактический (с 4 ребрами жесткости) эластичный 3011 XXXXL KZ.7700.02.01.00769905 / Действителен до 14.06.2026 / 0621042KZ042 / годен до 14.06.2026</v>
      </c>
    </row>
    <row r="1517" spans="1:8" ht="12.75" x14ac:dyDescent="0.2">
      <c r="A1517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1517" s="1" t="str">
        <f ca="1">IFERROR(__xludf.DUMMYFUNCTION("""COMPUTED_VALUE"""),"KZ.7700.02.01.00769913")</f>
        <v>KZ.7700.02.01.00769913</v>
      </c>
      <c r="C1517" s="1" t="str">
        <f ca="1">IFERROR(__xludf.DUMMYFUNCTION("""COMPUTED_VALUE"""),"Действителен до 14.06.2026")</f>
        <v>Действителен до 14.06.2026</v>
      </c>
      <c r="D1517" s="8" t="str">
        <f ca="1">IFERROR(__xludf.DUMMYFUNCTION("""COMPUTED_VALUE"""),"0621042KZ042")</f>
        <v>0621042KZ042</v>
      </c>
      <c r="E1517" s="1" t="str">
        <f ca="1">IFERROR(__xludf.DUMMYFUNCTION("""COMPUTED_VALUE"""),"годен до 14.06.2026")</f>
        <v>годен до 14.06.2026</v>
      </c>
      <c r="F1517" s="1" t="str">
        <f ca="1">IFERROR(__xludf.DUMMYFUNCTION("""COMPUTED_VALUE"""),"Корсет ортопедический с ребрами жесткости согревающий 3041 M/L (Болгария) - 0621042KZ042")</f>
        <v>Корсет ортопедический с ребрами жесткости согревающий 3041 M/L (Болгария) - 0621042KZ042</v>
      </c>
      <c r="G1517" s="1" t="str">
        <f ca="1">IFERROR(__xludf.DUMMYFUNCTION("""COMPUTED_VALUE"""),"KZ.7700.02.01.00769913 / Действителен до 14.06.2026 / 0621042KZ042 / годен до 14.06.2026")</f>
        <v>KZ.7700.02.01.00769913 / Действителен до 14.06.2026 / 0621042KZ042 / годен до 14.06.2026</v>
      </c>
      <c r="H1517" s="1" t="str">
        <f ca="1">IFERROR(__xludf.DUMMYFUNCTION("""COMPUTED_VALUE"""),"Корсет ортопедический с ребрами жесткости согревающий 3041 M/L (Болгария) KZ.7700.02.01.00769913 / Действителен до 14.06.2026 / 0621042KZ042 / годен до 14.06.2026")</f>
        <v>Корсет ортопедический с ребрами жесткости согревающий 3041 M/L (Болгария) KZ.7700.02.01.00769913 / Действителен до 14.06.2026 / 0621042KZ042 / годен до 14.06.2026</v>
      </c>
    </row>
    <row r="1518" spans="1:8" ht="12.75" x14ac:dyDescent="0.2">
      <c r="A1518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1518" s="1" t="str">
        <f ca="1">IFERROR(__xludf.DUMMYFUNCTION("""COMPUTED_VALUE"""),"KZ.7700.02.01.00769920")</f>
        <v>KZ.7700.02.01.00769920</v>
      </c>
      <c r="C1518" s="1" t="str">
        <f ca="1">IFERROR(__xludf.DUMMYFUNCTION("""COMPUTED_VALUE"""),"Действителен до 14.06.2026")</f>
        <v>Действителен до 14.06.2026</v>
      </c>
      <c r="D1518" s="8" t="str">
        <f ca="1">IFERROR(__xludf.DUMMYFUNCTION("""COMPUTED_VALUE"""),"0621042KZ042")</f>
        <v>0621042KZ042</v>
      </c>
      <c r="E1518" s="1" t="str">
        <f ca="1">IFERROR(__xludf.DUMMYFUNCTION("""COMPUTED_VALUE"""),"годен до 14.06.2026")</f>
        <v>годен до 14.06.2026</v>
      </c>
      <c r="F1518" s="1" t="str">
        <f ca="1">IFERROR(__xludf.DUMMYFUNCTION("""COMPUTED_VALUE"""),"Корсет ортопедический с ребрами жесткости согревающий 3041 XL/XXL (Болгария) - 0621042KZ042")</f>
        <v>Корсет ортопедический с ребрами жесткости согревающий 3041 XL/XXL (Болгария) - 0621042KZ042</v>
      </c>
      <c r="G1518" s="1" t="str">
        <f ca="1">IFERROR(__xludf.DUMMYFUNCTION("""COMPUTED_VALUE"""),"KZ.7700.02.01.00769920 / Действителен до 14.06.2026 / 0621042KZ042 / годен до 14.06.2026")</f>
        <v>KZ.7700.02.01.00769920 / Действителен до 14.06.2026 / 0621042KZ042 / годен до 14.06.2026</v>
      </c>
      <c r="H1518" s="1" t="str">
        <f ca="1">IFERROR(__xludf.DUMMYFUNCTION("""COMPUTED_VALUE"""),"Корсет ортопедический с ребрами жесткости согревающий 3041 XL/XXL (Болгария) KZ.7700.02.01.00769920 / Действителен до 14.06.2026 / 0621042KZ042 / годен до 14.06.2026")</f>
        <v>Корсет ортопедический с ребрами жесткости согревающий 3041 XL/XXL (Болгария) KZ.7700.02.01.00769920 / Действителен до 14.06.2026 / 0621042KZ042 / годен до 14.06.2026</v>
      </c>
    </row>
    <row r="1519" spans="1:8" ht="12.75" x14ac:dyDescent="0.2">
      <c r="A1519" s="1" t="str">
        <f ca="1">IFERROR(__xludf.DUMMYFUNCTION("""COMPUTED_VALUE"""),"Корсет ортопедический с ребрами жесткости согревающий 3041 XS/S (Болгария)")</f>
        <v>Корсет ортопедический с ребрами жесткости согревающий 3041 XS/S (Болгария)</v>
      </c>
      <c r="B1519" s="1" t="str">
        <f ca="1">IFERROR(__xludf.DUMMYFUNCTION("""COMPUTED_VALUE"""),"KZ.7700.02.01.00769904")</f>
        <v>KZ.7700.02.01.00769904</v>
      </c>
      <c r="C1519" s="1" t="str">
        <f ca="1">IFERROR(__xludf.DUMMYFUNCTION("""COMPUTED_VALUE"""),"Действителен до 14.06.2026")</f>
        <v>Действителен до 14.06.2026</v>
      </c>
      <c r="D1519" s="8" t="str">
        <f ca="1">IFERROR(__xludf.DUMMYFUNCTION("""COMPUTED_VALUE"""),"0621042KZ042")</f>
        <v>0621042KZ042</v>
      </c>
      <c r="E1519" s="1" t="str">
        <f ca="1">IFERROR(__xludf.DUMMYFUNCTION("""COMPUTED_VALUE"""),"годен до 14.06.2026")</f>
        <v>годен до 14.06.2026</v>
      </c>
      <c r="F1519" s="1" t="str">
        <f ca="1">IFERROR(__xludf.DUMMYFUNCTION("""COMPUTED_VALUE"""),"Корсет ортопедический с ребрами жесткости согревающий 3041 XS/S (Болгария) - 0621042KZ042")</f>
        <v>Корсет ортопедический с ребрами жесткости согревающий 3041 XS/S (Болгария) - 0621042KZ042</v>
      </c>
      <c r="G1519" s="1" t="str">
        <f ca="1">IFERROR(__xludf.DUMMYFUNCTION("""COMPUTED_VALUE"""),"KZ.7700.02.01.00769904 / Действителен до 14.06.2026 / 0621042KZ042 / годен до 14.06.2026")</f>
        <v>KZ.7700.02.01.00769904 / Действителен до 14.06.2026 / 0621042KZ042 / годен до 14.06.2026</v>
      </c>
      <c r="H1519" s="1" t="str">
        <f ca="1">IFERROR(__xludf.DUMMYFUNCTION("""COMPUTED_VALUE"""),"Корсет ортопедический с ребрами жесткости согревающий 3041 XS/S (Болгария) KZ.7700.02.01.00769904 / Действителен до 14.06.2026 / 0621042KZ042 / годен до 14.06.2026")</f>
        <v>Корсет ортопедический с ребрами жесткости согревающий 3041 XS/S (Болгария) KZ.7700.02.01.00769904 / Действителен до 14.06.2026 / 0621042KZ042 / годен до 14.06.2026</v>
      </c>
    </row>
    <row r="1520" spans="1:8" ht="12.75" x14ac:dyDescent="0.2">
      <c r="A1520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1520" s="1" t="str">
        <f ca="1">IFERROR(__xludf.DUMMYFUNCTION("""COMPUTED_VALUE"""),"KZ.7700.02.01.00769912")</f>
        <v>KZ.7700.02.01.00769912</v>
      </c>
      <c r="C1520" s="1" t="str">
        <f ca="1">IFERROR(__xludf.DUMMYFUNCTION("""COMPUTED_VALUE"""),"Действителен до 14.06.2026")</f>
        <v>Действителен до 14.06.2026</v>
      </c>
      <c r="D1520" s="8" t="str">
        <f ca="1">IFERROR(__xludf.DUMMYFUNCTION("""COMPUTED_VALUE"""),"0621042KZ042")</f>
        <v>0621042KZ042</v>
      </c>
      <c r="E1520" s="1" t="str">
        <f ca="1">IFERROR(__xludf.DUMMYFUNCTION("""COMPUTED_VALUE"""),"годен до 14.06.2026")</f>
        <v>годен до 14.06.2026</v>
      </c>
      <c r="F1520" s="1" t="str">
        <f ca="1">IFERROR(__xludf.DUMMYFUNCTION("""COMPUTED_VALUE"""),"Корсет ортопедический с ребрами жесткости согревающий 3041 XXXL/XXXXL (Болгария) - 0621042KZ042")</f>
        <v>Корсет ортопедический с ребрами жесткости согревающий 3041 XXXL/XXXXL (Болгария) - 0621042KZ042</v>
      </c>
      <c r="G1520" s="1" t="str">
        <f ca="1">IFERROR(__xludf.DUMMYFUNCTION("""COMPUTED_VALUE"""),"KZ.7700.02.01.00769912 / Действителен до 14.06.2026 / 0621042KZ042 / годен до 14.06.2026")</f>
        <v>KZ.7700.02.01.00769912 / Действителен до 14.06.2026 / 0621042KZ042 / годен до 14.06.2026</v>
      </c>
      <c r="H1520" s="1" t="str">
        <f ca="1">IFERROR(__xludf.DUMMYFUNCTION("""COMPUTED_VALUE"""),"Корсет ортопедический с ребрами жесткости согревающий 3041 XXXL/XXXXL (Болгария) KZ.7700.02.01.00769912 / Действителен до 14.06.2026 / 0621042KZ042 / годен до 14.06.2026")</f>
        <v>Корсет ортопедический с ребрами жесткости согревающий 3041 XXXL/XXXXL (Болгария) KZ.7700.02.01.00769912 / Действителен до 14.06.2026 / 0621042KZ042 / годен до 14.06.2026</v>
      </c>
    </row>
    <row r="1521" spans="1:8" ht="12.75" x14ac:dyDescent="0.2">
      <c r="A1521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1521" s="1" t="str">
        <f ca="1">IFERROR(__xludf.DUMMYFUNCTION("""COMPUTED_VALUE"""),"KZ.7700.02.01.00769914")</f>
        <v>KZ.7700.02.01.00769914</v>
      </c>
      <c r="C1521" s="1" t="str">
        <f ca="1">IFERROR(__xludf.DUMMYFUNCTION("""COMPUTED_VALUE"""),"Действителен до 14.06.2026")</f>
        <v>Действителен до 14.06.2026</v>
      </c>
      <c r="D1521" s="8" t="str">
        <f ca="1">IFERROR(__xludf.DUMMYFUNCTION("""COMPUTED_VALUE"""),"0621042KZ042")</f>
        <v>0621042KZ042</v>
      </c>
      <c r="E1521" s="1" t="str">
        <f ca="1">IFERROR(__xludf.DUMMYFUNCTION("""COMPUTED_VALUE"""),"годен до 14.06.2026")</f>
        <v>годен до 14.06.2026</v>
      </c>
      <c r="F1521" s="1" t="str">
        <f ca="1">IFERROR(__xludf.DUMMYFUNCTION("""COMPUTED_VALUE"""),"Бандаж лечебно–профилактический (с тремя ребрами жесткости) 4001 L (Болгария) - 0621042KZ042")</f>
        <v>Бандаж лечебно–профилактический (с тремя ребрами жесткости) 4001 L (Болгария) - 0621042KZ042</v>
      </c>
      <c r="G1521" s="1" t="str">
        <f ca="1">IFERROR(__xludf.DUMMYFUNCTION("""COMPUTED_VALUE"""),"KZ.7700.02.01.00769914 / Действителен до 14.06.2026 / 0621042KZ042 / годен до 14.06.2026")</f>
        <v>KZ.7700.02.01.00769914 / Действителен до 14.06.2026 / 0621042KZ042 / годен до 14.06.2026</v>
      </c>
      <c r="H1521" s="1" t="str">
        <f ca="1">IFERROR(__xludf.DUMMYFUNCTION("""COMPUTED_VALUE"""),"Бандаж лечебно–профилактический (с тремя ребрами жесткости) 4001 L (Болгария) KZ.7700.02.01.00769914 / Действителен до 14.06.2026 / 0621042KZ042 / годен до 14.06.2026")</f>
        <v>Бандаж лечебно–профилактический (с тремя ребрами жесткости) 4001 L (Болгария) KZ.7700.02.01.00769914 / Действителен до 14.06.2026 / 0621042KZ042 / годен до 14.06.2026</v>
      </c>
    </row>
    <row r="1522" spans="1:8" ht="12.75" x14ac:dyDescent="0.2">
      <c r="A1522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1522" s="1" t="str">
        <f ca="1">IFERROR(__xludf.DUMMYFUNCTION("""COMPUTED_VALUE"""),"KZ.7700.02.01.00769918")</f>
        <v>KZ.7700.02.01.00769918</v>
      </c>
      <c r="C1522" s="1" t="str">
        <f ca="1">IFERROR(__xludf.DUMMYFUNCTION("""COMPUTED_VALUE"""),"Действителен до 14.06.2026")</f>
        <v>Действителен до 14.06.2026</v>
      </c>
      <c r="D1522" s="8" t="str">
        <f ca="1">IFERROR(__xludf.DUMMYFUNCTION("""COMPUTED_VALUE"""),"0621042KZ042")</f>
        <v>0621042KZ042</v>
      </c>
      <c r="E1522" s="1" t="str">
        <f ca="1">IFERROR(__xludf.DUMMYFUNCTION("""COMPUTED_VALUE"""),"годен до 14.06.2026")</f>
        <v>годен до 14.06.2026</v>
      </c>
      <c r="F1522" s="1" t="str">
        <f ca="1">IFERROR(__xludf.DUMMYFUNCTION("""COMPUTED_VALUE"""),"Бандаж лечебно–профилактический (с тремя ребрами жесткости) 4001 M (Болгария) - 0621042KZ042")</f>
        <v>Бандаж лечебно–профилактический (с тремя ребрами жесткости) 4001 M (Болгария) - 0621042KZ042</v>
      </c>
      <c r="G1522" s="1" t="str">
        <f ca="1">IFERROR(__xludf.DUMMYFUNCTION("""COMPUTED_VALUE"""),"KZ.7700.02.01.00769918 / Действителен до 14.06.2026 / 0621042KZ042 / годен до 14.06.2026")</f>
        <v>KZ.7700.02.01.00769918 / Действителен до 14.06.2026 / 0621042KZ042 / годен до 14.06.2026</v>
      </c>
      <c r="H1522" s="1" t="str">
        <f ca="1">IFERROR(__xludf.DUMMYFUNCTION("""COMPUTED_VALUE"""),"Бандаж лечебно–профилактический (с тремя ребрами жесткости) 4001 M (Болгария) KZ.7700.02.01.00769918 / Действителен до 14.06.2026 / 0621042KZ042 / годен до 14.06.2026")</f>
        <v>Бандаж лечебно–профилактический (с тремя ребрами жесткости) 4001 M (Болгария) KZ.7700.02.01.00769918 / Действителен до 14.06.2026 / 0621042KZ042 / годен до 14.06.2026</v>
      </c>
    </row>
    <row r="1523" spans="1:8" ht="12.75" x14ac:dyDescent="0.2">
      <c r="A1523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1523" s="1" t="str">
        <f ca="1">IFERROR(__xludf.DUMMYFUNCTION("""COMPUTED_VALUE"""),"KZ.7700.02.01.00769915")</f>
        <v>KZ.7700.02.01.00769915</v>
      </c>
      <c r="C1523" s="1" t="str">
        <f ca="1">IFERROR(__xludf.DUMMYFUNCTION("""COMPUTED_VALUE"""),"Действителен до 14.06.2026")</f>
        <v>Действителен до 14.06.2026</v>
      </c>
      <c r="D1523" s="8" t="str">
        <f ca="1">IFERROR(__xludf.DUMMYFUNCTION("""COMPUTED_VALUE"""),"0621042KZ042")</f>
        <v>0621042KZ042</v>
      </c>
      <c r="E1523" s="1" t="str">
        <f ca="1">IFERROR(__xludf.DUMMYFUNCTION("""COMPUTED_VALUE"""),"годен до 14.06.2026")</f>
        <v>годен до 14.06.2026</v>
      </c>
      <c r="F1523" s="1" t="str">
        <f ca="1">IFERROR(__xludf.DUMMYFUNCTION("""COMPUTED_VALUE"""),"Бандаж лечебно–профилактический (с тремя ребрами жесткости) 4001 S (Болгария) - 0621042KZ042")</f>
        <v>Бандаж лечебно–профилактический (с тремя ребрами жесткости) 4001 S (Болгария) - 0621042KZ042</v>
      </c>
      <c r="G1523" s="1" t="str">
        <f ca="1">IFERROR(__xludf.DUMMYFUNCTION("""COMPUTED_VALUE"""),"KZ.7700.02.01.00769915 / Действителен до 14.06.2026 / 0621042KZ042 / годен до 14.06.2026")</f>
        <v>KZ.7700.02.01.00769915 / Действителен до 14.06.2026 / 0621042KZ042 / годен до 14.06.2026</v>
      </c>
      <c r="H1523" s="1" t="str">
        <f ca="1">IFERROR(__xludf.DUMMYFUNCTION("""COMPUTED_VALUE"""),"Бандаж лечебно–профилактический (с тремя ребрами жесткости) 4001 S (Болгария) KZ.7700.02.01.00769915 / Действителен до 14.06.2026 / 0621042KZ042 / годен до 14.06.2026")</f>
        <v>Бандаж лечебно–профилактический (с тремя ребрами жесткости) 4001 S (Болгария) KZ.7700.02.01.00769915 / Действителен до 14.06.2026 / 0621042KZ042 / годен до 14.06.2026</v>
      </c>
    </row>
    <row r="1524" spans="1:8" ht="12.75" x14ac:dyDescent="0.2">
      <c r="A1524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1524" s="1" t="str">
        <f ca="1">IFERROR(__xludf.DUMMYFUNCTION("""COMPUTED_VALUE"""),"KZ.7700.02.01.00769917")</f>
        <v>KZ.7700.02.01.00769917</v>
      </c>
      <c r="C1524" s="1" t="str">
        <f ca="1">IFERROR(__xludf.DUMMYFUNCTION("""COMPUTED_VALUE"""),"Действителен до 14.06.2026")</f>
        <v>Действителен до 14.06.2026</v>
      </c>
      <c r="D1524" s="8" t="str">
        <f ca="1">IFERROR(__xludf.DUMMYFUNCTION("""COMPUTED_VALUE"""),"0621042KZ042")</f>
        <v>0621042KZ042</v>
      </c>
      <c r="E1524" s="1" t="str">
        <f ca="1">IFERROR(__xludf.DUMMYFUNCTION("""COMPUTED_VALUE"""),"годен до 14.06.2026")</f>
        <v>годен до 14.06.2026</v>
      </c>
      <c r="F1524" s="1" t="str">
        <f ca="1">IFERROR(__xludf.DUMMYFUNCTION("""COMPUTED_VALUE"""),"Бандаж лечебно–профилактический (с тремя ребрами жесткости) 4001 XL (Болгария) - 0621042KZ042")</f>
        <v>Бандаж лечебно–профилактический (с тремя ребрами жесткости) 4001 XL (Болгария) - 0621042KZ042</v>
      </c>
      <c r="G1524" s="1" t="str">
        <f ca="1">IFERROR(__xludf.DUMMYFUNCTION("""COMPUTED_VALUE"""),"KZ.7700.02.01.00769917 / Действителен до 14.06.2026 / 0621042KZ042 / годен до 14.06.2026")</f>
        <v>KZ.7700.02.01.00769917 / Действителен до 14.06.2026 / 0621042KZ042 / годен до 14.06.2026</v>
      </c>
      <c r="H1524" s="1" t="str">
        <f ca="1">IFERROR(__xludf.DUMMYFUNCTION("""COMPUTED_VALUE"""),"Бандаж лечебно–профилактический (с тремя ребрами жесткости) 4001 XL (Болгария) KZ.7700.02.01.00769917 / Действителен до 14.06.2026 / 0621042KZ042 / годен до 14.06.2026")</f>
        <v>Бандаж лечебно–профилактический (с тремя ребрами жесткости) 4001 XL (Болгария) KZ.7700.02.01.00769917 / Действителен до 14.06.2026 / 0621042KZ042 / годен до 14.06.2026</v>
      </c>
    </row>
    <row r="1525" spans="1:8" ht="12.75" x14ac:dyDescent="0.2">
      <c r="A1525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1525" s="1" t="str">
        <f ca="1">IFERROR(__xludf.DUMMYFUNCTION("""COMPUTED_VALUE"""),"KZ.7700.02.01.00769916")</f>
        <v>KZ.7700.02.01.00769916</v>
      </c>
      <c r="C1525" s="1" t="str">
        <f ca="1">IFERROR(__xludf.DUMMYFUNCTION("""COMPUTED_VALUE"""),"Действителен до 14.06.2026")</f>
        <v>Действителен до 14.06.2026</v>
      </c>
      <c r="D1525" s="8" t="str">
        <f ca="1">IFERROR(__xludf.DUMMYFUNCTION("""COMPUTED_VALUE"""),"0621042KZ042")</f>
        <v>0621042KZ042</v>
      </c>
      <c r="E1525" s="1" t="str">
        <f ca="1">IFERROR(__xludf.DUMMYFUNCTION("""COMPUTED_VALUE"""),"годен до 14.06.2026")</f>
        <v>годен до 14.06.2026</v>
      </c>
      <c r="F1525" s="1" t="str">
        <f ca="1">IFERROR(__xludf.DUMMYFUNCTION("""COMPUTED_VALUE"""),"Бандаж лечебно–профилактический (с тремя ребрами жесткости) 4001 XXL (Болгария) - 0621042KZ042")</f>
        <v>Бандаж лечебно–профилактический (с тремя ребрами жесткости) 4001 XXL (Болгария) - 0621042KZ042</v>
      </c>
      <c r="G1525" s="1" t="str">
        <f ca="1">IFERROR(__xludf.DUMMYFUNCTION("""COMPUTED_VALUE"""),"KZ.7700.02.01.00769916 / Действителен до 14.06.2026 / 0621042KZ042 / годен до 14.06.2026")</f>
        <v>KZ.7700.02.01.00769916 / Действителен до 14.06.2026 / 0621042KZ042 / годен до 14.06.2026</v>
      </c>
      <c r="H1525" s="1" t="str">
        <f ca="1">IFERROR(__xludf.DUMMYFUNCTION("""COMPUTED_VALUE"""),"Бандаж лечебно–профилактический (с тремя ребрами жесткости) 4001 XXL (Болгария) KZ.7700.02.01.00769916 / Действителен до 14.06.2026 / 0621042KZ042 / годен до 14.06.2026")</f>
        <v>Бандаж лечебно–профилактический (с тремя ребрами жесткости) 4001 XXL (Болгария) KZ.7700.02.01.00769916 / Действителен до 14.06.2026 / 0621042KZ042 / годен до 14.06.2026</v>
      </c>
    </row>
    <row r="1526" spans="1:8" ht="12.75" x14ac:dyDescent="0.2">
      <c r="A1526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1526" s="1" t="str">
        <f ca="1">IFERROR(__xludf.DUMMYFUNCTION("""COMPUTED_VALUE"""),"KZ.7700.02.01.00769919")</f>
        <v>KZ.7700.02.01.00769919</v>
      </c>
      <c r="C1526" s="1" t="str">
        <f ca="1">IFERROR(__xludf.DUMMYFUNCTION("""COMPUTED_VALUE"""),"Действителен до 14.06.2026")</f>
        <v>Действителен до 14.06.2026</v>
      </c>
      <c r="D1526" s="8" t="str">
        <f ca="1">IFERROR(__xludf.DUMMYFUNCTION("""COMPUTED_VALUE"""),"0621042KZ042")</f>
        <v>0621042KZ042</v>
      </c>
      <c r="E1526" s="1" t="str">
        <f ca="1">IFERROR(__xludf.DUMMYFUNCTION("""COMPUTED_VALUE"""),"годен до 14.06.2026")</f>
        <v>годен до 14.06.2026</v>
      </c>
      <c r="F1526" s="1" t="str">
        <f ca="1">IFERROR(__xludf.DUMMYFUNCTION("""COMPUTED_VALUE"""),"Бандаж лечебно–профилактический (с тремя ребрами жесткости) 4001 XXXL(Болгария) - 0621042KZ042")</f>
        <v>Бандаж лечебно–профилактический (с тремя ребрами жесткости) 4001 XXXL(Болгария) - 0621042KZ042</v>
      </c>
      <c r="G1526" s="1" t="str">
        <f ca="1">IFERROR(__xludf.DUMMYFUNCTION("""COMPUTED_VALUE"""),"KZ.7700.02.01.00769919 / Действителен до 14.06.2026 / 0621042KZ042 / годен до 14.06.2026")</f>
        <v>KZ.7700.02.01.00769919 / Действителен до 14.06.2026 / 0621042KZ042 / годен до 14.06.2026</v>
      </c>
      <c r="H1526" s="1" t="str">
        <f ca="1">IFERROR(__xludf.DUMMYFUNCTION("""COMPUTED_VALUE"""),"Бандаж лечебно–профилактический (с тремя ребрами жесткости) 4001 XXXL(Болгария) KZ.7700.02.01.00769919 / Действителен до 14.06.2026 / 0621042KZ042 / годен до 14.06.2026")</f>
        <v>Бандаж лечебно–профилактический (с тремя ребрами жесткости) 4001 XXXL(Болгария) KZ.7700.02.01.00769919 / Действителен до 14.06.2026 / 0621042KZ042 / годен до 14.06.2026</v>
      </c>
    </row>
    <row r="1527" spans="1:8" ht="12.75" x14ac:dyDescent="0.2">
      <c r="A1527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1527" s="1" t="str">
        <f ca="1">IFERROR(__xludf.DUMMYFUNCTION("""COMPUTED_VALUE"""),"KZ.7700.02.01.00769921")</f>
        <v>KZ.7700.02.01.00769921</v>
      </c>
      <c r="C1527" s="1" t="str">
        <f ca="1">IFERROR(__xludf.DUMMYFUNCTION("""COMPUTED_VALUE"""),"Действителен до 14.06.2026")</f>
        <v>Действителен до 14.06.2026</v>
      </c>
      <c r="D1527" s="8" t="str">
        <f ca="1">IFERROR(__xludf.DUMMYFUNCTION("""COMPUTED_VALUE"""),"0621042KZ042")</f>
        <v>0621042KZ042</v>
      </c>
      <c r="E1527" s="1" t="str">
        <f ca="1">IFERROR(__xludf.DUMMYFUNCTION("""COMPUTED_VALUE"""),"годен до 14.06.2026")</f>
        <v>годен до 14.06.2026</v>
      </c>
      <c r="F1527" s="1" t="str">
        <f ca="1">IFERROR(__xludf.DUMMYFUNCTION("""COMPUTED_VALUE"""),"Бандаж лечебно–профилактический (с тремя ребрами жесткости) 4001 XXXXL(Болгария) - 0621042KZ042")</f>
        <v>Бандаж лечебно–профилактический (с тремя ребрами жесткости) 4001 XXXXL(Болгария) - 0621042KZ042</v>
      </c>
      <c r="G1527" s="1" t="str">
        <f ca="1">IFERROR(__xludf.DUMMYFUNCTION("""COMPUTED_VALUE"""),"KZ.7700.02.01.00769921 / Действителен до 14.06.2026 / 0621042KZ042 / годен до 14.06.2026")</f>
        <v>KZ.7700.02.01.00769921 / Действителен до 14.06.2026 / 0621042KZ042 / годен до 14.06.2026</v>
      </c>
      <c r="H1527" s="1" t="str">
        <f ca="1">IFERROR(__xludf.DUMMYFUNCTION("""COMPUTED_VALUE"""),"Бандаж лечебно–профилактический (с тремя ребрами жесткости) 4001 XXXXL(Болгария) KZ.7700.02.01.00769921 / Действителен до 14.06.2026 / 0621042KZ042 / годен до 14.06.2026")</f>
        <v>Бандаж лечебно–профилактический (с тремя ребрами жесткости) 4001 XXXXL(Болгария) KZ.7700.02.01.00769921 / Действителен до 14.06.2026 / 0621042KZ042 / годен до 14.06.2026</v>
      </c>
    </row>
    <row r="1528" spans="1:8" ht="12.75" x14ac:dyDescent="0.2">
      <c r="A1528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1528" s="1" t="str">
        <f ca="1">IFERROR(__xludf.DUMMYFUNCTION("""COMPUTED_VALUE"""),"KZ.7700.02.01.00769926")</f>
        <v>KZ.7700.02.01.00769926</v>
      </c>
      <c r="C1528" s="1" t="str">
        <f ca="1">IFERROR(__xludf.DUMMYFUNCTION("""COMPUTED_VALUE"""),"Действителен до 14.06.2026")</f>
        <v>Действителен до 14.06.2026</v>
      </c>
      <c r="D1528" s="8" t="str">
        <f ca="1">IFERROR(__xludf.DUMMYFUNCTION("""COMPUTED_VALUE"""),"0621042KZ042")</f>
        <v>0621042KZ042</v>
      </c>
      <c r="E1528" s="1" t="str">
        <f ca="1">IFERROR(__xludf.DUMMYFUNCTION("""COMPUTED_VALUE"""),"годен до 14.06.2026")</f>
        <v>годен до 14.06.2026</v>
      </c>
      <c r="F1528" s="1" t="str">
        <f ca="1">IFERROR(__xludf.DUMMYFUNCTION("""COMPUTED_VALUE"""),"Бандаж лечебно–профилактический эластичный 4002 L (Болгария) - 0621042KZ042")</f>
        <v>Бандаж лечебно–профилактический эластичный 4002 L (Болгария) - 0621042KZ042</v>
      </c>
      <c r="G1528" s="1" t="str">
        <f ca="1">IFERROR(__xludf.DUMMYFUNCTION("""COMPUTED_VALUE"""),"KZ.7700.02.01.00769926 / Действителен до 14.06.2026 / 0621042KZ042 / годен до 14.06.2026")</f>
        <v>KZ.7700.02.01.00769926 / Действителен до 14.06.2026 / 0621042KZ042 / годен до 14.06.2026</v>
      </c>
      <c r="H1528" s="1" t="str">
        <f ca="1">IFERROR(__xludf.DUMMYFUNCTION("""COMPUTED_VALUE"""),"Бандаж лечебно–профилактический эластичный 4002 L (Болгария) KZ.7700.02.01.00769926 / Действителен до 14.06.2026 / 0621042KZ042 / годен до 14.06.2026")</f>
        <v>Бандаж лечебно–профилактический эластичный 4002 L (Болгария) KZ.7700.02.01.00769926 / Действителен до 14.06.2026 / 0621042KZ042 / годен до 14.06.2026</v>
      </c>
    </row>
    <row r="1529" spans="1:8" ht="12.75" x14ac:dyDescent="0.2">
      <c r="A1529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1529" s="1" t="str">
        <f ca="1">IFERROR(__xludf.DUMMYFUNCTION("""COMPUTED_VALUE"""),"KZ.7700.02.01.00769924")</f>
        <v>KZ.7700.02.01.00769924</v>
      </c>
      <c r="C1529" s="1" t="str">
        <f ca="1">IFERROR(__xludf.DUMMYFUNCTION("""COMPUTED_VALUE"""),"Действителен до 14.06.2026")</f>
        <v>Действителен до 14.06.2026</v>
      </c>
      <c r="D1529" s="8" t="str">
        <f ca="1">IFERROR(__xludf.DUMMYFUNCTION("""COMPUTED_VALUE"""),"0621042KZ042")</f>
        <v>0621042KZ042</v>
      </c>
      <c r="E1529" s="1" t="str">
        <f ca="1">IFERROR(__xludf.DUMMYFUNCTION("""COMPUTED_VALUE"""),"годен до 14.06.2026")</f>
        <v>годен до 14.06.2026</v>
      </c>
      <c r="F1529" s="1" t="str">
        <f ca="1">IFERROR(__xludf.DUMMYFUNCTION("""COMPUTED_VALUE"""),"Бандаж лечебно–профилактический эластичный 4002 M (Болгария) - 0621042KZ042")</f>
        <v>Бандаж лечебно–профилактический эластичный 4002 M (Болгария) - 0621042KZ042</v>
      </c>
      <c r="G1529" s="1" t="str">
        <f ca="1">IFERROR(__xludf.DUMMYFUNCTION("""COMPUTED_VALUE"""),"KZ.7700.02.01.00769924 / Действителен до 14.06.2026 / 0621042KZ042 / годен до 14.06.2026")</f>
        <v>KZ.7700.02.01.00769924 / Действителен до 14.06.2026 / 0621042KZ042 / годен до 14.06.2026</v>
      </c>
      <c r="H1529" s="1" t="str">
        <f ca="1">IFERROR(__xludf.DUMMYFUNCTION("""COMPUTED_VALUE"""),"Бандаж лечебно–профилактический эластичный 4002 M (Болгария) KZ.7700.02.01.00769924 / Действителен до 14.06.2026 / 0621042KZ042 / годен до 14.06.2026")</f>
        <v>Бандаж лечебно–профилактический эластичный 4002 M (Болгария) KZ.7700.02.01.00769924 / Действителен до 14.06.2026 / 0621042KZ042 / годен до 14.06.2026</v>
      </c>
    </row>
    <row r="1530" spans="1:8" ht="12.75" x14ac:dyDescent="0.2">
      <c r="A1530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1530" s="1" t="str">
        <f ca="1">IFERROR(__xludf.DUMMYFUNCTION("""COMPUTED_VALUE"""),"KZ.7700.02.01.00770086")</f>
        <v>KZ.7700.02.01.00770086</v>
      </c>
      <c r="C1530" s="1" t="str">
        <f ca="1">IFERROR(__xludf.DUMMYFUNCTION("""COMPUTED_VALUE"""),"Действителен до 14.06.2026")</f>
        <v>Действителен до 14.06.2026</v>
      </c>
      <c r="D1530" s="8" t="str">
        <f ca="1">IFERROR(__xludf.DUMMYFUNCTION("""COMPUTED_VALUE"""),"0621042KZ042")</f>
        <v>0621042KZ042</v>
      </c>
      <c r="E1530" s="1" t="str">
        <f ca="1">IFERROR(__xludf.DUMMYFUNCTION("""COMPUTED_VALUE"""),"годен до 14.06.2026")</f>
        <v>годен до 14.06.2026</v>
      </c>
      <c r="F1530" s="1" t="str">
        <f ca="1">IFERROR(__xludf.DUMMYFUNCTION("""COMPUTED_VALUE"""),"Бандаж лечебно–профилактический эластичный 4002 S (Болгария) - 0621042KZ042")</f>
        <v>Бандаж лечебно–профилактический эластичный 4002 S (Болгария) - 0621042KZ042</v>
      </c>
      <c r="G1530" s="1" t="str">
        <f ca="1">IFERROR(__xludf.DUMMYFUNCTION("""COMPUTED_VALUE"""),"KZ.7700.02.01.00770086 / Действителен до 14.06.2026 / 0621042KZ042 / годен до 14.06.2026")</f>
        <v>KZ.7700.02.01.00770086 / Действителен до 14.06.2026 / 0621042KZ042 / годен до 14.06.2026</v>
      </c>
      <c r="H1530" s="1" t="str">
        <f ca="1">IFERROR(__xludf.DUMMYFUNCTION("""COMPUTED_VALUE"""),"Бандаж лечебно–профилактический эластичный 4002 S (Болгария) KZ.7700.02.01.00770086 / Действителен до 14.06.2026 / 0621042KZ042 / годен до 14.06.2026")</f>
        <v>Бандаж лечебно–профилактический эластичный 4002 S (Болгария) KZ.7700.02.01.00770086 / Действителен до 14.06.2026 / 0621042KZ042 / годен до 14.06.2026</v>
      </c>
    </row>
    <row r="1531" spans="1:8" ht="12.75" x14ac:dyDescent="0.2">
      <c r="A1531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1531" s="1" t="str">
        <f ca="1">IFERROR(__xludf.DUMMYFUNCTION("""COMPUTED_VALUE"""),"KZ.7700.02.01.00769928")</f>
        <v>KZ.7700.02.01.00769928</v>
      </c>
      <c r="C1531" s="1" t="str">
        <f ca="1">IFERROR(__xludf.DUMMYFUNCTION("""COMPUTED_VALUE"""),"Действителен до 14.06.2026")</f>
        <v>Действителен до 14.06.2026</v>
      </c>
      <c r="D1531" s="8" t="str">
        <f ca="1">IFERROR(__xludf.DUMMYFUNCTION("""COMPUTED_VALUE"""),"0621042KZ042")</f>
        <v>0621042KZ042</v>
      </c>
      <c r="E1531" s="1" t="str">
        <f ca="1">IFERROR(__xludf.DUMMYFUNCTION("""COMPUTED_VALUE"""),"годен до 14.06.2026")</f>
        <v>годен до 14.06.2026</v>
      </c>
      <c r="F1531" s="1" t="str">
        <f ca="1">IFERROR(__xludf.DUMMYFUNCTION("""COMPUTED_VALUE"""),"Бандаж лечебно–профилактический эластичный 4002 XL (Болгария) - 0621042KZ042")</f>
        <v>Бандаж лечебно–профилактический эластичный 4002 XL (Болгария) - 0621042KZ042</v>
      </c>
      <c r="G1531" s="1" t="str">
        <f ca="1">IFERROR(__xludf.DUMMYFUNCTION("""COMPUTED_VALUE"""),"KZ.7700.02.01.00769928 / Действителен до 14.06.2026 / 0621042KZ042 / годен до 14.06.2026")</f>
        <v>KZ.7700.02.01.00769928 / Действителен до 14.06.2026 / 0621042KZ042 / годен до 14.06.2026</v>
      </c>
      <c r="H1531" s="1" t="str">
        <f ca="1">IFERROR(__xludf.DUMMYFUNCTION("""COMPUTED_VALUE"""),"Бандаж лечебно–профилактический эластичный 4002 XL (Болгария) KZ.7700.02.01.00769928 / Действителен до 14.06.2026 / 0621042KZ042 / годен до 14.06.2026")</f>
        <v>Бандаж лечебно–профилактический эластичный 4002 XL (Болгария) KZ.7700.02.01.00769928 / Действителен до 14.06.2026 / 0621042KZ042 / годен до 14.06.2026</v>
      </c>
    </row>
    <row r="1532" spans="1:8" ht="12.75" x14ac:dyDescent="0.2">
      <c r="A1532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1532" s="1" t="str">
        <f ca="1">IFERROR(__xludf.DUMMYFUNCTION("""COMPUTED_VALUE"""),"KZ.7700.02.01.00769930")</f>
        <v>KZ.7700.02.01.00769930</v>
      </c>
      <c r="C1532" s="1" t="str">
        <f ca="1">IFERROR(__xludf.DUMMYFUNCTION("""COMPUTED_VALUE"""),"Действителен до 14.06.2026")</f>
        <v>Действителен до 14.06.2026</v>
      </c>
      <c r="D1532" s="8" t="str">
        <f ca="1">IFERROR(__xludf.DUMMYFUNCTION("""COMPUTED_VALUE"""),"0621042KZ042")</f>
        <v>0621042KZ042</v>
      </c>
      <c r="E1532" s="1" t="str">
        <f ca="1">IFERROR(__xludf.DUMMYFUNCTION("""COMPUTED_VALUE"""),"годен до 14.06.2026")</f>
        <v>годен до 14.06.2026</v>
      </c>
      <c r="F1532" s="1" t="str">
        <f ca="1">IFERROR(__xludf.DUMMYFUNCTION("""COMPUTED_VALUE"""),"Бандаж лечебно–профилактический эластичный 4002 XXL (Болгария) - 0621042KZ042")</f>
        <v>Бандаж лечебно–профилактический эластичный 4002 XXL (Болгария) - 0621042KZ042</v>
      </c>
      <c r="G1532" s="1" t="str">
        <f ca="1">IFERROR(__xludf.DUMMYFUNCTION("""COMPUTED_VALUE"""),"KZ.7700.02.01.00769930 / Действителен до 14.06.2026 / 0621042KZ042 / годен до 14.06.2026")</f>
        <v>KZ.7700.02.01.00769930 / Действителен до 14.06.2026 / 0621042KZ042 / годен до 14.06.2026</v>
      </c>
      <c r="H1532" s="1" t="str">
        <f ca="1">IFERROR(__xludf.DUMMYFUNCTION("""COMPUTED_VALUE"""),"Бандаж лечебно–профилактический эластичный 4002 XXL (Болгария) KZ.7700.02.01.00769930 / Действителен до 14.06.2026 / 0621042KZ042 / годен до 14.06.2026")</f>
        <v>Бандаж лечебно–профилактический эластичный 4002 XXL (Болгария) KZ.7700.02.01.00769930 / Действителен до 14.06.2026 / 0621042KZ042 / годен до 14.06.2026</v>
      </c>
    </row>
    <row r="1533" spans="1:8" ht="12.75" x14ac:dyDescent="0.2">
      <c r="A1533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1533" s="1" t="str">
        <f ca="1">IFERROR(__xludf.DUMMYFUNCTION("""COMPUTED_VALUE"""),"KZ.7700.02.01.00769931")</f>
        <v>KZ.7700.02.01.00769931</v>
      </c>
      <c r="C1533" s="1" t="str">
        <f ca="1">IFERROR(__xludf.DUMMYFUNCTION("""COMPUTED_VALUE"""),"Действителен до 14.06.2026")</f>
        <v>Действителен до 14.06.2026</v>
      </c>
      <c r="D1533" s="8" t="str">
        <f ca="1">IFERROR(__xludf.DUMMYFUNCTION("""COMPUTED_VALUE"""),"0621042KZ042")</f>
        <v>0621042KZ042</v>
      </c>
      <c r="E1533" s="1" t="str">
        <f ca="1">IFERROR(__xludf.DUMMYFUNCTION("""COMPUTED_VALUE"""),"годен до 14.06.2026")</f>
        <v>годен до 14.06.2026</v>
      </c>
      <c r="F1533" s="1" t="str">
        <f ca="1">IFERROR(__xludf.DUMMYFUNCTION("""COMPUTED_VALUE"""),"Бандаж лечебно–профилактический эластичный 4002 XXXL (Болгария) - 0621042KZ042")</f>
        <v>Бандаж лечебно–профилактический эластичный 4002 XXXL (Болгария) - 0621042KZ042</v>
      </c>
      <c r="G1533" s="1" t="str">
        <f ca="1">IFERROR(__xludf.DUMMYFUNCTION("""COMPUTED_VALUE"""),"KZ.7700.02.01.00769931 / Действителен до 14.06.2026 / 0621042KZ042 / годен до 14.06.2026")</f>
        <v>KZ.7700.02.01.00769931 / Действителен до 14.06.2026 / 0621042KZ042 / годен до 14.06.2026</v>
      </c>
      <c r="H1533" s="1" t="str">
        <f ca="1">IFERROR(__xludf.DUMMYFUNCTION("""COMPUTED_VALUE"""),"Бандаж лечебно–профилактический эластичный 4002 XXXL (Болгария) KZ.7700.02.01.00769931 / Действителен до 14.06.2026 / 0621042KZ042 / годен до 14.06.2026")</f>
        <v>Бандаж лечебно–профилактический эластичный 4002 XXXL (Болгария) KZ.7700.02.01.00769931 / Действителен до 14.06.2026 / 0621042KZ042 / годен до 14.06.2026</v>
      </c>
    </row>
    <row r="1534" spans="1:8" ht="12.75" x14ac:dyDescent="0.2">
      <c r="A1534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1534" s="1" t="str">
        <f ca="1">IFERROR(__xludf.DUMMYFUNCTION("""COMPUTED_VALUE"""),"KZ.7700.02.01.00769922")</f>
        <v>KZ.7700.02.01.00769922</v>
      </c>
      <c r="C1534" s="1" t="str">
        <f ca="1">IFERROR(__xludf.DUMMYFUNCTION("""COMPUTED_VALUE"""),"Действителен до 14.06.2026")</f>
        <v>Действителен до 14.06.2026</v>
      </c>
      <c r="D1534" s="8" t="str">
        <f ca="1">IFERROR(__xludf.DUMMYFUNCTION("""COMPUTED_VALUE"""),"0621042KZ042")</f>
        <v>0621042KZ042</v>
      </c>
      <c r="E1534" s="1" t="str">
        <f ca="1">IFERROR(__xludf.DUMMYFUNCTION("""COMPUTED_VALUE"""),"годен до 14.06.2026")</f>
        <v>годен до 14.06.2026</v>
      </c>
      <c r="F1534" s="1" t="str">
        <f ca="1">IFERROR(__xludf.DUMMYFUNCTION("""COMPUTED_VALUE"""),"Бандаж лечебно–профилактический эластичный 4002 XXXXL (Болгария) - 0621042KZ042")</f>
        <v>Бандаж лечебно–профилактический эластичный 4002 XXXXL (Болгария) - 0621042KZ042</v>
      </c>
      <c r="G1534" s="1" t="str">
        <f ca="1">IFERROR(__xludf.DUMMYFUNCTION("""COMPUTED_VALUE"""),"KZ.7700.02.01.00769922 / Действителен до 14.06.2026 / 0621042KZ042 / годен до 14.06.2026")</f>
        <v>KZ.7700.02.01.00769922 / Действителен до 14.06.2026 / 0621042KZ042 / годен до 14.06.2026</v>
      </c>
      <c r="H1534" s="1" t="str">
        <f ca="1">IFERROR(__xludf.DUMMYFUNCTION("""COMPUTED_VALUE"""),"Бандаж лечебно–профилактический эластичный 4002 XXXXL (Болгария) KZ.7700.02.01.00769922 / Действителен до 14.06.2026 / 0621042KZ042 / годен до 14.06.2026")</f>
        <v>Бандаж лечебно–профилактический эластичный 4002 XXXXL (Болгария) KZ.7700.02.01.00769922 / Действителен до 14.06.2026 / 0621042KZ042 / годен до 14.06.2026</v>
      </c>
    </row>
    <row r="1535" spans="1:8" ht="12.75" x14ac:dyDescent="0.2">
      <c r="A1535" s="1" t="str">
        <f ca="1">IFERROR(__xludf.DUMMYFUNCTION("""COMPUTED_VALUE"""),"Бандаж универсальный 4011 M/L (Болгария)")</f>
        <v>Бандаж универсальный 4011 M/L (Болгария)</v>
      </c>
      <c r="B1535" s="1" t="str">
        <f ca="1">IFERROR(__xludf.DUMMYFUNCTION("""COMPUTED_VALUE"""),"KZ.7700.02.01.00769927")</f>
        <v>KZ.7700.02.01.00769927</v>
      </c>
      <c r="C1535" s="1" t="str">
        <f ca="1">IFERROR(__xludf.DUMMYFUNCTION("""COMPUTED_VALUE"""),"Действителен до 14.06.2026")</f>
        <v>Действителен до 14.06.2026</v>
      </c>
      <c r="D1535" s="8" t="str">
        <f ca="1">IFERROR(__xludf.DUMMYFUNCTION("""COMPUTED_VALUE"""),"0621042KZ042")</f>
        <v>0621042KZ042</v>
      </c>
      <c r="E1535" s="1" t="str">
        <f ca="1">IFERROR(__xludf.DUMMYFUNCTION("""COMPUTED_VALUE"""),"годен до 14.06.2026")</f>
        <v>годен до 14.06.2026</v>
      </c>
      <c r="F1535" s="1" t="str">
        <f ca="1">IFERROR(__xludf.DUMMYFUNCTION("""COMPUTED_VALUE"""),"Бандаж универсальный 4011 M/L (Болгария) - 0621042KZ042")</f>
        <v>Бандаж универсальный 4011 M/L (Болгария) - 0621042KZ042</v>
      </c>
      <c r="G1535" s="1" t="str">
        <f ca="1">IFERROR(__xludf.DUMMYFUNCTION("""COMPUTED_VALUE"""),"KZ.7700.02.01.00769927 / Действителен до 14.06.2026 / 0621042KZ042 / годен до 14.06.2026")</f>
        <v>KZ.7700.02.01.00769927 / Действителен до 14.06.2026 / 0621042KZ042 / годен до 14.06.2026</v>
      </c>
      <c r="H1535" s="1" t="str">
        <f ca="1">IFERROR(__xludf.DUMMYFUNCTION("""COMPUTED_VALUE"""),"Бандаж универсальный 4011 M/L (Болгария) KZ.7700.02.01.00769927 / Действителен до 14.06.2026 / 0621042KZ042 / годен до 14.06.2026")</f>
        <v>Бандаж универсальный 4011 M/L (Болгария) KZ.7700.02.01.00769927 / Действителен до 14.06.2026 / 0621042KZ042 / годен до 14.06.2026</v>
      </c>
    </row>
    <row r="1536" spans="1:8" ht="12.75" x14ac:dyDescent="0.2">
      <c r="A1536" s="1" t="str">
        <f ca="1">IFERROR(__xludf.DUMMYFUNCTION("""COMPUTED_VALUE"""),"Бандаж универсальный 4011 XL/XXL (Болгария)")</f>
        <v>Бандаж универсальный 4011 XL/XXL (Болгария)</v>
      </c>
      <c r="B1536" s="1" t="str">
        <f ca="1">IFERROR(__xludf.DUMMYFUNCTION("""COMPUTED_VALUE"""),"KZ.7700.02.01.00769925")</f>
        <v>KZ.7700.02.01.00769925</v>
      </c>
      <c r="C1536" s="1" t="str">
        <f ca="1">IFERROR(__xludf.DUMMYFUNCTION("""COMPUTED_VALUE"""),"Действителен до 14.06.2026")</f>
        <v>Действителен до 14.06.2026</v>
      </c>
      <c r="D1536" s="8" t="str">
        <f ca="1">IFERROR(__xludf.DUMMYFUNCTION("""COMPUTED_VALUE"""),"0621042KZ042")</f>
        <v>0621042KZ042</v>
      </c>
      <c r="E1536" s="1" t="str">
        <f ca="1">IFERROR(__xludf.DUMMYFUNCTION("""COMPUTED_VALUE"""),"годен до 14.06.2026")</f>
        <v>годен до 14.06.2026</v>
      </c>
      <c r="F1536" s="1" t="str">
        <f ca="1">IFERROR(__xludf.DUMMYFUNCTION("""COMPUTED_VALUE"""),"Бандаж универсальный 4011 XL/XXL (Болгария) - 0621042KZ042")</f>
        <v>Бандаж универсальный 4011 XL/XXL (Болгария) - 0621042KZ042</v>
      </c>
      <c r="G1536" s="1" t="str">
        <f ca="1">IFERROR(__xludf.DUMMYFUNCTION("""COMPUTED_VALUE"""),"KZ.7700.02.01.00769925 / Действителен до 14.06.2026 / 0621042KZ042 / годен до 14.06.2026")</f>
        <v>KZ.7700.02.01.00769925 / Действителен до 14.06.2026 / 0621042KZ042 / годен до 14.06.2026</v>
      </c>
      <c r="H1536" s="1" t="str">
        <f ca="1">IFERROR(__xludf.DUMMYFUNCTION("""COMPUTED_VALUE"""),"Бандаж универсальный 4011 XL/XXL (Болгария) KZ.7700.02.01.00769925 / Действителен до 14.06.2026 / 0621042KZ042 / годен до 14.06.2026")</f>
        <v>Бандаж универсальный 4011 XL/XXL (Болгария) KZ.7700.02.01.00769925 / Действителен до 14.06.2026 / 0621042KZ042 / годен до 14.06.2026</v>
      </c>
    </row>
    <row r="1537" spans="1:8" ht="12.75" x14ac:dyDescent="0.2">
      <c r="A1537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1537" s="1" t="str">
        <f ca="1">IFERROR(__xludf.DUMMYFUNCTION("""COMPUTED_VALUE"""),"KZ.7700.02.01.00770079")</f>
        <v>KZ.7700.02.01.00770079</v>
      </c>
      <c r="C1537" s="1" t="str">
        <f ca="1">IFERROR(__xludf.DUMMYFUNCTION("""COMPUTED_VALUE"""),"Действителен до 14.06.2026")</f>
        <v>Действителен до 14.06.2026</v>
      </c>
      <c r="D1537" s="8" t="str">
        <f ca="1">IFERROR(__xludf.DUMMYFUNCTION("""COMPUTED_VALUE"""),"0621042KZ042")</f>
        <v>0621042KZ042</v>
      </c>
      <c r="E1537" s="1" t="str">
        <f ca="1">IFERROR(__xludf.DUMMYFUNCTION("""COMPUTED_VALUE"""),"годен до 14.06.2026")</f>
        <v>годен до 14.06.2026</v>
      </c>
      <c r="F1537" s="1" t="str">
        <f ca="1">IFERROR(__xludf.DUMMYFUNCTION("""COMPUTED_VALUE"""),"Бандаж универсальный 4011 XXXL/XXXXL (Болгария) - 0621042KZ042")</f>
        <v>Бандаж универсальный 4011 XXXL/XXXXL (Болгария) - 0621042KZ042</v>
      </c>
      <c r="G1537" s="1" t="str">
        <f ca="1">IFERROR(__xludf.DUMMYFUNCTION("""COMPUTED_VALUE"""),"KZ.7700.02.01.00770079 / Действителен до 14.06.2026 / 0621042KZ042 / годен до 14.06.2026")</f>
        <v>KZ.7700.02.01.00770079 / Действителен до 14.06.2026 / 0621042KZ042 / годен до 14.06.2026</v>
      </c>
      <c r="H1537" s="1" t="str">
        <f ca="1">IFERROR(__xludf.DUMMYFUNCTION("""COMPUTED_VALUE"""),"Бандаж универсальный 4011 XXXL/XXXXL (Болгария) KZ.7700.02.01.00770079 / Действителен до 14.06.2026 / 0621042KZ042 / годен до 14.06.2026")</f>
        <v>Бандаж универсальный 4011 XXXL/XXXXL (Болгария) KZ.7700.02.01.00770079 / Действителен до 14.06.2026 / 0621042KZ042 / годен до 14.06.2026</v>
      </c>
    </row>
    <row r="1538" spans="1:8" ht="12.75" x14ac:dyDescent="0.2">
      <c r="A1538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1538" s="1" t="str">
        <f ca="1">IFERROR(__xludf.DUMMYFUNCTION("""COMPUTED_VALUE"""),"KZ.7700.02.01.00769929")</f>
        <v>KZ.7700.02.01.00769929</v>
      </c>
      <c r="C1538" s="1" t="str">
        <f ca="1">IFERROR(__xludf.DUMMYFUNCTION("""COMPUTED_VALUE"""),"Действителен до 14.06.2026")</f>
        <v>Действителен до 14.06.2026</v>
      </c>
      <c r="D1538" s="8" t="str">
        <f ca="1">IFERROR(__xludf.DUMMYFUNCTION("""COMPUTED_VALUE"""),"0621042KZ042")</f>
        <v>0621042KZ042</v>
      </c>
      <c r="E1538" s="1" t="str">
        <f ca="1">IFERROR(__xludf.DUMMYFUNCTION("""COMPUTED_VALUE"""),"годен до 14.06.2026")</f>
        <v>годен до 14.06.2026</v>
      </c>
      <c r="F1538" s="1" t="str">
        <f ca="1">IFERROR(__xludf.DUMMYFUNCTION("""COMPUTED_VALUE"""),"Бандаж грыжевой лево-и правосторонний 5001 M/L (Болгария) - 0621042KZ042")</f>
        <v>Бандаж грыжевой лево-и правосторонний 5001 M/L (Болгария) - 0621042KZ042</v>
      </c>
      <c r="G1538" s="1" t="str">
        <f ca="1">IFERROR(__xludf.DUMMYFUNCTION("""COMPUTED_VALUE"""),"KZ.7700.02.01.00769929 / Действителен до 14.06.2026 / 0621042KZ042 / годен до 14.06.2026")</f>
        <v>KZ.7700.02.01.00769929 / Действителен до 14.06.2026 / 0621042KZ042 / годен до 14.06.2026</v>
      </c>
      <c r="H1538" s="1" t="str">
        <f ca="1">IFERROR(__xludf.DUMMYFUNCTION("""COMPUTED_VALUE"""),"Бандаж грыжевой лево-и правосторонний 5001 M/L (Болгария) KZ.7700.02.01.00769929 / Действителен до 14.06.2026 / 0621042KZ042 / годен до 14.06.2026")</f>
        <v>Бандаж грыжевой лево-и правосторонний 5001 M/L (Болгария) KZ.7700.02.01.00769929 / Действителен до 14.06.2026 / 0621042KZ042 / годен до 14.06.2026</v>
      </c>
    </row>
    <row r="1539" spans="1:8" ht="12.75" x14ac:dyDescent="0.2">
      <c r="A1539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1539" s="1" t="str">
        <f ca="1">IFERROR(__xludf.DUMMYFUNCTION("""COMPUTED_VALUE"""),"KZ.7700.02.01.00769923")</f>
        <v>KZ.7700.02.01.00769923</v>
      </c>
      <c r="C1539" s="1" t="str">
        <f ca="1">IFERROR(__xludf.DUMMYFUNCTION("""COMPUTED_VALUE"""),"Действителен до 14.06.2026")</f>
        <v>Действителен до 14.06.2026</v>
      </c>
      <c r="D1539" s="8" t="str">
        <f ca="1">IFERROR(__xludf.DUMMYFUNCTION("""COMPUTED_VALUE"""),"0621042KZ042")</f>
        <v>0621042KZ042</v>
      </c>
      <c r="E1539" s="1" t="str">
        <f ca="1">IFERROR(__xludf.DUMMYFUNCTION("""COMPUTED_VALUE"""),"годен до 14.06.2026")</f>
        <v>годен до 14.06.2026</v>
      </c>
      <c r="F1539" s="1" t="str">
        <f ca="1">IFERROR(__xludf.DUMMYFUNCTION("""COMPUTED_VALUE"""),"Бандаж грыжевой лево-и правосторонний 5001 XS/S (Болгария) - 0621042KZ042")</f>
        <v>Бандаж грыжевой лево-и правосторонний 5001 XS/S (Болгария) - 0621042KZ042</v>
      </c>
      <c r="G1539" s="1" t="str">
        <f ca="1">IFERROR(__xludf.DUMMYFUNCTION("""COMPUTED_VALUE"""),"KZ.7700.02.01.00769923 / Действителен до 14.06.2026 / 0621042KZ042 / годен до 14.06.2026")</f>
        <v>KZ.7700.02.01.00769923 / Действителен до 14.06.2026 / 0621042KZ042 / годен до 14.06.2026</v>
      </c>
      <c r="H1539" s="1" t="str">
        <f ca="1">IFERROR(__xludf.DUMMYFUNCTION("""COMPUTED_VALUE"""),"Бандаж грыжевой лево-и правосторонний 5001 XS/S (Болгария) KZ.7700.02.01.00769923 / Действителен до 14.06.2026 / 0621042KZ042 / годен до 14.06.2026")</f>
        <v>Бандаж грыжевой лево-и правосторонний 5001 XS/S (Болгария) KZ.7700.02.01.00769923 / Действителен до 14.06.2026 / 0621042KZ042 / годен до 14.06.2026</v>
      </c>
    </row>
    <row r="1540" spans="1:8" ht="12.75" x14ac:dyDescent="0.2">
      <c r="A1540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1540" s="1" t="str">
        <f ca="1">IFERROR(__xludf.DUMMYFUNCTION("""COMPUTED_VALUE"""),"KZ.7700.02.01.00770068")</f>
        <v>KZ.7700.02.01.00770068</v>
      </c>
      <c r="C1540" s="1" t="str">
        <f ca="1">IFERROR(__xludf.DUMMYFUNCTION("""COMPUTED_VALUE"""),"Действителен до 14.06.2026")</f>
        <v>Действителен до 14.06.2026</v>
      </c>
      <c r="D1540" s="8" t="str">
        <f ca="1">IFERROR(__xludf.DUMMYFUNCTION("""COMPUTED_VALUE"""),"0621042KZ042")</f>
        <v>0621042KZ042</v>
      </c>
      <c r="E1540" s="1" t="str">
        <f ca="1">IFERROR(__xludf.DUMMYFUNCTION("""COMPUTED_VALUE"""),"годен до 14.06.2026")</f>
        <v>годен до 14.06.2026</v>
      </c>
      <c r="F1540" s="1" t="str">
        <f ca="1">IFERROR(__xludf.DUMMYFUNCTION("""COMPUTED_VALUE"""),"Бандаж на коленный сустав эластичный 6040 M (Болгария) - 0621042KZ042")</f>
        <v>Бандаж на коленный сустав эластичный 6040 M (Болгария) - 0621042KZ042</v>
      </c>
      <c r="G1540" s="1" t="str">
        <f ca="1">IFERROR(__xludf.DUMMYFUNCTION("""COMPUTED_VALUE"""),"KZ.7700.02.01.00770068 / Действителен до 14.06.2026 / 0621042KZ042 / годен до 14.06.2026")</f>
        <v>KZ.7700.02.01.00770068 / Действителен до 14.06.2026 / 0621042KZ042 / годен до 14.06.2026</v>
      </c>
      <c r="H1540" s="1" t="str">
        <f ca="1">IFERROR(__xludf.DUMMYFUNCTION("""COMPUTED_VALUE"""),"Бандаж на коленный сустав эластичный 6040 M (Болгария) KZ.7700.02.01.00770068 / Действителен до 14.06.2026 / 0621042KZ042 / годен до 14.06.2026")</f>
        <v>Бандаж на коленный сустав эластичный 6040 M (Болгария) KZ.7700.02.01.00770068 / Действителен до 14.06.2026 / 0621042KZ042 / годен до 14.06.2026</v>
      </c>
    </row>
    <row r="1541" spans="1:8" ht="12.75" x14ac:dyDescent="0.2">
      <c r="A1541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1541" s="1" t="str">
        <f ca="1">IFERROR(__xludf.DUMMYFUNCTION("""COMPUTED_VALUE"""),"KZ.7700.02.01.00769932")</f>
        <v>KZ.7700.02.01.00769932</v>
      </c>
      <c r="C1541" s="1" t="str">
        <f ca="1">IFERROR(__xludf.DUMMYFUNCTION("""COMPUTED_VALUE"""),"Действителен до 14.06.2026")</f>
        <v>Действителен до 14.06.2026</v>
      </c>
      <c r="D1541" s="8" t="str">
        <f ca="1">IFERROR(__xludf.DUMMYFUNCTION("""COMPUTED_VALUE"""),"0621042KZ042")</f>
        <v>0621042KZ042</v>
      </c>
      <c r="E1541" s="1" t="str">
        <f ca="1">IFERROR(__xludf.DUMMYFUNCTION("""COMPUTED_VALUE"""),"годен до 14.06.2026")</f>
        <v>годен до 14.06.2026</v>
      </c>
      <c r="F1541" s="1" t="str">
        <f ca="1">IFERROR(__xludf.DUMMYFUNCTION("""COMPUTED_VALUE"""),"Бандаж на коленный сустав эластичный 6040 L (Болгария) - 0621042KZ042")</f>
        <v>Бандаж на коленный сустав эластичный 6040 L (Болгария) - 0621042KZ042</v>
      </c>
      <c r="G1541" s="1" t="str">
        <f ca="1">IFERROR(__xludf.DUMMYFUNCTION("""COMPUTED_VALUE"""),"KZ.7700.02.01.00769932 / Действителен до 14.06.2026 / 0621042KZ042 / годен до 14.06.2026")</f>
        <v>KZ.7700.02.01.00769932 / Действителен до 14.06.2026 / 0621042KZ042 / годен до 14.06.2026</v>
      </c>
      <c r="H1541" s="1" t="str">
        <f ca="1">IFERROR(__xludf.DUMMYFUNCTION("""COMPUTED_VALUE"""),"Бандаж на коленный сустав эластичный 6040 L (Болгария) KZ.7700.02.01.00769932 / Действителен до 14.06.2026 / 0621042KZ042 / годен до 14.06.2026")</f>
        <v>Бандаж на коленный сустав эластичный 6040 L (Болгария) KZ.7700.02.01.00769932 / Действителен до 14.06.2026 / 0621042KZ042 / годен до 14.06.2026</v>
      </c>
    </row>
    <row r="1542" spans="1:8" ht="12.75" x14ac:dyDescent="0.2">
      <c r="A1542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1542" s="1" t="str">
        <f ca="1">IFERROR(__xludf.DUMMYFUNCTION("""COMPUTED_VALUE"""),"KZ.7700.02.01.00770071")</f>
        <v>KZ.7700.02.01.00770071</v>
      </c>
      <c r="C1542" s="1" t="str">
        <f ca="1">IFERROR(__xludf.DUMMYFUNCTION("""COMPUTED_VALUE"""),"Действителен до 14.06.2026")</f>
        <v>Действителен до 14.06.2026</v>
      </c>
      <c r="D1542" s="8" t="str">
        <f ca="1">IFERROR(__xludf.DUMMYFUNCTION("""COMPUTED_VALUE"""),"0621042KZ042")</f>
        <v>0621042KZ042</v>
      </c>
      <c r="E1542" s="1" t="str">
        <f ca="1">IFERROR(__xludf.DUMMYFUNCTION("""COMPUTED_VALUE"""),"годен до 14.06.2026")</f>
        <v>годен до 14.06.2026</v>
      </c>
      <c r="F1542" s="1" t="str">
        <f ca="1">IFERROR(__xludf.DUMMYFUNCTION("""COMPUTED_VALUE"""),"Бандаж на коленный сустав эластичный 6040 XL (Болгария) - 0621042KZ042")</f>
        <v>Бандаж на коленный сустав эластичный 6040 XL (Болгария) - 0621042KZ042</v>
      </c>
      <c r="G1542" s="1" t="str">
        <f ca="1">IFERROR(__xludf.DUMMYFUNCTION("""COMPUTED_VALUE"""),"KZ.7700.02.01.00770071 / Действителен до 14.06.2026 / 0621042KZ042 / годен до 14.06.2026")</f>
        <v>KZ.7700.02.01.00770071 / Действителен до 14.06.2026 / 0621042KZ042 / годен до 14.06.2026</v>
      </c>
      <c r="H1542" s="1" t="str">
        <f ca="1">IFERROR(__xludf.DUMMYFUNCTION("""COMPUTED_VALUE"""),"Бандаж на коленный сустав эластичный 6040 XL (Болгария) KZ.7700.02.01.00770071 / Действителен до 14.06.2026 / 0621042KZ042 / годен до 14.06.2026")</f>
        <v>Бандаж на коленный сустав эластичный 6040 XL (Болгария) KZ.7700.02.01.00770071 / Действителен до 14.06.2026 / 0621042KZ042 / годен до 14.06.2026</v>
      </c>
    </row>
    <row r="1543" spans="1:8" ht="12.75" x14ac:dyDescent="0.2">
      <c r="A1543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1543" s="1" t="str">
        <f ca="1">IFERROR(__xludf.DUMMYFUNCTION("""COMPUTED_VALUE"""),"KZ.7700.02.01.00770085")</f>
        <v>KZ.7700.02.01.00770085</v>
      </c>
      <c r="C1543" s="1" t="str">
        <f ca="1">IFERROR(__xludf.DUMMYFUNCTION("""COMPUTED_VALUE"""),"Действителен до 14.06.2026")</f>
        <v>Действителен до 14.06.2026</v>
      </c>
      <c r="D1543" s="8" t="str">
        <f ca="1">IFERROR(__xludf.DUMMYFUNCTION("""COMPUTED_VALUE"""),"0621042KZ042")</f>
        <v>0621042KZ042</v>
      </c>
      <c r="E1543" s="1" t="str">
        <f ca="1">IFERROR(__xludf.DUMMYFUNCTION("""COMPUTED_VALUE"""),"годен до 14.06.2026")</f>
        <v>годен до 14.06.2026</v>
      </c>
      <c r="F1543" s="1" t="str">
        <f ca="1">IFERROR(__xludf.DUMMYFUNCTION("""COMPUTED_VALUE"""),"Бандаж на коленный сустав разъемный 6058 L\XL (Болгария) - 0621042KZ042")</f>
        <v>Бандаж на коленный сустав разъемный 6058 L\XL (Болгария) - 0621042KZ042</v>
      </c>
      <c r="G1543" s="1" t="str">
        <f ca="1">IFERROR(__xludf.DUMMYFUNCTION("""COMPUTED_VALUE"""),"KZ.7700.02.01.00770085 / Действителен до 14.06.2026 / 0621042KZ042 / годен до 14.06.2026")</f>
        <v>KZ.7700.02.01.00770085 / Действителен до 14.06.2026 / 0621042KZ042 / годен до 14.06.2026</v>
      </c>
      <c r="H1543" s="1" t="str">
        <f ca="1">IFERROR(__xludf.DUMMYFUNCTION("""COMPUTED_VALUE"""),"Бандаж на коленный сустав разъемный 6058 L\XL (Болгария) KZ.7700.02.01.00770085 / Действителен до 14.06.2026 / 0621042KZ042 / годен до 14.06.2026")</f>
        <v>Бандаж на коленный сустав разъемный 6058 L\XL (Болгария) KZ.7700.02.01.00770085 / Действителен до 14.06.2026 / 0621042KZ042 / годен до 14.06.2026</v>
      </c>
    </row>
    <row r="1544" spans="1:8" ht="12.75" x14ac:dyDescent="0.2">
      <c r="A1544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1544" s="1" t="str">
        <f ca="1">IFERROR(__xludf.DUMMYFUNCTION("""COMPUTED_VALUE"""),"KZ.7700.02.01.00770081")</f>
        <v>KZ.7700.02.01.00770081</v>
      </c>
      <c r="C1544" s="1" t="str">
        <f ca="1">IFERROR(__xludf.DUMMYFUNCTION("""COMPUTED_VALUE"""),"Действителен до 14.06.2026")</f>
        <v>Действителен до 14.06.2026</v>
      </c>
      <c r="D1544" s="8" t="str">
        <f ca="1">IFERROR(__xludf.DUMMYFUNCTION("""COMPUTED_VALUE"""),"0621042KZ042")</f>
        <v>0621042KZ042</v>
      </c>
      <c r="E1544" s="1" t="str">
        <f ca="1">IFERROR(__xludf.DUMMYFUNCTION("""COMPUTED_VALUE"""),"годен до 14.06.2026")</f>
        <v>годен до 14.06.2026</v>
      </c>
      <c r="F1544" s="1" t="str">
        <f ca="1">IFERROR(__xludf.DUMMYFUNCTION("""COMPUTED_VALUE"""),"Бандаж на коленный сустав разъемный 6058 S\M (Болгария) - 0621042KZ042")</f>
        <v>Бандаж на коленный сустав разъемный 6058 S\M (Болгария) - 0621042KZ042</v>
      </c>
      <c r="G1544" s="1" t="str">
        <f ca="1">IFERROR(__xludf.DUMMYFUNCTION("""COMPUTED_VALUE"""),"KZ.7700.02.01.00770081 / Действителен до 14.06.2026 / 0621042KZ042 / годен до 14.06.2026")</f>
        <v>KZ.7700.02.01.00770081 / Действителен до 14.06.2026 / 0621042KZ042 / годен до 14.06.2026</v>
      </c>
      <c r="H1544" s="1" t="str">
        <f ca="1">IFERROR(__xludf.DUMMYFUNCTION("""COMPUTED_VALUE"""),"Бандаж на коленный сустав разъемный 6058 S\M (Болгария) KZ.7700.02.01.00770081 / Действителен до 14.06.2026 / 0621042KZ042 / годен до 14.06.2026")</f>
        <v>Бандаж на коленный сустав разъемный 6058 S\M (Болгария) KZ.7700.02.01.00770081 / Действителен до 14.06.2026 / 0621042KZ042 / годен до 14.06.2026</v>
      </c>
    </row>
    <row r="1545" spans="1:8" ht="12.75" x14ac:dyDescent="0.2">
      <c r="A1545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1545" s="1" t="str">
        <f ca="1">IFERROR(__xludf.DUMMYFUNCTION("""COMPUTED_VALUE"""),"KZ.7700.02.01.00770084")</f>
        <v>KZ.7700.02.01.00770084</v>
      </c>
      <c r="C1545" s="1" t="str">
        <f ca="1">IFERROR(__xludf.DUMMYFUNCTION("""COMPUTED_VALUE"""),"Действителен до 14.06.2026")</f>
        <v>Действителен до 14.06.2026</v>
      </c>
      <c r="D1545" s="8" t="str">
        <f ca="1">IFERROR(__xludf.DUMMYFUNCTION("""COMPUTED_VALUE"""),"0621042KZ042")</f>
        <v>0621042KZ042</v>
      </c>
      <c r="E1545" s="1" t="str">
        <f ca="1">IFERROR(__xludf.DUMMYFUNCTION("""COMPUTED_VALUE"""),"годен до 14.06.2026")</f>
        <v>годен до 14.06.2026</v>
      </c>
      <c r="F1545" s="1" t="str">
        <f ca="1">IFERROR(__xludf.DUMMYFUNCTION("""COMPUTED_VALUE"""),"Бандаж на голеностопный сустав легкой фиксации 7034 L (бежевый) (Болгария) - 0621042KZ042")</f>
        <v>Бандаж на голеностопный сустав легкой фиксации 7034 L (бежевый) (Болгария) - 0621042KZ042</v>
      </c>
      <c r="G1545" s="1" t="str">
        <f ca="1">IFERROR(__xludf.DUMMYFUNCTION("""COMPUTED_VALUE"""),"KZ.7700.02.01.00770084 / Действителен до 14.06.2026 / 0621042KZ042 / годен до 14.06.2026")</f>
        <v>KZ.7700.02.01.00770084 / Действителен до 14.06.2026 / 0621042KZ042 / годен до 14.06.2026</v>
      </c>
      <c r="H1545" s="1" t="str">
        <f ca="1">IFERROR(__xludf.DUMMYFUNCTION("""COMPUTED_VALUE"""),"Бандаж на голеностопный сустав легкой фиксации 7034 L (бежевый) (Болгария) KZ.7700.02.01.00770084 / Действителен до 14.06.2026 / 0621042KZ042 / годен до 14.06.2026")</f>
        <v>Бандаж на голеностопный сустав легкой фиксации 7034 L (бежевый) (Болгария) KZ.7700.02.01.00770084 / Действителен до 14.06.2026 / 0621042KZ042 / годен до 14.06.2026</v>
      </c>
    </row>
    <row r="1546" spans="1:8" ht="12.75" x14ac:dyDescent="0.2">
      <c r="A1546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1546" s="1" t="str">
        <f ca="1">IFERROR(__xludf.DUMMYFUNCTION("""COMPUTED_VALUE"""),"KZ.7700.02.01.00770087")</f>
        <v>KZ.7700.02.01.00770087</v>
      </c>
      <c r="C1546" s="1" t="str">
        <f ca="1">IFERROR(__xludf.DUMMYFUNCTION("""COMPUTED_VALUE"""),"Действителен до 14.06.2026")</f>
        <v>Действителен до 14.06.2026</v>
      </c>
      <c r="D1546" s="8" t="str">
        <f ca="1">IFERROR(__xludf.DUMMYFUNCTION("""COMPUTED_VALUE"""),"0621042KZ042")</f>
        <v>0621042KZ042</v>
      </c>
      <c r="E1546" s="1" t="str">
        <f ca="1">IFERROR(__xludf.DUMMYFUNCTION("""COMPUTED_VALUE"""),"годен до 14.06.2026")</f>
        <v>годен до 14.06.2026</v>
      </c>
      <c r="F1546" s="1" t="str">
        <f ca="1">IFERROR(__xludf.DUMMYFUNCTION("""COMPUTED_VALUE"""),"Бандаж на голеностопный сустав легкой фиксации 7034 M (бежевый) (Болгария) - 0621042KZ042")</f>
        <v>Бандаж на голеностопный сустав легкой фиксации 7034 M (бежевый) (Болгария) - 0621042KZ042</v>
      </c>
      <c r="G1546" s="1" t="str">
        <f ca="1">IFERROR(__xludf.DUMMYFUNCTION("""COMPUTED_VALUE"""),"KZ.7700.02.01.00770087 / Действителен до 14.06.2026 / 0621042KZ042 / годен до 14.06.2026")</f>
        <v>KZ.7700.02.01.00770087 / Действителен до 14.06.2026 / 0621042KZ042 / годен до 14.06.2026</v>
      </c>
      <c r="H1546" s="1" t="str">
        <f ca="1">IFERROR(__xludf.DUMMYFUNCTION("""COMPUTED_VALUE"""),"Бандаж на голеностопный сустав легкой фиксации 7034 M (бежевый) (Болгария) KZ.7700.02.01.00770087 / Действителен до 14.06.2026 / 0621042KZ042 / годен до 14.06.2026")</f>
        <v>Бандаж на голеностопный сустав легкой фиксации 7034 M (бежевый) (Болгария) KZ.7700.02.01.00770087 / Действителен до 14.06.2026 / 0621042KZ042 / годен до 14.06.2026</v>
      </c>
    </row>
    <row r="1547" spans="1:8" ht="12.75" x14ac:dyDescent="0.2">
      <c r="A1547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1547" s="1" t="str">
        <f ca="1">IFERROR(__xludf.DUMMYFUNCTION("""COMPUTED_VALUE"""),"KZ.7700.02.01.00770080")</f>
        <v>KZ.7700.02.01.00770080</v>
      </c>
      <c r="C1547" s="1" t="str">
        <f ca="1">IFERROR(__xludf.DUMMYFUNCTION("""COMPUTED_VALUE"""),"Действителен до 14.06.2026")</f>
        <v>Действителен до 14.06.2026</v>
      </c>
      <c r="D1547" s="8" t="str">
        <f ca="1">IFERROR(__xludf.DUMMYFUNCTION("""COMPUTED_VALUE"""),"0621042KZ042")</f>
        <v>0621042KZ042</v>
      </c>
      <c r="E1547" s="1" t="str">
        <f ca="1">IFERROR(__xludf.DUMMYFUNCTION("""COMPUTED_VALUE"""),"годен до 14.06.2026")</f>
        <v>годен до 14.06.2026</v>
      </c>
      <c r="F1547" s="1" t="str">
        <f ca="1">IFERROR(__xludf.DUMMYFUNCTION("""COMPUTED_VALUE"""),"Бандаж на голеностопный сустав легкой фиксации 7034 XL (бежевый) (Болгария) - 0621042KZ042")</f>
        <v>Бандаж на голеностопный сустав легкой фиксации 7034 XL (бежевый) (Болгария) - 0621042KZ042</v>
      </c>
      <c r="G1547" s="1" t="str">
        <f ca="1">IFERROR(__xludf.DUMMYFUNCTION("""COMPUTED_VALUE"""),"KZ.7700.02.01.00770080 / Действителен до 14.06.2026 / 0621042KZ042 / годен до 14.06.2026")</f>
        <v>KZ.7700.02.01.00770080 / Действителен до 14.06.2026 / 0621042KZ042 / годен до 14.06.2026</v>
      </c>
      <c r="H1547" s="1" t="str">
        <f ca="1">IFERROR(__xludf.DUMMYFUNCTION("""COMPUTED_VALUE"""),"Бандаж на голеностопный сустав легкой фиксации 7034 XL (бежевый) (Болгария) KZ.7700.02.01.00770080 / Действителен до 14.06.2026 / 0621042KZ042 / годен до 14.06.2026")</f>
        <v>Бандаж на голеностопный сустав легкой фиксации 7034 XL (бежевый) (Болгария) KZ.7700.02.01.00770080 / Действителен до 14.06.2026 / 0621042KZ042 / годен до 14.06.2026</v>
      </c>
    </row>
    <row r="1548" spans="1:8" ht="12.75" x14ac:dyDescent="0.2">
      <c r="A1548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548" s="1" t="str">
        <f ca="1">IFERROR(__xludf.DUMMYFUNCTION("""COMPUTED_VALUE"""),"KZ.7700.02.01.00770083")</f>
        <v>KZ.7700.02.01.00770083</v>
      </c>
      <c r="C1548" s="1" t="str">
        <f ca="1">IFERROR(__xludf.DUMMYFUNCTION("""COMPUTED_VALUE"""),"Действителен до 14.06.2026")</f>
        <v>Действителен до 14.06.2026</v>
      </c>
      <c r="D1548" s="8" t="str">
        <f ca="1">IFERROR(__xludf.DUMMYFUNCTION("""COMPUTED_VALUE"""),"0621042KZ042")</f>
        <v>0621042KZ042</v>
      </c>
      <c r="E1548" s="1" t="str">
        <f ca="1">IFERROR(__xludf.DUMMYFUNCTION("""COMPUTED_VALUE"""),"годен до 14.06.2026")</f>
        <v>годен до 14.06.2026</v>
      </c>
      <c r="F1548" s="1" t="str">
        <f ca="1">IFERROR(__xludf.DUMMYFUNCTION("""COMPUTED_VALUE"""),"Бандаж на голеностопный сустав эластичный 7035 M (Болгария) - 0621042KZ042")</f>
        <v>Бандаж на голеностопный сустав эластичный 7035 M (Болгария) - 0621042KZ042</v>
      </c>
      <c r="G1548" s="1" t="str">
        <f ca="1">IFERROR(__xludf.DUMMYFUNCTION("""COMPUTED_VALUE"""),"KZ.7700.02.01.00770083 / Действителен до 14.06.2026 / 0621042KZ042 / годен до 14.06.2026")</f>
        <v>KZ.7700.02.01.00770083 / Действителен до 14.06.2026 / 0621042KZ042 / годен до 14.06.2026</v>
      </c>
      <c r="H1548" s="1" t="str">
        <f ca="1">IFERROR(__xludf.DUMMYFUNCTION("""COMPUTED_VALUE"""),"Бандаж на голеностопный сустав эластичный 7035 M (Болгария) KZ.7700.02.01.00770083 / Действителен до 14.06.2026 / 0621042KZ042 / годен до 14.06.2026")</f>
        <v>Бандаж на голеностопный сустав эластичный 7035 M (Болгария) KZ.7700.02.01.00770083 / Действителен до 14.06.2026 / 0621042KZ042 / годен до 14.06.2026</v>
      </c>
    </row>
    <row r="1549" spans="1:8" ht="12.75" x14ac:dyDescent="0.2">
      <c r="A1549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1549" s="1" t="str">
        <f ca="1">IFERROR(__xludf.DUMMYFUNCTION("""COMPUTED_VALUE"""),"KZ.7700.02.01.00770082")</f>
        <v>KZ.7700.02.01.00770082</v>
      </c>
      <c r="C1549" s="1" t="str">
        <f ca="1">IFERROR(__xludf.DUMMYFUNCTION("""COMPUTED_VALUE"""),"Действителен до 14.06.2026")</f>
        <v>Действителен до 14.06.2026</v>
      </c>
      <c r="D1549" s="8" t="str">
        <f ca="1">IFERROR(__xludf.DUMMYFUNCTION("""COMPUTED_VALUE"""),"0621042KZ042")</f>
        <v>0621042KZ042</v>
      </c>
      <c r="E1549" s="1" t="str">
        <f ca="1">IFERROR(__xludf.DUMMYFUNCTION("""COMPUTED_VALUE"""),"годен до 14.06.2026")</f>
        <v>годен до 14.06.2026</v>
      </c>
      <c r="F1549" s="1" t="str">
        <f ca="1">IFERROR(__xludf.DUMMYFUNCTION("""COMPUTED_VALUE"""),"Бандаж на голеностопный сустав эластичный 7035 S (Болгария) - 0621042KZ042")</f>
        <v>Бандаж на голеностопный сустав эластичный 7035 S (Болгария) - 0621042KZ042</v>
      </c>
      <c r="G1549" s="1" t="str">
        <f ca="1">IFERROR(__xludf.DUMMYFUNCTION("""COMPUTED_VALUE"""),"KZ.7700.02.01.00770082 / Действителен до 14.06.2026 / 0621042KZ042 / годен до 14.06.2026")</f>
        <v>KZ.7700.02.01.00770082 / Действителен до 14.06.2026 / 0621042KZ042 / годен до 14.06.2026</v>
      </c>
      <c r="H1549" s="1" t="str">
        <f ca="1">IFERROR(__xludf.DUMMYFUNCTION("""COMPUTED_VALUE"""),"Бандаж на голеностопный сустав эластичный 7035 S (Болгария) KZ.7700.02.01.00770082 / Действителен до 14.06.2026 / 0621042KZ042 / годен до 14.06.2026")</f>
        <v>Бандаж на голеностопный сустав эластичный 7035 S (Болгария) KZ.7700.02.01.00770082 / Действителен до 14.06.2026 / 0621042KZ042 / годен до 14.06.2026</v>
      </c>
    </row>
    <row r="1550" spans="1:8" ht="12.75" x14ac:dyDescent="0.2">
      <c r="A1550" s="1" t="str">
        <f ca="1">IFERROR(__xludf.DUMMYFUNCTION("""COMPUTED_VALUE"""),"Зубная паста торговой марки DENTISSIMO: COMPLETE CARE PLUS TOOTHPASTE")</f>
        <v>Зубная паста торговой марки DENTISSIMO: COMPLETE CARE PLUS TOOTHPASTE</v>
      </c>
      <c r="B1550" s="1" t="str">
        <f ca="1">IFERROR(__xludf.DUMMYFUNCTION("""COMPUTED_VALUE"""),"KZ.7500995.13.12.00533")</f>
        <v>KZ.7500995.13.12.00533</v>
      </c>
      <c r="C1550" s="1" t="str">
        <f ca="1">IFERROR(__xludf.DUMMYFUNCTION("""COMPUTED_VALUE"""),"Действителен до 16.08.2022")</f>
        <v>Действителен до 16.08.2022</v>
      </c>
      <c r="D1550" s="8" t="str">
        <f ca="1">IFERROR(__xludf.DUMMYFUNCTION("""COMPUTED_VALUE"""),"05-2026")</f>
        <v>05-2026</v>
      </c>
      <c r="E1550" s="1" t="str">
        <f ca="1">IFERROR(__xludf.DUMMYFUNCTION("""COMPUTED_VALUE"""),"годен до 05.2026")</f>
        <v>годен до 05.2026</v>
      </c>
      <c r="F1550" s="1" t="str">
        <f ca="1">IFERROR(__xludf.DUMMYFUNCTION("""COMPUTED_VALUE"""),"Зубная паста торговой марки DENTISSIMO: COMPLETE CARE PLUS TOOTHPASTE - 05-2026")</f>
        <v>Зубная паста торговой марки DENTISSIMO: COMPLETE CARE PLUS TOOTHPASTE - 05-2026</v>
      </c>
      <c r="G1550" s="1" t="str">
        <f ca="1">IFERROR(__xludf.DUMMYFUNCTION("""COMPUTED_VALUE"""),"KZ.7500995.13.12.00533 / Действителен до 16.08.2022 / 05-2026 / годен до 05.2026")</f>
        <v>KZ.7500995.13.12.00533 / Действителен до 16.08.2022 / 05-2026 / годен до 05.2026</v>
      </c>
      <c r="H1550" s="1" t="str">
        <f ca="1">IFERROR(__xludf.DUMMYFUNCTION("""COMPUTED_VALUE"""),"Зубная паста торговой марки DENTISSIMO: COMPLETE CARE PLUS TOOTHPASTE KZ.7500995.13.12.00533 / Действителен до 16.08.2022 / 05-2026 / годен до 05.2026")</f>
        <v>Зубная паста торговой марки DENTISSIMO: COMPLETE CARE PLUS TOOTHPASTE KZ.7500995.13.12.00533 / Действителен до 16.08.2022 / 05-2026 / годен до 05.2026</v>
      </c>
    </row>
    <row r="1551" spans="1:8" ht="12.75" x14ac:dyDescent="0.2">
      <c r="A1551" s="1" t="str">
        <f ca="1">IFERROR(__xludf.DUMMYFUNCTION("""COMPUTED_VALUE"""),"Зубная паста торговой марки DENTISSIMO:PRO-CARE TEETH&amp;GUM TOOTHPASTE")</f>
        <v>Зубная паста торговой марки DENTISSIMO:PRO-CARE TEETH&amp;GUM TOOTHPASTE</v>
      </c>
      <c r="B1551" s="1" t="str">
        <f ca="1">IFERROR(__xludf.DUMMYFUNCTION("""COMPUTED_VALUE"""),"KZ.7500995.13.12.00533")</f>
        <v>KZ.7500995.13.12.00533</v>
      </c>
      <c r="C1551" s="1" t="str">
        <f ca="1">IFERROR(__xludf.DUMMYFUNCTION("""COMPUTED_VALUE"""),"Действителен до 16.08.2022")</f>
        <v>Действителен до 16.08.2022</v>
      </c>
      <c r="D1551" s="8" t="str">
        <f ca="1">IFERROR(__xludf.DUMMYFUNCTION("""COMPUTED_VALUE"""),"09-2023")</f>
        <v>09-2023</v>
      </c>
      <c r="E1551" s="1" t="str">
        <f ca="1">IFERROR(__xludf.DUMMYFUNCTION("""COMPUTED_VALUE"""),"годен до 09.2023")</f>
        <v>годен до 09.2023</v>
      </c>
      <c r="F1551" s="1" t="str">
        <f ca="1">IFERROR(__xludf.DUMMYFUNCTION("""COMPUTED_VALUE"""),"Зубная паста торговой марки DENTISSIMO:PRO-CARE TEETH&amp;GUM TOOTHPASTE - 09-2023")</f>
        <v>Зубная паста торговой марки DENTISSIMO:PRO-CARE TEETH&amp;GUM TOOTHPASTE - 09-2023</v>
      </c>
      <c r="G1551" s="1" t="str">
        <f ca="1">IFERROR(__xludf.DUMMYFUNCTION("""COMPUTED_VALUE"""),"KZ.7500995.13.12.00533 / Действителен до 16.08.2022 / 09-2023 / годен до 09.2023")</f>
        <v>KZ.7500995.13.12.00533 / Действителен до 16.08.2022 / 09-2023 / годен до 09.2023</v>
      </c>
      <c r="H1551" s="1" t="str">
        <f ca="1">IFERROR(__xludf.DUMMYFUNCTION("""COMPUTED_VALUE"""),"Зубная паста торговой марки DENTISSIMO:PRO-CARE TEETH&amp;GUM TOOTHPASTE KZ.7500995.13.12.00533 / Действителен до 16.08.2022 / 09-2023 / годен до 09.2023")</f>
        <v>Зубная паста торговой марки DENTISSIMO:PRO-CARE TEETH&amp;GUM TOOTHPASTE KZ.7500995.13.12.00533 / Действителен до 16.08.2022 / 09-2023 / годен до 09.2023</v>
      </c>
    </row>
    <row r="1552" spans="1:8" ht="12.75" x14ac:dyDescent="0.2">
      <c r="A1552" s="1" t="str">
        <f ca="1">IFERROR(__xludf.DUMMYFUNCTION("""COMPUTED_VALUE"""),"Зубная паста-гель торговой марки DENTISSIMO: Для беременных женщин и молодых мам")</f>
        <v>Зубная паста-гель торговой марки DENTISSIMO: Для беременных женщин и молодых мам</v>
      </c>
      <c r="B1552" s="1" t="str">
        <f ca="1">IFERROR(__xludf.DUMMYFUNCTION("""COMPUTED_VALUE"""),"KZ.7500995.13.12.00533")</f>
        <v>KZ.7500995.13.12.00533</v>
      </c>
      <c r="C1552" s="1" t="str">
        <f ca="1">IFERROR(__xludf.DUMMYFUNCTION("""COMPUTED_VALUE"""),"Действителен до 16.08.2022")</f>
        <v>Действителен до 16.08.2022</v>
      </c>
      <c r="D1552" s="8" t="str">
        <f ca="1">IFERROR(__xludf.DUMMYFUNCTION("""COMPUTED_VALUE"""),"06-2024")</f>
        <v>06-2024</v>
      </c>
      <c r="E1552" s="1" t="str">
        <f ca="1">IFERROR(__xludf.DUMMYFUNCTION("""COMPUTED_VALUE"""),"годен до 06.2024")</f>
        <v>годен до 06.2024</v>
      </c>
      <c r="F1552" s="1" t="str">
        <f ca="1">IFERROR(__xludf.DUMMYFUNCTION("""COMPUTED_VALUE"""),"Зубная паста-гель торговой марки DENTISSIMO: Для беременных женщин и молодых мам - 06-2024")</f>
        <v>Зубная паста-гель торговой марки DENTISSIMO: Для беременных женщин и молодых мам - 06-2024</v>
      </c>
      <c r="G1552" s="1" t="str">
        <f ca="1">IFERROR(__xludf.DUMMYFUNCTION("""COMPUTED_VALUE"""),"KZ.7500995.13.12.00533 / Действителен до 16.08.2022 / 06-2024 / годен до 06.2024")</f>
        <v>KZ.7500995.13.12.00533 / Действителен до 16.08.2022 / 06-2024 / годен до 06.2024</v>
      </c>
      <c r="H1552" s="1" t="str">
        <f ca="1">IFERROR(__xludf.DUMMYFUNCTION("""COMPUTED_VALUE"""),"Зубная паста-гель торговой марки DENTISSIMO: Для беременных женщин и молодых мам KZ.7500995.13.12.00533 / Действителен до 16.08.2022 / 06-2024 / годен до 06.2024")</f>
        <v>Зубная паста-гель торговой марки DENTISSIMO: Для беременных женщин и молодых мам KZ.7500995.13.12.00533 / Действителен до 16.08.2022 / 06-2024 / годен до 06.2024</v>
      </c>
    </row>
    <row r="1553" spans="1:8" ht="12.75" x14ac:dyDescent="0.2">
      <c r="A1553" s="1" t="str">
        <f ca="1">IFERROR(__xludf.DUMMYFUNCTION("""COMPUTED_VALUE"""),"Зубная паста торговой марки DENTISSIMO: BIO-NATURAL WITH HERBS TOOTHPASTE")</f>
        <v>Зубная паста торговой марки DENTISSIMO: BIO-NATURAL WITH HERBS TOOTHPASTE</v>
      </c>
      <c r="B1553" s="1" t="str">
        <f ca="1">IFERROR(__xludf.DUMMYFUNCTION("""COMPUTED_VALUE"""),"KZ.7500995.13.12.00533")</f>
        <v>KZ.7500995.13.12.00533</v>
      </c>
      <c r="C1553" s="1" t="str">
        <f ca="1">IFERROR(__xludf.DUMMYFUNCTION("""COMPUTED_VALUE"""),"Действителен до 16.08.2022")</f>
        <v>Действителен до 16.08.2022</v>
      </c>
      <c r="D1553" s="8" t="str">
        <f ca="1">IFERROR(__xludf.DUMMYFUNCTION("""COMPUTED_VALUE"""),"07-2024")</f>
        <v>07-2024</v>
      </c>
      <c r="E1553" s="1" t="str">
        <f ca="1">IFERROR(__xludf.DUMMYFUNCTION("""COMPUTED_VALUE"""),"годен до 07.2024")</f>
        <v>годен до 07.2024</v>
      </c>
      <c r="F1553" s="1" t="str">
        <f ca="1">IFERROR(__xludf.DUMMYFUNCTION("""COMPUTED_VALUE"""),"Зубная паста торговой марки DENTISSIMO: BIO-NATURAL WITH HERBS TOOTHPASTE - 07-2024")</f>
        <v>Зубная паста торговой марки DENTISSIMO: BIO-NATURAL WITH HERBS TOOTHPASTE - 07-2024</v>
      </c>
      <c r="G1553" s="1" t="str">
        <f ca="1">IFERROR(__xludf.DUMMYFUNCTION("""COMPUTED_VALUE"""),"KZ.7500995.13.12.00533 / Действителен до 16.08.2022 / 07-2024 / годен до 07.2024")</f>
        <v>KZ.7500995.13.12.00533 / Действителен до 16.08.2022 / 07-2024 / годен до 07.2024</v>
      </c>
      <c r="H1553" s="1" t="str">
        <f ca="1">IFERROR(__xludf.DUMMYFUNCTION("""COMPUTED_VALUE"""),"Зубная паста торговой марки DENTISSIMO: BIO-NATURAL WITH HERBS TOOTHPASTE KZ.7500995.13.12.00533 / Действителен до 16.08.2022 / 07-2024 / годен до 07.2024")</f>
        <v>Зубная паста торговой марки DENTISSIMO: BIO-NATURAL WITH HERBS TOOTHPASTE KZ.7500995.13.12.00533 / Действителен до 16.08.2022 / 07-2024 / годен до 07.2024</v>
      </c>
    </row>
    <row r="1554" spans="1:8" ht="12.75" x14ac:dyDescent="0.2">
      <c r="A1554" s="1" t="str">
        <f ca="1">IFERROR(__xludf.DUMMYFUNCTION("""COMPUTED_VALUE"""),"Зубная паста-гель Отбеливающая для взрослых ТМ DENTISSIMO: GOLD ADVANCED")</f>
        <v>Зубная паста-гель Отбеливающая для взрослых ТМ DENTISSIMO: GOLD ADVANCED</v>
      </c>
      <c r="B1554" s="1"/>
      <c r="C1554" s="1"/>
      <c r="D1554" s="8" t="str">
        <f ca="1">IFERROR(__xludf.DUMMYFUNCTION("""COMPUTED_VALUE"""),"не подлежит сертификации.Есть СГР")</f>
        <v>не подлежит сертификации.Есть СГР</v>
      </c>
      <c r="E1554" s="1" t="str">
        <f ca="1">IFERROR(__xludf.DUMMYFUNCTION("""COMPUTED_VALUE"""),"годен 05.2022")</f>
        <v>годен 05.2022</v>
      </c>
      <c r="F1554" s="1" t="str">
        <f ca="1">IFERROR(__xludf.DUMMYFUNCTION("""COMPUTED_VALUE"""),"Зубная паста-гель Отбеливающая для взрослых ТМ DENTISSIMO: GOLD ADVANCED - не подлежит сертификации.Есть СГР")</f>
        <v>Зубная паста-гель Отбеливающая для взрослых ТМ DENTISSIMO: GOLD ADVANCED - не подлежит сертификации.Есть СГР</v>
      </c>
      <c r="G1554" s="1" t="str">
        <f ca="1">IFERROR(__xludf.DUMMYFUNCTION("""COMPUTED_VALUE""")," /  / не подлежит сертификации.Есть СГР / годен 05.2022")</f>
        <v xml:space="preserve"> /  / не подлежит сертификации.Есть СГР / годен 05.2022</v>
      </c>
      <c r="H1554" s="1" t="str">
        <f ca="1">IFERROR(__xludf.DUMMYFUNCTION("""COMPUTED_VALUE"""),"Зубная паста-гель Отбеливающая для взрослых ТМ DENTISSIMO: GOLD ADVANCED  /  / не подлежит сертификации.Есть СГР / годен 05.2022")</f>
        <v>Зубная паста-гель Отбеливающая для взрослых ТМ DENTISSIMO: GOLD ADVANCED  /  / не подлежит сертификации.Есть СГР / годен 05.2022</v>
      </c>
    </row>
    <row r="1555" spans="1:8" ht="12.75" x14ac:dyDescent="0.2">
      <c r="A1555" s="1" t="str">
        <f ca="1">IFERROR(__xludf.DUMMYFUNCTION("""COMPUTED_VALUE"""),"Зубная паста торговой марки DENTISSIMO: EXTRA-WHITENING BLACK")</f>
        <v>Зубная паста торговой марки DENTISSIMO: EXTRA-WHITENING BLACK</v>
      </c>
      <c r="B1555" s="1"/>
      <c r="C1555" s="1"/>
      <c r="D1555" s="8" t="str">
        <f ca="1">IFERROR(__xludf.DUMMYFUNCTION("""COMPUTED_VALUE"""),"не подлежит сертификации.Есть СГР")</f>
        <v>не подлежит сертификации.Есть СГР</v>
      </c>
      <c r="E1555" s="1" t="str">
        <f ca="1">IFERROR(__xludf.DUMMYFUNCTION("""COMPUTED_VALUE"""),"годен 05.2026")</f>
        <v>годен 05.2026</v>
      </c>
      <c r="F1555" s="1" t="str">
        <f ca="1">IFERROR(__xludf.DUMMYFUNCTION("""COMPUTED_VALUE"""),"Зубная паста торговой марки DENTISSIMO: EXTRA-WHITENING BLACK - не подлежит сертификации.Есть СГР")</f>
        <v>Зубная паста торговой марки DENTISSIMO: EXTRA-WHITENING BLACK - не подлежит сертификации.Есть СГР</v>
      </c>
      <c r="G1555" s="1" t="str">
        <f ca="1">IFERROR(__xludf.DUMMYFUNCTION("""COMPUTED_VALUE""")," /  / не подлежит сертификации.Есть СГР / годен 05.2026")</f>
        <v xml:space="preserve"> /  / не подлежит сертификации.Есть СГР / годен 05.2026</v>
      </c>
      <c r="H1555" s="1" t="str">
        <f ca="1">IFERROR(__xludf.DUMMYFUNCTION("""COMPUTED_VALUE"""),"Зубная паста торговой марки DENTISSIMO: EXTRA-WHITENING BLACK  /  / не подлежит сертификации.Есть СГР / годен 05.2026")</f>
        <v>Зубная паста торговой марки DENTISSIMO: EXTRA-WHITENING BLACK  /  / не подлежит сертификации.Есть СГР / годен 05.2026</v>
      </c>
    </row>
    <row r="1556" spans="1:8" ht="12.75" x14ac:dyDescent="0.2">
      <c r="A1556" s="1" t="str">
        <f ca="1">IFERROR(__xludf.DUMMYFUNCTION("""COMPUTED_VALUE"""),"Зубная паста торговой марки DENTISSIMO: KIDS 2-6 CARAMEL TOOTHPASTE")</f>
        <v>Зубная паста торговой марки DENTISSIMO: KIDS 2-6 CARAMEL TOOTHPASTE</v>
      </c>
      <c r="B1556" s="1"/>
      <c r="C1556" s="1"/>
      <c r="D1556" s="8" t="str">
        <f ca="1">IFERROR(__xludf.DUMMYFUNCTION("""COMPUTED_VALUE"""),"не подлежит сертификации.Есть СГР")</f>
        <v>не подлежит сертификации.Есть СГР</v>
      </c>
      <c r="E1556" s="1" t="str">
        <f ca="1">IFERROR(__xludf.DUMMYFUNCTION("""COMPUTED_VALUE""")," годен 07.2024")</f>
        <v xml:space="preserve"> годен 07.2024</v>
      </c>
      <c r="F1556" s="1" t="str">
        <f ca="1">IFERROR(__xludf.DUMMYFUNCTION("""COMPUTED_VALUE"""),"Зубная паста торговой марки DENTISSIMO: KIDS 2-6 CARAMEL TOOTHPASTE - не подлежит сертификации.Есть СГР")</f>
        <v>Зубная паста торговой марки DENTISSIMO: KIDS 2-6 CARAMEL TOOTHPASTE - не подлежит сертификации.Есть СГР</v>
      </c>
      <c r="G1556" s="1" t="str">
        <f ca="1">IFERROR(__xludf.DUMMYFUNCTION("""COMPUTED_VALUE""")," /  / не подлежит сертификации.Есть СГР /  годен 07.2024")</f>
        <v xml:space="preserve"> /  / не подлежит сертификации.Есть СГР /  годен 07.2024</v>
      </c>
      <c r="H1556" s="1" t="str">
        <f ca="1">IFERROR(__xludf.DUMMYFUNCTION("""COMPUTED_VALUE"""),"Зубная паста торговой марки DENTISSIMO: KIDS 2-6 CARAMEL TOOTHPASTE  /  / не подлежит сертификации.Есть СГР /  годен 07.2024")</f>
        <v>Зубная паста торговой марки DENTISSIMO: KIDS 2-6 CARAMEL TOOTHPASTE  /  / не подлежит сертификации.Есть СГР /  годен 07.2024</v>
      </c>
    </row>
    <row r="1557" spans="1:8" ht="12.75" x14ac:dyDescent="0.2">
      <c r="A1557" s="1" t="str">
        <f ca="1">IFERROR(__xludf.DUMMYFUNCTION("""COMPUTED_VALUE"""),"Зубная паста торговой марки DENTISSIMO: JUNIOR 6+ APPLE TOOTHPASTE")</f>
        <v>Зубная паста торговой марки DENTISSIMO: JUNIOR 6+ APPLE TOOTHPASTE</v>
      </c>
      <c r="B1557" s="1"/>
      <c r="C1557" s="1"/>
      <c r="D1557" s="8" t="str">
        <f ca="1">IFERROR(__xludf.DUMMYFUNCTION("""COMPUTED_VALUE"""),"не подлежит сертификации.Есть СГР")</f>
        <v>не подлежит сертификации.Есть СГР</v>
      </c>
      <c r="E1557" s="1" t="str">
        <f ca="1">IFERROR(__xludf.DUMMYFUNCTION("""COMPUTED_VALUE"""),"годен 07.2024")</f>
        <v>годен 07.2024</v>
      </c>
      <c r="F1557" s="1" t="str">
        <f ca="1">IFERROR(__xludf.DUMMYFUNCTION("""COMPUTED_VALUE"""),"Зубная паста торговой марки DENTISSIMO: JUNIOR 6+ APPLE TOOTHPASTE - не подлежит сертификации.Есть СГР")</f>
        <v>Зубная паста торговой марки DENTISSIMO: JUNIOR 6+ APPLE TOOTHPASTE - не подлежит сертификации.Есть СГР</v>
      </c>
      <c r="G1557" s="1" t="str">
        <f ca="1">IFERROR(__xludf.DUMMYFUNCTION("""COMPUTED_VALUE""")," /  / не подлежит сертификации.Есть СГР / годен 07.2024")</f>
        <v xml:space="preserve"> /  / не подлежит сертификации.Есть СГР / годен 07.2024</v>
      </c>
      <c r="H1557" s="1" t="str">
        <f ca="1">IFERROR(__xludf.DUMMYFUNCTION("""COMPUTED_VALUE"""),"Зубная паста торговой марки DENTISSIMO: JUNIOR 6+ APPLE TOOTHPASTE  /  / не подлежит сертификации.Есть СГР / годен 07.2024")</f>
        <v>Зубная паста торговой марки DENTISSIMO: JUNIOR 6+ APPLE TOOTHPASTE  /  / не подлежит сертификации.Есть СГР / годен 07.2024</v>
      </c>
    </row>
    <row r="1558" spans="1:8" ht="12.75" x14ac:dyDescent="0.2">
      <c r="A1558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1558" s="1"/>
      <c r="C1558" s="1" t="str">
        <f ca="1">IFERROR(__xludf.DUMMYFUNCTION("""COMPUTED_VALUE"""),"не подлежат сертификации, не относятся к МИ")</f>
        <v>не подлежат сертификации, не относятся к МИ</v>
      </c>
      <c r="D1558" s="8" t="str">
        <f ca="1">IFERROR(__xludf.DUMMYFUNCTION("""COMPUTED_VALUE"""),"212152901")</f>
        <v>212152901</v>
      </c>
      <c r="E1558" s="1" t="str">
        <f ca="1">IFERROR(__xludf.DUMMYFUNCTION("""COMPUTED_VALUE"""),"годен 30.05.2023")</f>
        <v>годен 30.05.2023</v>
      </c>
      <c r="F1558" s="1" t="str">
        <f ca="1">IFERROR(__xludf.DUMMYFUNCTION("""COMPUTED_VALUE"""),"Тест-полоски для контроля уровня глюкозы в крови Bionime Rightest GS 550 № 50 - 212152901")</f>
        <v>Тест-полоски для контроля уровня глюкозы в крови Bionime Rightest GS 550 № 50 - 212152901</v>
      </c>
      <c r="G1558" s="1" t="str">
        <f ca="1">IFERROR(__xludf.DUMMYFUNCTION("""COMPUTED_VALUE""")," / не подлежат сертификации, не относятся к МИ / 212152901 / годен 30.05.2023")</f>
        <v xml:space="preserve"> / не подлежат сертификации, не относятся к МИ / 212152901 / годен 30.05.2023</v>
      </c>
      <c r="H1558" s="1" t="str">
        <f ca="1">IFERROR(__xludf.DUMMYFUNCTION("""COMPUTED_VALUE"""),"Тест-полоски для контроля уровня глюкозы в крови Bionime Rightest GS 550 № 50  / не подлежат сертификации, не относятся к МИ / 212152901 / годен 30.05.2023")</f>
        <v>Тест-полоски для контроля уровня глюкозы в крови Bionime Rightest GS 550 № 50  / не подлежат сертификации, не относятся к МИ / 212152901 / годен 30.05.2023</v>
      </c>
    </row>
    <row r="1559" spans="1:8" ht="12.75" x14ac:dyDescent="0.2">
      <c r="A1559" s="1" t="str">
        <f ca="1">IFERROR(__xludf.DUMMYFUNCTION("""COMPUTED_VALUE"""),"Тест-полоски GAMMA MS")</f>
        <v>Тест-полоски GAMMA MS</v>
      </c>
      <c r="B1559" s="1"/>
      <c r="C1559" s="1" t="str">
        <f ca="1">IFERROR(__xludf.DUMMYFUNCTION("""COMPUTED_VALUE"""),"не подлежит сертификации , не относятся к МИ")</f>
        <v>не подлежит сертификации , не относятся к МИ</v>
      </c>
      <c r="D1559" s="8" t="str">
        <f ca="1">IFERROR(__xludf.DUMMYFUNCTION("""COMPUTED_VALUE"""),"TD21E405-BOE")</f>
        <v>TD21E405-BOE</v>
      </c>
      <c r="E1559" s="1" t="str">
        <f ca="1">IFERROR(__xludf.DUMMYFUNCTION("""COMPUTED_VALUE"""),"годен 05.05.2023")</f>
        <v>годен 05.05.2023</v>
      </c>
      <c r="F1559" s="1" t="str">
        <f ca="1">IFERROR(__xludf.DUMMYFUNCTION("""COMPUTED_VALUE"""),"Тест-полоски GAMMA MS - TD21E405-BOE")</f>
        <v>Тест-полоски GAMMA MS - TD21E405-BOE</v>
      </c>
      <c r="G1559" s="1" t="str">
        <f ca="1">IFERROR(__xludf.DUMMYFUNCTION("""COMPUTED_VALUE""")," / не подлежит сертификации , не относятся к МИ / TD21E405-BOE / годен 05.05.2023")</f>
        <v xml:space="preserve"> / не подлежит сертификации , не относятся к МИ / TD21E405-BOE / годен 05.05.2023</v>
      </c>
      <c r="H1559" s="1" t="str">
        <f ca="1">IFERROR(__xludf.DUMMYFUNCTION("""COMPUTED_VALUE"""),"Тест-полоски GAMMA MS  / не подлежит сертификации , не относятся к МИ / TD21E405-BOE / годен 05.05.2023")</f>
        <v>Тест-полоски GAMMA MS  / не подлежит сертификации , не относятся к МИ / TD21E405-BOE / годен 05.05.2023</v>
      </c>
    </row>
    <row r="1560" spans="1:8" ht="12.75" x14ac:dyDescent="0.2">
      <c r="A1560" s="1" t="str">
        <f ca="1">IFERROR(__xludf.DUMMYFUNCTION("""COMPUTED_VALUE"""),"КОМПЛЕКТ ПЛАСТЫРЕЙ НА ТКАНЕВОЙ ОСНОВЕ №20")</f>
        <v>КОМПЛЕКТ ПЛАСТЫРЕЙ НА ТКАНЕВОЙ ОСНОВЕ №20</v>
      </c>
      <c r="B1560" s="1" t="str">
        <f ca="1">IFERROR(__xludf.DUMMYFUNCTION("""COMPUTED_VALUE"""),"KZ.7700.02.01.00772967")</f>
        <v>KZ.7700.02.01.00772967</v>
      </c>
      <c r="C1560" s="1" t="str">
        <f ca="1">IFERROR(__xludf.DUMMYFUNCTION("""COMPUTED_VALUE"""),"Действителен до 01.07.2026")</f>
        <v>Действителен до 01.07.2026</v>
      </c>
      <c r="D1560" s="8" t="str">
        <f ca="1">IFERROR(__xludf.DUMMYFUNCTION("""COMPUTED_VALUE"""),"2121406")</f>
        <v>2121406</v>
      </c>
      <c r="E1560" s="1" t="str">
        <f ca="1">IFERROR(__xludf.DUMMYFUNCTION("""COMPUTED_VALUE"""),"годен до 06.2026 г.")</f>
        <v>годен до 06.2026 г.</v>
      </c>
      <c r="F1560" s="1" t="str">
        <f ca="1">IFERROR(__xludf.DUMMYFUNCTION("""COMPUTED_VALUE"""),"КОМПЛЕКТ ПЛАСТЫРЕЙ НА ТКАНЕВОЙ ОСНОВЕ №20 - 2121406")</f>
        <v>КОМПЛЕКТ ПЛАСТЫРЕЙ НА ТКАНЕВОЙ ОСНОВЕ №20 - 2121406</v>
      </c>
      <c r="G1560" s="1" t="str">
        <f ca="1">IFERROR(__xludf.DUMMYFUNCTION("""COMPUTED_VALUE"""),"KZ.7700.02.01.00772967 / Действителен до 01.07.2026 / 2121406 / годен до 06.2026 г.")</f>
        <v>KZ.7700.02.01.00772967 / Действителен до 01.07.2026 / 2121406 / годен до 06.2026 г.</v>
      </c>
      <c r="H1560" s="1" t="str">
        <f ca="1">IFERROR(__xludf.DUMMYFUNCTION("""COMPUTED_VALUE"""),"КОМПЛЕКТ ПЛАСТЫРЕЙ НА ТКАНЕВОЙ ОСНОВЕ №20 KZ.7700.02.01.00772967 / Действителен до 01.07.2026 / 2121406 / годен до 06.2026 г.")</f>
        <v>КОМПЛЕКТ ПЛАСТЫРЕЙ НА ТКАНЕВОЙ ОСНОВЕ №20 KZ.7700.02.01.00772967 / Действителен до 01.07.2026 / 2121406 / годен до 06.2026 г.</v>
      </c>
    </row>
    <row r="1561" spans="1:8" ht="12.75" x14ac:dyDescent="0.2">
      <c r="A1561" s="1" t="str">
        <f ca="1">IFERROR(__xludf.DUMMYFUNCTION("""COMPUTED_VALUE"""),"МЕДИЦИНСКИЙ НЕТКАНЫЙ ПЛАСТЫРЬ В РУЛОНЕ (5 м x 1,25cm)")</f>
        <v>МЕДИЦИНСКИЙ НЕТКАНЫЙ ПЛАСТЫРЬ В РУЛОНЕ (5 м x 1,25cm)</v>
      </c>
      <c r="B1561" s="1" t="str">
        <f ca="1">IFERROR(__xludf.DUMMYFUNCTION("""COMPUTED_VALUE"""),"KZ.7700.02.01.00772960")</f>
        <v>KZ.7700.02.01.00772960</v>
      </c>
      <c r="C1561" s="1" t="str">
        <f ca="1">IFERROR(__xludf.DUMMYFUNCTION("""COMPUTED_VALUE"""),"Действителен до 01.12.2025")</f>
        <v>Действителен до 01.12.2025</v>
      </c>
      <c r="D1561" s="8" t="str">
        <f ca="1">IFERROR(__xludf.DUMMYFUNCTION("""COMPUTED_VALUE"""),"2051229-2")</f>
        <v>2051229-2</v>
      </c>
      <c r="E1561" s="1" t="str">
        <f ca="1">IFERROR(__xludf.DUMMYFUNCTION("""COMPUTED_VALUE"""),"годен до 11.2025 г.")</f>
        <v>годен до 11.2025 г.</v>
      </c>
      <c r="F1561" s="1" t="str">
        <f ca="1">IFERROR(__xludf.DUMMYFUNCTION("""COMPUTED_VALUE"""),"МЕДИЦИНСКИЙ НЕТКАНЫЙ ПЛАСТЫРЬ В РУЛОНЕ (5 м x 1,25cm) - 2051229-2")</f>
        <v>МЕДИЦИНСКИЙ НЕТКАНЫЙ ПЛАСТЫРЬ В РУЛОНЕ (5 м x 1,25cm) - 2051229-2</v>
      </c>
      <c r="G1561" s="1" t="str">
        <f ca="1">IFERROR(__xludf.DUMMYFUNCTION("""COMPUTED_VALUE"""),"KZ.7700.02.01.00772960 / Действителен до 01.12.2025 / 2051229-2 / годен до 11.2025 г.")</f>
        <v>KZ.7700.02.01.00772960 / Действителен до 01.12.2025 / 2051229-2 / годен до 11.2025 г.</v>
      </c>
      <c r="H1561" s="1" t="str">
        <f ca="1">IFERROR(__xludf.DUMMYFUNCTION("""COMPUTED_VALUE"""),"МЕДИЦИНСКИЙ НЕТКАНЫЙ ПЛАСТЫРЬ В РУЛОНЕ (5 м x 1,25cm) KZ.7700.02.01.00772960 / Действителен до 01.12.2025 / 2051229-2 / годен до 11.2025 г.")</f>
        <v>МЕДИЦИНСКИЙ НЕТКАНЫЙ ПЛАСТЫРЬ В РУЛОНЕ (5 м x 1,25cm) KZ.7700.02.01.00772960 / Действителен до 01.12.2025 / 2051229-2 / годен до 11.2025 г.</v>
      </c>
    </row>
    <row r="1562" spans="1:8" ht="12.75" x14ac:dyDescent="0.2">
      <c r="A1562" s="1" t="str">
        <f ca="1">IFERROR(__xludf.DUMMYFUNCTION("""COMPUTED_VALUE"""),"МЕДИЦИНСКИЙ НЕТКАНЫЙ ПЛАСТЫРЬ В РУЛОНЕ (5 м x 2,5cm)")</f>
        <v>МЕДИЦИНСКИЙ НЕТКАНЫЙ ПЛАСТЫРЬ В РУЛОНЕ (5 м x 2,5cm)</v>
      </c>
      <c r="B1562" s="1" t="str">
        <f ca="1">IFERROR(__xludf.DUMMYFUNCTION("""COMPUTED_VALUE"""),"KZ.7700.02.01.00772966")</f>
        <v>KZ.7700.02.01.00772966</v>
      </c>
      <c r="C1562" s="1" t="str">
        <f ca="1">IFERROR(__xludf.DUMMYFUNCTION("""COMPUTED_VALUE"""),"Действителен до 01.07.2026")</f>
        <v>Действителен до 01.07.2026</v>
      </c>
      <c r="D1562" s="8" t="str">
        <f ca="1">IFERROR(__xludf.DUMMYFUNCTION("""COMPUTED_VALUE"""),"2153213-3")</f>
        <v>2153213-3</v>
      </c>
      <c r="E1562" s="1" t="str">
        <f ca="1">IFERROR(__xludf.DUMMYFUNCTION("""COMPUTED_VALUE"""),"годен до 06.2026 г.")</f>
        <v>годен до 06.2026 г.</v>
      </c>
      <c r="F1562" s="1" t="str">
        <f ca="1">IFERROR(__xludf.DUMMYFUNCTION("""COMPUTED_VALUE"""),"МЕДИЦИНСКИЙ НЕТКАНЫЙ ПЛАСТЫРЬ В РУЛОНЕ (5 м x 2,5cm) - 2153213-3")</f>
        <v>МЕДИЦИНСКИЙ НЕТКАНЫЙ ПЛАСТЫРЬ В РУЛОНЕ (5 м x 2,5cm) - 2153213-3</v>
      </c>
      <c r="G1562" s="1" t="str">
        <f ca="1">IFERROR(__xludf.DUMMYFUNCTION("""COMPUTED_VALUE"""),"KZ.7700.02.01.00772966 / Действителен до 01.07.2026 / 2153213-3 / годен до 06.2026 г.")</f>
        <v>KZ.7700.02.01.00772966 / Действителен до 01.07.2026 / 2153213-3 / годен до 06.2026 г.</v>
      </c>
      <c r="H1562" s="1" t="str">
        <f ca="1">IFERROR(__xludf.DUMMYFUNCTION("""COMPUTED_VALUE"""),"МЕДИЦИНСКИЙ НЕТКАНЫЙ ПЛАСТЫРЬ В РУЛОНЕ (5 м x 2,5cm) KZ.7700.02.01.00772966 / Действителен до 01.07.2026 / 2153213-3 / годен до 06.2026 г.")</f>
        <v>МЕДИЦИНСКИЙ НЕТКАНЫЙ ПЛАСТЫРЬ В РУЛОНЕ (5 м x 2,5cm) KZ.7700.02.01.00772966 / Действителен до 01.07.2026 / 2153213-3 / годен до 06.2026 г.</v>
      </c>
    </row>
    <row r="1563" spans="1:8" ht="12.75" x14ac:dyDescent="0.2">
      <c r="A1563" s="1" t="str">
        <f ca="1">IFERROR(__xludf.DUMMYFUNCTION("""COMPUTED_VALUE"""),"МЕДИЦИНСКИЙ ПЛАСТЫРЬ НА НЕТКАНОЙ ОСНОВЕ (10сm х 6сm) №10")</f>
        <v>МЕДИЦИНСКИЙ ПЛАСТЫРЬ НА НЕТКАНОЙ ОСНОВЕ (10сm х 6сm) №10</v>
      </c>
      <c r="B1563" s="1" t="str">
        <f ca="1">IFERROR(__xludf.DUMMYFUNCTION("""COMPUTED_VALUE"""),"KZ.7700.02.01.00772961")</f>
        <v>KZ.7700.02.01.00772961</v>
      </c>
      <c r="C1563" s="1" t="str">
        <f ca="1">IFERROR(__xludf.DUMMYFUNCTION("""COMPUTED_VALUE"""),"Действителен до 01.07.2026")</f>
        <v>Действителен до 01.07.2026</v>
      </c>
      <c r="D1563" s="8" t="str">
        <f ca="1">IFERROR(__xludf.DUMMYFUNCTION("""COMPUTED_VALUE"""),"2121806")</f>
        <v>2121806</v>
      </c>
      <c r="E1563" s="1" t="str">
        <f ca="1">IFERROR(__xludf.DUMMYFUNCTION("""COMPUTED_VALUE"""),"годен до 06.2026 г")</f>
        <v>годен до 06.2026 г</v>
      </c>
      <c r="F1563" s="1" t="str">
        <f ca="1">IFERROR(__xludf.DUMMYFUNCTION("""COMPUTED_VALUE"""),"МЕДИЦИНСКИЙ ПЛАСТЫРЬ НА НЕТКАНОЙ ОСНОВЕ (10сm х 6сm) №10 - 2121806")</f>
        <v>МЕДИЦИНСКИЙ ПЛАСТЫРЬ НА НЕТКАНОЙ ОСНОВЕ (10сm х 6сm) №10 - 2121806</v>
      </c>
      <c r="G1563" s="1" t="str">
        <f ca="1">IFERROR(__xludf.DUMMYFUNCTION("""COMPUTED_VALUE"""),"KZ.7700.02.01.00772961 / Действителен до 01.07.2026 / 2121806 / годен до 06.2026 г")</f>
        <v>KZ.7700.02.01.00772961 / Действителен до 01.07.2026 / 2121806 / годен до 06.2026 г</v>
      </c>
      <c r="H1563" s="1" t="str">
        <f ca="1">IFERROR(__xludf.DUMMYFUNCTION("""COMPUTED_VALUE"""),"МЕДИЦИНСКИЙ ПЛАСТЫРЬ НА НЕТКАНОЙ ОСНОВЕ (10сm х 6сm) №10 KZ.7700.02.01.00772961 / Действителен до 01.07.2026 / 2121806 / годен до 06.2026 г")</f>
        <v>МЕДИЦИНСКИЙ ПЛАСТЫРЬ НА НЕТКАНОЙ ОСНОВЕ (10сm х 6сm) №10 KZ.7700.02.01.00772961 / Действителен до 01.07.2026 / 2121806 / годен до 06.2026 г</v>
      </c>
    </row>
    <row r="1564" spans="1:8" ht="12.75" x14ac:dyDescent="0.2">
      <c r="A1564" s="1" t="str">
        <f ca="1">IFERROR(__xludf.DUMMYFUNCTION("""COMPUTED_VALUE"""),"МЕДИЦИНСКИЙ ПЛАСТЫРЬ НА ТКАНЕВОЙ ОСНОВЕ (19mm х 72mm) №100")</f>
        <v>МЕДИЦИНСКИЙ ПЛАСТЫРЬ НА ТКАНЕВОЙ ОСНОВЕ (19mm х 72mm) №100</v>
      </c>
      <c r="B1564" s="1" t="str">
        <f ca="1">IFERROR(__xludf.DUMMYFUNCTION("""COMPUTED_VALUE"""),"KZ.7700.02.01.00772965")</f>
        <v>KZ.7700.02.01.00772965</v>
      </c>
      <c r="C1564" s="1" t="str">
        <f ca="1">IFERROR(__xludf.DUMMYFUNCTION("""COMPUTED_VALUE"""),"Действителен до 01.07.2026")</f>
        <v>Действителен до 01.07.2026</v>
      </c>
      <c r="D1564" s="8" t="str">
        <f ca="1">IFERROR(__xludf.DUMMYFUNCTION("""COMPUTED_VALUE"""),"21317-1")</f>
        <v>21317-1</v>
      </c>
      <c r="E1564" s="1" t="str">
        <f ca="1">IFERROR(__xludf.DUMMYFUNCTION("""COMPUTED_VALUE"""),"годен до 06.2026 г")</f>
        <v>годен до 06.2026 г</v>
      </c>
      <c r="F1564" s="1" t="str">
        <f ca="1">IFERROR(__xludf.DUMMYFUNCTION("""COMPUTED_VALUE"""),"МЕДИЦИНСКИЙ ПЛАСТЫРЬ НА ТКАНЕВОЙ ОСНОВЕ (19mm х 72mm) №100 - 21317-1")</f>
        <v>МЕДИЦИНСКИЙ ПЛАСТЫРЬ НА ТКАНЕВОЙ ОСНОВЕ (19mm х 72mm) №100 - 21317-1</v>
      </c>
      <c r="G1564" s="1" t="str">
        <f ca="1">IFERROR(__xludf.DUMMYFUNCTION("""COMPUTED_VALUE"""),"KZ.7700.02.01.00772965 / Действителен до 01.07.2026 / 21317-1 / годен до 06.2026 г")</f>
        <v>KZ.7700.02.01.00772965 / Действителен до 01.07.2026 / 21317-1 / годен до 06.2026 г</v>
      </c>
      <c r="H1564" s="1" t="str">
        <f ca="1">IFERROR(__xludf.DUMMYFUNCTION("""COMPUTED_VALUE"""),"МЕДИЦИНСКИЙ ПЛАСТЫРЬ НА ТКАНЕВОЙ ОСНОВЕ (19mm х 72mm) №100 KZ.7700.02.01.00772965 / Действителен до 01.07.2026 / 21317-1 / годен до 06.2026 г")</f>
        <v>МЕДИЦИНСКИЙ ПЛАСТЫРЬ НА ТКАНЕВОЙ ОСНОВЕ (19mm х 72mm) №100 KZ.7700.02.01.00772965 / Действителен до 01.07.2026 / 21317-1 / годен до 06.2026 г</v>
      </c>
    </row>
    <row r="1565" spans="1:8" ht="12.75" x14ac:dyDescent="0.2">
      <c r="A1565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B1565" s="1" t="str">
        <f ca="1">IFERROR(__xludf.DUMMYFUNCTION("""COMPUTED_VALUE"""),"KZ.7700.02.01.00772973")</f>
        <v>KZ.7700.02.01.00772973</v>
      </c>
      <c r="C1565" s="1" t="str">
        <f ca="1">IFERROR(__xludf.DUMMYFUNCTION("""COMPUTED_VALUE"""),"Действителен до 01.12.2025")</f>
        <v>Действителен до 01.12.2025</v>
      </c>
      <c r="D1565" s="8" t="str">
        <f ca="1">IFERROR(__xludf.DUMMYFUNCTION("""COMPUTED_VALUE"""),"208341-5")</f>
        <v>208341-5</v>
      </c>
      <c r="E1565" s="1" t="str">
        <f ca="1">IFERROR(__xludf.DUMMYFUNCTION("""COMPUTED_VALUE"""),"годен до 11.2025 г.")</f>
        <v>годен до 11.2025 г.</v>
      </c>
      <c r="F1565" s="1" t="str">
        <f ca="1">IFERROR(__xludf.DUMMYFUNCTION("""COMPUTED_VALUE"""),"МЕДИЦИНСКИЙ ХЛОПЧАТОБУМАЖНЫЙ ПЛАСТЫРЬ В РУЛОНЕ (5m x 2,5cm) - 208341-5")</f>
        <v>МЕДИЦИНСКИЙ ХЛОПЧАТОБУМАЖНЫЙ ПЛАСТЫРЬ В РУЛОНЕ (5m x 2,5cm) - 208341-5</v>
      </c>
      <c r="G1565" s="1" t="str">
        <f ca="1">IFERROR(__xludf.DUMMYFUNCTION("""COMPUTED_VALUE"""),"KZ.7700.02.01.00772973 / Действителен до 01.12.2025 / 208341-5 / годен до 11.2025 г.")</f>
        <v>KZ.7700.02.01.00772973 / Действителен до 01.12.2025 / 208341-5 / годен до 11.2025 г.</v>
      </c>
      <c r="H1565" s="1" t="str">
        <f ca="1">IFERROR(__xludf.DUMMYFUNCTION("""COMPUTED_VALUE"""),"МЕДИЦИНСКИЙ ХЛОПЧАТОБУМАЖНЫЙ ПЛАСТЫРЬ В РУЛОНЕ (5m x 2,5cm) KZ.7700.02.01.00772973 / Действителен до 01.12.2025 / 208341-5 / годен до 11.2025 г.")</f>
        <v>МЕДИЦИНСКИЙ ХЛОПЧАТОБУМАЖНЫЙ ПЛАСТЫРЬ В РУЛОНЕ (5m x 2,5cm) KZ.7700.02.01.00772973 / Действителен до 01.12.2025 / 208341-5 / годен до 11.2025 г.</v>
      </c>
    </row>
    <row r="1566" spans="1:8" ht="12.75" x14ac:dyDescent="0.2">
      <c r="A1566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B1566" s="1" t="str">
        <f ca="1">IFERROR(__xludf.DUMMYFUNCTION("""COMPUTED_VALUE"""),"KZ.7700.02.01.00772975")</f>
        <v>KZ.7700.02.01.00772975</v>
      </c>
      <c r="C1566" s="1" t="str">
        <f ca="1">IFERROR(__xludf.DUMMYFUNCTION("""COMPUTED_VALUE"""),"Действителен до 01.07.2026")</f>
        <v>Действителен до 01.07.2026</v>
      </c>
      <c r="D1566" s="8" t="str">
        <f ca="1">IFERROR(__xludf.DUMMYFUNCTION("""COMPUTED_VALUE"""),"217317-1")</f>
        <v>217317-1</v>
      </c>
      <c r="E1566" s="1" t="str">
        <f ca="1">IFERROR(__xludf.DUMMYFUNCTION("""COMPUTED_VALUE"""),"годен до 06.2026 г.")</f>
        <v>годен до 06.2026 г.</v>
      </c>
      <c r="F1566" s="1" t="str">
        <f ca="1">IFERROR(__xludf.DUMMYFUNCTION("""COMPUTED_VALUE"""),"МЕДИЦИНСКИЙ ХЛОПЧАТОБУМАЖНЫЙ ПЛАСТЫРЬ В РУЛОНЕ (5m x 2,5cm) - 217317-1")</f>
        <v>МЕДИЦИНСКИЙ ХЛОПЧАТОБУМАЖНЫЙ ПЛАСТЫРЬ В РУЛОНЕ (5m x 2,5cm) - 217317-1</v>
      </c>
      <c r="G1566" s="1" t="str">
        <f ca="1">IFERROR(__xludf.DUMMYFUNCTION("""COMPUTED_VALUE"""),"KZ.7700.02.01.00772975 / Действителен до 01.07.2026 / 217317-1 / годен до 06.2026 г.")</f>
        <v>KZ.7700.02.01.00772975 / Действителен до 01.07.2026 / 217317-1 / годен до 06.2026 г.</v>
      </c>
      <c r="H1566" s="1" t="str">
        <f ca="1">IFERROR(__xludf.DUMMYFUNCTION("""COMPUTED_VALUE"""),"МЕДИЦИНСКИЙ ХЛОПЧАТОБУМАЖНЫЙ ПЛАСТЫРЬ В РУЛОНЕ (5m x 2,5cm) KZ.7700.02.01.00772975 / Действителен до 01.07.2026 / 217317-1 / годен до 06.2026 г.")</f>
        <v>МЕДИЦИНСКИЙ ХЛОПЧАТОБУМАЖНЫЙ ПЛАСТЫРЬ В РУЛОНЕ (5m x 2,5cm) KZ.7700.02.01.00772975 / Действителен до 01.07.2026 / 217317-1 / годен до 06.2026 г.</v>
      </c>
    </row>
    <row r="1567" spans="1:8" ht="12.75" x14ac:dyDescent="0.2">
      <c r="A1567" s="1" t="str">
        <f ca="1">IFERROR(__xludf.DUMMYFUNCTION("""COMPUTED_VALUE"""),"МОЗОЛЬНЫЙ ПЛАСТЫРЬ (19mm х 72mm) №4")</f>
        <v>МОЗОЛЬНЫЙ ПЛАСТЫРЬ (19mm х 72mm) №4</v>
      </c>
      <c r="B1567" s="1" t="str">
        <f ca="1">IFERROR(__xludf.DUMMYFUNCTION("""COMPUTED_VALUE"""),"KZ.7700.02.01.00772963")</f>
        <v>KZ.7700.02.01.00772963</v>
      </c>
      <c r="C1567" s="1" t="str">
        <f ca="1">IFERROR(__xludf.DUMMYFUNCTION("""COMPUTED_VALUE"""),"Действителен до 01.07.2026")</f>
        <v>Действителен до 01.07.2026</v>
      </c>
      <c r="D1567" s="8" t="str">
        <f ca="1">IFERROR(__xludf.DUMMYFUNCTION("""COMPUTED_VALUE"""),"2122406")</f>
        <v>2122406</v>
      </c>
      <c r="E1567" s="1" t="str">
        <f ca="1">IFERROR(__xludf.DUMMYFUNCTION("""COMPUTED_VALUE"""),"годен до 06.2026 г.")</f>
        <v>годен до 06.2026 г.</v>
      </c>
      <c r="F1567" s="1" t="str">
        <f ca="1">IFERROR(__xludf.DUMMYFUNCTION("""COMPUTED_VALUE"""),"МОЗОЛЬНЫЙ ПЛАСТЫРЬ (19mm х 72mm) №4 - 2122406")</f>
        <v>МОЗОЛЬНЫЙ ПЛАСТЫРЬ (19mm х 72mm) №4 - 2122406</v>
      </c>
      <c r="G1567" s="1" t="str">
        <f ca="1">IFERROR(__xludf.DUMMYFUNCTION("""COMPUTED_VALUE"""),"KZ.7700.02.01.00772963 / Действителен до 01.07.2026 / 2122406 / годен до 06.2026 г.")</f>
        <v>KZ.7700.02.01.00772963 / Действителен до 01.07.2026 / 2122406 / годен до 06.2026 г.</v>
      </c>
      <c r="H1567" s="1" t="str">
        <f ca="1">IFERROR(__xludf.DUMMYFUNCTION("""COMPUTED_VALUE"""),"МОЗОЛЬНЫЙ ПЛАСТЫРЬ (19mm х 72mm) №4 KZ.7700.02.01.00772963 / Действителен до 01.07.2026 / 2122406 / годен до 06.2026 г.")</f>
        <v>МОЗОЛЬНЫЙ ПЛАСТЫРЬ (19mm х 72mm) №4 KZ.7700.02.01.00772963 / Действителен до 01.07.2026 / 2122406 / годен до 06.2026 г.</v>
      </c>
    </row>
    <row r="1568" spans="1:8" ht="12.75" x14ac:dyDescent="0.2">
      <c r="A1568" s="1" t="str">
        <f ca="1">IFERROR(__xludf.DUMMYFUNCTION("""COMPUTED_VALUE"""),"ПЛАСТЫРИ ДЛЯ ДЕТЕЙ (19mm х 72mm) №20")</f>
        <v>ПЛАСТЫРИ ДЛЯ ДЕТЕЙ (19mm х 72mm) №20</v>
      </c>
      <c r="B1568" s="1" t="str">
        <f ca="1">IFERROR(__xludf.DUMMYFUNCTION("""COMPUTED_VALUE"""),"KZ.7700.02.01.00772971")</f>
        <v>KZ.7700.02.01.00772971</v>
      </c>
      <c r="C1568" s="1" t="str">
        <f ca="1">IFERROR(__xludf.DUMMYFUNCTION("""COMPUTED_VALUE"""),"Действителен до 01.07.2026")</f>
        <v>Действителен до 01.07.2026</v>
      </c>
      <c r="D1568" s="8" t="str">
        <f ca="1">IFERROR(__xludf.DUMMYFUNCTION("""COMPUTED_VALUE"""),"2121306")</f>
        <v>2121306</v>
      </c>
      <c r="E1568" s="1" t="str">
        <f ca="1">IFERROR(__xludf.DUMMYFUNCTION("""COMPUTED_VALUE"""),"годен до 06.2026 г.")</f>
        <v>годен до 06.2026 г.</v>
      </c>
      <c r="F1568" s="1" t="str">
        <f ca="1">IFERROR(__xludf.DUMMYFUNCTION("""COMPUTED_VALUE"""),"ПЛАСТЫРИ ДЛЯ ДЕТЕЙ (19mm х 72mm) №20 - 2121306")</f>
        <v>ПЛАСТЫРИ ДЛЯ ДЕТЕЙ (19mm х 72mm) №20 - 2121306</v>
      </c>
      <c r="G1568" s="1" t="str">
        <f ca="1">IFERROR(__xludf.DUMMYFUNCTION("""COMPUTED_VALUE"""),"KZ.7700.02.01.00772971 / Действителен до 01.07.2026 / 2121306 / годен до 06.2026 г.")</f>
        <v>KZ.7700.02.01.00772971 / Действителен до 01.07.2026 / 2121306 / годен до 06.2026 г.</v>
      </c>
      <c r="H1568" s="1" t="str">
        <f ca="1">IFERROR(__xludf.DUMMYFUNCTION("""COMPUTED_VALUE"""),"ПЛАСТЫРИ ДЛЯ ДЕТЕЙ (19mm х 72mm) №20 KZ.7700.02.01.00772971 / Действителен до 01.07.2026 / 2121306 / годен до 06.2026 г.")</f>
        <v>ПЛАСТЫРИ ДЛЯ ДЕТЕЙ (19mm х 72mm) №20 KZ.7700.02.01.00772971 / Действителен до 01.07.2026 / 2121306 / годен до 06.2026 г.</v>
      </c>
    </row>
    <row r="1569" spans="1:8" ht="12.75" x14ac:dyDescent="0.2">
      <c r="A1569" s="1" t="str">
        <f ca="1">IFERROR(__xludf.DUMMYFUNCTION("""COMPUTED_VALUE"""),"Тест-полоски GAMMA MS")</f>
        <v>Тест-полоски GAMMA MS</v>
      </c>
      <c r="B1569" s="1"/>
      <c r="C1569" s="1" t="str">
        <f ca="1">IFERROR(__xludf.DUMMYFUNCTION("""COMPUTED_VALUE"""),"не подлежит сертификации , не относятся к МИ")</f>
        <v>не подлежит сертификации , не относятся к МИ</v>
      </c>
      <c r="D1569" s="8" t="str">
        <f ca="1">IFERROR(__xludf.DUMMYFUNCTION("""COMPUTED_VALUE"""),"TD21A115-BOE")</f>
        <v>TD21A115-BOE</v>
      </c>
      <c r="E1569" s="1" t="str">
        <f ca="1">IFERROR(__xludf.DUMMYFUNCTION("""COMPUTED_VALUE"""),"годен до 15.01.23")</f>
        <v>годен до 15.01.23</v>
      </c>
      <c r="F1569" s="1" t="str">
        <f ca="1">IFERROR(__xludf.DUMMYFUNCTION("""COMPUTED_VALUE"""),"Тест-полоски GAMMA MS - TD21A115-BOE")</f>
        <v>Тест-полоски GAMMA MS - TD21A115-BOE</v>
      </c>
      <c r="G1569" s="1" t="str">
        <f ca="1">IFERROR(__xludf.DUMMYFUNCTION("""COMPUTED_VALUE""")," / не подлежит сертификации , не относятся к МИ / TD21A115-BOE / годен до 15.01.23")</f>
        <v xml:space="preserve"> / не подлежит сертификации , не относятся к МИ / TD21A115-BOE / годен до 15.01.23</v>
      </c>
      <c r="H1569" s="1" t="str">
        <f ca="1">IFERROR(__xludf.DUMMYFUNCTION("""COMPUTED_VALUE"""),"Тест-полоски GAMMA MS  / не подлежит сертификации , не относятся к МИ / TD21A115-BOE / годен до 15.01.23")</f>
        <v>Тест-полоски GAMMA MS  / не подлежит сертификации , не относятся к МИ / TD21A115-BOE / годен до 15.01.23</v>
      </c>
    </row>
    <row r="1570" spans="1:8" ht="12.75" x14ac:dyDescent="0.2">
      <c r="A1570" s="1" t="str">
        <f ca="1">IFERROR(__xludf.DUMMYFUNCTION("""COMPUTED_VALUE"""),"Зубная паста-гель передовая отбеливающая ГОЛД ТМ DENTISSIMO: GOLD ADVANCED New")</f>
        <v>Зубная паста-гель передовая отбеливающая ГОЛД ТМ DENTISSIMO: GOLD ADVANCED New</v>
      </c>
      <c r="B1570" s="1" t="str">
        <f ca="1">IFERROR(__xludf.DUMMYFUNCTION("""COMPUTED_VALUE"""),"ЕАЭС № RU Д-CH.HB42.B.01580/20")</f>
        <v>ЕАЭС № RU Д-CH.HB42.B.01580/20</v>
      </c>
      <c r="C1570" s="1" t="str">
        <f ca="1">IFERROR(__xludf.DUMMYFUNCTION("""COMPUTED_VALUE"""),"Действителен до 29.07.2025")</f>
        <v>Действителен до 29.07.2025</v>
      </c>
      <c r="D1570" s="8" t="str">
        <f ca="1">IFERROR(__xludf.DUMMYFUNCTION("""COMPUTED_VALUE"""),"05-2022")</f>
        <v>05-2022</v>
      </c>
      <c r="E1570" s="1" t="str">
        <f ca="1">IFERROR(__xludf.DUMMYFUNCTION("""COMPUTED_VALUE"""),"годен до 05.2022")</f>
        <v>годен до 05.2022</v>
      </c>
      <c r="F1570" s="1" t="str">
        <f ca="1">IFERROR(__xludf.DUMMYFUNCTION("""COMPUTED_VALUE"""),"Зубная паста-гель передовая отбеливающая ГОЛД ТМ DENTISSIMO: GOLD ADVANCED New - 05-2022")</f>
        <v>Зубная паста-гель передовая отбеливающая ГОЛД ТМ DENTISSIMO: GOLD ADVANCED New - 05-2022</v>
      </c>
      <c r="G1570" s="1" t="str">
        <f ca="1">IFERROR(__xludf.DUMMYFUNCTION("""COMPUTED_VALUE"""),"ЕАЭС № RU Д-CH.HB42.B.01580/20 / Действителен до 29.07.2025 / 05-2022 / годен до 05.2022")</f>
        <v>ЕАЭС № RU Д-CH.HB42.B.01580/20 / Действителен до 29.07.2025 / 05-2022 / годен до 05.2022</v>
      </c>
      <c r="H1570" s="1" t="str">
        <f ca="1">IFERROR(__xludf.DUMMYFUNCTION("""COMPUTED_VALUE"""),"Зубная паста-гель передовая отбеливающая ГОЛД ТМ DENTISSIMO: GOLD ADVANCED New ЕАЭС № RU Д-CH.HB42.B.01580/20 / Действителен до 29.07.2025 / 05-2022 / годен до 05.2022")</f>
        <v>Зубная паста-гель передовая отбеливающая ГОЛД ТМ DENTISSIMO: GOLD ADVANCED New ЕАЭС № RU Д-CH.HB42.B.01580/20 / Действителен до 29.07.2025 / 05-2022 / годен до 05.2022</v>
      </c>
    </row>
    <row r="1571" spans="1:8" ht="12.75" x14ac:dyDescent="0.2">
      <c r="A1571" s="1" t="str">
        <f ca="1">IFERROR(__xludf.DUMMYFUNCTION("""COMPUTED_VALUE"""),"М 0201 XS/M Гигеническая маска, черная")</f>
        <v>М 0201 XS/M Гигеническая маска, черная</v>
      </c>
      <c r="B1571" s="1" t="str">
        <f ca="1">IFERROR(__xludf.DUMMYFUNCTION("""COMPUTED_VALUE"""),"KZ.3510317.05.01.00155")</f>
        <v>KZ.3510317.05.01.00155</v>
      </c>
      <c r="C1571" s="1" t="str">
        <f ca="1">IFERROR(__xludf.DUMMYFUNCTION("""COMPUTED_VALUE"""),"Действителен до 01.09.2022")</f>
        <v>Действителен до 01.09.2022</v>
      </c>
      <c r="D1571" s="8" t="str">
        <f ca="1">IFERROR(__xludf.DUMMYFUNCTION("""COMPUTED_VALUE"""),"0520008KZ08")</f>
        <v>0520008KZ08</v>
      </c>
      <c r="E1571" s="1" t="str">
        <f ca="1">IFERROR(__xludf.DUMMYFUNCTION("""COMPUTED_VALUE"""),"годен до 15.05.2025")</f>
        <v>годен до 15.05.2025</v>
      </c>
      <c r="F1571" s="1" t="str">
        <f ca="1">IFERROR(__xludf.DUMMYFUNCTION("""COMPUTED_VALUE"""),"М 0201 XS/M Гигеническая маска, черная - 0520008KZ08")</f>
        <v>М 0201 XS/M Гигеническая маска, черная - 0520008KZ08</v>
      </c>
      <c r="G1571" s="1" t="str">
        <f ca="1">IFERROR(__xludf.DUMMYFUNCTION("""COMPUTED_VALUE"""),"KZ.3510317.05.01.00155 / Действителен до 01.09.2022 / 0520008KZ08 / годен до 15.05.2025")</f>
        <v>KZ.3510317.05.01.00155 / Действителен до 01.09.2022 / 0520008KZ08 / годен до 15.05.2025</v>
      </c>
      <c r="H1571" s="1" t="str">
        <f ca="1">IFERROR(__xludf.DUMMYFUNCTION("""COMPUTED_VALUE"""),"М 0201 XS/M Гигеническая маска, черная KZ.3510317.05.01.00155 / Действителен до 01.09.2022 / 0520008KZ08 / годен до 15.05.2025")</f>
        <v>М 0201 XS/M Гигеническая маска, черная KZ.3510317.05.01.00155 / Действителен до 01.09.2022 / 0520008KZ08 / годен до 15.05.2025</v>
      </c>
    </row>
    <row r="1572" spans="1:8" ht="12.75" x14ac:dyDescent="0.2">
      <c r="A1572" s="1" t="str">
        <f ca="1">IFERROR(__xludf.DUMMYFUNCTION("""COMPUTED_VALUE"""),"М 0201 L/XL Гигеническая маска, черная")</f>
        <v>М 0201 L/XL Гигеническая маска, черная</v>
      </c>
      <c r="B1572" s="1" t="str">
        <f ca="1">IFERROR(__xludf.DUMMYFUNCTION("""COMPUTED_VALUE"""),"KZ.3510317.05.01.00155")</f>
        <v>KZ.3510317.05.01.00155</v>
      </c>
      <c r="C1572" s="1" t="str">
        <f ca="1">IFERROR(__xludf.DUMMYFUNCTION("""COMPUTED_VALUE"""),"Действителен до 01.09.2022")</f>
        <v>Действителен до 01.09.2022</v>
      </c>
      <c r="D1572" s="8" t="str">
        <f ca="1">IFERROR(__xludf.DUMMYFUNCTION("""COMPUTED_VALUE"""),"0520008KZ08")</f>
        <v>0520008KZ08</v>
      </c>
      <c r="E1572" s="1" t="str">
        <f ca="1">IFERROR(__xludf.DUMMYFUNCTION("""COMPUTED_VALUE"""),"годен до 15.05.2025")</f>
        <v>годен до 15.05.2025</v>
      </c>
      <c r="F1572" s="1" t="str">
        <f ca="1">IFERROR(__xludf.DUMMYFUNCTION("""COMPUTED_VALUE"""),"М 0201 L/XL Гигеническая маска, черная - 0520008KZ08")</f>
        <v>М 0201 L/XL Гигеническая маска, черная - 0520008KZ08</v>
      </c>
      <c r="G1572" s="1" t="str">
        <f ca="1">IFERROR(__xludf.DUMMYFUNCTION("""COMPUTED_VALUE"""),"KZ.3510317.05.01.00155 / Действителен до 01.09.2022 / 0520008KZ08 / годен до 15.05.2025")</f>
        <v>KZ.3510317.05.01.00155 / Действителен до 01.09.2022 / 0520008KZ08 / годен до 15.05.2025</v>
      </c>
      <c r="H1572" s="1" t="str">
        <f ca="1">IFERROR(__xludf.DUMMYFUNCTION("""COMPUTED_VALUE"""),"М 0201 L/XL Гигеническая маска, черная KZ.3510317.05.01.00155 / Действителен до 01.09.2022 / 0520008KZ08 / годен до 15.05.2025")</f>
        <v>М 0201 L/XL Гигеническая маска, черная KZ.3510317.05.01.00155 / Действителен до 01.09.2022 / 0520008KZ08 / годен до 15.05.2025</v>
      </c>
    </row>
    <row r="1573" spans="1:8" ht="12.75" x14ac:dyDescent="0.2">
      <c r="A1573" s="1" t="str">
        <f ca="1">IFERROR(__xludf.DUMMYFUNCTION("""COMPUTED_VALUE"""),"М 0201 XS/M Гигиеническая маска, бежевая")</f>
        <v>М 0201 XS/M Гигиеническая маска, бежевая</v>
      </c>
      <c r="B1573" s="1" t="str">
        <f ca="1">IFERROR(__xludf.DUMMYFUNCTION("""COMPUTED_VALUE"""),"KZ.3510317.05.01.00155")</f>
        <v>KZ.3510317.05.01.00155</v>
      </c>
      <c r="C1573" s="1" t="str">
        <f ca="1">IFERROR(__xludf.DUMMYFUNCTION("""COMPUTED_VALUE"""),"Действителен до 01.09.2022")</f>
        <v>Действителен до 01.09.2022</v>
      </c>
      <c r="D1573" s="8" t="str">
        <f ca="1">IFERROR(__xludf.DUMMYFUNCTION("""COMPUTED_VALUE"""),"0520008KZ08")</f>
        <v>0520008KZ08</v>
      </c>
      <c r="E1573" s="1" t="str">
        <f ca="1">IFERROR(__xludf.DUMMYFUNCTION("""COMPUTED_VALUE"""),"годен до 15.05.2025")</f>
        <v>годен до 15.05.2025</v>
      </c>
      <c r="F1573" s="1" t="str">
        <f ca="1">IFERROR(__xludf.DUMMYFUNCTION("""COMPUTED_VALUE"""),"М 0201 XS/M Гигиеническая маска, бежевая - 0520008KZ08")</f>
        <v>М 0201 XS/M Гигиеническая маска, бежевая - 0520008KZ08</v>
      </c>
      <c r="G1573" s="1" t="str">
        <f ca="1">IFERROR(__xludf.DUMMYFUNCTION("""COMPUTED_VALUE"""),"KZ.3510317.05.01.00155 / Действителен до 01.09.2022 / 0520008KZ08 / годен до 15.05.2025")</f>
        <v>KZ.3510317.05.01.00155 / Действителен до 01.09.2022 / 0520008KZ08 / годен до 15.05.2025</v>
      </c>
      <c r="H1573" s="1" t="str">
        <f ca="1">IFERROR(__xludf.DUMMYFUNCTION("""COMPUTED_VALUE"""),"М 0201 XS/M Гигиеническая маска, бежевая KZ.3510317.05.01.00155 / Действителен до 01.09.2022 / 0520008KZ08 / годен до 15.05.2025")</f>
        <v>М 0201 XS/M Гигиеническая маска, бежевая KZ.3510317.05.01.00155 / Действителен до 01.09.2022 / 0520008KZ08 / годен до 15.05.2025</v>
      </c>
    </row>
    <row r="1574" spans="1:8" ht="12.75" x14ac:dyDescent="0.2">
      <c r="A1574" s="1" t="str">
        <f ca="1">IFERROR(__xludf.DUMMYFUNCTION("""COMPUTED_VALUE"""),"М 0201 L/XL/M Гигиеническая маска, бежевая")</f>
        <v>М 0201 L/XL/M Гигиеническая маска, бежевая</v>
      </c>
      <c r="B1574" s="1" t="str">
        <f ca="1">IFERROR(__xludf.DUMMYFUNCTION("""COMPUTED_VALUE"""),"KZ.3510317.05.01.00155")</f>
        <v>KZ.3510317.05.01.00155</v>
      </c>
      <c r="C1574" s="1" t="str">
        <f ca="1">IFERROR(__xludf.DUMMYFUNCTION("""COMPUTED_VALUE"""),"Действителен до 01.09.2022")</f>
        <v>Действителен до 01.09.2022</v>
      </c>
      <c r="D1574" s="8" t="str">
        <f ca="1">IFERROR(__xludf.DUMMYFUNCTION("""COMPUTED_VALUE"""),"0520008KZ08")</f>
        <v>0520008KZ08</v>
      </c>
      <c r="E1574" s="1" t="str">
        <f ca="1">IFERROR(__xludf.DUMMYFUNCTION("""COMPUTED_VALUE"""),"годен до 15.05.2025")</f>
        <v>годен до 15.05.2025</v>
      </c>
      <c r="F1574" s="1" t="str">
        <f ca="1">IFERROR(__xludf.DUMMYFUNCTION("""COMPUTED_VALUE"""),"М 0201 L/XL/M Гигиеническая маска, бежевая - 0520008KZ08")</f>
        <v>М 0201 L/XL/M Гигиеническая маска, бежевая - 0520008KZ08</v>
      </c>
      <c r="G1574" s="1" t="str">
        <f ca="1">IFERROR(__xludf.DUMMYFUNCTION("""COMPUTED_VALUE"""),"KZ.3510317.05.01.00155 / Действителен до 01.09.2022 / 0520008KZ08 / годен до 15.05.2025")</f>
        <v>KZ.3510317.05.01.00155 / Действителен до 01.09.2022 / 0520008KZ08 / годен до 15.05.2025</v>
      </c>
      <c r="H1574" s="1" t="str">
        <f ca="1">IFERROR(__xludf.DUMMYFUNCTION("""COMPUTED_VALUE"""),"М 0201 L/XL/M Гигиеническая маска, бежевая KZ.3510317.05.01.00155 / Действителен до 01.09.2022 / 0520008KZ08 / годен до 15.05.2025")</f>
        <v>М 0201 L/XL/M Гигиеническая маска, бежевая KZ.3510317.05.01.00155 / Действителен до 01.09.2022 / 0520008KZ08 / годен до 15.05.2025</v>
      </c>
    </row>
    <row r="1575" spans="1:8" ht="12.75" x14ac:dyDescent="0.2">
      <c r="A1575" s="1" t="str">
        <f ca="1">IFERROR(__xludf.DUMMYFUNCTION("""COMPUTED_VALUE"""),"Глюкометр GAMMA MINI")</f>
        <v>Глюкометр GAMMA MINI</v>
      </c>
      <c r="B1575" s="1" t="str">
        <f ca="1">IFERROR(__xludf.DUMMYFUNCTION("""COMPUTED_VALUE"""),"KZ.7700.02.01.00780907")</f>
        <v>KZ.7700.02.01.00780907</v>
      </c>
      <c r="C1575" s="1" t="str">
        <f ca="1">IFERROR(__xludf.DUMMYFUNCTION("""COMPUTED_VALUE"""),"Действительно до Бессрочно")</f>
        <v>Действительно до Бессрочно</v>
      </c>
      <c r="D1575" s="8" t="str">
        <f ca="1">IFERROR(__xludf.DUMMYFUNCTION("""COMPUTED_VALUE"""),"2021-08-02")</f>
        <v>2021-08-02</v>
      </c>
      <c r="E1575" s="1" t="str">
        <f ca="1">IFERROR(__xludf.DUMMYFUNCTION("""COMPUTED_VALUE"""),"без срока годности")</f>
        <v>без срока годности</v>
      </c>
      <c r="F1575" s="1" t="str">
        <f ca="1">IFERROR(__xludf.DUMMYFUNCTION("""COMPUTED_VALUE"""),"Глюкометр GAMMA MINI - 2021-08-02")</f>
        <v>Глюкометр GAMMA MINI - 2021-08-02</v>
      </c>
      <c r="G1575" s="1" t="str">
        <f ca="1">IFERROR(__xludf.DUMMYFUNCTION("""COMPUTED_VALUE"""),"KZ.7700.02.01.00780907 / Действительно до Бессрочно / 2021-08-02 / без срока годности")</f>
        <v>KZ.7700.02.01.00780907 / Действительно до Бессрочно / 2021-08-02 / без срока годности</v>
      </c>
      <c r="H1575" s="1" t="str">
        <f ca="1">IFERROR(__xludf.DUMMYFUNCTION("""COMPUTED_VALUE"""),"Глюкометр GAMMA MINI KZ.7700.02.01.00780907 / Действительно до Бессрочно / 2021-08-02 / без срока годности")</f>
        <v>Глюкометр GAMMA MINI KZ.7700.02.01.00780907 / Действительно до Бессрочно / 2021-08-02 / без срока годности</v>
      </c>
    </row>
    <row r="1576" spans="1:8" ht="12.75" x14ac:dyDescent="0.2">
      <c r="A1576" s="1" t="str">
        <f ca="1">IFERROR(__xludf.DUMMYFUNCTION("""COMPUTED_VALUE"""),"Зубная паста-гель торговой марки DENTISSIMO: Для беременных женщин и молодых мам")</f>
        <v>Зубная паста-гель торговой марки DENTISSIMO: Для беременных женщин и молодых мам</v>
      </c>
      <c r="B1576" s="1" t="str">
        <f ca="1">IFERROR(__xludf.DUMMYFUNCTION("""COMPUTED_VALUE"""),"KZ.7500995.13.12.01149")</f>
        <v>KZ.7500995.13.12.01149</v>
      </c>
      <c r="C1576" s="1" t="str">
        <f ca="1">IFERROR(__xludf.DUMMYFUNCTION("""COMPUTED_VALUE"""),"Действительно до 06.10.2022")</f>
        <v>Действительно до 06.10.2022</v>
      </c>
      <c r="D1576" s="8" t="str">
        <f ca="1">IFERROR(__xludf.DUMMYFUNCTION("""COMPUTED_VALUE"""),"08-2023")</f>
        <v>08-2023</v>
      </c>
      <c r="E1576" s="1" t="str">
        <f ca="1">IFERROR(__xludf.DUMMYFUNCTION("""COMPUTED_VALUE"""),"годен до 01.08.2023")</f>
        <v>годен до 01.08.2023</v>
      </c>
      <c r="F1576" s="1" t="str">
        <f ca="1">IFERROR(__xludf.DUMMYFUNCTION("""COMPUTED_VALUE"""),"Зубная паста-гель торговой марки DENTISSIMO: Для беременных женщин и молодых мам - 08-2023")</f>
        <v>Зубная паста-гель торговой марки DENTISSIMO: Для беременных женщин и молодых мам - 08-2023</v>
      </c>
      <c r="G1576" s="1" t="str">
        <f ca="1">IFERROR(__xludf.DUMMYFUNCTION("""COMPUTED_VALUE"""),"KZ.7500995.13.12.01149 / Действительно до 06.10.2022 / 08-2023 / годен до 01.08.2023")</f>
        <v>KZ.7500995.13.12.01149 / Действительно до 06.10.2022 / 08-2023 / годен до 01.08.2023</v>
      </c>
      <c r="H1576" s="1" t="str">
        <f ca="1">IFERROR(__xludf.DUMMYFUNCTION("""COMPUTED_VALUE"""),"Зубная паста-гель торговой марки DENTISSIMO: Для беременных женщин и молодых мам KZ.7500995.13.12.01149 / Действительно до 06.10.2022 / 08-2023 / годен до 01.08.2023")</f>
        <v>Зубная паста-гель торговой марки DENTISSIMO: Для беременных женщин и молодых мам KZ.7500995.13.12.01149 / Действительно до 06.10.2022 / 08-2023 / годен до 01.08.2023</v>
      </c>
    </row>
    <row r="1577" spans="1:8" ht="12.75" x14ac:dyDescent="0.2">
      <c r="A1577" s="1" t="str">
        <f ca="1">IFERROR(__xludf.DUMMYFUNCTION("""COMPUTED_VALUE"""),"Ополаскиватель для полости рта DENTISSIMO GUM PROTECTION/Защита десен")</f>
        <v>Ополаскиватель для полости рта DENTISSIMO GUM PROTECTION/Защита десен</v>
      </c>
      <c r="B1577" s="1" t="str">
        <f ca="1">IFERROR(__xludf.DUMMYFUNCTION("""COMPUTED_VALUE"""),"KZ.7500995.13.12.01149")</f>
        <v>KZ.7500995.13.12.01149</v>
      </c>
      <c r="C1577" s="1" t="str">
        <f ca="1">IFERROR(__xludf.DUMMYFUNCTION("""COMPUTED_VALUE"""),"Действительно до 06.10.2022")</f>
        <v>Действительно до 06.10.2022</v>
      </c>
      <c r="D1577" s="8" t="str">
        <f ca="1">IFERROR(__xludf.DUMMYFUNCTION("""COMPUTED_VALUE"""),"07-2023")</f>
        <v>07-2023</v>
      </c>
      <c r="E1577" s="1" t="str">
        <f ca="1">IFERROR(__xludf.DUMMYFUNCTION("""COMPUTED_VALUE"""),"годен до 01.07.2023г")</f>
        <v>годен до 01.07.2023г</v>
      </c>
      <c r="F1577" s="1" t="str">
        <f ca="1">IFERROR(__xludf.DUMMYFUNCTION("""COMPUTED_VALUE"""),"Ополаскиватель для полости рта DENTISSIMO GUM PROTECTION/Защита десен - 07-2023")</f>
        <v>Ополаскиватель для полости рта DENTISSIMO GUM PROTECTION/Защита десен - 07-2023</v>
      </c>
      <c r="G1577" s="1" t="str">
        <f ca="1">IFERROR(__xludf.DUMMYFUNCTION("""COMPUTED_VALUE"""),"KZ.7500995.13.12.01149 / Действительно до 06.10.2022 / 07-2023 / годен до 01.07.2023г")</f>
        <v>KZ.7500995.13.12.01149 / Действительно до 06.10.2022 / 07-2023 / годен до 01.07.2023г</v>
      </c>
      <c r="H1577" s="1" t="str">
        <f ca="1">IFERROR(__xludf.DUMMYFUNCTION("""COMPUTED_VALUE"""),"Ополаскиватель для полости рта DENTISSIMO GUM PROTECTION/Защита десен KZ.7500995.13.12.01149 / Действительно до 06.10.2022 / 07-2023 / годен до 01.07.2023г")</f>
        <v>Ополаскиватель для полости рта DENTISSIMO GUM PROTECTION/Защита десен KZ.7500995.13.12.01149 / Действительно до 06.10.2022 / 07-2023 / годен до 01.07.2023г</v>
      </c>
    </row>
    <row r="1578" spans="1:8" ht="12.75" x14ac:dyDescent="0.2">
      <c r="A1578" s="1" t="str">
        <f ca="1">IFERROR(__xludf.DUMMYFUNCTION("""COMPUTED_VALUE"""),"Ополаскиватель для полости рта DENTISSIMO FRESH BREATH/Свежее дыхание")</f>
        <v>Ополаскиватель для полости рта DENTISSIMO FRESH BREATH/Свежее дыхание</v>
      </c>
      <c r="B1578" s="1" t="str">
        <f ca="1">IFERROR(__xludf.DUMMYFUNCTION("""COMPUTED_VALUE"""),"KZ.7500995.13.12.01149")</f>
        <v>KZ.7500995.13.12.01149</v>
      </c>
      <c r="C1578" s="1" t="str">
        <f ca="1">IFERROR(__xludf.DUMMYFUNCTION("""COMPUTED_VALUE"""),"Действительно до 06.10.2022")</f>
        <v>Действительно до 06.10.2022</v>
      </c>
      <c r="D1578" s="8" t="str">
        <f ca="1">IFERROR(__xludf.DUMMYFUNCTION("""COMPUTED_VALUE"""),"06-2023")</f>
        <v>06-2023</v>
      </c>
      <c r="E1578" s="1" t="str">
        <f ca="1">IFERROR(__xludf.DUMMYFUNCTION("""COMPUTED_VALUE"""),"годен до 01.06.2023г")</f>
        <v>годен до 01.06.2023г</v>
      </c>
      <c r="F1578" s="1" t="str">
        <f ca="1">IFERROR(__xludf.DUMMYFUNCTION("""COMPUTED_VALUE"""),"Ополаскиватель для полости рта DENTISSIMO FRESH BREATH/Свежее дыхание - 06-2023")</f>
        <v>Ополаскиватель для полости рта DENTISSIMO FRESH BREATH/Свежее дыхание - 06-2023</v>
      </c>
      <c r="G1578" s="1" t="str">
        <f ca="1">IFERROR(__xludf.DUMMYFUNCTION("""COMPUTED_VALUE"""),"KZ.7500995.13.12.01149 / Действительно до 06.10.2022 / 06-2023 / годен до 01.06.2023г")</f>
        <v>KZ.7500995.13.12.01149 / Действительно до 06.10.2022 / 06-2023 / годен до 01.06.2023г</v>
      </c>
      <c r="H1578" s="1" t="str">
        <f ca="1">IFERROR(__xludf.DUMMYFUNCTION("""COMPUTED_VALUE"""),"Ополаскиватель для полости рта DENTISSIMO FRESH BREATH/Свежее дыхание KZ.7500995.13.12.01149 / Действительно до 06.10.2022 / 06-2023 / годен до 01.06.2023г")</f>
        <v>Ополаскиватель для полости рта DENTISSIMO FRESH BREATH/Свежее дыхание KZ.7500995.13.12.01149 / Действительно до 06.10.2022 / 06-2023 / годен до 01.06.2023г</v>
      </c>
    </row>
    <row r="1579" spans="1:8" ht="12.75" x14ac:dyDescent="0.2">
      <c r="A1579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579" s="1" t="str">
        <f ca="1">IFERROR(__xludf.DUMMYFUNCTION("""COMPUTED_VALUE"""),"KZ.7700.02.01.00785661")</f>
        <v>KZ.7700.02.01.00785661</v>
      </c>
      <c r="C1579" s="1" t="str">
        <f ca="1">IFERROR(__xludf.DUMMYFUNCTION("""COMPUTED_VALUE"""),"Действительно до 14.06.2026")</f>
        <v>Действительно до 14.06.2026</v>
      </c>
      <c r="D1579" s="8" t="str">
        <f ca="1">IFERROR(__xludf.DUMMYFUNCTION("""COMPUTED_VALUE"""),"0621042KZ042")</f>
        <v>0621042KZ042</v>
      </c>
      <c r="E1579" s="1" t="str">
        <f ca="1">IFERROR(__xludf.DUMMYFUNCTION("""COMPUTED_VALUE"""),"годен до 14.06.2026 г")</f>
        <v>годен до 14.06.2026 г</v>
      </c>
      <c r="F1579" s="1" t="str">
        <f ca="1">IFERROR(__xludf.DUMMYFUNCTION("""COMPUTED_VALUE"""),"Бандаж для беременных эластичный 4505 - L (Болгария) - 0621042KZ042")</f>
        <v>Бандаж для беременных эластичный 4505 - L (Болгария) - 0621042KZ042</v>
      </c>
      <c r="G1579" s="1" t="str">
        <f ca="1">IFERROR(__xludf.DUMMYFUNCTION("""COMPUTED_VALUE"""),"KZ.7700.02.01.00785661 / Действительно до 14.06.2026 / 0621042KZ042 / годен до 14.06.2026 г")</f>
        <v>KZ.7700.02.01.00785661 / Действительно до 14.06.2026 / 0621042KZ042 / годен до 14.06.2026 г</v>
      </c>
      <c r="H1579" s="1" t="str">
        <f ca="1">IFERROR(__xludf.DUMMYFUNCTION("""COMPUTED_VALUE"""),"Бандаж для беременных эластичный 4505 - L (Болгария) KZ.7700.02.01.00785661 / Действительно до 14.06.2026 / 0621042KZ042 / годен до 14.06.2026 г")</f>
        <v>Бандаж для беременных эластичный 4505 - L (Болгария) KZ.7700.02.01.00785661 / Действительно до 14.06.2026 / 0621042KZ042 / годен до 14.06.2026 г</v>
      </c>
    </row>
    <row r="1580" spans="1:8" ht="12.75" x14ac:dyDescent="0.2">
      <c r="A1580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1580" s="1" t="str">
        <f ca="1">IFERROR(__xludf.DUMMYFUNCTION("""COMPUTED_VALUE"""),"KZ.7700.02.01.00785656")</f>
        <v>KZ.7700.02.01.00785656</v>
      </c>
      <c r="C1580" s="1" t="str">
        <f ca="1">IFERROR(__xludf.DUMMYFUNCTION("""COMPUTED_VALUE"""),"Действительно до 14.06.2026")</f>
        <v>Действительно до 14.06.2026</v>
      </c>
      <c r="D1580" s="8" t="str">
        <f ca="1">IFERROR(__xludf.DUMMYFUNCTION("""COMPUTED_VALUE"""),"0621042KZ042")</f>
        <v>0621042KZ042</v>
      </c>
      <c r="E1580" s="1" t="str">
        <f ca="1">IFERROR(__xludf.DUMMYFUNCTION("""COMPUTED_VALUE"""),"годен до 14.06.2026 г")</f>
        <v>годен до 14.06.2026 г</v>
      </c>
      <c r="F1580" s="1" t="str">
        <f ca="1">IFERROR(__xludf.DUMMYFUNCTION("""COMPUTED_VALUE"""),"Бандаж для беременных эластичный 4505 - М (Болгария) - 0621042KZ042")</f>
        <v>Бандаж для беременных эластичный 4505 - М (Болгария) - 0621042KZ042</v>
      </c>
      <c r="G1580" s="1" t="str">
        <f ca="1">IFERROR(__xludf.DUMMYFUNCTION("""COMPUTED_VALUE"""),"KZ.7700.02.01.00785656 / Действительно до 14.06.2026 / 0621042KZ042 / годен до 14.06.2026 г")</f>
        <v>KZ.7700.02.01.00785656 / Действительно до 14.06.2026 / 0621042KZ042 / годен до 14.06.2026 г</v>
      </c>
      <c r="H1580" s="1" t="str">
        <f ca="1">IFERROR(__xludf.DUMMYFUNCTION("""COMPUTED_VALUE"""),"Бандаж для беременных эластичный 4505 - М (Болгария) KZ.7700.02.01.00785656 / Действительно до 14.06.2026 / 0621042KZ042 / годен до 14.06.2026 г")</f>
        <v>Бандаж для беременных эластичный 4505 - М (Болгария) KZ.7700.02.01.00785656 / Действительно до 14.06.2026 / 0621042KZ042 / годен до 14.06.2026 г</v>
      </c>
    </row>
    <row r="1581" spans="1:8" ht="12.75" x14ac:dyDescent="0.2">
      <c r="A1581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1581" s="1" t="str">
        <f ca="1">IFERROR(__xludf.DUMMYFUNCTION("""COMPUTED_VALUE"""),"KZ.7700.02.01.00785649")</f>
        <v>KZ.7700.02.01.00785649</v>
      </c>
      <c r="C1581" s="1" t="str">
        <f ca="1">IFERROR(__xludf.DUMMYFUNCTION("""COMPUTED_VALUE"""),"Действительно до 14.06.2026")</f>
        <v>Действительно до 14.06.2026</v>
      </c>
      <c r="D1581" s="8" t="str">
        <f ca="1">IFERROR(__xludf.DUMMYFUNCTION("""COMPUTED_VALUE"""),"0621042KZ042")</f>
        <v>0621042KZ042</v>
      </c>
      <c r="E1581" s="1" t="str">
        <f ca="1">IFERROR(__xludf.DUMMYFUNCTION("""COMPUTED_VALUE"""),"годен до 14.06.2026 г")</f>
        <v>годен до 14.06.2026 г</v>
      </c>
      <c r="F1581" s="1" t="str">
        <f ca="1">IFERROR(__xludf.DUMMYFUNCTION("""COMPUTED_VALUE"""),"Бандаж для беременных эластичный 4505 - S (Болгария) - 0621042KZ042")</f>
        <v>Бандаж для беременных эластичный 4505 - S (Болгария) - 0621042KZ042</v>
      </c>
      <c r="G1581" s="1" t="str">
        <f ca="1">IFERROR(__xludf.DUMMYFUNCTION("""COMPUTED_VALUE"""),"KZ.7700.02.01.00785649 / Действительно до 14.06.2026 / 0621042KZ042 / годен до 14.06.2026 г")</f>
        <v>KZ.7700.02.01.00785649 / Действительно до 14.06.2026 / 0621042KZ042 / годен до 14.06.2026 г</v>
      </c>
      <c r="H1581" s="1" t="str">
        <f ca="1">IFERROR(__xludf.DUMMYFUNCTION("""COMPUTED_VALUE"""),"Бандаж для беременных эластичный 4505 - S (Болгария) KZ.7700.02.01.00785649 / Действительно до 14.06.2026 / 0621042KZ042 / годен до 14.06.2026 г")</f>
        <v>Бандаж для беременных эластичный 4505 - S (Болгария) KZ.7700.02.01.00785649 / Действительно до 14.06.2026 / 0621042KZ042 / годен до 14.06.2026 г</v>
      </c>
    </row>
    <row r="1582" spans="1:8" ht="12.75" x14ac:dyDescent="0.2">
      <c r="A1582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582" s="1" t="str">
        <f ca="1">IFERROR(__xludf.DUMMYFUNCTION("""COMPUTED_VALUE"""),"KZ.7700.02.01.00785665")</f>
        <v>KZ.7700.02.01.00785665</v>
      </c>
      <c r="C1582" s="1" t="str">
        <f ca="1">IFERROR(__xludf.DUMMYFUNCTION("""COMPUTED_VALUE"""),"Действительно до 14.06.2026")</f>
        <v>Действительно до 14.06.2026</v>
      </c>
      <c r="D1582" s="8" t="str">
        <f ca="1">IFERROR(__xludf.DUMMYFUNCTION("""COMPUTED_VALUE"""),"0621042KZ042")</f>
        <v>0621042KZ042</v>
      </c>
      <c r="E1582" s="1" t="str">
        <f ca="1">IFERROR(__xludf.DUMMYFUNCTION("""COMPUTED_VALUE"""),"годен до 14.06.2026 г")</f>
        <v>годен до 14.06.2026 г</v>
      </c>
      <c r="F1582" s="1" t="str">
        <f ca="1">IFERROR(__xludf.DUMMYFUNCTION("""COMPUTED_VALUE"""),"Бандаж для беременных эластичный 4505 - XL (Болгария) - 0621042KZ042")</f>
        <v>Бандаж для беременных эластичный 4505 - XL (Болгария) - 0621042KZ042</v>
      </c>
      <c r="G1582" s="1" t="str">
        <f ca="1">IFERROR(__xludf.DUMMYFUNCTION("""COMPUTED_VALUE"""),"KZ.7700.02.01.00785665 / Действительно до 14.06.2026 / 0621042KZ042 / годен до 14.06.2026 г")</f>
        <v>KZ.7700.02.01.00785665 / Действительно до 14.06.2026 / 0621042KZ042 / годен до 14.06.2026 г</v>
      </c>
      <c r="H1582" s="1" t="str">
        <f ca="1">IFERROR(__xludf.DUMMYFUNCTION("""COMPUTED_VALUE"""),"Бандаж для беременных эластичный 4505 - XL (Болгария) KZ.7700.02.01.00785665 / Действительно до 14.06.2026 / 0621042KZ042 / годен до 14.06.2026 г")</f>
        <v>Бандаж для беременных эластичный 4505 - XL (Болгария) KZ.7700.02.01.00785665 / Действительно до 14.06.2026 / 0621042KZ042 / годен до 14.06.2026 г</v>
      </c>
    </row>
    <row r="1583" spans="1:8" ht="12.75" x14ac:dyDescent="0.2">
      <c r="A1583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583" s="1" t="str">
        <f ca="1">IFERROR(__xludf.DUMMYFUNCTION("""COMPUTED_VALUE"""),"KZ.7700.02.01.00785663")</f>
        <v>KZ.7700.02.01.00785663</v>
      </c>
      <c r="C1583" s="1" t="str">
        <f ca="1">IFERROR(__xludf.DUMMYFUNCTION("""COMPUTED_VALUE"""),"Действительно до 14.06.2026")</f>
        <v>Действительно до 14.06.2026</v>
      </c>
      <c r="D1583" s="8" t="str">
        <f ca="1">IFERROR(__xludf.DUMMYFUNCTION("""COMPUTED_VALUE"""),"0621042KZ042")</f>
        <v>0621042KZ042</v>
      </c>
      <c r="E1583" s="1" t="str">
        <f ca="1">IFERROR(__xludf.DUMMYFUNCTION("""COMPUTED_VALUE"""),"годен до 14.06.2026 г")</f>
        <v>годен до 14.06.2026 г</v>
      </c>
      <c r="F1583" s="1" t="str">
        <f ca="1">IFERROR(__xludf.DUMMYFUNCTION("""COMPUTED_VALUE"""),"Бандаж для беременных эластичный 4505 - XXL (Болгария) - 0621042KZ042")</f>
        <v>Бандаж для беременных эластичный 4505 - XXL (Болгария) - 0621042KZ042</v>
      </c>
      <c r="G1583" s="1" t="str">
        <f ca="1">IFERROR(__xludf.DUMMYFUNCTION("""COMPUTED_VALUE"""),"KZ.7700.02.01.00785663 / Действительно до 14.06.2026 / 0621042KZ042 / годен до 14.06.2026 г")</f>
        <v>KZ.7700.02.01.00785663 / Действительно до 14.06.2026 / 0621042KZ042 / годен до 14.06.2026 г</v>
      </c>
      <c r="H1583" s="1" t="str">
        <f ca="1">IFERROR(__xludf.DUMMYFUNCTION("""COMPUTED_VALUE"""),"Бандаж для беременных эластичный 4505 - XXL (Болгария) KZ.7700.02.01.00785663 / Действительно до 14.06.2026 / 0621042KZ042 / годен до 14.06.2026 г")</f>
        <v>Бандаж для беременных эластичный 4505 - XXL (Болгария) KZ.7700.02.01.00785663 / Действительно до 14.06.2026 / 0621042KZ042 / годен до 14.06.2026 г</v>
      </c>
    </row>
    <row r="1584" spans="1:8" ht="12.75" x14ac:dyDescent="0.2">
      <c r="A1584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584" s="1" t="str">
        <f ca="1">IFERROR(__xludf.DUMMYFUNCTION("""COMPUTED_VALUE"""),"KZ.7700.02.01.00785660")</f>
        <v>KZ.7700.02.01.00785660</v>
      </c>
      <c r="C1584" s="1" t="str">
        <f ca="1">IFERROR(__xludf.DUMMYFUNCTION("""COMPUTED_VALUE"""),"Действительно до 14.06.2026")</f>
        <v>Действительно до 14.06.2026</v>
      </c>
      <c r="D1584" s="8" t="str">
        <f ca="1">IFERROR(__xludf.DUMMYFUNCTION("""COMPUTED_VALUE"""),"0621042KZ042")</f>
        <v>0621042KZ042</v>
      </c>
      <c r="E1584" s="1" t="str">
        <f ca="1">IFERROR(__xludf.DUMMYFUNCTION("""COMPUTED_VALUE"""),"годен до 14.06.2026 г")</f>
        <v>годен до 14.06.2026 г</v>
      </c>
      <c r="F1584" s="1" t="str">
        <f ca="1">IFERROR(__xludf.DUMMYFUNCTION("""COMPUTED_VALUE"""),"Бандаж для беременных эластичный 4505 - XXXL (Болгария) - 0621042KZ042")</f>
        <v>Бандаж для беременных эластичный 4505 - XXXL (Болгария) - 0621042KZ042</v>
      </c>
      <c r="G1584" s="1" t="str">
        <f ca="1">IFERROR(__xludf.DUMMYFUNCTION("""COMPUTED_VALUE"""),"KZ.7700.02.01.00785660 / Действительно до 14.06.2026 / 0621042KZ042 / годен до 14.06.2026 г")</f>
        <v>KZ.7700.02.01.00785660 / Действительно до 14.06.2026 / 0621042KZ042 / годен до 14.06.2026 г</v>
      </c>
      <c r="H1584" s="1" t="str">
        <f ca="1">IFERROR(__xludf.DUMMYFUNCTION("""COMPUTED_VALUE"""),"Бандаж для беременных эластичный 4505 - XXXL (Болгария) KZ.7700.02.01.00785660 / Действительно до 14.06.2026 / 0621042KZ042 / годен до 14.06.2026 г")</f>
        <v>Бандаж для беременных эластичный 4505 - XXXL (Болгария) KZ.7700.02.01.00785660 / Действительно до 14.06.2026 / 0621042KZ042 / годен до 14.06.2026 г</v>
      </c>
    </row>
    <row r="1585" spans="1:8" ht="12.75" x14ac:dyDescent="0.2">
      <c r="A1585" s="1" t="str">
        <f ca="1">IFERROR(__xludf.DUMMYFUNCTION("""COMPUTED_VALUE"""),"МЕДИЦИНСКИЙ НЕТКАНЫЙ ПЛАСТЫРЬ (19mm х 72mm) №100")</f>
        <v>МЕДИЦИНСКИЙ НЕТКАНЫЙ ПЛАСТЫРЬ (19mm х 72mm) №100</v>
      </c>
      <c r="B1585" s="1" t="str">
        <f ca="1">IFERROR(__xludf.DUMMYFUNCTION("""COMPUTED_VALUE"""),"KZ.7700.02.01.00786163")</f>
        <v>KZ.7700.02.01.00786163</v>
      </c>
      <c r="C1585" s="1" t="str">
        <f ca="1">IFERROR(__xludf.DUMMYFUNCTION("""COMPUTED_VALUE"""),"Действительно до 01.10.2026")</f>
        <v>Действительно до 01.10.2026</v>
      </c>
      <c r="D1585" s="8" t="str">
        <f ca="1">IFERROR(__xludf.DUMMYFUNCTION("""COMPUTED_VALUE"""),"111/137-1")</f>
        <v>111/137-1</v>
      </c>
      <c r="E1585" s="1" t="str">
        <f ca="1">IFERROR(__xludf.DUMMYFUNCTION("""COMPUTED_VALUE"""),"годен до 09.2026 г.")</f>
        <v>годен до 09.2026 г.</v>
      </c>
      <c r="F1585" s="1" t="str">
        <f ca="1">IFERROR(__xludf.DUMMYFUNCTION("""COMPUTED_VALUE"""),"МЕДИЦИНСКИЙ НЕТКАНЫЙ ПЛАСТЫРЬ (19mm х 72mm) №100 - 111/137-1")</f>
        <v>МЕДИЦИНСКИЙ НЕТКАНЫЙ ПЛАСТЫРЬ (19mm х 72mm) №100 - 111/137-1</v>
      </c>
      <c r="G1585" s="1" t="str">
        <f ca="1">IFERROR(__xludf.DUMMYFUNCTION("""COMPUTED_VALUE"""),"KZ.7700.02.01.00786163 / Действительно до 01.10.2026 / 111/137-1 / годен до 09.2026 г.")</f>
        <v>KZ.7700.02.01.00786163 / Действительно до 01.10.2026 / 111/137-1 / годен до 09.2026 г.</v>
      </c>
      <c r="H1585" s="1" t="str">
        <f ca="1">IFERROR(__xludf.DUMMYFUNCTION("""COMPUTED_VALUE"""),"МЕДИЦИНСКИЙ НЕТКАНЫЙ ПЛАСТЫРЬ (19mm х 72mm) №100 KZ.7700.02.01.00786163 / Действительно до 01.10.2026 / 111/137-1 / годен до 09.2026 г.")</f>
        <v>МЕДИЦИНСКИЙ НЕТКАНЫЙ ПЛАСТЫРЬ (19mm х 72mm) №100 KZ.7700.02.01.00786163 / Действительно до 01.10.2026 / 111/137-1 / годен до 09.2026 г.</v>
      </c>
    </row>
    <row r="1586" spans="1:8" ht="12.75" x14ac:dyDescent="0.2">
      <c r="A1586" s="1" t="str">
        <f ca="1">IFERROR(__xludf.DUMMYFUNCTION("""COMPUTED_VALUE"""),"МЕДИЦИНСКИЙ НЕТКАНЫЙ ПЛАСТЫРЬ В РУЛОНЕ (5 м x 1,25cm)")</f>
        <v>МЕДИЦИНСКИЙ НЕТКАНЫЙ ПЛАСТЫРЬ В РУЛОНЕ (5 м x 1,25cm)</v>
      </c>
      <c r="B1586" s="1" t="str">
        <f ca="1">IFERROR(__xludf.DUMMYFUNCTION("""COMPUTED_VALUE"""),"KZ.7700.02.01.00786190")</f>
        <v>KZ.7700.02.01.00786190</v>
      </c>
      <c r="C1586" s="1" t="str">
        <f ca="1">IFERROR(__xludf.DUMMYFUNCTION("""COMPUTED_VALUE"""),"Действительно до 01.10.2026")</f>
        <v>Действительно до 01.10.2026</v>
      </c>
      <c r="D1586" s="8" t="str">
        <f ca="1">IFERROR(__xludf.DUMMYFUNCTION("""COMPUTED_VALUE"""),"2151219-1")</f>
        <v>2151219-1</v>
      </c>
      <c r="E1586" s="1" t="str">
        <f ca="1">IFERROR(__xludf.DUMMYFUNCTION("""COMPUTED_VALUE"""),"годен до 08.2026 г")</f>
        <v>годен до 08.2026 г</v>
      </c>
      <c r="F1586" s="1" t="str">
        <f ca="1">IFERROR(__xludf.DUMMYFUNCTION("""COMPUTED_VALUE"""),"МЕДИЦИНСКИЙ НЕТКАНЫЙ ПЛАСТЫРЬ В РУЛОНЕ (5 м x 1,25cm) - 2151219-1")</f>
        <v>МЕДИЦИНСКИЙ НЕТКАНЫЙ ПЛАСТЫРЬ В РУЛОНЕ (5 м x 1,25cm) - 2151219-1</v>
      </c>
      <c r="G1586" s="1" t="str">
        <f ca="1">IFERROR(__xludf.DUMMYFUNCTION("""COMPUTED_VALUE"""),"KZ.7700.02.01.00786190 / Действительно до 01.10.2026 / 2151219-1 / годен до 08.2026 г")</f>
        <v>KZ.7700.02.01.00786190 / Действительно до 01.10.2026 / 2151219-1 / годен до 08.2026 г</v>
      </c>
      <c r="H1586" s="1" t="str">
        <f ca="1">IFERROR(__xludf.DUMMYFUNCTION("""COMPUTED_VALUE"""),"МЕДИЦИНСКИЙ НЕТКАНЫЙ ПЛАСТЫРЬ В РУЛОНЕ (5 м x 1,25cm) KZ.7700.02.01.00786190 / Действительно до 01.10.2026 / 2151219-1 / годен до 08.2026 г")</f>
        <v>МЕДИЦИНСКИЙ НЕТКАНЫЙ ПЛАСТЫРЬ В РУЛОНЕ (5 м x 1,25cm) KZ.7700.02.01.00786190 / Действительно до 01.10.2026 / 2151219-1 / годен до 08.2026 г</v>
      </c>
    </row>
    <row r="1587" spans="1:8" ht="12.75" x14ac:dyDescent="0.2">
      <c r="A1587" s="1" t="str">
        <f ca="1">IFERROR(__xludf.DUMMYFUNCTION("""COMPUTED_VALUE"""),"МЕДИЦИНСКИЙ НЕТКАНЫЙ ПЛАСТЫРЬ В РУЛОНЕ (5 м x 2,5cm)")</f>
        <v>МЕДИЦИНСКИЙ НЕТКАНЫЙ ПЛАСТЫРЬ В РУЛОНЕ (5 м x 2,5cm)</v>
      </c>
      <c r="B1587" s="1" t="str">
        <f ca="1">IFERROR(__xludf.DUMMYFUNCTION("""COMPUTED_VALUE"""),"KZ.7700.02.01.00786187")</f>
        <v>KZ.7700.02.01.00786187</v>
      </c>
      <c r="C1587" s="1" t="str">
        <f ca="1">IFERROR(__xludf.DUMMYFUNCTION("""COMPUTED_VALUE"""),"Действительно до 01.09.2026")</f>
        <v>Действительно до 01.09.2026</v>
      </c>
      <c r="D1587" s="8" t="str">
        <f ca="1">IFERROR(__xludf.DUMMYFUNCTION("""COMPUTED_VALUE"""),"2153219-1")</f>
        <v>2153219-1</v>
      </c>
      <c r="E1587" s="1" t="str">
        <f ca="1">IFERROR(__xludf.DUMMYFUNCTION("""COMPUTED_VALUE"""),"годен до 08.2026 г")</f>
        <v>годен до 08.2026 г</v>
      </c>
      <c r="F1587" s="1" t="str">
        <f ca="1">IFERROR(__xludf.DUMMYFUNCTION("""COMPUTED_VALUE"""),"МЕДИЦИНСКИЙ НЕТКАНЫЙ ПЛАСТЫРЬ В РУЛОНЕ (5 м x 2,5cm) - 2153219-1")</f>
        <v>МЕДИЦИНСКИЙ НЕТКАНЫЙ ПЛАСТЫРЬ В РУЛОНЕ (5 м x 2,5cm) - 2153219-1</v>
      </c>
      <c r="G1587" s="1" t="str">
        <f ca="1">IFERROR(__xludf.DUMMYFUNCTION("""COMPUTED_VALUE"""),"KZ.7700.02.01.00786187 / Действительно до 01.09.2026 / 2153219-1 / годен до 08.2026 г")</f>
        <v>KZ.7700.02.01.00786187 / Действительно до 01.09.2026 / 2153219-1 / годен до 08.2026 г</v>
      </c>
      <c r="H1587" s="1" t="str">
        <f ca="1">IFERROR(__xludf.DUMMYFUNCTION("""COMPUTED_VALUE"""),"МЕДИЦИНСКИЙ НЕТКАНЫЙ ПЛАСТЫРЬ В РУЛОНЕ (5 м x 2,5cm) KZ.7700.02.01.00786187 / Действительно до 01.09.2026 / 2153219-1 / годен до 08.2026 г")</f>
        <v>МЕДИЦИНСКИЙ НЕТКАНЫЙ ПЛАСТЫРЬ В РУЛОНЕ (5 м x 2,5cm) KZ.7700.02.01.00786187 / Действительно до 01.09.2026 / 2153219-1 / годен до 08.2026 г</v>
      </c>
    </row>
    <row r="1588" spans="1:8" ht="12.75" x14ac:dyDescent="0.2">
      <c r="A1588" s="1" t="str">
        <f ca="1">IFERROR(__xludf.DUMMYFUNCTION("""COMPUTED_VALUE"""),"МЕДИЦИНСКИЙ ПЛАСТЫРЬ НА ТКАНЕВОЙ ОСНОВЕ (19mm х 72mm) №10")</f>
        <v>МЕДИЦИНСКИЙ ПЛАСТЫРЬ НА ТКАНЕВОЙ ОСНОВЕ (19mm х 72mm) №10</v>
      </c>
      <c r="B1588" s="1" t="str">
        <f ca="1">IFERROR(__xludf.DUMMYFUNCTION("""COMPUTED_VALUE"""),"KZ.7700.02.01.00786235")</f>
        <v>KZ.7700.02.01.00786235</v>
      </c>
      <c r="C1588" s="1" t="str">
        <f ca="1">IFERROR(__xludf.DUMMYFUNCTION("""COMPUTED_VALUE"""),"Действительно до 01.09.2026")</f>
        <v>Действительно до 01.09.2026</v>
      </c>
      <c r="D1588" s="8" t="str">
        <f ca="1">IFERROR(__xludf.DUMMYFUNCTION("""COMPUTED_VALUE"""),"111/227-3")</f>
        <v>111/227-3</v>
      </c>
      <c r="E1588" s="1" t="str">
        <f ca="1">IFERROR(__xludf.DUMMYFUNCTION("""COMPUTED_VALUE"""),"годен до 08.2026 г")</f>
        <v>годен до 08.2026 г</v>
      </c>
      <c r="F1588" s="1" t="str">
        <f ca="1">IFERROR(__xludf.DUMMYFUNCTION("""COMPUTED_VALUE"""),"МЕДИЦИНСКИЙ ПЛАСТЫРЬ НА ТКАНЕВОЙ ОСНОВЕ (19mm х 72mm) №10 - 111/227-3")</f>
        <v>МЕДИЦИНСКИЙ ПЛАСТЫРЬ НА ТКАНЕВОЙ ОСНОВЕ (19mm х 72mm) №10 - 111/227-3</v>
      </c>
      <c r="G1588" s="1" t="str">
        <f ca="1">IFERROR(__xludf.DUMMYFUNCTION("""COMPUTED_VALUE"""),"KZ.7700.02.01.00786235 / Действительно до 01.09.2026 / 111/227-3 / годен до 08.2026 г")</f>
        <v>KZ.7700.02.01.00786235 / Действительно до 01.09.2026 / 111/227-3 / годен до 08.2026 г</v>
      </c>
      <c r="H1588" s="1" t="str">
        <f ca="1">IFERROR(__xludf.DUMMYFUNCTION("""COMPUTED_VALUE"""),"МЕДИЦИНСКИЙ ПЛАСТЫРЬ НА ТКАНЕВОЙ ОСНОВЕ (19mm х 72mm) №10 KZ.7700.02.01.00786235 / Действительно до 01.09.2026 / 111/227-3 / годен до 08.2026 г")</f>
        <v>МЕДИЦИНСКИЙ ПЛАСТЫРЬ НА ТКАНЕВОЙ ОСНОВЕ (19mm х 72mm) №10 KZ.7700.02.01.00786235 / Действительно до 01.09.2026 / 111/227-3 / годен до 08.2026 г</v>
      </c>
    </row>
    <row r="1589" spans="1:8" ht="12.75" x14ac:dyDescent="0.2">
      <c r="A1589" s="1" t="str">
        <f ca="1">IFERROR(__xludf.DUMMYFUNCTION("""COMPUTED_VALUE"""),"МЕДИЦИНСКИЙ ХЛОПЧАТОБУМАЖНЫЙ ПЛАСТЫРЬ В РУЛОНЕ (5m x 1,25cm)")</f>
        <v>МЕДИЦИНСКИЙ ХЛОПЧАТОБУМАЖНЫЙ ПЛАСТЫРЬ В РУЛОНЕ (5m x 1,25cm)</v>
      </c>
      <c r="B1589" s="1" t="str">
        <f ca="1">IFERROR(__xludf.DUMMYFUNCTION("""COMPUTED_VALUE"""),"KZ.7700.02.01.00786167")</f>
        <v>KZ.7700.02.01.00786167</v>
      </c>
      <c r="C1589" s="1" t="str">
        <f ca="1">IFERROR(__xludf.DUMMYFUNCTION("""COMPUTED_VALUE"""),"Действительно до 01.09.2026")</f>
        <v>Действительно до 01.09.2026</v>
      </c>
      <c r="D1589" s="8" t="str">
        <f ca="1">IFERROR(__xludf.DUMMYFUNCTION("""COMPUTED_VALUE"""),"217326-4")</f>
        <v>217326-4</v>
      </c>
      <c r="E1589" s="1" t="str">
        <f ca="1">IFERROR(__xludf.DUMMYFUNCTION("""COMPUTED_VALUE"""),"годен до 08.2026 г")</f>
        <v>годен до 08.2026 г</v>
      </c>
      <c r="F1589" s="1" t="str">
        <f ca="1">IFERROR(__xludf.DUMMYFUNCTION("""COMPUTED_VALUE"""),"МЕДИЦИНСКИЙ ХЛОПЧАТОБУМАЖНЫЙ ПЛАСТЫРЬ В РУЛОНЕ (5m x 1,25cm) - 217326-4")</f>
        <v>МЕДИЦИНСКИЙ ХЛОПЧАТОБУМАЖНЫЙ ПЛАСТЫРЬ В РУЛОНЕ (5m x 1,25cm) - 217326-4</v>
      </c>
      <c r="G1589" s="1" t="str">
        <f ca="1">IFERROR(__xludf.DUMMYFUNCTION("""COMPUTED_VALUE"""),"KZ.7700.02.01.00786167 / Действительно до 01.09.2026 / 217326-4 / годен до 08.2026 г")</f>
        <v>KZ.7700.02.01.00786167 / Действительно до 01.09.2026 / 217326-4 / годен до 08.2026 г</v>
      </c>
      <c r="H1589" s="1" t="str">
        <f ca="1">IFERROR(__xludf.DUMMYFUNCTION("""COMPUTED_VALUE"""),"МЕДИЦИНСКИЙ ХЛОПЧАТОБУМАЖНЫЙ ПЛАСТЫРЬ В РУЛОНЕ (5m x 1,25cm) KZ.7700.02.01.00786167 / Действительно до 01.09.2026 / 217326-4 / годен до 08.2026 г")</f>
        <v>МЕДИЦИНСКИЙ ХЛОПЧАТОБУМАЖНЫЙ ПЛАСТЫРЬ В РУЛОНЕ (5m x 1,25cm) KZ.7700.02.01.00786167 / Действительно до 01.09.2026 / 217326-4 / годен до 08.2026 г</v>
      </c>
    </row>
    <row r="1590" spans="1:8" ht="12.75" x14ac:dyDescent="0.2">
      <c r="A1590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B1590" s="1" t="str">
        <f ca="1">IFERROR(__xludf.DUMMYFUNCTION("""COMPUTED_VALUE"""),"KZ.7700.02.01.00786165")</f>
        <v>KZ.7700.02.01.00786165</v>
      </c>
      <c r="C1590" s="1" t="str">
        <f ca="1">IFERROR(__xludf.DUMMYFUNCTION("""COMPUTED_VALUE"""),"Действительно до 01.09.2026")</f>
        <v>Действительно до 01.09.2026</v>
      </c>
      <c r="D1590" s="8" t="str">
        <f ca="1">IFERROR(__xludf.DUMMYFUNCTION("""COMPUTED_VALUE"""),"218326-4")</f>
        <v>218326-4</v>
      </c>
      <c r="E1590" s="1" t="str">
        <f ca="1">IFERROR(__xludf.DUMMYFUNCTION("""COMPUTED_VALUE"""),"годен до 08.2026 г")</f>
        <v>годен до 08.2026 г</v>
      </c>
      <c r="F1590" s="1" t="str">
        <f ca="1">IFERROR(__xludf.DUMMYFUNCTION("""COMPUTED_VALUE"""),"МЕДИЦИНСКИЙ ХЛОПЧАТОБУМАЖНЫЙ ПЛАСТЫРЬ В РУЛОНЕ (5m x 2,5cm) - 218326-4")</f>
        <v>МЕДИЦИНСКИЙ ХЛОПЧАТОБУМАЖНЫЙ ПЛАСТЫРЬ В РУЛОНЕ (5m x 2,5cm) - 218326-4</v>
      </c>
      <c r="G1590" s="1" t="str">
        <f ca="1">IFERROR(__xludf.DUMMYFUNCTION("""COMPUTED_VALUE"""),"KZ.7700.02.01.00786165 / Действительно до 01.09.2026 / 218326-4 / годен до 08.2026 г")</f>
        <v>KZ.7700.02.01.00786165 / Действительно до 01.09.2026 / 218326-4 / годен до 08.2026 г</v>
      </c>
      <c r="H1590" s="1" t="str">
        <f ca="1">IFERROR(__xludf.DUMMYFUNCTION("""COMPUTED_VALUE"""),"МЕДИЦИНСКИЙ ХЛОПЧАТОБУМАЖНЫЙ ПЛАСТЫРЬ В РУЛОНЕ (5m x 2,5cm) KZ.7700.02.01.00786165 / Действительно до 01.09.2026 / 218326-4 / годен до 08.2026 г")</f>
        <v>МЕДИЦИНСКИЙ ХЛОПЧАТОБУМАЖНЫЙ ПЛАСТЫРЬ В РУЛОНЕ (5m x 2,5cm) KZ.7700.02.01.00786165 / Действительно до 01.09.2026 / 218326-4 / годен до 08.2026 г</v>
      </c>
    </row>
    <row r="1591" spans="1:8" ht="12.75" x14ac:dyDescent="0.2">
      <c r="A1591" s="1" t="str">
        <f ca="1">IFERROR(__xludf.DUMMYFUNCTION("""COMPUTED_VALUE"""),"МОЗОЛЬНЫЙ ПЛАСТЫРЬ (19mm х 72mm) №4")</f>
        <v>МОЗОЛЬНЫЙ ПЛАСТЫРЬ (19mm х 72mm) №4</v>
      </c>
      <c r="B1591" s="1" t="str">
        <f ca="1">IFERROR(__xludf.DUMMYFUNCTION("""COMPUTED_VALUE"""),"KZ.7700.02.01.00786185")</f>
        <v>KZ.7700.02.01.00786185</v>
      </c>
      <c r="C1591" s="1" t="str">
        <f ca="1">IFERROR(__xludf.DUMMYFUNCTION("""COMPUTED_VALUE"""),"Действительно до 01.09.2026")</f>
        <v>Действительно до 01.09.2026</v>
      </c>
      <c r="D1591" s="8" t="str">
        <f ca="1">IFERROR(__xludf.DUMMYFUNCTION("""COMPUTED_VALUE"""),"21224-08")</f>
        <v>21224-08</v>
      </c>
      <c r="E1591" s="1" t="str">
        <f ca="1">IFERROR(__xludf.DUMMYFUNCTION("""COMPUTED_VALUE"""),"годен до 08.2026 г")</f>
        <v>годен до 08.2026 г</v>
      </c>
      <c r="F1591" s="1" t="str">
        <f ca="1">IFERROR(__xludf.DUMMYFUNCTION("""COMPUTED_VALUE"""),"МОЗОЛЬНЫЙ ПЛАСТЫРЬ (19mm х 72mm) №4 - 21224-08")</f>
        <v>МОЗОЛЬНЫЙ ПЛАСТЫРЬ (19mm х 72mm) №4 - 21224-08</v>
      </c>
      <c r="G1591" s="1" t="str">
        <f ca="1">IFERROR(__xludf.DUMMYFUNCTION("""COMPUTED_VALUE"""),"KZ.7700.02.01.00786185 / Действительно до 01.09.2026 / 21224-08 / годен до 08.2026 г")</f>
        <v>KZ.7700.02.01.00786185 / Действительно до 01.09.2026 / 21224-08 / годен до 08.2026 г</v>
      </c>
      <c r="H1591" s="1" t="str">
        <f ca="1">IFERROR(__xludf.DUMMYFUNCTION("""COMPUTED_VALUE"""),"МОЗОЛЬНЫЙ ПЛАСТЫРЬ (19mm х 72mm) №4 KZ.7700.02.01.00786185 / Действительно до 01.09.2026 / 21224-08 / годен до 08.2026 г")</f>
        <v>МОЗОЛЬНЫЙ ПЛАСТЫРЬ (19mm х 72mm) №4 KZ.7700.02.01.00786185 / Действительно до 01.09.2026 / 21224-08 / годен до 08.2026 г</v>
      </c>
    </row>
    <row r="1592" spans="1:8" ht="12.75" x14ac:dyDescent="0.2">
      <c r="A1592" s="1" t="str">
        <f ca="1">IFERROR(__xludf.DUMMYFUNCTION("""COMPUTED_VALUE"""),"Тест-полоски для контроля ур глюкозы Rightest GS300 (2уп. х 25шт)")</f>
        <v>Тест-полоски для контроля ур глюкозы Rightest GS300 (2уп. х 25шт)</v>
      </c>
      <c r="B1592" s="1"/>
      <c r="C1592" s="1" t="str">
        <f ca="1">IFERROR(__xludf.DUMMYFUNCTION("""COMPUTED_VALUE"""),"не подлежит сертификации , не относятся к МИ")</f>
        <v>не подлежит сертификации , не относятся к МИ</v>
      </c>
      <c r="D1592" s="8" t="str">
        <f ca="1">IFERROR(__xludf.DUMMYFUNCTION("""COMPUTED_VALUE"""),"212070310")</f>
        <v>212070310</v>
      </c>
      <c r="E1592" s="1" t="str">
        <f ca="1">IFERROR(__xludf.DUMMYFUNCTION("""COMPUTED_VALUE"""),"годен до 2022-10-14")</f>
        <v>годен до 2022-10-14</v>
      </c>
      <c r="F1592" s="1" t="str">
        <f ca="1">IFERROR(__xludf.DUMMYFUNCTION("""COMPUTED_VALUE"""),"Тест-полоски для контроля ур глюкозы Rightest GS300 (2уп. х 25шт) - 212070310")</f>
        <v>Тест-полоски для контроля ур глюкозы Rightest GS300 (2уп. х 25шт) - 212070310</v>
      </c>
      <c r="G1592" s="1" t="str">
        <f ca="1">IFERROR(__xludf.DUMMYFUNCTION("""COMPUTED_VALUE""")," / не подлежит сертификации , не относятся к МИ / 212070310 / годен до 2022-10-14")</f>
        <v xml:space="preserve"> / не подлежит сертификации , не относятся к МИ / 212070310 / годен до 2022-10-14</v>
      </c>
      <c r="H1592" s="1" t="str">
        <f ca="1">IFERROR(__xludf.DUMMYFUNCTION("""COMPUTED_VALUE"""),"Тест-полоски для контроля ур глюкозы Rightest GS300 (2уп. х 25шт)  / не подлежит сертификации , не относятся к МИ / 212070310 / годен до 2022-10-14")</f>
        <v>Тест-полоски для контроля ур глюкозы Rightest GS300 (2уп. х 25шт)  / не подлежит сертификации , не относятся к МИ / 212070310 / годен до 2022-10-14</v>
      </c>
    </row>
    <row r="1593" spans="1:8" ht="12.75" x14ac:dyDescent="0.2">
      <c r="A1593" s="1" t="str">
        <f ca="1">IFERROR(__xludf.DUMMYFUNCTION("""COMPUTED_VALUE"""),"Профессиональный стетоскоп с двусторонней головкой Dr.Frei Модель S-20")</f>
        <v>Профессиональный стетоскоп с двусторонней головкой Dr.Frei Модель S-20</v>
      </c>
      <c r="B1593" s="1"/>
      <c r="C1593" s="1" t="str">
        <f ca="1">IFERROR(__xludf.DUMMYFUNCTION("""COMPUTED_VALUE"""),"Действительно до Бессрочно")</f>
        <v>Действительно до Бессрочно</v>
      </c>
      <c r="D1593" s="8" t="str">
        <f ca="1">IFERROR(__xludf.DUMMYFUNCTION("""COMPUTED_VALUE"""),"2021/01/10")</f>
        <v>2021/01/10</v>
      </c>
      <c r="E1593" s="1" t="str">
        <f ca="1">IFERROR(__xludf.DUMMYFUNCTION("""COMPUTED_VALUE"""),"без срока годности")</f>
        <v>без срока годности</v>
      </c>
      <c r="F1593" s="1" t="str">
        <f ca="1">IFERROR(__xludf.DUMMYFUNCTION("""COMPUTED_VALUE"""),"Профессиональный стетоскоп с двусторонней головкой Dr.Frei Модель S-20 - 2021/01/10")</f>
        <v>Профессиональный стетоскоп с двусторонней головкой Dr.Frei Модель S-20 - 2021/01/10</v>
      </c>
      <c r="G1593" s="1" t="str">
        <f ca="1">IFERROR(__xludf.DUMMYFUNCTION("""COMPUTED_VALUE""")," / Действительно до Бессрочно / 2021/01/10 / без срока годности")</f>
        <v xml:space="preserve"> / Действительно до Бессрочно / 2021/01/10 / без срока годности</v>
      </c>
      <c r="H1593" s="1" t="str">
        <f ca="1">IFERROR(__xludf.DUMMYFUNCTION("""COMPUTED_VALUE"""),"Профессиональный стетоскоп с двусторонней головкой Dr.Frei Модель S-20  / Действительно до Бессрочно / 2021/01/10 / без срока годности")</f>
        <v>Профессиональный стетоскоп с двусторонней головкой Dr.Frei Модель S-20  / Действительно до Бессрочно / 2021/01/10 / без срока годности</v>
      </c>
    </row>
    <row r="1594" spans="1:8" ht="12.75" x14ac:dyDescent="0.2">
      <c r="A1594" s="1" t="str">
        <f ca="1">IFERROR(__xludf.DUMMYFUNCTION("""COMPUTED_VALUE"""),"Тест-полоски для контроля ур глюкозы Rightest GS300 (2уп. х 25шт)")</f>
        <v>Тест-полоски для контроля ур глюкозы Rightest GS300 (2уп. х 25шт)</v>
      </c>
      <c r="B1594" s="1"/>
      <c r="C1594" s="1" t="str">
        <f ca="1">IFERROR(__xludf.DUMMYFUNCTION("""COMPUTED_VALUE"""),"не подлежит сертификации , не относятся к МИ")</f>
        <v>не подлежит сертификации , не относятся к МИ</v>
      </c>
      <c r="D1594" s="8" t="str">
        <f ca="1">IFERROR(__xludf.DUMMYFUNCTION("""COMPUTED_VALUE"""),"212141201")</f>
        <v>212141201</v>
      </c>
      <c r="E1594" s="1" t="str">
        <f ca="1">IFERROR(__xludf.DUMMYFUNCTION("""COMPUTED_VALUE"""),"годен 11.03.2023")</f>
        <v>годен 11.03.2023</v>
      </c>
      <c r="F1594" s="1" t="str">
        <f ca="1">IFERROR(__xludf.DUMMYFUNCTION("""COMPUTED_VALUE"""),"Тест-полоски для контроля ур глюкозы Rightest GS300 (2уп. х 25шт) - 212141201")</f>
        <v>Тест-полоски для контроля ур глюкозы Rightest GS300 (2уп. х 25шт) - 212141201</v>
      </c>
      <c r="G1594" s="1" t="str">
        <f ca="1">IFERROR(__xludf.DUMMYFUNCTION("""COMPUTED_VALUE""")," / не подлежит сертификации , не относятся к МИ / 212141201 / годен 11.03.2023")</f>
        <v xml:space="preserve"> / не подлежит сертификации , не относятся к МИ / 212141201 / годен 11.03.2023</v>
      </c>
      <c r="H1594" s="1" t="str">
        <f ca="1">IFERROR(__xludf.DUMMYFUNCTION("""COMPUTED_VALUE"""),"Тест-полоски для контроля ур глюкозы Rightest GS300 (2уп. х 25шт)  / не подлежит сертификации , не относятся к МИ / 212141201 / годен 11.03.2023")</f>
        <v>Тест-полоски для контроля ур глюкозы Rightest GS300 (2уп. х 25шт)  / не подлежит сертификации , не относятся к МИ / 212141201 / годен 11.03.2023</v>
      </c>
    </row>
    <row r="1595" spans="1:8" ht="12.75" x14ac:dyDescent="0.2">
      <c r="A1595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595" s="1" t="str">
        <f ca="1">IFERROR(__xludf.DUMMYFUNCTION("""COMPUTED_VALUE"""),"KZ.7700.02.01.00787678")</f>
        <v>KZ.7700.02.01.00787678</v>
      </c>
      <c r="C1595" s="1" t="str">
        <f ca="1">IFERROR(__xludf.DUMMYFUNCTION("""COMPUTED_VALUE"""),"Действительно до 03.09.2026")</f>
        <v>Действительно до 03.09.2026</v>
      </c>
      <c r="D1595" s="8" t="str">
        <f ca="1">IFERROR(__xludf.DUMMYFUNCTION("""COMPUTED_VALUE"""),"0921068KZ068")</f>
        <v>0921068KZ068</v>
      </c>
      <c r="E1595" s="1" t="str">
        <f ca="1">IFERROR(__xludf.DUMMYFUNCTION("""COMPUTED_VALUE"""),"годен до 03.09.2026 г")</f>
        <v>годен до 03.09.2026 г</v>
      </c>
      <c r="F1595" s="1" t="str">
        <f ca="1">IFERROR(__xludf.DUMMYFUNCTION("""COMPUTED_VALUE"""),"Бинт эластичный медицинский средней растяжимости (ширина 80 мм) 02х80х1 - 0921068KZ068")</f>
        <v>Бинт эластичный медицинский средней растяжимости (ширина 80 мм) 02х80х1 - 0921068KZ068</v>
      </c>
      <c r="G1595" s="1" t="str">
        <f ca="1">IFERROR(__xludf.DUMMYFUNCTION("""COMPUTED_VALUE"""),"KZ.7700.02.01.00787678 / Действительно до 03.09.2026 / 0921068KZ068 / годен до 03.09.2026 г")</f>
        <v>KZ.7700.02.01.00787678 / Действительно до 03.09.2026 / 0921068KZ068 / годен до 03.09.2026 г</v>
      </c>
      <c r="H1595" s="1" t="str">
        <f ca="1">IFERROR(__xludf.DUMMYFUNCTION("""COMPUTED_VALUE"""),"Бинт эластичный медицинский средней растяжимости (ширина 80 мм) 02х80х1 KZ.7700.02.01.00787678 / Действительно до 03.09.2026 / 0921068KZ068 / годен до 03.09.2026 г")</f>
        <v>Бинт эластичный медицинский средней растяжимости (ширина 80 мм) 02х80х1 KZ.7700.02.01.00787678 / Действительно до 03.09.2026 / 0921068KZ068 / годен до 03.09.2026 г</v>
      </c>
    </row>
    <row r="1596" spans="1:8" ht="12.75" x14ac:dyDescent="0.2">
      <c r="A1596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596" s="1" t="str">
        <f ca="1">IFERROR(__xludf.DUMMYFUNCTION("""COMPUTED_VALUE"""),"KZ.7700.02.01.00787523")</f>
        <v>KZ.7700.02.01.00787523</v>
      </c>
      <c r="C1596" s="1" t="str">
        <f ca="1">IFERROR(__xludf.DUMMYFUNCTION("""COMPUTED_VALUE"""),"Действительно до 03.09.2026")</f>
        <v>Действительно до 03.09.2026</v>
      </c>
      <c r="D1596" s="8" t="str">
        <f ca="1">IFERROR(__xludf.DUMMYFUNCTION("""COMPUTED_VALUE"""),"0921068KZ068")</f>
        <v>0921068KZ068</v>
      </c>
      <c r="E1596" s="1" t="str">
        <f ca="1">IFERROR(__xludf.DUMMYFUNCTION("""COMPUTED_VALUE"""),"годен до 03.09.2026 г")</f>
        <v>годен до 03.09.2026 г</v>
      </c>
      <c r="F1596" s="1" t="str">
        <f ca="1">IFERROR(__xludf.DUMMYFUNCTION("""COMPUTED_VALUE"""),"Бинт эластичный медицинский средней растяжимости (ширина 80 мм) 02х80х1.5 - 0921068KZ068")</f>
        <v>Бинт эластичный медицинский средней растяжимости (ширина 80 мм) 02х80х1.5 - 0921068KZ068</v>
      </c>
      <c r="G1596" s="1" t="str">
        <f ca="1">IFERROR(__xludf.DUMMYFUNCTION("""COMPUTED_VALUE"""),"KZ.7700.02.01.00787523 / Действительно до 03.09.2026 / 0921068KZ068 / годен до 03.09.2026 г")</f>
        <v>KZ.7700.02.01.00787523 / Действительно до 03.09.2026 / 0921068KZ068 / годен до 03.09.2026 г</v>
      </c>
      <c r="H1596" s="1" t="str">
        <f ca="1">IFERROR(__xludf.DUMMYFUNCTION("""COMPUTED_VALUE"""),"Бинт эластичный медицинский средней растяжимости (ширина 80 мм) 02х80х1.5 KZ.7700.02.01.00787523 / Действительно до 03.09.2026 / 0921068KZ068 / годен до 03.09.2026 г")</f>
        <v>Бинт эластичный медицинский средней растяжимости (ширина 80 мм) 02х80х1.5 KZ.7700.02.01.00787523 / Действительно до 03.09.2026 / 0921068KZ068 / годен до 03.09.2026 г</v>
      </c>
    </row>
    <row r="1597" spans="1:8" ht="12.75" x14ac:dyDescent="0.2">
      <c r="A1597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597" s="1" t="str">
        <f ca="1">IFERROR(__xludf.DUMMYFUNCTION("""COMPUTED_VALUE"""),"KZ.7700.02.01.00787517")</f>
        <v>KZ.7700.02.01.00787517</v>
      </c>
      <c r="C1597" s="1" t="str">
        <f ca="1">IFERROR(__xludf.DUMMYFUNCTION("""COMPUTED_VALUE"""),"Действительно до 03.09.2026")</f>
        <v>Действительно до 03.09.2026</v>
      </c>
      <c r="D1597" s="8" t="str">
        <f ca="1">IFERROR(__xludf.DUMMYFUNCTION("""COMPUTED_VALUE"""),"0921068KZ068")</f>
        <v>0921068KZ068</v>
      </c>
      <c r="E1597" s="1" t="str">
        <f ca="1">IFERROR(__xludf.DUMMYFUNCTION("""COMPUTED_VALUE"""),"годен до 03.09.2026 г")</f>
        <v>годен до 03.09.2026 г</v>
      </c>
      <c r="F1597" s="1" t="str">
        <f ca="1">IFERROR(__xludf.DUMMYFUNCTION("""COMPUTED_VALUE"""),"Бинт эластичный медицинский средней растяжимости (ширина 80 мм) 02х80х2 - 0921068KZ068")</f>
        <v>Бинт эластичный медицинский средней растяжимости (ширина 80 мм) 02х80х2 - 0921068KZ068</v>
      </c>
      <c r="G1597" s="1" t="str">
        <f ca="1">IFERROR(__xludf.DUMMYFUNCTION("""COMPUTED_VALUE"""),"KZ.7700.02.01.00787517 / Действительно до 03.09.2026 / 0921068KZ068 / годен до 03.09.2026 г")</f>
        <v>KZ.7700.02.01.00787517 / Действительно до 03.09.2026 / 0921068KZ068 / годен до 03.09.2026 г</v>
      </c>
      <c r="H1597" s="1" t="str">
        <f ca="1">IFERROR(__xludf.DUMMYFUNCTION("""COMPUTED_VALUE"""),"Бинт эластичный медицинский средней растяжимости (ширина 80 мм) 02х80х2 KZ.7700.02.01.00787517 / Действительно до 03.09.2026 / 0921068KZ068 / годен до 03.09.2026 г")</f>
        <v>Бинт эластичный медицинский средней растяжимости (ширина 80 мм) 02х80х2 KZ.7700.02.01.00787517 / Действительно до 03.09.2026 / 0921068KZ068 / годен до 03.09.2026 г</v>
      </c>
    </row>
    <row r="1598" spans="1:8" ht="12.75" x14ac:dyDescent="0.2">
      <c r="A1598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598" s="1" t="str">
        <f ca="1">IFERROR(__xludf.DUMMYFUNCTION("""COMPUTED_VALUE"""),"KZ.7700.02.01.00787511")</f>
        <v>KZ.7700.02.01.00787511</v>
      </c>
      <c r="C1598" s="1" t="str">
        <f ca="1">IFERROR(__xludf.DUMMYFUNCTION("""COMPUTED_VALUE"""),"Действительно до 03.09.2026")</f>
        <v>Действительно до 03.09.2026</v>
      </c>
      <c r="D1598" s="8" t="str">
        <f ca="1">IFERROR(__xludf.DUMMYFUNCTION("""COMPUTED_VALUE"""),"0921068KZ068")</f>
        <v>0921068KZ068</v>
      </c>
      <c r="E1598" s="1" t="str">
        <f ca="1">IFERROR(__xludf.DUMMYFUNCTION("""COMPUTED_VALUE"""),"годен до 03.09.2026 г")</f>
        <v>годен до 03.09.2026 г</v>
      </c>
      <c r="F1598" s="1" t="str">
        <f ca="1">IFERROR(__xludf.DUMMYFUNCTION("""COMPUTED_VALUE"""),"Бинт эластичный медицинский средней растяжимости (ширина 80 мм) 02х80х2.5 - 0921068KZ068")</f>
        <v>Бинт эластичный медицинский средней растяжимости (ширина 80 мм) 02х80х2.5 - 0921068KZ068</v>
      </c>
      <c r="G1598" s="1" t="str">
        <f ca="1">IFERROR(__xludf.DUMMYFUNCTION("""COMPUTED_VALUE"""),"KZ.7700.02.01.00787511 / Действительно до 03.09.2026 / 0921068KZ068 / годен до 03.09.2026 г")</f>
        <v>KZ.7700.02.01.00787511 / Действительно до 03.09.2026 / 0921068KZ068 / годен до 03.09.2026 г</v>
      </c>
      <c r="H1598" s="1" t="str">
        <f ca="1">IFERROR(__xludf.DUMMYFUNCTION("""COMPUTED_VALUE"""),"Бинт эластичный медицинский средней растяжимости (ширина 80 мм) 02х80х2.5 KZ.7700.02.01.00787511 / Действительно до 03.09.2026 / 0921068KZ068 / годен до 03.09.2026 г")</f>
        <v>Бинт эластичный медицинский средней растяжимости (ширина 80 мм) 02х80х2.5 KZ.7700.02.01.00787511 / Действительно до 03.09.2026 / 0921068KZ068 / годен до 03.09.2026 г</v>
      </c>
    </row>
    <row r="1599" spans="1:8" ht="12.75" x14ac:dyDescent="0.2">
      <c r="A1599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599" s="1" t="str">
        <f ca="1">IFERROR(__xludf.DUMMYFUNCTION("""COMPUTED_VALUE"""),"KZ.7700.02.01.00787521")</f>
        <v>KZ.7700.02.01.00787521</v>
      </c>
      <c r="C1599" s="1" t="str">
        <f ca="1">IFERROR(__xludf.DUMMYFUNCTION("""COMPUTED_VALUE"""),"Действительно до 03.09.2026")</f>
        <v>Действительно до 03.09.2026</v>
      </c>
      <c r="D1599" s="8" t="str">
        <f ca="1">IFERROR(__xludf.DUMMYFUNCTION("""COMPUTED_VALUE"""),"0921068KZ068")</f>
        <v>0921068KZ068</v>
      </c>
      <c r="E1599" s="1" t="str">
        <f ca="1">IFERROR(__xludf.DUMMYFUNCTION("""COMPUTED_VALUE"""),"годен до 03.09.2026 г")</f>
        <v>годен до 03.09.2026 г</v>
      </c>
      <c r="F1599" s="1" t="str">
        <f ca="1">IFERROR(__xludf.DUMMYFUNCTION("""COMPUTED_VALUE"""),"Бинт эластичный медицинский средней растяжимости (ширина 80 мм) 02х80х3 - 0921068KZ068")</f>
        <v>Бинт эластичный медицинский средней растяжимости (ширина 80 мм) 02х80х3 - 0921068KZ068</v>
      </c>
      <c r="G1599" s="1" t="str">
        <f ca="1">IFERROR(__xludf.DUMMYFUNCTION("""COMPUTED_VALUE"""),"KZ.7700.02.01.00787521 / Действительно до 03.09.2026 / 0921068KZ068 / годен до 03.09.2026 г")</f>
        <v>KZ.7700.02.01.00787521 / Действительно до 03.09.2026 / 0921068KZ068 / годен до 03.09.2026 г</v>
      </c>
      <c r="H1599" s="1" t="str">
        <f ca="1">IFERROR(__xludf.DUMMYFUNCTION("""COMPUTED_VALUE"""),"Бинт эластичный медицинский средней растяжимости (ширина 80 мм) 02х80х3 KZ.7700.02.01.00787521 / Действительно до 03.09.2026 / 0921068KZ068 / годен до 03.09.2026 г")</f>
        <v>Бинт эластичный медицинский средней растяжимости (ширина 80 мм) 02х80х3 KZ.7700.02.01.00787521 / Действительно до 03.09.2026 / 0921068KZ068 / годен до 03.09.2026 г</v>
      </c>
    </row>
    <row r="1600" spans="1:8" ht="12.75" x14ac:dyDescent="0.2">
      <c r="A1600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600" s="1" t="str">
        <f ca="1">IFERROR(__xludf.DUMMYFUNCTION("""COMPUTED_VALUE"""),"KZ.7700.02.01.00787513")</f>
        <v>KZ.7700.02.01.00787513</v>
      </c>
      <c r="C1600" s="1" t="str">
        <f ca="1">IFERROR(__xludf.DUMMYFUNCTION("""COMPUTED_VALUE"""),"Действительно до 03.09.2026")</f>
        <v>Действительно до 03.09.2026</v>
      </c>
      <c r="D1600" s="8" t="str">
        <f ca="1">IFERROR(__xludf.DUMMYFUNCTION("""COMPUTED_VALUE"""),"0921068KZ068")</f>
        <v>0921068KZ068</v>
      </c>
      <c r="E1600" s="1" t="str">
        <f ca="1">IFERROR(__xludf.DUMMYFUNCTION("""COMPUTED_VALUE"""),"годен до 03.09.2026 г")</f>
        <v>годен до 03.09.2026 г</v>
      </c>
      <c r="F1600" s="1" t="str">
        <f ca="1">IFERROR(__xludf.DUMMYFUNCTION("""COMPUTED_VALUE"""),"Бинт эластичный медицинский средней растяжимости (ширина 80 мм) 02х80х3.5 - 0921068KZ068")</f>
        <v>Бинт эластичный медицинский средней растяжимости (ширина 80 мм) 02х80х3.5 - 0921068KZ068</v>
      </c>
      <c r="G1600" s="1" t="str">
        <f ca="1">IFERROR(__xludf.DUMMYFUNCTION("""COMPUTED_VALUE"""),"KZ.7700.02.01.00787513 / Действительно до 03.09.2026 / 0921068KZ068 / годен до 03.09.2026 г")</f>
        <v>KZ.7700.02.01.00787513 / Действительно до 03.09.2026 / 0921068KZ068 / годен до 03.09.2026 г</v>
      </c>
      <c r="H1600" s="1" t="str">
        <f ca="1">IFERROR(__xludf.DUMMYFUNCTION("""COMPUTED_VALUE"""),"Бинт эластичный медицинский средней растяжимости (ширина 80 мм) 02х80х3.5 KZ.7700.02.01.00787513 / Действительно до 03.09.2026 / 0921068KZ068 / годен до 03.09.2026 г")</f>
        <v>Бинт эластичный медицинский средней растяжимости (ширина 80 мм) 02х80х3.5 KZ.7700.02.01.00787513 / Действительно до 03.09.2026 / 0921068KZ068 / годен до 03.09.2026 г</v>
      </c>
    </row>
    <row r="1601" spans="1:8" ht="12.75" x14ac:dyDescent="0.2">
      <c r="A1601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601" s="1" t="str">
        <f ca="1">IFERROR(__xludf.DUMMYFUNCTION("""COMPUTED_VALUE"""),"KZ.7700.02.01.00787519")</f>
        <v>KZ.7700.02.01.00787519</v>
      </c>
      <c r="C1601" s="1" t="str">
        <f ca="1">IFERROR(__xludf.DUMMYFUNCTION("""COMPUTED_VALUE"""),"Действительно до 03.09.2026")</f>
        <v>Действительно до 03.09.2026</v>
      </c>
      <c r="D1601" s="8" t="str">
        <f ca="1">IFERROR(__xludf.DUMMYFUNCTION("""COMPUTED_VALUE"""),"0921068KZ068")</f>
        <v>0921068KZ068</v>
      </c>
      <c r="E1601" s="1" t="str">
        <f ca="1">IFERROR(__xludf.DUMMYFUNCTION("""COMPUTED_VALUE"""),"годен до 03.09.2026 г")</f>
        <v>годен до 03.09.2026 г</v>
      </c>
      <c r="F1601" s="1" t="str">
        <f ca="1">IFERROR(__xludf.DUMMYFUNCTION("""COMPUTED_VALUE"""),"Бинт эластичный медицинский средней растяжимости (ширина 80 мм) 02х80х4 - 0921068KZ068")</f>
        <v>Бинт эластичный медицинский средней растяжимости (ширина 80 мм) 02х80х4 - 0921068KZ068</v>
      </c>
      <c r="G1601" s="1" t="str">
        <f ca="1">IFERROR(__xludf.DUMMYFUNCTION("""COMPUTED_VALUE"""),"KZ.7700.02.01.00787519 / Действительно до 03.09.2026 / 0921068KZ068 / годен до 03.09.2026 г")</f>
        <v>KZ.7700.02.01.00787519 / Действительно до 03.09.2026 / 0921068KZ068 / годен до 03.09.2026 г</v>
      </c>
      <c r="H1601" s="1" t="str">
        <f ca="1">IFERROR(__xludf.DUMMYFUNCTION("""COMPUTED_VALUE"""),"Бинт эластичный медицинский средней растяжимости (ширина 80 мм) 02х80х4 KZ.7700.02.01.00787519 / Действительно до 03.09.2026 / 0921068KZ068 / годен до 03.09.2026 г")</f>
        <v>Бинт эластичный медицинский средней растяжимости (ширина 80 мм) 02х80х4 KZ.7700.02.01.00787519 / Действительно до 03.09.2026 / 0921068KZ068 / годен до 03.09.2026 г</v>
      </c>
    </row>
    <row r="1602" spans="1:8" ht="12.75" x14ac:dyDescent="0.2">
      <c r="A1602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602" s="1" t="str">
        <f ca="1">IFERROR(__xludf.DUMMYFUNCTION("""COMPUTED_VALUE"""),"KZ.7700.02.01.00787525")</f>
        <v>KZ.7700.02.01.00787525</v>
      </c>
      <c r="C1602" s="1" t="str">
        <f ca="1">IFERROR(__xludf.DUMMYFUNCTION("""COMPUTED_VALUE"""),"Действительно до 03.09.2026")</f>
        <v>Действительно до 03.09.2026</v>
      </c>
      <c r="D1602" s="8" t="str">
        <f ca="1">IFERROR(__xludf.DUMMYFUNCTION("""COMPUTED_VALUE"""),"0921068KZ068")</f>
        <v>0921068KZ068</v>
      </c>
      <c r="E1602" s="1" t="str">
        <f ca="1">IFERROR(__xludf.DUMMYFUNCTION("""COMPUTED_VALUE"""),"годен до 03.09.2026 г")</f>
        <v>годен до 03.09.2026 г</v>
      </c>
      <c r="F1602" s="1" t="str">
        <f ca="1">IFERROR(__xludf.DUMMYFUNCTION("""COMPUTED_VALUE"""),"Бинт эластичный медицинский средней растяжимости (ширина 80 мм) 02х80х5 - 0921068KZ068")</f>
        <v>Бинт эластичный медицинский средней растяжимости (ширина 80 мм) 02х80х5 - 0921068KZ068</v>
      </c>
      <c r="G1602" s="1" t="str">
        <f ca="1">IFERROR(__xludf.DUMMYFUNCTION("""COMPUTED_VALUE"""),"KZ.7700.02.01.00787525 / Действительно до 03.09.2026 / 0921068KZ068 / годен до 03.09.2026 г")</f>
        <v>KZ.7700.02.01.00787525 / Действительно до 03.09.2026 / 0921068KZ068 / годен до 03.09.2026 г</v>
      </c>
      <c r="H1602" s="1" t="str">
        <f ca="1">IFERROR(__xludf.DUMMYFUNCTION("""COMPUTED_VALUE"""),"Бинт эластичный медицинский средней растяжимости (ширина 80 мм) 02х80х5 KZ.7700.02.01.00787525 / Действительно до 03.09.2026 / 0921068KZ068 / годен до 03.09.2026 г")</f>
        <v>Бинт эластичный медицинский средней растяжимости (ширина 80 мм) 02х80х5 KZ.7700.02.01.00787525 / Действительно до 03.09.2026 / 0921068KZ068 / годен до 03.09.2026 г</v>
      </c>
    </row>
    <row r="1603" spans="1:8" ht="12.75" x14ac:dyDescent="0.2">
      <c r="A1603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603" s="1" t="str">
        <f ca="1">IFERROR(__xludf.DUMMYFUNCTION("""COMPUTED_VALUE"""),"KZ.7700.02.01.00787415")</f>
        <v>KZ.7700.02.01.00787415</v>
      </c>
      <c r="C1603" s="1" t="str">
        <f ca="1">IFERROR(__xludf.DUMMYFUNCTION("""COMPUTED_VALUE"""),"Действительно до 03.09.2026")</f>
        <v>Действительно до 03.09.2026</v>
      </c>
      <c r="D1603" s="8" t="str">
        <f ca="1">IFERROR(__xludf.DUMMYFUNCTION("""COMPUTED_VALUE"""),"0921068KZ068")</f>
        <v>0921068KZ068</v>
      </c>
      <c r="E1603" s="1" t="str">
        <f ca="1">IFERROR(__xludf.DUMMYFUNCTION("""COMPUTED_VALUE"""),"годен до 03.09.2026 г")</f>
        <v>годен до 03.09.2026 г</v>
      </c>
      <c r="F1603" s="1" t="str">
        <f ca="1">IFERROR(__xludf.DUMMYFUNCTION("""COMPUTED_VALUE"""),"Бандаж на шейный отдел позвоночника мягкой фиксацией 1001 I(S) (Болгария) - 0921068KZ068")</f>
        <v>Бандаж на шейный отдел позвоночника мягкой фиксацией 1001 I(S) (Болгария) - 0921068KZ068</v>
      </c>
      <c r="G1603" s="1" t="str">
        <f ca="1">IFERROR(__xludf.DUMMYFUNCTION("""COMPUTED_VALUE"""),"KZ.7700.02.01.00787415 / Действительно до 03.09.2026 / 0921068KZ068 / годен до 03.09.2026 г")</f>
        <v>KZ.7700.02.01.00787415 / Действительно до 03.09.2026 / 0921068KZ068 / годен до 03.09.2026 г</v>
      </c>
      <c r="H1603" s="1" t="str">
        <f ca="1">IFERROR(__xludf.DUMMYFUNCTION("""COMPUTED_VALUE"""),"Бандаж на шейный отдел позвоночника мягкой фиксацией 1001 I(S) (Болгария) KZ.7700.02.01.00787415 / Действительно до 03.09.2026 / 0921068KZ068 / годен до 03.09.2026 г")</f>
        <v>Бандаж на шейный отдел позвоночника мягкой фиксацией 1001 I(S) (Болгария) KZ.7700.02.01.00787415 / Действительно до 03.09.2026 / 0921068KZ068 / годен до 03.09.2026 г</v>
      </c>
    </row>
    <row r="1604" spans="1:8" ht="12.75" x14ac:dyDescent="0.2">
      <c r="A1604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604" s="1" t="str">
        <f ca="1">IFERROR(__xludf.DUMMYFUNCTION("""COMPUTED_VALUE"""),"KZ.7700.02.01.00787413")</f>
        <v>KZ.7700.02.01.00787413</v>
      </c>
      <c r="C1604" s="1" t="str">
        <f ca="1">IFERROR(__xludf.DUMMYFUNCTION("""COMPUTED_VALUE"""),"Действительно до 03.09.2026")</f>
        <v>Действительно до 03.09.2026</v>
      </c>
      <c r="D1604" s="8" t="str">
        <f ca="1">IFERROR(__xludf.DUMMYFUNCTION("""COMPUTED_VALUE"""),"0921068KZ068")</f>
        <v>0921068KZ068</v>
      </c>
      <c r="E1604" s="1" t="str">
        <f ca="1">IFERROR(__xludf.DUMMYFUNCTION("""COMPUTED_VALUE"""),"годен до 03.09.2026 г")</f>
        <v>годен до 03.09.2026 г</v>
      </c>
      <c r="F1604" s="1" t="str">
        <f ca="1">IFERROR(__xludf.DUMMYFUNCTION("""COMPUTED_VALUE"""),"Бандаж на шейный отдел позвоночника мягкой фиксацией 1001 II(M) (Болгария) - 0921068KZ068")</f>
        <v>Бандаж на шейный отдел позвоночника мягкой фиксацией 1001 II(M) (Болгария) - 0921068KZ068</v>
      </c>
      <c r="G1604" s="1" t="str">
        <f ca="1">IFERROR(__xludf.DUMMYFUNCTION("""COMPUTED_VALUE"""),"KZ.7700.02.01.00787413 / Действительно до 03.09.2026 / 0921068KZ068 / годен до 03.09.2026 г")</f>
        <v>KZ.7700.02.01.00787413 / Действительно до 03.09.2026 / 0921068KZ068 / годен до 03.09.2026 г</v>
      </c>
      <c r="H1604" s="1" t="str">
        <f ca="1">IFERROR(__xludf.DUMMYFUNCTION("""COMPUTED_VALUE"""),"Бандаж на шейный отдел позвоночника мягкой фиксацией 1001 II(M) (Болгария) KZ.7700.02.01.00787413 / Действительно до 03.09.2026 / 0921068KZ068 / годен до 03.09.2026 г")</f>
        <v>Бандаж на шейный отдел позвоночника мягкой фиксацией 1001 II(M) (Болгария) KZ.7700.02.01.00787413 / Действительно до 03.09.2026 / 0921068KZ068 / годен до 03.09.2026 г</v>
      </c>
    </row>
    <row r="1605" spans="1:8" ht="12.75" x14ac:dyDescent="0.2">
      <c r="A1605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605" s="1" t="str">
        <f ca="1">IFERROR(__xludf.DUMMYFUNCTION("""COMPUTED_VALUE"""),"KZ.7700.02.01.00787421")</f>
        <v>KZ.7700.02.01.00787421</v>
      </c>
      <c r="C1605" s="1" t="str">
        <f ca="1">IFERROR(__xludf.DUMMYFUNCTION("""COMPUTED_VALUE"""),"Действительно до 03.09.2026")</f>
        <v>Действительно до 03.09.2026</v>
      </c>
      <c r="D1605" s="8" t="str">
        <f ca="1">IFERROR(__xludf.DUMMYFUNCTION("""COMPUTED_VALUE"""),"0921068KZ068")</f>
        <v>0921068KZ068</v>
      </c>
      <c r="E1605" s="1" t="str">
        <f ca="1">IFERROR(__xludf.DUMMYFUNCTION("""COMPUTED_VALUE"""),"годен до 03.09.2026 г")</f>
        <v>годен до 03.09.2026 г</v>
      </c>
      <c r="F1605" s="1" t="str">
        <f ca="1">IFERROR(__xludf.DUMMYFUNCTION("""COMPUTED_VALUE"""),"Бандаж на шейный отдел позвоночника мягкой фиксацией 1001 III(L) (Болгария) - 0921068KZ068")</f>
        <v>Бандаж на шейный отдел позвоночника мягкой фиксацией 1001 III(L) (Болгария) - 0921068KZ068</v>
      </c>
      <c r="G1605" s="1" t="str">
        <f ca="1">IFERROR(__xludf.DUMMYFUNCTION("""COMPUTED_VALUE"""),"KZ.7700.02.01.00787421 / Действительно до 03.09.2026 / 0921068KZ068 / годен до 03.09.2026 г")</f>
        <v>KZ.7700.02.01.00787421 / Действительно до 03.09.2026 / 0921068KZ068 / годен до 03.09.2026 г</v>
      </c>
      <c r="H1605" s="1" t="str">
        <f ca="1">IFERROR(__xludf.DUMMYFUNCTION("""COMPUTED_VALUE"""),"Бандаж на шейный отдел позвоночника мягкой фиксацией 1001 III(L) (Болгария) KZ.7700.02.01.00787421 / Действительно до 03.09.2026 / 0921068KZ068 / годен до 03.09.2026 г")</f>
        <v>Бандаж на шейный отдел позвоночника мягкой фиксацией 1001 III(L) (Болгария) KZ.7700.02.01.00787421 / Действительно до 03.09.2026 / 0921068KZ068 / годен до 03.09.2026 г</v>
      </c>
    </row>
    <row r="1606" spans="1:8" ht="12.75" x14ac:dyDescent="0.2">
      <c r="A1606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606" s="1" t="str">
        <f ca="1">IFERROR(__xludf.DUMMYFUNCTION("""COMPUTED_VALUE"""),"KZ.7700.02.01.00787427")</f>
        <v>KZ.7700.02.01.00787427</v>
      </c>
      <c r="C1606" s="1" t="str">
        <f ca="1">IFERROR(__xludf.DUMMYFUNCTION("""COMPUTED_VALUE"""),"Действительно до 03.09.2026")</f>
        <v>Действительно до 03.09.2026</v>
      </c>
      <c r="D1606" s="8" t="str">
        <f ca="1">IFERROR(__xludf.DUMMYFUNCTION("""COMPUTED_VALUE"""),"0921068KZ068")</f>
        <v>0921068KZ068</v>
      </c>
      <c r="E1606" s="1" t="str">
        <f ca="1">IFERROR(__xludf.DUMMYFUNCTION("""COMPUTED_VALUE"""),"годен до 03.09.2026 г")</f>
        <v>годен до 03.09.2026 г</v>
      </c>
      <c r="F1606" s="1" t="str">
        <f ca="1">IFERROR(__xludf.DUMMYFUNCTION("""COMPUTED_VALUE"""),"Реклинатор (корректор осанки) детский 2005 L (Болгария) - 0921068KZ068")</f>
        <v>Реклинатор (корректор осанки) детский 2005 L (Болгария) - 0921068KZ068</v>
      </c>
      <c r="G1606" s="1" t="str">
        <f ca="1">IFERROR(__xludf.DUMMYFUNCTION("""COMPUTED_VALUE"""),"KZ.7700.02.01.00787427 / Действительно до 03.09.2026 / 0921068KZ068 / годен до 03.09.2026 г")</f>
        <v>KZ.7700.02.01.00787427 / Действительно до 03.09.2026 / 0921068KZ068 / годен до 03.09.2026 г</v>
      </c>
      <c r="H1606" s="1" t="str">
        <f ca="1">IFERROR(__xludf.DUMMYFUNCTION("""COMPUTED_VALUE"""),"Реклинатор (корректор осанки) детский 2005 L (Болгария) KZ.7700.02.01.00787427 / Действительно до 03.09.2026 / 0921068KZ068 / годен до 03.09.2026 г")</f>
        <v>Реклинатор (корректор осанки) детский 2005 L (Болгария) KZ.7700.02.01.00787427 / Действительно до 03.09.2026 / 0921068KZ068 / годен до 03.09.2026 г</v>
      </c>
    </row>
    <row r="1607" spans="1:8" ht="12.75" x14ac:dyDescent="0.2">
      <c r="A1607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1607" s="1" t="str">
        <f ca="1">IFERROR(__xludf.DUMMYFUNCTION("""COMPUTED_VALUE"""),"KZ.7700.02.01.00787418")</f>
        <v>KZ.7700.02.01.00787418</v>
      </c>
      <c r="C1607" s="1" t="str">
        <f ca="1">IFERROR(__xludf.DUMMYFUNCTION("""COMPUTED_VALUE"""),"Действительно до 03.09.2026")</f>
        <v>Действительно до 03.09.2026</v>
      </c>
      <c r="D1607" s="8" t="str">
        <f ca="1">IFERROR(__xludf.DUMMYFUNCTION("""COMPUTED_VALUE"""),"0921068KZ068")</f>
        <v>0921068KZ068</v>
      </c>
      <c r="E1607" s="1" t="str">
        <f ca="1">IFERROR(__xludf.DUMMYFUNCTION("""COMPUTED_VALUE"""),"годен до 03.09.2026 г")</f>
        <v>годен до 03.09.2026 г</v>
      </c>
      <c r="F1607" s="1" t="str">
        <f ca="1">IFERROR(__xludf.DUMMYFUNCTION("""COMPUTED_VALUE"""),"Реклинатор (корректор осанки) детский 2005 M (Болгария) - 0921068KZ068")</f>
        <v>Реклинатор (корректор осанки) детский 2005 M (Болгария) - 0921068KZ068</v>
      </c>
      <c r="G1607" s="1" t="str">
        <f ca="1">IFERROR(__xludf.DUMMYFUNCTION("""COMPUTED_VALUE"""),"KZ.7700.02.01.00787418 / Действительно до 03.09.2026 / 0921068KZ068 / годен до 03.09.2026 г")</f>
        <v>KZ.7700.02.01.00787418 / Действительно до 03.09.2026 / 0921068KZ068 / годен до 03.09.2026 г</v>
      </c>
      <c r="H1607" s="1" t="str">
        <f ca="1">IFERROR(__xludf.DUMMYFUNCTION("""COMPUTED_VALUE"""),"Реклинатор (корректор осанки) детский 2005 M (Болгария) KZ.7700.02.01.00787418 / Действительно до 03.09.2026 / 0921068KZ068 / годен до 03.09.2026 г")</f>
        <v>Реклинатор (корректор осанки) детский 2005 M (Болгария) KZ.7700.02.01.00787418 / Действительно до 03.09.2026 / 0921068KZ068 / годен до 03.09.2026 г</v>
      </c>
    </row>
    <row r="1608" spans="1:8" ht="12.75" x14ac:dyDescent="0.2">
      <c r="A1608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1608" s="1" t="str">
        <f ca="1">IFERROR(__xludf.DUMMYFUNCTION("""COMPUTED_VALUE"""),"KZ.7700.02.01.00787412")</f>
        <v>KZ.7700.02.01.00787412</v>
      </c>
      <c r="C1608" s="1" t="str">
        <f ca="1">IFERROR(__xludf.DUMMYFUNCTION("""COMPUTED_VALUE"""),"Действительно до 03.09.2026")</f>
        <v>Действительно до 03.09.2026</v>
      </c>
      <c r="D1608" s="8" t="str">
        <f ca="1">IFERROR(__xludf.DUMMYFUNCTION("""COMPUTED_VALUE"""),"0921068KZ068")</f>
        <v>0921068KZ068</v>
      </c>
      <c r="E1608" s="1" t="str">
        <f ca="1">IFERROR(__xludf.DUMMYFUNCTION("""COMPUTED_VALUE"""),"годен до 03.09.2026 г")</f>
        <v>годен до 03.09.2026 г</v>
      </c>
      <c r="F1608" s="1" t="str">
        <f ca="1">IFERROR(__xludf.DUMMYFUNCTION("""COMPUTED_VALUE"""),"Реклинатор (корректор осанки) детский 2005 S (Болгария) - 0921068KZ068")</f>
        <v>Реклинатор (корректор осанки) детский 2005 S (Болгария) - 0921068KZ068</v>
      </c>
      <c r="G1608" s="1" t="str">
        <f ca="1">IFERROR(__xludf.DUMMYFUNCTION("""COMPUTED_VALUE"""),"KZ.7700.02.01.00787412 / Действительно до 03.09.2026 / 0921068KZ068 / годен до 03.09.2026 г")</f>
        <v>KZ.7700.02.01.00787412 / Действительно до 03.09.2026 / 0921068KZ068 / годен до 03.09.2026 г</v>
      </c>
      <c r="H1608" s="1" t="str">
        <f ca="1">IFERROR(__xludf.DUMMYFUNCTION("""COMPUTED_VALUE"""),"Реклинатор (корректор осанки) детский 2005 S (Болгария) KZ.7700.02.01.00787412 / Действительно до 03.09.2026 / 0921068KZ068 / годен до 03.09.2026 г")</f>
        <v>Реклинатор (корректор осанки) детский 2005 S (Болгария) KZ.7700.02.01.00787412 / Действительно до 03.09.2026 / 0921068KZ068 / годен до 03.09.2026 г</v>
      </c>
    </row>
    <row r="1609" spans="1:8" ht="12.75" x14ac:dyDescent="0.2">
      <c r="A1609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1609" s="1" t="str">
        <f ca="1">IFERROR(__xludf.DUMMYFUNCTION("""COMPUTED_VALUE"""),"KZ.7700.02.01.00787423")</f>
        <v>KZ.7700.02.01.00787423</v>
      </c>
      <c r="C1609" s="1" t="str">
        <f ca="1">IFERROR(__xludf.DUMMYFUNCTION("""COMPUTED_VALUE"""),"Действительно до 03.09.2026")</f>
        <v>Действительно до 03.09.2026</v>
      </c>
      <c r="D1609" s="8" t="str">
        <f ca="1">IFERROR(__xludf.DUMMYFUNCTION("""COMPUTED_VALUE"""),"0921068KZ068")</f>
        <v>0921068KZ068</v>
      </c>
      <c r="E1609" s="1" t="str">
        <f ca="1">IFERROR(__xludf.DUMMYFUNCTION("""COMPUTED_VALUE"""),"годен до 03.09.2026 г")</f>
        <v>годен до 03.09.2026 г</v>
      </c>
      <c r="F1609" s="1" t="str">
        <f ca="1">IFERROR(__xludf.DUMMYFUNCTION("""COMPUTED_VALUE"""),"Корректор осанки с ребрами жесткости эластичный 2011 L (Болгария) - 0921068KZ068")</f>
        <v>Корректор осанки с ребрами жесткости эластичный 2011 L (Болгария) - 0921068KZ068</v>
      </c>
      <c r="G1609" s="1" t="str">
        <f ca="1">IFERROR(__xludf.DUMMYFUNCTION("""COMPUTED_VALUE"""),"KZ.7700.02.01.00787423 / Действительно до 03.09.2026 / 0921068KZ068 / годен до 03.09.2026 г")</f>
        <v>KZ.7700.02.01.00787423 / Действительно до 03.09.2026 / 0921068KZ068 / годен до 03.09.2026 г</v>
      </c>
      <c r="H1609" s="1" t="str">
        <f ca="1">IFERROR(__xludf.DUMMYFUNCTION("""COMPUTED_VALUE"""),"Корректор осанки с ребрами жесткости эластичный 2011 L (Болгария) KZ.7700.02.01.00787423 / Действительно до 03.09.2026 / 0921068KZ068 / годен до 03.09.2026 г")</f>
        <v>Корректор осанки с ребрами жесткости эластичный 2011 L (Болгария) KZ.7700.02.01.00787423 / Действительно до 03.09.2026 / 0921068KZ068 / годен до 03.09.2026 г</v>
      </c>
    </row>
    <row r="1610" spans="1:8" ht="12.75" x14ac:dyDescent="0.2">
      <c r="A1610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1610" s="1" t="str">
        <f ca="1">IFERROR(__xludf.DUMMYFUNCTION("""COMPUTED_VALUE"""),"KZ.7700.02.01.00787410")</f>
        <v>KZ.7700.02.01.00787410</v>
      </c>
      <c r="C1610" s="1" t="str">
        <f ca="1">IFERROR(__xludf.DUMMYFUNCTION("""COMPUTED_VALUE"""),"Действительно до 03.09.2026")</f>
        <v>Действительно до 03.09.2026</v>
      </c>
      <c r="D1610" s="8" t="str">
        <f ca="1">IFERROR(__xludf.DUMMYFUNCTION("""COMPUTED_VALUE"""),"0921068KZ068")</f>
        <v>0921068KZ068</v>
      </c>
      <c r="E1610" s="1" t="str">
        <f ca="1">IFERROR(__xludf.DUMMYFUNCTION("""COMPUTED_VALUE"""),"годен до 03.09.2026 г")</f>
        <v>годен до 03.09.2026 г</v>
      </c>
      <c r="F1610" s="1" t="str">
        <f ca="1">IFERROR(__xludf.DUMMYFUNCTION("""COMPUTED_VALUE"""),"Корректор осанки с ребрами жесткости эластичный 2011 M (Болгария) - 0921068KZ068")</f>
        <v>Корректор осанки с ребрами жесткости эластичный 2011 M (Болгария) - 0921068KZ068</v>
      </c>
      <c r="G1610" s="1" t="str">
        <f ca="1">IFERROR(__xludf.DUMMYFUNCTION("""COMPUTED_VALUE"""),"KZ.7700.02.01.00787410 / Действительно до 03.09.2026 / 0921068KZ068 / годен до 03.09.2026 г")</f>
        <v>KZ.7700.02.01.00787410 / Действительно до 03.09.2026 / 0921068KZ068 / годен до 03.09.2026 г</v>
      </c>
      <c r="H1610" s="1" t="str">
        <f ca="1">IFERROR(__xludf.DUMMYFUNCTION("""COMPUTED_VALUE"""),"Корректор осанки с ребрами жесткости эластичный 2011 M (Болгария) KZ.7700.02.01.00787410 / Действительно до 03.09.2026 / 0921068KZ068 / годен до 03.09.2026 г")</f>
        <v>Корректор осанки с ребрами жесткости эластичный 2011 M (Болгария) KZ.7700.02.01.00787410 / Действительно до 03.09.2026 / 0921068KZ068 / годен до 03.09.2026 г</v>
      </c>
    </row>
    <row r="1611" spans="1:8" ht="12.75" x14ac:dyDescent="0.2">
      <c r="A1611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1611" s="1" t="str">
        <f ca="1">IFERROR(__xludf.DUMMYFUNCTION("""COMPUTED_VALUE"""),"KZ.7700.02.01.00787420")</f>
        <v>KZ.7700.02.01.00787420</v>
      </c>
      <c r="C1611" s="1" t="str">
        <f ca="1">IFERROR(__xludf.DUMMYFUNCTION("""COMPUTED_VALUE"""),"Действительно до 03.09.2026")</f>
        <v>Действительно до 03.09.2026</v>
      </c>
      <c r="D1611" s="8" t="str">
        <f ca="1">IFERROR(__xludf.DUMMYFUNCTION("""COMPUTED_VALUE"""),"0921068KZ068")</f>
        <v>0921068KZ068</v>
      </c>
      <c r="E1611" s="1" t="str">
        <f ca="1">IFERROR(__xludf.DUMMYFUNCTION("""COMPUTED_VALUE"""),"годен до 03.09.2026 г")</f>
        <v>годен до 03.09.2026 г</v>
      </c>
      <c r="F1611" s="1" t="str">
        <f ca="1">IFERROR(__xludf.DUMMYFUNCTION("""COMPUTED_VALUE"""),"Корректор осанки с ребрами жесткости эластичный 2011 S (Болгария) - 0921068KZ068")</f>
        <v>Корректор осанки с ребрами жесткости эластичный 2011 S (Болгария) - 0921068KZ068</v>
      </c>
      <c r="G1611" s="1" t="str">
        <f ca="1">IFERROR(__xludf.DUMMYFUNCTION("""COMPUTED_VALUE"""),"KZ.7700.02.01.00787420 / Действительно до 03.09.2026 / 0921068KZ068 / годен до 03.09.2026 г")</f>
        <v>KZ.7700.02.01.00787420 / Действительно до 03.09.2026 / 0921068KZ068 / годен до 03.09.2026 г</v>
      </c>
      <c r="H1611" s="1" t="str">
        <f ca="1">IFERROR(__xludf.DUMMYFUNCTION("""COMPUTED_VALUE"""),"Корректор осанки с ребрами жесткости эластичный 2011 S (Болгария) KZ.7700.02.01.00787420 / Действительно до 03.09.2026 / 0921068KZ068 / годен до 03.09.2026 г")</f>
        <v>Корректор осанки с ребрами жесткости эластичный 2011 S (Болгария) KZ.7700.02.01.00787420 / Действительно до 03.09.2026 / 0921068KZ068 / годен до 03.09.2026 г</v>
      </c>
    </row>
    <row r="1612" spans="1:8" ht="12.75" x14ac:dyDescent="0.2">
      <c r="A1612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1612" s="1" t="str">
        <f ca="1">IFERROR(__xludf.DUMMYFUNCTION("""COMPUTED_VALUE"""),"KZ.7700.02.01.00787600")</f>
        <v>KZ.7700.02.01.00787600</v>
      </c>
      <c r="C1612" s="1" t="str">
        <f ca="1">IFERROR(__xludf.DUMMYFUNCTION("""COMPUTED_VALUE"""),"Действительно до 03.09.2026")</f>
        <v>Действительно до 03.09.2026</v>
      </c>
      <c r="D1612" s="8" t="str">
        <f ca="1">IFERROR(__xludf.DUMMYFUNCTION("""COMPUTED_VALUE"""),"0921068KZ068")</f>
        <v>0921068KZ068</v>
      </c>
      <c r="E1612" s="1" t="str">
        <f ca="1">IFERROR(__xludf.DUMMYFUNCTION("""COMPUTED_VALUE"""),"годен до 03.09.2026 г")</f>
        <v>годен до 03.09.2026 г</v>
      </c>
      <c r="F1612" s="1" t="str">
        <f ca="1">IFERROR(__xludf.DUMMYFUNCTION("""COMPUTED_VALUE"""),"Корректор осанки с ребрами жесткости эластичный 2011 XL (Болгария) - 0921068KZ068")</f>
        <v>Корректор осанки с ребрами жесткости эластичный 2011 XL (Болгария) - 0921068KZ068</v>
      </c>
      <c r="G1612" s="1" t="str">
        <f ca="1">IFERROR(__xludf.DUMMYFUNCTION("""COMPUTED_VALUE"""),"KZ.7700.02.01.00787600 / Действительно до 03.09.2026 / 0921068KZ068 / годен до 03.09.2026 г")</f>
        <v>KZ.7700.02.01.00787600 / Действительно до 03.09.2026 / 0921068KZ068 / годен до 03.09.2026 г</v>
      </c>
      <c r="H1612" s="1" t="str">
        <f ca="1">IFERROR(__xludf.DUMMYFUNCTION("""COMPUTED_VALUE"""),"Корректор осанки с ребрами жесткости эластичный 2011 XL (Болгария) KZ.7700.02.01.00787600 / Действительно до 03.09.2026 / 0921068KZ068 / годен до 03.09.2026 г")</f>
        <v>Корректор осанки с ребрами жесткости эластичный 2011 XL (Болгария) KZ.7700.02.01.00787600 / Действительно до 03.09.2026 / 0921068KZ068 / годен до 03.09.2026 г</v>
      </c>
    </row>
    <row r="1613" spans="1:8" ht="12.75" x14ac:dyDescent="0.2">
      <c r="A1613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1613" s="1" t="str">
        <f ca="1">IFERROR(__xludf.DUMMYFUNCTION("""COMPUTED_VALUE"""),"KZ.7700.02.01.00787602")</f>
        <v>KZ.7700.02.01.00787602</v>
      </c>
      <c r="C1613" s="1" t="str">
        <f ca="1">IFERROR(__xludf.DUMMYFUNCTION("""COMPUTED_VALUE"""),"Действительно до 03.09.2026")</f>
        <v>Действительно до 03.09.2026</v>
      </c>
      <c r="D1613" s="8" t="str">
        <f ca="1">IFERROR(__xludf.DUMMYFUNCTION("""COMPUTED_VALUE"""),"0921068KZ068")</f>
        <v>0921068KZ068</v>
      </c>
      <c r="E1613" s="1" t="str">
        <f ca="1">IFERROR(__xludf.DUMMYFUNCTION("""COMPUTED_VALUE"""),"годен до 03.09.2026 г")</f>
        <v>годен до 03.09.2026 г</v>
      </c>
      <c r="F1613" s="1" t="str">
        <f ca="1">IFERROR(__xludf.DUMMYFUNCTION("""COMPUTED_VALUE"""),"Корректор осанки с ребрами жесткости эластичный 2011 XXL (Болгария) - 0921068KZ068")</f>
        <v>Корректор осанки с ребрами жесткости эластичный 2011 XXL (Болгария) - 0921068KZ068</v>
      </c>
      <c r="G1613" s="1" t="str">
        <f ca="1">IFERROR(__xludf.DUMMYFUNCTION("""COMPUTED_VALUE"""),"KZ.7700.02.01.00787602 / Действительно до 03.09.2026 / 0921068KZ068 / годен до 03.09.2026 г")</f>
        <v>KZ.7700.02.01.00787602 / Действительно до 03.09.2026 / 0921068KZ068 / годен до 03.09.2026 г</v>
      </c>
      <c r="H1613" s="1" t="str">
        <f ca="1">IFERROR(__xludf.DUMMYFUNCTION("""COMPUTED_VALUE"""),"Корректор осанки с ребрами жесткости эластичный 2011 XXL (Болгария) KZ.7700.02.01.00787602 / Действительно до 03.09.2026 / 0921068KZ068 / годен до 03.09.2026 г")</f>
        <v>Корректор осанки с ребрами жесткости эластичный 2011 XXL (Болгария) KZ.7700.02.01.00787602 / Действительно до 03.09.2026 / 0921068KZ068 / годен до 03.09.2026 г</v>
      </c>
    </row>
    <row r="1614" spans="1:8" ht="12.75" x14ac:dyDescent="0.2">
      <c r="A1614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1614" s="1" t="str">
        <f ca="1">IFERROR(__xludf.DUMMYFUNCTION("""COMPUTED_VALUE"""),"KZ.7700.02.01.00787593")</f>
        <v>KZ.7700.02.01.00787593</v>
      </c>
      <c r="C1614" s="1" t="str">
        <f ca="1">IFERROR(__xludf.DUMMYFUNCTION("""COMPUTED_VALUE"""),"Действительно до 03.09.2026")</f>
        <v>Действительно до 03.09.2026</v>
      </c>
      <c r="D1614" s="8" t="str">
        <f ca="1">IFERROR(__xludf.DUMMYFUNCTION("""COMPUTED_VALUE"""),"0921068KZ068")</f>
        <v>0921068KZ068</v>
      </c>
      <c r="E1614" s="1" t="str">
        <f ca="1">IFERROR(__xludf.DUMMYFUNCTION("""COMPUTED_VALUE"""),"годен до 03.09.2026 г")</f>
        <v>годен до 03.09.2026 г</v>
      </c>
      <c r="F1614" s="1" t="str">
        <f ca="1">IFERROR(__xludf.DUMMYFUNCTION("""COMPUTED_VALUE"""),"Корректор лечебно-профилактический (с 4 ребрами жесткости) эластичный 3011 - L - 0921068KZ068")</f>
        <v>Корректор лечебно-профилактический (с 4 ребрами жесткости) эластичный 3011 - L - 0921068KZ068</v>
      </c>
      <c r="G1614" s="1" t="str">
        <f ca="1">IFERROR(__xludf.DUMMYFUNCTION("""COMPUTED_VALUE"""),"KZ.7700.02.01.00787593 / Действительно до 03.09.2026 / 0921068KZ068 / годен до 03.09.2026 г")</f>
        <v>KZ.7700.02.01.00787593 / Действительно до 03.09.2026 / 0921068KZ068 / годен до 03.09.2026 г</v>
      </c>
      <c r="H1614" s="1" t="str">
        <f ca="1">IFERROR(__xludf.DUMMYFUNCTION("""COMPUTED_VALUE"""),"Корректор лечебно-профилактический (с 4 ребрами жесткости) эластичный 3011 - L KZ.7700.02.01.00787593 / Действительно до 03.09.2026 / 0921068KZ068 / годен до 03.09.2026 г")</f>
        <v>Корректор лечебно-профилактический (с 4 ребрами жесткости) эластичный 3011 - L KZ.7700.02.01.00787593 / Действительно до 03.09.2026 / 0921068KZ068 / годен до 03.09.2026 г</v>
      </c>
    </row>
    <row r="1615" spans="1:8" ht="12.75" x14ac:dyDescent="0.2">
      <c r="A1615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1615" s="1" t="str">
        <f ca="1">IFERROR(__xludf.DUMMYFUNCTION("""COMPUTED_VALUE"""),"KZ.7700.02.01.00787587")</f>
        <v>KZ.7700.02.01.00787587</v>
      </c>
      <c r="C1615" s="1" t="str">
        <f ca="1">IFERROR(__xludf.DUMMYFUNCTION("""COMPUTED_VALUE"""),"Действительно до 03.09.2026")</f>
        <v>Действительно до 03.09.2026</v>
      </c>
      <c r="D1615" s="8" t="str">
        <f ca="1">IFERROR(__xludf.DUMMYFUNCTION("""COMPUTED_VALUE"""),"0921068KZ068")</f>
        <v>0921068KZ068</v>
      </c>
      <c r="E1615" s="1" t="str">
        <f ca="1">IFERROR(__xludf.DUMMYFUNCTION("""COMPUTED_VALUE"""),"годен до 03.09.2026 г")</f>
        <v>годен до 03.09.2026 г</v>
      </c>
      <c r="F1615" s="1" t="str">
        <f ca="1">IFERROR(__xludf.DUMMYFUNCTION("""COMPUTED_VALUE"""),"Корректор лечебно-профилактический (с 4 ребрами жесткости) эластичный 3011- XL - 0921068KZ068")</f>
        <v>Корректор лечебно-профилактический (с 4 ребрами жесткости) эластичный 3011- XL - 0921068KZ068</v>
      </c>
      <c r="G1615" s="1" t="str">
        <f ca="1">IFERROR(__xludf.DUMMYFUNCTION("""COMPUTED_VALUE"""),"KZ.7700.02.01.00787587 / Действительно до 03.09.2026 / 0921068KZ068 / годен до 03.09.2026 г")</f>
        <v>KZ.7700.02.01.00787587 / Действительно до 03.09.2026 / 0921068KZ068 / годен до 03.09.2026 г</v>
      </c>
      <c r="H1615" s="1" t="str">
        <f ca="1">IFERROR(__xludf.DUMMYFUNCTION("""COMPUTED_VALUE"""),"Корректор лечебно-профилактический (с 4 ребрами жесткости) эластичный 3011- XL KZ.7700.02.01.00787587 / Действительно до 03.09.2026 / 0921068KZ068 / годен до 03.09.2026 г")</f>
        <v>Корректор лечебно-профилактический (с 4 ребрами жесткости) эластичный 3011- XL KZ.7700.02.01.00787587 / Действительно до 03.09.2026 / 0921068KZ068 / годен до 03.09.2026 г</v>
      </c>
    </row>
    <row r="1616" spans="1:8" ht="12.75" x14ac:dyDescent="0.2">
      <c r="A1616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1616" s="1" t="str">
        <f ca="1">IFERROR(__xludf.DUMMYFUNCTION("""COMPUTED_VALUE"""),"KZ.7700.02.01.00787586")</f>
        <v>KZ.7700.02.01.00787586</v>
      </c>
      <c r="C1616" s="1" t="str">
        <f ca="1">IFERROR(__xludf.DUMMYFUNCTION("""COMPUTED_VALUE"""),"Действительно до 03.09.2026")</f>
        <v>Действительно до 03.09.2026</v>
      </c>
      <c r="D1616" s="8" t="str">
        <f ca="1">IFERROR(__xludf.DUMMYFUNCTION("""COMPUTED_VALUE"""),"0921068KZ068")</f>
        <v>0921068KZ068</v>
      </c>
      <c r="E1616" s="1" t="str">
        <f ca="1">IFERROR(__xludf.DUMMYFUNCTION("""COMPUTED_VALUE"""),"годен до 03.09.2026 г")</f>
        <v>годен до 03.09.2026 г</v>
      </c>
      <c r="F1616" s="1" t="str">
        <f ca="1">IFERROR(__xludf.DUMMYFUNCTION("""COMPUTED_VALUE"""),"Корректор лечебно-профилактический (с 4 ребрами жесткости) эластичный 3011- XXL - 0921068KZ068")</f>
        <v>Корректор лечебно-профилактический (с 4 ребрами жесткости) эластичный 3011- XXL - 0921068KZ068</v>
      </c>
      <c r="G1616" s="1" t="str">
        <f ca="1">IFERROR(__xludf.DUMMYFUNCTION("""COMPUTED_VALUE"""),"KZ.7700.02.01.00787586 / Действительно до 03.09.2026 / 0921068KZ068 / годен до 03.09.2026 г")</f>
        <v>KZ.7700.02.01.00787586 / Действительно до 03.09.2026 / 0921068KZ068 / годен до 03.09.2026 г</v>
      </c>
      <c r="H1616" s="1" t="str">
        <f ca="1">IFERROR(__xludf.DUMMYFUNCTION("""COMPUTED_VALUE"""),"Корректор лечебно-профилактический (с 4 ребрами жесткости) эластичный 3011- XXL KZ.7700.02.01.00787586 / Действительно до 03.09.2026 / 0921068KZ068 / годен до 03.09.2026 г")</f>
        <v>Корректор лечебно-профилактический (с 4 ребрами жесткости) эластичный 3011- XXL KZ.7700.02.01.00787586 / Действительно до 03.09.2026 / 0921068KZ068 / годен до 03.09.2026 г</v>
      </c>
    </row>
    <row r="1617" spans="1:8" ht="12.75" x14ac:dyDescent="0.2">
      <c r="A1617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1617" s="1" t="str">
        <f ca="1">IFERROR(__xludf.DUMMYFUNCTION("""COMPUTED_VALUE"""),"KZ.7700.02.01.00787598")</f>
        <v>KZ.7700.02.01.00787598</v>
      </c>
      <c r="C1617" s="1" t="str">
        <f ca="1">IFERROR(__xludf.DUMMYFUNCTION("""COMPUTED_VALUE"""),"Действительно до 03.09.2026")</f>
        <v>Действительно до 03.09.2026</v>
      </c>
      <c r="D1617" s="8" t="str">
        <f ca="1">IFERROR(__xludf.DUMMYFUNCTION("""COMPUTED_VALUE"""),"0921068KZ068")</f>
        <v>0921068KZ068</v>
      </c>
      <c r="E1617" s="1" t="str">
        <f ca="1">IFERROR(__xludf.DUMMYFUNCTION("""COMPUTED_VALUE"""),"годен до 03.09.2026 г")</f>
        <v>годен до 03.09.2026 г</v>
      </c>
      <c r="F1617" s="1" t="str">
        <f ca="1">IFERROR(__xludf.DUMMYFUNCTION("""COMPUTED_VALUE"""),"Корректор лечебно-профилактический (с 4 ребрами жесткости) эластичный 3011- XXXL - 0921068KZ068")</f>
        <v>Корректор лечебно-профилактический (с 4 ребрами жесткости) эластичный 3011- XXXL - 0921068KZ068</v>
      </c>
      <c r="G1617" s="1" t="str">
        <f ca="1">IFERROR(__xludf.DUMMYFUNCTION("""COMPUTED_VALUE"""),"KZ.7700.02.01.00787598 / Действительно до 03.09.2026 / 0921068KZ068 / годен до 03.09.2026 г")</f>
        <v>KZ.7700.02.01.00787598 / Действительно до 03.09.2026 / 0921068KZ068 / годен до 03.09.2026 г</v>
      </c>
      <c r="H1617" s="1" t="str">
        <f ca="1">IFERROR(__xludf.DUMMYFUNCTION("""COMPUTED_VALUE"""),"Корректор лечебно-профилактический (с 4 ребрами жесткости) эластичный 3011- XXXL KZ.7700.02.01.00787598 / Действительно до 03.09.2026 / 0921068KZ068 / годен до 03.09.2026 г")</f>
        <v>Корректор лечебно-профилактический (с 4 ребрами жесткости) эластичный 3011- XXXL KZ.7700.02.01.00787598 / Действительно до 03.09.2026 / 0921068KZ068 / годен до 03.09.2026 г</v>
      </c>
    </row>
    <row r="1618" spans="1:8" ht="12.75" x14ac:dyDescent="0.2">
      <c r="A1618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1618" s="1" t="str">
        <f ca="1">IFERROR(__xludf.DUMMYFUNCTION("""COMPUTED_VALUE"""),"KZ.7700.02.01.00787589")</f>
        <v>KZ.7700.02.01.00787589</v>
      </c>
      <c r="C1618" s="1" t="str">
        <f ca="1">IFERROR(__xludf.DUMMYFUNCTION("""COMPUTED_VALUE"""),"Действительно до 03.09.2026")</f>
        <v>Действительно до 03.09.2026</v>
      </c>
      <c r="D1618" s="8" t="str">
        <f ca="1">IFERROR(__xludf.DUMMYFUNCTION("""COMPUTED_VALUE"""),"0921068KZ068")</f>
        <v>0921068KZ068</v>
      </c>
      <c r="E1618" s="1" t="str">
        <f ca="1">IFERROR(__xludf.DUMMYFUNCTION("""COMPUTED_VALUE"""),"годен до 03.09.2026 г")</f>
        <v>годен до 03.09.2026 г</v>
      </c>
      <c r="F1618" s="1" t="str">
        <f ca="1">IFERROR(__xludf.DUMMYFUNCTION("""COMPUTED_VALUE"""),"Корректор лечебно-профилактический (с 4 ребрами жесткости) эластичный 3011 XXXXL - 0921068KZ068")</f>
        <v>Корректор лечебно-профилактический (с 4 ребрами жесткости) эластичный 3011 XXXXL - 0921068KZ068</v>
      </c>
      <c r="G1618" s="1" t="str">
        <f ca="1">IFERROR(__xludf.DUMMYFUNCTION("""COMPUTED_VALUE"""),"KZ.7700.02.01.00787589 / Действительно до 03.09.2026 / 0921068KZ068 / годен до 03.09.2026 г")</f>
        <v>KZ.7700.02.01.00787589 / Действительно до 03.09.2026 / 0921068KZ068 / годен до 03.09.2026 г</v>
      </c>
      <c r="H1618" s="1" t="str">
        <f ca="1">IFERROR(__xludf.DUMMYFUNCTION("""COMPUTED_VALUE"""),"Корректор лечебно-профилактический (с 4 ребрами жесткости) эластичный 3011 XXXXL KZ.7700.02.01.00787589 / Действительно до 03.09.2026 / 0921068KZ068 / годен до 03.09.2026 г")</f>
        <v>Корректор лечебно-профилактический (с 4 ребрами жесткости) эластичный 3011 XXXXL KZ.7700.02.01.00787589 / Действительно до 03.09.2026 / 0921068KZ068 / годен до 03.09.2026 г</v>
      </c>
    </row>
    <row r="1619" spans="1:8" ht="12.75" x14ac:dyDescent="0.2">
      <c r="A1619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1619" s="1" t="str">
        <f ca="1">IFERROR(__xludf.DUMMYFUNCTION("""COMPUTED_VALUE"""),"KZ.7700.02.01.00787591")</f>
        <v>KZ.7700.02.01.00787591</v>
      </c>
      <c r="C1619" s="1" t="str">
        <f ca="1">IFERROR(__xludf.DUMMYFUNCTION("""COMPUTED_VALUE"""),"Действительно до 03.09.2026")</f>
        <v>Действительно до 03.09.2026</v>
      </c>
      <c r="D1619" s="8" t="str">
        <f ca="1">IFERROR(__xludf.DUMMYFUNCTION("""COMPUTED_VALUE"""),"0921068KZ068")</f>
        <v>0921068KZ068</v>
      </c>
      <c r="E1619" s="1" t="str">
        <f ca="1">IFERROR(__xludf.DUMMYFUNCTION("""COMPUTED_VALUE"""),"годен до 03.09.2026 г")</f>
        <v>годен до 03.09.2026 г</v>
      </c>
      <c r="F1619" s="1" t="str">
        <f ca="1">IFERROR(__xludf.DUMMYFUNCTION("""COMPUTED_VALUE"""),"Корсет ортопедический с ребрами жесткости согревающий 3041 XL/XXL (Болгария) - 0921068KZ068")</f>
        <v>Корсет ортопедический с ребрами жесткости согревающий 3041 XL/XXL (Болгария) - 0921068KZ068</v>
      </c>
      <c r="G1619" s="1" t="str">
        <f ca="1">IFERROR(__xludf.DUMMYFUNCTION("""COMPUTED_VALUE"""),"KZ.7700.02.01.00787591 / Действительно до 03.09.2026 / 0921068KZ068 / годен до 03.09.2026 г")</f>
        <v>KZ.7700.02.01.00787591 / Действительно до 03.09.2026 / 0921068KZ068 / годен до 03.09.2026 г</v>
      </c>
      <c r="H1619" s="1" t="str">
        <f ca="1">IFERROR(__xludf.DUMMYFUNCTION("""COMPUTED_VALUE"""),"Корсет ортопедический с ребрами жесткости согревающий 3041 XL/XXL (Болгария) KZ.7700.02.01.00787591 / Действительно до 03.09.2026 / 0921068KZ068 / годен до 03.09.2026 г")</f>
        <v>Корсет ортопедический с ребрами жесткости согревающий 3041 XL/XXL (Болгария) KZ.7700.02.01.00787591 / Действительно до 03.09.2026 / 0921068KZ068 / годен до 03.09.2026 г</v>
      </c>
    </row>
    <row r="1620" spans="1:8" ht="12.75" x14ac:dyDescent="0.2">
      <c r="A1620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1620" s="1" t="str">
        <f ca="1">IFERROR(__xludf.DUMMYFUNCTION("""COMPUTED_VALUE"""),"KZ.7700.02.01.00787447")</f>
        <v>KZ.7700.02.01.00787447</v>
      </c>
      <c r="C1620" s="1" t="str">
        <f ca="1">IFERROR(__xludf.DUMMYFUNCTION("""COMPUTED_VALUE"""),"Действительно до 03.09.2026")</f>
        <v>Действительно до 03.09.2026</v>
      </c>
      <c r="D1620" s="8" t="str">
        <f ca="1">IFERROR(__xludf.DUMMYFUNCTION("""COMPUTED_VALUE"""),"0921068KZ068")</f>
        <v>0921068KZ068</v>
      </c>
      <c r="E1620" s="1" t="str">
        <f ca="1">IFERROR(__xludf.DUMMYFUNCTION("""COMPUTED_VALUE"""),"годен до 03.09.2026 г")</f>
        <v>годен до 03.09.2026 г</v>
      </c>
      <c r="F1620" s="1" t="str">
        <f ca="1">IFERROR(__xludf.DUMMYFUNCTION("""COMPUTED_VALUE"""),"Бандаж лечебно–профилактический (с тремя ребрами жесткости) 4001 L (Болгария) - 0921068KZ068")</f>
        <v>Бандаж лечебно–профилактический (с тремя ребрами жесткости) 4001 L (Болгария) - 0921068KZ068</v>
      </c>
      <c r="G1620" s="1" t="str">
        <f ca="1">IFERROR(__xludf.DUMMYFUNCTION("""COMPUTED_VALUE"""),"KZ.7700.02.01.00787447 / Действительно до 03.09.2026 / 0921068KZ068 / годен до 03.09.2026 г")</f>
        <v>KZ.7700.02.01.00787447 / Действительно до 03.09.2026 / 0921068KZ068 / годен до 03.09.2026 г</v>
      </c>
      <c r="H1620" s="1" t="str">
        <f ca="1">IFERROR(__xludf.DUMMYFUNCTION("""COMPUTED_VALUE"""),"Бандаж лечебно–профилактический (с тремя ребрами жесткости) 4001 L (Болгария) KZ.7700.02.01.00787447 / Действительно до 03.09.2026 / 0921068KZ068 / годен до 03.09.2026 г")</f>
        <v>Бандаж лечебно–профилактический (с тремя ребрами жесткости) 4001 L (Болгария) KZ.7700.02.01.00787447 / Действительно до 03.09.2026 / 0921068KZ068 / годен до 03.09.2026 г</v>
      </c>
    </row>
    <row r="1621" spans="1:8" ht="12.75" x14ac:dyDescent="0.2">
      <c r="A1621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1621" s="1" t="str">
        <f ca="1">IFERROR(__xludf.DUMMYFUNCTION("""COMPUTED_VALUE"""),"KZ.7700.02.01.00787596")</f>
        <v>KZ.7700.02.01.00787596</v>
      </c>
      <c r="C1621" s="1" t="str">
        <f ca="1">IFERROR(__xludf.DUMMYFUNCTION("""COMPUTED_VALUE"""),"Действительно до 03.09.2026")</f>
        <v>Действительно до 03.09.2026</v>
      </c>
      <c r="D1621" s="8" t="str">
        <f ca="1">IFERROR(__xludf.DUMMYFUNCTION("""COMPUTED_VALUE"""),"0921068KZ068")</f>
        <v>0921068KZ068</v>
      </c>
      <c r="E1621" s="1" t="str">
        <f ca="1">IFERROR(__xludf.DUMMYFUNCTION("""COMPUTED_VALUE"""),"годен до 03.09.2026 г")</f>
        <v>годен до 03.09.2026 г</v>
      </c>
      <c r="F1621" s="1" t="str">
        <f ca="1">IFERROR(__xludf.DUMMYFUNCTION("""COMPUTED_VALUE"""),"Бандаж лечебно–профилактический (с тремя ребрами жесткости) 4001 M (Болгария) - 0921068KZ068")</f>
        <v>Бандаж лечебно–профилактический (с тремя ребрами жесткости) 4001 M (Болгария) - 0921068KZ068</v>
      </c>
      <c r="G1621" s="1" t="str">
        <f ca="1">IFERROR(__xludf.DUMMYFUNCTION("""COMPUTED_VALUE"""),"KZ.7700.02.01.00787596 / Действительно до 03.09.2026 / 0921068KZ068 / годен до 03.09.2026 г")</f>
        <v>KZ.7700.02.01.00787596 / Действительно до 03.09.2026 / 0921068KZ068 / годен до 03.09.2026 г</v>
      </c>
      <c r="H1621" s="1" t="str">
        <f ca="1">IFERROR(__xludf.DUMMYFUNCTION("""COMPUTED_VALUE"""),"Бандаж лечебно–профилактический (с тремя ребрами жесткости) 4001 M (Болгария) KZ.7700.02.01.00787596 / Действительно до 03.09.2026 / 0921068KZ068 / годен до 03.09.2026 г")</f>
        <v>Бандаж лечебно–профилактический (с тремя ребрами жесткости) 4001 M (Болгария) KZ.7700.02.01.00787596 / Действительно до 03.09.2026 / 0921068KZ068 / годен до 03.09.2026 г</v>
      </c>
    </row>
    <row r="1622" spans="1:8" ht="12.75" x14ac:dyDescent="0.2">
      <c r="A1622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1622" s="1" t="str">
        <f ca="1">IFERROR(__xludf.DUMMYFUNCTION("""COMPUTED_VALUE"""),"KZ.7700.02.01.00787588")</f>
        <v>KZ.7700.02.01.00787588</v>
      </c>
      <c r="C1622" s="1" t="str">
        <f ca="1">IFERROR(__xludf.DUMMYFUNCTION("""COMPUTED_VALUE"""),"Действительно до 03.09.2026")</f>
        <v>Действительно до 03.09.2026</v>
      </c>
      <c r="D1622" s="8" t="str">
        <f ca="1">IFERROR(__xludf.DUMMYFUNCTION("""COMPUTED_VALUE"""),"0921068KZ068")</f>
        <v>0921068KZ068</v>
      </c>
      <c r="E1622" s="1" t="str">
        <f ca="1">IFERROR(__xludf.DUMMYFUNCTION("""COMPUTED_VALUE"""),"годен до 03.09.2026 г")</f>
        <v>годен до 03.09.2026 г</v>
      </c>
      <c r="F1622" s="1" t="str">
        <f ca="1">IFERROR(__xludf.DUMMYFUNCTION("""COMPUTED_VALUE"""),"Бандаж лечебно–профилактический (с тремя ребрами жесткости) 4001 S (Болгария) - 0921068KZ068")</f>
        <v>Бандаж лечебно–профилактический (с тремя ребрами жесткости) 4001 S (Болгария) - 0921068KZ068</v>
      </c>
      <c r="G1622" s="1" t="str">
        <f ca="1">IFERROR(__xludf.DUMMYFUNCTION("""COMPUTED_VALUE"""),"KZ.7700.02.01.00787588 / Действительно до 03.09.2026 / 0921068KZ068 / годен до 03.09.2026 г")</f>
        <v>KZ.7700.02.01.00787588 / Действительно до 03.09.2026 / 0921068KZ068 / годен до 03.09.2026 г</v>
      </c>
      <c r="H1622" s="1" t="str">
        <f ca="1">IFERROR(__xludf.DUMMYFUNCTION("""COMPUTED_VALUE"""),"Бандаж лечебно–профилактический (с тремя ребрами жесткости) 4001 S (Болгария) KZ.7700.02.01.00787588 / Действительно до 03.09.2026 / 0921068KZ068 / годен до 03.09.2026 г")</f>
        <v>Бандаж лечебно–профилактический (с тремя ребрами жесткости) 4001 S (Болгария) KZ.7700.02.01.00787588 / Действительно до 03.09.2026 / 0921068KZ068 / годен до 03.09.2026 г</v>
      </c>
    </row>
    <row r="1623" spans="1:8" ht="12.75" x14ac:dyDescent="0.2">
      <c r="A1623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1623" s="1" t="str">
        <f ca="1">IFERROR(__xludf.DUMMYFUNCTION("""COMPUTED_VALUE"""),"KZ.7700.02.01.00787432")</f>
        <v>KZ.7700.02.01.00787432</v>
      </c>
      <c r="C1623" s="1" t="str">
        <f ca="1">IFERROR(__xludf.DUMMYFUNCTION("""COMPUTED_VALUE"""),"Действительно до 03.09.2026")</f>
        <v>Действительно до 03.09.2026</v>
      </c>
      <c r="D1623" s="8" t="str">
        <f ca="1">IFERROR(__xludf.DUMMYFUNCTION("""COMPUTED_VALUE"""),"0921068KZ068")</f>
        <v>0921068KZ068</v>
      </c>
      <c r="E1623" s="1" t="str">
        <f ca="1">IFERROR(__xludf.DUMMYFUNCTION("""COMPUTED_VALUE"""),"годен до 03.09.2026 г")</f>
        <v>годен до 03.09.2026 г</v>
      </c>
      <c r="F1623" s="1" t="str">
        <f ca="1">IFERROR(__xludf.DUMMYFUNCTION("""COMPUTED_VALUE"""),"Бандаж лечебно–профилактический (с тремя ребрами жесткости) 4001 XL (Болгария) - 0921068KZ068")</f>
        <v>Бандаж лечебно–профилактический (с тремя ребрами жесткости) 4001 XL (Болгария) - 0921068KZ068</v>
      </c>
      <c r="G1623" s="1" t="str">
        <f ca="1">IFERROR(__xludf.DUMMYFUNCTION("""COMPUTED_VALUE"""),"KZ.7700.02.01.00787432 / Действительно до 03.09.2026 / 0921068KZ068 / годен до 03.09.2026 г")</f>
        <v>KZ.7700.02.01.00787432 / Действительно до 03.09.2026 / 0921068KZ068 / годен до 03.09.2026 г</v>
      </c>
      <c r="H1623" s="1" t="str">
        <f ca="1">IFERROR(__xludf.DUMMYFUNCTION("""COMPUTED_VALUE"""),"Бандаж лечебно–профилактический (с тремя ребрами жесткости) 4001 XL (Болгария) KZ.7700.02.01.00787432 / Действительно до 03.09.2026 / 0921068KZ068 / годен до 03.09.2026 г")</f>
        <v>Бандаж лечебно–профилактический (с тремя ребрами жесткости) 4001 XL (Болгария) KZ.7700.02.01.00787432 / Действительно до 03.09.2026 / 0921068KZ068 / годен до 03.09.2026 г</v>
      </c>
    </row>
    <row r="1624" spans="1:8" ht="12.75" x14ac:dyDescent="0.2">
      <c r="A1624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1624" s="1" t="str">
        <f ca="1">IFERROR(__xludf.DUMMYFUNCTION("""COMPUTED_VALUE"""),"KZ.7700.02.01.00787436")</f>
        <v>KZ.7700.02.01.00787436</v>
      </c>
      <c r="C1624" s="1" t="str">
        <f ca="1">IFERROR(__xludf.DUMMYFUNCTION("""COMPUTED_VALUE"""),"Действительно до 03.09.2026")</f>
        <v>Действительно до 03.09.2026</v>
      </c>
      <c r="D1624" s="8" t="str">
        <f ca="1">IFERROR(__xludf.DUMMYFUNCTION("""COMPUTED_VALUE"""),"0921068KZ068")</f>
        <v>0921068KZ068</v>
      </c>
      <c r="E1624" s="1" t="str">
        <f ca="1">IFERROR(__xludf.DUMMYFUNCTION("""COMPUTED_VALUE"""),"годен до 03.09.2026 г")</f>
        <v>годен до 03.09.2026 г</v>
      </c>
      <c r="F1624" s="1" t="str">
        <f ca="1">IFERROR(__xludf.DUMMYFUNCTION("""COMPUTED_VALUE"""),"Бандаж лечебно–профилактический (с тремя ребрами жесткости) 4001 XXL (Болгария) - 0921068KZ068")</f>
        <v>Бандаж лечебно–профилактический (с тремя ребрами жесткости) 4001 XXL (Болгария) - 0921068KZ068</v>
      </c>
      <c r="G1624" s="1" t="str">
        <f ca="1">IFERROR(__xludf.DUMMYFUNCTION("""COMPUTED_VALUE"""),"KZ.7700.02.01.00787436 / Действительно до 03.09.2026 / 0921068KZ068 / годен до 03.09.2026 г")</f>
        <v>KZ.7700.02.01.00787436 / Действительно до 03.09.2026 / 0921068KZ068 / годен до 03.09.2026 г</v>
      </c>
      <c r="H1624" s="1" t="str">
        <f ca="1">IFERROR(__xludf.DUMMYFUNCTION("""COMPUTED_VALUE"""),"Бандаж лечебно–профилактический (с тремя ребрами жесткости) 4001 XXL (Болгария) KZ.7700.02.01.00787436 / Действительно до 03.09.2026 / 0921068KZ068 / годен до 03.09.2026 г")</f>
        <v>Бандаж лечебно–профилактический (с тремя ребрами жесткости) 4001 XXL (Болгария) KZ.7700.02.01.00787436 / Действительно до 03.09.2026 / 0921068KZ068 / годен до 03.09.2026 г</v>
      </c>
    </row>
    <row r="1625" spans="1:8" ht="12.75" x14ac:dyDescent="0.2">
      <c r="A1625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1625" s="1" t="str">
        <f ca="1">IFERROR(__xludf.DUMMYFUNCTION("""COMPUTED_VALUE"""),"KZ.7700.02.01.00787443")</f>
        <v>KZ.7700.02.01.00787443</v>
      </c>
      <c r="C1625" s="1" t="str">
        <f ca="1">IFERROR(__xludf.DUMMYFUNCTION("""COMPUTED_VALUE"""),"Действительно до 03.09.2026")</f>
        <v>Действительно до 03.09.2026</v>
      </c>
      <c r="D1625" s="8" t="str">
        <f ca="1">IFERROR(__xludf.DUMMYFUNCTION("""COMPUTED_VALUE"""),"0921068KZ068")</f>
        <v>0921068KZ068</v>
      </c>
      <c r="E1625" s="1" t="str">
        <f ca="1">IFERROR(__xludf.DUMMYFUNCTION("""COMPUTED_VALUE"""),"годен до 03.09.2026 г")</f>
        <v>годен до 03.09.2026 г</v>
      </c>
      <c r="F1625" s="1" t="str">
        <f ca="1">IFERROR(__xludf.DUMMYFUNCTION("""COMPUTED_VALUE"""),"Бандаж лечебно–профилактический (с тремя ребрами жесткости) 4001 XXXL(Болгария) - 0921068KZ068")</f>
        <v>Бандаж лечебно–профилактический (с тремя ребрами жесткости) 4001 XXXL(Болгария) - 0921068KZ068</v>
      </c>
      <c r="G1625" s="1" t="str">
        <f ca="1">IFERROR(__xludf.DUMMYFUNCTION("""COMPUTED_VALUE"""),"KZ.7700.02.01.00787443 / Действительно до 03.09.2026 / 0921068KZ068 / годен до 03.09.2026 г")</f>
        <v>KZ.7700.02.01.00787443 / Действительно до 03.09.2026 / 0921068KZ068 / годен до 03.09.2026 г</v>
      </c>
      <c r="H1625" s="1" t="str">
        <f ca="1">IFERROR(__xludf.DUMMYFUNCTION("""COMPUTED_VALUE"""),"Бандаж лечебно–профилактический (с тремя ребрами жесткости) 4001 XXXL(Болгария) KZ.7700.02.01.00787443 / Действительно до 03.09.2026 / 0921068KZ068 / годен до 03.09.2026 г")</f>
        <v>Бандаж лечебно–профилактический (с тремя ребрами жесткости) 4001 XXXL(Болгария) KZ.7700.02.01.00787443 / Действительно до 03.09.2026 / 0921068KZ068 / годен до 03.09.2026 г</v>
      </c>
    </row>
    <row r="1626" spans="1:8" ht="12.75" x14ac:dyDescent="0.2">
      <c r="A1626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1626" s="1" t="str">
        <f ca="1">IFERROR(__xludf.DUMMYFUNCTION("""COMPUTED_VALUE"""),"KZ.7700.02.01.00787430")</f>
        <v>KZ.7700.02.01.00787430</v>
      </c>
      <c r="C1626" s="1" t="str">
        <f ca="1">IFERROR(__xludf.DUMMYFUNCTION("""COMPUTED_VALUE"""),"Действительно до 03.09.2026")</f>
        <v>Действительно до 03.09.2026</v>
      </c>
      <c r="D1626" s="8" t="str">
        <f ca="1">IFERROR(__xludf.DUMMYFUNCTION("""COMPUTED_VALUE"""),"0921068KZ068")</f>
        <v>0921068KZ068</v>
      </c>
      <c r="E1626" s="1" t="str">
        <f ca="1">IFERROR(__xludf.DUMMYFUNCTION("""COMPUTED_VALUE"""),"годен до 03.09.2026 г")</f>
        <v>годен до 03.09.2026 г</v>
      </c>
      <c r="F1626" s="1" t="str">
        <f ca="1">IFERROR(__xludf.DUMMYFUNCTION("""COMPUTED_VALUE"""),"Бандаж лечебно–профилактический (с тремя ребрами жесткости) 4001 XXXXL(Болгария) - 0921068KZ068")</f>
        <v>Бандаж лечебно–профилактический (с тремя ребрами жесткости) 4001 XXXXL(Болгария) - 0921068KZ068</v>
      </c>
      <c r="G1626" s="1" t="str">
        <f ca="1">IFERROR(__xludf.DUMMYFUNCTION("""COMPUTED_VALUE"""),"KZ.7700.02.01.00787430 / Действительно до 03.09.2026 / 0921068KZ068 / годен до 03.09.2026 г")</f>
        <v>KZ.7700.02.01.00787430 / Действительно до 03.09.2026 / 0921068KZ068 / годен до 03.09.2026 г</v>
      </c>
      <c r="H1626" s="1" t="str">
        <f ca="1">IFERROR(__xludf.DUMMYFUNCTION("""COMPUTED_VALUE"""),"Бандаж лечебно–профилактический (с тремя ребрами жесткости) 4001 XXXXL(Болгария) KZ.7700.02.01.00787430 / Действительно до 03.09.2026 / 0921068KZ068 / годен до 03.09.2026 г")</f>
        <v>Бандаж лечебно–профилактический (с тремя ребрами жесткости) 4001 XXXXL(Болгария) KZ.7700.02.01.00787430 / Действительно до 03.09.2026 / 0921068KZ068 / годен до 03.09.2026 г</v>
      </c>
    </row>
    <row r="1627" spans="1:8" ht="12.75" x14ac:dyDescent="0.2">
      <c r="A1627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1627" s="1" t="str">
        <f ca="1">IFERROR(__xludf.DUMMYFUNCTION("""COMPUTED_VALUE"""),"KZ.7700.02.01.00787442")</f>
        <v>KZ.7700.02.01.00787442</v>
      </c>
      <c r="C1627" s="1" t="str">
        <f ca="1">IFERROR(__xludf.DUMMYFUNCTION("""COMPUTED_VALUE"""),"Действительно до 03.09.2026")</f>
        <v>Действительно до 03.09.2026</v>
      </c>
      <c r="D1627" s="8" t="str">
        <f ca="1">IFERROR(__xludf.DUMMYFUNCTION("""COMPUTED_VALUE"""),"0921068KZ068")</f>
        <v>0921068KZ068</v>
      </c>
      <c r="E1627" s="1" t="str">
        <f ca="1">IFERROR(__xludf.DUMMYFUNCTION("""COMPUTED_VALUE"""),"годен до 03.09.2026 г")</f>
        <v>годен до 03.09.2026 г</v>
      </c>
      <c r="F1627" s="1" t="str">
        <f ca="1">IFERROR(__xludf.DUMMYFUNCTION("""COMPUTED_VALUE"""),"Бандаж лечебно–профилактический эластичный 4002 L (Болгария) - 0921068KZ068")</f>
        <v>Бандаж лечебно–профилактический эластичный 4002 L (Болгария) - 0921068KZ068</v>
      </c>
      <c r="G1627" s="1" t="str">
        <f ca="1">IFERROR(__xludf.DUMMYFUNCTION("""COMPUTED_VALUE"""),"KZ.7700.02.01.00787442 / Действительно до 03.09.2026 / 0921068KZ068 / годен до 03.09.2026 г")</f>
        <v>KZ.7700.02.01.00787442 / Действительно до 03.09.2026 / 0921068KZ068 / годен до 03.09.2026 г</v>
      </c>
      <c r="H1627" s="1" t="str">
        <f ca="1">IFERROR(__xludf.DUMMYFUNCTION("""COMPUTED_VALUE"""),"Бандаж лечебно–профилактический эластичный 4002 L (Болгария) KZ.7700.02.01.00787442 / Действительно до 03.09.2026 / 0921068KZ068 / годен до 03.09.2026 г")</f>
        <v>Бандаж лечебно–профилактический эластичный 4002 L (Болгария) KZ.7700.02.01.00787442 / Действительно до 03.09.2026 / 0921068KZ068 / годен до 03.09.2026 г</v>
      </c>
    </row>
    <row r="1628" spans="1:8" ht="12.75" x14ac:dyDescent="0.2">
      <c r="A1628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1628" s="1" t="str">
        <f ca="1">IFERROR(__xludf.DUMMYFUNCTION("""COMPUTED_VALUE"""),"KZ.7700.02.01.00787438")</f>
        <v>KZ.7700.02.01.00787438</v>
      </c>
      <c r="C1628" s="1" t="str">
        <f ca="1">IFERROR(__xludf.DUMMYFUNCTION("""COMPUTED_VALUE"""),"Действительно до 03.09.2026")</f>
        <v>Действительно до 03.09.2026</v>
      </c>
      <c r="D1628" s="8" t="str">
        <f ca="1">IFERROR(__xludf.DUMMYFUNCTION("""COMPUTED_VALUE"""),"0921068KZ068")</f>
        <v>0921068KZ068</v>
      </c>
      <c r="E1628" s="1" t="str">
        <f ca="1">IFERROR(__xludf.DUMMYFUNCTION("""COMPUTED_VALUE"""),"годен до 03.09.2026 г")</f>
        <v>годен до 03.09.2026 г</v>
      </c>
      <c r="F1628" s="1" t="str">
        <f ca="1">IFERROR(__xludf.DUMMYFUNCTION("""COMPUTED_VALUE"""),"Бандаж лечебно–профилактический эластичный 4002 M (Болгария) - 0921068KZ068")</f>
        <v>Бандаж лечебно–профилактический эластичный 4002 M (Болгария) - 0921068KZ068</v>
      </c>
      <c r="G1628" s="1" t="str">
        <f ca="1">IFERROR(__xludf.DUMMYFUNCTION("""COMPUTED_VALUE"""),"KZ.7700.02.01.00787438 / Действительно до 03.09.2026 / 0921068KZ068 / годен до 03.09.2026 г")</f>
        <v>KZ.7700.02.01.00787438 / Действительно до 03.09.2026 / 0921068KZ068 / годен до 03.09.2026 г</v>
      </c>
      <c r="H1628" s="1" t="str">
        <f ca="1">IFERROR(__xludf.DUMMYFUNCTION("""COMPUTED_VALUE"""),"Бандаж лечебно–профилактический эластичный 4002 M (Болгария) KZ.7700.02.01.00787438 / Действительно до 03.09.2026 / 0921068KZ068 / годен до 03.09.2026 г")</f>
        <v>Бандаж лечебно–профилактический эластичный 4002 M (Болгария) KZ.7700.02.01.00787438 / Действительно до 03.09.2026 / 0921068KZ068 / годен до 03.09.2026 г</v>
      </c>
    </row>
    <row r="1629" spans="1:8" ht="12.75" x14ac:dyDescent="0.2">
      <c r="A1629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1629" s="1" t="str">
        <f ca="1">IFERROR(__xludf.DUMMYFUNCTION("""COMPUTED_VALUE"""),"KZ.7700.02.01.00787440")</f>
        <v>KZ.7700.02.01.00787440</v>
      </c>
      <c r="C1629" s="1" t="str">
        <f ca="1">IFERROR(__xludf.DUMMYFUNCTION("""COMPUTED_VALUE"""),"Действительно до 03.09.2026")</f>
        <v>Действительно до 03.09.2026</v>
      </c>
      <c r="D1629" s="8" t="str">
        <f ca="1">IFERROR(__xludf.DUMMYFUNCTION("""COMPUTED_VALUE"""),"0921068KZ068")</f>
        <v>0921068KZ068</v>
      </c>
      <c r="E1629" s="1" t="str">
        <f ca="1">IFERROR(__xludf.DUMMYFUNCTION("""COMPUTED_VALUE"""),"годен до 03.09.2026 г")</f>
        <v>годен до 03.09.2026 г</v>
      </c>
      <c r="F1629" s="1" t="str">
        <f ca="1">IFERROR(__xludf.DUMMYFUNCTION("""COMPUTED_VALUE"""),"Бандаж лечебно–профилактический эластичный 4002 S (Болгария) - 0921068KZ068")</f>
        <v>Бандаж лечебно–профилактический эластичный 4002 S (Болгария) - 0921068KZ068</v>
      </c>
      <c r="G1629" s="1" t="str">
        <f ca="1">IFERROR(__xludf.DUMMYFUNCTION("""COMPUTED_VALUE"""),"KZ.7700.02.01.00787440 / Действительно до 03.09.2026 / 0921068KZ068 / годен до 03.09.2026 г")</f>
        <v>KZ.7700.02.01.00787440 / Действительно до 03.09.2026 / 0921068KZ068 / годен до 03.09.2026 г</v>
      </c>
      <c r="H1629" s="1" t="str">
        <f ca="1">IFERROR(__xludf.DUMMYFUNCTION("""COMPUTED_VALUE"""),"Бандаж лечебно–профилактический эластичный 4002 S (Болгария) KZ.7700.02.01.00787440 / Действительно до 03.09.2026 / 0921068KZ068 / годен до 03.09.2026 г")</f>
        <v>Бандаж лечебно–профилактический эластичный 4002 S (Болгария) KZ.7700.02.01.00787440 / Действительно до 03.09.2026 / 0921068KZ068 / годен до 03.09.2026 г</v>
      </c>
    </row>
    <row r="1630" spans="1:8" ht="12.75" x14ac:dyDescent="0.2">
      <c r="A1630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1630" s="1" t="str">
        <f ca="1">IFERROR(__xludf.DUMMYFUNCTION("""COMPUTED_VALUE"""),"KZ.7700.02.01.00787445")</f>
        <v>KZ.7700.02.01.00787445</v>
      </c>
      <c r="C1630" s="1" t="str">
        <f ca="1">IFERROR(__xludf.DUMMYFUNCTION("""COMPUTED_VALUE"""),"Действительно до 03.09.2026")</f>
        <v>Действительно до 03.09.2026</v>
      </c>
      <c r="D1630" s="8" t="str">
        <f ca="1">IFERROR(__xludf.DUMMYFUNCTION("""COMPUTED_VALUE"""),"0921068KZ068")</f>
        <v>0921068KZ068</v>
      </c>
      <c r="E1630" s="1" t="str">
        <f ca="1">IFERROR(__xludf.DUMMYFUNCTION("""COMPUTED_VALUE"""),"годен до 03.09.2026 г")</f>
        <v>годен до 03.09.2026 г</v>
      </c>
      <c r="F1630" s="1" t="str">
        <f ca="1">IFERROR(__xludf.DUMMYFUNCTION("""COMPUTED_VALUE"""),"Бандаж лечебно–профилактический эластичный 4002 XL (Болгария) - 0921068KZ068")</f>
        <v>Бандаж лечебно–профилактический эластичный 4002 XL (Болгария) - 0921068KZ068</v>
      </c>
      <c r="G1630" s="1" t="str">
        <f ca="1">IFERROR(__xludf.DUMMYFUNCTION("""COMPUTED_VALUE"""),"KZ.7700.02.01.00787445 / Действительно до 03.09.2026 / 0921068KZ068 / годен до 03.09.2026 г")</f>
        <v>KZ.7700.02.01.00787445 / Действительно до 03.09.2026 / 0921068KZ068 / годен до 03.09.2026 г</v>
      </c>
      <c r="H1630" s="1" t="str">
        <f ca="1">IFERROR(__xludf.DUMMYFUNCTION("""COMPUTED_VALUE"""),"Бандаж лечебно–профилактический эластичный 4002 XL (Болгария) KZ.7700.02.01.00787445 / Действительно до 03.09.2026 / 0921068KZ068 / годен до 03.09.2026 г")</f>
        <v>Бандаж лечебно–профилактический эластичный 4002 XL (Болгария) KZ.7700.02.01.00787445 / Действительно до 03.09.2026 / 0921068KZ068 / годен до 03.09.2026 г</v>
      </c>
    </row>
    <row r="1631" spans="1:8" ht="12.75" x14ac:dyDescent="0.2">
      <c r="A1631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1631" s="1" t="str">
        <f ca="1">IFERROR(__xludf.DUMMYFUNCTION("""COMPUTED_VALUE"""),"KZ.7700.02.01.00787606")</f>
        <v>KZ.7700.02.01.00787606</v>
      </c>
      <c r="C1631" s="1" t="str">
        <f ca="1">IFERROR(__xludf.DUMMYFUNCTION("""COMPUTED_VALUE"""),"Действительно до 03.09.2026")</f>
        <v>Действительно до 03.09.2026</v>
      </c>
      <c r="D1631" s="8" t="str">
        <f ca="1">IFERROR(__xludf.DUMMYFUNCTION("""COMPUTED_VALUE"""),"0921068KZ068")</f>
        <v>0921068KZ068</v>
      </c>
      <c r="E1631" s="1" t="str">
        <f ca="1">IFERROR(__xludf.DUMMYFUNCTION("""COMPUTED_VALUE"""),"годен до 03.09.2026 г")</f>
        <v>годен до 03.09.2026 г</v>
      </c>
      <c r="F1631" s="1" t="str">
        <f ca="1">IFERROR(__xludf.DUMMYFUNCTION("""COMPUTED_VALUE"""),"Бандаж лечебно–профилактический эластичный 4002 XXL (Болгария) - 0921068KZ068")</f>
        <v>Бандаж лечебно–профилактический эластичный 4002 XXL (Болгария) - 0921068KZ068</v>
      </c>
      <c r="G1631" s="1" t="str">
        <f ca="1">IFERROR(__xludf.DUMMYFUNCTION("""COMPUTED_VALUE"""),"KZ.7700.02.01.00787606 / Действительно до 03.09.2026 / 0921068KZ068 / годен до 03.09.2026 г")</f>
        <v>KZ.7700.02.01.00787606 / Действительно до 03.09.2026 / 0921068KZ068 / годен до 03.09.2026 г</v>
      </c>
      <c r="H1631" s="1" t="str">
        <f ca="1">IFERROR(__xludf.DUMMYFUNCTION("""COMPUTED_VALUE"""),"Бандаж лечебно–профилактический эластичный 4002 XXL (Болгария) KZ.7700.02.01.00787606 / Действительно до 03.09.2026 / 0921068KZ068 / годен до 03.09.2026 г")</f>
        <v>Бандаж лечебно–профилактический эластичный 4002 XXL (Болгария) KZ.7700.02.01.00787606 / Действительно до 03.09.2026 / 0921068KZ068 / годен до 03.09.2026 г</v>
      </c>
    </row>
    <row r="1632" spans="1:8" ht="12.75" x14ac:dyDescent="0.2">
      <c r="A1632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1632" s="1" t="str">
        <f ca="1">IFERROR(__xludf.DUMMYFUNCTION("""COMPUTED_VALUE"""),"KZ.7700.02.01.00787608")</f>
        <v>KZ.7700.02.01.00787608</v>
      </c>
      <c r="C1632" s="1" t="str">
        <f ca="1">IFERROR(__xludf.DUMMYFUNCTION("""COMPUTED_VALUE"""),"Действительно до 03.09.2026")</f>
        <v>Действительно до 03.09.2026</v>
      </c>
      <c r="D1632" s="8" t="str">
        <f ca="1">IFERROR(__xludf.DUMMYFUNCTION("""COMPUTED_VALUE"""),"0921068KZ068")</f>
        <v>0921068KZ068</v>
      </c>
      <c r="E1632" s="1" t="str">
        <f ca="1">IFERROR(__xludf.DUMMYFUNCTION("""COMPUTED_VALUE"""),"годен до 03.09.2026 г")</f>
        <v>годен до 03.09.2026 г</v>
      </c>
      <c r="F1632" s="1" t="str">
        <f ca="1">IFERROR(__xludf.DUMMYFUNCTION("""COMPUTED_VALUE"""),"Бандаж лечебно–профилактический эластичный 4002 XXXL (Болгария) - 0921068KZ068")</f>
        <v>Бандаж лечебно–профилактический эластичный 4002 XXXL (Болгария) - 0921068KZ068</v>
      </c>
      <c r="G1632" s="1" t="str">
        <f ca="1">IFERROR(__xludf.DUMMYFUNCTION("""COMPUTED_VALUE"""),"KZ.7700.02.01.00787608 / Действительно до 03.09.2026 / 0921068KZ068 / годен до 03.09.2026 г")</f>
        <v>KZ.7700.02.01.00787608 / Действительно до 03.09.2026 / 0921068KZ068 / годен до 03.09.2026 г</v>
      </c>
      <c r="H1632" s="1" t="str">
        <f ca="1">IFERROR(__xludf.DUMMYFUNCTION("""COMPUTED_VALUE"""),"Бандаж лечебно–профилактический эластичный 4002 XXXL (Болгария) KZ.7700.02.01.00787608 / Действительно до 03.09.2026 / 0921068KZ068 / годен до 03.09.2026 г")</f>
        <v>Бандаж лечебно–профилактический эластичный 4002 XXXL (Болгария) KZ.7700.02.01.00787608 / Действительно до 03.09.2026 / 0921068KZ068 / годен до 03.09.2026 г</v>
      </c>
    </row>
    <row r="1633" spans="1:8" ht="12.75" x14ac:dyDescent="0.2">
      <c r="A1633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1633" s="1" t="str">
        <f ca="1">IFERROR(__xludf.DUMMYFUNCTION("""COMPUTED_VALUE"""),"KZ.7700.02.01.00787618")</f>
        <v>KZ.7700.02.01.00787618</v>
      </c>
      <c r="C1633" s="1" t="str">
        <f ca="1">IFERROR(__xludf.DUMMYFUNCTION("""COMPUTED_VALUE"""),"Действительно до 03.09.2026")</f>
        <v>Действительно до 03.09.2026</v>
      </c>
      <c r="D1633" s="8" t="str">
        <f ca="1">IFERROR(__xludf.DUMMYFUNCTION("""COMPUTED_VALUE"""),"0921068KZ068")</f>
        <v>0921068KZ068</v>
      </c>
      <c r="E1633" s="1" t="str">
        <f ca="1">IFERROR(__xludf.DUMMYFUNCTION("""COMPUTED_VALUE"""),"годен до 03.09.2026 г")</f>
        <v>годен до 03.09.2026 г</v>
      </c>
      <c r="F1633" s="1" t="str">
        <f ca="1">IFERROR(__xludf.DUMMYFUNCTION("""COMPUTED_VALUE"""),"Бандаж лечебно–профилактический эластичный 4002 XXXXL (Болгария) - 0921068KZ068")</f>
        <v>Бандаж лечебно–профилактический эластичный 4002 XXXXL (Болгария) - 0921068KZ068</v>
      </c>
      <c r="G1633" s="1" t="str">
        <f ca="1">IFERROR(__xludf.DUMMYFUNCTION("""COMPUTED_VALUE"""),"KZ.7700.02.01.00787618 / Действительно до 03.09.2026 / 0921068KZ068 / годен до 03.09.2026 г")</f>
        <v>KZ.7700.02.01.00787618 / Действительно до 03.09.2026 / 0921068KZ068 / годен до 03.09.2026 г</v>
      </c>
      <c r="H1633" s="1" t="str">
        <f ca="1">IFERROR(__xludf.DUMMYFUNCTION("""COMPUTED_VALUE"""),"Бандаж лечебно–профилактический эластичный 4002 XXXXL (Болгария) KZ.7700.02.01.00787618 / Действительно до 03.09.2026 / 0921068KZ068 / годен до 03.09.2026 г")</f>
        <v>Бандаж лечебно–профилактический эластичный 4002 XXXXL (Болгария) KZ.7700.02.01.00787618 / Действительно до 03.09.2026 / 0921068KZ068 / годен до 03.09.2026 г</v>
      </c>
    </row>
    <row r="1634" spans="1:8" ht="12.75" x14ac:dyDescent="0.2">
      <c r="A1634" s="1" t="str">
        <f ca="1">IFERROR(__xludf.DUMMYFUNCTION("""COMPUTED_VALUE"""),"Бандаж универсальный 4011 M/L (Болгария)")</f>
        <v>Бандаж универсальный 4011 M/L (Болгария)</v>
      </c>
      <c r="B1634" s="1" t="str">
        <f ca="1">IFERROR(__xludf.DUMMYFUNCTION("""COMPUTED_VALUE"""),"KZ.7700.02.01.00787617")</f>
        <v>KZ.7700.02.01.00787617</v>
      </c>
      <c r="C1634" s="1" t="str">
        <f ca="1">IFERROR(__xludf.DUMMYFUNCTION("""COMPUTED_VALUE"""),"Действительно до 03.09.2026")</f>
        <v>Действительно до 03.09.2026</v>
      </c>
      <c r="D1634" s="8" t="str">
        <f ca="1">IFERROR(__xludf.DUMMYFUNCTION("""COMPUTED_VALUE"""),"0921068KZ068")</f>
        <v>0921068KZ068</v>
      </c>
      <c r="E1634" s="1" t="str">
        <f ca="1">IFERROR(__xludf.DUMMYFUNCTION("""COMPUTED_VALUE"""),"годен до 03.09.2026 г")</f>
        <v>годен до 03.09.2026 г</v>
      </c>
      <c r="F1634" s="1" t="str">
        <f ca="1">IFERROR(__xludf.DUMMYFUNCTION("""COMPUTED_VALUE"""),"Бандаж универсальный 4011 M/L (Болгария) - 0921068KZ068")</f>
        <v>Бандаж универсальный 4011 M/L (Болгария) - 0921068KZ068</v>
      </c>
      <c r="G1634" s="1" t="str">
        <f ca="1">IFERROR(__xludf.DUMMYFUNCTION("""COMPUTED_VALUE"""),"KZ.7700.02.01.00787617 / Действительно до 03.09.2026 / 0921068KZ068 / годен до 03.09.2026 г")</f>
        <v>KZ.7700.02.01.00787617 / Действительно до 03.09.2026 / 0921068KZ068 / годен до 03.09.2026 г</v>
      </c>
      <c r="H1634" s="1" t="str">
        <f ca="1">IFERROR(__xludf.DUMMYFUNCTION("""COMPUTED_VALUE"""),"Бандаж универсальный 4011 M/L (Болгария) KZ.7700.02.01.00787617 / Действительно до 03.09.2026 / 0921068KZ068 / годен до 03.09.2026 г")</f>
        <v>Бандаж универсальный 4011 M/L (Болгария) KZ.7700.02.01.00787617 / Действительно до 03.09.2026 / 0921068KZ068 / годен до 03.09.2026 г</v>
      </c>
    </row>
    <row r="1635" spans="1:8" ht="12.75" x14ac:dyDescent="0.2">
      <c r="A1635" s="1" t="str">
        <f ca="1">IFERROR(__xludf.DUMMYFUNCTION("""COMPUTED_VALUE"""),"Бандаж универсальный 4011 XL/XXL (Болгария)")</f>
        <v>Бандаж универсальный 4011 XL/XXL (Болгария)</v>
      </c>
      <c r="B1635" s="1" t="str">
        <f ca="1">IFERROR(__xludf.DUMMYFUNCTION("""COMPUTED_VALUE"""),"KZ.7700.02.01.00787623")</f>
        <v>KZ.7700.02.01.00787623</v>
      </c>
      <c r="C1635" s="1" t="str">
        <f ca="1">IFERROR(__xludf.DUMMYFUNCTION("""COMPUTED_VALUE"""),"Действительно до 03.09.2026")</f>
        <v>Действительно до 03.09.2026</v>
      </c>
      <c r="D1635" s="8" t="str">
        <f ca="1">IFERROR(__xludf.DUMMYFUNCTION("""COMPUTED_VALUE"""),"0921068KZ068")</f>
        <v>0921068KZ068</v>
      </c>
      <c r="E1635" s="1" t="str">
        <f ca="1">IFERROR(__xludf.DUMMYFUNCTION("""COMPUTED_VALUE"""),"годен до 03.09.2026 г")</f>
        <v>годен до 03.09.2026 г</v>
      </c>
      <c r="F1635" s="1" t="str">
        <f ca="1">IFERROR(__xludf.DUMMYFUNCTION("""COMPUTED_VALUE"""),"Бандаж универсальный 4011 XL/XXL (Болгария) - 0921068KZ068")</f>
        <v>Бандаж универсальный 4011 XL/XXL (Болгария) - 0921068KZ068</v>
      </c>
      <c r="G1635" s="1" t="str">
        <f ca="1">IFERROR(__xludf.DUMMYFUNCTION("""COMPUTED_VALUE"""),"KZ.7700.02.01.00787623 / Действительно до 03.09.2026 / 0921068KZ068 / годен до 03.09.2026 г")</f>
        <v>KZ.7700.02.01.00787623 / Действительно до 03.09.2026 / 0921068KZ068 / годен до 03.09.2026 г</v>
      </c>
      <c r="H1635" s="1" t="str">
        <f ca="1">IFERROR(__xludf.DUMMYFUNCTION("""COMPUTED_VALUE"""),"Бандаж универсальный 4011 XL/XXL (Болгария) KZ.7700.02.01.00787623 / Действительно до 03.09.2026 / 0921068KZ068 / годен до 03.09.2026 г")</f>
        <v>Бандаж универсальный 4011 XL/XXL (Болгария) KZ.7700.02.01.00787623 / Действительно до 03.09.2026 / 0921068KZ068 / годен до 03.09.2026 г</v>
      </c>
    </row>
    <row r="1636" spans="1:8" ht="12.75" x14ac:dyDescent="0.2">
      <c r="A1636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1636" s="1" t="str">
        <f ca="1">IFERROR(__xludf.DUMMYFUNCTION("""COMPUTED_VALUE"""),"KZ.7700.02.01.00787459")</f>
        <v>KZ.7700.02.01.00787459</v>
      </c>
      <c r="C1636" s="1" t="str">
        <f ca="1">IFERROR(__xludf.DUMMYFUNCTION("""COMPUTED_VALUE"""),"Действительно до 03.09.2026")</f>
        <v>Действительно до 03.09.2026</v>
      </c>
      <c r="D1636" s="8" t="str">
        <f ca="1">IFERROR(__xludf.DUMMYFUNCTION("""COMPUTED_VALUE"""),"0921068KZ068")</f>
        <v>0921068KZ068</v>
      </c>
      <c r="E1636" s="1" t="str">
        <f ca="1">IFERROR(__xludf.DUMMYFUNCTION("""COMPUTED_VALUE"""),"годен до 03.09.2026 г")</f>
        <v>годен до 03.09.2026 г</v>
      </c>
      <c r="F1636" s="1" t="str">
        <f ca="1">IFERROR(__xludf.DUMMYFUNCTION("""COMPUTED_VALUE"""),"Бандаж универсальный 4011 XXXL/XXXXL (Болгария) - 0921068KZ068")</f>
        <v>Бандаж универсальный 4011 XXXL/XXXXL (Болгария) - 0921068KZ068</v>
      </c>
      <c r="G1636" s="1" t="str">
        <f ca="1">IFERROR(__xludf.DUMMYFUNCTION("""COMPUTED_VALUE"""),"KZ.7700.02.01.00787459 / Действительно до 03.09.2026 / 0921068KZ068 / годен до 03.09.2026 г")</f>
        <v>KZ.7700.02.01.00787459 / Действительно до 03.09.2026 / 0921068KZ068 / годен до 03.09.2026 г</v>
      </c>
      <c r="H1636" s="1" t="str">
        <f ca="1">IFERROR(__xludf.DUMMYFUNCTION("""COMPUTED_VALUE"""),"Бандаж универсальный 4011 XXXL/XXXXL (Болгария) KZ.7700.02.01.00787459 / Действительно до 03.09.2026 / 0921068KZ068 / годен до 03.09.2026 г")</f>
        <v>Бандаж универсальный 4011 XXXL/XXXXL (Болгария) KZ.7700.02.01.00787459 / Действительно до 03.09.2026 / 0921068KZ068 / годен до 03.09.2026 г</v>
      </c>
    </row>
    <row r="1637" spans="1:8" ht="12.75" x14ac:dyDescent="0.2">
      <c r="A1637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1637" s="1" t="str">
        <f ca="1">IFERROR(__xludf.DUMMYFUNCTION("""COMPUTED_VALUE"""),"KZ.7700.02.01.00787464")</f>
        <v>KZ.7700.02.01.00787464</v>
      </c>
      <c r="C1637" s="1" t="str">
        <f ca="1">IFERROR(__xludf.DUMMYFUNCTION("""COMPUTED_VALUE"""),"Действительно до 03.09.2026")</f>
        <v>Действительно до 03.09.2026</v>
      </c>
      <c r="D1637" s="8" t="str">
        <f ca="1">IFERROR(__xludf.DUMMYFUNCTION("""COMPUTED_VALUE"""),"0921068KZ068")</f>
        <v>0921068KZ068</v>
      </c>
      <c r="E1637" s="1" t="str">
        <f ca="1">IFERROR(__xludf.DUMMYFUNCTION("""COMPUTED_VALUE"""),"годен до 03.09.2026 г")</f>
        <v>годен до 03.09.2026 г</v>
      </c>
      <c r="F1637" s="1" t="str">
        <f ca="1">IFERROR(__xludf.DUMMYFUNCTION("""COMPUTED_VALUE"""),"Бандаж грыжевой лево-и правосторонний 5001 M/L (Болгария) - 0921068KZ068")</f>
        <v>Бандаж грыжевой лево-и правосторонний 5001 M/L (Болгария) - 0921068KZ068</v>
      </c>
      <c r="G1637" s="1" t="str">
        <f ca="1">IFERROR(__xludf.DUMMYFUNCTION("""COMPUTED_VALUE"""),"KZ.7700.02.01.00787464 / Действительно до 03.09.2026 / 0921068KZ068 / годен до 03.09.2026 г")</f>
        <v>KZ.7700.02.01.00787464 / Действительно до 03.09.2026 / 0921068KZ068 / годен до 03.09.2026 г</v>
      </c>
      <c r="H1637" s="1" t="str">
        <f ca="1">IFERROR(__xludf.DUMMYFUNCTION("""COMPUTED_VALUE"""),"Бандаж грыжевой лево-и правосторонний 5001 M/L (Болгария) KZ.7700.02.01.00787464 / Действительно до 03.09.2026 / 0921068KZ068 / годен до 03.09.2026 г")</f>
        <v>Бандаж грыжевой лево-и правосторонний 5001 M/L (Болгария) KZ.7700.02.01.00787464 / Действительно до 03.09.2026 / 0921068KZ068 / годен до 03.09.2026 г</v>
      </c>
    </row>
    <row r="1638" spans="1:8" ht="12.75" x14ac:dyDescent="0.2">
      <c r="A1638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1638" s="1" t="str">
        <f ca="1">IFERROR(__xludf.DUMMYFUNCTION("""COMPUTED_VALUE"""),"KZ.7700.02.01.00787458")</f>
        <v>KZ.7700.02.01.00787458</v>
      </c>
      <c r="C1638" s="1" t="str">
        <f ca="1">IFERROR(__xludf.DUMMYFUNCTION("""COMPUTED_VALUE"""),"Действительно до 03.09.2026")</f>
        <v>Действительно до 03.09.2026</v>
      </c>
      <c r="D1638" s="8" t="str">
        <f ca="1">IFERROR(__xludf.DUMMYFUNCTION("""COMPUTED_VALUE"""),"0921068KZ068")</f>
        <v>0921068KZ068</v>
      </c>
      <c r="E1638" s="1" t="str">
        <f ca="1">IFERROR(__xludf.DUMMYFUNCTION("""COMPUTED_VALUE"""),"годен до 03.09.2026 г")</f>
        <v>годен до 03.09.2026 г</v>
      </c>
      <c r="F1638" s="1" t="str">
        <f ca="1">IFERROR(__xludf.DUMMYFUNCTION("""COMPUTED_VALUE"""),"Бандаж грыжевой лево-и правосторонний 5001 XL/XXL (Болгария) - 0921068KZ068")</f>
        <v>Бандаж грыжевой лево-и правосторонний 5001 XL/XXL (Болгария) - 0921068KZ068</v>
      </c>
      <c r="G1638" s="1" t="str">
        <f ca="1">IFERROR(__xludf.DUMMYFUNCTION("""COMPUTED_VALUE"""),"KZ.7700.02.01.00787458 / Действительно до 03.09.2026 / 0921068KZ068 / годен до 03.09.2026 г")</f>
        <v>KZ.7700.02.01.00787458 / Действительно до 03.09.2026 / 0921068KZ068 / годен до 03.09.2026 г</v>
      </c>
      <c r="H1638" s="1" t="str">
        <f ca="1">IFERROR(__xludf.DUMMYFUNCTION("""COMPUTED_VALUE"""),"Бандаж грыжевой лево-и правосторонний 5001 XL/XXL (Болгария) KZ.7700.02.01.00787458 / Действительно до 03.09.2026 / 0921068KZ068 / годен до 03.09.2026 г")</f>
        <v>Бандаж грыжевой лево-и правосторонний 5001 XL/XXL (Болгария) KZ.7700.02.01.00787458 / Действительно до 03.09.2026 / 0921068KZ068 / годен до 03.09.2026 г</v>
      </c>
    </row>
    <row r="1639" spans="1:8" ht="12.75" x14ac:dyDescent="0.2">
      <c r="A1639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1639" s="1" t="str">
        <f ca="1">IFERROR(__xludf.DUMMYFUNCTION("""COMPUTED_VALUE"""),"KZ.7700.02.01.00787466")</f>
        <v>KZ.7700.02.01.00787466</v>
      </c>
      <c r="C1639" s="1" t="str">
        <f ca="1">IFERROR(__xludf.DUMMYFUNCTION("""COMPUTED_VALUE"""),"Действительно до 03.09.2026")</f>
        <v>Действительно до 03.09.2026</v>
      </c>
      <c r="D1639" s="8" t="str">
        <f ca="1">IFERROR(__xludf.DUMMYFUNCTION("""COMPUTED_VALUE"""),"0921068KZ068")</f>
        <v>0921068KZ068</v>
      </c>
      <c r="E1639" s="1" t="str">
        <f ca="1">IFERROR(__xludf.DUMMYFUNCTION("""COMPUTED_VALUE"""),"годен до 03.09.2026 г")</f>
        <v>годен до 03.09.2026 г</v>
      </c>
      <c r="F1639" s="1" t="str">
        <f ca="1">IFERROR(__xludf.DUMMYFUNCTION("""COMPUTED_VALUE"""),"Бандаж грыжевой лево-и правосторонний 5001 XS/S (Болгария) - 0921068KZ068")</f>
        <v>Бандаж грыжевой лево-и правосторонний 5001 XS/S (Болгария) - 0921068KZ068</v>
      </c>
      <c r="G1639" s="1" t="str">
        <f ca="1">IFERROR(__xludf.DUMMYFUNCTION("""COMPUTED_VALUE"""),"KZ.7700.02.01.00787466 / Действительно до 03.09.2026 / 0921068KZ068 / годен до 03.09.2026 г")</f>
        <v>KZ.7700.02.01.00787466 / Действительно до 03.09.2026 / 0921068KZ068 / годен до 03.09.2026 г</v>
      </c>
      <c r="H1639" s="1" t="str">
        <f ca="1">IFERROR(__xludf.DUMMYFUNCTION("""COMPUTED_VALUE"""),"Бандаж грыжевой лево-и правосторонний 5001 XS/S (Болгария) KZ.7700.02.01.00787466 / Действительно до 03.09.2026 / 0921068KZ068 / годен до 03.09.2026 г")</f>
        <v>Бандаж грыжевой лево-и правосторонний 5001 XS/S (Болгария) KZ.7700.02.01.00787466 / Действительно до 03.09.2026 / 0921068KZ068 / годен до 03.09.2026 г</v>
      </c>
    </row>
    <row r="1640" spans="1:8" ht="12.75" x14ac:dyDescent="0.2">
      <c r="A1640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1640" s="1" t="str">
        <f ca="1">IFERROR(__xludf.DUMMYFUNCTION("""COMPUTED_VALUE"""),"KZ.7700.02.01.00787461")</f>
        <v>KZ.7700.02.01.00787461</v>
      </c>
      <c r="C1640" s="1" t="str">
        <f ca="1">IFERROR(__xludf.DUMMYFUNCTION("""COMPUTED_VALUE"""),"Действительно до 03.09.2026")</f>
        <v>Действительно до 03.09.2026</v>
      </c>
      <c r="D1640" s="8" t="str">
        <f ca="1">IFERROR(__xludf.DUMMYFUNCTION("""COMPUTED_VALUE"""),"0921068KZ068")</f>
        <v>0921068KZ068</v>
      </c>
      <c r="E1640" s="1" t="str">
        <f ca="1">IFERROR(__xludf.DUMMYFUNCTION("""COMPUTED_VALUE"""),"годен до 03.09.2026 г")</f>
        <v>годен до 03.09.2026 г</v>
      </c>
      <c r="F1640" s="1" t="str">
        <f ca="1">IFERROR(__xludf.DUMMYFUNCTION("""COMPUTED_VALUE"""),"Бандаж при пупочной грыже 5051 M/L (Болгария) - 0921068KZ068")</f>
        <v>Бандаж при пупочной грыже 5051 M/L (Болгария) - 0921068KZ068</v>
      </c>
      <c r="G1640" s="1" t="str">
        <f ca="1">IFERROR(__xludf.DUMMYFUNCTION("""COMPUTED_VALUE"""),"KZ.7700.02.01.00787461 / Действительно до 03.09.2026 / 0921068KZ068 / годен до 03.09.2026 г")</f>
        <v>KZ.7700.02.01.00787461 / Действительно до 03.09.2026 / 0921068KZ068 / годен до 03.09.2026 г</v>
      </c>
      <c r="H1640" s="1" t="str">
        <f ca="1">IFERROR(__xludf.DUMMYFUNCTION("""COMPUTED_VALUE"""),"Бандаж при пупочной грыже 5051 M/L (Болгария) KZ.7700.02.01.00787461 / Действительно до 03.09.2026 / 0921068KZ068 / годен до 03.09.2026 г")</f>
        <v>Бандаж при пупочной грыже 5051 M/L (Болгария) KZ.7700.02.01.00787461 / Действительно до 03.09.2026 / 0921068KZ068 / годен до 03.09.2026 г</v>
      </c>
    </row>
    <row r="1641" spans="1:8" ht="12.75" x14ac:dyDescent="0.2">
      <c r="A1641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1641" s="1" t="str">
        <f ca="1">IFERROR(__xludf.DUMMYFUNCTION("""COMPUTED_VALUE"""),"KZ.7700.02.01.00787453")</f>
        <v>KZ.7700.02.01.00787453</v>
      </c>
      <c r="C1641" s="1" t="str">
        <f ca="1">IFERROR(__xludf.DUMMYFUNCTION("""COMPUTED_VALUE"""),"Действительно до 03.09.2026")</f>
        <v>Действительно до 03.09.2026</v>
      </c>
      <c r="D1641" s="8" t="str">
        <f ca="1">IFERROR(__xludf.DUMMYFUNCTION("""COMPUTED_VALUE"""),"0921068KZ068")</f>
        <v>0921068KZ068</v>
      </c>
      <c r="E1641" s="1" t="str">
        <f ca="1">IFERROR(__xludf.DUMMYFUNCTION("""COMPUTED_VALUE"""),"годен до 03.09.2026 г")</f>
        <v>годен до 03.09.2026 г</v>
      </c>
      <c r="F1641" s="1" t="str">
        <f ca="1">IFERROR(__xludf.DUMMYFUNCTION("""COMPUTED_VALUE"""),"Бандаж при пупочной грыже 5051 XL/XXL (Болгария) - 0921068KZ068")</f>
        <v>Бандаж при пупочной грыже 5051 XL/XXL (Болгария) - 0921068KZ068</v>
      </c>
      <c r="G1641" s="1" t="str">
        <f ca="1">IFERROR(__xludf.DUMMYFUNCTION("""COMPUTED_VALUE"""),"KZ.7700.02.01.00787453 / Действительно до 03.09.2026 / 0921068KZ068 / годен до 03.09.2026 г")</f>
        <v>KZ.7700.02.01.00787453 / Действительно до 03.09.2026 / 0921068KZ068 / годен до 03.09.2026 г</v>
      </c>
      <c r="H1641" s="1" t="str">
        <f ca="1">IFERROR(__xludf.DUMMYFUNCTION("""COMPUTED_VALUE"""),"Бандаж при пупочной грыже 5051 XL/XXL (Болгария) KZ.7700.02.01.00787453 / Действительно до 03.09.2026 / 0921068KZ068 / годен до 03.09.2026 г")</f>
        <v>Бандаж при пупочной грыже 5051 XL/XXL (Болгария) KZ.7700.02.01.00787453 / Действительно до 03.09.2026 / 0921068KZ068 / годен до 03.09.2026 г</v>
      </c>
    </row>
    <row r="1642" spans="1:8" ht="12.75" x14ac:dyDescent="0.2">
      <c r="A1642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1642" s="1" t="str">
        <f ca="1">IFERROR(__xludf.DUMMYFUNCTION("""COMPUTED_VALUE"""),"KZ.7700.02.01.00787634")</f>
        <v>KZ.7700.02.01.00787634</v>
      </c>
      <c r="C1642" s="1" t="str">
        <f ca="1">IFERROR(__xludf.DUMMYFUNCTION("""COMPUTED_VALUE"""),"Действительно до 03.09.2026")</f>
        <v>Действительно до 03.09.2026</v>
      </c>
      <c r="D1642" s="8" t="str">
        <f ca="1">IFERROR(__xludf.DUMMYFUNCTION("""COMPUTED_VALUE"""),"0921068KZ068")</f>
        <v>0921068KZ068</v>
      </c>
      <c r="E1642" s="1" t="str">
        <f ca="1">IFERROR(__xludf.DUMMYFUNCTION("""COMPUTED_VALUE"""),"годен до 03.09.2026 г")</f>
        <v>годен до 03.09.2026 г</v>
      </c>
      <c r="F1642" s="1" t="str">
        <f ca="1">IFERROR(__xludf.DUMMYFUNCTION("""COMPUTED_VALUE"""),"Бандаж при пупочной грыже 5051 XXXL/XXXXL (Болгария) - 0921068KZ068")</f>
        <v>Бандаж при пупочной грыже 5051 XXXL/XXXXL (Болгария) - 0921068KZ068</v>
      </c>
      <c r="G1642" s="1" t="str">
        <f ca="1">IFERROR(__xludf.DUMMYFUNCTION("""COMPUTED_VALUE"""),"KZ.7700.02.01.00787634 / Действительно до 03.09.2026 / 0921068KZ068 / годен до 03.09.2026 г")</f>
        <v>KZ.7700.02.01.00787634 / Действительно до 03.09.2026 / 0921068KZ068 / годен до 03.09.2026 г</v>
      </c>
      <c r="H1642" s="1" t="str">
        <f ca="1">IFERROR(__xludf.DUMMYFUNCTION("""COMPUTED_VALUE"""),"Бандаж при пупочной грыже 5051 XXXL/XXXXL (Болгария) KZ.7700.02.01.00787634 / Действительно до 03.09.2026 / 0921068KZ068 / годен до 03.09.2026 г")</f>
        <v>Бандаж при пупочной грыже 5051 XXXL/XXXXL (Болгария) KZ.7700.02.01.00787634 / Действительно до 03.09.2026 / 0921068KZ068 / годен до 03.09.2026 г</v>
      </c>
    </row>
    <row r="1643" spans="1:8" ht="12.75" x14ac:dyDescent="0.2">
      <c r="A1643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1643" s="1" t="str">
        <f ca="1">IFERROR(__xludf.DUMMYFUNCTION("""COMPUTED_VALUE"""),"KZ.7700.02.01.00787627")</f>
        <v>KZ.7700.02.01.00787627</v>
      </c>
      <c r="C1643" s="1" t="str">
        <f ca="1">IFERROR(__xludf.DUMMYFUNCTION("""COMPUTED_VALUE"""),"Действительно до 03.09.2026")</f>
        <v>Действительно до 03.09.2026</v>
      </c>
      <c r="D1643" s="8" t="str">
        <f ca="1">IFERROR(__xludf.DUMMYFUNCTION("""COMPUTED_VALUE"""),"0921068KZ068")</f>
        <v>0921068KZ068</v>
      </c>
      <c r="E1643" s="1" t="str">
        <f ca="1">IFERROR(__xludf.DUMMYFUNCTION("""COMPUTED_VALUE"""),"годен до 03.09.2026 г")</f>
        <v>годен до 03.09.2026 г</v>
      </c>
      <c r="F1643" s="1" t="str">
        <f ca="1">IFERROR(__xludf.DUMMYFUNCTION("""COMPUTED_VALUE"""),"Бандаж на коленный сустав эластичный 6040 L (Болгария) - 0921068KZ068")</f>
        <v>Бандаж на коленный сустав эластичный 6040 L (Болгария) - 0921068KZ068</v>
      </c>
      <c r="G1643" s="1" t="str">
        <f ca="1">IFERROR(__xludf.DUMMYFUNCTION("""COMPUTED_VALUE"""),"KZ.7700.02.01.00787627 / Действительно до 03.09.2026 / 0921068KZ068 / годен до 03.09.2026 г")</f>
        <v>KZ.7700.02.01.00787627 / Действительно до 03.09.2026 / 0921068KZ068 / годен до 03.09.2026 г</v>
      </c>
      <c r="H1643" s="1" t="str">
        <f ca="1">IFERROR(__xludf.DUMMYFUNCTION("""COMPUTED_VALUE"""),"Бандаж на коленный сустав эластичный 6040 L (Болгария) KZ.7700.02.01.00787627 / Действительно до 03.09.2026 / 0921068KZ068 / годен до 03.09.2026 г")</f>
        <v>Бандаж на коленный сустав эластичный 6040 L (Болгария) KZ.7700.02.01.00787627 / Действительно до 03.09.2026 / 0921068KZ068 / годен до 03.09.2026 г</v>
      </c>
    </row>
    <row r="1644" spans="1:8" ht="12.75" x14ac:dyDescent="0.2">
      <c r="A1644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1644" s="1" t="str">
        <f ca="1">IFERROR(__xludf.DUMMYFUNCTION("""COMPUTED_VALUE"""),"KZ.7700.02.01.00787635")</f>
        <v>KZ.7700.02.01.00787635</v>
      </c>
      <c r="C1644" s="1" t="str">
        <f ca="1">IFERROR(__xludf.DUMMYFUNCTION("""COMPUTED_VALUE"""),"Действительно до 03.09.2026")</f>
        <v>Действительно до 03.09.2026</v>
      </c>
      <c r="D1644" s="8" t="str">
        <f ca="1">IFERROR(__xludf.DUMMYFUNCTION("""COMPUTED_VALUE"""),"0921068KZ068")</f>
        <v>0921068KZ068</v>
      </c>
      <c r="E1644" s="1" t="str">
        <f ca="1">IFERROR(__xludf.DUMMYFUNCTION("""COMPUTED_VALUE"""),"годен до 03.09.2026 г")</f>
        <v>годен до 03.09.2026 г</v>
      </c>
      <c r="F1644" s="1" t="str">
        <f ca="1">IFERROR(__xludf.DUMMYFUNCTION("""COMPUTED_VALUE"""),"Бандаж на коленный сустав эластичный 6040 M (Болгария) - 0921068KZ068")</f>
        <v>Бандаж на коленный сустав эластичный 6040 M (Болгария) - 0921068KZ068</v>
      </c>
      <c r="G1644" s="1" t="str">
        <f ca="1">IFERROR(__xludf.DUMMYFUNCTION("""COMPUTED_VALUE"""),"KZ.7700.02.01.00787635 / Действительно до 03.09.2026 / 0921068KZ068 / годен до 03.09.2026 г")</f>
        <v>KZ.7700.02.01.00787635 / Действительно до 03.09.2026 / 0921068KZ068 / годен до 03.09.2026 г</v>
      </c>
      <c r="H1644" s="1" t="str">
        <f ca="1">IFERROR(__xludf.DUMMYFUNCTION("""COMPUTED_VALUE"""),"Бандаж на коленный сустав эластичный 6040 M (Болгария) KZ.7700.02.01.00787635 / Действительно до 03.09.2026 / 0921068KZ068 / годен до 03.09.2026 г")</f>
        <v>Бандаж на коленный сустав эластичный 6040 M (Болгария) KZ.7700.02.01.00787635 / Действительно до 03.09.2026 / 0921068KZ068 / годен до 03.09.2026 г</v>
      </c>
    </row>
    <row r="1645" spans="1:8" ht="12.75" x14ac:dyDescent="0.2">
      <c r="A1645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1645" s="1" t="str">
        <f ca="1">IFERROR(__xludf.DUMMYFUNCTION("""COMPUTED_VALUE"""),"KZ.7700.02.01.00787642")</f>
        <v>KZ.7700.02.01.00787642</v>
      </c>
      <c r="C1645" s="1" t="str">
        <f ca="1">IFERROR(__xludf.DUMMYFUNCTION("""COMPUTED_VALUE"""),"Действительно до 03.09.2026")</f>
        <v>Действительно до 03.09.2026</v>
      </c>
      <c r="D1645" s="8" t="str">
        <f ca="1">IFERROR(__xludf.DUMMYFUNCTION("""COMPUTED_VALUE"""),"0921068KZ068")</f>
        <v>0921068KZ068</v>
      </c>
      <c r="E1645" s="1" t="str">
        <f ca="1">IFERROR(__xludf.DUMMYFUNCTION("""COMPUTED_VALUE"""),"годен до 03.09.2026 г")</f>
        <v>годен до 03.09.2026 г</v>
      </c>
      <c r="F1645" s="1" t="str">
        <f ca="1">IFERROR(__xludf.DUMMYFUNCTION("""COMPUTED_VALUE"""),"Бандаж на коленный сустав эластичный 6040 XL (Болгария) - 0921068KZ068")</f>
        <v>Бандаж на коленный сустав эластичный 6040 XL (Болгария) - 0921068KZ068</v>
      </c>
      <c r="G1645" s="1" t="str">
        <f ca="1">IFERROR(__xludf.DUMMYFUNCTION("""COMPUTED_VALUE"""),"KZ.7700.02.01.00787642 / Действительно до 03.09.2026 / 0921068KZ068 / годен до 03.09.2026 г")</f>
        <v>KZ.7700.02.01.00787642 / Действительно до 03.09.2026 / 0921068KZ068 / годен до 03.09.2026 г</v>
      </c>
      <c r="H1645" s="1" t="str">
        <f ca="1">IFERROR(__xludf.DUMMYFUNCTION("""COMPUTED_VALUE"""),"Бандаж на коленный сустав эластичный 6040 XL (Болгария) KZ.7700.02.01.00787642 / Действительно до 03.09.2026 / 0921068KZ068 / годен до 03.09.2026 г")</f>
        <v>Бандаж на коленный сустав эластичный 6040 XL (Болгария) KZ.7700.02.01.00787642 / Действительно до 03.09.2026 / 0921068KZ068 / годен до 03.09.2026 г</v>
      </c>
    </row>
    <row r="1646" spans="1:8" ht="12.75" x14ac:dyDescent="0.2">
      <c r="A1646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1646" s="1" t="str">
        <f ca="1">IFERROR(__xludf.DUMMYFUNCTION("""COMPUTED_VALUE"""),"KZ.7700.02.01.00787626")</f>
        <v>KZ.7700.02.01.00787626</v>
      </c>
      <c r="C1646" s="1" t="str">
        <f ca="1">IFERROR(__xludf.DUMMYFUNCTION("""COMPUTED_VALUE"""),"Действительно до 03.09.2026")</f>
        <v>Действительно до 03.09.2026</v>
      </c>
      <c r="D1646" s="8" t="str">
        <f ca="1">IFERROR(__xludf.DUMMYFUNCTION("""COMPUTED_VALUE"""),"0921068KZ068")</f>
        <v>0921068KZ068</v>
      </c>
      <c r="E1646" s="1" t="str">
        <f ca="1">IFERROR(__xludf.DUMMYFUNCTION("""COMPUTED_VALUE"""),"годен до 03.09.2026 г")</f>
        <v>годен до 03.09.2026 г</v>
      </c>
      <c r="F1646" s="1" t="str">
        <f ca="1">IFERROR(__xludf.DUMMYFUNCTION("""COMPUTED_VALUE"""),"Бандаж на коленный сустав разъемный 6058 S\M (Болгария) - 0921068KZ068")</f>
        <v>Бандаж на коленный сустав разъемный 6058 S\M (Болгария) - 0921068KZ068</v>
      </c>
      <c r="G1646" s="1" t="str">
        <f ca="1">IFERROR(__xludf.DUMMYFUNCTION("""COMPUTED_VALUE"""),"KZ.7700.02.01.00787626 / Действительно до 03.09.2026 / 0921068KZ068 / годен до 03.09.2026 г")</f>
        <v>KZ.7700.02.01.00787626 / Действительно до 03.09.2026 / 0921068KZ068 / годен до 03.09.2026 г</v>
      </c>
      <c r="H1646" s="1" t="str">
        <f ca="1">IFERROR(__xludf.DUMMYFUNCTION("""COMPUTED_VALUE"""),"Бандаж на коленный сустав разъемный 6058 S\M (Болгария) KZ.7700.02.01.00787626 / Действительно до 03.09.2026 / 0921068KZ068 / годен до 03.09.2026 г")</f>
        <v>Бандаж на коленный сустав разъемный 6058 S\M (Болгария) KZ.7700.02.01.00787626 / Действительно до 03.09.2026 / 0921068KZ068 / годен до 03.09.2026 г</v>
      </c>
    </row>
    <row r="1647" spans="1:8" ht="12.75" x14ac:dyDescent="0.2">
      <c r="A1647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1647" s="1" t="str">
        <f ca="1">IFERROR(__xludf.DUMMYFUNCTION("""COMPUTED_VALUE"""),"KZ.7700.02.01.00787629")</f>
        <v>KZ.7700.02.01.00787629</v>
      </c>
      <c r="C1647" s="1" t="str">
        <f ca="1">IFERROR(__xludf.DUMMYFUNCTION("""COMPUTED_VALUE"""),"Действительно до 03.09.2026")</f>
        <v>Действительно до 03.09.2026</v>
      </c>
      <c r="D1647" s="8" t="str">
        <f ca="1">IFERROR(__xludf.DUMMYFUNCTION("""COMPUTED_VALUE"""),"0921068KZ068")</f>
        <v>0921068KZ068</v>
      </c>
      <c r="E1647" s="1" t="str">
        <f ca="1">IFERROR(__xludf.DUMMYFUNCTION("""COMPUTED_VALUE"""),"годен до 03.09.2026 г")</f>
        <v>годен до 03.09.2026 г</v>
      </c>
      <c r="F1647" s="1" t="str">
        <f ca="1">IFERROR(__xludf.DUMMYFUNCTION("""COMPUTED_VALUE"""),"Бандаж на коленный сустав разъемный 6058 XXL (Болгария) - 0921068KZ068")</f>
        <v>Бандаж на коленный сустав разъемный 6058 XXL (Болгария) - 0921068KZ068</v>
      </c>
      <c r="G1647" s="1" t="str">
        <f ca="1">IFERROR(__xludf.DUMMYFUNCTION("""COMPUTED_VALUE"""),"KZ.7700.02.01.00787629 / Действительно до 03.09.2026 / 0921068KZ068 / годен до 03.09.2026 г")</f>
        <v>KZ.7700.02.01.00787629 / Действительно до 03.09.2026 / 0921068KZ068 / годен до 03.09.2026 г</v>
      </c>
      <c r="H1647" s="1" t="str">
        <f ca="1">IFERROR(__xludf.DUMMYFUNCTION("""COMPUTED_VALUE"""),"Бандаж на коленный сустав разъемный 6058 XXL (Болгария) KZ.7700.02.01.00787629 / Действительно до 03.09.2026 / 0921068KZ068 / годен до 03.09.2026 г")</f>
        <v>Бандаж на коленный сустав разъемный 6058 XXL (Болгария) KZ.7700.02.01.00787629 / Действительно до 03.09.2026 / 0921068KZ068 / годен до 03.09.2026 г</v>
      </c>
    </row>
    <row r="1648" spans="1:8" ht="12.75" x14ac:dyDescent="0.2">
      <c r="A1648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1648" s="1" t="str">
        <f ca="1">IFERROR(__xludf.DUMMYFUNCTION("""COMPUTED_VALUE"""),"KZ.7700.02.01.00787637")</f>
        <v>KZ.7700.02.01.00787637</v>
      </c>
      <c r="C1648" s="1" t="str">
        <f ca="1">IFERROR(__xludf.DUMMYFUNCTION("""COMPUTED_VALUE"""),"Действительно до 03.09.2026")</f>
        <v>Действительно до 03.09.2026</v>
      </c>
      <c r="D1648" s="8" t="str">
        <f ca="1">IFERROR(__xludf.DUMMYFUNCTION("""COMPUTED_VALUE"""),"0921068KZ068")</f>
        <v>0921068KZ068</v>
      </c>
      <c r="E1648" s="1" t="str">
        <f ca="1">IFERROR(__xludf.DUMMYFUNCTION("""COMPUTED_VALUE"""),"годен до 03.09.2026 г")</f>
        <v>годен до 03.09.2026 г</v>
      </c>
      <c r="F1648" s="1" t="str">
        <f ca="1">IFERROR(__xludf.DUMMYFUNCTION("""COMPUTED_VALUE"""),"Бандаж на голеностопный сустав легкой фиксации 7034 L (бежевый) (Болгария) - 0921068KZ068")</f>
        <v>Бандаж на голеностопный сустав легкой фиксации 7034 L (бежевый) (Болгария) - 0921068KZ068</v>
      </c>
      <c r="G1648" s="1" t="str">
        <f ca="1">IFERROR(__xludf.DUMMYFUNCTION("""COMPUTED_VALUE"""),"KZ.7700.02.01.00787637 / Действительно до 03.09.2026 / 0921068KZ068 / годен до 03.09.2026 г")</f>
        <v>KZ.7700.02.01.00787637 / Действительно до 03.09.2026 / 0921068KZ068 / годен до 03.09.2026 г</v>
      </c>
      <c r="H1648" s="1" t="str">
        <f ca="1">IFERROR(__xludf.DUMMYFUNCTION("""COMPUTED_VALUE"""),"Бандаж на голеностопный сустав легкой фиксации 7034 L (бежевый) (Болгария) KZ.7700.02.01.00787637 / Действительно до 03.09.2026 / 0921068KZ068 / годен до 03.09.2026 г")</f>
        <v>Бандаж на голеностопный сустав легкой фиксации 7034 L (бежевый) (Болгария) KZ.7700.02.01.00787637 / Действительно до 03.09.2026 / 0921068KZ068 / годен до 03.09.2026 г</v>
      </c>
    </row>
    <row r="1649" spans="1:8" ht="12.75" x14ac:dyDescent="0.2">
      <c r="A1649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1649" s="1" t="str">
        <f ca="1">IFERROR(__xludf.DUMMYFUNCTION("""COMPUTED_VALUE"""),"KZ.7700.02.01.00787639")</f>
        <v>KZ.7700.02.01.00787639</v>
      </c>
      <c r="C1649" s="1" t="str">
        <f ca="1">IFERROR(__xludf.DUMMYFUNCTION("""COMPUTED_VALUE"""),"Действительно до 03.09.2026")</f>
        <v>Действительно до 03.09.2026</v>
      </c>
      <c r="D1649" s="8" t="str">
        <f ca="1">IFERROR(__xludf.DUMMYFUNCTION("""COMPUTED_VALUE"""),"0921068KZ068")</f>
        <v>0921068KZ068</v>
      </c>
      <c r="E1649" s="1" t="str">
        <f ca="1">IFERROR(__xludf.DUMMYFUNCTION("""COMPUTED_VALUE"""),"годен до 03.09.2026 г")</f>
        <v>годен до 03.09.2026 г</v>
      </c>
      <c r="F1649" s="1" t="str">
        <f ca="1">IFERROR(__xludf.DUMMYFUNCTION("""COMPUTED_VALUE"""),"Бандаж на голеностопный сустав легкой фиксации 7034 M (бежевый) (Болгария) - 0921068KZ068")</f>
        <v>Бандаж на голеностопный сустав легкой фиксации 7034 M (бежевый) (Болгария) - 0921068KZ068</v>
      </c>
      <c r="G1649" s="1" t="str">
        <f ca="1">IFERROR(__xludf.DUMMYFUNCTION("""COMPUTED_VALUE"""),"KZ.7700.02.01.00787639 / Действительно до 03.09.2026 / 0921068KZ068 / годен до 03.09.2026 г")</f>
        <v>KZ.7700.02.01.00787639 / Действительно до 03.09.2026 / 0921068KZ068 / годен до 03.09.2026 г</v>
      </c>
      <c r="H1649" s="1" t="str">
        <f ca="1">IFERROR(__xludf.DUMMYFUNCTION("""COMPUTED_VALUE"""),"Бандаж на голеностопный сустав легкой фиксации 7034 M (бежевый) (Болгария) KZ.7700.02.01.00787639 / Действительно до 03.09.2026 / 0921068KZ068 / годен до 03.09.2026 г")</f>
        <v>Бандаж на голеностопный сустав легкой фиксации 7034 M (бежевый) (Болгария) KZ.7700.02.01.00787639 / Действительно до 03.09.2026 / 0921068KZ068 / годен до 03.09.2026 г</v>
      </c>
    </row>
    <row r="1650" spans="1:8" ht="12.75" x14ac:dyDescent="0.2">
      <c r="A1650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1650" s="1" t="str">
        <f ca="1">IFERROR(__xludf.DUMMYFUNCTION("""COMPUTED_VALUE"""),"KZ.7700.02.01.00787431")</f>
        <v>KZ.7700.02.01.00787431</v>
      </c>
      <c r="C1650" s="1" t="str">
        <f ca="1">IFERROR(__xludf.DUMMYFUNCTION("""COMPUTED_VALUE"""),"Действительно до 03.09.2026")</f>
        <v>Действительно до 03.09.2026</v>
      </c>
      <c r="D1650" s="8" t="str">
        <f ca="1">IFERROR(__xludf.DUMMYFUNCTION("""COMPUTED_VALUE"""),"0921068KZ068")</f>
        <v>0921068KZ068</v>
      </c>
      <c r="E1650" s="1" t="str">
        <f ca="1">IFERROR(__xludf.DUMMYFUNCTION("""COMPUTED_VALUE"""),"годен до 03.09.2026 г")</f>
        <v>годен до 03.09.2026 г</v>
      </c>
      <c r="F1650" s="1" t="str">
        <f ca="1">IFERROR(__xludf.DUMMYFUNCTION("""COMPUTED_VALUE"""),"Бандаж на голеностопный сустав легкой фиксации 7034 XL (бежевый) (Болгария) - 0921068KZ068")</f>
        <v>Бандаж на голеностопный сустав легкой фиксации 7034 XL (бежевый) (Болгария) - 0921068KZ068</v>
      </c>
      <c r="G1650" s="1" t="str">
        <f ca="1">IFERROR(__xludf.DUMMYFUNCTION("""COMPUTED_VALUE"""),"KZ.7700.02.01.00787431 / Действительно до 03.09.2026 / 0921068KZ068 / годен до 03.09.2026 г")</f>
        <v>KZ.7700.02.01.00787431 / Действительно до 03.09.2026 / 0921068KZ068 / годен до 03.09.2026 г</v>
      </c>
      <c r="H1650" s="1" t="str">
        <f ca="1">IFERROR(__xludf.DUMMYFUNCTION("""COMPUTED_VALUE"""),"Бандаж на голеностопный сустав легкой фиксации 7034 XL (бежевый) (Болгария) KZ.7700.02.01.00787431 / Действительно до 03.09.2026 / 0921068KZ068 / годен до 03.09.2026 г")</f>
        <v>Бандаж на голеностопный сустав легкой фиксации 7034 XL (бежевый) (Болгария) KZ.7700.02.01.00787431 / Действительно до 03.09.2026 / 0921068KZ068 / годен до 03.09.2026 г</v>
      </c>
    </row>
    <row r="1651" spans="1:8" ht="12.75" x14ac:dyDescent="0.2">
      <c r="A1651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651" s="1" t="str">
        <f ca="1">IFERROR(__xludf.DUMMYFUNCTION("""COMPUTED_VALUE"""),"KZ.7700.02.01.00787472")</f>
        <v>KZ.7700.02.01.00787472</v>
      </c>
      <c r="C1651" s="1" t="str">
        <f ca="1">IFERROR(__xludf.DUMMYFUNCTION("""COMPUTED_VALUE"""),"Действительно до 03.09.2026")</f>
        <v>Действительно до 03.09.2026</v>
      </c>
      <c r="D1651" s="8" t="str">
        <f ca="1">IFERROR(__xludf.DUMMYFUNCTION("""COMPUTED_VALUE"""),"0921068KZ068")</f>
        <v>0921068KZ068</v>
      </c>
      <c r="E1651" s="1" t="str">
        <f ca="1">IFERROR(__xludf.DUMMYFUNCTION("""COMPUTED_VALUE"""),"годен до 03.09.2026 г")</f>
        <v>годен до 03.09.2026 г</v>
      </c>
      <c r="F1651" s="1" t="str">
        <f ca="1">IFERROR(__xludf.DUMMYFUNCTION("""COMPUTED_VALUE"""),"Бандаж на голеностопный сустав эластичный 7035 M (Болгария) - 0921068KZ068")</f>
        <v>Бандаж на голеностопный сустав эластичный 7035 M (Болгария) - 0921068KZ068</v>
      </c>
      <c r="G1651" s="1" t="str">
        <f ca="1">IFERROR(__xludf.DUMMYFUNCTION("""COMPUTED_VALUE"""),"KZ.7700.02.01.00787472 / Действительно до 03.09.2026 / 0921068KZ068 / годен до 03.09.2026 г")</f>
        <v>KZ.7700.02.01.00787472 / Действительно до 03.09.2026 / 0921068KZ068 / годен до 03.09.2026 г</v>
      </c>
      <c r="H1651" s="1" t="str">
        <f ca="1">IFERROR(__xludf.DUMMYFUNCTION("""COMPUTED_VALUE"""),"Бандаж на голеностопный сустав эластичный 7035 M (Болгария) KZ.7700.02.01.00787472 / Действительно до 03.09.2026 / 0921068KZ068 / годен до 03.09.2026 г")</f>
        <v>Бандаж на голеностопный сустав эластичный 7035 M (Болгария) KZ.7700.02.01.00787472 / Действительно до 03.09.2026 / 0921068KZ068 / годен до 03.09.2026 г</v>
      </c>
    </row>
    <row r="1652" spans="1:8" ht="12.75" x14ac:dyDescent="0.2">
      <c r="A1652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1652" s="1" t="str">
        <f ca="1">IFERROR(__xludf.DUMMYFUNCTION("""COMPUTED_VALUE"""),"KZ.7700.02.01.00787643")</f>
        <v>KZ.7700.02.01.00787643</v>
      </c>
      <c r="C1652" s="1" t="str">
        <f ca="1">IFERROR(__xludf.DUMMYFUNCTION("""COMPUTED_VALUE"""),"Действительно до 03.09.2026")</f>
        <v>Действительно до 03.09.2026</v>
      </c>
      <c r="D1652" s="8" t="str">
        <f ca="1">IFERROR(__xludf.DUMMYFUNCTION("""COMPUTED_VALUE"""),"0921068KZ068")</f>
        <v>0921068KZ068</v>
      </c>
      <c r="E1652" s="1" t="str">
        <f ca="1">IFERROR(__xludf.DUMMYFUNCTION("""COMPUTED_VALUE"""),"годен до 03.09.2026 г")</f>
        <v>годен до 03.09.2026 г</v>
      </c>
      <c r="F1652" s="1" t="str">
        <f ca="1">IFERROR(__xludf.DUMMYFUNCTION("""COMPUTED_VALUE"""),"Бандаж на голеностопный сустав эластичный 7035 S (Болгария) - 0921068KZ068")</f>
        <v>Бандаж на голеностопный сустав эластичный 7035 S (Болгария) - 0921068KZ068</v>
      </c>
      <c r="G1652" s="1" t="str">
        <f ca="1">IFERROR(__xludf.DUMMYFUNCTION("""COMPUTED_VALUE"""),"KZ.7700.02.01.00787643 / Действительно до 03.09.2026 / 0921068KZ068 / годен до 03.09.2026 г")</f>
        <v>KZ.7700.02.01.00787643 / Действительно до 03.09.2026 / 0921068KZ068 / годен до 03.09.2026 г</v>
      </c>
      <c r="H1652" s="1" t="str">
        <f ca="1">IFERROR(__xludf.DUMMYFUNCTION("""COMPUTED_VALUE"""),"Бандаж на голеностопный сустав эластичный 7035 S (Болгария) KZ.7700.02.01.00787643 / Действительно до 03.09.2026 / 0921068KZ068 / годен до 03.09.2026 г")</f>
        <v>Бандаж на голеностопный сустав эластичный 7035 S (Болгария) KZ.7700.02.01.00787643 / Действительно до 03.09.2026 / 0921068KZ068 / годен до 03.09.2026 г</v>
      </c>
    </row>
    <row r="1653" spans="1:8" ht="12.75" x14ac:dyDescent="0.2">
      <c r="A1653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1653" s="1" t="str">
        <f ca="1">IFERROR(__xludf.DUMMYFUNCTION("""COMPUTED_VALUE"""),"KZ.7700.02.01.00787492")</f>
        <v>KZ.7700.02.01.00787492</v>
      </c>
      <c r="C1653" s="1" t="str">
        <f ca="1">IFERROR(__xludf.DUMMYFUNCTION("""COMPUTED_VALUE"""),"Действительно до 03.09.2026")</f>
        <v>Действительно до 03.09.2026</v>
      </c>
      <c r="D1653" s="8" t="str">
        <f ca="1">IFERROR(__xludf.DUMMYFUNCTION("""COMPUTED_VALUE"""),"0921068KZ068")</f>
        <v>0921068KZ068</v>
      </c>
      <c r="E1653" s="1" t="str">
        <f ca="1">IFERROR(__xludf.DUMMYFUNCTION("""COMPUTED_VALUE"""),"годен до 03.09.2026 г")</f>
        <v>годен до 03.09.2026 г</v>
      </c>
      <c r="F1653" s="1" t="str">
        <f ca="1">IFERROR(__xludf.DUMMYFUNCTION("""COMPUTED_VALUE"""),"Бандаж на голеностопный сустав эластичный 7035 XL (Болгария) - 0921068KZ068")</f>
        <v>Бандаж на голеностопный сустав эластичный 7035 XL (Болгария) - 0921068KZ068</v>
      </c>
      <c r="G1653" s="1" t="str">
        <f ca="1">IFERROR(__xludf.DUMMYFUNCTION("""COMPUTED_VALUE"""),"KZ.7700.02.01.00787492 / Действительно до 03.09.2026 / 0921068KZ068 / годен до 03.09.2026 г")</f>
        <v>KZ.7700.02.01.00787492 / Действительно до 03.09.2026 / 0921068KZ068 / годен до 03.09.2026 г</v>
      </c>
      <c r="H1653" s="1" t="str">
        <f ca="1">IFERROR(__xludf.DUMMYFUNCTION("""COMPUTED_VALUE"""),"Бандаж на голеностопный сустав эластичный 7035 XL (Болгария) KZ.7700.02.01.00787492 / Действительно до 03.09.2026 / 0921068KZ068 / годен до 03.09.2026 г")</f>
        <v>Бандаж на голеностопный сустав эластичный 7035 XL (Болгария) KZ.7700.02.01.00787492 / Действительно до 03.09.2026 / 0921068KZ068 / годен до 03.09.2026 г</v>
      </c>
    </row>
    <row r="1654" spans="1:8" ht="12.75" x14ac:dyDescent="0.2">
      <c r="A1654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1654" s="1" t="str">
        <f ca="1">IFERROR(__xludf.DUMMYFUNCTION("""COMPUTED_VALUE"""),"KZ.7700.02.01.00787505")</f>
        <v>KZ.7700.02.01.00787505</v>
      </c>
      <c r="C1654" s="1" t="str">
        <f ca="1">IFERROR(__xludf.DUMMYFUNCTION("""COMPUTED_VALUE"""),"Действительно до 03.09.2026")</f>
        <v>Действительно до 03.09.2026</v>
      </c>
      <c r="D1654" s="8" t="str">
        <f ca="1">IFERROR(__xludf.DUMMYFUNCTION("""COMPUTED_VALUE"""),"0921068KZ068")</f>
        <v>0921068KZ068</v>
      </c>
      <c r="E1654" s="1" t="str">
        <f ca="1">IFERROR(__xludf.DUMMYFUNCTION("""COMPUTED_VALUE"""),"годен до 03.09.2026 г")</f>
        <v>годен до 03.09.2026 г</v>
      </c>
      <c r="F1654" s="1" t="str">
        <f ca="1">IFERROR(__xludf.DUMMYFUNCTION("""COMPUTED_VALUE"""),"Бандаж на локтевой сустав эластичный 8317 L (Болгария) - 0921068KZ068")</f>
        <v>Бандаж на локтевой сустав эластичный 8317 L (Болгария) - 0921068KZ068</v>
      </c>
      <c r="G1654" s="1" t="str">
        <f ca="1">IFERROR(__xludf.DUMMYFUNCTION("""COMPUTED_VALUE"""),"KZ.7700.02.01.00787505 / Действительно до 03.09.2026 / 0921068KZ068 / годен до 03.09.2026 г")</f>
        <v>KZ.7700.02.01.00787505 / Действительно до 03.09.2026 / 0921068KZ068 / годен до 03.09.2026 г</v>
      </c>
      <c r="H1654" s="1" t="str">
        <f ca="1">IFERROR(__xludf.DUMMYFUNCTION("""COMPUTED_VALUE"""),"Бандаж на локтевой сустав эластичный 8317 L (Болгария) KZ.7700.02.01.00787505 / Действительно до 03.09.2026 / 0921068KZ068 / годен до 03.09.2026 г")</f>
        <v>Бандаж на локтевой сустав эластичный 8317 L (Болгария) KZ.7700.02.01.00787505 / Действительно до 03.09.2026 / 0921068KZ068 / годен до 03.09.2026 г</v>
      </c>
    </row>
    <row r="1655" spans="1:8" ht="12.75" x14ac:dyDescent="0.2">
      <c r="A1655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1655" s="1" t="str">
        <f ca="1">IFERROR(__xludf.DUMMYFUNCTION("""COMPUTED_VALUE"""),"KZ.7700.02.01.00787498")</f>
        <v>KZ.7700.02.01.00787498</v>
      </c>
      <c r="C1655" s="1" t="str">
        <f ca="1">IFERROR(__xludf.DUMMYFUNCTION("""COMPUTED_VALUE"""),"Действительно до 03.09.2026")</f>
        <v>Действительно до 03.09.2026</v>
      </c>
      <c r="D1655" s="8" t="str">
        <f ca="1">IFERROR(__xludf.DUMMYFUNCTION("""COMPUTED_VALUE"""),"0921068KZ068")</f>
        <v>0921068KZ068</v>
      </c>
      <c r="E1655" s="1" t="str">
        <f ca="1">IFERROR(__xludf.DUMMYFUNCTION("""COMPUTED_VALUE"""),"годен до 03.09.2026 г")</f>
        <v>годен до 03.09.2026 г</v>
      </c>
      <c r="F1655" s="1" t="str">
        <f ca="1">IFERROR(__xludf.DUMMYFUNCTION("""COMPUTED_VALUE"""),"Бандаж на локтевой сустав эластичный 8317 M (Болгария) - 0921068KZ068")</f>
        <v>Бандаж на локтевой сустав эластичный 8317 M (Болгария) - 0921068KZ068</v>
      </c>
      <c r="G1655" s="1" t="str">
        <f ca="1">IFERROR(__xludf.DUMMYFUNCTION("""COMPUTED_VALUE"""),"KZ.7700.02.01.00787498 / Действительно до 03.09.2026 / 0921068KZ068 / годен до 03.09.2026 г")</f>
        <v>KZ.7700.02.01.00787498 / Действительно до 03.09.2026 / 0921068KZ068 / годен до 03.09.2026 г</v>
      </c>
      <c r="H1655" s="1" t="str">
        <f ca="1">IFERROR(__xludf.DUMMYFUNCTION("""COMPUTED_VALUE"""),"Бандаж на локтевой сустав эластичный 8317 M (Болгария) KZ.7700.02.01.00787498 / Действительно до 03.09.2026 / 0921068KZ068 / годен до 03.09.2026 г")</f>
        <v>Бандаж на локтевой сустав эластичный 8317 M (Болгария) KZ.7700.02.01.00787498 / Действительно до 03.09.2026 / 0921068KZ068 / годен до 03.09.2026 г</v>
      </c>
    </row>
    <row r="1656" spans="1:8" ht="12.75" x14ac:dyDescent="0.2">
      <c r="A1656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1656" s="1" t="str">
        <f ca="1">IFERROR(__xludf.DUMMYFUNCTION("""COMPUTED_VALUE"""),"KZ.7700.02.01.00787502")</f>
        <v>KZ.7700.02.01.00787502</v>
      </c>
      <c r="C1656" s="1" t="str">
        <f ca="1">IFERROR(__xludf.DUMMYFUNCTION("""COMPUTED_VALUE"""),"Действительно до 03.09.2026")</f>
        <v>Действительно до 03.09.2026</v>
      </c>
      <c r="D1656" s="8" t="str">
        <f ca="1">IFERROR(__xludf.DUMMYFUNCTION("""COMPUTED_VALUE"""),"0921068KZ068")</f>
        <v>0921068KZ068</v>
      </c>
      <c r="E1656" s="1" t="str">
        <f ca="1">IFERROR(__xludf.DUMMYFUNCTION("""COMPUTED_VALUE"""),"годен до 03.09.2026 г")</f>
        <v>годен до 03.09.2026 г</v>
      </c>
      <c r="F1656" s="1" t="str">
        <f ca="1">IFERROR(__xludf.DUMMYFUNCTION("""COMPUTED_VALUE"""),"Бандаж на локтевой сустав эластичный 8317 S (Болгария) - 0921068KZ068")</f>
        <v>Бандаж на локтевой сустав эластичный 8317 S (Болгария) - 0921068KZ068</v>
      </c>
      <c r="G1656" s="1" t="str">
        <f ca="1">IFERROR(__xludf.DUMMYFUNCTION("""COMPUTED_VALUE"""),"KZ.7700.02.01.00787502 / Действительно до 03.09.2026 / 0921068KZ068 / годен до 03.09.2026 г")</f>
        <v>KZ.7700.02.01.00787502 / Действительно до 03.09.2026 / 0921068KZ068 / годен до 03.09.2026 г</v>
      </c>
      <c r="H1656" s="1" t="str">
        <f ca="1">IFERROR(__xludf.DUMMYFUNCTION("""COMPUTED_VALUE"""),"Бандаж на локтевой сустав эластичный 8317 S (Болгария) KZ.7700.02.01.00787502 / Действительно до 03.09.2026 / 0921068KZ068 / годен до 03.09.2026 г")</f>
        <v>Бандаж на локтевой сустав эластичный 8317 S (Болгария) KZ.7700.02.01.00787502 / Действительно до 03.09.2026 / 0921068KZ068 / годен до 03.09.2026 г</v>
      </c>
    </row>
    <row r="1657" spans="1:8" ht="12.75" x14ac:dyDescent="0.2">
      <c r="A1657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1657" s="1" t="str">
        <f ca="1">IFERROR(__xludf.DUMMYFUNCTION("""COMPUTED_VALUE"""),"KZ.7700.02.01.00787668")</f>
        <v>KZ.7700.02.01.00787668</v>
      </c>
      <c r="C1657" s="1" t="str">
        <f ca="1">IFERROR(__xludf.DUMMYFUNCTION("""COMPUTED_VALUE"""),"Действительно до 03.09.2026")</f>
        <v>Действительно до 03.09.2026</v>
      </c>
      <c r="D1657" s="8" t="str">
        <f ca="1">IFERROR(__xludf.DUMMYFUNCTION("""COMPUTED_VALUE"""),"0921068KZ068")</f>
        <v>0921068KZ068</v>
      </c>
      <c r="E1657" s="1" t="str">
        <f ca="1">IFERROR(__xludf.DUMMYFUNCTION("""COMPUTED_VALUE"""),"годен до 03.09.2026 г")</f>
        <v>годен до 03.09.2026 г</v>
      </c>
      <c r="F1657" s="1" t="str">
        <f ca="1">IFERROR(__xludf.DUMMYFUNCTION("""COMPUTED_VALUE"""),"Бандаж на лучезапястный сустав эластичный 8503 L (Болгария) - 0921068KZ068")</f>
        <v>Бандаж на лучезапястный сустав эластичный 8503 L (Болгария) - 0921068KZ068</v>
      </c>
      <c r="G1657" s="1" t="str">
        <f ca="1">IFERROR(__xludf.DUMMYFUNCTION("""COMPUTED_VALUE"""),"KZ.7700.02.01.00787668 / Действительно до 03.09.2026 / 0921068KZ068 / годен до 03.09.2026 г")</f>
        <v>KZ.7700.02.01.00787668 / Действительно до 03.09.2026 / 0921068KZ068 / годен до 03.09.2026 г</v>
      </c>
      <c r="H1657" s="1" t="str">
        <f ca="1">IFERROR(__xludf.DUMMYFUNCTION("""COMPUTED_VALUE"""),"Бандаж на лучезапястный сустав эластичный 8503 L (Болгария) KZ.7700.02.01.00787668 / Действительно до 03.09.2026 / 0921068KZ068 / годен до 03.09.2026 г")</f>
        <v>Бандаж на лучезапястный сустав эластичный 8503 L (Болгария) KZ.7700.02.01.00787668 / Действительно до 03.09.2026 / 0921068KZ068 / годен до 03.09.2026 г</v>
      </c>
    </row>
    <row r="1658" spans="1:8" ht="12.75" x14ac:dyDescent="0.2">
      <c r="A1658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658" s="1" t="str">
        <f ca="1">IFERROR(__xludf.DUMMYFUNCTION("""COMPUTED_VALUE"""),"KZ.7700.02.01.00787489")</f>
        <v>KZ.7700.02.01.00787489</v>
      </c>
      <c r="C1658" s="1" t="str">
        <f ca="1">IFERROR(__xludf.DUMMYFUNCTION("""COMPUTED_VALUE"""),"Действительно до 03.09.2026")</f>
        <v>Действительно до 03.09.2026</v>
      </c>
      <c r="D1658" s="8" t="str">
        <f ca="1">IFERROR(__xludf.DUMMYFUNCTION("""COMPUTED_VALUE"""),"0921068KZ068")</f>
        <v>0921068KZ068</v>
      </c>
      <c r="E1658" s="1" t="str">
        <f ca="1">IFERROR(__xludf.DUMMYFUNCTION("""COMPUTED_VALUE"""),"годен до 03.09.2026 г")</f>
        <v>годен до 03.09.2026 г</v>
      </c>
      <c r="F1658" s="1" t="str">
        <f ca="1">IFERROR(__xludf.DUMMYFUNCTION("""COMPUTED_VALUE"""),"Бандаж на лучезапястный сустав эластичный 8503 M (Болгария) - 0921068KZ068")</f>
        <v>Бандаж на лучезапястный сустав эластичный 8503 M (Болгария) - 0921068KZ068</v>
      </c>
      <c r="G1658" s="1" t="str">
        <f ca="1">IFERROR(__xludf.DUMMYFUNCTION("""COMPUTED_VALUE"""),"KZ.7700.02.01.00787489 / Действительно до 03.09.2026 / 0921068KZ068 / годен до 03.09.2026 г")</f>
        <v>KZ.7700.02.01.00787489 / Действительно до 03.09.2026 / 0921068KZ068 / годен до 03.09.2026 г</v>
      </c>
      <c r="H1658" s="1" t="str">
        <f ca="1">IFERROR(__xludf.DUMMYFUNCTION("""COMPUTED_VALUE"""),"Бандаж на лучезапястный сустав эластичный 8503 M (Болгария) KZ.7700.02.01.00787489 / Действительно до 03.09.2026 / 0921068KZ068 / годен до 03.09.2026 г")</f>
        <v>Бандаж на лучезапястный сустав эластичный 8503 M (Болгария) KZ.7700.02.01.00787489 / Действительно до 03.09.2026 / 0921068KZ068 / годен до 03.09.2026 г</v>
      </c>
    </row>
    <row r="1659" spans="1:8" ht="12.75" x14ac:dyDescent="0.2">
      <c r="A1659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659" s="1" t="str">
        <f ca="1">IFERROR(__xludf.DUMMYFUNCTION("""COMPUTED_VALUE"""),"KZ.7700.02.01.00787493")</f>
        <v>KZ.7700.02.01.00787493</v>
      </c>
      <c r="C1659" s="1" t="str">
        <f ca="1">IFERROR(__xludf.DUMMYFUNCTION("""COMPUTED_VALUE"""),"Действительно до 03.09.2026")</f>
        <v>Действительно до 03.09.2026</v>
      </c>
      <c r="D1659" s="8" t="str">
        <f ca="1">IFERROR(__xludf.DUMMYFUNCTION("""COMPUTED_VALUE"""),"0921068KZ068")</f>
        <v>0921068KZ068</v>
      </c>
      <c r="E1659" s="1" t="str">
        <f ca="1">IFERROR(__xludf.DUMMYFUNCTION("""COMPUTED_VALUE"""),"годен до 03.09.2026 г")</f>
        <v>годен до 03.09.2026 г</v>
      </c>
      <c r="F1659" s="1" t="str">
        <f ca="1">IFERROR(__xludf.DUMMYFUNCTION("""COMPUTED_VALUE"""),"Бандаж на лучезапястный сустав эластичный 8503 S (Болгария) - 0921068KZ068")</f>
        <v>Бандаж на лучезапястный сустав эластичный 8503 S (Болгария) - 0921068KZ068</v>
      </c>
      <c r="G1659" s="1" t="str">
        <f ca="1">IFERROR(__xludf.DUMMYFUNCTION("""COMPUTED_VALUE"""),"KZ.7700.02.01.00787493 / Действительно до 03.09.2026 / 0921068KZ068 / годен до 03.09.2026 г")</f>
        <v>KZ.7700.02.01.00787493 / Действительно до 03.09.2026 / 0921068KZ068 / годен до 03.09.2026 г</v>
      </c>
      <c r="H1659" s="1" t="str">
        <f ca="1">IFERROR(__xludf.DUMMYFUNCTION("""COMPUTED_VALUE"""),"Бандаж на лучезапястный сустав эластичный 8503 S (Болгария) KZ.7700.02.01.00787493 / Действительно до 03.09.2026 / 0921068KZ068 / годен до 03.09.2026 г")</f>
        <v>Бандаж на лучезапястный сустав эластичный 8503 S (Болгария) KZ.7700.02.01.00787493 / Действительно до 03.09.2026 / 0921068KZ068 / годен до 03.09.2026 г</v>
      </c>
    </row>
    <row r="1660" spans="1:8" ht="12.75" x14ac:dyDescent="0.2">
      <c r="A1660" s="1" t="str">
        <f ca="1">IFERROR(__xludf.DUMMYFUNCTION("""COMPUTED_VALUE"""),"Бандаж на лучезапястный сустав эластичный 8503 XL (Болгария)")</f>
        <v>Бандаж на лучезапястный сустав эластичный 8503 XL (Болгария)</v>
      </c>
      <c r="B1660" s="1" t="str">
        <f ca="1">IFERROR(__xludf.DUMMYFUNCTION("""COMPUTED_VALUE"""),"KZ.7700.02.01.00787665")</f>
        <v>KZ.7700.02.01.00787665</v>
      </c>
      <c r="C1660" s="1" t="str">
        <f ca="1">IFERROR(__xludf.DUMMYFUNCTION("""COMPUTED_VALUE"""),"Действительно до 03.09.2026")</f>
        <v>Действительно до 03.09.2026</v>
      </c>
      <c r="D1660" s="8" t="str">
        <f ca="1">IFERROR(__xludf.DUMMYFUNCTION("""COMPUTED_VALUE"""),"0921068KZ068")</f>
        <v>0921068KZ068</v>
      </c>
      <c r="E1660" s="1" t="str">
        <f ca="1">IFERROR(__xludf.DUMMYFUNCTION("""COMPUTED_VALUE"""),"годен до 03.09.2026 г")</f>
        <v>годен до 03.09.2026 г</v>
      </c>
      <c r="F1660" s="1" t="str">
        <f ca="1">IFERROR(__xludf.DUMMYFUNCTION("""COMPUTED_VALUE"""),"Бандаж на лучезапястный сустав эластичный 8503 XL (Болгария) - 0921068KZ068")</f>
        <v>Бандаж на лучезапястный сустав эластичный 8503 XL (Болгария) - 0921068KZ068</v>
      </c>
      <c r="G1660" s="1" t="str">
        <f ca="1">IFERROR(__xludf.DUMMYFUNCTION("""COMPUTED_VALUE"""),"KZ.7700.02.01.00787665 / Действительно до 03.09.2026 / 0921068KZ068 / годен до 03.09.2026 г")</f>
        <v>KZ.7700.02.01.00787665 / Действительно до 03.09.2026 / 0921068KZ068 / годен до 03.09.2026 г</v>
      </c>
      <c r="H1660" s="1" t="str">
        <f ca="1">IFERROR(__xludf.DUMMYFUNCTION("""COMPUTED_VALUE"""),"Бандаж на лучезапястный сустав эластичный 8503 XL (Болгария) KZ.7700.02.01.00787665 / Действительно до 03.09.2026 / 0921068KZ068 / годен до 03.09.2026 г")</f>
        <v>Бандаж на лучезапястный сустав эластичный 8503 XL (Болгария) KZ.7700.02.01.00787665 / Действительно до 03.09.2026 / 0921068KZ068 / годен до 03.09.2026 г</v>
      </c>
    </row>
    <row r="1661" spans="1:8" ht="12.75" x14ac:dyDescent="0.2">
      <c r="A1661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1661" s="1" t="str">
        <f ca="1">IFERROR(__xludf.DUMMYFUNCTION("""COMPUTED_VALUE"""),"KZ.7700.02.01.00787675")</f>
        <v>KZ.7700.02.01.00787675</v>
      </c>
      <c r="C1661" s="1" t="str">
        <f ca="1">IFERROR(__xludf.DUMMYFUNCTION("""COMPUTED_VALUE"""),"Действительно до 03.09.2026")</f>
        <v>Действительно до 03.09.2026</v>
      </c>
      <c r="D1661" s="8" t="str">
        <f ca="1">IFERROR(__xludf.DUMMYFUNCTION("""COMPUTED_VALUE"""),"0921068KZ068")</f>
        <v>0921068KZ068</v>
      </c>
      <c r="E1661" s="1" t="str">
        <f ca="1">IFERROR(__xludf.DUMMYFUNCTION("""COMPUTED_VALUE"""),"годен до 03.09.2026 г")</f>
        <v>годен до 03.09.2026 г</v>
      </c>
      <c r="F1661" s="1" t="str">
        <f ca="1">IFERROR(__xludf.DUMMYFUNCTION("""COMPUTED_VALUE"""),"Бандаж на лучезапястный сустав легкой фиксации 8505 S/M (Бежевый) (Болгария) - 0921068KZ068")</f>
        <v>Бандаж на лучезапястный сустав легкой фиксации 8505 S/M (Бежевый) (Болгария) - 0921068KZ068</v>
      </c>
      <c r="G1661" s="1" t="str">
        <f ca="1">IFERROR(__xludf.DUMMYFUNCTION("""COMPUTED_VALUE"""),"KZ.7700.02.01.00787675 / Действительно до 03.09.2026 / 0921068KZ068 / годен до 03.09.2026 г")</f>
        <v>KZ.7700.02.01.00787675 / Действительно до 03.09.2026 / 0921068KZ068 / годен до 03.09.2026 г</v>
      </c>
      <c r="H1661" s="1" t="str">
        <f ca="1">IFERROR(__xludf.DUMMYFUNCTION("""COMPUTED_VALUE"""),"Бандаж на лучезапястный сустав легкой фиксации 8505 S/M (Бежевый) (Болгария) KZ.7700.02.01.00787675 / Действительно до 03.09.2026 / 0921068KZ068 / годен до 03.09.2026 г")</f>
        <v>Бандаж на лучезапястный сустав легкой фиксации 8505 S/M (Бежевый) (Болгария) KZ.7700.02.01.00787675 / Действительно до 03.09.2026 / 0921068KZ068 / годен до 03.09.2026 г</v>
      </c>
    </row>
    <row r="1662" spans="1:8" ht="12.75" x14ac:dyDescent="0.2">
      <c r="A1662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662" s="1" t="str">
        <f ca="1">IFERROR(__xludf.DUMMYFUNCTION("""COMPUTED_VALUE"""),"KZ.7700.02.01.00787666")</f>
        <v>KZ.7700.02.01.00787666</v>
      </c>
      <c r="C1662" s="1" t="str">
        <f ca="1">IFERROR(__xludf.DUMMYFUNCTION("""COMPUTED_VALUE"""),"Действительно до 03.09.2026")</f>
        <v>Действительно до 03.09.2026</v>
      </c>
      <c r="D1662" s="8" t="str">
        <f ca="1">IFERROR(__xludf.DUMMYFUNCTION("""COMPUTED_VALUE"""),"0921068KZ068")</f>
        <v>0921068KZ068</v>
      </c>
      <c r="E1662" s="1" t="str">
        <f ca="1">IFERROR(__xludf.DUMMYFUNCTION("""COMPUTED_VALUE"""),"годен до 03.09.2026 г")</f>
        <v>годен до 03.09.2026 г</v>
      </c>
      <c r="F1662" s="1" t="str">
        <f ca="1">IFERROR(__xludf.DUMMYFUNCTION("""COMPUTED_VALUE"""),"Бандаж на лучезапястный сустав с фиксацией пальца 8552 L\XL (Болгария) - 0921068KZ068")</f>
        <v>Бандаж на лучезапястный сустав с фиксацией пальца 8552 L\XL (Болгария) - 0921068KZ068</v>
      </c>
      <c r="G1662" s="1" t="str">
        <f ca="1">IFERROR(__xludf.DUMMYFUNCTION("""COMPUTED_VALUE"""),"KZ.7700.02.01.00787666 / Действительно до 03.09.2026 / 0921068KZ068 / годен до 03.09.2026 г")</f>
        <v>KZ.7700.02.01.00787666 / Действительно до 03.09.2026 / 0921068KZ068 / годен до 03.09.2026 г</v>
      </c>
      <c r="H1662" s="1" t="str">
        <f ca="1">IFERROR(__xludf.DUMMYFUNCTION("""COMPUTED_VALUE"""),"Бандаж на лучезапястный сустав с фиксацией пальца 8552 L\XL (Болгария) KZ.7700.02.01.00787666 / Действительно до 03.09.2026 / 0921068KZ068 / годен до 03.09.2026 г")</f>
        <v>Бандаж на лучезапястный сустав с фиксацией пальца 8552 L\XL (Болгария) KZ.7700.02.01.00787666 / Действительно до 03.09.2026 / 0921068KZ068 / годен до 03.09.2026 г</v>
      </c>
    </row>
    <row r="1663" spans="1:8" ht="12.75" x14ac:dyDescent="0.2">
      <c r="A1663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663" s="1" t="str">
        <f ca="1">IFERROR(__xludf.DUMMYFUNCTION("""COMPUTED_VALUE"""),"KZ.7700.02.01.00787673")</f>
        <v>KZ.7700.02.01.00787673</v>
      </c>
      <c r="C1663" s="1" t="str">
        <f ca="1">IFERROR(__xludf.DUMMYFUNCTION("""COMPUTED_VALUE"""),"Действительно до 03.09.2026")</f>
        <v>Действительно до 03.09.2026</v>
      </c>
      <c r="D1663" s="8" t="str">
        <f ca="1">IFERROR(__xludf.DUMMYFUNCTION("""COMPUTED_VALUE"""),"0921068KZ068")</f>
        <v>0921068KZ068</v>
      </c>
      <c r="E1663" s="1" t="str">
        <f ca="1">IFERROR(__xludf.DUMMYFUNCTION("""COMPUTED_VALUE"""),"годен до 03.09.2026 г")</f>
        <v>годен до 03.09.2026 г</v>
      </c>
      <c r="F1663" s="1" t="str">
        <f ca="1">IFERROR(__xludf.DUMMYFUNCTION("""COMPUTED_VALUE"""),"Бандаж на лучезапястный сустав с фиксацией пальца 8552 S\M (Болгария) - 0921068KZ068")</f>
        <v>Бандаж на лучезапястный сустав с фиксацией пальца 8552 S\M (Болгария) - 0921068KZ068</v>
      </c>
      <c r="G1663" s="1" t="str">
        <f ca="1">IFERROR(__xludf.DUMMYFUNCTION("""COMPUTED_VALUE"""),"KZ.7700.02.01.00787673 / Действительно до 03.09.2026 / 0921068KZ068 / годен до 03.09.2026 г")</f>
        <v>KZ.7700.02.01.00787673 / Действительно до 03.09.2026 / 0921068KZ068 / годен до 03.09.2026 г</v>
      </c>
      <c r="H1663" s="1" t="str">
        <f ca="1">IFERROR(__xludf.DUMMYFUNCTION("""COMPUTED_VALUE"""),"Бандаж на лучезапястный сустав с фиксацией пальца 8552 S\M (Болгария) KZ.7700.02.01.00787673 / Действительно до 03.09.2026 / 0921068KZ068 / годен до 03.09.2026 г")</f>
        <v>Бандаж на лучезапястный сустав с фиксацией пальца 8552 S\M (Болгария) KZ.7700.02.01.00787673 / Действительно до 03.09.2026 / 0921068KZ068 / годен до 03.09.2026 г</v>
      </c>
    </row>
    <row r="1664" spans="1:8" ht="12.75" x14ac:dyDescent="0.2">
      <c r="A1664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1664" s="1" t="str">
        <f ca="1">IFERROR(__xludf.DUMMYFUNCTION("""COMPUTED_VALUE"""),"KZ.7700.02.01.00787670")</f>
        <v>KZ.7700.02.01.00787670</v>
      </c>
      <c r="C1664" s="1" t="str">
        <f ca="1">IFERROR(__xludf.DUMMYFUNCTION("""COMPUTED_VALUE"""),"Действительно до 03.09.2026")</f>
        <v>Действительно до 03.09.2026</v>
      </c>
      <c r="D1664" s="8" t="str">
        <f ca="1">IFERROR(__xludf.DUMMYFUNCTION("""COMPUTED_VALUE"""),"0921068KZ068")</f>
        <v>0921068KZ068</v>
      </c>
      <c r="E1664" s="1" t="str">
        <f ca="1">IFERROR(__xludf.DUMMYFUNCTION("""COMPUTED_VALUE"""),"годен до 03.09.2026 г")</f>
        <v>годен до 03.09.2026 г</v>
      </c>
      <c r="F1664" s="1" t="str">
        <f ca="1">IFERROR(__xludf.DUMMYFUNCTION("""COMPUTED_VALUE"""),"Бандаж для руки поддерживающий облегченный (косынка) 9912 L (белый) (Болгария) - 0921068KZ068")</f>
        <v>Бандаж для руки поддерживающий облегченный (косынка) 9912 L (белый) (Болгария) - 0921068KZ068</v>
      </c>
      <c r="G1664" s="1" t="str">
        <f ca="1">IFERROR(__xludf.DUMMYFUNCTION("""COMPUTED_VALUE"""),"KZ.7700.02.01.00787670 / Действительно до 03.09.2026 / 0921068KZ068 / годен до 03.09.2026 г")</f>
        <v>KZ.7700.02.01.00787670 / Действительно до 03.09.2026 / 0921068KZ068 / годен до 03.09.2026 г</v>
      </c>
      <c r="H1664" s="1" t="str">
        <f ca="1">IFERROR(__xludf.DUMMYFUNCTION("""COMPUTED_VALUE"""),"Бандаж для руки поддерживающий облегченный (косынка) 9912 L (белый) (Болгария) KZ.7700.02.01.00787670 / Действительно до 03.09.2026 / 0921068KZ068 / годен до 03.09.2026 г")</f>
        <v>Бандаж для руки поддерживающий облегченный (косынка) 9912 L (белый) (Болгария) KZ.7700.02.01.00787670 / Действительно до 03.09.2026 / 0921068KZ068 / годен до 03.09.2026 г</v>
      </c>
    </row>
    <row r="1665" spans="1:8" ht="12.75" x14ac:dyDescent="0.2">
      <c r="A1665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665" s="1" t="str">
        <f ca="1">IFERROR(__xludf.DUMMYFUNCTION("""COMPUTED_VALUE"""),"KZ.7700.02.01.00787680")</f>
        <v>KZ.7700.02.01.00787680</v>
      </c>
      <c r="C1665" s="1" t="str">
        <f ca="1">IFERROR(__xludf.DUMMYFUNCTION("""COMPUTED_VALUE"""),"Действительно до 03.09.2026")</f>
        <v>Действительно до 03.09.2026</v>
      </c>
      <c r="D1665" s="8" t="str">
        <f ca="1">IFERROR(__xludf.DUMMYFUNCTION("""COMPUTED_VALUE"""),"0921068KZ068")</f>
        <v>0921068KZ068</v>
      </c>
      <c r="E1665" s="1" t="str">
        <f ca="1">IFERROR(__xludf.DUMMYFUNCTION("""COMPUTED_VALUE"""),"годен до 03.09.2026 г")</f>
        <v>годен до 03.09.2026 г</v>
      </c>
      <c r="F1665" s="1" t="str">
        <f ca="1">IFERROR(__xludf.DUMMYFUNCTION("""COMPUTED_VALUE"""),"Бандаж для руки поддерживающий облегченный (косынка) 9912 L (черный) (Болгария) - 0921068KZ068")</f>
        <v>Бандаж для руки поддерживающий облегченный (косынка) 9912 L (черный) (Болгария) - 0921068KZ068</v>
      </c>
      <c r="G1665" s="1" t="str">
        <f ca="1">IFERROR(__xludf.DUMMYFUNCTION("""COMPUTED_VALUE"""),"KZ.7700.02.01.00787680 / Действительно до 03.09.2026 / 0921068KZ068 / годен до 03.09.2026 г")</f>
        <v>KZ.7700.02.01.00787680 / Действительно до 03.09.2026 / 0921068KZ068 / годен до 03.09.2026 г</v>
      </c>
      <c r="H1665" s="1" t="str">
        <f ca="1">IFERROR(__xludf.DUMMYFUNCTION("""COMPUTED_VALUE"""),"Бандаж для руки поддерживающий облегченный (косынка) 9912 L (черный) (Болгария) KZ.7700.02.01.00787680 / Действительно до 03.09.2026 / 0921068KZ068 / годен до 03.09.2026 г")</f>
        <v>Бандаж для руки поддерживающий облегченный (косынка) 9912 L (черный) (Болгария) KZ.7700.02.01.00787680 / Действительно до 03.09.2026 / 0921068KZ068 / годен до 03.09.2026 г</v>
      </c>
    </row>
    <row r="1666" spans="1:8" ht="12.75" x14ac:dyDescent="0.2">
      <c r="A1666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666" s="1" t="str">
        <f ca="1">IFERROR(__xludf.DUMMYFUNCTION("""COMPUTED_VALUE"""),"KZ.7700.02.01.00787676")</f>
        <v>KZ.7700.02.01.00787676</v>
      </c>
      <c r="C1666" s="1" t="str">
        <f ca="1">IFERROR(__xludf.DUMMYFUNCTION("""COMPUTED_VALUE"""),"Действительно до 03.09.2026")</f>
        <v>Действительно до 03.09.2026</v>
      </c>
      <c r="D1666" s="8" t="str">
        <f ca="1">IFERROR(__xludf.DUMMYFUNCTION("""COMPUTED_VALUE"""),"0921068KZ068")</f>
        <v>0921068KZ068</v>
      </c>
      <c r="E1666" s="1" t="str">
        <f ca="1">IFERROR(__xludf.DUMMYFUNCTION("""COMPUTED_VALUE"""),"годен до 03.09.2026 г")</f>
        <v>годен до 03.09.2026 г</v>
      </c>
      <c r="F1666" s="1" t="str">
        <f ca="1">IFERROR(__xludf.DUMMYFUNCTION("""COMPUTED_VALUE"""),"Бандаж для руки поддерживающий облегченный (косынка) 9912 M (черный) (Болгария) - 0921068KZ068")</f>
        <v>Бандаж для руки поддерживающий облегченный (косынка) 9912 M (черный) (Болгария) - 0921068KZ068</v>
      </c>
      <c r="G1666" s="1" t="str">
        <f ca="1">IFERROR(__xludf.DUMMYFUNCTION("""COMPUTED_VALUE"""),"KZ.7700.02.01.00787676 / Действительно до 03.09.2026 / 0921068KZ068 / годен до 03.09.2026 г")</f>
        <v>KZ.7700.02.01.00787676 / Действительно до 03.09.2026 / 0921068KZ068 / годен до 03.09.2026 г</v>
      </c>
      <c r="H1666" s="1" t="str">
        <f ca="1">IFERROR(__xludf.DUMMYFUNCTION("""COMPUTED_VALUE"""),"Бандаж для руки поддерживающий облегченный (косынка) 9912 M (черный) (Болгария) KZ.7700.02.01.00787676 / Действительно до 03.09.2026 / 0921068KZ068 / годен до 03.09.2026 г")</f>
        <v>Бандаж для руки поддерживающий облегченный (косынка) 9912 M (черный) (Болгария) KZ.7700.02.01.00787676 / Действительно до 03.09.2026 / 0921068KZ068 / годен до 03.09.2026 г</v>
      </c>
    </row>
    <row r="1667" spans="1:8" ht="12.75" x14ac:dyDescent="0.2">
      <c r="A1667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667" s="1" t="str">
        <f ca="1">IFERROR(__xludf.DUMMYFUNCTION("""COMPUTED_VALUE"""),"KZ.7700.02.01.00787667")</f>
        <v>KZ.7700.02.01.00787667</v>
      </c>
      <c r="C1667" s="1" t="str">
        <f ca="1">IFERROR(__xludf.DUMMYFUNCTION("""COMPUTED_VALUE"""),"Действительно до 03.09.2026")</f>
        <v>Действительно до 03.09.2026</v>
      </c>
      <c r="D1667" s="8" t="str">
        <f ca="1">IFERROR(__xludf.DUMMYFUNCTION("""COMPUTED_VALUE"""),"0921068KZ068")</f>
        <v>0921068KZ068</v>
      </c>
      <c r="E1667" s="1" t="str">
        <f ca="1">IFERROR(__xludf.DUMMYFUNCTION("""COMPUTED_VALUE"""),"годен до 03.09.2026 г")</f>
        <v>годен до 03.09.2026 г</v>
      </c>
      <c r="F1667" s="1" t="str">
        <f ca="1">IFERROR(__xludf.DUMMYFUNCTION("""COMPUTED_VALUE"""),"Бандаж для руки поддерживающий облегченный (косынка) 9912 XL (черный) (Болгария) - 0921068KZ068")</f>
        <v>Бандаж для руки поддерживающий облегченный (косынка) 9912 XL (черный) (Болгария) - 0921068KZ068</v>
      </c>
      <c r="G1667" s="1" t="str">
        <f ca="1">IFERROR(__xludf.DUMMYFUNCTION("""COMPUTED_VALUE"""),"KZ.7700.02.01.00787667 / Действительно до 03.09.2026 / 0921068KZ068 / годен до 03.09.2026 г")</f>
        <v>KZ.7700.02.01.00787667 / Действительно до 03.09.2026 / 0921068KZ068 / годен до 03.09.2026 г</v>
      </c>
      <c r="H1667" s="1" t="str">
        <f ca="1">IFERROR(__xludf.DUMMYFUNCTION("""COMPUTED_VALUE"""),"Бандаж для руки поддерживающий облегченный (косынка) 9912 XL (черный) (Болгария) KZ.7700.02.01.00787667 / Действительно до 03.09.2026 / 0921068KZ068 / годен до 03.09.2026 г")</f>
        <v>Бандаж для руки поддерживающий облегченный (косынка) 9912 XL (черный) (Болгария) KZ.7700.02.01.00787667 / Действительно до 03.09.2026 / 0921068KZ068 / годен до 03.09.2026 г</v>
      </c>
    </row>
    <row r="1668" spans="1:8" ht="12.75" x14ac:dyDescent="0.2">
      <c r="A1668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1668" s="1" t="str">
        <f ca="1">IFERROR(__xludf.DUMMYFUNCTION("""COMPUTED_VALUE"""),"KZ.7700.02.01.00787495")</f>
        <v>KZ.7700.02.01.00787495</v>
      </c>
      <c r="C1668" s="1" t="str">
        <f ca="1">IFERROR(__xludf.DUMMYFUNCTION("""COMPUTED_VALUE"""),"Действительно до 03.09.2026")</f>
        <v>Действительно до 03.09.2026</v>
      </c>
      <c r="D1668" s="8" t="str">
        <f ca="1">IFERROR(__xludf.DUMMYFUNCTION("""COMPUTED_VALUE"""),"0921068KZ068")</f>
        <v>0921068KZ068</v>
      </c>
      <c r="E1668" s="1" t="str">
        <f ca="1">IFERROR(__xludf.DUMMYFUNCTION("""COMPUTED_VALUE"""),"годен до 03.09.2026 г")</f>
        <v>годен до 03.09.2026 г</v>
      </c>
      <c r="F1668" s="1" t="str">
        <f ca="1">IFERROR(__xludf.DUMMYFUNCTION("""COMPUTED_VALUE"""),"Бандаж на голеностопный сустав эластичный 7035 L (Болгария) - 0921068KZ068")</f>
        <v>Бандаж на голеностопный сустав эластичный 7035 L (Болгария) - 0921068KZ068</v>
      </c>
      <c r="G1668" s="1" t="str">
        <f ca="1">IFERROR(__xludf.DUMMYFUNCTION("""COMPUTED_VALUE"""),"KZ.7700.02.01.00787495 / Действительно до 03.09.2026 / 0921068KZ068 / годен до 03.09.2026 г")</f>
        <v>KZ.7700.02.01.00787495 / Действительно до 03.09.2026 / 0921068KZ068 / годен до 03.09.2026 г</v>
      </c>
      <c r="H1668" s="1" t="str">
        <f ca="1">IFERROR(__xludf.DUMMYFUNCTION("""COMPUTED_VALUE"""),"Бандаж на голеностопный сустав эластичный 7035 L (Болгария) KZ.7700.02.01.00787495 / Действительно до 03.09.2026 / 0921068KZ068 / годен до 03.09.2026 г")</f>
        <v>Бандаж на голеностопный сустав эластичный 7035 L (Болгария) KZ.7700.02.01.00787495 / Действительно до 03.09.2026 / 0921068KZ068 / годен до 03.09.2026 г</v>
      </c>
    </row>
    <row r="1669" spans="1:8" ht="12.75" x14ac:dyDescent="0.2">
      <c r="A1669" s="1" t="str">
        <f ca="1">IFERROR(__xludf.DUMMYFUNCTION("""COMPUTED_VALUE"""),"Система контроля уровня глюкозы в крови Bionime Rightest: GM550")</f>
        <v>Система контроля уровня глюкозы в крови Bionime Rightest: GM550</v>
      </c>
      <c r="B1669" s="1" t="str">
        <f ca="1">IFERROR(__xludf.DUMMYFUNCTION("""COMPUTED_VALUE"""),"KZ.7700.02.01.00792458")</f>
        <v>KZ.7700.02.01.00792458</v>
      </c>
      <c r="C1669" s="1" t="str">
        <f ca="1">IFERROR(__xludf.DUMMYFUNCTION("""COMPUTED_VALUE"""),"Действительно до Бессрочно")</f>
        <v>Действительно до Бессрочно</v>
      </c>
      <c r="D1669" s="8" t="str">
        <f ca="1">IFERROR(__xludf.DUMMYFUNCTION("""COMPUTED_VALUE"""),"2550UER")</f>
        <v>2550UER</v>
      </c>
      <c r="E1669" s="1" t="str">
        <f ca="1">IFERROR(__xludf.DUMMYFUNCTION("""COMPUTED_VALUE"""),"годен до 03.06.2023 г")</f>
        <v>годен до 03.06.2023 г</v>
      </c>
      <c r="F1669" s="1" t="str">
        <f ca="1">IFERROR(__xludf.DUMMYFUNCTION("""COMPUTED_VALUE"""),"Система контроля уровня глюкозы в крови Bionime Rightest: GM550 - 2550UER")</f>
        <v>Система контроля уровня глюкозы в крови Bionime Rightest: GM550 - 2550UER</v>
      </c>
      <c r="G1669" s="1" t="str">
        <f ca="1">IFERROR(__xludf.DUMMYFUNCTION("""COMPUTED_VALUE"""),"KZ.7700.02.01.00792458 / Действительно до Бессрочно / 2550UER / годен до 03.06.2023 г")</f>
        <v>KZ.7700.02.01.00792458 / Действительно до Бессрочно / 2550UER / годен до 03.06.2023 г</v>
      </c>
      <c r="H1669" s="1" t="str">
        <f ca="1">IFERROR(__xludf.DUMMYFUNCTION("""COMPUTED_VALUE"""),"Система контроля уровня глюкозы в крови Bionime Rightest: GM550 KZ.7700.02.01.00792458 / Действительно до Бессрочно / 2550UER / годен до 03.06.2023 г")</f>
        <v>Система контроля уровня глюкозы в крови Bionime Rightest: GM550 KZ.7700.02.01.00792458 / Действительно до Бессрочно / 2550UER / годен до 03.06.2023 г</v>
      </c>
    </row>
    <row r="1670" spans="1:8" ht="12.75" x14ac:dyDescent="0.2">
      <c r="A1670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1670" s="1"/>
      <c r="C1670" s="1" t="str">
        <f ca="1">IFERROR(__xludf.DUMMYFUNCTION("""COMPUTED_VALUE"""),"не подлежит сертификации")</f>
        <v>не подлежит сертификации</v>
      </c>
      <c r="D1670" s="8" t="str">
        <f ca="1">IFERROR(__xludf.DUMMYFUNCTION("""COMPUTED_VALUE"""),"2119A2530")</f>
        <v>2119A2530</v>
      </c>
      <c r="E1670" s="1" t="str">
        <f ca="1">IFERROR(__xludf.DUMMYFUNCTION("""COMPUTED_VALUE"""),"годен до 03.06.2023 г")</f>
        <v>годен до 03.06.2023 г</v>
      </c>
      <c r="F1670" s="1" t="str">
        <f ca="1">IFERROR(__xludf.DUMMYFUNCTION("""COMPUTED_VALUE"""),"Тест-полоски для контроля уровня глюкозы в крови Bionime Rightest GS 550 № 50 - 2119A2530")</f>
        <v>Тест-полоски для контроля уровня глюкозы в крови Bionime Rightest GS 550 № 50 - 2119A2530</v>
      </c>
      <c r="G1670" s="1" t="str">
        <f ca="1">IFERROR(__xludf.DUMMYFUNCTION("""COMPUTED_VALUE""")," / не подлежит сертификации / 2119A2530 / годен до 03.06.2023 г")</f>
        <v xml:space="preserve"> / не подлежит сертификации / 2119A2530 / годен до 03.06.2023 г</v>
      </c>
      <c r="H1670" s="1" t="str">
        <f ca="1">IFERROR(__xludf.DUMMYFUNCTION("""COMPUTED_VALUE"""),"Тест-полоски для контроля уровня глюкозы в крови Bionime Rightest GS 550 № 50  / не подлежит сертификации / 2119A2530 / годен до 03.06.2023 г")</f>
        <v>Тест-полоски для контроля уровня глюкозы в крови Bionime Rightest GS 550 № 50  / не подлежит сертификации / 2119A2530 / годен до 03.06.2023 г</v>
      </c>
    </row>
    <row r="1671" spans="1:8" ht="12.75" x14ac:dyDescent="0.2">
      <c r="A1671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1671" s="1"/>
      <c r="C1671" s="1" t="str">
        <f ca="1">IFERROR(__xludf.DUMMYFUNCTION("""COMPUTED_VALUE"""),"не подлежит сертификации")</f>
        <v>не подлежит сертификации</v>
      </c>
      <c r="D1671" s="8" t="str">
        <f ca="1">IFERROR(__xludf.DUMMYFUNCTION("""COMPUTED_VALUE"""),"2119A2531")</f>
        <v>2119A2531</v>
      </c>
      <c r="E1671" s="1" t="str">
        <f ca="1">IFERROR(__xludf.DUMMYFUNCTION("""COMPUTED_VALUE"""),"годен до 04.06.2023 г")</f>
        <v>годен до 04.06.2023 г</v>
      </c>
      <c r="F1671" s="1" t="str">
        <f ca="1">IFERROR(__xludf.DUMMYFUNCTION("""COMPUTED_VALUE"""),"Тест-полоски для контроля уровня глюкозы в крови Bionime Rightest GS 550 № 50 - 2119A2531")</f>
        <v>Тест-полоски для контроля уровня глюкозы в крови Bionime Rightest GS 550 № 50 - 2119A2531</v>
      </c>
      <c r="G1671" s="1" t="str">
        <f ca="1">IFERROR(__xludf.DUMMYFUNCTION("""COMPUTED_VALUE""")," / не подлежит сертификации / 2119A2531 / годен до 04.06.2023 г")</f>
        <v xml:space="preserve"> / не подлежит сертификации / 2119A2531 / годен до 04.06.2023 г</v>
      </c>
      <c r="H1671" s="1" t="str">
        <f ca="1">IFERROR(__xludf.DUMMYFUNCTION("""COMPUTED_VALUE"""),"Тест-полоски для контроля уровня глюкозы в крови Bionime Rightest GS 550 № 50  / не подлежит сертификации / 2119A2531 / годен до 04.06.2023 г")</f>
        <v>Тест-полоски для контроля уровня глюкозы в крови Bionime Rightest GS 550 № 50  / не подлежит сертификации / 2119A2531 / годен до 04.06.2023 г</v>
      </c>
    </row>
    <row r="1672" spans="1:8" ht="12.75" x14ac:dyDescent="0.2">
      <c r="A1672" s="1" t="str">
        <f ca="1">IFERROR(__xludf.DUMMYFUNCTION("""COMPUTED_VALUE"""),"М 0201 L/XL Гигеническая маска, черная")</f>
        <v>М 0201 L/XL Гигеническая маска, черная</v>
      </c>
      <c r="B1672" s="1" t="str">
        <f ca="1">IFERROR(__xludf.DUMMYFUNCTION("""COMPUTED_VALUE"""),"KZ.3510317.05.01.30617")</f>
        <v>KZ.3510317.05.01.30617</v>
      </c>
      <c r="C1672" s="1" t="str">
        <f ca="1">IFERROR(__xludf.DUMMYFUNCTION("""COMPUTED_VALUE"""),"Действителен до 16.11.2022")</f>
        <v>Действителен до 16.11.2022</v>
      </c>
      <c r="D1672" s="8" t="str">
        <f ca="1">IFERROR(__xludf.DUMMYFUNCTION("""COMPUTED_VALUE"""),"1020089KZ89")</f>
        <v>1020089KZ89</v>
      </c>
      <c r="E1672" s="1" t="str">
        <f ca="1">IFERROR(__xludf.DUMMYFUNCTION("""COMPUTED_VALUE"""),"годен до 07.10.2025")</f>
        <v>годен до 07.10.2025</v>
      </c>
      <c r="F1672" s="1" t="str">
        <f ca="1">IFERROR(__xludf.DUMMYFUNCTION("""COMPUTED_VALUE"""),"М 0201 L/XL Гигеническая маска, черная - 1020089KZ89")</f>
        <v>М 0201 L/XL Гигеническая маска, черная - 1020089KZ89</v>
      </c>
      <c r="G1672" s="1" t="str">
        <f ca="1">IFERROR(__xludf.DUMMYFUNCTION("""COMPUTED_VALUE"""),"KZ.3510317.05.01.30617 / Действителен до 16.11.2022 / 1020089KZ89 / годен до 07.10.2025")</f>
        <v>KZ.3510317.05.01.30617 / Действителен до 16.11.2022 / 1020089KZ89 / годен до 07.10.2025</v>
      </c>
      <c r="H1672" s="1" t="str">
        <f ca="1">IFERROR(__xludf.DUMMYFUNCTION("""COMPUTED_VALUE"""),"М 0201 L/XL Гигеническая маска, черная KZ.3510317.05.01.30617 / Действителен до 16.11.2022 / 1020089KZ89 / годен до 07.10.2025")</f>
        <v>М 0201 L/XL Гигеническая маска, черная KZ.3510317.05.01.30617 / Действителен до 16.11.2022 / 1020089KZ89 / годен до 07.10.2025</v>
      </c>
    </row>
    <row r="1673" spans="1:8" ht="12.75" x14ac:dyDescent="0.2">
      <c r="A1673" s="1" t="str">
        <f ca="1">IFERROR(__xludf.DUMMYFUNCTION("""COMPUTED_VALUE"""),"М 0201 L/XL/M Гигиеническая маска, бежевая")</f>
        <v>М 0201 L/XL/M Гигиеническая маска, бежевая</v>
      </c>
      <c r="B1673" s="1" t="str">
        <f ca="1">IFERROR(__xludf.DUMMYFUNCTION("""COMPUTED_VALUE"""),"KZ.3510317.05.01.30617")</f>
        <v>KZ.3510317.05.01.30617</v>
      </c>
      <c r="C1673" s="1" t="str">
        <f ca="1">IFERROR(__xludf.DUMMYFUNCTION("""COMPUTED_VALUE"""),"Действителен до 16.11.2022")</f>
        <v>Действителен до 16.11.2022</v>
      </c>
      <c r="D1673" s="8" t="str">
        <f ca="1">IFERROR(__xludf.DUMMYFUNCTION("""COMPUTED_VALUE"""),"1020089KZ89")</f>
        <v>1020089KZ89</v>
      </c>
      <c r="E1673" s="1" t="str">
        <f ca="1">IFERROR(__xludf.DUMMYFUNCTION("""COMPUTED_VALUE"""),"годен до 07.10.2025")</f>
        <v>годен до 07.10.2025</v>
      </c>
      <c r="F1673" s="1" t="str">
        <f ca="1">IFERROR(__xludf.DUMMYFUNCTION("""COMPUTED_VALUE"""),"М 0201 L/XL/M Гигиеническая маска, бежевая - 1020089KZ89")</f>
        <v>М 0201 L/XL/M Гигиеническая маска, бежевая - 1020089KZ89</v>
      </c>
      <c r="G1673" s="1" t="str">
        <f ca="1">IFERROR(__xludf.DUMMYFUNCTION("""COMPUTED_VALUE"""),"KZ.3510317.05.01.30617 / Действителен до 16.11.2022 / 1020089KZ89 / годен до 07.10.2025")</f>
        <v>KZ.3510317.05.01.30617 / Действителен до 16.11.2022 / 1020089KZ89 / годен до 07.10.2025</v>
      </c>
      <c r="H1673" s="1" t="str">
        <f ca="1">IFERROR(__xludf.DUMMYFUNCTION("""COMPUTED_VALUE"""),"М 0201 L/XL/M Гигиеническая маска, бежевая KZ.3510317.05.01.30617 / Действителен до 16.11.2022 / 1020089KZ89 / годен до 07.10.2025")</f>
        <v>М 0201 L/XL/M Гигиеническая маска, бежевая KZ.3510317.05.01.30617 / Действителен до 16.11.2022 / 1020089KZ89 / годен до 07.10.2025</v>
      </c>
    </row>
    <row r="1674" spans="1:8" ht="12.75" x14ac:dyDescent="0.2">
      <c r="A1674" s="1" t="str">
        <f ca="1">IFERROR(__xludf.DUMMYFUNCTION("""COMPUTED_VALUE"""),"М 0201 XS/M Гигеническая маска, черная")</f>
        <v>М 0201 XS/M Гигеническая маска, черная</v>
      </c>
      <c r="B1674" s="1" t="str">
        <f ca="1">IFERROR(__xludf.DUMMYFUNCTION("""COMPUTED_VALUE"""),"KZ.3510317.05.01.30617")</f>
        <v>KZ.3510317.05.01.30617</v>
      </c>
      <c r="C1674" s="1" t="str">
        <f ca="1">IFERROR(__xludf.DUMMYFUNCTION("""COMPUTED_VALUE"""),"Действителен до 16.11.2022")</f>
        <v>Действителен до 16.11.2022</v>
      </c>
      <c r="D1674" s="8" t="str">
        <f ca="1">IFERROR(__xludf.DUMMYFUNCTION("""COMPUTED_VALUE"""),"1020089KZ89")</f>
        <v>1020089KZ89</v>
      </c>
      <c r="E1674" s="1" t="str">
        <f ca="1">IFERROR(__xludf.DUMMYFUNCTION("""COMPUTED_VALUE"""),"годен до 07.10.2025")</f>
        <v>годен до 07.10.2025</v>
      </c>
      <c r="F1674" s="1" t="str">
        <f ca="1">IFERROR(__xludf.DUMMYFUNCTION("""COMPUTED_VALUE"""),"М 0201 XS/M Гигеническая маска, черная - 1020089KZ89")</f>
        <v>М 0201 XS/M Гигеническая маска, черная - 1020089KZ89</v>
      </c>
      <c r="G1674" s="1" t="str">
        <f ca="1">IFERROR(__xludf.DUMMYFUNCTION("""COMPUTED_VALUE"""),"KZ.3510317.05.01.30617 / Действителен до 16.11.2022 / 1020089KZ89 / годен до 07.10.2025")</f>
        <v>KZ.3510317.05.01.30617 / Действителен до 16.11.2022 / 1020089KZ89 / годен до 07.10.2025</v>
      </c>
      <c r="H1674" s="1" t="str">
        <f ca="1">IFERROR(__xludf.DUMMYFUNCTION("""COMPUTED_VALUE"""),"М 0201 XS/M Гигеническая маска, черная KZ.3510317.05.01.30617 / Действителен до 16.11.2022 / 1020089KZ89 / годен до 07.10.2025")</f>
        <v>М 0201 XS/M Гигеническая маска, черная KZ.3510317.05.01.30617 / Действителен до 16.11.2022 / 1020089KZ89 / годен до 07.10.2025</v>
      </c>
    </row>
    <row r="1675" spans="1:8" ht="12.75" x14ac:dyDescent="0.2">
      <c r="A1675" s="1" t="str">
        <f ca="1">IFERROR(__xludf.DUMMYFUNCTION("""COMPUTED_VALUE"""),"М 0201 XS/M Гигиеническая маска, бежевая")</f>
        <v>М 0201 XS/M Гигиеническая маска, бежевая</v>
      </c>
      <c r="B1675" s="1" t="str">
        <f ca="1">IFERROR(__xludf.DUMMYFUNCTION("""COMPUTED_VALUE"""),"KZ.3510317.05.01.30617")</f>
        <v>KZ.3510317.05.01.30617</v>
      </c>
      <c r="C1675" s="1" t="str">
        <f ca="1">IFERROR(__xludf.DUMMYFUNCTION("""COMPUTED_VALUE"""),"Действителен до 16.11.2022")</f>
        <v>Действителен до 16.11.2022</v>
      </c>
      <c r="D1675" s="8" t="str">
        <f ca="1">IFERROR(__xludf.DUMMYFUNCTION("""COMPUTED_VALUE"""),"1020089KZ89")</f>
        <v>1020089KZ89</v>
      </c>
      <c r="E1675" s="1" t="str">
        <f ca="1">IFERROR(__xludf.DUMMYFUNCTION("""COMPUTED_VALUE"""),"годен до 07.10.2025")</f>
        <v>годен до 07.10.2025</v>
      </c>
      <c r="F1675" s="1" t="str">
        <f ca="1">IFERROR(__xludf.DUMMYFUNCTION("""COMPUTED_VALUE"""),"М 0201 XS/M Гигиеническая маска, бежевая - 1020089KZ89")</f>
        <v>М 0201 XS/M Гигиеническая маска, бежевая - 1020089KZ89</v>
      </c>
      <c r="G1675" s="1" t="str">
        <f ca="1">IFERROR(__xludf.DUMMYFUNCTION("""COMPUTED_VALUE"""),"KZ.3510317.05.01.30617 / Действителен до 16.11.2022 / 1020089KZ89 / годен до 07.10.2025")</f>
        <v>KZ.3510317.05.01.30617 / Действителен до 16.11.2022 / 1020089KZ89 / годен до 07.10.2025</v>
      </c>
      <c r="H1675" s="1" t="str">
        <f ca="1">IFERROR(__xludf.DUMMYFUNCTION("""COMPUTED_VALUE"""),"М 0201 XS/M Гигиеническая маска, бежевая KZ.3510317.05.01.30617 / Действителен до 16.11.2022 / 1020089KZ89 / годен до 07.10.2025")</f>
        <v>М 0201 XS/M Гигиеническая маска, бежевая KZ.3510317.05.01.30617 / Действителен до 16.11.2022 / 1020089KZ89 / годен до 07.10.2025</v>
      </c>
    </row>
    <row r="1676" spans="1:8" ht="12.75" x14ac:dyDescent="0.2">
      <c r="A1676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676" s="1" t="str">
        <f ca="1">IFERROR(__xludf.DUMMYFUNCTION("""COMPUTED_VALUE"""),"KZ.7700.02.01.00798675")</f>
        <v>KZ.7700.02.01.00798675</v>
      </c>
      <c r="C1676" s="1" t="str">
        <f ca="1">IFERROR(__xludf.DUMMYFUNCTION("""COMPUTED_VALUE"""),"Действительно до Бессрочно")</f>
        <v>Действительно до Бессрочно</v>
      </c>
      <c r="D1676" s="8" t="str">
        <f ca="1">IFERROR(__xludf.DUMMYFUNCTION("""COMPUTED_VALUE"""),"JL-MGS-0122")</f>
        <v>JL-MGS-0122</v>
      </c>
      <c r="E1676" s="1" t="str">
        <f ca="1">IFERROR(__xludf.DUMMYFUNCTION("""COMPUTED_VALUE"""),"без срока годности")</f>
        <v>без срока годности</v>
      </c>
      <c r="F1676" s="1" t="str">
        <f ca="1">IFERROR(__xludf.DUMMYFUNCTION("""COMPUTED_VALUE"""),"Ингалятор компрессорный Gamma модель EFFECT NEW - JL-MGS-0122")</f>
        <v>Ингалятор компрессорный Gamma модель EFFECT NEW - JL-MGS-0122</v>
      </c>
      <c r="G1676" s="1" t="str">
        <f ca="1">IFERROR(__xludf.DUMMYFUNCTION("""COMPUTED_VALUE"""),"KZ.7700.02.01.00798675 / Действительно до Бессрочно / JL-MGS-0122 / без срока годности")</f>
        <v>KZ.7700.02.01.00798675 / Действительно до Бессрочно / JL-MGS-0122 / без срока годности</v>
      </c>
      <c r="H1676" s="1" t="str">
        <f ca="1">IFERROR(__xludf.DUMMYFUNCTION("""COMPUTED_VALUE"""),"Ингалятор компрессорный Gamma модель EFFECT NEW KZ.7700.02.01.00798675 / Действительно до Бессрочно / JL-MGS-0122 / без срока годности")</f>
        <v>Ингалятор компрессорный Gamma модель EFFECT NEW KZ.7700.02.01.00798675 / Действительно до Бессрочно / JL-MGS-0122 / без срока годности</v>
      </c>
    </row>
    <row r="1677" spans="1:8" ht="12.75" x14ac:dyDescent="0.2">
      <c r="A1677" s="1" t="str">
        <f ca="1">IFERROR(__xludf.DUMMYFUNCTION("""COMPUTED_VALUE"""),"Глюкометр GAMMA MINI")</f>
        <v>Глюкометр GAMMA MINI</v>
      </c>
      <c r="B1677" s="1" t="str">
        <f ca="1">IFERROR(__xludf.DUMMYFUNCTION("""COMPUTED_VALUE"""),"KZ.7700.02.01.00798689")</f>
        <v>KZ.7700.02.01.00798689</v>
      </c>
      <c r="C1677" s="1" t="str">
        <f ca="1">IFERROR(__xludf.DUMMYFUNCTION("""COMPUTED_VALUE"""),"Действительно до Бессрочно")</f>
        <v>Действительно до Бессрочно</v>
      </c>
      <c r="D1677" s="8" t="str">
        <f ca="1">IFERROR(__xludf.DUMMYFUNCTION("""COMPUTED_VALUE"""),"2021-09-24")</f>
        <v>2021-09-24</v>
      </c>
      <c r="E1677" s="1" t="str">
        <f ca="1">IFERROR(__xludf.DUMMYFUNCTION("""COMPUTED_VALUE"""),"без срока годности")</f>
        <v>без срока годности</v>
      </c>
      <c r="F1677" s="1" t="str">
        <f ca="1">IFERROR(__xludf.DUMMYFUNCTION("""COMPUTED_VALUE"""),"Глюкометр GAMMA MINI - 2021-09-24")</f>
        <v>Глюкометр GAMMA MINI - 2021-09-24</v>
      </c>
      <c r="G1677" s="1" t="str">
        <f ca="1">IFERROR(__xludf.DUMMYFUNCTION("""COMPUTED_VALUE"""),"KZ.7700.02.01.00798689 / Действительно до Бессрочно / 2021-09-24 / без срока годности")</f>
        <v>KZ.7700.02.01.00798689 / Действительно до Бессрочно / 2021-09-24 / без срока годности</v>
      </c>
      <c r="H1677" s="1" t="str">
        <f ca="1">IFERROR(__xludf.DUMMYFUNCTION("""COMPUTED_VALUE"""),"Глюкометр GAMMA MINI KZ.7700.02.01.00798689 / Действительно до Бессрочно / 2021-09-24 / без срока годности")</f>
        <v>Глюкометр GAMMA MINI KZ.7700.02.01.00798689 / Действительно до Бессрочно / 2021-09-24 / без срока годности</v>
      </c>
    </row>
    <row r="1678" spans="1:8" ht="12.75" x14ac:dyDescent="0.2">
      <c r="A1678" s="1" t="str">
        <f ca="1">IFERROR(__xludf.DUMMYFUNCTION("""COMPUTED_VALUE"""),"Профессиональный стетоскоп с двусторонней головкой Dr.Frei Модель S-20")</f>
        <v>Профессиональный стетоскоп с двусторонней головкой Dr.Frei Модель S-20</v>
      </c>
      <c r="B1678" s="1" t="str">
        <f ca="1">IFERROR(__xludf.DUMMYFUNCTION("""COMPUTED_VALUE"""),"KZ.7700.02.01.00799676")</f>
        <v>KZ.7700.02.01.00799676</v>
      </c>
      <c r="C1678" s="1" t="str">
        <f ca="1">IFERROR(__xludf.DUMMYFUNCTION("""COMPUTED_VALUE"""),"Действительно до Бессрочно")</f>
        <v>Действительно до Бессрочно</v>
      </c>
      <c r="D1678" s="8" t="str">
        <f ca="1">IFERROR(__xludf.DUMMYFUNCTION("""COMPUTED_VALUE"""),"YTC21021")</f>
        <v>YTC21021</v>
      </c>
      <c r="E1678" s="1" t="str">
        <f ca="1">IFERROR(__xludf.DUMMYFUNCTION("""COMPUTED_VALUE"""),"без срока годности")</f>
        <v>без срока годности</v>
      </c>
      <c r="F1678" s="1" t="str">
        <f ca="1">IFERROR(__xludf.DUMMYFUNCTION("""COMPUTED_VALUE"""),"Профессиональный стетоскоп с двусторонней головкой Dr.Frei Модель S-20 - YTC21021")</f>
        <v>Профессиональный стетоскоп с двусторонней головкой Dr.Frei Модель S-20 - YTC21021</v>
      </c>
      <c r="G1678" s="1" t="str">
        <f ca="1">IFERROR(__xludf.DUMMYFUNCTION("""COMPUTED_VALUE"""),"KZ.7700.02.01.00799676 / Действительно до Бессрочно / YTC21021 / без срока годности")</f>
        <v>KZ.7700.02.01.00799676 / Действительно до Бессрочно / YTC21021 / без срока годности</v>
      </c>
      <c r="H1678" s="1" t="str">
        <f ca="1">IFERROR(__xludf.DUMMYFUNCTION("""COMPUTED_VALUE"""),"Профессиональный стетоскоп с двусторонней головкой Dr.Frei Модель S-20 KZ.7700.02.01.00799676 / Действительно до Бессрочно / YTC21021 / без срока годности")</f>
        <v>Профессиональный стетоскоп с двусторонней головкой Dr.Frei Модель S-20 KZ.7700.02.01.00799676 / Действительно до Бессрочно / YTC21021 / без срока годности</v>
      </c>
    </row>
    <row r="1679" spans="1:8" ht="12.75" x14ac:dyDescent="0.2">
      <c r="A1679" s="1" t="str">
        <f ca="1">IFERROR(__xludf.DUMMYFUNCTION("""COMPUTED_VALUE"""),"Профессиональный стетоскоп с односторонней головкой Dr.Frei Модель S-10")</f>
        <v>Профессиональный стетоскоп с односторонней головкой Dr.Frei Модель S-10</v>
      </c>
      <c r="B1679" s="1" t="str">
        <f ca="1">IFERROR(__xludf.DUMMYFUNCTION("""COMPUTED_VALUE"""),"KZ.7700.02.01.00799669")</f>
        <v>KZ.7700.02.01.00799669</v>
      </c>
      <c r="C1679" s="1" t="str">
        <f ca="1">IFERROR(__xludf.DUMMYFUNCTION("""COMPUTED_VALUE"""),"Действительно до Бессрочно")</f>
        <v>Действительно до Бессрочно</v>
      </c>
      <c r="D1679" s="8" t="str">
        <f ca="1">IFERROR(__xludf.DUMMYFUNCTION("""COMPUTED_VALUE"""),"YTC21021")</f>
        <v>YTC21021</v>
      </c>
      <c r="E1679" s="1" t="str">
        <f ca="1">IFERROR(__xludf.DUMMYFUNCTION("""COMPUTED_VALUE"""),"без срока годности")</f>
        <v>без срока годности</v>
      </c>
      <c r="F1679" s="1" t="str">
        <f ca="1">IFERROR(__xludf.DUMMYFUNCTION("""COMPUTED_VALUE"""),"Профессиональный стетоскоп с односторонней головкой Dr.Frei Модель S-10 - YTC21021")</f>
        <v>Профессиональный стетоскоп с односторонней головкой Dr.Frei Модель S-10 - YTC21021</v>
      </c>
      <c r="G1679" s="1" t="str">
        <f ca="1">IFERROR(__xludf.DUMMYFUNCTION("""COMPUTED_VALUE"""),"KZ.7700.02.01.00799669 / Действительно до Бессрочно / YTC21021 / без срока годности")</f>
        <v>KZ.7700.02.01.00799669 / Действительно до Бессрочно / YTC21021 / без срока годности</v>
      </c>
      <c r="H1679" s="1" t="str">
        <f ca="1">IFERROR(__xludf.DUMMYFUNCTION("""COMPUTED_VALUE"""),"Профессиональный стетоскоп с односторонней головкой Dr.Frei Модель S-10 KZ.7700.02.01.00799669 / Действительно до Бессрочно / YTC21021 / без срока годности")</f>
        <v>Профессиональный стетоскоп с односторонней головкой Dr.Frei Модель S-10 KZ.7700.02.01.00799669 / Действительно до Бессрочно / YTC21021 / без срока годности</v>
      </c>
    </row>
    <row r="1680" spans="1:8" ht="12.75" x14ac:dyDescent="0.2">
      <c r="A1680" s="1" t="str">
        <f ca="1">IFERROR(__xludf.DUMMYFUNCTION("""COMPUTED_VALUE"""),"Стетофонендоскоп Раппопорт Dr.Frei S-30")</f>
        <v>Стетофонендоскоп Раппопорт Dr.Frei S-30</v>
      </c>
      <c r="B1680" s="1" t="str">
        <f ca="1">IFERROR(__xludf.DUMMYFUNCTION("""COMPUTED_VALUE"""),"KZ.7700.02.01.00799664")</f>
        <v>KZ.7700.02.01.00799664</v>
      </c>
      <c r="C1680" s="1" t="str">
        <f ca="1">IFERROR(__xludf.DUMMYFUNCTION("""COMPUTED_VALUE"""),"Действительно до Бессрочно")</f>
        <v>Действительно до Бессрочно</v>
      </c>
      <c r="D1680" s="8" t="str">
        <f ca="1">IFERROR(__xludf.DUMMYFUNCTION("""COMPUTED_VALUE"""),"YTC21021")</f>
        <v>YTC21021</v>
      </c>
      <c r="E1680" s="1" t="str">
        <f ca="1">IFERROR(__xludf.DUMMYFUNCTION("""COMPUTED_VALUE"""),"без срока годности")</f>
        <v>без срока годности</v>
      </c>
      <c r="F1680" s="1" t="str">
        <f ca="1">IFERROR(__xludf.DUMMYFUNCTION("""COMPUTED_VALUE"""),"Стетофонендоскоп Раппопорт Dr.Frei S-30 - YTC21021")</f>
        <v>Стетофонендоскоп Раппопорт Dr.Frei S-30 - YTC21021</v>
      </c>
      <c r="G1680" s="1" t="str">
        <f ca="1">IFERROR(__xludf.DUMMYFUNCTION("""COMPUTED_VALUE"""),"KZ.7700.02.01.00799664 / Действительно до Бессрочно / YTC21021 / без срока годности")</f>
        <v>KZ.7700.02.01.00799664 / Действительно до Бессрочно / YTC21021 / без срока годности</v>
      </c>
      <c r="H1680" s="1" t="str">
        <f ca="1">IFERROR(__xludf.DUMMYFUNCTION("""COMPUTED_VALUE"""),"Стетофонендоскоп Раппопорт Dr.Frei S-30 KZ.7700.02.01.00799664 / Действительно до Бессрочно / YTC21021 / без срока годности")</f>
        <v>Стетофонендоскоп Раппопорт Dr.Frei S-30 KZ.7700.02.01.00799664 / Действительно до Бессрочно / YTC21021 / без срока годности</v>
      </c>
    </row>
    <row r="1681" spans="1:8" ht="12.75" x14ac:dyDescent="0.2">
      <c r="A1681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681" s="1" t="str">
        <f ca="1">IFERROR(__xludf.DUMMYFUNCTION("""COMPUTED_VALUE"""),"KZ.7700.02.01.00799675")</f>
        <v>KZ.7700.02.01.00799675</v>
      </c>
      <c r="C1681" s="1" t="str">
        <f ca="1">IFERROR(__xludf.DUMMYFUNCTION("""COMPUTED_VALUE"""),"Действительно до Бессрочно")</f>
        <v>Действительно до Бессрочно</v>
      </c>
      <c r="D1681" s="8" t="str">
        <f ca="1">IFERROR(__xludf.DUMMYFUNCTION("""COMPUTED_VALUE"""),"YTC21021")</f>
        <v>YTC21021</v>
      </c>
      <c r="E1681" s="1" t="str">
        <f ca="1">IFERROR(__xludf.DUMMYFUNCTION("""COMPUTED_VALUE"""),"без срока годности")</f>
        <v>без срока годности</v>
      </c>
      <c r="F1681" s="1" t="str">
        <f ca="1">IFERROR(__xludf.DUMMYFUNCTION("""COMPUTED_VALUE"""),"Измеритель артериального давления Классик Dr.Frei А-20 - YTC21021")</f>
        <v>Измеритель артериального давления Классик Dr.Frei А-20 - YTC21021</v>
      </c>
      <c r="G1681" s="1" t="str">
        <f ca="1">IFERROR(__xludf.DUMMYFUNCTION("""COMPUTED_VALUE"""),"KZ.7700.02.01.00799675 / Действительно до Бессрочно / YTC21021 / без срока годности")</f>
        <v>KZ.7700.02.01.00799675 / Действительно до Бессрочно / YTC21021 / без срока годности</v>
      </c>
      <c r="H1681" s="1" t="str">
        <f ca="1">IFERROR(__xludf.DUMMYFUNCTION("""COMPUTED_VALUE"""),"Измеритель артериального давления Классик Dr.Frei А-20 KZ.7700.02.01.00799675 / Действительно до Бессрочно / YTC21021 / без срока годности")</f>
        <v>Измеритель артериального давления Классик Dr.Frei А-20 KZ.7700.02.01.00799675 / Действительно до Бессрочно / YTC21021 / без срока годности</v>
      </c>
    </row>
    <row r="1682" spans="1:8" ht="12.75" x14ac:dyDescent="0.2">
      <c r="A1682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682" s="1" t="str">
        <f ca="1">IFERROR(__xludf.DUMMYFUNCTION("""COMPUTED_VALUE"""),"KZ.7700.02.01.00799678")</f>
        <v>KZ.7700.02.01.00799678</v>
      </c>
      <c r="C1682" s="1" t="str">
        <f ca="1">IFERROR(__xludf.DUMMYFUNCTION("""COMPUTED_VALUE"""),"Действительно до Бессрочно")</f>
        <v>Действительно до Бессрочно</v>
      </c>
      <c r="D1682" s="8" t="str">
        <f ca="1">IFERROR(__xludf.DUMMYFUNCTION("""COMPUTED_VALUE"""),"YTC21021")</f>
        <v>YTC21021</v>
      </c>
      <c r="E1682" s="1" t="str">
        <f ca="1">IFERROR(__xludf.DUMMYFUNCTION("""COMPUTED_VALUE"""),"без срока годности")</f>
        <v>без срока годности</v>
      </c>
      <c r="F1682" s="1" t="str">
        <f ca="1">IFERROR(__xludf.DUMMYFUNCTION("""COMPUTED_VALUE"""),"Измеритель артериального давления Premium Dr.Frei А-30 - YTC21021")</f>
        <v>Измеритель артериального давления Premium Dr.Frei А-30 - YTC21021</v>
      </c>
      <c r="G1682" s="1" t="str">
        <f ca="1">IFERROR(__xludf.DUMMYFUNCTION("""COMPUTED_VALUE"""),"KZ.7700.02.01.00799678 / Действительно до Бессрочно / YTC21021 / без срока годности")</f>
        <v>KZ.7700.02.01.00799678 / Действительно до Бессрочно / YTC21021 / без срока годности</v>
      </c>
      <c r="H1682" s="1" t="str">
        <f ca="1">IFERROR(__xludf.DUMMYFUNCTION("""COMPUTED_VALUE"""),"Измеритель артериального давления Premium Dr.Frei А-30 KZ.7700.02.01.00799678 / Действительно до Бессрочно / YTC21021 / без срока годности")</f>
        <v>Измеритель артериального давления Premium Dr.Frei А-30 KZ.7700.02.01.00799678 / Действительно до Бессрочно / YTC21021 / без срока годности</v>
      </c>
    </row>
    <row r="1683" spans="1:8" ht="12.75" x14ac:dyDescent="0.2">
      <c r="A1683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683" s="1" t="str">
        <f ca="1">IFERROR(__xludf.DUMMYFUNCTION("""COMPUTED_VALUE"""),"KZ.7700.02.01.00799665")</f>
        <v>KZ.7700.02.01.00799665</v>
      </c>
      <c r="C1683" s="1" t="str">
        <f ca="1">IFERROR(__xludf.DUMMYFUNCTION("""COMPUTED_VALUE"""),"Действительно до Бессрочно")</f>
        <v>Действительно до Бессрочно</v>
      </c>
      <c r="D1683" s="8" t="str">
        <f ca="1">IFERROR(__xludf.DUMMYFUNCTION("""COMPUTED_VALUE"""),"YTC21021")</f>
        <v>YTC21021</v>
      </c>
      <c r="E1683" s="1" t="str">
        <f ca="1">IFERROR(__xludf.DUMMYFUNCTION("""COMPUTED_VALUE"""),"без срока годности")</f>
        <v>без срока годности</v>
      </c>
      <c r="F1683" s="1" t="str">
        <f ca="1">IFERROR(__xludf.DUMMYFUNCTION("""COMPUTED_VALUE"""),"Измеритель артериального давления Комфорт Dr.Frei А-40 - YTC21021")</f>
        <v>Измеритель артериального давления Комфорт Dr.Frei А-40 - YTC21021</v>
      </c>
      <c r="G1683" s="1" t="str">
        <f ca="1">IFERROR(__xludf.DUMMYFUNCTION("""COMPUTED_VALUE"""),"KZ.7700.02.01.00799665 / Действительно до Бессрочно / YTC21021 / без срока годности")</f>
        <v>KZ.7700.02.01.00799665 / Действительно до Бессрочно / YTC21021 / без срока годности</v>
      </c>
      <c r="H1683" s="1" t="str">
        <f ca="1">IFERROR(__xludf.DUMMYFUNCTION("""COMPUTED_VALUE"""),"Измеритель артериального давления Комфорт Dr.Frei А-40 KZ.7700.02.01.00799665 / Действительно до Бессрочно / YTC21021 / без срока годности")</f>
        <v>Измеритель артериального давления Комфорт Dr.Frei А-40 KZ.7700.02.01.00799665 / Действительно до Бессрочно / YTC21021 / без срока годности</v>
      </c>
    </row>
    <row r="1684" spans="1:8" ht="12.75" x14ac:dyDescent="0.2">
      <c r="A1684" s="1" t="str">
        <f ca="1">IFERROR(__xludf.DUMMYFUNCTION("""COMPUTED_VALUE"""),"Тонометр на запястие автомат Gamma Active")</f>
        <v>Тонометр на запястие автомат Gamma Active</v>
      </c>
      <c r="B1684" s="1" t="str">
        <f ca="1">IFERROR(__xludf.DUMMYFUNCTION("""COMPUTED_VALUE"""),"KZ.7700.02.01.00799627")</f>
        <v>KZ.7700.02.01.00799627</v>
      </c>
      <c r="C1684" s="1" t="str">
        <f ca="1">IFERROR(__xludf.DUMMYFUNCTION("""COMPUTED_VALUE"""),"Действительно до Бессрочно")</f>
        <v>Действительно до Бессрочно</v>
      </c>
      <c r="D1684" s="8" t="str">
        <f ca="1">IFERROR(__xludf.DUMMYFUNCTION("""COMPUTED_VALUE"""),"17-03-2021")</f>
        <v>17-03-2021</v>
      </c>
      <c r="E1684" s="1" t="str">
        <f ca="1">IFERROR(__xludf.DUMMYFUNCTION("""COMPUTED_VALUE"""),"без срока годности")</f>
        <v>без срока годности</v>
      </c>
      <c r="F1684" s="1" t="str">
        <f ca="1">IFERROR(__xludf.DUMMYFUNCTION("""COMPUTED_VALUE"""),"Тонометр на запястие автомат Gamma Active - 17-03-2021")</f>
        <v>Тонометр на запястие автомат Gamma Active - 17-03-2021</v>
      </c>
      <c r="G1684" s="1" t="str">
        <f ca="1">IFERROR(__xludf.DUMMYFUNCTION("""COMPUTED_VALUE"""),"KZ.7700.02.01.00799627 / Действительно до Бессрочно / 17-03-2021 / без срока годности")</f>
        <v>KZ.7700.02.01.00799627 / Действительно до Бессрочно / 17-03-2021 / без срока годности</v>
      </c>
      <c r="H1684" s="1" t="str">
        <f ca="1">IFERROR(__xludf.DUMMYFUNCTION("""COMPUTED_VALUE"""),"Тонометр на запястие автомат Gamma Active KZ.7700.02.01.00799627 / Действительно до Бессрочно / 17-03-2021 / без срока годности")</f>
        <v>Тонометр на запястие автомат Gamma Active KZ.7700.02.01.00799627 / Действительно до Бессрочно / 17-03-2021 / без срока годности</v>
      </c>
    </row>
    <row r="1685" spans="1:8" ht="12.75" x14ac:dyDescent="0.2">
      <c r="A1685" s="1" t="str">
        <f ca="1">IFERROR(__xludf.DUMMYFUNCTION("""COMPUTED_VALUE"""),"Тонометр автомат Gamma Control")</f>
        <v>Тонометр автомат Gamma Control</v>
      </c>
      <c r="B1685" s="1" t="str">
        <f ca="1">IFERROR(__xludf.DUMMYFUNCTION("""COMPUTED_VALUE"""),"KZ.7700.02.01.00799640")</f>
        <v>KZ.7700.02.01.00799640</v>
      </c>
      <c r="C1685" s="1" t="str">
        <f ca="1">IFERROR(__xludf.DUMMYFUNCTION("""COMPUTED_VALUE"""),"Действительно до Бессрочно")</f>
        <v>Действительно до Бессрочно</v>
      </c>
      <c r="D1685" s="8" t="str">
        <f ca="1">IFERROR(__xludf.DUMMYFUNCTION("""COMPUTED_VALUE"""),"21-06-2021")</f>
        <v>21-06-2021</v>
      </c>
      <c r="E1685" s="1" t="str">
        <f ca="1">IFERROR(__xludf.DUMMYFUNCTION("""COMPUTED_VALUE"""),"без срока годности")</f>
        <v>без срока годности</v>
      </c>
      <c r="F1685" s="1" t="str">
        <f ca="1">IFERROR(__xludf.DUMMYFUNCTION("""COMPUTED_VALUE"""),"Тонометр автомат Gamma Control - 21-06-2021")</f>
        <v>Тонометр автомат Gamma Control - 21-06-2021</v>
      </c>
      <c r="G1685" s="1" t="str">
        <f ca="1">IFERROR(__xludf.DUMMYFUNCTION("""COMPUTED_VALUE"""),"KZ.7700.02.01.00799640 / Действительно до Бессрочно / 21-06-2021 / без срока годности")</f>
        <v>KZ.7700.02.01.00799640 / Действительно до Бессрочно / 21-06-2021 / без срока годности</v>
      </c>
      <c r="H1685" s="1" t="str">
        <f ca="1">IFERROR(__xludf.DUMMYFUNCTION("""COMPUTED_VALUE"""),"Тонометр автомат Gamma Control KZ.7700.02.01.00799640 / Действительно до Бессрочно / 21-06-2021 / без срока годности")</f>
        <v>Тонометр автомат Gamma Control KZ.7700.02.01.00799640 / Действительно до Бессрочно / 21-06-2021 / без срока годности</v>
      </c>
    </row>
    <row r="1686" spans="1:8" ht="12.75" x14ac:dyDescent="0.2">
      <c r="A1686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686" s="1" t="str">
        <f ca="1">IFERROR(__xludf.DUMMYFUNCTION("""COMPUTED_VALUE"""),"KZ.7700.02.01.00799637")</f>
        <v>KZ.7700.02.01.00799637</v>
      </c>
      <c r="C1686" s="1" t="str">
        <f ca="1">IFERROR(__xludf.DUMMYFUNCTION("""COMPUTED_VALUE"""),"Действительно до Бессрочно")</f>
        <v>Действительно до Бессрочно</v>
      </c>
      <c r="D1686" s="8" t="str">
        <f ca="1">IFERROR(__xludf.DUMMYFUNCTION("""COMPUTED_VALUE"""),"15-06-2021")</f>
        <v>15-06-2021</v>
      </c>
      <c r="E1686" s="1" t="str">
        <f ca="1">IFERROR(__xludf.DUMMYFUNCTION("""COMPUTED_VALUE"""),"без срока годности")</f>
        <v>без срока годности</v>
      </c>
      <c r="F1686" s="1" t="str">
        <f ca="1">IFERROR(__xludf.DUMMYFUNCTION("""COMPUTED_VALUE"""),"Автоматический измеритель артериального давления ТМ DR.FREI МОДЕЛЬ M-100A - 15-06-2021")</f>
        <v>Автоматический измеритель артериального давления ТМ DR.FREI МОДЕЛЬ M-100A - 15-06-2021</v>
      </c>
      <c r="G1686" s="1" t="str">
        <f ca="1">IFERROR(__xludf.DUMMYFUNCTION("""COMPUTED_VALUE"""),"KZ.7700.02.01.00799637 / Действительно до Бессрочно / 15-06-2021 / без срока годности")</f>
        <v>KZ.7700.02.01.00799637 / Действительно до Бессрочно / 15-06-2021 / без срока годности</v>
      </c>
      <c r="H1686" s="1" t="str">
        <f ca="1">IFERROR(__xludf.DUMMYFUNCTION("""COMPUTED_VALUE"""),"Автоматический измеритель артериального давления ТМ DR.FREI МОДЕЛЬ M-100A KZ.7700.02.01.00799637 / Действительно до Бессрочно / 15-06-2021 / без срока годности")</f>
        <v>Автоматический измеритель артериального давления ТМ DR.FREI МОДЕЛЬ M-100A KZ.7700.02.01.00799637 / Действительно до Бессрочно / 15-06-2021 / без срока годности</v>
      </c>
    </row>
    <row r="1687" spans="1:8" ht="12.75" x14ac:dyDescent="0.2">
      <c r="A1687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687" s="1" t="str">
        <f ca="1">IFERROR(__xludf.DUMMYFUNCTION("""COMPUTED_VALUE"""),"KZ.7700.02.01.00799635")</f>
        <v>KZ.7700.02.01.00799635</v>
      </c>
      <c r="C1687" s="1" t="str">
        <f ca="1">IFERROR(__xludf.DUMMYFUNCTION("""COMPUTED_VALUE"""),"Действительно до Бессрочно")</f>
        <v>Действительно до Бессрочно</v>
      </c>
      <c r="D1687" s="8" t="str">
        <f ca="1">IFERROR(__xludf.DUMMYFUNCTION("""COMPUTED_VALUE"""),"15-06-2021")</f>
        <v>15-06-2021</v>
      </c>
      <c r="E1687" s="1" t="str">
        <f ca="1">IFERROR(__xludf.DUMMYFUNCTION("""COMPUTED_VALUE"""),"без срока годности")</f>
        <v>без срока годности</v>
      </c>
      <c r="F1687" s="1" t="str">
        <f ca="1">IFERROR(__xludf.DUMMYFUNCTION("""COMPUTED_VALUE"""),"Полуавтоматический измеритель артериального давления ТМ DR.FREI МОДЕЛЬ M-150S - 15-06-2021")</f>
        <v>Полуавтоматический измеритель артериального давления ТМ DR.FREI МОДЕЛЬ M-150S - 15-06-2021</v>
      </c>
      <c r="G1687" s="1" t="str">
        <f ca="1">IFERROR(__xludf.DUMMYFUNCTION("""COMPUTED_VALUE"""),"KZ.7700.02.01.00799635 / Действительно до Бессрочно / 15-06-2021 / без срока годности")</f>
        <v>KZ.7700.02.01.00799635 / Действительно до Бессрочно / 15-06-2021 / без срока годности</v>
      </c>
      <c r="H1687" s="1" t="str">
        <f ca="1">IFERROR(__xludf.DUMMYFUNCTION("""COMPUTED_VALUE"""),"Полуавтоматический измеритель артериального давления ТМ DR.FREI МОДЕЛЬ M-150S KZ.7700.02.01.00799635 / Действительно до Бессрочно / 15-06-2021 / без срока годности")</f>
        <v>Полуавтоматический измеритель артериального давления ТМ DR.FREI МОДЕЛЬ M-150S KZ.7700.02.01.00799635 / Действительно до Бессрочно / 15-06-2021 / без срока годности</v>
      </c>
    </row>
    <row r="1688" spans="1:8" ht="12.75" x14ac:dyDescent="0.2">
      <c r="A1688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688" s="1" t="str">
        <f ca="1">IFERROR(__xludf.DUMMYFUNCTION("""COMPUTED_VALUE"""),"KZ.7700.02.01.00799633")</f>
        <v>KZ.7700.02.01.00799633</v>
      </c>
      <c r="C1688" s="1" t="str">
        <f ca="1">IFERROR(__xludf.DUMMYFUNCTION("""COMPUTED_VALUE"""),"Действительно до Бессрочно")</f>
        <v>Действительно до Бессрочно</v>
      </c>
      <c r="D1688" s="8" t="str">
        <f ca="1">IFERROR(__xludf.DUMMYFUNCTION("""COMPUTED_VALUE"""),"15-06-2021")</f>
        <v>15-06-2021</v>
      </c>
      <c r="E1688" s="1" t="str">
        <f ca="1">IFERROR(__xludf.DUMMYFUNCTION("""COMPUTED_VALUE"""),"без срока годности")</f>
        <v>без срока годности</v>
      </c>
      <c r="F1688" s="1" t="str">
        <f ca="1">IFERROR(__xludf.DUMMYFUNCTION("""COMPUTED_VALUE"""),"Автоматический измеритель артериального давления ТМ DR.FREI МОДЕЛЬ M-200A - 15-06-2021")</f>
        <v>Автоматический измеритель артериального давления ТМ DR.FREI МОДЕЛЬ M-200A - 15-06-2021</v>
      </c>
      <c r="G1688" s="1" t="str">
        <f ca="1">IFERROR(__xludf.DUMMYFUNCTION("""COMPUTED_VALUE"""),"KZ.7700.02.01.00799633 / Действительно до Бессрочно / 15-06-2021 / без срока годности")</f>
        <v>KZ.7700.02.01.00799633 / Действительно до Бессрочно / 15-06-2021 / без срока годности</v>
      </c>
      <c r="H1688" s="1" t="str">
        <f ca="1">IFERROR(__xludf.DUMMYFUNCTION("""COMPUTED_VALUE"""),"Автоматический измеритель артериального давления ТМ DR.FREI МОДЕЛЬ M-200A KZ.7700.02.01.00799633 / Действительно до Бессрочно / 15-06-2021 / без срока годности")</f>
        <v>Автоматический измеритель артериального давления ТМ DR.FREI МОДЕЛЬ M-200A KZ.7700.02.01.00799633 / Действительно до Бессрочно / 15-06-2021 / без срока годности</v>
      </c>
    </row>
    <row r="1689" spans="1:8" ht="12.75" x14ac:dyDescent="0.2">
      <c r="A1689" s="1" t="str">
        <f ca="1">IFERROR(__xludf.DUMMYFUNCTION("""COMPUTED_VALUE"""),"Тонометр автомат Gamma Plus")</f>
        <v>Тонометр автомат Gamma Plus</v>
      </c>
      <c r="B1689" s="1" t="str">
        <f ca="1">IFERROR(__xludf.DUMMYFUNCTION("""COMPUTED_VALUE"""),"KZ.7700.02.01.00799639")</f>
        <v>KZ.7700.02.01.00799639</v>
      </c>
      <c r="C1689" s="1" t="str">
        <f ca="1">IFERROR(__xludf.DUMMYFUNCTION("""COMPUTED_VALUE"""),"Действительно до Бессрочно")</f>
        <v>Действительно до Бессрочно</v>
      </c>
      <c r="D1689" s="8" t="str">
        <f ca="1">IFERROR(__xludf.DUMMYFUNCTION("""COMPUTED_VALUE"""),"15-06-2021")</f>
        <v>15-06-2021</v>
      </c>
      <c r="E1689" s="1" t="str">
        <f ca="1">IFERROR(__xludf.DUMMYFUNCTION("""COMPUTED_VALUE"""),"без срока годности")</f>
        <v>без срока годности</v>
      </c>
      <c r="F1689" s="1" t="str">
        <f ca="1">IFERROR(__xludf.DUMMYFUNCTION("""COMPUTED_VALUE"""),"Тонометр автомат Gamma Plus - 15-06-2021")</f>
        <v>Тонометр автомат Gamma Plus - 15-06-2021</v>
      </c>
      <c r="G1689" s="1" t="str">
        <f ca="1">IFERROR(__xludf.DUMMYFUNCTION("""COMPUTED_VALUE"""),"KZ.7700.02.01.00799639 / Действительно до Бессрочно / 15-06-2021 / без срока годности")</f>
        <v>KZ.7700.02.01.00799639 / Действительно до Бессрочно / 15-06-2021 / без срока годности</v>
      </c>
      <c r="H1689" s="1" t="str">
        <f ca="1">IFERROR(__xludf.DUMMYFUNCTION("""COMPUTED_VALUE"""),"Тонометр автомат Gamma Plus KZ.7700.02.01.00799639 / Действительно до Бессрочно / 15-06-2021 / без срока годности")</f>
        <v>Тонометр автомат Gamma Plus KZ.7700.02.01.00799639 / Действительно до Бессрочно / 15-06-2021 / без срока годности</v>
      </c>
    </row>
    <row r="1690" spans="1:8" ht="12.75" x14ac:dyDescent="0.2">
      <c r="A1690" s="1" t="str">
        <f ca="1">IFERROR(__xludf.DUMMYFUNCTION("""COMPUTED_VALUE"""),"Тонометр автомат Gamma Smart")</f>
        <v>Тонометр автомат Gamma Smart</v>
      </c>
      <c r="B1690" s="1" t="str">
        <f ca="1">IFERROR(__xludf.DUMMYFUNCTION("""COMPUTED_VALUE"""),"KZ.7700.02.01.00799642")</f>
        <v>KZ.7700.02.01.00799642</v>
      </c>
      <c r="C1690" s="1" t="str">
        <f ca="1">IFERROR(__xludf.DUMMYFUNCTION("""COMPUTED_VALUE"""),"Действительно до Бессрочно")</f>
        <v>Действительно до Бессрочно</v>
      </c>
      <c r="D1690" s="8" t="str">
        <f ca="1">IFERROR(__xludf.DUMMYFUNCTION("""COMPUTED_VALUE"""),"17-03-2021")</f>
        <v>17-03-2021</v>
      </c>
      <c r="E1690" s="1" t="str">
        <f ca="1">IFERROR(__xludf.DUMMYFUNCTION("""COMPUTED_VALUE"""),"без срока годности")</f>
        <v>без срока годности</v>
      </c>
      <c r="F1690" s="1" t="str">
        <f ca="1">IFERROR(__xludf.DUMMYFUNCTION("""COMPUTED_VALUE"""),"Тонометр автомат Gamma Smart - 17-03-2021")</f>
        <v>Тонометр автомат Gamma Smart - 17-03-2021</v>
      </c>
      <c r="G1690" s="1" t="str">
        <f ca="1">IFERROR(__xludf.DUMMYFUNCTION("""COMPUTED_VALUE"""),"KZ.7700.02.01.00799642 / Действительно до Бессрочно / 17-03-2021 / без срока годности")</f>
        <v>KZ.7700.02.01.00799642 / Действительно до Бессрочно / 17-03-2021 / без срока годности</v>
      </c>
      <c r="H1690" s="1" t="str">
        <f ca="1">IFERROR(__xludf.DUMMYFUNCTION("""COMPUTED_VALUE"""),"Тонометр автомат Gamma Smart KZ.7700.02.01.00799642 / Действительно до Бессрочно / 17-03-2021 / без срока годности")</f>
        <v>Тонометр автомат Gamma Smart KZ.7700.02.01.00799642 / Действительно до Бессрочно / 17-03-2021 / без срока годности</v>
      </c>
    </row>
    <row r="1691" spans="1:8" ht="12.75" x14ac:dyDescent="0.2">
      <c r="A1691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691" s="1" t="str">
        <f ca="1">IFERROR(__xludf.DUMMYFUNCTION("""COMPUTED_VALUE"""),"KZ.7700.02.01.00800713")</f>
        <v>KZ.7700.02.01.00800713</v>
      </c>
      <c r="C1691" s="1" t="str">
        <f ca="1">IFERROR(__xludf.DUMMYFUNCTION("""COMPUTED_VALUE"""),"Действительно до 01.10.2024")</f>
        <v>Действительно до 01.10.2024</v>
      </c>
      <c r="D1691" s="8" t="str">
        <f ca="1">IFERROR(__xludf.DUMMYFUNCTION("""COMPUTED_VALUE"""),"20210908LS")</f>
        <v>20210908LS</v>
      </c>
      <c r="E1691" s="1" t="str">
        <f ca="1">IFERROR(__xludf.DUMMYFUNCTION("""COMPUTED_VALUE"""),"годен до 09.2024 г.")</f>
        <v>годен до 09.2024 г.</v>
      </c>
      <c r="F1691" s="1" t="str">
        <f ca="1">IFERROR(__xludf.DUMMYFUNCTION("""COMPUTED_VALUE"""),"Экспресс-Тест (полоска) на овуляцию №5 + 1 ПДВ - 20210908LS")</f>
        <v>Экспресс-Тест (полоска) на овуляцию №5 + 1 ПДВ - 20210908LS</v>
      </c>
      <c r="G1691" s="1" t="str">
        <f ca="1">IFERROR(__xludf.DUMMYFUNCTION("""COMPUTED_VALUE"""),"KZ.7700.02.01.00800713 / Действительно до 01.10.2024 / 20210908LS / годен до 09.2024 г.")</f>
        <v>KZ.7700.02.01.00800713 / Действительно до 01.10.2024 / 20210908LS / годен до 09.2024 г.</v>
      </c>
      <c r="H1691" s="1" t="str">
        <f ca="1">IFERROR(__xludf.DUMMYFUNCTION("""COMPUTED_VALUE"""),"Экспресс-Тест (полоска) на овуляцию №5 + 1 ПДВ KZ.7700.02.01.00800713 / Действительно до 01.10.2024 / 20210908LS / годен до 09.2024 г.")</f>
        <v>Экспресс-Тест (полоска) на овуляцию №5 + 1 ПДВ KZ.7700.02.01.00800713 / Действительно до 01.10.2024 / 20210908LS / годен до 09.2024 г.</v>
      </c>
    </row>
    <row r="1692" spans="1:8" ht="12.75" x14ac:dyDescent="0.2">
      <c r="A1692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692" s="1" t="str">
        <f ca="1">IFERROR(__xludf.DUMMYFUNCTION("""COMPUTED_VALUE"""),"KZ.7700.02.01.00800718")</f>
        <v>KZ.7700.02.01.00800718</v>
      </c>
      <c r="C1692" s="1" t="str">
        <f ca="1">IFERROR(__xludf.DUMMYFUNCTION("""COMPUTED_VALUE"""),"Действительно до 01.10.2024")</f>
        <v>Действительно до 01.10.2024</v>
      </c>
      <c r="D1692" s="8" t="str">
        <f ca="1">IFERROR(__xludf.DUMMYFUNCTION("""COMPUTED_VALUE"""),"20210908HS")</f>
        <v>20210908HS</v>
      </c>
      <c r="E1692" s="1" t="str">
        <f ca="1">IFERROR(__xludf.DUMMYFUNCTION("""COMPUTED_VALUE"""),"годен до 09.2024 г.")</f>
        <v>годен до 09.2024 г.</v>
      </c>
      <c r="F1692" s="1" t="str">
        <f ca="1">IFERROR(__xludf.DUMMYFUNCTION("""COMPUTED_VALUE"""),"Экспресс-Тест (полоска) на беременность 3 мм №1 - 20210908HS")</f>
        <v>Экспресс-Тест (полоска) на беременность 3 мм №1 - 20210908HS</v>
      </c>
      <c r="G1692" s="1" t="str">
        <f ca="1">IFERROR(__xludf.DUMMYFUNCTION("""COMPUTED_VALUE"""),"KZ.7700.02.01.00800718 / Действительно до 01.10.2024 / 20210908HS / годен до 09.2024 г.")</f>
        <v>KZ.7700.02.01.00800718 / Действительно до 01.10.2024 / 20210908HS / годен до 09.2024 г.</v>
      </c>
      <c r="H1692" s="1" t="str">
        <f ca="1">IFERROR(__xludf.DUMMYFUNCTION("""COMPUTED_VALUE"""),"Экспресс-Тест (полоска) на беременность 3 мм №1 KZ.7700.02.01.00800718 / Действительно до 01.10.2024 / 20210908HS / годен до 09.2024 г.")</f>
        <v>Экспресс-Тест (полоска) на беременность 3 мм №1 KZ.7700.02.01.00800718 / Действительно до 01.10.2024 / 20210908HS / годен до 09.2024 г.</v>
      </c>
    </row>
    <row r="1693" spans="1:8" ht="12.75" x14ac:dyDescent="0.2">
      <c r="A1693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693" s="1" t="str">
        <f ca="1">IFERROR(__xludf.DUMMYFUNCTION("""COMPUTED_VALUE"""),"KZ.7700.02.01.00800716")</f>
        <v>KZ.7700.02.01.00800716</v>
      </c>
      <c r="C1693" s="1" t="str">
        <f ca="1">IFERROR(__xludf.DUMMYFUNCTION("""COMPUTED_VALUE"""),"Действительно до 01.10.2024")</f>
        <v>Действительно до 01.10.2024</v>
      </c>
      <c r="D1693" s="8" t="str">
        <f ca="1">IFERROR(__xludf.DUMMYFUNCTION("""COMPUTED_VALUE"""),"20210908HS2")</f>
        <v>20210908HS2</v>
      </c>
      <c r="E1693" s="1" t="str">
        <f ca="1">IFERROR(__xludf.DUMMYFUNCTION("""COMPUTED_VALUE"""),"годен до 09.2024 г.")</f>
        <v>годен до 09.2024 г.</v>
      </c>
      <c r="F1693" s="1" t="str">
        <f ca="1">IFERROR(__xludf.DUMMYFUNCTION("""COMPUTED_VALUE"""),"Экспресс-Тест (полоска) на беременность 3 мм №2 ПДВ - 20210908HS2")</f>
        <v>Экспресс-Тест (полоска) на беременность 3 мм №2 ПДВ - 20210908HS2</v>
      </c>
      <c r="G1693" s="1" t="str">
        <f ca="1">IFERROR(__xludf.DUMMYFUNCTION("""COMPUTED_VALUE"""),"KZ.7700.02.01.00800716 / Действительно до 01.10.2024 / 20210908HS2 / годен до 09.2024 г.")</f>
        <v>KZ.7700.02.01.00800716 / Действительно до 01.10.2024 / 20210908HS2 / годен до 09.2024 г.</v>
      </c>
      <c r="H1693" s="1" t="str">
        <f ca="1">IFERROR(__xludf.DUMMYFUNCTION("""COMPUTED_VALUE"""),"Экспресс-Тест (полоска) на беременность 3 мм №2 ПДВ KZ.7700.02.01.00800716 / Действительно до 01.10.2024 / 20210908HS2 / годен до 09.2024 г.")</f>
        <v>Экспресс-Тест (полоска) на беременность 3 мм №2 ПДВ KZ.7700.02.01.00800716 / Действительно до 01.10.2024 / 20210908HS2 / годен до 09.2024 г.</v>
      </c>
    </row>
    <row r="1694" spans="1:8" ht="12.75" x14ac:dyDescent="0.2">
      <c r="A1694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694" s="1" t="str">
        <f ca="1">IFERROR(__xludf.DUMMYFUNCTION("""COMPUTED_VALUE"""),"KZ.7700.02.01.00800715")</f>
        <v>KZ.7700.02.01.00800715</v>
      </c>
      <c r="C1694" s="1" t="str">
        <f ca="1">IFERROR(__xludf.DUMMYFUNCTION("""COMPUTED_VALUE"""),"Действительно до 01.10.2024")</f>
        <v>Действительно до 01.10.2024</v>
      </c>
      <c r="D1694" s="8" t="str">
        <f ca="1">IFERROR(__xludf.DUMMYFUNCTION("""COMPUTED_VALUE"""),"20210908HM")</f>
        <v>20210908HM</v>
      </c>
      <c r="E1694" s="1" t="str">
        <f ca="1">IFERROR(__xludf.DUMMYFUNCTION("""COMPUTED_VALUE"""),"годен до 09.2024 г.")</f>
        <v>годен до 09.2024 г.</v>
      </c>
      <c r="F1694" s="1" t="str">
        <f ca="1">IFERROR(__xludf.DUMMYFUNCTION("""COMPUTED_VALUE"""),"Экспресс-Тест (струйный) на беременность - 20210908HM")</f>
        <v>Экспресс-Тест (струйный) на беременность - 20210908HM</v>
      </c>
      <c r="G1694" s="1" t="str">
        <f ca="1">IFERROR(__xludf.DUMMYFUNCTION("""COMPUTED_VALUE"""),"KZ.7700.02.01.00800715 / Действительно до 01.10.2024 / 20210908HM / годен до 09.2024 г.")</f>
        <v>KZ.7700.02.01.00800715 / Действительно до 01.10.2024 / 20210908HM / годен до 09.2024 г.</v>
      </c>
      <c r="H1694" s="1" t="str">
        <f ca="1">IFERROR(__xludf.DUMMYFUNCTION("""COMPUTED_VALUE"""),"Экспресс-Тест (струйный) на беременность KZ.7700.02.01.00800715 / Действительно до 01.10.2024 / 20210908HM / годен до 09.2024 г.")</f>
        <v>Экспресс-Тест (струйный) на беременность KZ.7700.02.01.00800715 / Действительно до 01.10.2024 / 20210908HM / годен до 09.2024 г.</v>
      </c>
    </row>
    <row r="1695" spans="1:8" ht="12.75" x14ac:dyDescent="0.2">
      <c r="A1695" s="1" t="str">
        <f ca="1">IFERROR(__xludf.DUMMYFUNCTION("""COMPUTED_VALUE"""),"Тест-полоски GAMMA MS")</f>
        <v>Тест-полоски GAMMA MS</v>
      </c>
      <c r="B1695" s="1"/>
      <c r="C1695" s="1" t="str">
        <f ca="1">IFERROR(__xludf.DUMMYFUNCTION("""COMPUTED_VALUE"""),"не подлежит сертификации")</f>
        <v>не подлежит сертификации</v>
      </c>
      <c r="D1695" s="8" t="str">
        <f ca="1">IFERROR(__xludf.DUMMYFUNCTION("""COMPUTED_VALUE"""),"TD216419-BOE")</f>
        <v>TD216419-BOE</v>
      </c>
      <c r="E1695" s="1" t="str">
        <f ca="1">IFERROR(__xludf.DUMMYFUNCTION("""COMPUTED_VALUE"""),"годен до 19.07.2023 г")</f>
        <v>годен до 19.07.2023 г</v>
      </c>
      <c r="F1695" s="1" t="str">
        <f ca="1">IFERROR(__xludf.DUMMYFUNCTION("""COMPUTED_VALUE"""),"Тест-полоски GAMMA MS - TD216419-BOE")</f>
        <v>Тест-полоски GAMMA MS - TD216419-BOE</v>
      </c>
      <c r="G1695" s="1" t="str">
        <f ca="1">IFERROR(__xludf.DUMMYFUNCTION("""COMPUTED_VALUE""")," / не подлежит сертификации / TD216419-BOE / годен до 19.07.2023 г")</f>
        <v xml:space="preserve"> / не подлежит сертификации / TD216419-BOE / годен до 19.07.2023 г</v>
      </c>
      <c r="H1695" s="1" t="str">
        <f ca="1">IFERROR(__xludf.DUMMYFUNCTION("""COMPUTED_VALUE"""),"Тест-полоски GAMMA MS  / не подлежит сертификации / TD216419-BOE / годен до 19.07.2023 г")</f>
        <v>Тест-полоски GAMMA MS  / не подлежит сертификации / TD216419-BOE / годен до 19.07.2023 г</v>
      </c>
    </row>
    <row r="1696" spans="1:8" ht="12.75" x14ac:dyDescent="0.2">
      <c r="A1696" s="1" t="str">
        <f ca="1">IFERROR(__xludf.DUMMYFUNCTION("""COMPUTED_VALUE"""),"Тест-полоски GAMMA MS")</f>
        <v>Тест-полоски GAMMA MS</v>
      </c>
      <c r="B1696" s="1"/>
      <c r="C1696" s="1" t="str">
        <f ca="1">IFERROR(__xludf.DUMMYFUNCTION("""COMPUTED_VALUE"""),"не подлежит сертификации")</f>
        <v>не подлежит сертификации</v>
      </c>
      <c r="D1696" s="8" t="str">
        <f ca="1">IFERROR(__xludf.DUMMYFUNCTION("""COMPUTED_VALUE"""),"TD21Н423-BOE")</f>
        <v>TD21Н423-BOE</v>
      </c>
      <c r="E1696" s="1" t="str">
        <f ca="1">IFERROR(__xludf.DUMMYFUNCTION("""COMPUTED_VALUE"""),"годен до 23.08.2023 г")</f>
        <v>годен до 23.08.2023 г</v>
      </c>
      <c r="F1696" s="1" t="str">
        <f ca="1">IFERROR(__xludf.DUMMYFUNCTION("""COMPUTED_VALUE"""),"Тест-полоски GAMMA MS - TD21Н423-BOE")</f>
        <v>Тест-полоски GAMMA MS - TD21Н423-BOE</v>
      </c>
      <c r="G1696" s="1" t="str">
        <f ca="1">IFERROR(__xludf.DUMMYFUNCTION("""COMPUTED_VALUE""")," / не подлежит сертификации / TD21Н423-BOE / годен до 23.08.2023 г")</f>
        <v xml:space="preserve"> / не подлежит сертификации / TD21Н423-BOE / годен до 23.08.2023 г</v>
      </c>
      <c r="H1696" s="1" t="str">
        <f ca="1">IFERROR(__xludf.DUMMYFUNCTION("""COMPUTED_VALUE"""),"Тест-полоски GAMMA MS  / не подлежит сертификации / TD21Н423-BOE / годен до 23.08.2023 г")</f>
        <v>Тест-полоски GAMMA MS  / не подлежит сертификации / TD21Н423-BOE / годен до 23.08.2023 г</v>
      </c>
    </row>
    <row r="1697" spans="1:8" ht="12.75" x14ac:dyDescent="0.2">
      <c r="A1697" s="1" t="str">
        <f ca="1">IFERROR(__xludf.DUMMYFUNCTION("""COMPUTED_VALUE"""),"DOLPHI 3 в 1 №3 Презервативы латексные")</f>
        <v>DOLPHI 3 в 1 №3 Презервативы латексные</v>
      </c>
      <c r="B1697" s="1" t="str">
        <f ca="1">IFERROR(__xludf.DUMMYFUNCTION("""COMPUTED_VALUE"""),"KZ.7700.02.01.00803831 ")</f>
        <v xml:space="preserve">KZ.7700.02.01.00803831 </v>
      </c>
      <c r="C1697" s="1" t="str">
        <f ca="1">IFERROR(__xludf.DUMMYFUNCTION("""COMPUTED_VALUE"""),"Действителен до 01.10.2026")</f>
        <v>Действителен до 01.10.2026</v>
      </c>
      <c r="D1697" s="8" t="str">
        <f ca="1">IFERROR(__xludf.DUMMYFUNCTION("""COMPUTED_VALUE"""),"2109TNI2837")</f>
        <v>2109TNI2837</v>
      </c>
      <c r="E1697" s="1" t="str">
        <f ca="1">IFERROR(__xludf.DUMMYFUNCTION("""COMPUTED_VALUE"""),"годен до 09.2026 г")</f>
        <v>годен до 09.2026 г</v>
      </c>
      <c r="F1697" s="1" t="str">
        <f ca="1">IFERROR(__xludf.DUMMYFUNCTION("""COMPUTED_VALUE"""),"DOLPHI 3 в 1 №3 Презервативы латексные - 2109TNI2837")</f>
        <v>DOLPHI 3 в 1 №3 Презервативы латексные - 2109TNI2837</v>
      </c>
      <c r="G1697" s="1" t="str">
        <f ca="1">IFERROR(__xludf.DUMMYFUNCTION("""COMPUTED_VALUE"""),"KZ.7700.02.01.00803831  / Действителен до 01.10.2026 / 2109TNI2837 / годен до 09.2026 г")</f>
        <v>KZ.7700.02.01.00803831  / Действителен до 01.10.2026 / 2109TNI2837 / годен до 09.2026 г</v>
      </c>
      <c r="H1697" s="1" t="str">
        <f ca="1">IFERROR(__xludf.DUMMYFUNCTION("""COMPUTED_VALUE"""),"DOLPHI 3 в 1 №3 Презервативы латексные KZ.7700.02.01.00803831  / Действителен до 01.10.2026 / 2109TNI2837 / годен до 09.2026 г")</f>
        <v>DOLPHI 3 в 1 №3 Презервативы латексные KZ.7700.02.01.00803831  / Действителен до 01.10.2026 / 2109TNI2837 / годен до 09.2026 г</v>
      </c>
    </row>
    <row r="1698" spans="1:8" ht="12.75" x14ac:dyDescent="0.2">
      <c r="A1698" s="1" t="str">
        <f ca="1">IFERROR(__xludf.DUMMYFUNCTION("""COMPUTED_VALUE"""),"DOLPHI 3 в 1 №12 Презервативы латексные")</f>
        <v>DOLPHI 3 в 1 №12 Презервативы латексные</v>
      </c>
      <c r="B1698" s="1" t="str">
        <f ca="1">IFERROR(__xludf.DUMMYFUNCTION("""COMPUTED_VALUE"""),"KZ.7700.02.01.00803833 ")</f>
        <v xml:space="preserve">KZ.7700.02.01.00803833 </v>
      </c>
      <c r="C1698" s="1" t="str">
        <f ca="1">IFERROR(__xludf.DUMMYFUNCTION("""COMPUTED_VALUE"""),"Действителен до 01.10.2026")</f>
        <v>Действителен до 01.10.2026</v>
      </c>
      <c r="D1698" s="8" t="str">
        <f ca="1">IFERROR(__xludf.DUMMYFUNCTION("""COMPUTED_VALUE"""),"2109TNI2837")</f>
        <v>2109TNI2837</v>
      </c>
      <c r="E1698" s="1" t="str">
        <f ca="1">IFERROR(__xludf.DUMMYFUNCTION("""COMPUTED_VALUE"""),"годен до 09.2026 г")</f>
        <v>годен до 09.2026 г</v>
      </c>
      <c r="F1698" s="1" t="str">
        <f ca="1">IFERROR(__xludf.DUMMYFUNCTION("""COMPUTED_VALUE"""),"DOLPHI 3 в 1 №12 Презервативы латексные - 2109TNI2837")</f>
        <v>DOLPHI 3 в 1 №12 Презервативы латексные - 2109TNI2837</v>
      </c>
      <c r="G1698" s="1" t="str">
        <f ca="1">IFERROR(__xludf.DUMMYFUNCTION("""COMPUTED_VALUE"""),"KZ.7700.02.01.00803833  / Действителен до 01.10.2026 / 2109TNI2837 / годен до 09.2026 г")</f>
        <v>KZ.7700.02.01.00803833  / Действителен до 01.10.2026 / 2109TNI2837 / годен до 09.2026 г</v>
      </c>
      <c r="H1698" s="1" t="str">
        <f ca="1">IFERROR(__xludf.DUMMYFUNCTION("""COMPUTED_VALUE"""),"DOLPHI 3 в 1 №12 Презервативы латексные KZ.7700.02.01.00803833  / Действителен до 01.10.2026 / 2109TNI2837 / годен до 09.2026 г")</f>
        <v>DOLPHI 3 в 1 №12 Презервативы латексные KZ.7700.02.01.00803833  / Действителен до 01.10.2026 / 2109TNI2837 / годен до 09.2026 г</v>
      </c>
    </row>
    <row r="1699" spans="1:8" ht="12.75" x14ac:dyDescent="0.2">
      <c r="A1699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1699" s="1" t="str">
        <f ca="1">IFERROR(__xludf.DUMMYFUNCTION("""COMPUTED_VALUE"""),"KZ.7700.02.01.00803832")</f>
        <v>KZ.7700.02.01.00803832</v>
      </c>
      <c r="C1699" s="1" t="str">
        <f ca="1">IFERROR(__xludf.DUMMYFUNCTION("""COMPUTED_VALUE"""),"Действителен до 01.10.2026")</f>
        <v>Действителен до 01.10.2026</v>
      </c>
      <c r="D1699" s="8" t="str">
        <f ca="1">IFERROR(__xludf.DUMMYFUNCTION("""COMPUTED_VALUE"""),"2109TNI2818")</f>
        <v>2109TNI2818</v>
      </c>
      <c r="E1699" s="1" t="str">
        <f ca="1">IFERROR(__xludf.DUMMYFUNCTION("""COMPUTED_VALUE"""),"годен до 09.2026 г")</f>
        <v>годен до 09.2026 г</v>
      </c>
      <c r="F1699" s="1" t="str">
        <f ca="1">IFERROR(__xludf.DUMMYFUNCTION("""COMPUTED_VALUE"""),"DOLPHI Класические №3 Презервативы латексные - 2109TNI2818")</f>
        <v>DOLPHI Класические №3 Презервативы латексные - 2109TNI2818</v>
      </c>
      <c r="G1699" s="1" t="str">
        <f ca="1">IFERROR(__xludf.DUMMYFUNCTION("""COMPUTED_VALUE"""),"KZ.7700.02.01.00803832 / Действителен до 01.10.2026 / 2109TNI2818 / годен до 09.2026 г")</f>
        <v>KZ.7700.02.01.00803832 / Действителен до 01.10.2026 / 2109TNI2818 / годен до 09.2026 г</v>
      </c>
      <c r="H1699" s="1" t="str">
        <f ca="1">IFERROR(__xludf.DUMMYFUNCTION("""COMPUTED_VALUE"""),"DOLPHI Класические №3 Презервативы латексные KZ.7700.02.01.00803832 / Действителен до 01.10.2026 / 2109TNI2818 / годен до 09.2026 г")</f>
        <v>DOLPHI Класические №3 Презервативы латексные KZ.7700.02.01.00803832 / Действителен до 01.10.2026 / 2109TNI2818 / годен до 09.2026 г</v>
      </c>
    </row>
    <row r="1700" spans="1:8" ht="12.75" x14ac:dyDescent="0.2">
      <c r="A1700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1700" s="1" t="str">
        <f ca="1">IFERROR(__xludf.DUMMYFUNCTION("""COMPUTED_VALUE"""),"KZ.7700.02.01.00803838")</f>
        <v>KZ.7700.02.01.00803838</v>
      </c>
      <c r="C1700" s="1" t="str">
        <f ca="1">IFERROR(__xludf.DUMMYFUNCTION("""COMPUTED_VALUE"""),"Действителен до 01.10.2026")</f>
        <v>Действителен до 01.10.2026</v>
      </c>
      <c r="D1700" s="8" t="str">
        <f ca="1">IFERROR(__xludf.DUMMYFUNCTION("""COMPUTED_VALUE"""),"2109TNI2818")</f>
        <v>2109TNI2818</v>
      </c>
      <c r="E1700" s="1" t="str">
        <f ca="1">IFERROR(__xludf.DUMMYFUNCTION("""COMPUTED_VALUE"""),"годен до 09.2026 г")</f>
        <v>годен до 09.2026 г</v>
      </c>
      <c r="F1700" s="1" t="str">
        <f ca="1">IFERROR(__xludf.DUMMYFUNCTION("""COMPUTED_VALUE"""),"DOLPHI классические, №12 Презервативы латексные - 2109TNI2818")</f>
        <v>DOLPHI классические, №12 Презервативы латексные - 2109TNI2818</v>
      </c>
      <c r="G1700" s="1" t="str">
        <f ca="1">IFERROR(__xludf.DUMMYFUNCTION("""COMPUTED_VALUE"""),"KZ.7700.02.01.00803838 / Действителен до 01.10.2026 / 2109TNI2818 / годен до 09.2026 г")</f>
        <v>KZ.7700.02.01.00803838 / Действителен до 01.10.2026 / 2109TNI2818 / годен до 09.2026 г</v>
      </c>
      <c r="H1700" s="1" t="str">
        <f ca="1">IFERROR(__xludf.DUMMYFUNCTION("""COMPUTED_VALUE"""),"DOLPHI классические, №12 Презервативы латексные KZ.7700.02.01.00803838 / Действителен до 01.10.2026 / 2109TNI2818 / годен до 09.2026 г")</f>
        <v>DOLPHI классические, №12 Презервативы латексные KZ.7700.02.01.00803838 / Действителен до 01.10.2026 / 2109TNI2818 / годен до 09.2026 г</v>
      </c>
    </row>
    <row r="1701" spans="1:8" ht="12.75" x14ac:dyDescent="0.2">
      <c r="A1701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1701" s="1" t="str">
        <f ca="1">IFERROR(__xludf.DUMMYFUNCTION("""COMPUTED_VALUE"""),"KZ.7700.02.01.00803834")</f>
        <v>KZ.7700.02.01.00803834</v>
      </c>
      <c r="C1701" s="1" t="str">
        <f ca="1">IFERROR(__xludf.DUMMYFUNCTION("""COMPUTED_VALUE"""),"Действителен до 01.10.2026")</f>
        <v>Действителен до 01.10.2026</v>
      </c>
      <c r="D1701" s="8" t="str">
        <f ca="1">IFERROR(__xludf.DUMMYFUNCTION("""COMPUTED_VALUE"""),"2109TNI2991")</f>
        <v>2109TNI2991</v>
      </c>
      <c r="E1701" s="1" t="str">
        <f ca="1">IFERROR(__xludf.DUMMYFUNCTION("""COMPUTED_VALUE"""),"годен до 09.2026 г")</f>
        <v>годен до 09.2026 г</v>
      </c>
      <c r="F1701" s="1" t="str">
        <f ca="1">IFERROR(__xludf.DUMMYFUNCTION("""COMPUTED_VALUE"""),"DOLPHI ультратонкие №3 Презервативы латескные - 2109TNI2991")</f>
        <v>DOLPHI ультратонкие №3 Презервативы латескные - 2109TNI2991</v>
      </c>
      <c r="G1701" s="1" t="str">
        <f ca="1">IFERROR(__xludf.DUMMYFUNCTION("""COMPUTED_VALUE"""),"KZ.7700.02.01.00803834 / Действителен до 01.10.2026 / 2109TNI2991 / годен до 09.2026 г")</f>
        <v>KZ.7700.02.01.00803834 / Действителен до 01.10.2026 / 2109TNI2991 / годен до 09.2026 г</v>
      </c>
      <c r="H1701" s="1" t="str">
        <f ca="1">IFERROR(__xludf.DUMMYFUNCTION("""COMPUTED_VALUE"""),"DOLPHI ультратонкие №3 Презервативы латескные KZ.7700.02.01.00803834 / Действителен до 01.10.2026 / 2109TNI2991 / годен до 09.2026 г")</f>
        <v>DOLPHI ультратонкие №3 Презервативы латескные KZ.7700.02.01.00803834 / Действителен до 01.10.2026 / 2109TNI2991 / годен до 09.2026 г</v>
      </c>
    </row>
    <row r="1702" spans="1:8" ht="12.75" x14ac:dyDescent="0.2">
      <c r="A1702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1702" s="1" t="str">
        <f ca="1">IFERROR(__xludf.DUMMYFUNCTION("""COMPUTED_VALUE"""),"KZ.7700.02.01.00803836")</f>
        <v>KZ.7700.02.01.00803836</v>
      </c>
      <c r="C1702" s="1" t="str">
        <f ca="1">IFERROR(__xludf.DUMMYFUNCTION("""COMPUTED_VALUE"""),"Действителен до 01.10.2026")</f>
        <v>Действителен до 01.10.2026</v>
      </c>
      <c r="D1702" s="8" t="str">
        <f ca="1">IFERROR(__xludf.DUMMYFUNCTION("""COMPUTED_VALUE"""),"2109TNI2991")</f>
        <v>2109TNI2991</v>
      </c>
      <c r="E1702" s="1" t="str">
        <f ca="1">IFERROR(__xludf.DUMMYFUNCTION("""COMPUTED_VALUE"""),"годен до 09.2026 г")</f>
        <v>годен до 09.2026 г</v>
      </c>
      <c r="F1702" s="1" t="str">
        <f ca="1">IFERROR(__xludf.DUMMYFUNCTION("""COMPUTED_VALUE"""),"DOLPHI ультратонкие №12 Презервативы латексные - 2109TNI2991")</f>
        <v>DOLPHI ультратонкие №12 Презервативы латексные - 2109TNI2991</v>
      </c>
      <c r="G1702" s="1" t="str">
        <f ca="1">IFERROR(__xludf.DUMMYFUNCTION("""COMPUTED_VALUE"""),"KZ.7700.02.01.00803836 / Действителен до 01.10.2026 / 2109TNI2991 / годен до 09.2026 г")</f>
        <v>KZ.7700.02.01.00803836 / Действителен до 01.10.2026 / 2109TNI2991 / годен до 09.2026 г</v>
      </c>
      <c r="H1702" s="1" t="str">
        <f ca="1">IFERROR(__xludf.DUMMYFUNCTION("""COMPUTED_VALUE"""),"DOLPHI ультратонкие №12 Презервативы латексные KZ.7700.02.01.00803836 / Действителен до 01.10.2026 / 2109TNI2991 / годен до 09.2026 г")</f>
        <v>DOLPHI ультратонкие №12 Презервативы латексные KZ.7700.02.01.00803836 / Действителен до 01.10.2026 / 2109TNI2991 / годен до 09.2026 г</v>
      </c>
    </row>
    <row r="1703" spans="1:8" ht="12.75" x14ac:dyDescent="0.2">
      <c r="A1703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1703" s="1" t="str">
        <f ca="1">IFERROR(__xludf.DUMMYFUNCTION("""COMPUTED_VALUE"""),"KZ.7700.02.01.00803840")</f>
        <v>KZ.7700.02.01.00803840</v>
      </c>
      <c r="C1703" s="1" t="str">
        <f ca="1">IFERROR(__xludf.DUMMYFUNCTION("""COMPUTED_VALUE"""),"Действителен до 01.10.2026")</f>
        <v>Действителен до 01.10.2026</v>
      </c>
      <c r="D1703" s="8" t="str">
        <f ca="1">IFERROR(__xludf.DUMMYFUNCTION("""COMPUTED_VALUE"""),"2109TNI2818")</f>
        <v>2109TNI2818</v>
      </c>
      <c r="E1703" s="1" t="str">
        <f ca="1">IFERROR(__xludf.DUMMYFUNCTION("""COMPUTED_VALUE"""),"годен до 09.2026 г")</f>
        <v>годен до 09.2026 г</v>
      </c>
      <c r="F1703" s="1" t="str">
        <f ca="1">IFERROR(__xludf.DUMMYFUNCTION("""COMPUTED_VALUE"""),"Mister Ben классические № 3 Презервативы латексные - 2109TNI2818")</f>
        <v>Mister Ben классические № 3 Презервативы латексные - 2109TNI2818</v>
      </c>
      <c r="G1703" s="1" t="str">
        <f ca="1">IFERROR(__xludf.DUMMYFUNCTION("""COMPUTED_VALUE"""),"KZ.7700.02.01.00803840 / Действителен до 01.10.2026 / 2109TNI2818 / годен до 09.2026 г")</f>
        <v>KZ.7700.02.01.00803840 / Действителен до 01.10.2026 / 2109TNI2818 / годен до 09.2026 г</v>
      </c>
      <c r="H1703" s="1" t="str">
        <f ca="1">IFERROR(__xludf.DUMMYFUNCTION("""COMPUTED_VALUE"""),"Mister Ben классические № 3 Презервативы латексные KZ.7700.02.01.00803840 / Действителен до 01.10.2026 / 2109TNI2818 / годен до 09.2026 г")</f>
        <v>Mister Ben классические № 3 Презервативы латексные KZ.7700.02.01.00803840 / Действителен до 01.10.2026 / 2109TNI2818 / годен до 09.2026 г</v>
      </c>
    </row>
    <row r="1704" spans="1:8" ht="12.75" x14ac:dyDescent="0.2">
      <c r="A1704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1704" s="1" t="str">
        <f ca="1">IFERROR(__xludf.DUMMYFUNCTION("""COMPUTED_VALUE"""),"KZ.7700.02.01.00803847")</f>
        <v>KZ.7700.02.01.00803847</v>
      </c>
      <c r="C1704" s="1" t="str">
        <f ca="1">IFERROR(__xludf.DUMMYFUNCTION("""COMPUTED_VALUE"""),"Действителен до 01.10.2026")</f>
        <v>Действителен до 01.10.2026</v>
      </c>
      <c r="D1704" s="8" t="str">
        <f ca="1">IFERROR(__xludf.DUMMYFUNCTION("""COMPUTED_VALUE"""),"2109TNI2680")</f>
        <v>2109TNI2680</v>
      </c>
      <c r="E1704" s="1" t="str">
        <f ca="1">IFERROR(__xludf.DUMMYFUNCTION("""COMPUTED_VALUE"""),"годен до 09.2026 г")</f>
        <v>годен до 09.2026 г</v>
      </c>
      <c r="F1704" s="1" t="str">
        <f ca="1">IFERROR(__xludf.DUMMYFUNCTION("""COMPUTED_VALUE"""),"Mister Ben Ребристые № 3 Презервативы латексные - 2109TNI2680")</f>
        <v>Mister Ben Ребристые № 3 Презервативы латексные - 2109TNI2680</v>
      </c>
      <c r="G1704" s="1" t="str">
        <f ca="1">IFERROR(__xludf.DUMMYFUNCTION("""COMPUTED_VALUE"""),"KZ.7700.02.01.00803847 / Действителен до 01.10.2026 / 2109TNI2680 / годен до 09.2026 г")</f>
        <v>KZ.7700.02.01.00803847 / Действителен до 01.10.2026 / 2109TNI2680 / годен до 09.2026 г</v>
      </c>
      <c r="H1704" s="1" t="str">
        <f ca="1">IFERROR(__xludf.DUMMYFUNCTION("""COMPUTED_VALUE"""),"Mister Ben Ребристые № 3 Презервативы латексные KZ.7700.02.01.00803847 / Действителен до 01.10.2026 / 2109TNI2680 / годен до 09.2026 г")</f>
        <v>Mister Ben Ребристые № 3 Презервативы латексные KZ.7700.02.01.00803847 / Действителен до 01.10.2026 / 2109TNI2680 / годен до 09.2026 г</v>
      </c>
    </row>
    <row r="1705" spans="1:8" ht="12.75" x14ac:dyDescent="0.2">
      <c r="A1705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1705" s="1" t="str">
        <f ca="1">IFERROR(__xludf.DUMMYFUNCTION("""COMPUTED_VALUE"""),"KZ.7700.02.01.00803844")</f>
        <v>KZ.7700.02.01.00803844</v>
      </c>
      <c r="C1705" s="1" t="str">
        <f ca="1">IFERROR(__xludf.DUMMYFUNCTION("""COMPUTED_VALUE"""),"Действителен до 01.06.2026")</f>
        <v>Действителен до 01.06.2026</v>
      </c>
      <c r="D1705" s="8" t="str">
        <f ca="1">IFERROR(__xludf.DUMMYFUNCTION("""COMPUTED_VALUE"""),"2105TNI2512")</f>
        <v>2105TNI2512</v>
      </c>
      <c r="E1705" s="1" t="str">
        <f ca="1">IFERROR(__xludf.DUMMYFUNCTION("""COMPUTED_VALUE"""),"годен до 05.2026 г")</f>
        <v>годен до 05.2026 г</v>
      </c>
      <c r="F1705" s="1" t="str">
        <f ca="1">IFERROR(__xludf.DUMMYFUNCTION("""COMPUTED_VALUE"""),"Mister Ben С точечной структурой № 3 Презервативы латексные - 2105TNI2512")</f>
        <v>Mister Ben С точечной структурой № 3 Презервативы латексные - 2105TNI2512</v>
      </c>
      <c r="G1705" s="1" t="str">
        <f ca="1">IFERROR(__xludf.DUMMYFUNCTION("""COMPUTED_VALUE"""),"KZ.7700.02.01.00803844 / Действителен до 01.06.2026 / 2105TNI2512 / годен до 05.2026 г")</f>
        <v>KZ.7700.02.01.00803844 / Действителен до 01.06.2026 / 2105TNI2512 / годен до 05.2026 г</v>
      </c>
      <c r="H1705" s="1" t="str">
        <f ca="1">IFERROR(__xludf.DUMMYFUNCTION("""COMPUTED_VALUE"""),"Mister Ben С точечной структурой № 3 Презервативы латексные KZ.7700.02.01.00803844 / Действителен до 01.06.2026 / 2105TNI2512 / годен до 05.2026 г")</f>
        <v>Mister Ben С точечной структурой № 3 Презервативы латексные KZ.7700.02.01.00803844 / Действителен до 01.06.2026 / 2105TNI2512 / годен до 05.2026 г</v>
      </c>
    </row>
    <row r="1706" spans="1:8" ht="12.75" x14ac:dyDescent="0.2">
      <c r="A1706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1706" s="1" t="str">
        <f ca="1">IFERROR(__xludf.DUMMYFUNCTION("""COMPUTED_VALUE"""),"KZ.7700.02.01.00803842 ")</f>
        <v xml:space="preserve">KZ.7700.02.01.00803842 </v>
      </c>
      <c r="C1706" s="1" t="str">
        <f ca="1">IFERROR(__xludf.DUMMYFUNCTION("""COMPUTED_VALUE"""),"Действителен до 01.10.2026")</f>
        <v>Действителен до 01.10.2026</v>
      </c>
      <c r="D1706" s="8" t="str">
        <f ca="1">IFERROR(__xludf.DUMMYFUNCTION("""COMPUTED_VALUE"""),"2109TNI2991")</f>
        <v>2109TNI2991</v>
      </c>
      <c r="E1706" s="1" t="str">
        <f ca="1">IFERROR(__xludf.DUMMYFUNCTION("""COMPUTED_VALUE"""),"годен до 09.2026 г")</f>
        <v>годен до 09.2026 г</v>
      </c>
      <c r="F1706" s="1" t="str">
        <f ca="1">IFERROR(__xludf.DUMMYFUNCTION("""COMPUTED_VALUE"""),"Mister Ben Ультратонкие № 3 Презервативы латексные - 2109TNI2991")</f>
        <v>Mister Ben Ультратонкие № 3 Презервативы латексные - 2109TNI2991</v>
      </c>
      <c r="G1706" s="1" t="str">
        <f ca="1">IFERROR(__xludf.DUMMYFUNCTION("""COMPUTED_VALUE"""),"KZ.7700.02.01.00803842  / Действителен до 01.10.2026 / 2109TNI2991 / годен до 09.2026 г")</f>
        <v>KZ.7700.02.01.00803842  / Действителен до 01.10.2026 / 2109TNI2991 / годен до 09.2026 г</v>
      </c>
      <c r="H1706" s="1" t="str">
        <f ca="1">IFERROR(__xludf.DUMMYFUNCTION("""COMPUTED_VALUE"""),"Mister Ben Ультратонкие № 3 Презервативы латексные KZ.7700.02.01.00803842  / Действителен до 01.10.2026 / 2109TNI2991 / годен до 09.2026 г")</f>
        <v>Mister Ben Ультратонкие № 3 Презервативы латексные KZ.7700.02.01.00803842  / Действителен до 01.10.2026 / 2109TNI2991 / годен до 09.2026 г</v>
      </c>
    </row>
    <row r="1707" spans="1:8" ht="12.75" x14ac:dyDescent="0.2">
      <c r="A1707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1707" s="1" t="str">
        <f ca="1">IFERROR(__xludf.DUMMYFUNCTION("""COMPUTED_VALUE"""),"KZ.7700.02.01.00803845 ")</f>
        <v xml:space="preserve">KZ.7700.02.01.00803845 </v>
      </c>
      <c r="C1707" s="1" t="str">
        <f ca="1">IFERROR(__xludf.DUMMYFUNCTION("""COMPUTED_VALUE"""),"Действителен до 01.10.2026")</f>
        <v>Действителен до 01.10.2026</v>
      </c>
      <c r="D1707" s="8" t="str">
        <f ca="1">IFERROR(__xludf.DUMMYFUNCTION("""COMPUTED_VALUE"""),"2109TNI2818")</f>
        <v>2109TNI2818</v>
      </c>
      <c r="E1707" s="1" t="str">
        <f ca="1">IFERROR(__xludf.DUMMYFUNCTION("""COMPUTED_VALUE"""),"годен до 09.2026 г")</f>
        <v>годен до 09.2026 г</v>
      </c>
      <c r="F1707" s="1" t="str">
        <f ca="1">IFERROR(__xludf.DUMMYFUNCTION("""COMPUTED_VALUE"""),"Sexxxy классические №3 Презервативы латексные - 2109TNI2818")</f>
        <v>Sexxxy классические №3 Презервативы латексные - 2109TNI2818</v>
      </c>
      <c r="G1707" s="1" t="str">
        <f ca="1">IFERROR(__xludf.DUMMYFUNCTION("""COMPUTED_VALUE"""),"KZ.7700.02.01.00803845  / Действителен до 01.10.2026 / 2109TNI2818 / годен до 09.2026 г")</f>
        <v>KZ.7700.02.01.00803845  / Действителен до 01.10.2026 / 2109TNI2818 / годен до 09.2026 г</v>
      </c>
      <c r="H1707" s="1" t="str">
        <f ca="1">IFERROR(__xludf.DUMMYFUNCTION("""COMPUTED_VALUE"""),"Sexxxy классические №3 Презервативы латексные KZ.7700.02.01.00803845  / Действителен до 01.10.2026 / 2109TNI2818 / годен до 09.2026 г")</f>
        <v>Sexxxy классические №3 Презервативы латексные KZ.7700.02.01.00803845  / Действителен до 01.10.2026 / 2109TNI2818 / годен до 09.2026 г</v>
      </c>
    </row>
    <row r="1708" spans="1:8" ht="12.75" x14ac:dyDescent="0.2">
      <c r="A1708" s="1" t="str">
        <f ca="1">IFERROR(__xludf.DUMMYFUNCTION("""COMPUTED_VALUE"""),"КОМПЛЕКТ ПЛАСТЫРЕЙ НА ТКАНЕВОЙ ОСНОВЕ №20")</f>
        <v>КОМПЛЕКТ ПЛАСТЫРЕЙ НА ТКАНЕВОЙ ОСНОВЕ №20</v>
      </c>
      <c r="B1708" s="1" t="str">
        <f ca="1">IFERROR(__xludf.DUMMYFUNCTION("""COMPUTED_VALUE"""),"KZ.7700.02.01.00804243 ")</f>
        <v xml:space="preserve">KZ.7700.02.01.00804243 </v>
      </c>
      <c r="C1708" s="1" t="str">
        <f ca="1">IFERROR(__xludf.DUMMYFUNCTION("""COMPUTED_VALUE"""),"Действителен до 01.09.2026")</f>
        <v>Действителен до 01.09.2026</v>
      </c>
      <c r="D1708" s="8" t="str">
        <f ca="1">IFERROR(__xludf.DUMMYFUNCTION("""COMPUTED_VALUE"""),"21214-08")</f>
        <v>21214-08</v>
      </c>
      <c r="E1708" s="1" t="str">
        <f ca="1">IFERROR(__xludf.DUMMYFUNCTION("""COMPUTED_VALUE"""),"годен до 08.2026 г.")</f>
        <v>годен до 08.2026 г.</v>
      </c>
      <c r="F1708" s="1" t="str">
        <f ca="1">IFERROR(__xludf.DUMMYFUNCTION("""COMPUTED_VALUE"""),"КОМПЛЕКТ ПЛАСТЫРЕЙ НА ТКАНЕВОЙ ОСНОВЕ №20 - 21214-08")</f>
        <v>КОМПЛЕКТ ПЛАСТЫРЕЙ НА ТКАНЕВОЙ ОСНОВЕ №20 - 21214-08</v>
      </c>
      <c r="G1708" s="1" t="str">
        <f ca="1">IFERROR(__xludf.DUMMYFUNCTION("""COMPUTED_VALUE"""),"KZ.7700.02.01.00804243  / Действителен до 01.09.2026 / 21214-08 / годен до 08.2026 г.")</f>
        <v>KZ.7700.02.01.00804243  / Действителен до 01.09.2026 / 21214-08 / годен до 08.2026 г.</v>
      </c>
      <c r="H1708" s="1" t="str">
        <f ca="1">IFERROR(__xludf.DUMMYFUNCTION("""COMPUTED_VALUE"""),"КОМПЛЕКТ ПЛАСТЫРЕЙ НА ТКАНЕВОЙ ОСНОВЕ №20 KZ.7700.02.01.00804243  / Действителен до 01.09.2026 / 21214-08 / годен до 08.2026 г.")</f>
        <v>КОМПЛЕКТ ПЛАСТЫРЕЙ НА ТКАНЕВОЙ ОСНОВЕ №20 KZ.7700.02.01.00804243  / Действителен до 01.09.2026 / 21214-08 / годен до 08.2026 г.</v>
      </c>
    </row>
    <row r="1709" spans="1:8" ht="12.75" x14ac:dyDescent="0.2">
      <c r="A1709" s="1" t="str">
        <f ca="1">IFERROR(__xludf.DUMMYFUNCTION("""COMPUTED_VALUE"""),"МЕДИЦИНСКИЙ НЕТКАНЫЙ ПЛАСТЫРЬ (19mm х 72mm) №100")</f>
        <v>МЕДИЦИНСКИЙ НЕТКАНЫЙ ПЛАСТЫРЬ (19mm х 72mm) №100</v>
      </c>
      <c r="B1709" s="1" t="str">
        <f ca="1">IFERROR(__xludf.DUMMYFUNCTION("""COMPUTED_VALUE"""),"KZ.7700.02.01.00804232 ")</f>
        <v xml:space="preserve">KZ.7700.02.01.00804232 </v>
      </c>
      <c r="C1709" s="1" t="str">
        <f ca="1">IFERROR(__xludf.DUMMYFUNCTION("""COMPUTED_VALUE"""),"Действителен до 01.10.2026")</f>
        <v>Действителен до 01.10.2026</v>
      </c>
      <c r="D1709" s="8" t="str">
        <f ca="1">IFERROR(__xludf.DUMMYFUNCTION("""COMPUTED_VALUE"""),"111/137-1")</f>
        <v>111/137-1</v>
      </c>
      <c r="E1709" s="1" t="str">
        <f ca="1">IFERROR(__xludf.DUMMYFUNCTION("""COMPUTED_VALUE"""),"годен до 09.2026 г.")</f>
        <v>годен до 09.2026 г.</v>
      </c>
      <c r="F1709" s="1" t="str">
        <f ca="1">IFERROR(__xludf.DUMMYFUNCTION("""COMPUTED_VALUE"""),"МЕДИЦИНСКИЙ НЕТКАНЫЙ ПЛАСТЫРЬ (19mm х 72mm) №100 - 111/137-1")</f>
        <v>МЕДИЦИНСКИЙ НЕТКАНЫЙ ПЛАСТЫРЬ (19mm х 72mm) №100 - 111/137-1</v>
      </c>
      <c r="G1709" s="1" t="str">
        <f ca="1">IFERROR(__xludf.DUMMYFUNCTION("""COMPUTED_VALUE"""),"KZ.7700.02.01.00804232  / Действителен до 01.10.2026 / 111/137-1 / годен до 09.2026 г.")</f>
        <v>KZ.7700.02.01.00804232  / Действителен до 01.10.2026 / 111/137-1 / годен до 09.2026 г.</v>
      </c>
      <c r="H1709" s="1" t="str">
        <f ca="1">IFERROR(__xludf.DUMMYFUNCTION("""COMPUTED_VALUE"""),"МЕДИЦИНСКИЙ НЕТКАНЫЙ ПЛАСТЫРЬ (19mm х 72mm) №100 KZ.7700.02.01.00804232  / Действителен до 01.10.2026 / 111/137-1 / годен до 09.2026 г.")</f>
        <v>МЕДИЦИНСКИЙ НЕТКАНЫЙ ПЛАСТЫРЬ (19mm х 72mm) №100 KZ.7700.02.01.00804232  / Действителен до 01.10.2026 / 111/137-1 / годен до 09.2026 г.</v>
      </c>
    </row>
    <row r="1710" spans="1:8" ht="12.75" x14ac:dyDescent="0.2">
      <c r="A1710" s="1" t="str">
        <f ca="1">IFERROR(__xludf.DUMMYFUNCTION("""COMPUTED_VALUE"""),"МЕДИЦИНСКИЙ НЕТКАНЫЙ ПЛАСТЫРЬ В РУЛОНЕ (5 м x 1,25cm)")</f>
        <v>МЕДИЦИНСКИЙ НЕТКАНЫЙ ПЛАСТЫРЬ В РУЛОНЕ (5 м x 1,25cm)</v>
      </c>
      <c r="B1710" s="1" t="str">
        <f ca="1">IFERROR(__xludf.DUMMYFUNCTION("""COMPUTED_VALUE"""),"KZ.7700.02.01.00804196 ")</f>
        <v xml:space="preserve">KZ.7700.02.01.00804196 </v>
      </c>
      <c r="C1710" s="1" t="str">
        <f ca="1">IFERROR(__xludf.DUMMYFUNCTION("""COMPUTED_VALUE"""),"Действителен до 01.09.2026")</f>
        <v>Действителен до 01.09.2026</v>
      </c>
      <c r="D1710" s="8" t="str">
        <f ca="1">IFERROR(__xludf.DUMMYFUNCTION("""COMPUTED_VALUE"""),"2151219-1")</f>
        <v>2151219-1</v>
      </c>
      <c r="E1710" s="1" t="str">
        <f ca="1">IFERROR(__xludf.DUMMYFUNCTION("""COMPUTED_VALUE"""),"годен до 08.2026 г.")</f>
        <v>годен до 08.2026 г.</v>
      </c>
      <c r="F1710" s="1" t="str">
        <f ca="1">IFERROR(__xludf.DUMMYFUNCTION("""COMPUTED_VALUE"""),"МЕДИЦИНСКИЙ НЕТКАНЫЙ ПЛАСТЫРЬ В РУЛОНЕ (5 м x 1,25cm) - 2151219-1")</f>
        <v>МЕДИЦИНСКИЙ НЕТКАНЫЙ ПЛАСТЫРЬ В РУЛОНЕ (5 м x 1,25cm) - 2151219-1</v>
      </c>
      <c r="G1710" s="1" t="str">
        <f ca="1">IFERROR(__xludf.DUMMYFUNCTION("""COMPUTED_VALUE"""),"KZ.7700.02.01.00804196  / Действителен до 01.09.2026 / 2151219-1 / годен до 08.2026 г.")</f>
        <v>KZ.7700.02.01.00804196  / Действителен до 01.09.2026 / 2151219-1 / годен до 08.2026 г.</v>
      </c>
      <c r="H1710" s="1" t="str">
        <f ca="1">IFERROR(__xludf.DUMMYFUNCTION("""COMPUTED_VALUE"""),"МЕДИЦИНСКИЙ НЕТКАНЫЙ ПЛАСТЫРЬ В РУЛОНЕ (5 м x 1,25cm) KZ.7700.02.01.00804196  / Действителен до 01.09.2026 / 2151219-1 / годен до 08.2026 г.")</f>
        <v>МЕДИЦИНСКИЙ НЕТКАНЫЙ ПЛАСТЫРЬ В РУЛОНЕ (5 м x 1,25cm) KZ.7700.02.01.00804196  / Действителен до 01.09.2026 / 2151219-1 / годен до 08.2026 г.</v>
      </c>
    </row>
    <row r="1711" spans="1:8" ht="12.75" x14ac:dyDescent="0.2">
      <c r="A1711" s="1" t="str">
        <f ca="1">IFERROR(__xludf.DUMMYFUNCTION("""COMPUTED_VALUE"""),"МЕДИЦИНСКИЙ НЕТКАНЫЙ ПЛАСТЫРЬ В РУЛОНЕ (5 м x 2,5cm)")</f>
        <v>МЕДИЦИНСКИЙ НЕТКАНЫЙ ПЛАСТЫРЬ В РУЛОНЕ (5 м x 2,5cm)</v>
      </c>
      <c r="B1711" s="1" t="str">
        <f ca="1">IFERROR(__xludf.DUMMYFUNCTION("""COMPUTED_VALUE"""),"KZ.7700.02.01.00804338 ")</f>
        <v xml:space="preserve">KZ.7700.02.01.00804338 </v>
      </c>
      <c r="C1711" s="1" t="str">
        <f ca="1">IFERROR(__xludf.DUMMYFUNCTION("""COMPUTED_VALUE"""),"Действителен до 01.09.2026")</f>
        <v>Действителен до 01.09.2026</v>
      </c>
      <c r="D1711" s="8" t="str">
        <f ca="1">IFERROR(__xludf.DUMMYFUNCTION("""COMPUTED_VALUE"""),"2153219-1")</f>
        <v>2153219-1</v>
      </c>
      <c r="E1711" s="1" t="str">
        <f ca="1">IFERROR(__xludf.DUMMYFUNCTION("""COMPUTED_VALUE"""),"годен до 08.2026 г.")</f>
        <v>годен до 08.2026 г.</v>
      </c>
      <c r="F1711" s="1" t="str">
        <f ca="1">IFERROR(__xludf.DUMMYFUNCTION("""COMPUTED_VALUE"""),"МЕДИЦИНСКИЙ НЕТКАНЫЙ ПЛАСТЫРЬ В РУЛОНЕ (5 м x 2,5cm) - 2153219-1")</f>
        <v>МЕДИЦИНСКИЙ НЕТКАНЫЙ ПЛАСТЫРЬ В РУЛОНЕ (5 м x 2,5cm) - 2153219-1</v>
      </c>
      <c r="G1711" s="1" t="str">
        <f ca="1">IFERROR(__xludf.DUMMYFUNCTION("""COMPUTED_VALUE"""),"KZ.7700.02.01.00804338  / Действителен до 01.09.2026 / 2153219-1 / годен до 08.2026 г.")</f>
        <v>KZ.7700.02.01.00804338  / Действителен до 01.09.2026 / 2153219-1 / годен до 08.2026 г.</v>
      </c>
      <c r="H1711" s="1" t="str">
        <f ca="1">IFERROR(__xludf.DUMMYFUNCTION("""COMPUTED_VALUE"""),"МЕДИЦИНСКИЙ НЕТКАНЫЙ ПЛАСТЫРЬ В РУЛОНЕ (5 м x 2,5cm) KZ.7700.02.01.00804338  / Действителен до 01.09.2026 / 2153219-1 / годен до 08.2026 г.")</f>
        <v>МЕДИЦИНСКИЙ НЕТКАНЫЙ ПЛАСТЫРЬ В РУЛОНЕ (5 м x 2,5cm) KZ.7700.02.01.00804338  / Действителен до 01.09.2026 / 2153219-1 / годен до 08.2026 г.</v>
      </c>
    </row>
    <row r="1712" spans="1:8" ht="12.75" x14ac:dyDescent="0.2">
      <c r="A1712" s="1" t="str">
        <f ca="1">IFERROR(__xludf.DUMMYFUNCTION("""COMPUTED_VALUE"""),"МЕДИЦИНСКИЙ ПЛАСТЫРЬ НА ТКАНЕВОЙ ОСНОВЕ (19mm х 72mm) №10")</f>
        <v>МЕДИЦИНСКИЙ ПЛАСТЫРЬ НА ТКАНЕВОЙ ОСНОВЕ (19mm х 72mm) №10</v>
      </c>
      <c r="B1712" s="1" t="str">
        <f ca="1">IFERROR(__xludf.DUMMYFUNCTION("""COMPUTED_VALUE"""),"KZ.7700.02.01.00804348 ")</f>
        <v xml:space="preserve">KZ.7700.02.01.00804348 </v>
      </c>
      <c r="C1712" s="1" t="str">
        <f ca="1">IFERROR(__xludf.DUMMYFUNCTION("""COMPUTED_VALUE"""),"Действителен до 01.09.2026")</f>
        <v>Действителен до 01.09.2026</v>
      </c>
      <c r="D1712" s="8" t="str">
        <f ca="1">IFERROR(__xludf.DUMMYFUNCTION("""COMPUTED_VALUE"""),"111/227-3")</f>
        <v>111/227-3</v>
      </c>
      <c r="E1712" s="1" t="str">
        <f ca="1">IFERROR(__xludf.DUMMYFUNCTION("""COMPUTED_VALUE"""),"годен до 08.2026 г.")</f>
        <v>годен до 08.2026 г.</v>
      </c>
      <c r="F1712" s="1" t="str">
        <f ca="1">IFERROR(__xludf.DUMMYFUNCTION("""COMPUTED_VALUE"""),"МЕДИЦИНСКИЙ ПЛАСТЫРЬ НА ТКАНЕВОЙ ОСНОВЕ (19mm х 72mm) №10 - 111/227-3")</f>
        <v>МЕДИЦИНСКИЙ ПЛАСТЫРЬ НА ТКАНЕВОЙ ОСНОВЕ (19mm х 72mm) №10 - 111/227-3</v>
      </c>
      <c r="G1712" s="1" t="str">
        <f ca="1">IFERROR(__xludf.DUMMYFUNCTION("""COMPUTED_VALUE"""),"KZ.7700.02.01.00804348  / Действителен до 01.09.2026 / 111/227-3 / годен до 08.2026 г.")</f>
        <v>KZ.7700.02.01.00804348  / Действителен до 01.09.2026 / 111/227-3 / годен до 08.2026 г.</v>
      </c>
      <c r="H1712" s="1" t="str">
        <f ca="1">IFERROR(__xludf.DUMMYFUNCTION("""COMPUTED_VALUE"""),"МЕДИЦИНСКИЙ ПЛАСТЫРЬ НА ТКАНЕВОЙ ОСНОВЕ (19mm х 72mm) №10 KZ.7700.02.01.00804348  / Действителен до 01.09.2026 / 111/227-3 / годен до 08.2026 г.")</f>
        <v>МЕДИЦИНСКИЙ ПЛАСТЫРЬ НА ТКАНЕВОЙ ОСНОВЕ (19mm х 72mm) №10 KZ.7700.02.01.00804348  / Действителен до 01.09.2026 / 111/227-3 / годен до 08.2026 г.</v>
      </c>
    </row>
    <row r="1713" spans="1:8" ht="12.75" x14ac:dyDescent="0.2">
      <c r="A1713" s="1" t="str">
        <f ca="1">IFERROR(__xludf.DUMMYFUNCTION("""COMPUTED_VALUE"""),"МЕДИЦИНСКИЙ ПЛАСТЫРЬ НА ТКАНЕВОЙ ОСНОВЕ (19mm х 72mm) №100")</f>
        <v>МЕДИЦИНСКИЙ ПЛАСТЫРЬ НА ТКАНЕВОЙ ОСНОВЕ (19mm х 72mm) №100</v>
      </c>
      <c r="B1713" s="1" t="str">
        <f ca="1">IFERROR(__xludf.DUMMYFUNCTION("""COMPUTED_VALUE"""),"KZ.7700.02.01.00804253")</f>
        <v>KZ.7700.02.01.00804253</v>
      </c>
      <c r="C1713" s="1" t="str">
        <f ca="1">IFERROR(__xludf.DUMMYFUNCTION("""COMPUTED_VALUE"""),"Действителен до 01.09.2026")</f>
        <v>Действителен до 01.09.2026</v>
      </c>
      <c r="D1713" s="8" t="str">
        <f ca="1">IFERROR(__xludf.DUMMYFUNCTION("""COMPUTED_VALUE"""),"21227-3")</f>
        <v>21227-3</v>
      </c>
      <c r="E1713" s="1" t="str">
        <f ca="1">IFERROR(__xludf.DUMMYFUNCTION("""COMPUTED_VALUE"""),"годен до 08.2026 г.")</f>
        <v>годен до 08.2026 г.</v>
      </c>
      <c r="F1713" s="1" t="str">
        <f ca="1">IFERROR(__xludf.DUMMYFUNCTION("""COMPUTED_VALUE"""),"МЕДИЦИНСКИЙ ПЛАСТЫРЬ НА ТКАНЕВОЙ ОСНОВЕ (19mm х 72mm) №100 - 21227-3")</f>
        <v>МЕДИЦИНСКИЙ ПЛАСТЫРЬ НА ТКАНЕВОЙ ОСНОВЕ (19mm х 72mm) №100 - 21227-3</v>
      </c>
      <c r="G1713" s="1" t="str">
        <f ca="1">IFERROR(__xludf.DUMMYFUNCTION("""COMPUTED_VALUE"""),"KZ.7700.02.01.00804253 / Действителен до 01.09.2026 / 21227-3 / годен до 08.2026 г.")</f>
        <v>KZ.7700.02.01.00804253 / Действителен до 01.09.2026 / 21227-3 / годен до 08.2026 г.</v>
      </c>
      <c r="H1713" s="1" t="str">
        <f ca="1">IFERROR(__xludf.DUMMYFUNCTION("""COMPUTED_VALUE"""),"МЕДИЦИНСКИЙ ПЛАСТЫРЬ НА ТКАНЕВОЙ ОСНОВЕ (19mm х 72mm) №100 KZ.7700.02.01.00804253 / Действителен до 01.09.2026 / 21227-3 / годен до 08.2026 г.")</f>
        <v>МЕДИЦИНСКИЙ ПЛАСТЫРЬ НА ТКАНЕВОЙ ОСНОВЕ (19mm х 72mm) №100 KZ.7700.02.01.00804253 / Действителен до 01.09.2026 / 21227-3 / годен до 08.2026 г.</v>
      </c>
    </row>
    <row r="1714" spans="1:8" ht="12.75" x14ac:dyDescent="0.2">
      <c r="A1714" s="1" t="str">
        <f ca="1">IFERROR(__xludf.DUMMYFUNCTION("""COMPUTED_VALUE"""),"МЕДИЦИНСКИЙ ХЛОПЧАТОБУМАЖНЫЙ ПЛАСТЫРЬ В РУЛОНЕ (5m x 1,25cm)")</f>
        <v>МЕДИЦИНСКИЙ ХЛОПЧАТОБУМАЖНЫЙ ПЛАСТЫРЬ В РУЛОНЕ (5m x 1,25cm)</v>
      </c>
      <c r="B1714" s="1" t="str">
        <f ca="1">IFERROR(__xludf.DUMMYFUNCTION("""COMPUTED_VALUE"""),"KZ.7700.02.01.00804216")</f>
        <v>KZ.7700.02.01.00804216</v>
      </c>
      <c r="C1714" s="1" t="str">
        <f ca="1">IFERROR(__xludf.DUMMYFUNCTION("""COMPUTED_VALUE"""),"Действителен до 01.09.2026")</f>
        <v>Действителен до 01.09.2026</v>
      </c>
      <c r="D1714" s="8" t="str">
        <f ca="1">IFERROR(__xludf.DUMMYFUNCTION("""COMPUTED_VALUE"""),"217326-4")</f>
        <v>217326-4</v>
      </c>
      <c r="E1714" s="1" t="str">
        <f ca="1">IFERROR(__xludf.DUMMYFUNCTION("""COMPUTED_VALUE"""),"годен до 08.2026 г")</f>
        <v>годен до 08.2026 г</v>
      </c>
      <c r="F1714" s="1" t="str">
        <f ca="1">IFERROR(__xludf.DUMMYFUNCTION("""COMPUTED_VALUE"""),"МЕДИЦИНСКИЙ ХЛОПЧАТОБУМАЖНЫЙ ПЛАСТЫРЬ В РУЛОНЕ (5m x 1,25cm) - 217326-4")</f>
        <v>МЕДИЦИНСКИЙ ХЛОПЧАТОБУМАЖНЫЙ ПЛАСТЫРЬ В РУЛОНЕ (5m x 1,25cm) - 217326-4</v>
      </c>
      <c r="G1714" s="1" t="str">
        <f ca="1">IFERROR(__xludf.DUMMYFUNCTION("""COMPUTED_VALUE"""),"KZ.7700.02.01.00804216 / Действителен до 01.09.2026 / 217326-4 / годен до 08.2026 г")</f>
        <v>KZ.7700.02.01.00804216 / Действителен до 01.09.2026 / 217326-4 / годен до 08.2026 г</v>
      </c>
      <c r="H1714" s="1" t="str">
        <f ca="1">IFERROR(__xludf.DUMMYFUNCTION("""COMPUTED_VALUE"""),"МЕДИЦИНСКИЙ ХЛОПЧАТОБУМАЖНЫЙ ПЛАСТЫРЬ В РУЛОНЕ (5m x 1,25cm) KZ.7700.02.01.00804216 / Действителен до 01.09.2026 / 217326-4 / годен до 08.2026 г")</f>
        <v>МЕДИЦИНСКИЙ ХЛОПЧАТОБУМАЖНЫЙ ПЛАСТЫРЬ В РУЛОНЕ (5m x 1,25cm) KZ.7700.02.01.00804216 / Действителен до 01.09.2026 / 217326-4 / годен до 08.2026 г</v>
      </c>
    </row>
    <row r="1715" spans="1:8" ht="12.75" x14ac:dyDescent="0.2">
      <c r="A1715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B1715" s="1" t="str">
        <f ca="1">IFERROR(__xludf.DUMMYFUNCTION("""COMPUTED_VALUE"""),"KZ.7700.02.01.00804152")</f>
        <v>KZ.7700.02.01.00804152</v>
      </c>
      <c r="C1715" s="1" t="str">
        <f ca="1">IFERROR(__xludf.DUMMYFUNCTION("""COMPUTED_VALUE"""),"Действителен до 01.09.2026")</f>
        <v>Действителен до 01.09.2026</v>
      </c>
      <c r="D1715" s="8" t="str">
        <f ca="1">IFERROR(__xludf.DUMMYFUNCTION("""COMPUTED_VALUE"""),"218326-4")</f>
        <v>218326-4</v>
      </c>
      <c r="E1715" s="1" t="str">
        <f ca="1">IFERROR(__xludf.DUMMYFUNCTION("""COMPUTED_VALUE"""),"годен до 08.2026 г")</f>
        <v>годен до 08.2026 г</v>
      </c>
      <c r="F1715" s="1" t="str">
        <f ca="1">IFERROR(__xludf.DUMMYFUNCTION("""COMPUTED_VALUE"""),"МЕДИЦИНСКИЙ ХЛОПЧАТОБУМАЖНЫЙ ПЛАСТЫРЬ В РУЛОНЕ (5m x 2,5cm) - 218326-4")</f>
        <v>МЕДИЦИНСКИЙ ХЛОПЧАТОБУМАЖНЫЙ ПЛАСТЫРЬ В РУЛОНЕ (5m x 2,5cm) - 218326-4</v>
      </c>
      <c r="G1715" s="1" t="str">
        <f ca="1">IFERROR(__xludf.DUMMYFUNCTION("""COMPUTED_VALUE"""),"KZ.7700.02.01.00804152 / Действителен до 01.09.2026 / 218326-4 / годен до 08.2026 г")</f>
        <v>KZ.7700.02.01.00804152 / Действителен до 01.09.2026 / 218326-4 / годен до 08.2026 г</v>
      </c>
      <c r="H1715" s="1" t="str">
        <f ca="1">IFERROR(__xludf.DUMMYFUNCTION("""COMPUTED_VALUE"""),"МЕДИЦИНСКИЙ ХЛОПЧАТОБУМАЖНЫЙ ПЛАСТЫРЬ В РУЛОНЕ (5m x 2,5cm) KZ.7700.02.01.00804152 / Действителен до 01.09.2026 / 218326-4 / годен до 08.2026 г")</f>
        <v>МЕДИЦИНСКИЙ ХЛОПЧАТОБУМАЖНЫЙ ПЛАСТЫРЬ В РУЛОНЕ (5m x 2,5cm) KZ.7700.02.01.00804152 / Действителен до 01.09.2026 / 218326-4 / годен до 08.2026 г</v>
      </c>
    </row>
    <row r="1716" spans="1:8" ht="12.75" x14ac:dyDescent="0.2">
      <c r="A1716" s="1" t="str">
        <f ca="1">IFERROR(__xludf.DUMMYFUNCTION("""COMPUTED_VALUE"""),"МОЗОЛЬНЫЙ ПЛАСТЫРЬ (19mm х 72mm) №4")</f>
        <v>МОЗОЛЬНЫЙ ПЛАСТЫРЬ (19mm х 72mm) №4</v>
      </c>
      <c r="B1716" s="1" t="str">
        <f ca="1">IFERROR(__xludf.DUMMYFUNCTION("""COMPUTED_VALUE"""),"KZ.7700.02.01.00804334")</f>
        <v>KZ.7700.02.01.00804334</v>
      </c>
      <c r="C1716" s="1" t="str">
        <f ca="1">IFERROR(__xludf.DUMMYFUNCTION("""COMPUTED_VALUE"""),"Действителен до 01.09.2026")</f>
        <v>Действителен до 01.09.2026</v>
      </c>
      <c r="D1716" s="8" t="str">
        <f ca="1">IFERROR(__xludf.DUMMYFUNCTION("""COMPUTED_VALUE"""),"21224-08")</f>
        <v>21224-08</v>
      </c>
      <c r="E1716" s="1" t="str">
        <f ca="1">IFERROR(__xludf.DUMMYFUNCTION("""COMPUTED_VALUE"""),"годен до 08.2026 г.")</f>
        <v>годен до 08.2026 г.</v>
      </c>
      <c r="F1716" s="1" t="str">
        <f ca="1">IFERROR(__xludf.DUMMYFUNCTION("""COMPUTED_VALUE"""),"МОЗОЛЬНЫЙ ПЛАСТЫРЬ (19mm х 72mm) №4 - 21224-08")</f>
        <v>МОЗОЛЬНЫЙ ПЛАСТЫРЬ (19mm х 72mm) №4 - 21224-08</v>
      </c>
      <c r="G1716" s="1" t="str">
        <f ca="1">IFERROR(__xludf.DUMMYFUNCTION("""COMPUTED_VALUE"""),"KZ.7700.02.01.00804334 / Действителен до 01.09.2026 / 21224-08 / годен до 08.2026 г.")</f>
        <v>KZ.7700.02.01.00804334 / Действителен до 01.09.2026 / 21224-08 / годен до 08.2026 г.</v>
      </c>
      <c r="H1716" s="1" t="str">
        <f ca="1">IFERROR(__xludf.DUMMYFUNCTION("""COMPUTED_VALUE"""),"МОЗОЛЬНЫЙ ПЛАСТЫРЬ (19mm х 72mm) №4 KZ.7700.02.01.00804334 / Действителен до 01.09.2026 / 21224-08 / годен до 08.2026 г.")</f>
        <v>МОЗОЛЬНЫЙ ПЛАСТЫРЬ (19mm х 72mm) №4 KZ.7700.02.01.00804334 / Действителен до 01.09.2026 / 21224-08 / годен до 08.2026 г.</v>
      </c>
    </row>
    <row r="1717" spans="1:8" ht="12.75" x14ac:dyDescent="0.2">
      <c r="A1717" s="1" t="str">
        <f ca="1">IFERROR(__xludf.DUMMYFUNCTION("""COMPUTED_VALUE"""),"ПЛАСТЫРИ ДЛЯ ДЕТЕЙ (19mm х 72mm) №20")</f>
        <v>ПЛАСТЫРИ ДЛЯ ДЕТЕЙ (19mm х 72mm) №20</v>
      </c>
      <c r="B1717" s="1" t="str">
        <f ca="1">IFERROR(__xludf.DUMMYFUNCTION("""COMPUTED_VALUE"""),"KZ.7700.02.01.00804237")</f>
        <v>KZ.7700.02.01.00804237</v>
      </c>
      <c r="C1717" s="1" t="str">
        <f ca="1">IFERROR(__xludf.DUMMYFUNCTION("""COMPUTED_VALUE"""),"Действителен до 01.09.2026")</f>
        <v>Действителен до 01.09.2026</v>
      </c>
      <c r="D1717" s="8" t="str">
        <f ca="1">IFERROR(__xludf.DUMMYFUNCTION("""COMPUTED_VALUE"""),"21213-08")</f>
        <v>21213-08</v>
      </c>
      <c r="E1717" s="1" t="str">
        <f ca="1">IFERROR(__xludf.DUMMYFUNCTION("""COMPUTED_VALUE"""),"годен до 08.2026 г")</f>
        <v>годен до 08.2026 г</v>
      </c>
      <c r="F1717" s="1" t="str">
        <f ca="1">IFERROR(__xludf.DUMMYFUNCTION("""COMPUTED_VALUE"""),"ПЛАСТЫРИ ДЛЯ ДЕТЕЙ (19mm х 72mm) №20 - 21213-08")</f>
        <v>ПЛАСТЫРИ ДЛЯ ДЕТЕЙ (19mm х 72mm) №20 - 21213-08</v>
      </c>
      <c r="G1717" s="1" t="str">
        <f ca="1">IFERROR(__xludf.DUMMYFUNCTION("""COMPUTED_VALUE"""),"KZ.7700.02.01.00804237 / Действителен до 01.09.2026 / 21213-08 / годен до 08.2026 г")</f>
        <v>KZ.7700.02.01.00804237 / Действителен до 01.09.2026 / 21213-08 / годен до 08.2026 г</v>
      </c>
      <c r="H1717" s="1" t="str">
        <f ca="1">IFERROR(__xludf.DUMMYFUNCTION("""COMPUTED_VALUE"""),"ПЛАСТЫРИ ДЛЯ ДЕТЕЙ (19mm х 72mm) №20 KZ.7700.02.01.00804237 / Действителен до 01.09.2026 / 21213-08 / годен до 08.2026 г")</f>
        <v>ПЛАСТЫРИ ДЛЯ ДЕТЕЙ (19mm х 72mm) №20 KZ.7700.02.01.00804237 / Действителен до 01.09.2026 / 21213-08 / годен до 08.2026 г</v>
      </c>
    </row>
    <row r="1718" spans="1:8" ht="12.75" x14ac:dyDescent="0.2">
      <c r="A1718" s="1" t="str">
        <f ca="1">IFERROR(__xludf.DUMMYFUNCTION("""COMPUTED_VALUE"""),"МЕДИЦИНСКИЙ ПЛАСТЫРЬ НА НЕТКАНОЙ ОСНОВЕ (10сm х 6сm) №10")</f>
        <v>МЕДИЦИНСКИЙ ПЛАСТЫРЬ НА НЕТКАНОЙ ОСНОВЕ (10сm х 6сm) №10</v>
      </c>
      <c r="B1718" s="1" t="str">
        <f ca="1">IFERROR(__xludf.DUMMYFUNCTION("""COMPUTED_VALUE"""),"KZ.7700.02.01.00804222")</f>
        <v>KZ.7700.02.01.00804222</v>
      </c>
      <c r="C1718" s="1" t="str">
        <f ca="1">IFERROR(__xludf.DUMMYFUNCTION("""COMPUTED_VALUE"""),"Действителен до 01.09.2026")</f>
        <v>Действителен до 01.09.2026</v>
      </c>
      <c r="D1718" s="8" t="str">
        <f ca="1">IFERROR(__xludf.DUMMYFUNCTION("""COMPUTED_VALUE"""),"21218129-1")</f>
        <v>21218129-1</v>
      </c>
      <c r="E1718" s="1" t="str">
        <f ca="1">IFERROR(__xludf.DUMMYFUNCTION("""COMPUTED_VALUE"""),"годен до 08.2026 г")</f>
        <v>годен до 08.2026 г</v>
      </c>
      <c r="F1718" s="1" t="str">
        <f ca="1">IFERROR(__xludf.DUMMYFUNCTION("""COMPUTED_VALUE"""),"МЕДИЦИНСКИЙ ПЛАСТЫРЬ НА НЕТКАНОЙ ОСНОВЕ (10сm х 6сm) №10 - 21218129-1")</f>
        <v>МЕДИЦИНСКИЙ ПЛАСТЫРЬ НА НЕТКАНОЙ ОСНОВЕ (10сm х 6сm) №10 - 21218129-1</v>
      </c>
      <c r="G1718" s="1" t="str">
        <f ca="1">IFERROR(__xludf.DUMMYFUNCTION("""COMPUTED_VALUE"""),"KZ.7700.02.01.00804222 / Действителен до 01.09.2026 / 21218129-1 / годен до 08.2026 г")</f>
        <v>KZ.7700.02.01.00804222 / Действителен до 01.09.2026 / 21218129-1 / годен до 08.2026 г</v>
      </c>
      <c r="H1718" s="1" t="str">
        <f ca="1">IFERROR(__xludf.DUMMYFUNCTION("""COMPUTED_VALUE"""),"МЕДИЦИНСКИЙ ПЛАСТЫРЬ НА НЕТКАНОЙ ОСНОВЕ (10сm х 6сm) №10 KZ.7700.02.01.00804222 / Действителен до 01.09.2026 / 21218129-1 / годен до 08.2026 г")</f>
        <v>МЕДИЦИНСКИЙ ПЛАСТЫРЬ НА НЕТКАНОЙ ОСНОВЕ (10сm х 6сm) №10 KZ.7700.02.01.00804222 / Действителен до 01.09.2026 / 21218129-1 / годен до 08.2026 г</v>
      </c>
    </row>
    <row r="1719" spans="1:8" ht="12.75" x14ac:dyDescent="0.2">
      <c r="A1719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719" s="1" t="str">
        <f ca="1">IFERROR(__xludf.DUMMYFUNCTION("""COMPUTED_VALUE"""),"KZ.7700.02.01.00802430")</f>
        <v>KZ.7700.02.01.00802430</v>
      </c>
      <c r="C1719" s="1" t="str">
        <f ca="1">IFERROR(__xludf.DUMMYFUNCTION("""COMPUTED_VALUE"""),"Действителен до 19.11.2026")</f>
        <v>Действителен до 19.11.2026</v>
      </c>
      <c r="D1719" s="8" t="str">
        <f ca="1">IFERROR(__xludf.DUMMYFUNCTION("""COMPUTED_VALUE"""),"1121083KZ083")</f>
        <v>1121083KZ083</v>
      </c>
      <c r="E1719" s="1" t="str">
        <f ca="1">IFERROR(__xludf.DUMMYFUNCTION("""COMPUTED_VALUE"""),"годен до 19.11.2026 г")</f>
        <v>годен до 19.11.2026 г</v>
      </c>
      <c r="F1719" s="1" t="str">
        <f ca="1">IFERROR(__xludf.DUMMYFUNCTION("""COMPUTED_VALUE"""),"Бандаж для беременных эластичный 4505 - L (Болгария) - 1121083KZ083")</f>
        <v>Бандаж для беременных эластичный 4505 - L (Болгария) - 1121083KZ083</v>
      </c>
      <c r="G1719" s="1" t="str">
        <f ca="1">IFERROR(__xludf.DUMMYFUNCTION("""COMPUTED_VALUE"""),"KZ.7700.02.01.00802430 / Действителен до 19.11.2026 / 1121083KZ083 / годен до 19.11.2026 г")</f>
        <v>KZ.7700.02.01.00802430 / Действителен до 19.11.2026 / 1121083KZ083 / годен до 19.11.2026 г</v>
      </c>
      <c r="H1719" s="1" t="str">
        <f ca="1">IFERROR(__xludf.DUMMYFUNCTION("""COMPUTED_VALUE"""),"Бандаж для беременных эластичный 4505 - L (Болгария) KZ.7700.02.01.00802430 / Действителен до 19.11.2026 / 1121083KZ083 / годен до 19.11.2026 г")</f>
        <v>Бандаж для беременных эластичный 4505 - L (Болгария) KZ.7700.02.01.00802430 / Действителен до 19.11.2026 / 1121083KZ083 / годен до 19.11.2026 г</v>
      </c>
    </row>
    <row r="1720" spans="1:8" ht="12.75" x14ac:dyDescent="0.2">
      <c r="A1720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1720" s="1" t="str">
        <f ca="1">IFERROR(__xludf.DUMMYFUNCTION("""COMPUTED_VALUE"""),"KZ.7700.02.01.00802440")</f>
        <v>KZ.7700.02.01.00802440</v>
      </c>
      <c r="C1720" s="1" t="str">
        <f ca="1">IFERROR(__xludf.DUMMYFUNCTION("""COMPUTED_VALUE"""),"Действителен до 19.11.2026")</f>
        <v>Действителен до 19.11.2026</v>
      </c>
      <c r="D1720" s="8" t="str">
        <f ca="1">IFERROR(__xludf.DUMMYFUNCTION("""COMPUTED_VALUE"""),"1121083KZ083")</f>
        <v>1121083KZ083</v>
      </c>
      <c r="E1720" s="1" t="str">
        <f ca="1">IFERROR(__xludf.DUMMYFUNCTION("""COMPUTED_VALUE"""),"годен до 19.11.2026 г")</f>
        <v>годен до 19.11.2026 г</v>
      </c>
      <c r="F1720" s="1" t="str">
        <f ca="1">IFERROR(__xludf.DUMMYFUNCTION("""COMPUTED_VALUE"""),"Бандаж для беременных эластичный 4505 - М (Болгария) - 1121083KZ083")</f>
        <v>Бандаж для беременных эластичный 4505 - М (Болгария) - 1121083KZ083</v>
      </c>
      <c r="G1720" s="1" t="str">
        <f ca="1">IFERROR(__xludf.DUMMYFUNCTION("""COMPUTED_VALUE"""),"KZ.7700.02.01.00802440 / Действителен до 19.11.2026 / 1121083KZ083 / годен до 19.11.2026 г")</f>
        <v>KZ.7700.02.01.00802440 / Действителен до 19.11.2026 / 1121083KZ083 / годен до 19.11.2026 г</v>
      </c>
      <c r="H1720" s="1" t="str">
        <f ca="1">IFERROR(__xludf.DUMMYFUNCTION("""COMPUTED_VALUE"""),"Бандаж для беременных эластичный 4505 - М (Болгария) KZ.7700.02.01.00802440 / Действителен до 19.11.2026 / 1121083KZ083 / годен до 19.11.2026 г")</f>
        <v>Бандаж для беременных эластичный 4505 - М (Болгария) KZ.7700.02.01.00802440 / Действителен до 19.11.2026 / 1121083KZ083 / годен до 19.11.2026 г</v>
      </c>
    </row>
    <row r="1721" spans="1:8" ht="12.75" x14ac:dyDescent="0.2">
      <c r="A1721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1721" s="1" t="str">
        <f ca="1">IFERROR(__xludf.DUMMYFUNCTION("""COMPUTED_VALUE"""),"KZ.7700.02.01.00802256")</f>
        <v>KZ.7700.02.01.00802256</v>
      </c>
      <c r="C1721" s="1" t="str">
        <f ca="1">IFERROR(__xludf.DUMMYFUNCTION("""COMPUTED_VALUE"""),"Действителен до 19.11.2026")</f>
        <v>Действителен до 19.11.2026</v>
      </c>
      <c r="D1721" s="8" t="str">
        <f ca="1">IFERROR(__xludf.DUMMYFUNCTION("""COMPUTED_VALUE"""),"1121083KZ083")</f>
        <v>1121083KZ083</v>
      </c>
      <c r="E1721" s="1" t="str">
        <f ca="1">IFERROR(__xludf.DUMMYFUNCTION("""COMPUTED_VALUE"""),"годен до 19.11.2026 г")</f>
        <v>годен до 19.11.2026 г</v>
      </c>
      <c r="F1721" s="1" t="str">
        <f ca="1">IFERROR(__xludf.DUMMYFUNCTION("""COMPUTED_VALUE"""),"Бандаж для беременных эластичный 4505 - S (Болгария) - 1121083KZ083")</f>
        <v>Бандаж для беременных эластичный 4505 - S (Болгария) - 1121083KZ083</v>
      </c>
      <c r="G1721" s="1" t="str">
        <f ca="1">IFERROR(__xludf.DUMMYFUNCTION("""COMPUTED_VALUE"""),"KZ.7700.02.01.00802256 / Действителен до 19.11.2026 / 1121083KZ083 / годен до 19.11.2026 г")</f>
        <v>KZ.7700.02.01.00802256 / Действителен до 19.11.2026 / 1121083KZ083 / годен до 19.11.2026 г</v>
      </c>
      <c r="H1721" s="1" t="str">
        <f ca="1">IFERROR(__xludf.DUMMYFUNCTION("""COMPUTED_VALUE"""),"Бандаж для беременных эластичный 4505 - S (Болгария) KZ.7700.02.01.00802256 / Действителен до 19.11.2026 / 1121083KZ083 / годен до 19.11.2026 г")</f>
        <v>Бандаж для беременных эластичный 4505 - S (Болгария) KZ.7700.02.01.00802256 / Действителен до 19.11.2026 / 1121083KZ083 / годен до 19.11.2026 г</v>
      </c>
    </row>
    <row r="1722" spans="1:8" ht="12.75" x14ac:dyDescent="0.2">
      <c r="A1722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722" s="1" t="str">
        <f ca="1">IFERROR(__xludf.DUMMYFUNCTION("""COMPUTED_VALUE"""),"KZ.7700.02.01.00801918")</f>
        <v>KZ.7700.02.01.00801918</v>
      </c>
      <c r="C1722" s="1" t="str">
        <f ca="1">IFERROR(__xludf.DUMMYFUNCTION("""COMPUTED_VALUE"""),"Действителен до 19.11.2026")</f>
        <v>Действителен до 19.11.2026</v>
      </c>
      <c r="D1722" s="8" t="str">
        <f ca="1">IFERROR(__xludf.DUMMYFUNCTION("""COMPUTED_VALUE"""),"1121083KZ083")</f>
        <v>1121083KZ083</v>
      </c>
      <c r="E1722" s="1" t="str">
        <f ca="1">IFERROR(__xludf.DUMMYFUNCTION("""COMPUTED_VALUE"""),"годен до 19.11.2026 г")</f>
        <v>годен до 19.11.2026 г</v>
      </c>
      <c r="F1722" s="1" t="str">
        <f ca="1">IFERROR(__xludf.DUMMYFUNCTION("""COMPUTED_VALUE"""),"Бандаж для беременных эластичный 4505 - XL (Болгария) - 1121083KZ083")</f>
        <v>Бандаж для беременных эластичный 4505 - XL (Болгария) - 1121083KZ083</v>
      </c>
      <c r="G1722" s="1" t="str">
        <f ca="1">IFERROR(__xludf.DUMMYFUNCTION("""COMPUTED_VALUE"""),"KZ.7700.02.01.00801918 / Действителен до 19.11.2026 / 1121083KZ083 / годен до 19.11.2026 г")</f>
        <v>KZ.7700.02.01.00801918 / Действителен до 19.11.2026 / 1121083KZ083 / годен до 19.11.2026 г</v>
      </c>
      <c r="H1722" s="1" t="str">
        <f ca="1">IFERROR(__xludf.DUMMYFUNCTION("""COMPUTED_VALUE"""),"Бандаж для беременных эластичный 4505 - XL (Болгария) KZ.7700.02.01.00801918 / Действителен до 19.11.2026 / 1121083KZ083 / годен до 19.11.2026 г")</f>
        <v>Бандаж для беременных эластичный 4505 - XL (Болгария) KZ.7700.02.01.00801918 / Действителен до 19.11.2026 / 1121083KZ083 / годен до 19.11.2026 г</v>
      </c>
    </row>
    <row r="1723" spans="1:8" ht="12.75" x14ac:dyDescent="0.2">
      <c r="A1723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723" s="1" t="str">
        <f ca="1">IFERROR(__xludf.DUMMYFUNCTION("""COMPUTED_VALUE"""),"KZ.7700.02.01.00801990")</f>
        <v>KZ.7700.02.01.00801990</v>
      </c>
      <c r="C1723" s="1" t="str">
        <f ca="1">IFERROR(__xludf.DUMMYFUNCTION("""COMPUTED_VALUE"""),"Действителен до 19.11.2026")</f>
        <v>Действителен до 19.11.2026</v>
      </c>
      <c r="D1723" s="8" t="str">
        <f ca="1">IFERROR(__xludf.DUMMYFUNCTION("""COMPUTED_VALUE"""),"1121083KZ083")</f>
        <v>1121083KZ083</v>
      </c>
      <c r="E1723" s="1" t="str">
        <f ca="1">IFERROR(__xludf.DUMMYFUNCTION("""COMPUTED_VALUE"""),"годен до 19.11.2026 г")</f>
        <v>годен до 19.11.2026 г</v>
      </c>
      <c r="F1723" s="1" t="str">
        <f ca="1">IFERROR(__xludf.DUMMYFUNCTION("""COMPUTED_VALUE"""),"Бандаж для беременных эластичный 4505 - XXL (Болгария) - 1121083KZ083")</f>
        <v>Бандаж для беременных эластичный 4505 - XXL (Болгария) - 1121083KZ083</v>
      </c>
      <c r="G1723" s="1" t="str">
        <f ca="1">IFERROR(__xludf.DUMMYFUNCTION("""COMPUTED_VALUE"""),"KZ.7700.02.01.00801990 / Действителен до 19.11.2026 / 1121083KZ083 / годен до 19.11.2026 г")</f>
        <v>KZ.7700.02.01.00801990 / Действителен до 19.11.2026 / 1121083KZ083 / годен до 19.11.2026 г</v>
      </c>
      <c r="H1723" s="1" t="str">
        <f ca="1">IFERROR(__xludf.DUMMYFUNCTION("""COMPUTED_VALUE"""),"Бандаж для беременных эластичный 4505 - XXL (Болгария) KZ.7700.02.01.00801990 / Действителен до 19.11.2026 / 1121083KZ083 / годен до 19.11.2026 г")</f>
        <v>Бандаж для беременных эластичный 4505 - XXL (Болгария) KZ.7700.02.01.00801990 / Действителен до 19.11.2026 / 1121083KZ083 / годен до 19.11.2026 г</v>
      </c>
    </row>
    <row r="1724" spans="1:8" ht="12.75" x14ac:dyDescent="0.2">
      <c r="A1724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724" s="1" t="str">
        <f ca="1">IFERROR(__xludf.DUMMYFUNCTION("""COMPUTED_VALUE"""),"KZ.7700.02.01.00802432")</f>
        <v>KZ.7700.02.01.00802432</v>
      </c>
      <c r="C1724" s="1" t="str">
        <f ca="1">IFERROR(__xludf.DUMMYFUNCTION("""COMPUTED_VALUE"""),"Действителен до 19.11.2026")</f>
        <v>Действителен до 19.11.2026</v>
      </c>
      <c r="D1724" s="8" t="str">
        <f ca="1">IFERROR(__xludf.DUMMYFUNCTION("""COMPUTED_VALUE"""),"1121083KZ083")</f>
        <v>1121083KZ083</v>
      </c>
      <c r="E1724" s="1" t="str">
        <f ca="1">IFERROR(__xludf.DUMMYFUNCTION("""COMPUTED_VALUE"""),"годен до 19.11.2026 г")</f>
        <v>годен до 19.11.2026 г</v>
      </c>
      <c r="F1724" s="1" t="str">
        <f ca="1">IFERROR(__xludf.DUMMYFUNCTION("""COMPUTED_VALUE"""),"Бандаж для беременных эластичный 4505 - XXXL (Болгария) - 1121083KZ083")</f>
        <v>Бандаж для беременных эластичный 4505 - XXXL (Болгария) - 1121083KZ083</v>
      </c>
      <c r="G1724" s="1" t="str">
        <f ca="1">IFERROR(__xludf.DUMMYFUNCTION("""COMPUTED_VALUE"""),"KZ.7700.02.01.00802432 / Действителен до 19.11.2026 / 1121083KZ083 / годен до 19.11.2026 г")</f>
        <v>KZ.7700.02.01.00802432 / Действителен до 19.11.2026 / 1121083KZ083 / годен до 19.11.2026 г</v>
      </c>
      <c r="H1724" s="1" t="str">
        <f ca="1">IFERROR(__xludf.DUMMYFUNCTION("""COMPUTED_VALUE"""),"Бандаж для беременных эластичный 4505 - XXXL (Болгария) KZ.7700.02.01.00802432 / Действителен до 19.11.2026 / 1121083KZ083 / годен до 19.11.2026 г")</f>
        <v>Бандаж для беременных эластичный 4505 - XXXL (Болгария) KZ.7700.02.01.00802432 / Действителен до 19.11.2026 / 1121083KZ083 / годен до 19.11.2026 г</v>
      </c>
    </row>
    <row r="1725" spans="1:8" ht="12.75" x14ac:dyDescent="0.2">
      <c r="A1725" s="1" t="str">
        <f ca="1">IFERROR(__xludf.DUMMYFUNCTION("""COMPUTED_VALUE"""),"Ингалятор компрессорный Gamma модель NEMO")</f>
        <v>Ингалятор компрессорный Gamma модель NEMO</v>
      </c>
      <c r="B1725" s="1" t="str">
        <f ca="1">IFERROR(__xludf.DUMMYFUNCTION("""COMPUTED_VALUE"""),"KZ.7700.02.01.00807226")</f>
        <v>KZ.7700.02.01.00807226</v>
      </c>
      <c r="C1725" s="1" t="str">
        <f ca="1">IFERROR(__xludf.DUMMYFUNCTION("""COMPUTED_VALUE"""),"Действительно до Бессрочно")</f>
        <v>Действительно до Бессрочно</v>
      </c>
      <c r="D1725" s="8" t="str">
        <f ca="1">IFERROR(__xludf.DUMMYFUNCTION("""COMPUTED_VALUE"""),"202110")</f>
        <v>202110</v>
      </c>
      <c r="E1725" s="1" t="str">
        <f ca="1">IFERROR(__xludf.DUMMYFUNCTION("""COMPUTED_VALUE""")," без срока годности")</f>
        <v xml:space="preserve"> без срока годности</v>
      </c>
      <c r="F1725" s="1" t="str">
        <f ca="1">IFERROR(__xludf.DUMMYFUNCTION("""COMPUTED_VALUE"""),"Ингалятор компрессорный Gamma модель NEMO - 202110")</f>
        <v>Ингалятор компрессорный Gamma модель NEMO - 202110</v>
      </c>
      <c r="G1725" s="1" t="str">
        <f ca="1">IFERROR(__xludf.DUMMYFUNCTION("""COMPUTED_VALUE"""),"KZ.7700.02.01.00807226 / Действительно до Бессрочно / 202110 /  без срока годности")</f>
        <v>KZ.7700.02.01.00807226 / Действительно до Бессрочно / 202110 /  без срока годности</v>
      </c>
      <c r="H1725" s="1" t="str">
        <f ca="1">IFERROR(__xludf.DUMMYFUNCTION("""COMPUTED_VALUE"""),"Ингалятор компрессорный Gamma модель NEMO KZ.7700.02.01.00807226 / Действительно до Бессрочно / 202110 /  без срока годности")</f>
        <v>Ингалятор компрессорный Gamma модель NEMO KZ.7700.02.01.00807226 / Действительно до Бессрочно / 202110 /  без срока годности</v>
      </c>
    </row>
    <row r="1726" spans="1:8" ht="12.75" x14ac:dyDescent="0.2">
      <c r="A1726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726" s="1" t="str">
        <f ca="1">IFERROR(__xludf.DUMMYFUNCTION("""COMPUTED_VALUE"""),"KZ.7700.02.01.00807227")</f>
        <v>KZ.7700.02.01.00807227</v>
      </c>
      <c r="C1726" s="1" t="str">
        <f ca="1">IFERROR(__xludf.DUMMYFUNCTION("""COMPUTED_VALUE"""),"Действительно до Бессрочно")</f>
        <v>Действительно до Бессрочно</v>
      </c>
      <c r="D1726" s="8" t="str">
        <f ca="1">IFERROR(__xludf.DUMMYFUNCTION("""COMPUTED_VALUE"""),"202110")</f>
        <v>202110</v>
      </c>
      <c r="E1726" s="1" t="str">
        <f ca="1">IFERROR(__xludf.DUMMYFUNCTION("""COMPUTED_VALUE""")," без срока годности")</f>
        <v xml:space="preserve"> без срока годности</v>
      </c>
      <c r="F1726" s="1" t="str">
        <f ca="1">IFERROR(__xludf.DUMMYFUNCTION("""COMPUTED_VALUE"""),"Ингалятор компрессорный Gamma модель EFFECT NEW - 202110")</f>
        <v>Ингалятор компрессорный Gamma модель EFFECT NEW - 202110</v>
      </c>
      <c r="G1726" s="1" t="str">
        <f ca="1">IFERROR(__xludf.DUMMYFUNCTION("""COMPUTED_VALUE"""),"KZ.7700.02.01.00807227 / Действительно до Бессрочно / 202110 /  без срока годности")</f>
        <v>KZ.7700.02.01.00807227 / Действительно до Бессрочно / 202110 /  без срока годности</v>
      </c>
      <c r="H1726" s="1" t="str">
        <f ca="1">IFERROR(__xludf.DUMMYFUNCTION("""COMPUTED_VALUE"""),"Ингалятор компрессорный Gamma модель EFFECT NEW KZ.7700.02.01.00807227 / Действительно до Бессрочно / 202110 /  без срока годности")</f>
        <v>Ингалятор компрессорный Gamma модель EFFECT NEW KZ.7700.02.01.00807227 / Действительно до Бессрочно / 202110 /  без срока годности</v>
      </c>
    </row>
    <row r="1727" spans="1:8" ht="12.75" x14ac:dyDescent="0.2">
      <c r="A1727" s="1" t="str">
        <f ca="1">IFERROR(__xludf.DUMMYFUNCTION("""COMPUTED_VALUE"""),"Зубная паста торговой марки DENTISSIMO: BIO-NATURAL WITH HERBS TOOTHPASTE")</f>
        <v>Зубная паста торговой марки DENTISSIMO: BIO-NATURAL WITH HERBS TOOTHPASTE</v>
      </c>
      <c r="B1727" s="1" t="str">
        <f ca="1">IFERROR(__xludf.DUMMYFUNCTION("""COMPUTED_VALUE"""),"KZ.7500995.13.12.01811 ")</f>
        <v xml:space="preserve">KZ.7500995.13.12.01811 </v>
      </c>
      <c r="C1727" s="1" t="str">
        <f ca="1">IFERROR(__xludf.DUMMYFUNCTION("""COMPUTED_VALUE"""),"Действителен до 21.12.2022")</f>
        <v>Действителен до 21.12.2022</v>
      </c>
      <c r="D1727" s="8" t="str">
        <f ca="1">IFERROR(__xludf.DUMMYFUNCTION("""COMPUTED_VALUE"""),"11-2023")</f>
        <v>11-2023</v>
      </c>
      <c r="E1727" s="1" t="str">
        <f ca="1">IFERROR(__xludf.DUMMYFUNCTION("""COMPUTED_VALUE"""),"годен до  11.2023 г")</f>
        <v>годен до  11.2023 г</v>
      </c>
      <c r="F1727" s="1" t="str">
        <f ca="1">IFERROR(__xludf.DUMMYFUNCTION("""COMPUTED_VALUE"""),"Зубная паста торговой марки DENTISSIMO: BIO-NATURAL WITH HERBS TOOTHPASTE - 11-2023")</f>
        <v>Зубная паста торговой марки DENTISSIMO: BIO-NATURAL WITH HERBS TOOTHPASTE - 11-2023</v>
      </c>
      <c r="G1727" s="1" t="str">
        <f ca="1">IFERROR(__xludf.DUMMYFUNCTION("""COMPUTED_VALUE"""),"KZ.7500995.13.12.01811  / Действителен до 21.12.2022 / 11-2023 / годен до  11.2023 г")</f>
        <v>KZ.7500995.13.12.01811  / Действителен до 21.12.2022 / 11-2023 / годен до  11.2023 г</v>
      </c>
      <c r="H1727" s="1" t="str">
        <f ca="1">IFERROR(__xludf.DUMMYFUNCTION("""COMPUTED_VALUE"""),"Зубная паста торговой марки DENTISSIMO: BIO-NATURAL WITH HERBS TOOTHPASTE KZ.7500995.13.12.01811  / Действителен до 21.12.2022 / 11-2023 / годен до  11.2023 г")</f>
        <v>Зубная паста торговой марки DENTISSIMO: BIO-NATURAL WITH HERBS TOOTHPASTE KZ.7500995.13.12.01811  / Действителен до 21.12.2022 / 11-2023 / годен до  11.2023 г</v>
      </c>
    </row>
    <row r="1728" spans="1:8" ht="12.75" x14ac:dyDescent="0.2">
      <c r="A1728" s="1" t="str">
        <f ca="1">IFERROR(__xludf.DUMMYFUNCTION("""COMPUTED_VALUE"""),"Ополаскиватель для полости рта DENTISSIMO GUM PROTECTION/Защита десен")</f>
        <v>Ополаскиватель для полости рта DENTISSIMO GUM PROTECTION/Защита десен</v>
      </c>
      <c r="B1728" s="1" t="str">
        <f ca="1">IFERROR(__xludf.DUMMYFUNCTION("""COMPUTED_VALUE"""),"KZ.7500995.13.12.01811 ")</f>
        <v xml:space="preserve">KZ.7500995.13.12.01811 </v>
      </c>
      <c r="C1728" s="1" t="str">
        <f ca="1">IFERROR(__xludf.DUMMYFUNCTION("""COMPUTED_VALUE"""),"Действителен до 21.12.2022")</f>
        <v>Действителен до 21.12.2022</v>
      </c>
      <c r="D1728" s="8" t="str">
        <f ca="1">IFERROR(__xludf.DUMMYFUNCTION("""COMPUTED_VALUE"""),"06-2026")</f>
        <v>06-2026</v>
      </c>
      <c r="E1728" s="1" t="str">
        <f ca="1">IFERROR(__xludf.DUMMYFUNCTION("""COMPUTED_VALUE""")," годен до 06.2026 г")</f>
        <v xml:space="preserve"> годен до 06.2026 г</v>
      </c>
      <c r="F1728" s="1" t="str">
        <f ca="1">IFERROR(__xludf.DUMMYFUNCTION("""COMPUTED_VALUE"""),"Ополаскиватель для полости рта DENTISSIMO GUM PROTECTION/Защита десен - 06-2026")</f>
        <v>Ополаскиватель для полости рта DENTISSIMO GUM PROTECTION/Защита десен - 06-2026</v>
      </c>
      <c r="G1728" s="1" t="str">
        <f ca="1">IFERROR(__xludf.DUMMYFUNCTION("""COMPUTED_VALUE"""),"KZ.7500995.13.12.01811  / Действителен до 21.12.2022 / 06-2026 /  годен до 06.2026 г")</f>
        <v>KZ.7500995.13.12.01811  / Действителен до 21.12.2022 / 06-2026 /  годен до 06.2026 г</v>
      </c>
      <c r="H1728" s="1" t="str">
        <f ca="1">IFERROR(__xludf.DUMMYFUNCTION("""COMPUTED_VALUE"""),"Ополаскиватель для полости рта DENTISSIMO GUM PROTECTION/Защита десен KZ.7500995.13.12.01811  / Действителен до 21.12.2022 / 06-2026 /  годен до 06.2026 г")</f>
        <v>Ополаскиватель для полости рта DENTISSIMO GUM PROTECTION/Защита десен KZ.7500995.13.12.01811  / Действителен до 21.12.2022 / 06-2026 /  годен до 06.2026 г</v>
      </c>
    </row>
    <row r="1729" spans="1:8" ht="12.75" x14ac:dyDescent="0.2">
      <c r="A1729" s="1" t="str">
        <f ca="1">IFERROR(__xludf.DUMMYFUNCTION("""COMPUTED_VALUE"""),"Ополаскиватель для полости рта DENTISSIMO FRESH BREATH/Свежее дыхание")</f>
        <v>Ополаскиватель для полости рта DENTISSIMO FRESH BREATH/Свежее дыхание</v>
      </c>
      <c r="B1729" s="1" t="str">
        <f ca="1">IFERROR(__xludf.DUMMYFUNCTION("""COMPUTED_VALUE"""),"KZ.7500995.13.12.01811 ")</f>
        <v xml:space="preserve">KZ.7500995.13.12.01811 </v>
      </c>
      <c r="C1729" s="1" t="str">
        <f ca="1">IFERROR(__xludf.DUMMYFUNCTION("""COMPUTED_VALUE"""),"Действителен до 21.12.2022")</f>
        <v>Действителен до 21.12.2022</v>
      </c>
      <c r="D1729" s="8" t="str">
        <f ca="1">IFERROR(__xludf.DUMMYFUNCTION("""COMPUTED_VALUE"""),"06-2026")</f>
        <v>06-2026</v>
      </c>
      <c r="E1729" s="1" t="str">
        <f ca="1">IFERROR(__xludf.DUMMYFUNCTION("""COMPUTED_VALUE""")," годен до 06.2026 г")</f>
        <v xml:space="preserve"> годен до 06.2026 г</v>
      </c>
      <c r="F1729" s="1" t="str">
        <f ca="1">IFERROR(__xludf.DUMMYFUNCTION("""COMPUTED_VALUE"""),"Ополаскиватель для полости рта DENTISSIMO FRESH BREATH/Свежее дыхание - 06-2026")</f>
        <v>Ополаскиватель для полости рта DENTISSIMO FRESH BREATH/Свежее дыхание - 06-2026</v>
      </c>
      <c r="G1729" s="1" t="str">
        <f ca="1">IFERROR(__xludf.DUMMYFUNCTION("""COMPUTED_VALUE"""),"KZ.7500995.13.12.01811  / Действителен до 21.12.2022 / 06-2026 /  годен до 06.2026 г")</f>
        <v>KZ.7500995.13.12.01811  / Действителен до 21.12.2022 / 06-2026 /  годен до 06.2026 г</v>
      </c>
      <c r="H1729" s="1" t="str">
        <f ca="1">IFERROR(__xludf.DUMMYFUNCTION("""COMPUTED_VALUE"""),"Ополаскиватель для полости рта DENTISSIMO FRESH BREATH/Свежее дыхание KZ.7500995.13.12.01811  / Действителен до 21.12.2022 / 06-2026 /  годен до 06.2026 г")</f>
        <v>Ополаскиватель для полости рта DENTISSIMO FRESH BREATH/Свежее дыхание KZ.7500995.13.12.01811  / Действителен до 21.12.2022 / 06-2026 /  годен до 06.2026 г</v>
      </c>
    </row>
    <row r="1730" spans="1:8" ht="12.75" x14ac:dyDescent="0.2">
      <c r="A1730" s="1" t="str">
        <f ca="1">IFERROR(__xludf.DUMMYFUNCTION("""COMPUTED_VALUE"""),"Детские зубные щетки торговой марки DENTISSIMO : KIDS SOFT 2-6")</f>
        <v>Детские зубные щетки торговой марки DENTISSIMO : KIDS SOFT 2-6</v>
      </c>
      <c r="B1730" s="1" t="str">
        <f ca="1">IFERROR(__xludf.DUMMYFUNCTION("""COMPUTED_VALUE"""),"KZ.7500995.13.12.01810 ")</f>
        <v xml:space="preserve">KZ.7500995.13.12.01810 </v>
      </c>
      <c r="C1730" s="1" t="str">
        <f ca="1">IFERROR(__xludf.DUMMYFUNCTION("""COMPUTED_VALUE"""),"Действителен до 21.12.2022")</f>
        <v>Действителен до 21.12.2022</v>
      </c>
      <c r="D1730" s="8" t="str">
        <f ca="1">IFERROR(__xludf.DUMMYFUNCTION("""COMPUTED_VALUE"""),"28-01-2019")</f>
        <v>28-01-2019</v>
      </c>
      <c r="E1730" s="1" t="str">
        <f ca="1">IFERROR(__xludf.DUMMYFUNCTION("""COMPUTED_VALUE"""),"Срок годности не ограничен")</f>
        <v>Срок годности не ограничен</v>
      </c>
      <c r="F1730" s="1" t="str">
        <f ca="1">IFERROR(__xludf.DUMMYFUNCTION("""COMPUTED_VALUE"""),"Детские зубные щетки торговой марки DENTISSIMO : KIDS SOFT 2-6 - 28-01-2019")</f>
        <v>Детские зубные щетки торговой марки DENTISSIMO : KIDS SOFT 2-6 - 28-01-2019</v>
      </c>
      <c r="G1730" s="1" t="str">
        <f ca="1">IFERROR(__xludf.DUMMYFUNCTION("""COMPUTED_VALUE"""),"KZ.7500995.13.12.01810  / Действителен до 21.12.2022 / 28-01-2019 / Срок годности не ограничен")</f>
        <v>KZ.7500995.13.12.01810  / Действителен до 21.12.2022 / 28-01-2019 / Срок годности не ограничен</v>
      </c>
      <c r="H1730" s="1" t="str">
        <f ca="1">IFERROR(__xludf.DUMMYFUNCTION("""COMPUTED_VALUE"""),"Детские зубные щетки торговой марки DENTISSIMO : KIDS SOFT 2-6 KZ.7500995.13.12.01810  / Действителен до 21.12.2022 / 28-01-2019 / Срок годности не ограничен")</f>
        <v>Детские зубные щетки торговой марки DENTISSIMO : KIDS SOFT 2-6 KZ.7500995.13.12.01810  / Действителен до 21.12.2022 / 28-01-2019 / Срок годности не ограничен</v>
      </c>
    </row>
    <row r="1731" spans="1:8" ht="12.75" x14ac:dyDescent="0.2">
      <c r="A1731" s="1" t="str">
        <f ca="1">IFERROR(__xludf.DUMMYFUNCTION("""COMPUTED_VALUE"""),"Детская зубная щетка торговой марки DENTISSIMO: KIDS Timer Soft (3-6) Years")</f>
        <v>Детская зубная щетка торговой марки DENTISSIMO: KIDS Timer Soft (3-6) Years</v>
      </c>
      <c r="B1731" s="1" t="str">
        <f ca="1">IFERROR(__xludf.DUMMYFUNCTION("""COMPUTED_VALUE"""),"KZ.7500995.13.12.01812 ")</f>
        <v xml:space="preserve">KZ.7500995.13.12.01812 </v>
      </c>
      <c r="C1731" s="1" t="str">
        <f ca="1">IFERROR(__xludf.DUMMYFUNCTION("""COMPUTED_VALUE"""),"Действителен до 21.12.2022")</f>
        <v>Действителен до 21.12.2022</v>
      </c>
      <c r="D1731" s="8" t="str">
        <f ca="1">IFERROR(__xludf.DUMMYFUNCTION("""COMPUTED_VALUE"""),"20-09-2022")</f>
        <v>20-09-2022</v>
      </c>
      <c r="E1731" s="1" t="str">
        <f ca="1">IFERROR(__xludf.DUMMYFUNCTION("""COMPUTED_VALUE"""),"Срок годности не ограничен")</f>
        <v>Срок годности не ограничен</v>
      </c>
      <c r="F1731" s="1" t="str">
        <f ca="1">IFERROR(__xludf.DUMMYFUNCTION("""COMPUTED_VALUE"""),"Детская зубная щетка торговой марки DENTISSIMO: KIDS Timer Soft (3-6) Years - 20-09-2022")</f>
        <v>Детская зубная щетка торговой марки DENTISSIMO: KIDS Timer Soft (3-6) Years - 20-09-2022</v>
      </c>
      <c r="G1731" s="1" t="str">
        <f ca="1">IFERROR(__xludf.DUMMYFUNCTION("""COMPUTED_VALUE"""),"KZ.7500995.13.12.01812  / Действителен до 21.12.2022 / 20-09-2022 / Срок годности не ограничен")</f>
        <v>KZ.7500995.13.12.01812  / Действителен до 21.12.2022 / 20-09-2022 / Срок годности не ограничен</v>
      </c>
      <c r="H1731" s="1" t="str">
        <f ca="1">IFERROR(__xludf.DUMMYFUNCTION("""COMPUTED_VALUE"""),"Детская зубная щетка торговой марки DENTISSIMO: KIDS Timer Soft (3-6) Years KZ.7500995.13.12.01812  / Действителен до 21.12.2022 / 20-09-2022 / Срок годности не ограничен")</f>
        <v>Детская зубная щетка торговой марки DENTISSIMO: KIDS Timer Soft (3-6) Years KZ.7500995.13.12.01812  / Действителен до 21.12.2022 / 20-09-2022 / Срок годности не ограничен</v>
      </c>
    </row>
    <row r="1732" spans="1:8" ht="12.75" x14ac:dyDescent="0.2">
      <c r="A1732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732" s="1" t="str">
        <f ca="1">IFERROR(__xludf.DUMMYFUNCTION("""COMPUTED_VALUE"""),"KZ.7700.02.01.00809483 ")</f>
        <v xml:space="preserve">KZ.7700.02.01.00809483 </v>
      </c>
      <c r="C1732" s="1" t="str">
        <f ca="1">IFERROR(__xludf.DUMMYFUNCTION("""COMPUTED_VALUE"""),"Действителен до 01.06.2024")</f>
        <v>Действителен до 01.06.2024</v>
      </c>
      <c r="D1732" s="8" t="str">
        <f ca="1">IFERROR(__xludf.DUMMYFUNCTION("""COMPUTED_VALUE"""),"20210510HM")</f>
        <v>20210510HM</v>
      </c>
      <c r="E1732" s="1" t="str">
        <f ca="1">IFERROR(__xludf.DUMMYFUNCTION("""COMPUTED_VALUE"""),"годен до 05.2024 г.")</f>
        <v>годен до 05.2024 г.</v>
      </c>
      <c r="F1732" s="1" t="str">
        <f ca="1">IFERROR(__xludf.DUMMYFUNCTION("""COMPUTED_VALUE"""),"Экспресс-Тест (струйный) на беременность - 20210510HM")</f>
        <v>Экспресс-Тест (струйный) на беременность - 20210510HM</v>
      </c>
      <c r="G1732" s="1" t="str">
        <f ca="1">IFERROR(__xludf.DUMMYFUNCTION("""COMPUTED_VALUE"""),"KZ.7700.02.01.00809483  / Действителен до 01.06.2024 / 20210510HM / годен до 05.2024 г.")</f>
        <v>KZ.7700.02.01.00809483  / Действителен до 01.06.2024 / 20210510HM / годен до 05.2024 г.</v>
      </c>
      <c r="H1732" s="1" t="str">
        <f ca="1">IFERROR(__xludf.DUMMYFUNCTION("""COMPUTED_VALUE"""),"Экспресс-Тест (струйный) на беременность KZ.7700.02.01.00809483  / Действителен до 01.06.2024 / 20210510HM / годен до 05.2024 г.")</f>
        <v>Экспресс-Тест (струйный) на беременность KZ.7700.02.01.00809483  / Действителен до 01.06.2024 / 20210510HM / годен до 05.2024 г.</v>
      </c>
    </row>
    <row r="1733" spans="1:8" ht="12.75" x14ac:dyDescent="0.2">
      <c r="A1733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733" s="1" t="str">
        <f ca="1">IFERROR(__xludf.DUMMYFUNCTION("""COMPUTED_VALUE"""),"KZ.7700.02.01.00809488")</f>
        <v>KZ.7700.02.01.00809488</v>
      </c>
      <c r="C1733" s="1" t="str">
        <f ca="1">IFERROR(__xludf.DUMMYFUNCTION("""COMPUTED_VALUE"""),"Действителен до 01.06.2024")</f>
        <v>Действителен до 01.06.2024</v>
      </c>
      <c r="D1733" s="8" t="str">
        <f ca="1">IFERROR(__xludf.DUMMYFUNCTION("""COMPUTED_VALUE"""),"20210510LS")</f>
        <v>20210510LS</v>
      </c>
      <c r="E1733" s="1" t="str">
        <f ca="1">IFERROR(__xludf.DUMMYFUNCTION("""COMPUTED_VALUE"""),"годен до 05.2024 г.")</f>
        <v>годен до 05.2024 г.</v>
      </c>
      <c r="F1733" s="1" t="str">
        <f ca="1">IFERROR(__xludf.DUMMYFUNCTION("""COMPUTED_VALUE"""),"Экспресс-Тест (полоска) на овуляцию №5 + 1 ПДВ - 20210510LS")</f>
        <v>Экспресс-Тест (полоска) на овуляцию №5 + 1 ПДВ - 20210510LS</v>
      </c>
      <c r="G1733" s="1" t="str">
        <f ca="1">IFERROR(__xludf.DUMMYFUNCTION("""COMPUTED_VALUE"""),"KZ.7700.02.01.00809488 / Действителен до 01.06.2024 / 20210510LS / годен до 05.2024 г.")</f>
        <v>KZ.7700.02.01.00809488 / Действителен до 01.06.2024 / 20210510LS / годен до 05.2024 г.</v>
      </c>
      <c r="H1733" s="1" t="str">
        <f ca="1">IFERROR(__xludf.DUMMYFUNCTION("""COMPUTED_VALUE"""),"Экспресс-Тест (полоска) на овуляцию №5 + 1 ПДВ KZ.7700.02.01.00809488 / Действителен до 01.06.2024 / 20210510LS / годен до 05.2024 г.")</f>
        <v>Экспресс-Тест (полоска) на овуляцию №5 + 1 ПДВ KZ.7700.02.01.00809488 / Действителен до 01.06.2024 / 20210510LS / годен до 05.2024 г.</v>
      </c>
    </row>
    <row r="1734" spans="1:8" ht="12.75" x14ac:dyDescent="0.2">
      <c r="A1734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734" s="1" t="str">
        <f ca="1">IFERROR(__xludf.DUMMYFUNCTION("""COMPUTED_VALUE"""),"KZ.7700.02.01.00809482")</f>
        <v>KZ.7700.02.01.00809482</v>
      </c>
      <c r="C1734" s="1" t="str">
        <f ca="1">IFERROR(__xludf.DUMMYFUNCTION("""COMPUTED_VALUE"""),"Действителен до 01.06.2024")</f>
        <v>Действителен до 01.06.2024</v>
      </c>
      <c r="D1734" s="8" t="str">
        <f ca="1">IFERROR(__xludf.DUMMYFUNCTION("""COMPUTED_VALUE"""),"20210510HS")</f>
        <v>20210510HS</v>
      </c>
      <c r="E1734" s="1" t="str">
        <f ca="1">IFERROR(__xludf.DUMMYFUNCTION("""COMPUTED_VALUE"""),"годен до 05.2024 г.")</f>
        <v>годен до 05.2024 г.</v>
      </c>
      <c r="F1734" s="1" t="str">
        <f ca="1">IFERROR(__xludf.DUMMYFUNCTION("""COMPUTED_VALUE"""),"Экспресс-Тест (полоска) на беременность 3 мм №1 - 20210510HS")</f>
        <v>Экспресс-Тест (полоска) на беременность 3 мм №1 - 20210510HS</v>
      </c>
      <c r="G1734" s="1" t="str">
        <f ca="1">IFERROR(__xludf.DUMMYFUNCTION("""COMPUTED_VALUE"""),"KZ.7700.02.01.00809482 / Действителен до 01.06.2024 / 20210510HS / годен до 05.2024 г.")</f>
        <v>KZ.7700.02.01.00809482 / Действителен до 01.06.2024 / 20210510HS / годен до 05.2024 г.</v>
      </c>
      <c r="H1734" s="1" t="str">
        <f ca="1">IFERROR(__xludf.DUMMYFUNCTION("""COMPUTED_VALUE"""),"Экспресс-Тест (полоска) на беременность 3 мм №1 KZ.7700.02.01.00809482 / Действителен до 01.06.2024 / 20210510HS / годен до 05.2024 г.")</f>
        <v>Экспресс-Тест (полоска) на беременность 3 мм №1 KZ.7700.02.01.00809482 / Действителен до 01.06.2024 / 20210510HS / годен до 05.2024 г.</v>
      </c>
    </row>
    <row r="1735" spans="1:8" ht="12.75" x14ac:dyDescent="0.2">
      <c r="A1735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735" s="1" t="str">
        <f ca="1">IFERROR(__xludf.DUMMYFUNCTION("""COMPUTED_VALUE"""),"KZ.7700.02.01.00809479")</f>
        <v>KZ.7700.02.01.00809479</v>
      </c>
      <c r="C1735" s="1" t="str">
        <f ca="1">IFERROR(__xludf.DUMMYFUNCTION("""COMPUTED_VALUE"""),"Действителен до 01.06.2024")</f>
        <v>Действителен до 01.06.2024</v>
      </c>
      <c r="D1735" s="8" t="str">
        <f ca="1">IFERROR(__xludf.DUMMYFUNCTION("""COMPUTED_VALUE"""),"20210510HS2")</f>
        <v>20210510HS2</v>
      </c>
      <c r="E1735" s="1" t="str">
        <f ca="1">IFERROR(__xludf.DUMMYFUNCTION("""COMPUTED_VALUE"""),"годен до 05.2024 г.")</f>
        <v>годен до 05.2024 г.</v>
      </c>
      <c r="F1735" s="1" t="str">
        <f ca="1">IFERROR(__xludf.DUMMYFUNCTION("""COMPUTED_VALUE"""),"Экспресс-Тест (полоска) на беременность 3 мм №2 ПДВ - 20210510HS2")</f>
        <v>Экспресс-Тест (полоска) на беременность 3 мм №2 ПДВ - 20210510HS2</v>
      </c>
      <c r="G1735" s="1" t="str">
        <f ca="1">IFERROR(__xludf.DUMMYFUNCTION("""COMPUTED_VALUE"""),"KZ.7700.02.01.00809479 / Действителен до 01.06.2024 / 20210510HS2 / годен до 05.2024 г.")</f>
        <v>KZ.7700.02.01.00809479 / Действителен до 01.06.2024 / 20210510HS2 / годен до 05.2024 г.</v>
      </c>
      <c r="H1735" s="1" t="str">
        <f ca="1">IFERROR(__xludf.DUMMYFUNCTION("""COMPUTED_VALUE"""),"Экспресс-Тест (полоска) на беременность 3 мм №2 ПДВ KZ.7700.02.01.00809479 / Действителен до 01.06.2024 / 20210510HS2 / годен до 05.2024 г.")</f>
        <v>Экспресс-Тест (полоска) на беременность 3 мм №2 ПДВ KZ.7700.02.01.00809479 / Действителен до 01.06.2024 / 20210510HS2 / годен до 05.2024 г.</v>
      </c>
    </row>
    <row r="1736" spans="1:8" ht="12.75" x14ac:dyDescent="0.2">
      <c r="A1736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736" s="1" t="str">
        <f ca="1">IFERROR(__xludf.DUMMYFUNCTION("""COMPUTED_VALUE"""),"KZ.7700.02.01.00809611")</f>
        <v>KZ.7700.02.01.00809611</v>
      </c>
      <c r="C1736" s="1" t="str">
        <f ca="1">IFERROR(__xludf.DUMMYFUNCTION("""COMPUTED_VALUE"""),"Действительно до Бессрочно")</f>
        <v>Действительно до Бессрочно</v>
      </c>
      <c r="D1736" s="8" t="str">
        <f ca="1">IFERROR(__xludf.DUMMYFUNCTION("""COMPUTED_VALUE"""),"JL-MGS-0122")</f>
        <v>JL-MGS-0122</v>
      </c>
      <c r="E1736" s="1" t="str">
        <f ca="1">IFERROR(__xludf.DUMMYFUNCTION("""COMPUTED_VALUE"""),"  без срока годности")</f>
        <v xml:space="preserve">  без срока годности</v>
      </c>
      <c r="F1736" s="1" t="str">
        <f ca="1">IFERROR(__xludf.DUMMYFUNCTION("""COMPUTED_VALUE"""),"Ингалятор компрессорный Gamma модель EFFECT NEW - JL-MGS-0122")</f>
        <v>Ингалятор компрессорный Gamma модель EFFECT NEW - JL-MGS-0122</v>
      </c>
      <c r="G1736" s="1" t="str">
        <f ca="1">IFERROR(__xludf.DUMMYFUNCTION("""COMPUTED_VALUE"""),"KZ.7700.02.01.00809611 / Действительно до Бессрочно / JL-MGS-0122 /   без срока годности")</f>
        <v>KZ.7700.02.01.00809611 / Действительно до Бессрочно / JL-MGS-0122 /   без срока годности</v>
      </c>
      <c r="H1736" s="1" t="str">
        <f ca="1">IFERROR(__xludf.DUMMYFUNCTION("""COMPUTED_VALUE"""),"Ингалятор компрессорный Gamma модель EFFECT NEW KZ.7700.02.01.00809611 / Действительно до Бессрочно / JL-MGS-0122 /   без срока годности")</f>
        <v>Ингалятор компрессорный Gamma модель EFFECT NEW KZ.7700.02.01.00809611 / Действительно до Бессрочно / JL-MGS-0122 /   без срока годности</v>
      </c>
    </row>
    <row r="1737" spans="1:8" ht="12.75" x14ac:dyDescent="0.2">
      <c r="A1737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737" s="1" t="str">
        <f ca="1">IFERROR(__xludf.DUMMYFUNCTION("""COMPUTED_VALUE"""),"KZ.7700.02.01.00814856")</f>
        <v>KZ.7700.02.01.00814856</v>
      </c>
      <c r="C1737" s="1" t="str">
        <f ca="1">IFERROR(__xludf.DUMMYFUNCTION("""COMPUTED_VALUE"""),"Действительно до 19.11.2026")</f>
        <v>Действительно до 19.11.2026</v>
      </c>
      <c r="D1737" s="8" t="str">
        <f ca="1">IFERROR(__xludf.DUMMYFUNCTION("""COMPUTED_VALUE"""),"1121083KZ083")</f>
        <v>1121083KZ083</v>
      </c>
      <c r="E1737" s="1" t="str">
        <f ca="1">IFERROR(__xludf.DUMMYFUNCTION("""COMPUTED_VALUE"""),"годен до 19.11.2026 г.")</f>
        <v>годен до 19.11.2026 г.</v>
      </c>
      <c r="F1737" s="1" t="str">
        <f ca="1">IFERROR(__xludf.DUMMYFUNCTION("""COMPUTED_VALUE"""),"Бинт эластичный медицинский средней растяжимости (ширина 80 мм) 02х80х1 - 1121083KZ083")</f>
        <v>Бинт эластичный медицинский средней растяжимости (ширина 80 мм) 02х80х1 - 1121083KZ083</v>
      </c>
      <c r="G1737" s="1" t="str">
        <f ca="1">IFERROR(__xludf.DUMMYFUNCTION("""COMPUTED_VALUE"""),"KZ.7700.02.01.00814856 / Действительно до 19.11.2026 / 1121083KZ083 / годен до 19.11.2026 г.")</f>
        <v>KZ.7700.02.01.00814856 / Действительно до 19.11.2026 / 1121083KZ083 / годен до 19.11.2026 г.</v>
      </c>
      <c r="H1737" s="1" t="str">
        <f ca="1">IFERROR(__xludf.DUMMYFUNCTION("""COMPUTED_VALUE"""),"Бинт эластичный медицинский средней растяжимости (ширина 80 мм) 02х80х1 KZ.7700.02.01.00814856 / Действительно до 19.11.2026 / 1121083KZ083 / годен до 19.11.2026 г.")</f>
        <v>Бинт эластичный медицинский средней растяжимости (ширина 80 мм) 02х80х1 KZ.7700.02.01.00814856 / Действительно до 19.11.2026 / 1121083KZ083 / годен до 19.11.2026 г.</v>
      </c>
    </row>
    <row r="1738" spans="1:8" ht="12.75" x14ac:dyDescent="0.2">
      <c r="A1738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738" s="1" t="str">
        <f ca="1">IFERROR(__xludf.DUMMYFUNCTION("""COMPUTED_VALUE"""),"KZ.7700.02.01.00814857")</f>
        <v>KZ.7700.02.01.00814857</v>
      </c>
      <c r="C1738" s="1" t="str">
        <f ca="1">IFERROR(__xludf.DUMMYFUNCTION("""COMPUTED_VALUE"""),"Действительно до 19.11.2026")</f>
        <v>Действительно до 19.11.2026</v>
      </c>
      <c r="D1738" s="8" t="str">
        <f ca="1">IFERROR(__xludf.DUMMYFUNCTION("""COMPUTED_VALUE"""),"1121083KZ083")</f>
        <v>1121083KZ083</v>
      </c>
      <c r="E1738" s="1" t="str">
        <f ca="1">IFERROR(__xludf.DUMMYFUNCTION("""COMPUTED_VALUE"""),"годен до 19.11.2026 г.")</f>
        <v>годен до 19.11.2026 г.</v>
      </c>
      <c r="F1738" s="1" t="str">
        <f ca="1">IFERROR(__xludf.DUMMYFUNCTION("""COMPUTED_VALUE"""),"Бинт эластичный медицинский средней растяжимости (ширина 80 мм) 02х80х1.5 - 1121083KZ083")</f>
        <v>Бинт эластичный медицинский средней растяжимости (ширина 80 мм) 02х80х1.5 - 1121083KZ083</v>
      </c>
      <c r="G1738" s="1" t="str">
        <f ca="1">IFERROR(__xludf.DUMMYFUNCTION("""COMPUTED_VALUE"""),"KZ.7700.02.01.00814857 / Действительно до 19.11.2026 / 1121083KZ083 / годен до 19.11.2026 г.")</f>
        <v>KZ.7700.02.01.00814857 / Действительно до 19.11.2026 / 1121083KZ083 / годен до 19.11.2026 г.</v>
      </c>
      <c r="H1738" s="1" t="str">
        <f ca="1">IFERROR(__xludf.DUMMYFUNCTION("""COMPUTED_VALUE"""),"Бинт эластичный медицинский средней растяжимости (ширина 80 мм) 02х80х1.5 KZ.7700.02.01.00814857 / Действительно до 19.11.2026 / 1121083KZ083 / годен до 19.11.2026 г.")</f>
        <v>Бинт эластичный медицинский средней растяжимости (ширина 80 мм) 02х80х1.5 KZ.7700.02.01.00814857 / Действительно до 19.11.2026 / 1121083KZ083 / годен до 19.11.2026 г.</v>
      </c>
    </row>
    <row r="1739" spans="1:8" ht="12.75" x14ac:dyDescent="0.2">
      <c r="A1739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739" s="1" t="str">
        <f ca="1">IFERROR(__xludf.DUMMYFUNCTION("""COMPUTED_VALUE"""),"KZ.7700.02.01.00814859")</f>
        <v>KZ.7700.02.01.00814859</v>
      </c>
      <c r="C1739" s="1" t="str">
        <f ca="1">IFERROR(__xludf.DUMMYFUNCTION("""COMPUTED_VALUE"""),"Действительно до 19.11.2026")</f>
        <v>Действительно до 19.11.2026</v>
      </c>
      <c r="D1739" s="8" t="str">
        <f ca="1">IFERROR(__xludf.DUMMYFUNCTION("""COMPUTED_VALUE"""),"1121083KZ083")</f>
        <v>1121083KZ083</v>
      </c>
      <c r="E1739" s="1" t="str">
        <f ca="1">IFERROR(__xludf.DUMMYFUNCTION("""COMPUTED_VALUE"""),"годен до 19.11.2026 г.")</f>
        <v>годен до 19.11.2026 г.</v>
      </c>
      <c r="F1739" s="1" t="str">
        <f ca="1">IFERROR(__xludf.DUMMYFUNCTION("""COMPUTED_VALUE"""),"Бинт эластичный медицинский средней растяжимости (ширина 80 мм) 02х80х2 - 1121083KZ083")</f>
        <v>Бинт эластичный медицинский средней растяжимости (ширина 80 мм) 02х80х2 - 1121083KZ083</v>
      </c>
      <c r="G1739" s="1" t="str">
        <f ca="1">IFERROR(__xludf.DUMMYFUNCTION("""COMPUTED_VALUE"""),"KZ.7700.02.01.00814859 / Действительно до 19.11.2026 / 1121083KZ083 / годен до 19.11.2026 г.")</f>
        <v>KZ.7700.02.01.00814859 / Действительно до 19.11.2026 / 1121083KZ083 / годен до 19.11.2026 г.</v>
      </c>
      <c r="H1739" s="1" t="str">
        <f ca="1">IFERROR(__xludf.DUMMYFUNCTION("""COMPUTED_VALUE"""),"Бинт эластичный медицинский средней растяжимости (ширина 80 мм) 02х80х2 KZ.7700.02.01.00814859 / Действительно до 19.11.2026 / 1121083KZ083 / годен до 19.11.2026 г.")</f>
        <v>Бинт эластичный медицинский средней растяжимости (ширина 80 мм) 02х80х2 KZ.7700.02.01.00814859 / Действительно до 19.11.2026 / 1121083KZ083 / годен до 19.11.2026 г.</v>
      </c>
    </row>
    <row r="1740" spans="1:8" ht="12.75" x14ac:dyDescent="0.2">
      <c r="A1740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740" s="1" t="str">
        <f ca="1">IFERROR(__xludf.DUMMYFUNCTION("""COMPUTED_VALUE"""),"KZ.7700.02.01.00814863")</f>
        <v>KZ.7700.02.01.00814863</v>
      </c>
      <c r="C1740" s="1" t="str">
        <f ca="1">IFERROR(__xludf.DUMMYFUNCTION("""COMPUTED_VALUE"""),"Действительно до 19.11.2026")</f>
        <v>Действительно до 19.11.2026</v>
      </c>
      <c r="D1740" s="8" t="str">
        <f ca="1">IFERROR(__xludf.DUMMYFUNCTION("""COMPUTED_VALUE"""),"1121083KZ083")</f>
        <v>1121083KZ083</v>
      </c>
      <c r="E1740" s="1" t="str">
        <f ca="1">IFERROR(__xludf.DUMMYFUNCTION("""COMPUTED_VALUE"""),"годен до 19.11.2026 г.")</f>
        <v>годен до 19.11.2026 г.</v>
      </c>
      <c r="F1740" s="1" t="str">
        <f ca="1">IFERROR(__xludf.DUMMYFUNCTION("""COMPUTED_VALUE"""),"Бинт эластичный медицинский средней растяжимости (ширина 80 мм) 02х80х2.5 - 1121083KZ083")</f>
        <v>Бинт эластичный медицинский средней растяжимости (ширина 80 мм) 02х80х2.5 - 1121083KZ083</v>
      </c>
      <c r="G1740" s="1" t="str">
        <f ca="1">IFERROR(__xludf.DUMMYFUNCTION("""COMPUTED_VALUE"""),"KZ.7700.02.01.00814863 / Действительно до 19.11.2026 / 1121083KZ083 / годен до 19.11.2026 г.")</f>
        <v>KZ.7700.02.01.00814863 / Действительно до 19.11.2026 / 1121083KZ083 / годен до 19.11.2026 г.</v>
      </c>
      <c r="H1740" s="1" t="str">
        <f ca="1">IFERROR(__xludf.DUMMYFUNCTION("""COMPUTED_VALUE"""),"Бинт эластичный медицинский средней растяжимости (ширина 80 мм) 02х80х2.5 KZ.7700.02.01.00814863 / Действительно до 19.11.2026 / 1121083KZ083 / годен до 19.11.2026 г.")</f>
        <v>Бинт эластичный медицинский средней растяжимости (ширина 80 мм) 02х80х2.5 KZ.7700.02.01.00814863 / Действительно до 19.11.2026 / 1121083KZ083 / годен до 19.11.2026 г.</v>
      </c>
    </row>
    <row r="1741" spans="1:8" ht="12.75" x14ac:dyDescent="0.2">
      <c r="A1741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741" s="1" t="str">
        <f ca="1">IFERROR(__xludf.DUMMYFUNCTION("""COMPUTED_VALUE"""),"KZ.7700.02.01.00814858")</f>
        <v>KZ.7700.02.01.00814858</v>
      </c>
      <c r="C1741" s="1" t="str">
        <f ca="1">IFERROR(__xludf.DUMMYFUNCTION("""COMPUTED_VALUE"""),"Действительно до 19.11.2026")</f>
        <v>Действительно до 19.11.2026</v>
      </c>
      <c r="D1741" s="8" t="str">
        <f ca="1">IFERROR(__xludf.DUMMYFUNCTION("""COMPUTED_VALUE"""),"1121083KZ083")</f>
        <v>1121083KZ083</v>
      </c>
      <c r="E1741" s="1" t="str">
        <f ca="1">IFERROR(__xludf.DUMMYFUNCTION("""COMPUTED_VALUE"""),"годен до 19.11.2026 г.")</f>
        <v>годен до 19.11.2026 г.</v>
      </c>
      <c r="F1741" s="1" t="str">
        <f ca="1">IFERROR(__xludf.DUMMYFUNCTION("""COMPUTED_VALUE"""),"Бинт эластичный медицинский средней растяжимости (ширина 80 мм) 02х80х3 - 1121083KZ083")</f>
        <v>Бинт эластичный медицинский средней растяжимости (ширина 80 мм) 02х80х3 - 1121083KZ083</v>
      </c>
      <c r="G1741" s="1" t="str">
        <f ca="1">IFERROR(__xludf.DUMMYFUNCTION("""COMPUTED_VALUE"""),"KZ.7700.02.01.00814858 / Действительно до 19.11.2026 / 1121083KZ083 / годен до 19.11.2026 г.")</f>
        <v>KZ.7700.02.01.00814858 / Действительно до 19.11.2026 / 1121083KZ083 / годен до 19.11.2026 г.</v>
      </c>
      <c r="H1741" s="1" t="str">
        <f ca="1">IFERROR(__xludf.DUMMYFUNCTION("""COMPUTED_VALUE"""),"Бинт эластичный медицинский средней растяжимости (ширина 80 мм) 02х80х3 KZ.7700.02.01.00814858 / Действительно до 19.11.2026 / 1121083KZ083 / годен до 19.11.2026 г.")</f>
        <v>Бинт эластичный медицинский средней растяжимости (ширина 80 мм) 02х80х3 KZ.7700.02.01.00814858 / Действительно до 19.11.2026 / 1121083KZ083 / годен до 19.11.2026 г.</v>
      </c>
    </row>
    <row r="1742" spans="1:8" ht="12.75" x14ac:dyDescent="0.2">
      <c r="A1742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742" s="1" t="str">
        <f ca="1">IFERROR(__xludf.DUMMYFUNCTION("""COMPUTED_VALUE"""),"KZ.7700.02.01.00814862")</f>
        <v>KZ.7700.02.01.00814862</v>
      </c>
      <c r="C1742" s="1" t="str">
        <f ca="1">IFERROR(__xludf.DUMMYFUNCTION("""COMPUTED_VALUE"""),"Действительно до 19.11.2026")</f>
        <v>Действительно до 19.11.2026</v>
      </c>
      <c r="D1742" s="8" t="str">
        <f ca="1">IFERROR(__xludf.DUMMYFUNCTION("""COMPUTED_VALUE"""),"1121083KZ083")</f>
        <v>1121083KZ083</v>
      </c>
      <c r="E1742" s="1" t="str">
        <f ca="1">IFERROR(__xludf.DUMMYFUNCTION("""COMPUTED_VALUE"""),"годен до 19.11.2026 г.")</f>
        <v>годен до 19.11.2026 г.</v>
      </c>
      <c r="F1742" s="1" t="str">
        <f ca="1">IFERROR(__xludf.DUMMYFUNCTION("""COMPUTED_VALUE"""),"Бинт эластичный медицинский средней растяжимости (ширина 80 мм) 02х80х3.5 - 1121083KZ083")</f>
        <v>Бинт эластичный медицинский средней растяжимости (ширина 80 мм) 02х80х3.5 - 1121083KZ083</v>
      </c>
      <c r="G1742" s="1" t="str">
        <f ca="1">IFERROR(__xludf.DUMMYFUNCTION("""COMPUTED_VALUE"""),"KZ.7700.02.01.00814862 / Действительно до 19.11.2026 / 1121083KZ083 / годен до 19.11.2026 г.")</f>
        <v>KZ.7700.02.01.00814862 / Действительно до 19.11.2026 / 1121083KZ083 / годен до 19.11.2026 г.</v>
      </c>
      <c r="H1742" s="1" t="str">
        <f ca="1">IFERROR(__xludf.DUMMYFUNCTION("""COMPUTED_VALUE"""),"Бинт эластичный медицинский средней растяжимости (ширина 80 мм) 02х80х3.5 KZ.7700.02.01.00814862 / Действительно до 19.11.2026 / 1121083KZ083 / годен до 19.11.2026 г.")</f>
        <v>Бинт эластичный медицинский средней растяжимости (ширина 80 мм) 02х80х3.5 KZ.7700.02.01.00814862 / Действительно до 19.11.2026 / 1121083KZ083 / годен до 19.11.2026 г.</v>
      </c>
    </row>
    <row r="1743" spans="1:8" ht="12.75" x14ac:dyDescent="0.2">
      <c r="A1743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743" s="1" t="str">
        <f ca="1">IFERROR(__xludf.DUMMYFUNCTION("""COMPUTED_VALUE"""),"KZ.7700.02.01.00814854")</f>
        <v>KZ.7700.02.01.00814854</v>
      </c>
      <c r="C1743" s="1" t="str">
        <f ca="1">IFERROR(__xludf.DUMMYFUNCTION("""COMPUTED_VALUE"""),"Действительно до 19.11.2026")</f>
        <v>Действительно до 19.11.2026</v>
      </c>
      <c r="D1743" s="8" t="str">
        <f ca="1">IFERROR(__xludf.DUMMYFUNCTION("""COMPUTED_VALUE"""),"1121083KZ083")</f>
        <v>1121083KZ083</v>
      </c>
      <c r="E1743" s="1" t="str">
        <f ca="1">IFERROR(__xludf.DUMMYFUNCTION("""COMPUTED_VALUE"""),"годен до 19.11.2026 г.")</f>
        <v>годен до 19.11.2026 г.</v>
      </c>
      <c r="F1743" s="1" t="str">
        <f ca="1">IFERROR(__xludf.DUMMYFUNCTION("""COMPUTED_VALUE"""),"Бинт эластичный медицинский средней растяжимости (ширина 80 мм) 02х80х4 - 1121083KZ083")</f>
        <v>Бинт эластичный медицинский средней растяжимости (ширина 80 мм) 02х80х4 - 1121083KZ083</v>
      </c>
      <c r="G1743" s="1" t="str">
        <f ca="1">IFERROR(__xludf.DUMMYFUNCTION("""COMPUTED_VALUE"""),"KZ.7700.02.01.00814854 / Действительно до 19.11.2026 / 1121083KZ083 / годен до 19.11.2026 г.")</f>
        <v>KZ.7700.02.01.00814854 / Действительно до 19.11.2026 / 1121083KZ083 / годен до 19.11.2026 г.</v>
      </c>
      <c r="H1743" s="1" t="str">
        <f ca="1">IFERROR(__xludf.DUMMYFUNCTION("""COMPUTED_VALUE"""),"Бинт эластичный медицинский средней растяжимости (ширина 80 мм) 02х80х4 KZ.7700.02.01.00814854 / Действительно до 19.11.2026 / 1121083KZ083 / годен до 19.11.2026 г.")</f>
        <v>Бинт эластичный медицинский средней растяжимости (ширина 80 мм) 02х80х4 KZ.7700.02.01.00814854 / Действительно до 19.11.2026 / 1121083KZ083 / годен до 19.11.2026 г.</v>
      </c>
    </row>
    <row r="1744" spans="1:8" ht="12.75" x14ac:dyDescent="0.2">
      <c r="A1744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744" s="1" t="str">
        <f ca="1">IFERROR(__xludf.DUMMYFUNCTION("""COMPUTED_VALUE"""),"KZ.7700.02.01.00814868")</f>
        <v>KZ.7700.02.01.00814868</v>
      </c>
      <c r="C1744" s="1" t="str">
        <f ca="1">IFERROR(__xludf.DUMMYFUNCTION("""COMPUTED_VALUE"""),"Действительно до 19.11.2026")</f>
        <v>Действительно до 19.11.2026</v>
      </c>
      <c r="D1744" s="8" t="str">
        <f ca="1">IFERROR(__xludf.DUMMYFUNCTION("""COMPUTED_VALUE"""),"1121083KZ083")</f>
        <v>1121083KZ083</v>
      </c>
      <c r="E1744" s="1" t="str">
        <f ca="1">IFERROR(__xludf.DUMMYFUNCTION("""COMPUTED_VALUE"""),"годен до 19.11.2026 г.")</f>
        <v>годен до 19.11.2026 г.</v>
      </c>
      <c r="F1744" s="1" t="str">
        <f ca="1">IFERROR(__xludf.DUMMYFUNCTION("""COMPUTED_VALUE"""),"Бинт эластичный медицинский средней растяжимости (ширина 80 мм) 02х80х5 - 1121083KZ083")</f>
        <v>Бинт эластичный медицинский средней растяжимости (ширина 80 мм) 02х80х5 - 1121083KZ083</v>
      </c>
      <c r="G1744" s="1" t="str">
        <f ca="1">IFERROR(__xludf.DUMMYFUNCTION("""COMPUTED_VALUE"""),"KZ.7700.02.01.00814868 / Действительно до 19.11.2026 / 1121083KZ083 / годен до 19.11.2026 г.")</f>
        <v>KZ.7700.02.01.00814868 / Действительно до 19.11.2026 / 1121083KZ083 / годен до 19.11.2026 г.</v>
      </c>
      <c r="H1744" s="1" t="str">
        <f ca="1">IFERROR(__xludf.DUMMYFUNCTION("""COMPUTED_VALUE"""),"Бинт эластичный медицинский средней растяжимости (ширина 80 мм) 02х80х5 KZ.7700.02.01.00814868 / Действительно до 19.11.2026 / 1121083KZ083 / годен до 19.11.2026 г.")</f>
        <v>Бинт эластичный медицинский средней растяжимости (ширина 80 мм) 02х80х5 KZ.7700.02.01.00814868 / Действительно до 19.11.2026 / 1121083KZ083 / годен до 19.11.2026 г.</v>
      </c>
    </row>
    <row r="1745" spans="1:8" ht="12.75" x14ac:dyDescent="0.2">
      <c r="A1745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745" s="1" t="str">
        <f ca="1">IFERROR(__xludf.DUMMYFUNCTION("""COMPUTED_VALUE"""),"KZ.7700.02.01.00814783")</f>
        <v>KZ.7700.02.01.00814783</v>
      </c>
      <c r="C1745" s="1" t="str">
        <f ca="1">IFERROR(__xludf.DUMMYFUNCTION("""COMPUTED_VALUE"""),"Действительно до 19.11.2026")</f>
        <v>Действительно до 19.11.2026</v>
      </c>
      <c r="D1745" s="8" t="str">
        <f ca="1">IFERROR(__xludf.DUMMYFUNCTION("""COMPUTED_VALUE"""),"1121083KZ083")</f>
        <v>1121083KZ083</v>
      </c>
      <c r="E1745" s="1" t="str">
        <f ca="1">IFERROR(__xludf.DUMMYFUNCTION("""COMPUTED_VALUE"""),"годен до 19.11.2026 г.")</f>
        <v>годен до 19.11.2026 г.</v>
      </c>
      <c r="F1745" s="1" t="str">
        <f ca="1">IFERROR(__xludf.DUMMYFUNCTION("""COMPUTED_VALUE"""),"Бандаж на шейный отдел позвоночника мягкой фиксацией 1001 I(S) (Болгария) - 1121083KZ083")</f>
        <v>Бандаж на шейный отдел позвоночника мягкой фиксацией 1001 I(S) (Болгария) - 1121083KZ083</v>
      </c>
      <c r="G1745" s="1" t="str">
        <f ca="1">IFERROR(__xludf.DUMMYFUNCTION("""COMPUTED_VALUE"""),"KZ.7700.02.01.00814783 / Действительно до 19.11.2026 / 1121083KZ083 / годен до 19.11.2026 г.")</f>
        <v>KZ.7700.02.01.00814783 / Действительно до 19.11.2026 / 1121083KZ083 / годен до 19.11.2026 г.</v>
      </c>
      <c r="H1745" s="1" t="str">
        <f ca="1">IFERROR(__xludf.DUMMYFUNCTION("""COMPUTED_VALUE"""),"Бандаж на шейный отдел позвоночника мягкой фиксацией 1001 I(S) (Болгария) KZ.7700.02.01.00814783 / Действительно до 19.11.2026 / 1121083KZ083 / годен до 19.11.2026 г.")</f>
        <v>Бандаж на шейный отдел позвоночника мягкой фиксацией 1001 I(S) (Болгария) KZ.7700.02.01.00814783 / Действительно до 19.11.2026 / 1121083KZ083 / годен до 19.11.2026 г.</v>
      </c>
    </row>
    <row r="1746" spans="1:8" ht="12.75" x14ac:dyDescent="0.2">
      <c r="A1746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746" s="1" t="str">
        <f ca="1">IFERROR(__xludf.DUMMYFUNCTION("""COMPUTED_VALUE"""),"KZ.7700.02.01.00814778")</f>
        <v>KZ.7700.02.01.00814778</v>
      </c>
      <c r="C1746" s="1" t="str">
        <f ca="1">IFERROR(__xludf.DUMMYFUNCTION("""COMPUTED_VALUE"""),"Действительно до 19.11.2026")</f>
        <v>Действительно до 19.11.2026</v>
      </c>
      <c r="D1746" s="8" t="str">
        <f ca="1">IFERROR(__xludf.DUMMYFUNCTION("""COMPUTED_VALUE"""),"1121083KZ083")</f>
        <v>1121083KZ083</v>
      </c>
      <c r="E1746" s="1" t="str">
        <f ca="1">IFERROR(__xludf.DUMMYFUNCTION("""COMPUTED_VALUE"""),"годен до 19.11.2026 г.")</f>
        <v>годен до 19.11.2026 г.</v>
      </c>
      <c r="F1746" s="1" t="str">
        <f ca="1">IFERROR(__xludf.DUMMYFUNCTION("""COMPUTED_VALUE"""),"Бандаж на шейный отдел позвоночника мягкой фиксацией 1001 II(M) (Болгария) - 1121083KZ083")</f>
        <v>Бандаж на шейный отдел позвоночника мягкой фиксацией 1001 II(M) (Болгария) - 1121083KZ083</v>
      </c>
      <c r="G1746" s="1" t="str">
        <f ca="1">IFERROR(__xludf.DUMMYFUNCTION("""COMPUTED_VALUE"""),"KZ.7700.02.01.00814778 / Действительно до 19.11.2026 / 1121083KZ083 / годен до 19.11.2026 г.")</f>
        <v>KZ.7700.02.01.00814778 / Действительно до 19.11.2026 / 1121083KZ083 / годен до 19.11.2026 г.</v>
      </c>
      <c r="H1746" s="1" t="str">
        <f ca="1">IFERROR(__xludf.DUMMYFUNCTION("""COMPUTED_VALUE"""),"Бандаж на шейный отдел позвоночника мягкой фиксацией 1001 II(M) (Болгария) KZ.7700.02.01.00814778 / Действительно до 19.11.2026 / 1121083KZ083 / годен до 19.11.2026 г.")</f>
        <v>Бандаж на шейный отдел позвоночника мягкой фиксацией 1001 II(M) (Болгария) KZ.7700.02.01.00814778 / Действительно до 19.11.2026 / 1121083KZ083 / годен до 19.11.2026 г.</v>
      </c>
    </row>
    <row r="1747" spans="1:8" ht="12.75" x14ac:dyDescent="0.2">
      <c r="A1747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747" s="1" t="str">
        <f ca="1">IFERROR(__xludf.DUMMYFUNCTION("""COMPUTED_VALUE"""),"KZ.7700.02.01.00814780")</f>
        <v>KZ.7700.02.01.00814780</v>
      </c>
      <c r="C1747" s="1" t="str">
        <f ca="1">IFERROR(__xludf.DUMMYFUNCTION("""COMPUTED_VALUE"""),"Действительно до 19.11.2026")</f>
        <v>Действительно до 19.11.2026</v>
      </c>
      <c r="D1747" s="8" t="str">
        <f ca="1">IFERROR(__xludf.DUMMYFUNCTION("""COMPUTED_VALUE"""),"1121083KZ083")</f>
        <v>1121083KZ083</v>
      </c>
      <c r="E1747" s="1" t="str">
        <f ca="1">IFERROR(__xludf.DUMMYFUNCTION("""COMPUTED_VALUE"""),"годен до 19.11.2026 г.")</f>
        <v>годен до 19.11.2026 г.</v>
      </c>
      <c r="F1747" s="1" t="str">
        <f ca="1">IFERROR(__xludf.DUMMYFUNCTION("""COMPUTED_VALUE"""),"Бандаж на шейный отдел позвоночника мягкой фиксацией 1001 III(L) (Болгария) - 1121083KZ083")</f>
        <v>Бандаж на шейный отдел позвоночника мягкой фиксацией 1001 III(L) (Болгария) - 1121083KZ083</v>
      </c>
      <c r="G1747" s="1" t="str">
        <f ca="1">IFERROR(__xludf.DUMMYFUNCTION("""COMPUTED_VALUE"""),"KZ.7700.02.01.00814780 / Действительно до 19.11.2026 / 1121083KZ083 / годен до 19.11.2026 г.")</f>
        <v>KZ.7700.02.01.00814780 / Действительно до 19.11.2026 / 1121083KZ083 / годен до 19.11.2026 г.</v>
      </c>
      <c r="H1747" s="1" t="str">
        <f ca="1">IFERROR(__xludf.DUMMYFUNCTION("""COMPUTED_VALUE"""),"Бандаж на шейный отдел позвоночника мягкой фиксацией 1001 III(L) (Болгария) KZ.7700.02.01.00814780 / Действительно до 19.11.2026 / 1121083KZ083 / годен до 19.11.2026 г.")</f>
        <v>Бандаж на шейный отдел позвоночника мягкой фиксацией 1001 III(L) (Болгария) KZ.7700.02.01.00814780 / Действительно до 19.11.2026 / 1121083KZ083 / годен до 19.11.2026 г.</v>
      </c>
    </row>
    <row r="1748" spans="1:8" ht="12.75" x14ac:dyDescent="0.2">
      <c r="A1748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1748" s="1" t="str">
        <f ca="1">IFERROR(__xludf.DUMMYFUNCTION("""COMPUTED_VALUE"""),"KZ.7700.02.01.00814774")</f>
        <v>KZ.7700.02.01.00814774</v>
      </c>
      <c r="C1748" s="1" t="str">
        <f ca="1">IFERROR(__xludf.DUMMYFUNCTION("""COMPUTED_VALUE"""),"Действительно до 19.11.2026")</f>
        <v>Действительно до 19.11.2026</v>
      </c>
      <c r="D1748" s="8" t="str">
        <f ca="1">IFERROR(__xludf.DUMMYFUNCTION("""COMPUTED_VALUE"""),"1121083KZ083")</f>
        <v>1121083KZ083</v>
      </c>
      <c r="E1748" s="1" t="str">
        <f ca="1">IFERROR(__xludf.DUMMYFUNCTION("""COMPUTED_VALUE"""),"годен до 19.11.2026 г.")</f>
        <v>годен до 19.11.2026 г.</v>
      </c>
      <c r="F1748" s="1" t="str">
        <f ca="1">IFERROR(__xludf.DUMMYFUNCTION("""COMPUTED_VALUE"""),"Бандаж на шейный отдел позвоночника мягкой фиксацией с жесткой вставкой 1005 I(S) - 1121083KZ083")</f>
        <v>Бандаж на шейный отдел позвоночника мягкой фиксацией с жесткой вставкой 1005 I(S) - 1121083KZ083</v>
      </c>
      <c r="G1748" s="1" t="str">
        <f ca="1">IFERROR(__xludf.DUMMYFUNCTION("""COMPUTED_VALUE"""),"KZ.7700.02.01.00814774 / Действительно до 19.11.2026 / 1121083KZ083 / годен до 19.11.2026 г.")</f>
        <v>KZ.7700.02.01.00814774 / Действительно до 19.11.2026 / 1121083KZ083 / годен до 19.11.2026 г.</v>
      </c>
      <c r="H1748" s="1" t="str">
        <f ca="1">IFERROR(__xludf.DUMMYFUNCTION("""COMPUTED_VALUE"""),"Бандаж на шейный отдел позвоночника мягкой фиксацией с жесткой вставкой 1005 I(S) KZ.7700.02.01.00814774 / Действительно до 19.11.2026 / 1121083KZ083 / годен до 19.11.2026 г.")</f>
        <v>Бандаж на шейный отдел позвоночника мягкой фиксацией с жесткой вставкой 1005 I(S) KZ.7700.02.01.00814774 / Действительно до 19.11.2026 / 1121083KZ083 / годен до 19.11.2026 г.</v>
      </c>
    </row>
    <row r="1749" spans="1:8" ht="12.75" x14ac:dyDescent="0.2">
      <c r="A1749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749" s="1" t="str">
        <f ca="1">IFERROR(__xludf.DUMMYFUNCTION("""COMPUTED_VALUE"""),"KZ.7700.02.01.00814781")</f>
        <v>KZ.7700.02.01.00814781</v>
      </c>
      <c r="C1749" s="1" t="str">
        <f ca="1">IFERROR(__xludf.DUMMYFUNCTION("""COMPUTED_VALUE"""),"Действительно до 19.11.2026")</f>
        <v>Действительно до 19.11.2026</v>
      </c>
      <c r="D1749" s="8" t="str">
        <f ca="1">IFERROR(__xludf.DUMMYFUNCTION("""COMPUTED_VALUE"""),"1121083KZ083")</f>
        <v>1121083KZ083</v>
      </c>
      <c r="E1749" s="1" t="str">
        <f ca="1">IFERROR(__xludf.DUMMYFUNCTION("""COMPUTED_VALUE"""),"годен до 19.11.2026 г.")</f>
        <v>годен до 19.11.2026 г.</v>
      </c>
      <c r="F1749" s="1" t="str">
        <f ca="1">IFERROR(__xludf.DUMMYFUNCTION("""COMPUTED_VALUE"""),"Бандаж на шейный отдел позвоночника мягкой фиксацией с жесткой вставкой 1005 II(M) - 1121083KZ083")</f>
        <v>Бандаж на шейный отдел позвоночника мягкой фиксацией с жесткой вставкой 1005 II(M) - 1121083KZ083</v>
      </c>
      <c r="G1749" s="1" t="str">
        <f ca="1">IFERROR(__xludf.DUMMYFUNCTION("""COMPUTED_VALUE"""),"KZ.7700.02.01.00814781 / Действительно до 19.11.2026 / 1121083KZ083 / годен до 19.11.2026 г.")</f>
        <v>KZ.7700.02.01.00814781 / Действительно до 19.11.2026 / 1121083KZ083 / годен до 19.11.2026 г.</v>
      </c>
      <c r="H1749" s="1" t="str">
        <f ca="1">IFERROR(__xludf.DUMMYFUNCTION("""COMPUTED_VALUE"""),"Бандаж на шейный отдел позвоночника мягкой фиксацией с жесткой вставкой 1005 II(M) KZ.7700.02.01.00814781 / Действительно до 19.11.2026 / 1121083KZ083 / годен до 19.11.2026 г.")</f>
        <v>Бандаж на шейный отдел позвоночника мягкой фиксацией с жесткой вставкой 1005 II(M) KZ.7700.02.01.00814781 / Действительно до 19.11.2026 / 1121083KZ083 / годен до 19.11.2026 г.</v>
      </c>
    </row>
    <row r="1750" spans="1:8" ht="12.75" x14ac:dyDescent="0.2">
      <c r="A1750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1750" s="1" t="str">
        <f ca="1">IFERROR(__xludf.DUMMYFUNCTION("""COMPUTED_VALUE"""),"KZ.7700.02.01.00814775")</f>
        <v>KZ.7700.02.01.00814775</v>
      </c>
      <c r="C1750" s="1" t="str">
        <f ca="1">IFERROR(__xludf.DUMMYFUNCTION("""COMPUTED_VALUE"""),"Действительно до 19.11.2026")</f>
        <v>Действительно до 19.11.2026</v>
      </c>
      <c r="D1750" s="8" t="str">
        <f ca="1">IFERROR(__xludf.DUMMYFUNCTION("""COMPUTED_VALUE"""),"1121083KZ083")</f>
        <v>1121083KZ083</v>
      </c>
      <c r="E1750" s="1" t="str">
        <f ca="1">IFERROR(__xludf.DUMMYFUNCTION("""COMPUTED_VALUE"""),"годен до 19.11.2026 г.")</f>
        <v>годен до 19.11.2026 г.</v>
      </c>
      <c r="F1750" s="1" t="str">
        <f ca="1">IFERROR(__xludf.DUMMYFUNCTION("""COMPUTED_VALUE"""),"Бандаж на шейный отдел позвоночника мягкой фиксацией с жесткой вставкой 1005 III(L) - 1121083KZ083")</f>
        <v>Бандаж на шейный отдел позвоночника мягкой фиксацией с жесткой вставкой 1005 III(L) - 1121083KZ083</v>
      </c>
      <c r="G1750" s="1" t="str">
        <f ca="1">IFERROR(__xludf.DUMMYFUNCTION("""COMPUTED_VALUE"""),"KZ.7700.02.01.00814775 / Действительно до 19.11.2026 / 1121083KZ083 / годен до 19.11.2026 г.")</f>
        <v>KZ.7700.02.01.00814775 / Действительно до 19.11.2026 / 1121083KZ083 / годен до 19.11.2026 г.</v>
      </c>
      <c r="H1750" s="1" t="str">
        <f ca="1">IFERROR(__xludf.DUMMYFUNCTION("""COMPUTED_VALUE"""),"Бандаж на шейный отдел позвоночника мягкой фиксацией с жесткой вставкой 1005 III(L) KZ.7700.02.01.00814775 / Действительно до 19.11.2026 / 1121083KZ083 / годен до 19.11.2026 г.")</f>
        <v>Бандаж на шейный отдел позвоночника мягкой фиксацией с жесткой вставкой 1005 III(L) KZ.7700.02.01.00814775 / Действительно до 19.11.2026 / 1121083KZ083 / годен до 19.11.2026 г.</v>
      </c>
    </row>
    <row r="1751" spans="1:8" ht="12.75" x14ac:dyDescent="0.2">
      <c r="A1751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751" s="1" t="str">
        <f ca="1">IFERROR(__xludf.DUMMYFUNCTION("""COMPUTED_VALUE"""),"KZ.7700.02.01.00814777")</f>
        <v>KZ.7700.02.01.00814777</v>
      </c>
      <c r="C1751" s="1" t="str">
        <f ca="1">IFERROR(__xludf.DUMMYFUNCTION("""COMPUTED_VALUE"""),"Действительно до 19.11.2026")</f>
        <v>Действительно до 19.11.2026</v>
      </c>
      <c r="D1751" s="8" t="str">
        <f ca="1">IFERROR(__xludf.DUMMYFUNCTION("""COMPUTED_VALUE"""),"1121083KZ083")</f>
        <v>1121083KZ083</v>
      </c>
      <c r="E1751" s="1" t="str">
        <f ca="1">IFERROR(__xludf.DUMMYFUNCTION("""COMPUTED_VALUE"""),"годен до 19.11.2026 г.")</f>
        <v>годен до 19.11.2026 г.</v>
      </c>
      <c r="F1751" s="1" t="str">
        <f ca="1">IFERROR(__xludf.DUMMYFUNCTION("""COMPUTED_VALUE"""),"Реклинатор (корректор осанки) детский 2005 L (Болгария) - 1121083KZ083")</f>
        <v>Реклинатор (корректор осанки) детский 2005 L (Болгария) - 1121083KZ083</v>
      </c>
      <c r="G1751" s="1" t="str">
        <f ca="1">IFERROR(__xludf.DUMMYFUNCTION("""COMPUTED_VALUE"""),"KZ.7700.02.01.00814777 / Действительно до 19.11.2026 / 1121083KZ083 / годен до 19.11.2026 г.")</f>
        <v>KZ.7700.02.01.00814777 / Действительно до 19.11.2026 / 1121083KZ083 / годен до 19.11.2026 г.</v>
      </c>
      <c r="H1751" s="1" t="str">
        <f ca="1">IFERROR(__xludf.DUMMYFUNCTION("""COMPUTED_VALUE"""),"Реклинатор (корректор осанки) детский 2005 L (Болгария) KZ.7700.02.01.00814777 / Действительно до 19.11.2026 / 1121083KZ083 / годен до 19.11.2026 г.")</f>
        <v>Реклинатор (корректор осанки) детский 2005 L (Болгария) KZ.7700.02.01.00814777 / Действительно до 19.11.2026 / 1121083KZ083 / годен до 19.11.2026 г.</v>
      </c>
    </row>
    <row r="1752" spans="1:8" ht="12.75" x14ac:dyDescent="0.2">
      <c r="A1752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1752" s="1" t="str">
        <f ca="1">IFERROR(__xludf.DUMMYFUNCTION("""COMPUTED_VALUE"""),"KZ.7700.02.01.00814822")</f>
        <v>KZ.7700.02.01.00814822</v>
      </c>
      <c r="C1752" s="1" t="str">
        <f ca="1">IFERROR(__xludf.DUMMYFUNCTION("""COMPUTED_VALUE"""),"Действительно до 19.11.2026")</f>
        <v>Действительно до 19.11.2026</v>
      </c>
      <c r="D1752" s="8" t="str">
        <f ca="1">IFERROR(__xludf.DUMMYFUNCTION("""COMPUTED_VALUE"""),"1121083KZ083")</f>
        <v>1121083KZ083</v>
      </c>
      <c r="E1752" s="1" t="str">
        <f ca="1">IFERROR(__xludf.DUMMYFUNCTION("""COMPUTED_VALUE"""),"годен до 19.11.2026 г.")</f>
        <v>годен до 19.11.2026 г.</v>
      </c>
      <c r="F1752" s="1" t="str">
        <f ca="1">IFERROR(__xludf.DUMMYFUNCTION("""COMPUTED_VALUE"""),"Реклинатор (корректор осанки) детский 2005 S (Болгария) - 1121083KZ083")</f>
        <v>Реклинатор (корректор осанки) детский 2005 S (Болгария) - 1121083KZ083</v>
      </c>
      <c r="G1752" s="1" t="str">
        <f ca="1">IFERROR(__xludf.DUMMYFUNCTION("""COMPUTED_VALUE"""),"KZ.7700.02.01.00814822 / Действительно до 19.11.2026 / 1121083KZ083 / годен до 19.11.2026 г.")</f>
        <v>KZ.7700.02.01.00814822 / Действительно до 19.11.2026 / 1121083KZ083 / годен до 19.11.2026 г.</v>
      </c>
      <c r="H1752" s="1" t="str">
        <f ca="1">IFERROR(__xludf.DUMMYFUNCTION("""COMPUTED_VALUE"""),"Реклинатор (корректор осанки) детский 2005 S (Болгария) KZ.7700.02.01.00814822 / Действительно до 19.11.2026 / 1121083KZ083 / годен до 19.11.2026 г.")</f>
        <v>Реклинатор (корректор осанки) детский 2005 S (Болгария) KZ.7700.02.01.00814822 / Действительно до 19.11.2026 / 1121083KZ083 / годен до 19.11.2026 г.</v>
      </c>
    </row>
    <row r="1753" spans="1:8" ht="12.75" x14ac:dyDescent="0.2">
      <c r="A1753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1753" s="1" t="str">
        <f ca="1">IFERROR(__xludf.DUMMYFUNCTION("""COMPUTED_VALUE"""),"KZ.7700.02.01.00814824")</f>
        <v>KZ.7700.02.01.00814824</v>
      </c>
      <c r="C1753" s="1" t="str">
        <f ca="1">IFERROR(__xludf.DUMMYFUNCTION("""COMPUTED_VALUE"""),"Действительно до 19.11.2026")</f>
        <v>Действительно до 19.11.2026</v>
      </c>
      <c r="D1753" s="8" t="str">
        <f ca="1">IFERROR(__xludf.DUMMYFUNCTION("""COMPUTED_VALUE"""),"1121083KZ083")</f>
        <v>1121083KZ083</v>
      </c>
      <c r="E1753" s="1" t="str">
        <f ca="1">IFERROR(__xludf.DUMMYFUNCTION("""COMPUTED_VALUE"""),"годен до 19.11.2026 г.")</f>
        <v>годен до 19.11.2026 г.</v>
      </c>
      <c r="F1753" s="1" t="str">
        <f ca="1">IFERROR(__xludf.DUMMYFUNCTION("""COMPUTED_VALUE"""),"Реклинатор (корректор осанки) детский 2005 M (Болгария) - 1121083KZ083")</f>
        <v>Реклинатор (корректор осанки) детский 2005 M (Болгария) - 1121083KZ083</v>
      </c>
      <c r="G1753" s="1" t="str">
        <f ca="1">IFERROR(__xludf.DUMMYFUNCTION("""COMPUTED_VALUE"""),"KZ.7700.02.01.00814824 / Действительно до 19.11.2026 / 1121083KZ083 / годен до 19.11.2026 г.")</f>
        <v>KZ.7700.02.01.00814824 / Действительно до 19.11.2026 / 1121083KZ083 / годен до 19.11.2026 г.</v>
      </c>
      <c r="H1753" s="1" t="str">
        <f ca="1">IFERROR(__xludf.DUMMYFUNCTION("""COMPUTED_VALUE"""),"Реклинатор (корректор осанки) детский 2005 M (Болгария) KZ.7700.02.01.00814824 / Действительно до 19.11.2026 / 1121083KZ083 / годен до 19.11.2026 г.")</f>
        <v>Реклинатор (корректор осанки) детский 2005 M (Болгария) KZ.7700.02.01.00814824 / Действительно до 19.11.2026 / 1121083KZ083 / годен до 19.11.2026 г.</v>
      </c>
    </row>
    <row r="1754" spans="1:8" ht="12.75" x14ac:dyDescent="0.2">
      <c r="A1754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1754" s="1" t="str">
        <f ca="1">IFERROR(__xludf.DUMMYFUNCTION("""COMPUTED_VALUE"""),"KZ.7700.02.01.00814793")</f>
        <v>KZ.7700.02.01.00814793</v>
      </c>
      <c r="C1754" s="1" t="str">
        <f ca="1">IFERROR(__xludf.DUMMYFUNCTION("""COMPUTED_VALUE"""),"Действительно до 19.11.2026")</f>
        <v>Действительно до 19.11.2026</v>
      </c>
      <c r="D1754" s="8" t="str">
        <f ca="1">IFERROR(__xludf.DUMMYFUNCTION("""COMPUTED_VALUE"""),"1121083KZ083")</f>
        <v>1121083KZ083</v>
      </c>
      <c r="E1754" s="1" t="str">
        <f ca="1">IFERROR(__xludf.DUMMYFUNCTION("""COMPUTED_VALUE"""),"годен до 19.11.2026 г.")</f>
        <v>годен до 19.11.2026 г.</v>
      </c>
      <c r="F1754" s="1" t="str">
        <f ca="1">IFERROR(__xludf.DUMMYFUNCTION("""COMPUTED_VALUE"""),"Корректор осанки с ребрами жесткости эластичный 2011 L (Болгария) - 1121083KZ083")</f>
        <v>Корректор осанки с ребрами жесткости эластичный 2011 L (Болгария) - 1121083KZ083</v>
      </c>
      <c r="G1754" s="1" t="str">
        <f ca="1">IFERROR(__xludf.DUMMYFUNCTION("""COMPUTED_VALUE"""),"KZ.7700.02.01.00814793 / Действительно до 19.11.2026 / 1121083KZ083 / годен до 19.11.2026 г.")</f>
        <v>KZ.7700.02.01.00814793 / Действительно до 19.11.2026 / 1121083KZ083 / годен до 19.11.2026 г.</v>
      </c>
      <c r="H1754" s="1" t="str">
        <f ca="1">IFERROR(__xludf.DUMMYFUNCTION("""COMPUTED_VALUE"""),"Корректор осанки с ребрами жесткости эластичный 2011 L (Болгария) KZ.7700.02.01.00814793 / Действительно до 19.11.2026 / 1121083KZ083 / годен до 19.11.2026 г.")</f>
        <v>Корректор осанки с ребрами жесткости эластичный 2011 L (Болгария) KZ.7700.02.01.00814793 / Действительно до 19.11.2026 / 1121083KZ083 / годен до 19.11.2026 г.</v>
      </c>
    </row>
    <row r="1755" spans="1:8" ht="12.75" x14ac:dyDescent="0.2">
      <c r="A1755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1755" s="1" t="str">
        <f ca="1">IFERROR(__xludf.DUMMYFUNCTION("""COMPUTED_VALUE"""),"KZ.7700.02.01.00814791")</f>
        <v>KZ.7700.02.01.00814791</v>
      </c>
      <c r="C1755" s="1" t="str">
        <f ca="1">IFERROR(__xludf.DUMMYFUNCTION("""COMPUTED_VALUE"""),"Действительно до 19.11.2026")</f>
        <v>Действительно до 19.11.2026</v>
      </c>
      <c r="D1755" s="8" t="str">
        <f ca="1">IFERROR(__xludf.DUMMYFUNCTION("""COMPUTED_VALUE"""),"1121083KZ083")</f>
        <v>1121083KZ083</v>
      </c>
      <c r="E1755" s="1" t="str">
        <f ca="1">IFERROR(__xludf.DUMMYFUNCTION("""COMPUTED_VALUE"""),"годен до 19.11.2026 г.")</f>
        <v>годен до 19.11.2026 г.</v>
      </c>
      <c r="F1755" s="1" t="str">
        <f ca="1">IFERROR(__xludf.DUMMYFUNCTION("""COMPUTED_VALUE"""),"Корректор осанки с ребрами жесткости эластичный 2011 M (Болгария) - 1121083KZ083")</f>
        <v>Корректор осанки с ребрами жесткости эластичный 2011 M (Болгария) - 1121083KZ083</v>
      </c>
      <c r="G1755" s="1" t="str">
        <f ca="1">IFERROR(__xludf.DUMMYFUNCTION("""COMPUTED_VALUE"""),"KZ.7700.02.01.00814791 / Действительно до 19.11.2026 / 1121083KZ083 / годен до 19.11.2026 г.")</f>
        <v>KZ.7700.02.01.00814791 / Действительно до 19.11.2026 / 1121083KZ083 / годен до 19.11.2026 г.</v>
      </c>
      <c r="H1755" s="1" t="str">
        <f ca="1">IFERROR(__xludf.DUMMYFUNCTION("""COMPUTED_VALUE"""),"Корректор осанки с ребрами жесткости эластичный 2011 M (Болгария) KZ.7700.02.01.00814791 / Действительно до 19.11.2026 / 1121083KZ083 / годен до 19.11.2026 г.")</f>
        <v>Корректор осанки с ребрами жесткости эластичный 2011 M (Болгария) KZ.7700.02.01.00814791 / Действительно до 19.11.2026 / 1121083KZ083 / годен до 19.11.2026 г.</v>
      </c>
    </row>
    <row r="1756" spans="1:8" ht="12.75" x14ac:dyDescent="0.2">
      <c r="A1756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1756" s="1" t="str">
        <f ca="1">IFERROR(__xludf.DUMMYFUNCTION("""COMPUTED_VALUE"""),"KZ.7700.02.01.00814817")</f>
        <v>KZ.7700.02.01.00814817</v>
      </c>
      <c r="C1756" s="1" t="str">
        <f ca="1">IFERROR(__xludf.DUMMYFUNCTION("""COMPUTED_VALUE"""),"Действительно до 19.11.2026")</f>
        <v>Действительно до 19.11.2026</v>
      </c>
      <c r="D1756" s="8" t="str">
        <f ca="1">IFERROR(__xludf.DUMMYFUNCTION("""COMPUTED_VALUE"""),"1121083KZ083")</f>
        <v>1121083KZ083</v>
      </c>
      <c r="E1756" s="1" t="str">
        <f ca="1">IFERROR(__xludf.DUMMYFUNCTION("""COMPUTED_VALUE"""),"годен до 19.11.2026 г.")</f>
        <v>годен до 19.11.2026 г.</v>
      </c>
      <c r="F1756" s="1" t="str">
        <f ca="1">IFERROR(__xludf.DUMMYFUNCTION("""COMPUTED_VALUE"""),"Корректор осанки с ребрами жесткости эластичный 2011 S (Болгария) - 1121083KZ083")</f>
        <v>Корректор осанки с ребрами жесткости эластичный 2011 S (Болгария) - 1121083KZ083</v>
      </c>
      <c r="G1756" s="1" t="str">
        <f ca="1">IFERROR(__xludf.DUMMYFUNCTION("""COMPUTED_VALUE"""),"KZ.7700.02.01.00814817 / Действительно до 19.11.2026 / 1121083KZ083 / годен до 19.11.2026 г.")</f>
        <v>KZ.7700.02.01.00814817 / Действительно до 19.11.2026 / 1121083KZ083 / годен до 19.11.2026 г.</v>
      </c>
      <c r="H1756" s="1" t="str">
        <f ca="1">IFERROR(__xludf.DUMMYFUNCTION("""COMPUTED_VALUE"""),"Корректор осанки с ребрами жесткости эластичный 2011 S (Болгария) KZ.7700.02.01.00814817 / Действительно до 19.11.2026 / 1121083KZ083 / годен до 19.11.2026 г.")</f>
        <v>Корректор осанки с ребрами жесткости эластичный 2011 S (Болгария) KZ.7700.02.01.00814817 / Действительно до 19.11.2026 / 1121083KZ083 / годен до 19.11.2026 г.</v>
      </c>
    </row>
    <row r="1757" spans="1:8" ht="12.75" x14ac:dyDescent="0.2">
      <c r="A1757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1757" s="1" t="str">
        <f ca="1">IFERROR(__xludf.DUMMYFUNCTION("""COMPUTED_VALUE"""),"KZ.7700.02.01.00814790")</f>
        <v>KZ.7700.02.01.00814790</v>
      </c>
      <c r="C1757" s="1" t="str">
        <f ca="1">IFERROR(__xludf.DUMMYFUNCTION("""COMPUTED_VALUE"""),"Действительно до 19.11.2026")</f>
        <v>Действительно до 19.11.2026</v>
      </c>
      <c r="D1757" s="8" t="str">
        <f ca="1">IFERROR(__xludf.DUMMYFUNCTION("""COMPUTED_VALUE"""),"1121083KZ083")</f>
        <v>1121083KZ083</v>
      </c>
      <c r="E1757" s="1" t="str">
        <f ca="1">IFERROR(__xludf.DUMMYFUNCTION("""COMPUTED_VALUE"""),"годен до 19.11.2026 г.")</f>
        <v>годен до 19.11.2026 г.</v>
      </c>
      <c r="F1757" s="1" t="str">
        <f ca="1">IFERROR(__xludf.DUMMYFUNCTION("""COMPUTED_VALUE"""),"Корректор осанки с ребрами жесткости эластичный 2011 XL (Болгария) - 1121083KZ083")</f>
        <v>Корректор осанки с ребрами жесткости эластичный 2011 XL (Болгария) - 1121083KZ083</v>
      </c>
      <c r="G1757" s="1" t="str">
        <f ca="1">IFERROR(__xludf.DUMMYFUNCTION("""COMPUTED_VALUE"""),"KZ.7700.02.01.00814790 / Действительно до 19.11.2026 / 1121083KZ083 / годен до 19.11.2026 г.")</f>
        <v>KZ.7700.02.01.00814790 / Действительно до 19.11.2026 / 1121083KZ083 / годен до 19.11.2026 г.</v>
      </c>
      <c r="H1757" s="1" t="str">
        <f ca="1">IFERROR(__xludf.DUMMYFUNCTION("""COMPUTED_VALUE"""),"Корректор осанки с ребрами жесткости эластичный 2011 XL (Болгария) KZ.7700.02.01.00814790 / Действительно до 19.11.2026 / 1121083KZ083 / годен до 19.11.2026 г.")</f>
        <v>Корректор осанки с ребрами жесткости эластичный 2011 XL (Болгария) KZ.7700.02.01.00814790 / Действительно до 19.11.2026 / 1121083KZ083 / годен до 19.11.2026 г.</v>
      </c>
    </row>
    <row r="1758" spans="1:8" ht="12.75" x14ac:dyDescent="0.2">
      <c r="A1758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1758" s="1" t="str">
        <f ca="1">IFERROR(__xludf.DUMMYFUNCTION("""COMPUTED_VALUE"""),"KZ.7700.02.01.00814814")</f>
        <v>KZ.7700.02.01.00814814</v>
      </c>
      <c r="C1758" s="1" t="str">
        <f ca="1">IFERROR(__xludf.DUMMYFUNCTION("""COMPUTED_VALUE"""),"Действительно до 19.11.2026")</f>
        <v>Действительно до 19.11.2026</v>
      </c>
      <c r="D1758" s="8" t="str">
        <f ca="1">IFERROR(__xludf.DUMMYFUNCTION("""COMPUTED_VALUE"""),"1121083KZ083")</f>
        <v>1121083KZ083</v>
      </c>
      <c r="E1758" s="1" t="str">
        <f ca="1">IFERROR(__xludf.DUMMYFUNCTION("""COMPUTED_VALUE"""),"годен до 19.11.2026 г.")</f>
        <v>годен до 19.11.2026 г.</v>
      </c>
      <c r="F1758" s="1" t="str">
        <f ca="1">IFERROR(__xludf.DUMMYFUNCTION("""COMPUTED_VALUE"""),"Корректор осанки с ребрами жесткости эластичный 2011 XXL (Болгария) - 1121083KZ083")</f>
        <v>Корректор осанки с ребрами жесткости эластичный 2011 XXL (Болгария) - 1121083KZ083</v>
      </c>
      <c r="G1758" s="1" t="str">
        <f ca="1">IFERROR(__xludf.DUMMYFUNCTION("""COMPUTED_VALUE"""),"KZ.7700.02.01.00814814 / Действительно до 19.11.2026 / 1121083KZ083 / годен до 19.11.2026 г.")</f>
        <v>KZ.7700.02.01.00814814 / Действительно до 19.11.2026 / 1121083KZ083 / годен до 19.11.2026 г.</v>
      </c>
      <c r="H1758" s="1" t="str">
        <f ca="1">IFERROR(__xludf.DUMMYFUNCTION("""COMPUTED_VALUE"""),"Корректор осанки с ребрами жесткости эластичный 2011 XXL (Болгария) KZ.7700.02.01.00814814 / Действительно до 19.11.2026 / 1121083KZ083 / годен до 19.11.2026 г.")</f>
        <v>Корректор осанки с ребрами жесткости эластичный 2011 XXL (Болгария) KZ.7700.02.01.00814814 / Действительно до 19.11.2026 / 1121083KZ083 / годен до 19.11.2026 г.</v>
      </c>
    </row>
    <row r="1759" spans="1:8" ht="12.75" x14ac:dyDescent="0.2">
      <c r="A1759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1759" s="1" t="str">
        <f ca="1">IFERROR(__xludf.DUMMYFUNCTION("""COMPUTED_VALUE"""),"KZ.7700.02.01.00814785")</f>
        <v>KZ.7700.02.01.00814785</v>
      </c>
      <c r="C1759" s="1" t="str">
        <f ca="1">IFERROR(__xludf.DUMMYFUNCTION("""COMPUTED_VALUE"""),"Действительно до 19.11.2026")</f>
        <v>Действительно до 19.11.2026</v>
      </c>
      <c r="D1759" s="8" t="str">
        <f ca="1">IFERROR(__xludf.DUMMYFUNCTION("""COMPUTED_VALUE"""),"1121083KZ083")</f>
        <v>1121083KZ083</v>
      </c>
      <c r="E1759" s="1" t="str">
        <f ca="1">IFERROR(__xludf.DUMMYFUNCTION("""COMPUTED_VALUE"""),"годен до 19.11.2026 г.")</f>
        <v>годен до 19.11.2026 г.</v>
      </c>
      <c r="F1759" s="1" t="str">
        <f ca="1">IFERROR(__xludf.DUMMYFUNCTION("""COMPUTED_VALUE"""),"Корректор лечебно-профилактический (с 4 ребрами жесткости) эластичный 3011 - М - 1121083KZ083")</f>
        <v>Корректор лечебно-профилактический (с 4 ребрами жесткости) эластичный 3011 - М - 1121083KZ083</v>
      </c>
      <c r="G1759" s="1" t="str">
        <f ca="1">IFERROR(__xludf.DUMMYFUNCTION("""COMPUTED_VALUE"""),"KZ.7700.02.01.00814785 / Действительно до 19.11.2026 / 1121083KZ083 / годен до 19.11.2026 г.")</f>
        <v>KZ.7700.02.01.00814785 / Действительно до 19.11.2026 / 1121083KZ083 / годен до 19.11.2026 г.</v>
      </c>
      <c r="H1759" s="1" t="str">
        <f ca="1">IFERROR(__xludf.DUMMYFUNCTION("""COMPUTED_VALUE"""),"Корректор лечебно-профилактический (с 4 ребрами жесткости) эластичный 3011 - М KZ.7700.02.01.00814785 / Действительно до 19.11.2026 / 1121083KZ083 / годен до 19.11.2026 г.")</f>
        <v>Корректор лечебно-профилактический (с 4 ребрами жесткости) эластичный 3011 - М KZ.7700.02.01.00814785 / Действительно до 19.11.2026 / 1121083KZ083 / годен до 19.11.2026 г.</v>
      </c>
    </row>
    <row r="1760" spans="1:8" ht="12.75" x14ac:dyDescent="0.2">
      <c r="A1760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1760" s="1" t="str">
        <f ca="1">IFERROR(__xludf.DUMMYFUNCTION("""COMPUTED_VALUE"""),"KZ.7700.02.01.00814788")</f>
        <v>KZ.7700.02.01.00814788</v>
      </c>
      <c r="C1760" s="1" t="str">
        <f ca="1">IFERROR(__xludf.DUMMYFUNCTION("""COMPUTED_VALUE"""),"Действительно до 19.11.2026")</f>
        <v>Действительно до 19.11.2026</v>
      </c>
      <c r="D1760" s="8" t="str">
        <f ca="1">IFERROR(__xludf.DUMMYFUNCTION("""COMPUTED_VALUE"""),"1121083KZ083")</f>
        <v>1121083KZ083</v>
      </c>
      <c r="E1760" s="1" t="str">
        <f ca="1">IFERROR(__xludf.DUMMYFUNCTION("""COMPUTED_VALUE"""),"годен до 19.11.2026 г.")</f>
        <v>годен до 19.11.2026 г.</v>
      </c>
      <c r="F1760" s="1" t="str">
        <f ca="1">IFERROR(__xludf.DUMMYFUNCTION("""COMPUTED_VALUE"""),"Корректор лечебно-профилактический (с 4 ребрами жесткости) эластичный 3011- XL - 1121083KZ083")</f>
        <v>Корректор лечебно-профилактический (с 4 ребрами жесткости) эластичный 3011- XL - 1121083KZ083</v>
      </c>
      <c r="G1760" s="1" t="str">
        <f ca="1">IFERROR(__xludf.DUMMYFUNCTION("""COMPUTED_VALUE"""),"KZ.7700.02.01.00814788 / Действительно до 19.11.2026 / 1121083KZ083 / годен до 19.11.2026 г.")</f>
        <v>KZ.7700.02.01.00814788 / Действительно до 19.11.2026 / 1121083KZ083 / годен до 19.11.2026 г.</v>
      </c>
      <c r="H1760" s="1" t="str">
        <f ca="1">IFERROR(__xludf.DUMMYFUNCTION("""COMPUTED_VALUE"""),"Корректор лечебно-профилактический (с 4 ребрами жесткости) эластичный 3011- XL KZ.7700.02.01.00814788 / Действительно до 19.11.2026 / 1121083KZ083 / годен до 19.11.2026 г.")</f>
        <v>Корректор лечебно-профилактический (с 4 ребрами жесткости) эластичный 3011- XL KZ.7700.02.01.00814788 / Действительно до 19.11.2026 / 1121083KZ083 / годен до 19.11.2026 г.</v>
      </c>
    </row>
    <row r="1761" spans="1:8" ht="12.75" x14ac:dyDescent="0.2">
      <c r="A1761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1761" s="1" t="str">
        <f ca="1">IFERROR(__xludf.DUMMYFUNCTION("""COMPUTED_VALUE"""),"KZ.7700.02.01.00814792")</f>
        <v>KZ.7700.02.01.00814792</v>
      </c>
      <c r="C1761" s="1" t="str">
        <f ca="1">IFERROR(__xludf.DUMMYFUNCTION("""COMPUTED_VALUE"""),"Действительно до 19.11.2026")</f>
        <v>Действительно до 19.11.2026</v>
      </c>
      <c r="D1761" s="8" t="str">
        <f ca="1">IFERROR(__xludf.DUMMYFUNCTION("""COMPUTED_VALUE"""),"1121083KZ083")</f>
        <v>1121083KZ083</v>
      </c>
      <c r="E1761" s="1" t="str">
        <f ca="1">IFERROR(__xludf.DUMMYFUNCTION("""COMPUTED_VALUE"""),"годен до 19.11.2026 г.")</f>
        <v>годен до 19.11.2026 г.</v>
      </c>
      <c r="F1761" s="1" t="str">
        <f ca="1">IFERROR(__xludf.DUMMYFUNCTION("""COMPUTED_VALUE"""),"Корректор лечебно-профилактический (с 4 ребрами жесткости) эластичный 3011- XXL - 1121083KZ083")</f>
        <v>Корректор лечебно-профилактический (с 4 ребрами жесткости) эластичный 3011- XXL - 1121083KZ083</v>
      </c>
      <c r="G1761" s="1" t="str">
        <f ca="1">IFERROR(__xludf.DUMMYFUNCTION("""COMPUTED_VALUE"""),"KZ.7700.02.01.00814792 / Действительно до 19.11.2026 / 1121083KZ083 / годен до 19.11.2026 г.")</f>
        <v>KZ.7700.02.01.00814792 / Действительно до 19.11.2026 / 1121083KZ083 / годен до 19.11.2026 г.</v>
      </c>
      <c r="H1761" s="1" t="str">
        <f ca="1">IFERROR(__xludf.DUMMYFUNCTION("""COMPUTED_VALUE"""),"Корректор лечебно-профилактический (с 4 ребрами жесткости) эластичный 3011- XXL KZ.7700.02.01.00814792 / Действительно до 19.11.2026 / 1121083KZ083 / годен до 19.11.2026 г.")</f>
        <v>Корректор лечебно-профилактический (с 4 ребрами жесткости) эластичный 3011- XXL KZ.7700.02.01.00814792 / Действительно до 19.11.2026 / 1121083KZ083 / годен до 19.11.2026 г.</v>
      </c>
    </row>
    <row r="1762" spans="1:8" ht="12.75" x14ac:dyDescent="0.2">
      <c r="A1762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1762" s="1" t="str">
        <f ca="1">IFERROR(__xludf.DUMMYFUNCTION("""COMPUTED_VALUE"""),"KZ.7700.02.01.00814784")</f>
        <v>KZ.7700.02.01.00814784</v>
      </c>
      <c r="C1762" s="1" t="str">
        <f ca="1">IFERROR(__xludf.DUMMYFUNCTION("""COMPUTED_VALUE"""),"Действительно до 19.11.2026")</f>
        <v>Действительно до 19.11.2026</v>
      </c>
      <c r="D1762" s="8" t="str">
        <f ca="1">IFERROR(__xludf.DUMMYFUNCTION("""COMPUTED_VALUE"""),"1121083KZ083")</f>
        <v>1121083KZ083</v>
      </c>
      <c r="E1762" s="1" t="str">
        <f ca="1">IFERROR(__xludf.DUMMYFUNCTION("""COMPUTED_VALUE"""),"годен до 19.11.2026 г.")</f>
        <v>годен до 19.11.2026 г.</v>
      </c>
      <c r="F1762" s="1" t="str">
        <f ca="1">IFERROR(__xludf.DUMMYFUNCTION("""COMPUTED_VALUE"""),"Корректор лечебно-профилактический (с 4 ребрами жесткости) эластичный 3011- XXXL - 1121083KZ083")</f>
        <v>Корректор лечебно-профилактический (с 4 ребрами жесткости) эластичный 3011- XXXL - 1121083KZ083</v>
      </c>
      <c r="G1762" s="1" t="str">
        <f ca="1">IFERROR(__xludf.DUMMYFUNCTION("""COMPUTED_VALUE"""),"KZ.7700.02.01.00814784 / Действительно до 19.11.2026 / 1121083KZ083 / годен до 19.11.2026 г.")</f>
        <v>KZ.7700.02.01.00814784 / Действительно до 19.11.2026 / 1121083KZ083 / годен до 19.11.2026 г.</v>
      </c>
      <c r="H1762" s="1" t="str">
        <f ca="1">IFERROR(__xludf.DUMMYFUNCTION("""COMPUTED_VALUE"""),"Корректор лечебно-профилактический (с 4 ребрами жесткости) эластичный 3011- XXXL KZ.7700.02.01.00814784 / Действительно до 19.11.2026 / 1121083KZ083 / годен до 19.11.2026 г.")</f>
        <v>Корректор лечебно-профилактический (с 4 ребрами жесткости) эластичный 3011- XXXL KZ.7700.02.01.00814784 / Действительно до 19.11.2026 / 1121083KZ083 / годен до 19.11.2026 г.</v>
      </c>
    </row>
    <row r="1763" spans="1:8" ht="12.75" x14ac:dyDescent="0.2">
      <c r="A1763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1763" s="1" t="str">
        <f ca="1">IFERROR(__xludf.DUMMYFUNCTION("""COMPUTED_VALUE"""),"KZ.7700.02.01.00814789")</f>
        <v>KZ.7700.02.01.00814789</v>
      </c>
      <c r="C1763" s="1" t="str">
        <f ca="1">IFERROR(__xludf.DUMMYFUNCTION("""COMPUTED_VALUE"""),"Действительно до 19.11.2026")</f>
        <v>Действительно до 19.11.2026</v>
      </c>
      <c r="D1763" s="8" t="str">
        <f ca="1">IFERROR(__xludf.DUMMYFUNCTION("""COMPUTED_VALUE"""),"1121083KZ083")</f>
        <v>1121083KZ083</v>
      </c>
      <c r="E1763" s="1" t="str">
        <f ca="1">IFERROR(__xludf.DUMMYFUNCTION("""COMPUTED_VALUE"""),"годен до 19.11.2026 г.")</f>
        <v>годен до 19.11.2026 г.</v>
      </c>
      <c r="F1763" s="1" t="str">
        <f ca="1">IFERROR(__xludf.DUMMYFUNCTION("""COMPUTED_VALUE"""),"Корректор лечебно-профилактический (с 4 ребрами жесткости) эластичный 3011 XXXXL - 1121083KZ083")</f>
        <v>Корректор лечебно-профилактический (с 4 ребрами жесткости) эластичный 3011 XXXXL - 1121083KZ083</v>
      </c>
      <c r="G1763" s="1" t="str">
        <f ca="1">IFERROR(__xludf.DUMMYFUNCTION("""COMPUTED_VALUE"""),"KZ.7700.02.01.00814789 / Действительно до 19.11.2026 / 1121083KZ083 / годен до 19.11.2026 г.")</f>
        <v>KZ.7700.02.01.00814789 / Действительно до 19.11.2026 / 1121083KZ083 / годен до 19.11.2026 г.</v>
      </c>
      <c r="H1763" s="1" t="str">
        <f ca="1">IFERROR(__xludf.DUMMYFUNCTION("""COMPUTED_VALUE"""),"Корректор лечебно-профилактический (с 4 ребрами жесткости) эластичный 3011 XXXXL KZ.7700.02.01.00814789 / Действительно до 19.11.2026 / 1121083KZ083 / годен до 19.11.2026 г.")</f>
        <v>Корректор лечебно-профилактический (с 4 ребрами жесткости) эластичный 3011 XXXXL KZ.7700.02.01.00814789 / Действительно до 19.11.2026 / 1121083KZ083 / годен до 19.11.2026 г.</v>
      </c>
    </row>
    <row r="1764" spans="1:8" ht="12.75" x14ac:dyDescent="0.2">
      <c r="A1764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1764" s="1" t="str">
        <f ca="1">IFERROR(__xludf.DUMMYFUNCTION("""COMPUTED_VALUE"""),"KZ.7700.02.01.00814787")</f>
        <v>KZ.7700.02.01.00814787</v>
      </c>
      <c r="C1764" s="1" t="str">
        <f ca="1">IFERROR(__xludf.DUMMYFUNCTION("""COMPUTED_VALUE"""),"Действительно до 19.11.2026")</f>
        <v>Действительно до 19.11.2026</v>
      </c>
      <c r="D1764" s="8" t="str">
        <f ca="1">IFERROR(__xludf.DUMMYFUNCTION("""COMPUTED_VALUE"""),"1121083KZ083")</f>
        <v>1121083KZ083</v>
      </c>
      <c r="E1764" s="1" t="str">
        <f ca="1">IFERROR(__xludf.DUMMYFUNCTION("""COMPUTED_VALUE"""),"годен до 19.11.2026 г.")</f>
        <v>годен до 19.11.2026 г.</v>
      </c>
      <c r="F1764" s="1" t="str">
        <f ca="1">IFERROR(__xludf.DUMMYFUNCTION("""COMPUTED_VALUE"""),"Корсет ортопедический с ребрами жесткости согревающий 3041 XL/XXL (Болгария) - 1121083KZ083")</f>
        <v>Корсет ортопедический с ребрами жесткости согревающий 3041 XL/XXL (Болгария) - 1121083KZ083</v>
      </c>
      <c r="G1764" s="1" t="str">
        <f ca="1">IFERROR(__xludf.DUMMYFUNCTION("""COMPUTED_VALUE"""),"KZ.7700.02.01.00814787 / Действительно до 19.11.2026 / 1121083KZ083 / годен до 19.11.2026 г.")</f>
        <v>KZ.7700.02.01.00814787 / Действительно до 19.11.2026 / 1121083KZ083 / годен до 19.11.2026 г.</v>
      </c>
      <c r="H1764" s="1" t="str">
        <f ca="1">IFERROR(__xludf.DUMMYFUNCTION("""COMPUTED_VALUE"""),"Корсет ортопедический с ребрами жесткости согревающий 3041 XL/XXL (Болгария) KZ.7700.02.01.00814787 / Действительно до 19.11.2026 / 1121083KZ083 / годен до 19.11.2026 г.")</f>
        <v>Корсет ортопедический с ребрами жесткости согревающий 3041 XL/XXL (Болгария) KZ.7700.02.01.00814787 / Действительно до 19.11.2026 / 1121083KZ083 / годен до 19.11.2026 г.</v>
      </c>
    </row>
    <row r="1765" spans="1:8" ht="12.75" x14ac:dyDescent="0.2">
      <c r="A1765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1765" s="1" t="str">
        <f ca="1">IFERROR(__xludf.DUMMYFUNCTION("""COMPUTED_VALUE"""),"KZ.7700.02.01.00814796")</f>
        <v>KZ.7700.02.01.00814796</v>
      </c>
      <c r="C1765" s="1" t="str">
        <f ca="1">IFERROR(__xludf.DUMMYFUNCTION("""COMPUTED_VALUE"""),"Действительно до 19.11.2026")</f>
        <v>Действительно до 19.11.2026</v>
      </c>
      <c r="D1765" s="8" t="str">
        <f ca="1">IFERROR(__xludf.DUMMYFUNCTION("""COMPUTED_VALUE"""),"1121083KZ083")</f>
        <v>1121083KZ083</v>
      </c>
      <c r="E1765" s="1" t="str">
        <f ca="1">IFERROR(__xludf.DUMMYFUNCTION("""COMPUTED_VALUE"""),"годен до 19.11.2026 г.")</f>
        <v>годен до 19.11.2026 г.</v>
      </c>
      <c r="F1765" s="1" t="str">
        <f ca="1">IFERROR(__xludf.DUMMYFUNCTION("""COMPUTED_VALUE"""),"Корсет ортопедический с ребрами жесткости согревающий 3041 XXXL/XXXXL (Болгария) - 1121083KZ083")</f>
        <v>Корсет ортопедический с ребрами жесткости согревающий 3041 XXXL/XXXXL (Болгария) - 1121083KZ083</v>
      </c>
      <c r="G1765" s="1" t="str">
        <f ca="1">IFERROR(__xludf.DUMMYFUNCTION("""COMPUTED_VALUE"""),"KZ.7700.02.01.00814796 / Действительно до 19.11.2026 / 1121083KZ083 / годен до 19.11.2026 г.")</f>
        <v>KZ.7700.02.01.00814796 / Действительно до 19.11.2026 / 1121083KZ083 / годен до 19.11.2026 г.</v>
      </c>
      <c r="H1765" s="1" t="str">
        <f ca="1">IFERROR(__xludf.DUMMYFUNCTION("""COMPUTED_VALUE"""),"Корсет ортопедический с ребрами жесткости согревающий 3041 XXXL/XXXXL (Болгария) KZ.7700.02.01.00814796 / Действительно до 19.11.2026 / 1121083KZ083 / годен до 19.11.2026 г.")</f>
        <v>Корсет ортопедический с ребрами жесткости согревающий 3041 XXXL/XXXXL (Болгария) KZ.7700.02.01.00814796 / Действительно до 19.11.2026 / 1121083KZ083 / годен до 19.11.2026 г.</v>
      </c>
    </row>
    <row r="1766" spans="1:8" ht="12.75" x14ac:dyDescent="0.2">
      <c r="A1766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1766" s="1" t="str">
        <f ca="1">IFERROR(__xludf.DUMMYFUNCTION("""COMPUTED_VALUE"""),"KZ.7700.02.01.00814800")</f>
        <v>KZ.7700.02.01.00814800</v>
      </c>
      <c r="C1766" s="1" t="str">
        <f ca="1">IFERROR(__xludf.DUMMYFUNCTION("""COMPUTED_VALUE"""),"Действительно до 19.11.2026")</f>
        <v>Действительно до 19.11.2026</v>
      </c>
      <c r="D1766" s="8" t="str">
        <f ca="1">IFERROR(__xludf.DUMMYFUNCTION("""COMPUTED_VALUE"""),"1121083KZ083")</f>
        <v>1121083KZ083</v>
      </c>
      <c r="E1766" s="1" t="str">
        <f ca="1">IFERROR(__xludf.DUMMYFUNCTION("""COMPUTED_VALUE"""),"годен до 19.11.2026 г.")</f>
        <v>годен до 19.11.2026 г.</v>
      </c>
      <c r="F1766" s="1" t="str">
        <f ca="1">IFERROR(__xludf.DUMMYFUNCTION("""COMPUTED_VALUE"""),"Бандаж лечебно–профилактический (с тремя ребрами жесткости) 4001 L (Болгария) - 1121083KZ083")</f>
        <v>Бандаж лечебно–профилактический (с тремя ребрами жесткости) 4001 L (Болгария) - 1121083KZ083</v>
      </c>
      <c r="G1766" s="1" t="str">
        <f ca="1">IFERROR(__xludf.DUMMYFUNCTION("""COMPUTED_VALUE"""),"KZ.7700.02.01.00814800 / Действительно до 19.11.2026 / 1121083KZ083 / годен до 19.11.2026 г.")</f>
        <v>KZ.7700.02.01.00814800 / Действительно до 19.11.2026 / 1121083KZ083 / годен до 19.11.2026 г.</v>
      </c>
      <c r="H1766" s="1" t="str">
        <f ca="1">IFERROR(__xludf.DUMMYFUNCTION("""COMPUTED_VALUE"""),"Бандаж лечебно–профилактический (с тремя ребрами жесткости) 4001 L (Болгария) KZ.7700.02.01.00814800 / Действительно до 19.11.2026 / 1121083KZ083 / годен до 19.11.2026 г.")</f>
        <v>Бандаж лечебно–профилактический (с тремя ребрами жесткости) 4001 L (Болгария) KZ.7700.02.01.00814800 / Действительно до 19.11.2026 / 1121083KZ083 / годен до 19.11.2026 г.</v>
      </c>
    </row>
    <row r="1767" spans="1:8" ht="12.75" x14ac:dyDescent="0.2">
      <c r="A1767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1767" s="1" t="str">
        <f ca="1">IFERROR(__xludf.DUMMYFUNCTION("""COMPUTED_VALUE"""),"KZ.7700.02.01.00814795")</f>
        <v>KZ.7700.02.01.00814795</v>
      </c>
      <c r="C1767" s="1" t="str">
        <f ca="1">IFERROR(__xludf.DUMMYFUNCTION("""COMPUTED_VALUE"""),"Действительно до 19.11.2026")</f>
        <v>Действительно до 19.11.2026</v>
      </c>
      <c r="D1767" s="8" t="str">
        <f ca="1">IFERROR(__xludf.DUMMYFUNCTION("""COMPUTED_VALUE"""),"1121083KZ083")</f>
        <v>1121083KZ083</v>
      </c>
      <c r="E1767" s="1" t="str">
        <f ca="1">IFERROR(__xludf.DUMMYFUNCTION("""COMPUTED_VALUE"""),"годен до 19.11.2026 г.")</f>
        <v>годен до 19.11.2026 г.</v>
      </c>
      <c r="F1767" s="1" t="str">
        <f ca="1">IFERROR(__xludf.DUMMYFUNCTION("""COMPUTED_VALUE"""),"Бандаж лечебно–профилактический (с тремя ребрами жесткости) 4001 M (Болгария) - 1121083KZ083")</f>
        <v>Бандаж лечебно–профилактический (с тремя ребрами жесткости) 4001 M (Болгария) - 1121083KZ083</v>
      </c>
      <c r="G1767" s="1" t="str">
        <f ca="1">IFERROR(__xludf.DUMMYFUNCTION("""COMPUTED_VALUE"""),"KZ.7700.02.01.00814795 / Действительно до 19.11.2026 / 1121083KZ083 / годен до 19.11.2026 г.")</f>
        <v>KZ.7700.02.01.00814795 / Действительно до 19.11.2026 / 1121083KZ083 / годен до 19.11.2026 г.</v>
      </c>
      <c r="H1767" s="1" t="str">
        <f ca="1">IFERROR(__xludf.DUMMYFUNCTION("""COMPUTED_VALUE"""),"Бандаж лечебно–профилактический (с тремя ребрами жесткости) 4001 M (Болгария) KZ.7700.02.01.00814795 / Действительно до 19.11.2026 / 1121083KZ083 / годен до 19.11.2026 г.")</f>
        <v>Бандаж лечебно–профилактический (с тремя ребрами жесткости) 4001 M (Болгария) KZ.7700.02.01.00814795 / Действительно до 19.11.2026 / 1121083KZ083 / годен до 19.11.2026 г.</v>
      </c>
    </row>
    <row r="1768" spans="1:8" ht="12.75" x14ac:dyDescent="0.2">
      <c r="A1768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1768" s="1" t="str">
        <f ca="1">IFERROR(__xludf.DUMMYFUNCTION("""COMPUTED_VALUE"""),"KZ.7700.02.01.00814801")</f>
        <v>KZ.7700.02.01.00814801</v>
      </c>
      <c r="C1768" s="1" t="str">
        <f ca="1">IFERROR(__xludf.DUMMYFUNCTION("""COMPUTED_VALUE"""),"Действительно до 19.11.2026")</f>
        <v>Действительно до 19.11.2026</v>
      </c>
      <c r="D1768" s="8" t="str">
        <f ca="1">IFERROR(__xludf.DUMMYFUNCTION("""COMPUTED_VALUE"""),"1121083KZ083")</f>
        <v>1121083KZ083</v>
      </c>
      <c r="E1768" s="1" t="str">
        <f ca="1">IFERROR(__xludf.DUMMYFUNCTION("""COMPUTED_VALUE"""),"годен до 19.11.2026 г.")</f>
        <v>годен до 19.11.2026 г.</v>
      </c>
      <c r="F1768" s="1" t="str">
        <f ca="1">IFERROR(__xludf.DUMMYFUNCTION("""COMPUTED_VALUE"""),"Бандаж лечебно–профилактический (с тремя ребрами жесткости) 4001 S (Болгария) - 1121083KZ083")</f>
        <v>Бандаж лечебно–профилактический (с тремя ребрами жесткости) 4001 S (Болгария) - 1121083KZ083</v>
      </c>
      <c r="G1768" s="1" t="str">
        <f ca="1">IFERROR(__xludf.DUMMYFUNCTION("""COMPUTED_VALUE"""),"KZ.7700.02.01.00814801 / Действительно до 19.11.2026 / 1121083KZ083 / годен до 19.11.2026 г.")</f>
        <v>KZ.7700.02.01.00814801 / Действительно до 19.11.2026 / 1121083KZ083 / годен до 19.11.2026 г.</v>
      </c>
      <c r="H1768" s="1" t="str">
        <f ca="1">IFERROR(__xludf.DUMMYFUNCTION("""COMPUTED_VALUE"""),"Бандаж лечебно–профилактический (с тремя ребрами жесткости) 4001 S (Болгария) KZ.7700.02.01.00814801 / Действительно до 19.11.2026 / 1121083KZ083 / годен до 19.11.2026 г.")</f>
        <v>Бандаж лечебно–профилактический (с тремя ребрами жесткости) 4001 S (Болгария) KZ.7700.02.01.00814801 / Действительно до 19.11.2026 / 1121083KZ083 / годен до 19.11.2026 г.</v>
      </c>
    </row>
    <row r="1769" spans="1:8" ht="12.75" x14ac:dyDescent="0.2">
      <c r="A1769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1769" s="1" t="str">
        <f ca="1">IFERROR(__xludf.DUMMYFUNCTION("""COMPUTED_VALUE"""),"KZ.7700.02.01.00814803")</f>
        <v>KZ.7700.02.01.00814803</v>
      </c>
      <c r="C1769" s="1" t="str">
        <f ca="1">IFERROR(__xludf.DUMMYFUNCTION("""COMPUTED_VALUE"""),"Действительно до 19.11.2026")</f>
        <v>Действительно до 19.11.2026</v>
      </c>
      <c r="D1769" s="8" t="str">
        <f ca="1">IFERROR(__xludf.DUMMYFUNCTION("""COMPUTED_VALUE"""),"1121083KZ083")</f>
        <v>1121083KZ083</v>
      </c>
      <c r="E1769" s="1" t="str">
        <f ca="1">IFERROR(__xludf.DUMMYFUNCTION("""COMPUTED_VALUE"""),"годен до 19.11.2026 г.")</f>
        <v>годен до 19.11.2026 г.</v>
      </c>
      <c r="F1769" s="1" t="str">
        <f ca="1">IFERROR(__xludf.DUMMYFUNCTION("""COMPUTED_VALUE"""),"Бандаж лечебно–профилактический (с тремя ребрами жесткости) 4001 XL (Болгария) - 1121083KZ083")</f>
        <v>Бандаж лечебно–профилактический (с тремя ребрами жесткости) 4001 XL (Болгария) - 1121083KZ083</v>
      </c>
      <c r="G1769" s="1" t="str">
        <f ca="1">IFERROR(__xludf.DUMMYFUNCTION("""COMPUTED_VALUE"""),"KZ.7700.02.01.00814803 / Действительно до 19.11.2026 / 1121083KZ083 / годен до 19.11.2026 г.")</f>
        <v>KZ.7700.02.01.00814803 / Действительно до 19.11.2026 / 1121083KZ083 / годен до 19.11.2026 г.</v>
      </c>
      <c r="H1769" s="1" t="str">
        <f ca="1">IFERROR(__xludf.DUMMYFUNCTION("""COMPUTED_VALUE"""),"Бандаж лечебно–профилактический (с тремя ребрами жесткости) 4001 XL (Болгария) KZ.7700.02.01.00814803 / Действительно до 19.11.2026 / 1121083KZ083 / годен до 19.11.2026 г.")</f>
        <v>Бандаж лечебно–профилактический (с тремя ребрами жесткости) 4001 XL (Болгария) KZ.7700.02.01.00814803 / Действительно до 19.11.2026 / 1121083KZ083 / годен до 19.11.2026 г.</v>
      </c>
    </row>
    <row r="1770" spans="1:8" ht="12.75" x14ac:dyDescent="0.2">
      <c r="A1770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1770" s="1" t="str">
        <f ca="1">IFERROR(__xludf.DUMMYFUNCTION("""COMPUTED_VALUE"""),"KZ.7700.02.01.00814797")</f>
        <v>KZ.7700.02.01.00814797</v>
      </c>
      <c r="C1770" s="1" t="str">
        <f ca="1">IFERROR(__xludf.DUMMYFUNCTION("""COMPUTED_VALUE"""),"Действительно до 19.11.2026")</f>
        <v>Действительно до 19.11.2026</v>
      </c>
      <c r="D1770" s="8" t="str">
        <f ca="1">IFERROR(__xludf.DUMMYFUNCTION("""COMPUTED_VALUE"""),"1121083KZ083")</f>
        <v>1121083KZ083</v>
      </c>
      <c r="E1770" s="1" t="str">
        <f ca="1">IFERROR(__xludf.DUMMYFUNCTION("""COMPUTED_VALUE"""),"годен до 19.11.2026 г.")</f>
        <v>годен до 19.11.2026 г.</v>
      </c>
      <c r="F1770" s="1" t="str">
        <f ca="1">IFERROR(__xludf.DUMMYFUNCTION("""COMPUTED_VALUE"""),"Бандаж лечебно–профилактический (с тремя ребрами жесткости) 4001 XXL (Болгария) - 1121083KZ083")</f>
        <v>Бандаж лечебно–профилактический (с тремя ребрами жесткости) 4001 XXL (Болгария) - 1121083KZ083</v>
      </c>
      <c r="G1770" s="1" t="str">
        <f ca="1">IFERROR(__xludf.DUMMYFUNCTION("""COMPUTED_VALUE"""),"KZ.7700.02.01.00814797 / Действительно до 19.11.2026 / 1121083KZ083 / годен до 19.11.2026 г.")</f>
        <v>KZ.7700.02.01.00814797 / Действительно до 19.11.2026 / 1121083KZ083 / годен до 19.11.2026 г.</v>
      </c>
      <c r="H1770" s="1" t="str">
        <f ca="1">IFERROR(__xludf.DUMMYFUNCTION("""COMPUTED_VALUE"""),"Бандаж лечебно–профилактический (с тремя ребрами жесткости) 4001 XXL (Болгария) KZ.7700.02.01.00814797 / Действительно до 19.11.2026 / 1121083KZ083 / годен до 19.11.2026 г.")</f>
        <v>Бандаж лечебно–профилактический (с тремя ребрами жесткости) 4001 XXL (Болгария) KZ.7700.02.01.00814797 / Действительно до 19.11.2026 / 1121083KZ083 / годен до 19.11.2026 г.</v>
      </c>
    </row>
    <row r="1771" spans="1:8" ht="12.75" x14ac:dyDescent="0.2">
      <c r="A1771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1771" s="1" t="str">
        <f ca="1">IFERROR(__xludf.DUMMYFUNCTION("""COMPUTED_VALUE"""),"KZ.7700.02.01.00814798")</f>
        <v>KZ.7700.02.01.00814798</v>
      </c>
      <c r="C1771" s="1" t="str">
        <f ca="1">IFERROR(__xludf.DUMMYFUNCTION("""COMPUTED_VALUE"""),"Действительно до 19.11.2026")</f>
        <v>Действительно до 19.11.2026</v>
      </c>
      <c r="D1771" s="8" t="str">
        <f ca="1">IFERROR(__xludf.DUMMYFUNCTION("""COMPUTED_VALUE"""),"1121083KZ083")</f>
        <v>1121083KZ083</v>
      </c>
      <c r="E1771" s="1" t="str">
        <f ca="1">IFERROR(__xludf.DUMMYFUNCTION("""COMPUTED_VALUE"""),"годен до 19.11.2026 г.")</f>
        <v>годен до 19.11.2026 г.</v>
      </c>
      <c r="F1771" s="1" t="str">
        <f ca="1">IFERROR(__xludf.DUMMYFUNCTION("""COMPUTED_VALUE"""),"Бандаж лечебно–профилактический (с тремя ребрами жесткости) 4001 XXXL(Болгария) - 1121083KZ083")</f>
        <v>Бандаж лечебно–профилактический (с тремя ребрами жесткости) 4001 XXXL(Болгария) - 1121083KZ083</v>
      </c>
      <c r="G1771" s="1" t="str">
        <f ca="1">IFERROR(__xludf.DUMMYFUNCTION("""COMPUTED_VALUE"""),"KZ.7700.02.01.00814798 / Действительно до 19.11.2026 / 1121083KZ083 / годен до 19.11.2026 г.")</f>
        <v>KZ.7700.02.01.00814798 / Действительно до 19.11.2026 / 1121083KZ083 / годен до 19.11.2026 г.</v>
      </c>
      <c r="H1771" s="1" t="str">
        <f ca="1">IFERROR(__xludf.DUMMYFUNCTION("""COMPUTED_VALUE"""),"Бандаж лечебно–профилактический (с тремя ребрами жесткости) 4001 XXXL(Болгария) KZ.7700.02.01.00814798 / Действительно до 19.11.2026 / 1121083KZ083 / годен до 19.11.2026 г.")</f>
        <v>Бандаж лечебно–профилактический (с тремя ребрами жесткости) 4001 XXXL(Болгария) KZ.7700.02.01.00814798 / Действительно до 19.11.2026 / 1121083KZ083 / годен до 19.11.2026 г.</v>
      </c>
    </row>
    <row r="1772" spans="1:8" ht="12.75" x14ac:dyDescent="0.2">
      <c r="A1772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1772" s="1" t="str">
        <f ca="1">IFERROR(__xludf.DUMMYFUNCTION("""COMPUTED_VALUE"""),"KZ.7700.02.01.00814820")</f>
        <v>KZ.7700.02.01.00814820</v>
      </c>
      <c r="C1772" s="1" t="str">
        <f ca="1">IFERROR(__xludf.DUMMYFUNCTION("""COMPUTED_VALUE"""),"Действительно до 19.11.2026")</f>
        <v>Действительно до 19.11.2026</v>
      </c>
      <c r="D1772" s="8" t="str">
        <f ca="1">IFERROR(__xludf.DUMMYFUNCTION("""COMPUTED_VALUE"""),"1121083KZ083")</f>
        <v>1121083KZ083</v>
      </c>
      <c r="E1772" s="1" t="str">
        <f ca="1">IFERROR(__xludf.DUMMYFUNCTION("""COMPUTED_VALUE"""),"годен до 19.11.2026 г.")</f>
        <v>годен до 19.11.2026 г.</v>
      </c>
      <c r="F1772" s="1" t="str">
        <f ca="1">IFERROR(__xludf.DUMMYFUNCTION("""COMPUTED_VALUE"""),"Бандаж лечебно–профилактический (с тремя ребрами жесткости) 4001 XXXXL(Болгария) - 1121083KZ083")</f>
        <v>Бандаж лечебно–профилактический (с тремя ребрами жесткости) 4001 XXXXL(Болгария) - 1121083KZ083</v>
      </c>
      <c r="G1772" s="1" t="str">
        <f ca="1">IFERROR(__xludf.DUMMYFUNCTION("""COMPUTED_VALUE"""),"KZ.7700.02.01.00814820 / Действительно до 19.11.2026 / 1121083KZ083 / годен до 19.11.2026 г.")</f>
        <v>KZ.7700.02.01.00814820 / Действительно до 19.11.2026 / 1121083KZ083 / годен до 19.11.2026 г.</v>
      </c>
      <c r="H1772" s="1" t="str">
        <f ca="1">IFERROR(__xludf.DUMMYFUNCTION("""COMPUTED_VALUE"""),"Бандаж лечебно–профилактический (с тремя ребрами жесткости) 4001 XXXXL(Болгария) KZ.7700.02.01.00814820 / Действительно до 19.11.2026 / 1121083KZ083 / годен до 19.11.2026 г.")</f>
        <v>Бандаж лечебно–профилактический (с тремя ребрами жесткости) 4001 XXXXL(Болгария) KZ.7700.02.01.00814820 / Действительно до 19.11.2026 / 1121083KZ083 / годен до 19.11.2026 г.</v>
      </c>
    </row>
    <row r="1773" spans="1:8" ht="12.75" x14ac:dyDescent="0.2">
      <c r="A1773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1773" s="1" t="str">
        <f ca="1">IFERROR(__xludf.DUMMYFUNCTION("""COMPUTED_VALUE"""),"KZ.7700.02.01.00814799")</f>
        <v>KZ.7700.02.01.00814799</v>
      </c>
      <c r="C1773" s="1" t="str">
        <f ca="1">IFERROR(__xludf.DUMMYFUNCTION("""COMPUTED_VALUE"""),"Действительно до 19.11.2026")</f>
        <v>Действительно до 19.11.2026</v>
      </c>
      <c r="D1773" s="8" t="str">
        <f ca="1">IFERROR(__xludf.DUMMYFUNCTION("""COMPUTED_VALUE"""),"1121083KZ083")</f>
        <v>1121083KZ083</v>
      </c>
      <c r="E1773" s="1" t="str">
        <f ca="1">IFERROR(__xludf.DUMMYFUNCTION("""COMPUTED_VALUE"""),"годен до 19.11.2026 г.")</f>
        <v>годен до 19.11.2026 г.</v>
      </c>
      <c r="F1773" s="1" t="str">
        <f ca="1">IFERROR(__xludf.DUMMYFUNCTION("""COMPUTED_VALUE"""),"Бандаж лечебно–профилактический эластичный 4002 L (Болгария) - 1121083KZ083")</f>
        <v>Бандаж лечебно–профилактический эластичный 4002 L (Болгария) - 1121083KZ083</v>
      </c>
      <c r="G1773" s="1" t="str">
        <f ca="1">IFERROR(__xludf.DUMMYFUNCTION("""COMPUTED_VALUE"""),"KZ.7700.02.01.00814799 / Действительно до 19.11.2026 / 1121083KZ083 / годен до 19.11.2026 г.")</f>
        <v>KZ.7700.02.01.00814799 / Действительно до 19.11.2026 / 1121083KZ083 / годен до 19.11.2026 г.</v>
      </c>
      <c r="H1773" s="1" t="str">
        <f ca="1">IFERROR(__xludf.DUMMYFUNCTION("""COMPUTED_VALUE"""),"Бандаж лечебно–профилактический эластичный 4002 L (Болгария) KZ.7700.02.01.00814799 / Действительно до 19.11.2026 / 1121083KZ083 / годен до 19.11.2026 г.")</f>
        <v>Бандаж лечебно–профилактический эластичный 4002 L (Болгария) KZ.7700.02.01.00814799 / Действительно до 19.11.2026 / 1121083KZ083 / годен до 19.11.2026 г.</v>
      </c>
    </row>
    <row r="1774" spans="1:8" ht="12.75" x14ac:dyDescent="0.2">
      <c r="A1774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1774" s="1" t="str">
        <f ca="1">IFERROR(__xludf.DUMMYFUNCTION("""COMPUTED_VALUE"""),"KZ.7700.02.01.00814802")</f>
        <v>KZ.7700.02.01.00814802</v>
      </c>
      <c r="C1774" s="1" t="str">
        <f ca="1">IFERROR(__xludf.DUMMYFUNCTION("""COMPUTED_VALUE"""),"Действительно до 19.11.2026")</f>
        <v>Действительно до 19.11.2026</v>
      </c>
      <c r="D1774" s="8" t="str">
        <f ca="1">IFERROR(__xludf.DUMMYFUNCTION("""COMPUTED_VALUE"""),"1121083KZ083")</f>
        <v>1121083KZ083</v>
      </c>
      <c r="E1774" s="1" t="str">
        <f ca="1">IFERROR(__xludf.DUMMYFUNCTION("""COMPUTED_VALUE"""),"годен до 19.11.2026 г.")</f>
        <v>годен до 19.11.2026 г.</v>
      </c>
      <c r="F1774" s="1" t="str">
        <f ca="1">IFERROR(__xludf.DUMMYFUNCTION("""COMPUTED_VALUE"""),"Бандаж лечебно–профилактический эластичный 4002 M (Болгария) - 1121083KZ083")</f>
        <v>Бандаж лечебно–профилактический эластичный 4002 M (Болгария) - 1121083KZ083</v>
      </c>
      <c r="G1774" s="1" t="str">
        <f ca="1">IFERROR(__xludf.DUMMYFUNCTION("""COMPUTED_VALUE"""),"KZ.7700.02.01.00814802 / Действительно до 19.11.2026 / 1121083KZ083 / годен до 19.11.2026 г.")</f>
        <v>KZ.7700.02.01.00814802 / Действительно до 19.11.2026 / 1121083KZ083 / годен до 19.11.2026 г.</v>
      </c>
      <c r="H1774" s="1" t="str">
        <f ca="1">IFERROR(__xludf.DUMMYFUNCTION("""COMPUTED_VALUE"""),"Бандаж лечебно–профилактический эластичный 4002 M (Болгария) KZ.7700.02.01.00814802 / Действительно до 19.11.2026 / 1121083KZ083 / годен до 19.11.2026 г.")</f>
        <v>Бандаж лечебно–профилактический эластичный 4002 M (Болгария) KZ.7700.02.01.00814802 / Действительно до 19.11.2026 / 1121083KZ083 / годен до 19.11.2026 г.</v>
      </c>
    </row>
    <row r="1775" spans="1:8" ht="12.75" x14ac:dyDescent="0.2">
      <c r="A1775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1775" s="1" t="str">
        <f ca="1">IFERROR(__xludf.DUMMYFUNCTION("""COMPUTED_VALUE"""),"KZ.7700.02.01.00814794")</f>
        <v>KZ.7700.02.01.00814794</v>
      </c>
      <c r="C1775" s="1" t="str">
        <f ca="1">IFERROR(__xludf.DUMMYFUNCTION("""COMPUTED_VALUE"""),"Действительно до 19.11.2026")</f>
        <v>Действительно до 19.11.2026</v>
      </c>
      <c r="D1775" s="8" t="str">
        <f ca="1">IFERROR(__xludf.DUMMYFUNCTION("""COMPUTED_VALUE"""),"1121083KZ083")</f>
        <v>1121083KZ083</v>
      </c>
      <c r="E1775" s="1" t="str">
        <f ca="1">IFERROR(__xludf.DUMMYFUNCTION("""COMPUTED_VALUE"""),"годен до 19.11.2026 г.")</f>
        <v>годен до 19.11.2026 г.</v>
      </c>
      <c r="F1775" s="1" t="str">
        <f ca="1">IFERROR(__xludf.DUMMYFUNCTION("""COMPUTED_VALUE"""),"Бандаж лечебно–профилактический эластичный 4002 S (Болгария) - 1121083KZ083")</f>
        <v>Бандаж лечебно–профилактический эластичный 4002 S (Болгария) - 1121083KZ083</v>
      </c>
      <c r="G1775" s="1" t="str">
        <f ca="1">IFERROR(__xludf.DUMMYFUNCTION("""COMPUTED_VALUE"""),"KZ.7700.02.01.00814794 / Действительно до 19.11.2026 / 1121083KZ083 / годен до 19.11.2026 г.")</f>
        <v>KZ.7700.02.01.00814794 / Действительно до 19.11.2026 / 1121083KZ083 / годен до 19.11.2026 г.</v>
      </c>
      <c r="H1775" s="1" t="str">
        <f ca="1">IFERROR(__xludf.DUMMYFUNCTION("""COMPUTED_VALUE"""),"Бандаж лечебно–профилактический эластичный 4002 S (Болгария) KZ.7700.02.01.00814794 / Действительно до 19.11.2026 / 1121083KZ083 / годен до 19.11.2026 г.")</f>
        <v>Бандаж лечебно–профилактический эластичный 4002 S (Болгария) KZ.7700.02.01.00814794 / Действительно до 19.11.2026 / 1121083KZ083 / годен до 19.11.2026 г.</v>
      </c>
    </row>
    <row r="1776" spans="1:8" ht="12.75" x14ac:dyDescent="0.2">
      <c r="A1776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1776" s="1" t="str">
        <f ca="1">IFERROR(__xludf.DUMMYFUNCTION("""COMPUTED_VALUE"""),"KZ.7700.02.01.00814807")</f>
        <v>KZ.7700.02.01.00814807</v>
      </c>
      <c r="C1776" s="1" t="str">
        <f ca="1">IFERROR(__xludf.DUMMYFUNCTION("""COMPUTED_VALUE"""),"Действительно до 19.11.2026")</f>
        <v>Действительно до 19.11.2026</v>
      </c>
      <c r="D1776" s="8" t="str">
        <f ca="1">IFERROR(__xludf.DUMMYFUNCTION("""COMPUTED_VALUE"""),"1121083KZ083")</f>
        <v>1121083KZ083</v>
      </c>
      <c r="E1776" s="1" t="str">
        <f ca="1">IFERROR(__xludf.DUMMYFUNCTION("""COMPUTED_VALUE"""),"годен до 19.11.2026 г.")</f>
        <v>годен до 19.11.2026 г.</v>
      </c>
      <c r="F1776" s="1" t="str">
        <f ca="1">IFERROR(__xludf.DUMMYFUNCTION("""COMPUTED_VALUE"""),"Бандаж лечебно–профилактический эластичный 4002 XL (Болгария) - 1121083KZ083")</f>
        <v>Бандаж лечебно–профилактический эластичный 4002 XL (Болгария) - 1121083KZ083</v>
      </c>
      <c r="G1776" s="1" t="str">
        <f ca="1">IFERROR(__xludf.DUMMYFUNCTION("""COMPUTED_VALUE"""),"KZ.7700.02.01.00814807 / Действительно до 19.11.2026 / 1121083KZ083 / годен до 19.11.2026 г.")</f>
        <v>KZ.7700.02.01.00814807 / Действительно до 19.11.2026 / 1121083KZ083 / годен до 19.11.2026 г.</v>
      </c>
      <c r="H1776" s="1" t="str">
        <f ca="1">IFERROR(__xludf.DUMMYFUNCTION("""COMPUTED_VALUE"""),"Бандаж лечебно–профилактический эластичный 4002 XL (Болгария) KZ.7700.02.01.00814807 / Действительно до 19.11.2026 / 1121083KZ083 / годен до 19.11.2026 г.")</f>
        <v>Бандаж лечебно–профилактический эластичный 4002 XL (Болгария) KZ.7700.02.01.00814807 / Действительно до 19.11.2026 / 1121083KZ083 / годен до 19.11.2026 г.</v>
      </c>
    </row>
    <row r="1777" spans="1:8" ht="12.75" x14ac:dyDescent="0.2">
      <c r="A1777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1777" s="1" t="str">
        <f ca="1">IFERROR(__xludf.DUMMYFUNCTION("""COMPUTED_VALUE"""),"KZ.7700.02.01.00814809")</f>
        <v>KZ.7700.02.01.00814809</v>
      </c>
      <c r="C1777" s="1" t="str">
        <f ca="1">IFERROR(__xludf.DUMMYFUNCTION("""COMPUTED_VALUE"""),"Действительно до 19.11.2026")</f>
        <v>Действительно до 19.11.2026</v>
      </c>
      <c r="D1777" s="8" t="str">
        <f ca="1">IFERROR(__xludf.DUMMYFUNCTION("""COMPUTED_VALUE"""),"1121083KZ083")</f>
        <v>1121083KZ083</v>
      </c>
      <c r="E1777" s="1" t="str">
        <f ca="1">IFERROR(__xludf.DUMMYFUNCTION("""COMPUTED_VALUE"""),"годен до 19.11.2026 г.")</f>
        <v>годен до 19.11.2026 г.</v>
      </c>
      <c r="F1777" s="1" t="str">
        <f ca="1">IFERROR(__xludf.DUMMYFUNCTION("""COMPUTED_VALUE"""),"Бандаж лечебно–профилактический эластичный 4002 XXL (Болгария) - 1121083KZ083")</f>
        <v>Бандаж лечебно–профилактический эластичный 4002 XXL (Болгария) - 1121083KZ083</v>
      </c>
      <c r="G1777" s="1" t="str">
        <f ca="1">IFERROR(__xludf.DUMMYFUNCTION("""COMPUTED_VALUE"""),"KZ.7700.02.01.00814809 / Действительно до 19.11.2026 / 1121083KZ083 / годен до 19.11.2026 г.")</f>
        <v>KZ.7700.02.01.00814809 / Действительно до 19.11.2026 / 1121083KZ083 / годен до 19.11.2026 г.</v>
      </c>
      <c r="H1777" s="1" t="str">
        <f ca="1">IFERROR(__xludf.DUMMYFUNCTION("""COMPUTED_VALUE"""),"Бандаж лечебно–профилактический эластичный 4002 XXL (Болгария) KZ.7700.02.01.00814809 / Действительно до 19.11.2026 / 1121083KZ083 / годен до 19.11.2026 г.")</f>
        <v>Бандаж лечебно–профилактический эластичный 4002 XXL (Болгария) KZ.7700.02.01.00814809 / Действительно до 19.11.2026 / 1121083KZ083 / годен до 19.11.2026 г.</v>
      </c>
    </row>
    <row r="1778" spans="1:8" ht="12.75" x14ac:dyDescent="0.2">
      <c r="A1778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1778" s="1" t="str">
        <f ca="1">IFERROR(__xludf.DUMMYFUNCTION("""COMPUTED_VALUE"""),"KZ.7700.02.01.00814811")</f>
        <v>KZ.7700.02.01.00814811</v>
      </c>
      <c r="C1778" s="1" t="str">
        <f ca="1">IFERROR(__xludf.DUMMYFUNCTION("""COMPUTED_VALUE"""),"Действительно до 19.11.2026")</f>
        <v>Действительно до 19.11.2026</v>
      </c>
      <c r="D1778" s="8" t="str">
        <f ca="1">IFERROR(__xludf.DUMMYFUNCTION("""COMPUTED_VALUE"""),"1121083KZ083")</f>
        <v>1121083KZ083</v>
      </c>
      <c r="E1778" s="1" t="str">
        <f ca="1">IFERROR(__xludf.DUMMYFUNCTION("""COMPUTED_VALUE"""),"годен до 19.11.2026 г.")</f>
        <v>годен до 19.11.2026 г.</v>
      </c>
      <c r="F1778" s="1" t="str">
        <f ca="1">IFERROR(__xludf.DUMMYFUNCTION("""COMPUTED_VALUE"""),"Бандаж лечебно–профилактический эластичный 4002 XXXL (Болгария) - 1121083KZ083")</f>
        <v>Бандаж лечебно–профилактический эластичный 4002 XXXL (Болгария) - 1121083KZ083</v>
      </c>
      <c r="G1778" s="1" t="str">
        <f ca="1">IFERROR(__xludf.DUMMYFUNCTION("""COMPUTED_VALUE"""),"KZ.7700.02.01.00814811 / Действительно до 19.11.2026 / 1121083KZ083 / годен до 19.11.2026 г.")</f>
        <v>KZ.7700.02.01.00814811 / Действительно до 19.11.2026 / 1121083KZ083 / годен до 19.11.2026 г.</v>
      </c>
      <c r="H1778" s="1" t="str">
        <f ca="1">IFERROR(__xludf.DUMMYFUNCTION("""COMPUTED_VALUE"""),"Бандаж лечебно–профилактический эластичный 4002 XXXL (Болгария) KZ.7700.02.01.00814811 / Действительно до 19.11.2026 / 1121083KZ083 / годен до 19.11.2026 г.")</f>
        <v>Бандаж лечебно–профилактический эластичный 4002 XXXL (Болгария) KZ.7700.02.01.00814811 / Действительно до 19.11.2026 / 1121083KZ083 / годен до 19.11.2026 г.</v>
      </c>
    </row>
    <row r="1779" spans="1:8" ht="12.75" x14ac:dyDescent="0.2">
      <c r="A1779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1779" s="1" t="str">
        <f ca="1">IFERROR(__xludf.DUMMYFUNCTION("""COMPUTED_VALUE"""),"KZ.7700.02.01.00814813")</f>
        <v>KZ.7700.02.01.00814813</v>
      </c>
      <c r="C1779" s="1" t="str">
        <f ca="1">IFERROR(__xludf.DUMMYFUNCTION("""COMPUTED_VALUE"""),"Действительно до 19.11.2026")</f>
        <v>Действительно до 19.11.2026</v>
      </c>
      <c r="D1779" s="8" t="str">
        <f ca="1">IFERROR(__xludf.DUMMYFUNCTION("""COMPUTED_VALUE"""),"1121083KZ083")</f>
        <v>1121083KZ083</v>
      </c>
      <c r="E1779" s="1" t="str">
        <f ca="1">IFERROR(__xludf.DUMMYFUNCTION("""COMPUTED_VALUE"""),"годен до 19.11.2026 г.")</f>
        <v>годен до 19.11.2026 г.</v>
      </c>
      <c r="F1779" s="1" t="str">
        <f ca="1">IFERROR(__xludf.DUMMYFUNCTION("""COMPUTED_VALUE"""),"Бандаж лечебно–профилактический эластичный 4002 XXXXL (Болгария) - 1121083KZ083")</f>
        <v>Бандаж лечебно–профилактический эластичный 4002 XXXXL (Болгария) - 1121083KZ083</v>
      </c>
      <c r="G1779" s="1" t="str">
        <f ca="1">IFERROR(__xludf.DUMMYFUNCTION("""COMPUTED_VALUE"""),"KZ.7700.02.01.00814813 / Действительно до 19.11.2026 / 1121083KZ083 / годен до 19.11.2026 г.")</f>
        <v>KZ.7700.02.01.00814813 / Действительно до 19.11.2026 / 1121083KZ083 / годен до 19.11.2026 г.</v>
      </c>
      <c r="H1779" s="1" t="str">
        <f ca="1">IFERROR(__xludf.DUMMYFUNCTION("""COMPUTED_VALUE"""),"Бандаж лечебно–профилактический эластичный 4002 XXXXL (Болгария) KZ.7700.02.01.00814813 / Действительно до 19.11.2026 / 1121083KZ083 / годен до 19.11.2026 г.")</f>
        <v>Бандаж лечебно–профилактический эластичный 4002 XXXXL (Болгария) KZ.7700.02.01.00814813 / Действительно до 19.11.2026 / 1121083KZ083 / годен до 19.11.2026 г.</v>
      </c>
    </row>
    <row r="1780" spans="1:8" ht="12.75" x14ac:dyDescent="0.2">
      <c r="A1780" s="1" t="str">
        <f ca="1">IFERROR(__xludf.DUMMYFUNCTION("""COMPUTED_VALUE"""),"Бандаж универсальный 4011 M/L (Болгария)")</f>
        <v>Бандаж универсальный 4011 M/L (Болгария)</v>
      </c>
      <c r="B1780" s="1" t="str">
        <f ca="1">IFERROR(__xludf.DUMMYFUNCTION("""COMPUTED_VALUE"""),"KZ.7700.02.01.00814812")</f>
        <v>KZ.7700.02.01.00814812</v>
      </c>
      <c r="C1780" s="1" t="str">
        <f ca="1">IFERROR(__xludf.DUMMYFUNCTION("""COMPUTED_VALUE"""),"Действительно до 19.11.2026")</f>
        <v>Действительно до 19.11.2026</v>
      </c>
      <c r="D1780" s="8" t="str">
        <f ca="1">IFERROR(__xludf.DUMMYFUNCTION("""COMPUTED_VALUE"""),"1121083KZ083")</f>
        <v>1121083KZ083</v>
      </c>
      <c r="E1780" s="1" t="str">
        <f ca="1">IFERROR(__xludf.DUMMYFUNCTION("""COMPUTED_VALUE"""),"годен до 19.11.2026 г.")</f>
        <v>годен до 19.11.2026 г.</v>
      </c>
      <c r="F1780" s="1" t="str">
        <f ca="1">IFERROR(__xludf.DUMMYFUNCTION("""COMPUTED_VALUE"""),"Бандаж универсальный 4011 M/L (Болгария) - 1121083KZ083")</f>
        <v>Бандаж универсальный 4011 M/L (Болгария) - 1121083KZ083</v>
      </c>
      <c r="G1780" s="1" t="str">
        <f ca="1">IFERROR(__xludf.DUMMYFUNCTION("""COMPUTED_VALUE"""),"KZ.7700.02.01.00814812 / Действительно до 19.11.2026 / 1121083KZ083 / годен до 19.11.2026 г.")</f>
        <v>KZ.7700.02.01.00814812 / Действительно до 19.11.2026 / 1121083KZ083 / годен до 19.11.2026 г.</v>
      </c>
      <c r="H1780" s="1" t="str">
        <f ca="1">IFERROR(__xludf.DUMMYFUNCTION("""COMPUTED_VALUE"""),"Бандаж универсальный 4011 M/L (Болгария) KZ.7700.02.01.00814812 / Действительно до 19.11.2026 / 1121083KZ083 / годен до 19.11.2026 г.")</f>
        <v>Бандаж универсальный 4011 M/L (Болгария) KZ.7700.02.01.00814812 / Действительно до 19.11.2026 / 1121083KZ083 / годен до 19.11.2026 г.</v>
      </c>
    </row>
    <row r="1781" spans="1:8" ht="12.75" x14ac:dyDescent="0.2">
      <c r="A1781" s="1" t="str">
        <f ca="1">IFERROR(__xludf.DUMMYFUNCTION("""COMPUTED_VALUE"""),"Бандаж универсальный 4011 XL/XXL (Болгария)")</f>
        <v>Бандаж универсальный 4011 XL/XXL (Болгария)</v>
      </c>
      <c r="B1781" s="1" t="str">
        <f ca="1">IFERROR(__xludf.DUMMYFUNCTION("""COMPUTED_VALUE"""),"KZ.7700.02.01.00814819")</f>
        <v>KZ.7700.02.01.00814819</v>
      </c>
      <c r="C1781" s="1" t="str">
        <f ca="1">IFERROR(__xludf.DUMMYFUNCTION("""COMPUTED_VALUE"""),"Действительно до 19.11.2026")</f>
        <v>Действительно до 19.11.2026</v>
      </c>
      <c r="D1781" s="8" t="str">
        <f ca="1">IFERROR(__xludf.DUMMYFUNCTION("""COMPUTED_VALUE"""),"1121083KZ083")</f>
        <v>1121083KZ083</v>
      </c>
      <c r="E1781" s="1" t="str">
        <f ca="1">IFERROR(__xludf.DUMMYFUNCTION("""COMPUTED_VALUE"""),"годен до 19.11.2026 г.")</f>
        <v>годен до 19.11.2026 г.</v>
      </c>
      <c r="F1781" s="1" t="str">
        <f ca="1">IFERROR(__xludf.DUMMYFUNCTION("""COMPUTED_VALUE"""),"Бандаж универсальный 4011 XL/XXL (Болгария) - 1121083KZ083")</f>
        <v>Бандаж универсальный 4011 XL/XXL (Болгария) - 1121083KZ083</v>
      </c>
      <c r="G1781" s="1" t="str">
        <f ca="1">IFERROR(__xludf.DUMMYFUNCTION("""COMPUTED_VALUE"""),"KZ.7700.02.01.00814819 / Действительно до 19.11.2026 / 1121083KZ083 / годен до 19.11.2026 г.")</f>
        <v>KZ.7700.02.01.00814819 / Действительно до 19.11.2026 / 1121083KZ083 / годен до 19.11.2026 г.</v>
      </c>
      <c r="H1781" s="1" t="str">
        <f ca="1">IFERROR(__xludf.DUMMYFUNCTION("""COMPUTED_VALUE"""),"Бандаж универсальный 4011 XL/XXL (Болгария) KZ.7700.02.01.00814819 / Действительно до 19.11.2026 / 1121083KZ083 / годен до 19.11.2026 г.")</f>
        <v>Бандаж универсальный 4011 XL/XXL (Болгария) KZ.7700.02.01.00814819 / Действительно до 19.11.2026 / 1121083KZ083 / годен до 19.11.2026 г.</v>
      </c>
    </row>
    <row r="1782" spans="1:8" ht="12.75" x14ac:dyDescent="0.2">
      <c r="A1782" s="1" t="str">
        <f ca="1">IFERROR(__xludf.DUMMYFUNCTION("""COMPUTED_VALUE"""),"Бандаж универсальный 4011 XS/S (Болгария)")</f>
        <v>Бандаж универсальный 4011 XS/S (Болгария)</v>
      </c>
      <c r="B1782" s="1" t="str">
        <f ca="1">IFERROR(__xludf.DUMMYFUNCTION("""COMPUTED_VALUE"""),"KZ.7700.02.01.00814806")</f>
        <v>KZ.7700.02.01.00814806</v>
      </c>
      <c r="C1782" s="1" t="str">
        <f ca="1">IFERROR(__xludf.DUMMYFUNCTION("""COMPUTED_VALUE"""),"Действительно до 19.11.2026")</f>
        <v>Действительно до 19.11.2026</v>
      </c>
      <c r="D1782" s="8" t="str">
        <f ca="1">IFERROR(__xludf.DUMMYFUNCTION("""COMPUTED_VALUE"""),"1121083KZ083")</f>
        <v>1121083KZ083</v>
      </c>
      <c r="E1782" s="1" t="str">
        <f ca="1">IFERROR(__xludf.DUMMYFUNCTION("""COMPUTED_VALUE"""),"годен до 19.11.2026 г.")</f>
        <v>годен до 19.11.2026 г.</v>
      </c>
      <c r="F1782" s="1" t="str">
        <f ca="1">IFERROR(__xludf.DUMMYFUNCTION("""COMPUTED_VALUE"""),"Бандаж универсальный 4011 XS/S (Болгария) - 1121083KZ083")</f>
        <v>Бандаж универсальный 4011 XS/S (Болгария) - 1121083KZ083</v>
      </c>
      <c r="G1782" s="1" t="str">
        <f ca="1">IFERROR(__xludf.DUMMYFUNCTION("""COMPUTED_VALUE"""),"KZ.7700.02.01.00814806 / Действительно до 19.11.2026 / 1121083KZ083 / годен до 19.11.2026 г.")</f>
        <v>KZ.7700.02.01.00814806 / Действительно до 19.11.2026 / 1121083KZ083 / годен до 19.11.2026 г.</v>
      </c>
      <c r="H1782" s="1" t="str">
        <f ca="1">IFERROR(__xludf.DUMMYFUNCTION("""COMPUTED_VALUE"""),"Бандаж универсальный 4011 XS/S (Болгария) KZ.7700.02.01.00814806 / Действительно до 19.11.2026 / 1121083KZ083 / годен до 19.11.2026 г.")</f>
        <v>Бандаж универсальный 4011 XS/S (Болгария) KZ.7700.02.01.00814806 / Действительно до 19.11.2026 / 1121083KZ083 / годен до 19.11.2026 г.</v>
      </c>
    </row>
    <row r="1783" spans="1:8" ht="12.75" x14ac:dyDescent="0.2">
      <c r="A1783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1783" s="1" t="str">
        <f ca="1">IFERROR(__xludf.DUMMYFUNCTION("""COMPUTED_VALUE"""),"KZ.7700.02.01.00814810")</f>
        <v>KZ.7700.02.01.00814810</v>
      </c>
      <c r="C1783" s="1" t="str">
        <f ca="1">IFERROR(__xludf.DUMMYFUNCTION("""COMPUTED_VALUE"""),"Действительно до 19.11.2026")</f>
        <v>Действительно до 19.11.2026</v>
      </c>
      <c r="D1783" s="8" t="str">
        <f ca="1">IFERROR(__xludf.DUMMYFUNCTION("""COMPUTED_VALUE"""),"1121083KZ083")</f>
        <v>1121083KZ083</v>
      </c>
      <c r="E1783" s="1" t="str">
        <f ca="1">IFERROR(__xludf.DUMMYFUNCTION("""COMPUTED_VALUE"""),"годен до 19.11.2026 г.")</f>
        <v>годен до 19.11.2026 г.</v>
      </c>
      <c r="F1783" s="1" t="str">
        <f ca="1">IFERROR(__xludf.DUMMYFUNCTION("""COMPUTED_VALUE"""),"Бандаж универсальный 4011 XXXL/XXXXL (Болгария) - 1121083KZ083")</f>
        <v>Бандаж универсальный 4011 XXXL/XXXXL (Болгария) - 1121083KZ083</v>
      </c>
      <c r="G1783" s="1" t="str">
        <f ca="1">IFERROR(__xludf.DUMMYFUNCTION("""COMPUTED_VALUE"""),"KZ.7700.02.01.00814810 / Действительно до 19.11.2026 / 1121083KZ083 / годен до 19.11.2026 г.")</f>
        <v>KZ.7700.02.01.00814810 / Действительно до 19.11.2026 / 1121083KZ083 / годен до 19.11.2026 г.</v>
      </c>
      <c r="H1783" s="1" t="str">
        <f ca="1">IFERROR(__xludf.DUMMYFUNCTION("""COMPUTED_VALUE"""),"Бандаж универсальный 4011 XXXL/XXXXL (Болгария) KZ.7700.02.01.00814810 / Действительно до 19.11.2026 / 1121083KZ083 / годен до 19.11.2026 г.")</f>
        <v>Бандаж универсальный 4011 XXXL/XXXXL (Болгария) KZ.7700.02.01.00814810 / Действительно до 19.11.2026 / 1121083KZ083 / годен до 19.11.2026 г.</v>
      </c>
    </row>
    <row r="1784" spans="1:8" ht="12.75" x14ac:dyDescent="0.2">
      <c r="A1784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1784" s="1" t="str">
        <f ca="1">IFERROR(__xludf.DUMMYFUNCTION("""COMPUTED_VALUE"""),"KZ.7700.02.01.00814804")</f>
        <v>KZ.7700.02.01.00814804</v>
      </c>
      <c r="C1784" s="1" t="str">
        <f ca="1">IFERROR(__xludf.DUMMYFUNCTION("""COMPUTED_VALUE"""),"Действительно до 19.11.2026")</f>
        <v>Действительно до 19.11.2026</v>
      </c>
      <c r="D1784" s="8" t="str">
        <f ca="1">IFERROR(__xludf.DUMMYFUNCTION("""COMPUTED_VALUE"""),"1121083KZ083")</f>
        <v>1121083KZ083</v>
      </c>
      <c r="E1784" s="1" t="str">
        <f ca="1">IFERROR(__xludf.DUMMYFUNCTION("""COMPUTED_VALUE"""),"годен до 19.11.2026 г.")</f>
        <v>годен до 19.11.2026 г.</v>
      </c>
      <c r="F1784" s="1" t="str">
        <f ca="1">IFERROR(__xludf.DUMMYFUNCTION("""COMPUTED_VALUE"""),"Бандаж грыжевой лево-и правосторонний 5001 M/L (Болгария) - 1121083KZ083")</f>
        <v>Бандаж грыжевой лево-и правосторонний 5001 M/L (Болгария) - 1121083KZ083</v>
      </c>
      <c r="G1784" s="1" t="str">
        <f ca="1">IFERROR(__xludf.DUMMYFUNCTION("""COMPUTED_VALUE"""),"KZ.7700.02.01.00814804 / Действительно до 19.11.2026 / 1121083KZ083 / годен до 19.11.2026 г.")</f>
        <v>KZ.7700.02.01.00814804 / Действительно до 19.11.2026 / 1121083KZ083 / годен до 19.11.2026 г.</v>
      </c>
      <c r="H1784" s="1" t="str">
        <f ca="1">IFERROR(__xludf.DUMMYFUNCTION("""COMPUTED_VALUE"""),"Бандаж грыжевой лево-и правосторонний 5001 M/L (Болгария) KZ.7700.02.01.00814804 / Действительно до 19.11.2026 / 1121083KZ083 / годен до 19.11.2026 г.")</f>
        <v>Бандаж грыжевой лево-и правосторонний 5001 M/L (Болгария) KZ.7700.02.01.00814804 / Действительно до 19.11.2026 / 1121083KZ083 / годен до 19.11.2026 г.</v>
      </c>
    </row>
    <row r="1785" spans="1:8" ht="12.75" x14ac:dyDescent="0.2">
      <c r="A1785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1785" s="1" t="str">
        <f ca="1">IFERROR(__xludf.DUMMYFUNCTION("""COMPUTED_VALUE"""),"KZ.7700.02.01.00814808")</f>
        <v>KZ.7700.02.01.00814808</v>
      </c>
      <c r="C1785" s="1" t="str">
        <f ca="1">IFERROR(__xludf.DUMMYFUNCTION("""COMPUTED_VALUE"""),"Действительно до 19.11.2026")</f>
        <v>Действительно до 19.11.2026</v>
      </c>
      <c r="D1785" s="8" t="str">
        <f ca="1">IFERROR(__xludf.DUMMYFUNCTION("""COMPUTED_VALUE"""),"1121083KZ083")</f>
        <v>1121083KZ083</v>
      </c>
      <c r="E1785" s="1" t="str">
        <f ca="1">IFERROR(__xludf.DUMMYFUNCTION("""COMPUTED_VALUE"""),"годен до 19.11.2026 г.")</f>
        <v>годен до 19.11.2026 г.</v>
      </c>
      <c r="F1785" s="1" t="str">
        <f ca="1">IFERROR(__xludf.DUMMYFUNCTION("""COMPUTED_VALUE"""),"Бандаж грыжевой лево-и правосторонний 5001 XL/XXL (Болгария) - 1121083KZ083")</f>
        <v>Бандаж грыжевой лево-и правосторонний 5001 XL/XXL (Болгария) - 1121083KZ083</v>
      </c>
      <c r="G1785" s="1" t="str">
        <f ca="1">IFERROR(__xludf.DUMMYFUNCTION("""COMPUTED_VALUE"""),"KZ.7700.02.01.00814808 / Действительно до 19.11.2026 / 1121083KZ083 / годен до 19.11.2026 г.")</f>
        <v>KZ.7700.02.01.00814808 / Действительно до 19.11.2026 / 1121083KZ083 / годен до 19.11.2026 г.</v>
      </c>
      <c r="H1785" s="1" t="str">
        <f ca="1">IFERROR(__xludf.DUMMYFUNCTION("""COMPUTED_VALUE"""),"Бандаж грыжевой лево-и правосторонний 5001 XL/XXL (Болгария) KZ.7700.02.01.00814808 / Действительно до 19.11.2026 / 1121083KZ083 / годен до 19.11.2026 г.")</f>
        <v>Бандаж грыжевой лево-и правосторонний 5001 XL/XXL (Болгария) KZ.7700.02.01.00814808 / Действительно до 19.11.2026 / 1121083KZ083 / годен до 19.11.2026 г.</v>
      </c>
    </row>
    <row r="1786" spans="1:8" ht="12.75" x14ac:dyDescent="0.2">
      <c r="A1786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1786" s="1" t="str">
        <f ca="1">IFERROR(__xludf.DUMMYFUNCTION("""COMPUTED_VALUE"""),"KZ.7700.02.01.00814805")</f>
        <v>KZ.7700.02.01.00814805</v>
      </c>
      <c r="C1786" s="1" t="str">
        <f ca="1">IFERROR(__xludf.DUMMYFUNCTION("""COMPUTED_VALUE"""),"Действительно до 19.11.2026")</f>
        <v>Действительно до 19.11.2026</v>
      </c>
      <c r="D1786" s="8" t="str">
        <f ca="1">IFERROR(__xludf.DUMMYFUNCTION("""COMPUTED_VALUE"""),"1121083KZ083")</f>
        <v>1121083KZ083</v>
      </c>
      <c r="E1786" s="1" t="str">
        <f ca="1">IFERROR(__xludf.DUMMYFUNCTION("""COMPUTED_VALUE"""),"годен до 19.11.2026 г.")</f>
        <v>годен до 19.11.2026 г.</v>
      </c>
      <c r="F1786" s="1" t="str">
        <f ca="1">IFERROR(__xludf.DUMMYFUNCTION("""COMPUTED_VALUE"""),"Бандаж грыжевой лево-и правосторонний 5001 XS/S (Болгария) - 1121083KZ083")</f>
        <v>Бандаж грыжевой лево-и правосторонний 5001 XS/S (Болгария) - 1121083KZ083</v>
      </c>
      <c r="G1786" s="1" t="str">
        <f ca="1">IFERROR(__xludf.DUMMYFUNCTION("""COMPUTED_VALUE"""),"KZ.7700.02.01.00814805 / Действительно до 19.11.2026 / 1121083KZ083 / годен до 19.11.2026 г.")</f>
        <v>KZ.7700.02.01.00814805 / Действительно до 19.11.2026 / 1121083KZ083 / годен до 19.11.2026 г.</v>
      </c>
      <c r="H1786" s="1" t="str">
        <f ca="1">IFERROR(__xludf.DUMMYFUNCTION("""COMPUTED_VALUE"""),"Бандаж грыжевой лево-и правосторонний 5001 XS/S (Болгария) KZ.7700.02.01.00814805 / Действительно до 19.11.2026 / 1121083KZ083 / годен до 19.11.2026 г.")</f>
        <v>Бандаж грыжевой лево-и правосторонний 5001 XS/S (Болгария) KZ.7700.02.01.00814805 / Действительно до 19.11.2026 / 1121083KZ083 / годен до 19.11.2026 г.</v>
      </c>
    </row>
    <row r="1787" spans="1:8" ht="12.75" x14ac:dyDescent="0.2">
      <c r="A1787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1787" s="1" t="str">
        <f ca="1">IFERROR(__xludf.DUMMYFUNCTION("""COMPUTED_VALUE"""),"KZ.7700.02.01.00814818")</f>
        <v>KZ.7700.02.01.00814818</v>
      </c>
      <c r="C1787" s="1" t="str">
        <f ca="1">IFERROR(__xludf.DUMMYFUNCTION("""COMPUTED_VALUE"""),"Действительно до 19.11.2026")</f>
        <v>Действительно до 19.11.2026</v>
      </c>
      <c r="D1787" s="8" t="str">
        <f ca="1">IFERROR(__xludf.DUMMYFUNCTION("""COMPUTED_VALUE"""),"1121083KZ083")</f>
        <v>1121083KZ083</v>
      </c>
      <c r="E1787" s="1" t="str">
        <f ca="1">IFERROR(__xludf.DUMMYFUNCTION("""COMPUTED_VALUE"""),"годен до 19.11.2026 г.")</f>
        <v>годен до 19.11.2026 г.</v>
      </c>
      <c r="F1787" s="1" t="str">
        <f ca="1">IFERROR(__xludf.DUMMYFUNCTION("""COMPUTED_VALUE"""),"Бандаж при пупочной грыже 5051 M/L (Болгария) - 1121083KZ083")</f>
        <v>Бандаж при пупочной грыже 5051 M/L (Болгария) - 1121083KZ083</v>
      </c>
      <c r="G1787" s="1" t="str">
        <f ca="1">IFERROR(__xludf.DUMMYFUNCTION("""COMPUTED_VALUE"""),"KZ.7700.02.01.00814818 / Действительно до 19.11.2026 / 1121083KZ083 / годен до 19.11.2026 г.")</f>
        <v>KZ.7700.02.01.00814818 / Действительно до 19.11.2026 / 1121083KZ083 / годен до 19.11.2026 г.</v>
      </c>
      <c r="H1787" s="1" t="str">
        <f ca="1">IFERROR(__xludf.DUMMYFUNCTION("""COMPUTED_VALUE"""),"Бандаж при пупочной грыже 5051 M/L (Болгария) KZ.7700.02.01.00814818 / Действительно до 19.11.2026 / 1121083KZ083 / годен до 19.11.2026 г.")</f>
        <v>Бандаж при пупочной грыже 5051 M/L (Болгария) KZ.7700.02.01.00814818 / Действительно до 19.11.2026 / 1121083KZ083 / годен до 19.11.2026 г.</v>
      </c>
    </row>
    <row r="1788" spans="1:8" ht="12.75" x14ac:dyDescent="0.2">
      <c r="A1788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1788" s="1" t="str">
        <f ca="1">IFERROR(__xludf.DUMMYFUNCTION("""COMPUTED_VALUE"""),"KZ.7700.02.01.00814816")</f>
        <v>KZ.7700.02.01.00814816</v>
      </c>
      <c r="C1788" s="1" t="str">
        <f ca="1">IFERROR(__xludf.DUMMYFUNCTION("""COMPUTED_VALUE"""),"Действительно до 19.11.2026")</f>
        <v>Действительно до 19.11.2026</v>
      </c>
      <c r="D1788" s="8" t="str">
        <f ca="1">IFERROR(__xludf.DUMMYFUNCTION("""COMPUTED_VALUE"""),"1121083KZ083")</f>
        <v>1121083KZ083</v>
      </c>
      <c r="E1788" s="1" t="str">
        <f ca="1">IFERROR(__xludf.DUMMYFUNCTION("""COMPUTED_VALUE"""),"годен до 19.11.2026 г.")</f>
        <v>годен до 19.11.2026 г.</v>
      </c>
      <c r="F1788" s="1" t="str">
        <f ca="1">IFERROR(__xludf.DUMMYFUNCTION("""COMPUTED_VALUE"""),"Бандаж при пупочной грыже 5051 XL/XXL (Болгария) - 1121083KZ083")</f>
        <v>Бандаж при пупочной грыже 5051 XL/XXL (Болгария) - 1121083KZ083</v>
      </c>
      <c r="G1788" s="1" t="str">
        <f ca="1">IFERROR(__xludf.DUMMYFUNCTION("""COMPUTED_VALUE"""),"KZ.7700.02.01.00814816 / Действительно до 19.11.2026 / 1121083KZ083 / годен до 19.11.2026 г.")</f>
        <v>KZ.7700.02.01.00814816 / Действительно до 19.11.2026 / 1121083KZ083 / годен до 19.11.2026 г.</v>
      </c>
      <c r="H1788" s="1" t="str">
        <f ca="1">IFERROR(__xludf.DUMMYFUNCTION("""COMPUTED_VALUE"""),"Бандаж при пупочной грыже 5051 XL/XXL (Болгария) KZ.7700.02.01.00814816 / Действительно до 19.11.2026 / 1121083KZ083 / годен до 19.11.2026 г.")</f>
        <v>Бандаж при пупочной грыже 5051 XL/XXL (Болгария) KZ.7700.02.01.00814816 / Действительно до 19.11.2026 / 1121083KZ083 / годен до 19.11.2026 г.</v>
      </c>
    </row>
    <row r="1789" spans="1:8" ht="12.75" x14ac:dyDescent="0.2">
      <c r="A1789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1789" s="1" t="str">
        <f ca="1">IFERROR(__xludf.DUMMYFUNCTION("""COMPUTED_VALUE"""),"KZ.7700.02.01.00814815")</f>
        <v>KZ.7700.02.01.00814815</v>
      </c>
      <c r="C1789" s="1" t="str">
        <f ca="1">IFERROR(__xludf.DUMMYFUNCTION("""COMPUTED_VALUE"""),"Действительно до 19.11.2026")</f>
        <v>Действительно до 19.11.2026</v>
      </c>
      <c r="D1789" s="8" t="str">
        <f ca="1">IFERROR(__xludf.DUMMYFUNCTION("""COMPUTED_VALUE"""),"1121083KZ083")</f>
        <v>1121083KZ083</v>
      </c>
      <c r="E1789" s="1" t="str">
        <f ca="1">IFERROR(__xludf.DUMMYFUNCTION("""COMPUTED_VALUE"""),"годен до 19.11.2026 г.")</f>
        <v>годен до 19.11.2026 г.</v>
      </c>
      <c r="F1789" s="1" t="str">
        <f ca="1">IFERROR(__xludf.DUMMYFUNCTION("""COMPUTED_VALUE"""),"Бандаж при пупочной грыже 5051 XXXL/XXXXL (Болгария) - 1121083KZ083")</f>
        <v>Бандаж при пупочной грыже 5051 XXXL/XXXXL (Болгария) - 1121083KZ083</v>
      </c>
      <c r="G1789" s="1" t="str">
        <f ca="1">IFERROR(__xludf.DUMMYFUNCTION("""COMPUTED_VALUE"""),"KZ.7700.02.01.00814815 / Действительно до 19.11.2026 / 1121083KZ083 / годен до 19.11.2026 г.")</f>
        <v>KZ.7700.02.01.00814815 / Действительно до 19.11.2026 / 1121083KZ083 / годен до 19.11.2026 г.</v>
      </c>
      <c r="H1789" s="1" t="str">
        <f ca="1">IFERROR(__xludf.DUMMYFUNCTION("""COMPUTED_VALUE"""),"Бандаж при пупочной грыже 5051 XXXL/XXXXL (Болгария) KZ.7700.02.01.00814815 / Действительно до 19.11.2026 / 1121083KZ083 / годен до 19.11.2026 г.")</f>
        <v>Бандаж при пупочной грыже 5051 XXXL/XXXXL (Болгария) KZ.7700.02.01.00814815 / Действительно до 19.11.2026 / 1121083KZ083 / годен до 19.11.2026 г.</v>
      </c>
    </row>
    <row r="1790" spans="1:8" ht="12.75" x14ac:dyDescent="0.2">
      <c r="A1790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1790" s="1" t="str">
        <f ca="1">IFERROR(__xludf.DUMMYFUNCTION("""COMPUTED_VALUE"""),"KZ.7700.02.01.00814833")</f>
        <v>KZ.7700.02.01.00814833</v>
      </c>
      <c r="C1790" s="1" t="str">
        <f ca="1">IFERROR(__xludf.DUMMYFUNCTION("""COMPUTED_VALUE"""),"Действительно до 19.11.2026")</f>
        <v>Действительно до 19.11.2026</v>
      </c>
      <c r="D1790" s="8" t="str">
        <f ca="1">IFERROR(__xludf.DUMMYFUNCTION("""COMPUTED_VALUE"""),"1121083KZ083")</f>
        <v>1121083KZ083</v>
      </c>
      <c r="E1790" s="1" t="str">
        <f ca="1">IFERROR(__xludf.DUMMYFUNCTION("""COMPUTED_VALUE"""),"годен до 19.11.2026 г.")</f>
        <v>годен до 19.11.2026 г.</v>
      </c>
      <c r="F1790" s="1" t="str">
        <f ca="1">IFERROR(__xludf.DUMMYFUNCTION("""COMPUTED_VALUE"""),"Бандаж на коленный сустав эластичный 6040 L (Болгария) - 1121083KZ083")</f>
        <v>Бандаж на коленный сустав эластичный 6040 L (Болгария) - 1121083KZ083</v>
      </c>
      <c r="G1790" s="1" t="str">
        <f ca="1">IFERROR(__xludf.DUMMYFUNCTION("""COMPUTED_VALUE"""),"KZ.7700.02.01.00814833 / Действительно до 19.11.2026 / 1121083KZ083 / годен до 19.11.2026 г.")</f>
        <v>KZ.7700.02.01.00814833 / Действительно до 19.11.2026 / 1121083KZ083 / годен до 19.11.2026 г.</v>
      </c>
      <c r="H1790" s="1" t="str">
        <f ca="1">IFERROR(__xludf.DUMMYFUNCTION("""COMPUTED_VALUE"""),"Бандаж на коленный сустав эластичный 6040 L (Болгария) KZ.7700.02.01.00814833 / Действительно до 19.11.2026 / 1121083KZ083 / годен до 19.11.2026 г.")</f>
        <v>Бандаж на коленный сустав эластичный 6040 L (Болгария) KZ.7700.02.01.00814833 / Действительно до 19.11.2026 / 1121083KZ083 / годен до 19.11.2026 г.</v>
      </c>
    </row>
    <row r="1791" spans="1:8" ht="12.75" x14ac:dyDescent="0.2">
      <c r="A1791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1791" s="1" t="str">
        <f ca="1">IFERROR(__xludf.DUMMYFUNCTION("""COMPUTED_VALUE"""),"KZ.7700.02.01.00814821")</f>
        <v>KZ.7700.02.01.00814821</v>
      </c>
      <c r="C1791" s="1" t="str">
        <f ca="1">IFERROR(__xludf.DUMMYFUNCTION("""COMPUTED_VALUE"""),"Действительно до 19.11.2026")</f>
        <v>Действительно до 19.11.2026</v>
      </c>
      <c r="D1791" s="8" t="str">
        <f ca="1">IFERROR(__xludf.DUMMYFUNCTION("""COMPUTED_VALUE"""),"1121083KZ083")</f>
        <v>1121083KZ083</v>
      </c>
      <c r="E1791" s="1" t="str">
        <f ca="1">IFERROR(__xludf.DUMMYFUNCTION("""COMPUTED_VALUE"""),"годен до 19.11.2026 г.")</f>
        <v>годен до 19.11.2026 г.</v>
      </c>
      <c r="F1791" s="1" t="str">
        <f ca="1">IFERROR(__xludf.DUMMYFUNCTION("""COMPUTED_VALUE"""),"Бандаж на коленный сустав эластичный 6040 M (Болгария) - 1121083KZ083")</f>
        <v>Бандаж на коленный сустав эластичный 6040 M (Болгария) - 1121083KZ083</v>
      </c>
      <c r="G1791" s="1" t="str">
        <f ca="1">IFERROR(__xludf.DUMMYFUNCTION("""COMPUTED_VALUE"""),"KZ.7700.02.01.00814821 / Действительно до 19.11.2026 / 1121083KZ083 / годен до 19.11.2026 г.")</f>
        <v>KZ.7700.02.01.00814821 / Действительно до 19.11.2026 / 1121083KZ083 / годен до 19.11.2026 г.</v>
      </c>
      <c r="H1791" s="1" t="str">
        <f ca="1">IFERROR(__xludf.DUMMYFUNCTION("""COMPUTED_VALUE"""),"Бандаж на коленный сустав эластичный 6040 M (Болгария) KZ.7700.02.01.00814821 / Действительно до 19.11.2026 / 1121083KZ083 / годен до 19.11.2026 г.")</f>
        <v>Бандаж на коленный сустав эластичный 6040 M (Болгария) KZ.7700.02.01.00814821 / Действительно до 19.11.2026 / 1121083KZ083 / годен до 19.11.2026 г.</v>
      </c>
    </row>
    <row r="1792" spans="1:8" ht="12.75" x14ac:dyDescent="0.2">
      <c r="A1792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1792" s="1" t="str">
        <f ca="1">IFERROR(__xludf.DUMMYFUNCTION("""COMPUTED_VALUE"""),"KZ.7700.02.01.00814823")</f>
        <v>KZ.7700.02.01.00814823</v>
      </c>
      <c r="C1792" s="1" t="str">
        <f ca="1">IFERROR(__xludf.DUMMYFUNCTION("""COMPUTED_VALUE"""),"Действительно до 19.11.2026")</f>
        <v>Действительно до 19.11.2026</v>
      </c>
      <c r="D1792" s="8" t="str">
        <f ca="1">IFERROR(__xludf.DUMMYFUNCTION("""COMPUTED_VALUE"""),"1121083KZ083")</f>
        <v>1121083KZ083</v>
      </c>
      <c r="E1792" s="1" t="str">
        <f ca="1">IFERROR(__xludf.DUMMYFUNCTION("""COMPUTED_VALUE"""),"годен до 19.11.2026 г.")</f>
        <v>годен до 19.11.2026 г.</v>
      </c>
      <c r="F1792" s="1" t="str">
        <f ca="1">IFERROR(__xludf.DUMMYFUNCTION("""COMPUTED_VALUE"""),"Бандаж на коленный сустав эластичный 6040 S (Болгария) - 1121083KZ083")</f>
        <v>Бандаж на коленный сустав эластичный 6040 S (Болгария) - 1121083KZ083</v>
      </c>
      <c r="G1792" s="1" t="str">
        <f ca="1">IFERROR(__xludf.DUMMYFUNCTION("""COMPUTED_VALUE"""),"KZ.7700.02.01.00814823 / Действительно до 19.11.2026 / 1121083KZ083 / годен до 19.11.2026 г.")</f>
        <v>KZ.7700.02.01.00814823 / Действительно до 19.11.2026 / 1121083KZ083 / годен до 19.11.2026 г.</v>
      </c>
      <c r="H1792" s="1" t="str">
        <f ca="1">IFERROR(__xludf.DUMMYFUNCTION("""COMPUTED_VALUE"""),"Бандаж на коленный сустав эластичный 6040 S (Болгария) KZ.7700.02.01.00814823 / Действительно до 19.11.2026 / 1121083KZ083 / годен до 19.11.2026 г.")</f>
        <v>Бандаж на коленный сустав эластичный 6040 S (Болгария) KZ.7700.02.01.00814823 / Действительно до 19.11.2026 / 1121083KZ083 / годен до 19.11.2026 г.</v>
      </c>
    </row>
    <row r="1793" spans="1:8" ht="12.75" x14ac:dyDescent="0.2">
      <c r="A1793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1793" s="1" t="str">
        <f ca="1">IFERROR(__xludf.DUMMYFUNCTION("""COMPUTED_VALUE"""),"KZ.7700.02.01.00814831")</f>
        <v>KZ.7700.02.01.00814831</v>
      </c>
      <c r="C1793" s="1" t="str">
        <f ca="1">IFERROR(__xludf.DUMMYFUNCTION("""COMPUTED_VALUE"""),"Действительно до 19.11.2026")</f>
        <v>Действительно до 19.11.2026</v>
      </c>
      <c r="D1793" s="8" t="str">
        <f ca="1">IFERROR(__xludf.DUMMYFUNCTION("""COMPUTED_VALUE"""),"1121083KZ083")</f>
        <v>1121083KZ083</v>
      </c>
      <c r="E1793" s="1" t="str">
        <f ca="1">IFERROR(__xludf.DUMMYFUNCTION("""COMPUTED_VALUE"""),"годен до 19.11.2026 г.")</f>
        <v>годен до 19.11.2026 г.</v>
      </c>
      <c r="F1793" s="1" t="str">
        <f ca="1">IFERROR(__xludf.DUMMYFUNCTION("""COMPUTED_VALUE"""),"Бандаж на коленный сустав эластичный 6040 XL (Болгария) - 1121083KZ083")</f>
        <v>Бандаж на коленный сустав эластичный 6040 XL (Болгария) - 1121083KZ083</v>
      </c>
      <c r="G1793" s="1" t="str">
        <f ca="1">IFERROR(__xludf.DUMMYFUNCTION("""COMPUTED_VALUE"""),"KZ.7700.02.01.00814831 / Действительно до 19.11.2026 / 1121083KZ083 / годен до 19.11.2026 г.")</f>
        <v>KZ.7700.02.01.00814831 / Действительно до 19.11.2026 / 1121083KZ083 / годен до 19.11.2026 г.</v>
      </c>
      <c r="H1793" s="1" t="str">
        <f ca="1">IFERROR(__xludf.DUMMYFUNCTION("""COMPUTED_VALUE"""),"Бандаж на коленный сустав эластичный 6040 XL (Болгария) KZ.7700.02.01.00814831 / Действительно до 19.11.2026 / 1121083KZ083 / годен до 19.11.2026 г.")</f>
        <v>Бандаж на коленный сустав эластичный 6040 XL (Болгария) KZ.7700.02.01.00814831 / Действительно до 19.11.2026 / 1121083KZ083 / годен до 19.11.2026 г.</v>
      </c>
    </row>
    <row r="1794" spans="1:8" ht="12.75" x14ac:dyDescent="0.2">
      <c r="A1794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1794" s="1" t="str">
        <f ca="1">IFERROR(__xludf.DUMMYFUNCTION("""COMPUTED_VALUE"""),"KZ.7700.02.01.00814830")</f>
        <v>KZ.7700.02.01.00814830</v>
      </c>
      <c r="C1794" s="1" t="str">
        <f ca="1">IFERROR(__xludf.DUMMYFUNCTION("""COMPUTED_VALUE"""),"Действительно до 19.11.2026")</f>
        <v>Действительно до 19.11.2026</v>
      </c>
      <c r="D1794" s="8" t="str">
        <f ca="1">IFERROR(__xludf.DUMMYFUNCTION("""COMPUTED_VALUE"""),"1121083KZ083")</f>
        <v>1121083KZ083</v>
      </c>
      <c r="E1794" s="1" t="str">
        <f ca="1">IFERROR(__xludf.DUMMYFUNCTION("""COMPUTED_VALUE"""),"годен до 19.11.2026 г.")</f>
        <v>годен до 19.11.2026 г.</v>
      </c>
      <c r="F1794" s="1" t="str">
        <f ca="1">IFERROR(__xludf.DUMMYFUNCTION("""COMPUTED_VALUE"""),"Бандаж на коленный сустав разъемный 6058 L\XL (Болгария) - 1121083KZ083")</f>
        <v>Бандаж на коленный сустав разъемный 6058 L\XL (Болгария) - 1121083KZ083</v>
      </c>
      <c r="G1794" s="1" t="str">
        <f ca="1">IFERROR(__xludf.DUMMYFUNCTION("""COMPUTED_VALUE"""),"KZ.7700.02.01.00814830 / Действительно до 19.11.2026 / 1121083KZ083 / годен до 19.11.2026 г.")</f>
        <v>KZ.7700.02.01.00814830 / Действительно до 19.11.2026 / 1121083KZ083 / годен до 19.11.2026 г.</v>
      </c>
      <c r="H1794" s="1" t="str">
        <f ca="1">IFERROR(__xludf.DUMMYFUNCTION("""COMPUTED_VALUE"""),"Бандаж на коленный сустав разъемный 6058 L\XL (Болгария) KZ.7700.02.01.00814830 / Действительно до 19.11.2026 / 1121083KZ083 / годен до 19.11.2026 г.")</f>
        <v>Бандаж на коленный сустав разъемный 6058 L\XL (Болгария) KZ.7700.02.01.00814830 / Действительно до 19.11.2026 / 1121083KZ083 / годен до 19.11.2026 г.</v>
      </c>
    </row>
    <row r="1795" spans="1:8" ht="12.75" x14ac:dyDescent="0.2">
      <c r="A1795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1795" s="1" t="str">
        <f ca="1">IFERROR(__xludf.DUMMYFUNCTION("""COMPUTED_VALUE"""),"KZ.7700.02.01.00814827")</f>
        <v>KZ.7700.02.01.00814827</v>
      </c>
      <c r="C1795" s="1" t="str">
        <f ca="1">IFERROR(__xludf.DUMMYFUNCTION("""COMPUTED_VALUE"""),"Действительно до 19.11.2026")</f>
        <v>Действительно до 19.11.2026</v>
      </c>
      <c r="D1795" s="8" t="str">
        <f ca="1">IFERROR(__xludf.DUMMYFUNCTION("""COMPUTED_VALUE"""),"1121083KZ083")</f>
        <v>1121083KZ083</v>
      </c>
      <c r="E1795" s="1" t="str">
        <f ca="1">IFERROR(__xludf.DUMMYFUNCTION("""COMPUTED_VALUE"""),"годен до 19.11.2026 г.")</f>
        <v>годен до 19.11.2026 г.</v>
      </c>
      <c r="F1795" s="1" t="str">
        <f ca="1">IFERROR(__xludf.DUMMYFUNCTION("""COMPUTED_VALUE"""),"Бандаж на коленный сустав разъемный 6058 S\M (Болгария) - 1121083KZ083")</f>
        <v>Бандаж на коленный сустав разъемный 6058 S\M (Болгария) - 1121083KZ083</v>
      </c>
      <c r="G1795" s="1" t="str">
        <f ca="1">IFERROR(__xludf.DUMMYFUNCTION("""COMPUTED_VALUE"""),"KZ.7700.02.01.00814827 / Действительно до 19.11.2026 / 1121083KZ083 / годен до 19.11.2026 г.")</f>
        <v>KZ.7700.02.01.00814827 / Действительно до 19.11.2026 / 1121083KZ083 / годен до 19.11.2026 г.</v>
      </c>
      <c r="H1795" s="1" t="str">
        <f ca="1">IFERROR(__xludf.DUMMYFUNCTION("""COMPUTED_VALUE"""),"Бандаж на коленный сустав разъемный 6058 S\M (Болгария) KZ.7700.02.01.00814827 / Действительно до 19.11.2026 / 1121083KZ083 / годен до 19.11.2026 г.")</f>
        <v>Бандаж на коленный сустав разъемный 6058 S\M (Болгария) KZ.7700.02.01.00814827 / Действительно до 19.11.2026 / 1121083KZ083 / годен до 19.11.2026 г.</v>
      </c>
    </row>
    <row r="1796" spans="1:8" ht="12.75" x14ac:dyDescent="0.2">
      <c r="A1796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1796" s="1" t="str">
        <f ca="1">IFERROR(__xludf.DUMMYFUNCTION("""COMPUTED_VALUE"""),"KZ.7700.02.01.00814832")</f>
        <v>KZ.7700.02.01.00814832</v>
      </c>
      <c r="C1796" s="1" t="str">
        <f ca="1">IFERROR(__xludf.DUMMYFUNCTION("""COMPUTED_VALUE"""),"Действительно до 19.11.2026")</f>
        <v>Действительно до 19.11.2026</v>
      </c>
      <c r="D1796" s="8" t="str">
        <f ca="1">IFERROR(__xludf.DUMMYFUNCTION("""COMPUTED_VALUE"""),"1121083KZ083")</f>
        <v>1121083KZ083</v>
      </c>
      <c r="E1796" s="1" t="str">
        <f ca="1">IFERROR(__xludf.DUMMYFUNCTION("""COMPUTED_VALUE"""),"годен до 19.11.2026 г.")</f>
        <v>годен до 19.11.2026 г.</v>
      </c>
      <c r="F1796" s="1" t="str">
        <f ca="1">IFERROR(__xludf.DUMMYFUNCTION("""COMPUTED_VALUE"""),"Бандаж на коленный сустав разъемный 6058 XXL (Болгария) - 1121083KZ083")</f>
        <v>Бандаж на коленный сустав разъемный 6058 XXL (Болгария) - 1121083KZ083</v>
      </c>
      <c r="G1796" s="1" t="str">
        <f ca="1">IFERROR(__xludf.DUMMYFUNCTION("""COMPUTED_VALUE"""),"KZ.7700.02.01.00814832 / Действительно до 19.11.2026 / 1121083KZ083 / годен до 19.11.2026 г.")</f>
        <v>KZ.7700.02.01.00814832 / Действительно до 19.11.2026 / 1121083KZ083 / годен до 19.11.2026 г.</v>
      </c>
      <c r="H1796" s="1" t="str">
        <f ca="1">IFERROR(__xludf.DUMMYFUNCTION("""COMPUTED_VALUE"""),"Бандаж на коленный сустав разъемный 6058 XXL (Болгария) KZ.7700.02.01.00814832 / Действительно до 19.11.2026 / 1121083KZ083 / годен до 19.11.2026 г.")</f>
        <v>Бандаж на коленный сустав разъемный 6058 XXL (Болгария) KZ.7700.02.01.00814832 / Действительно до 19.11.2026 / 1121083KZ083 / годен до 19.11.2026 г.</v>
      </c>
    </row>
    <row r="1797" spans="1:8" ht="12.75" x14ac:dyDescent="0.2">
      <c r="A1797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1797" s="1" t="str">
        <f ca="1">IFERROR(__xludf.DUMMYFUNCTION("""COMPUTED_VALUE"""),"KZ.7700.02.01.00814825")</f>
        <v>KZ.7700.02.01.00814825</v>
      </c>
      <c r="C1797" s="1" t="str">
        <f ca="1">IFERROR(__xludf.DUMMYFUNCTION("""COMPUTED_VALUE"""),"Действительно до 19.11.2026")</f>
        <v>Действительно до 19.11.2026</v>
      </c>
      <c r="D1797" s="8" t="str">
        <f ca="1">IFERROR(__xludf.DUMMYFUNCTION("""COMPUTED_VALUE"""),"1121083KZ083")</f>
        <v>1121083KZ083</v>
      </c>
      <c r="E1797" s="1" t="str">
        <f ca="1">IFERROR(__xludf.DUMMYFUNCTION("""COMPUTED_VALUE"""),"годен до 19.11.2026 г.")</f>
        <v>годен до 19.11.2026 г.</v>
      </c>
      <c r="F1797" s="1" t="str">
        <f ca="1">IFERROR(__xludf.DUMMYFUNCTION("""COMPUTED_VALUE"""),"Бандаж на голеностопный сустав легкой фиксации 7034 L (бежевый) (Болгария) - 1121083KZ083")</f>
        <v>Бандаж на голеностопный сустав легкой фиксации 7034 L (бежевый) (Болгария) - 1121083KZ083</v>
      </c>
      <c r="G1797" s="1" t="str">
        <f ca="1">IFERROR(__xludf.DUMMYFUNCTION("""COMPUTED_VALUE"""),"KZ.7700.02.01.00814825 / Действительно до 19.11.2026 / 1121083KZ083 / годен до 19.11.2026 г.")</f>
        <v>KZ.7700.02.01.00814825 / Действительно до 19.11.2026 / 1121083KZ083 / годен до 19.11.2026 г.</v>
      </c>
      <c r="H1797" s="1" t="str">
        <f ca="1">IFERROR(__xludf.DUMMYFUNCTION("""COMPUTED_VALUE"""),"Бандаж на голеностопный сустав легкой фиксации 7034 L (бежевый) (Болгария) KZ.7700.02.01.00814825 / Действительно до 19.11.2026 / 1121083KZ083 / годен до 19.11.2026 г.")</f>
        <v>Бандаж на голеностопный сустав легкой фиксации 7034 L (бежевый) (Болгария) KZ.7700.02.01.00814825 / Действительно до 19.11.2026 / 1121083KZ083 / годен до 19.11.2026 г.</v>
      </c>
    </row>
    <row r="1798" spans="1:8" ht="12.75" x14ac:dyDescent="0.2">
      <c r="A1798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1798" s="1" t="str">
        <f ca="1">IFERROR(__xludf.DUMMYFUNCTION("""COMPUTED_VALUE"""),"KZ.7700.02.01.00814826")</f>
        <v>KZ.7700.02.01.00814826</v>
      </c>
      <c r="C1798" s="1" t="str">
        <f ca="1">IFERROR(__xludf.DUMMYFUNCTION("""COMPUTED_VALUE"""),"Действительно до 19.11.2026")</f>
        <v>Действительно до 19.11.2026</v>
      </c>
      <c r="D1798" s="8" t="str">
        <f ca="1">IFERROR(__xludf.DUMMYFUNCTION("""COMPUTED_VALUE"""),"1121083KZ083")</f>
        <v>1121083KZ083</v>
      </c>
      <c r="E1798" s="1" t="str">
        <f ca="1">IFERROR(__xludf.DUMMYFUNCTION("""COMPUTED_VALUE"""),"годен до 19.11.2026 г.")</f>
        <v>годен до 19.11.2026 г.</v>
      </c>
      <c r="F1798" s="1" t="str">
        <f ca="1">IFERROR(__xludf.DUMMYFUNCTION("""COMPUTED_VALUE"""),"Бандаж на голеностопный сустав легкой фиксации 7034 M (бежевый) (Болгария) - 1121083KZ083")</f>
        <v>Бандаж на голеностопный сустав легкой фиксации 7034 M (бежевый) (Болгария) - 1121083KZ083</v>
      </c>
      <c r="G1798" s="1" t="str">
        <f ca="1">IFERROR(__xludf.DUMMYFUNCTION("""COMPUTED_VALUE"""),"KZ.7700.02.01.00814826 / Действительно до 19.11.2026 / 1121083KZ083 / годен до 19.11.2026 г.")</f>
        <v>KZ.7700.02.01.00814826 / Действительно до 19.11.2026 / 1121083KZ083 / годен до 19.11.2026 г.</v>
      </c>
      <c r="H1798" s="1" t="str">
        <f ca="1">IFERROR(__xludf.DUMMYFUNCTION("""COMPUTED_VALUE"""),"Бандаж на голеностопный сустав легкой фиксации 7034 M (бежевый) (Болгария) KZ.7700.02.01.00814826 / Действительно до 19.11.2026 / 1121083KZ083 / годен до 19.11.2026 г.")</f>
        <v>Бандаж на голеностопный сустав легкой фиксации 7034 M (бежевый) (Болгария) KZ.7700.02.01.00814826 / Действительно до 19.11.2026 / 1121083KZ083 / годен до 19.11.2026 г.</v>
      </c>
    </row>
    <row r="1799" spans="1:8" ht="12.75" x14ac:dyDescent="0.2">
      <c r="A1799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1799" s="1" t="str">
        <f ca="1">IFERROR(__xludf.DUMMYFUNCTION("""COMPUTED_VALUE"""),"KZ.7700.02.01.00814829")</f>
        <v>KZ.7700.02.01.00814829</v>
      </c>
      <c r="C1799" s="1" t="str">
        <f ca="1">IFERROR(__xludf.DUMMYFUNCTION("""COMPUTED_VALUE"""),"Действительно до 19.11.2026")</f>
        <v>Действительно до 19.11.2026</v>
      </c>
      <c r="D1799" s="8" t="str">
        <f ca="1">IFERROR(__xludf.DUMMYFUNCTION("""COMPUTED_VALUE"""),"1121083KZ083")</f>
        <v>1121083KZ083</v>
      </c>
      <c r="E1799" s="1" t="str">
        <f ca="1">IFERROR(__xludf.DUMMYFUNCTION("""COMPUTED_VALUE"""),"годен до 19.11.2026 г.")</f>
        <v>годен до 19.11.2026 г.</v>
      </c>
      <c r="F1799" s="1" t="str">
        <f ca="1">IFERROR(__xludf.DUMMYFUNCTION("""COMPUTED_VALUE"""),"Бандаж на голеностопный сустав легкой фиксации 7034 XL (бежевый) (Болгария) - 1121083KZ083")</f>
        <v>Бандаж на голеностопный сустав легкой фиксации 7034 XL (бежевый) (Болгария) - 1121083KZ083</v>
      </c>
      <c r="G1799" s="1" t="str">
        <f ca="1">IFERROR(__xludf.DUMMYFUNCTION("""COMPUTED_VALUE"""),"KZ.7700.02.01.00814829 / Действительно до 19.11.2026 / 1121083KZ083 / годен до 19.11.2026 г.")</f>
        <v>KZ.7700.02.01.00814829 / Действительно до 19.11.2026 / 1121083KZ083 / годен до 19.11.2026 г.</v>
      </c>
      <c r="H1799" s="1" t="str">
        <f ca="1">IFERROR(__xludf.DUMMYFUNCTION("""COMPUTED_VALUE"""),"Бандаж на голеностопный сустав легкой фиксации 7034 XL (бежевый) (Болгария) KZ.7700.02.01.00814829 / Действительно до 19.11.2026 / 1121083KZ083 / годен до 19.11.2026 г.")</f>
        <v>Бандаж на голеностопный сустав легкой фиксации 7034 XL (бежевый) (Болгария) KZ.7700.02.01.00814829 / Действительно до 19.11.2026 / 1121083KZ083 / годен до 19.11.2026 г.</v>
      </c>
    </row>
    <row r="1800" spans="1:8" ht="12.75" x14ac:dyDescent="0.2">
      <c r="A1800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1800" s="1" t="str">
        <f ca="1">IFERROR(__xludf.DUMMYFUNCTION("""COMPUTED_VALUE"""),"KZ.7700.02.01.00814834")</f>
        <v>KZ.7700.02.01.00814834</v>
      </c>
      <c r="C1800" s="1" t="str">
        <f ca="1">IFERROR(__xludf.DUMMYFUNCTION("""COMPUTED_VALUE"""),"Действительно до 19.11.2026")</f>
        <v>Действительно до 19.11.2026</v>
      </c>
      <c r="D1800" s="8" t="str">
        <f ca="1">IFERROR(__xludf.DUMMYFUNCTION("""COMPUTED_VALUE"""),"1121083KZ083")</f>
        <v>1121083KZ083</v>
      </c>
      <c r="E1800" s="1" t="str">
        <f ca="1">IFERROR(__xludf.DUMMYFUNCTION("""COMPUTED_VALUE"""),"годен до 19.11.2026 г.")</f>
        <v>годен до 19.11.2026 г.</v>
      </c>
      <c r="F1800" s="1" t="str">
        <f ca="1">IFERROR(__xludf.DUMMYFUNCTION("""COMPUTED_VALUE"""),"Бандаж на голеностопный сустав эластичный 7035 L (Болгария) - 1121083KZ083")</f>
        <v>Бандаж на голеностопный сустав эластичный 7035 L (Болгария) - 1121083KZ083</v>
      </c>
      <c r="G1800" s="1" t="str">
        <f ca="1">IFERROR(__xludf.DUMMYFUNCTION("""COMPUTED_VALUE"""),"KZ.7700.02.01.00814834 / Действительно до 19.11.2026 / 1121083KZ083 / годен до 19.11.2026 г.")</f>
        <v>KZ.7700.02.01.00814834 / Действительно до 19.11.2026 / 1121083KZ083 / годен до 19.11.2026 г.</v>
      </c>
      <c r="H1800" s="1" t="str">
        <f ca="1">IFERROR(__xludf.DUMMYFUNCTION("""COMPUTED_VALUE"""),"Бандаж на голеностопный сустав эластичный 7035 L (Болгария) KZ.7700.02.01.00814834 / Действительно до 19.11.2026 / 1121083KZ083 / годен до 19.11.2026 г.")</f>
        <v>Бандаж на голеностопный сустав эластичный 7035 L (Болгария) KZ.7700.02.01.00814834 / Действительно до 19.11.2026 / 1121083KZ083 / годен до 19.11.2026 г.</v>
      </c>
    </row>
    <row r="1801" spans="1:8" ht="12.75" x14ac:dyDescent="0.2">
      <c r="A1801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801" s="1" t="str">
        <f ca="1">IFERROR(__xludf.DUMMYFUNCTION("""COMPUTED_VALUE"""),"KZ.7700.02.01.00814836")</f>
        <v>KZ.7700.02.01.00814836</v>
      </c>
      <c r="C1801" s="1" t="str">
        <f ca="1">IFERROR(__xludf.DUMMYFUNCTION("""COMPUTED_VALUE"""),"Действительно до 19.11.2026")</f>
        <v>Действительно до 19.11.2026</v>
      </c>
      <c r="D1801" s="8" t="str">
        <f ca="1">IFERROR(__xludf.DUMMYFUNCTION("""COMPUTED_VALUE"""),"1121083KZ083")</f>
        <v>1121083KZ083</v>
      </c>
      <c r="E1801" s="1" t="str">
        <f ca="1">IFERROR(__xludf.DUMMYFUNCTION("""COMPUTED_VALUE"""),"годен до 19.11.2026 г.")</f>
        <v>годен до 19.11.2026 г.</v>
      </c>
      <c r="F1801" s="1" t="str">
        <f ca="1">IFERROR(__xludf.DUMMYFUNCTION("""COMPUTED_VALUE"""),"Бандаж на голеностопный сустав эластичный 7035 M (Болгария) - 1121083KZ083")</f>
        <v>Бандаж на голеностопный сустав эластичный 7035 M (Болгария) - 1121083KZ083</v>
      </c>
      <c r="G1801" s="1" t="str">
        <f ca="1">IFERROR(__xludf.DUMMYFUNCTION("""COMPUTED_VALUE"""),"KZ.7700.02.01.00814836 / Действительно до 19.11.2026 / 1121083KZ083 / годен до 19.11.2026 г.")</f>
        <v>KZ.7700.02.01.00814836 / Действительно до 19.11.2026 / 1121083KZ083 / годен до 19.11.2026 г.</v>
      </c>
      <c r="H1801" s="1" t="str">
        <f ca="1">IFERROR(__xludf.DUMMYFUNCTION("""COMPUTED_VALUE"""),"Бандаж на голеностопный сустав эластичный 7035 M (Болгария) KZ.7700.02.01.00814836 / Действительно до 19.11.2026 / 1121083KZ083 / годен до 19.11.2026 г.")</f>
        <v>Бандаж на голеностопный сустав эластичный 7035 M (Болгария) KZ.7700.02.01.00814836 / Действительно до 19.11.2026 / 1121083KZ083 / годен до 19.11.2026 г.</v>
      </c>
    </row>
    <row r="1802" spans="1:8" ht="12.75" x14ac:dyDescent="0.2">
      <c r="A1802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1802" s="1" t="str">
        <f ca="1">IFERROR(__xludf.DUMMYFUNCTION("""COMPUTED_VALUE"""),"KZ.7700.02.01.00814828")</f>
        <v>KZ.7700.02.01.00814828</v>
      </c>
      <c r="C1802" s="1" t="str">
        <f ca="1">IFERROR(__xludf.DUMMYFUNCTION("""COMPUTED_VALUE"""),"Действительно до 19.11.2026")</f>
        <v>Действительно до 19.11.2026</v>
      </c>
      <c r="D1802" s="8" t="str">
        <f ca="1">IFERROR(__xludf.DUMMYFUNCTION("""COMPUTED_VALUE"""),"1121083KZ083")</f>
        <v>1121083KZ083</v>
      </c>
      <c r="E1802" s="1" t="str">
        <f ca="1">IFERROR(__xludf.DUMMYFUNCTION("""COMPUTED_VALUE"""),"годен до 19.11.2026 г.")</f>
        <v>годен до 19.11.2026 г.</v>
      </c>
      <c r="F1802" s="1" t="str">
        <f ca="1">IFERROR(__xludf.DUMMYFUNCTION("""COMPUTED_VALUE"""),"Бандаж на голеностопный сустав эластичный 7035 S (Болгария) - 1121083KZ083")</f>
        <v>Бандаж на голеностопный сустав эластичный 7035 S (Болгария) - 1121083KZ083</v>
      </c>
      <c r="G1802" s="1" t="str">
        <f ca="1">IFERROR(__xludf.DUMMYFUNCTION("""COMPUTED_VALUE"""),"KZ.7700.02.01.00814828 / Действительно до 19.11.2026 / 1121083KZ083 / годен до 19.11.2026 г.")</f>
        <v>KZ.7700.02.01.00814828 / Действительно до 19.11.2026 / 1121083KZ083 / годен до 19.11.2026 г.</v>
      </c>
      <c r="H1802" s="1" t="str">
        <f ca="1">IFERROR(__xludf.DUMMYFUNCTION("""COMPUTED_VALUE"""),"Бандаж на голеностопный сустав эластичный 7035 S (Болгария) KZ.7700.02.01.00814828 / Действительно до 19.11.2026 / 1121083KZ083 / годен до 19.11.2026 г.")</f>
        <v>Бандаж на голеностопный сустав эластичный 7035 S (Болгария) KZ.7700.02.01.00814828 / Действительно до 19.11.2026 / 1121083KZ083 / годен до 19.11.2026 г.</v>
      </c>
    </row>
    <row r="1803" spans="1:8" ht="12.75" x14ac:dyDescent="0.2">
      <c r="A1803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1803" s="1" t="str">
        <f ca="1">IFERROR(__xludf.DUMMYFUNCTION("""COMPUTED_VALUE"""),"KZ.7700.02.01.00814838")</f>
        <v>KZ.7700.02.01.00814838</v>
      </c>
      <c r="C1803" s="1" t="str">
        <f ca="1">IFERROR(__xludf.DUMMYFUNCTION("""COMPUTED_VALUE"""),"Действительно до 19.11.2026")</f>
        <v>Действительно до 19.11.2026</v>
      </c>
      <c r="D1803" s="8" t="str">
        <f ca="1">IFERROR(__xludf.DUMMYFUNCTION("""COMPUTED_VALUE"""),"1121083KZ083")</f>
        <v>1121083KZ083</v>
      </c>
      <c r="E1803" s="1" t="str">
        <f ca="1">IFERROR(__xludf.DUMMYFUNCTION("""COMPUTED_VALUE"""),"годен до 19.11.2026 г.")</f>
        <v>годен до 19.11.2026 г.</v>
      </c>
      <c r="F1803" s="1" t="str">
        <f ca="1">IFERROR(__xludf.DUMMYFUNCTION("""COMPUTED_VALUE"""),"Бандаж на голеностопный сустав эластичный 7035 XL (Болгария) - 1121083KZ083")</f>
        <v>Бандаж на голеностопный сустав эластичный 7035 XL (Болгария) - 1121083KZ083</v>
      </c>
      <c r="G1803" s="1" t="str">
        <f ca="1">IFERROR(__xludf.DUMMYFUNCTION("""COMPUTED_VALUE"""),"KZ.7700.02.01.00814838 / Действительно до 19.11.2026 / 1121083KZ083 / годен до 19.11.2026 г.")</f>
        <v>KZ.7700.02.01.00814838 / Действительно до 19.11.2026 / 1121083KZ083 / годен до 19.11.2026 г.</v>
      </c>
      <c r="H1803" s="1" t="str">
        <f ca="1">IFERROR(__xludf.DUMMYFUNCTION("""COMPUTED_VALUE"""),"Бандаж на голеностопный сустав эластичный 7035 XL (Болгария) KZ.7700.02.01.00814838 / Действительно до 19.11.2026 / 1121083KZ083 / годен до 19.11.2026 г.")</f>
        <v>Бандаж на голеностопный сустав эластичный 7035 XL (Болгария) KZ.7700.02.01.00814838 / Действительно до 19.11.2026 / 1121083KZ083 / годен до 19.11.2026 г.</v>
      </c>
    </row>
    <row r="1804" spans="1:8" ht="12.75" x14ac:dyDescent="0.2">
      <c r="A1804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1804" s="1" t="str">
        <f ca="1">IFERROR(__xludf.DUMMYFUNCTION("""COMPUTED_VALUE"""),"KZ.7700.02.01.00814843")</f>
        <v>KZ.7700.02.01.00814843</v>
      </c>
      <c r="C1804" s="1" t="str">
        <f ca="1">IFERROR(__xludf.DUMMYFUNCTION("""COMPUTED_VALUE"""),"Действительно до 19.11.2026")</f>
        <v>Действительно до 19.11.2026</v>
      </c>
      <c r="D1804" s="8" t="str">
        <f ca="1">IFERROR(__xludf.DUMMYFUNCTION("""COMPUTED_VALUE"""),"1121083KZ083")</f>
        <v>1121083KZ083</v>
      </c>
      <c r="E1804" s="1" t="str">
        <f ca="1">IFERROR(__xludf.DUMMYFUNCTION("""COMPUTED_VALUE"""),"годен до 19.11.2026 г.")</f>
        <v>годен до 19.11.2026 г.</v>
      </c>
      <c r="F1804" s="1" t="str">
        <f ca="1">IFERROR(__xludf.DUMMYFUNCTION("""COMPUTED_VALUE"""),"Бандаж на локтевой сустав эластичный 8317 L (Болгария) - 1121083KZ083")</f>
        <v>Бандаж на локтевой сустав эластичный 8317 L (Болгария) - 1121083KZ083</v>
      </c>
      <c r="G1804" s="1" t="str">
        <f ca="1">IFERROR(__xludf.DUMMYFUNCTION("""COMPUTED_VALUE"""),"KZ.7700.02.01.00814843 / Действительно до 19.11.2026 / 1121083KZ083 / годен до 19.11.2026 г.")</f>
        <v>KZ.7700.02.01.00814843 / Действительно до 19.11.2026 / 1121083KZ083 / годен до 19.11.2026 г.</v>
      </c>
      <c r="H1804" s="1" t="str">
        <f ca="1">IFERROR(__xludf.DUMMYFUNCTION("""COMPUTED_VALUE"""),"Бандаж на локтевой сустав эластичный 8317 L (Болгария) KZ.7700.02.01.00814843 / Действительно до 19.11.2026 / 1121083KZ083 / годен до 19.11.2026 г.")</f>
        <v>Бандаж на локтевой сустав эластичный 8317 L (Болгария) KZ.7700.02.01.00814843 / Действительно до 19.11.2026 / 1121083KZ083 / годен до 19.11.2026 г.</v>
      </c>
    </row>
    <row r="1805" spans="1:8" ht="12.75" x14ac:dyDescent="0.2">
      <c r="A1805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1805" s="1" t="str">
        <f ca="1">IFERROR(__xludf.DUMMYFUNCTION("""COMPUTED_VALUE"""),"KZ.7700.02.01.00814839")</f>
        <v>KZ.7700.02.01.00814839</v>
      </c>
      <c r="C1805" s="1" t="str">
        <f ca="1">IFERROR(__xludf.DUMMYFUNCTION("""COMPUTED_VALUE"""),"Действительно до 19.11.2026")</f>
        <v>Действительно до 19.11.2026</v>
      </c>
      <c r="D1805" s="8" t="str">
        <f ca="1">IFERROR(__xludf.DUMMYFUNCTION("""COMPUTED_VALUE"""),"1121083KZ083")</f>
        <v>1121083KZ083</v>
      </c>
      <c r="E1805" s="1" t="str">
        <f ca="1">IFERROR(__xludf.DUMMYFUNCTION("""COMPUTED_VALUE"""),"годен до 19.11.2026 г.")</f>
        <v>годен до 19.11.2026 г.</v>
      </c>
      <c r="F1805" s="1" t="str">
        <f ca="1">IFERROR(__xludf.DUMMYFUNCTION("""COMPUTED_VALUE"""),"Бандаж на локтевой сустав эластичный 8317 M (Болгария) - 1121083KZ083")</f>
        <v>Бандаж на локтевой сустав эластичный 8317 M (Болгария) - 1121083KZ083</v>
      </c>
      <c r="G1805" s="1" t="str">
        <f ca="1">IFERROR(__xludf.DUMMYFUNCTION("""COMPUTED_VALUE"""),"KZ.7700.02.01.00814839 / Действительно до 19.11.2026 / 1121083KZ083 / годен до 19.11.2026 г.")</f>
        <v>KZ.7700.02.01.00814839 / Действительно до 19.11.2026 / 1121083KZ083 / годен до 19.11.2026 г.</v>
      </c>
      <c r="H1805" s="1" t="str">
        <f ca="1">IFERROR(__xludf.DUMMYFUNCTION("""COMPUTED_VALUE"""),"Бандаж на локтевой сустав эластичный 8317 M (Болгария) KZ.7700.02.01.00814839 / Действительно до 19.11.2026 / 1121083KZ083 / годен до 19.11.2026 г.")</f>
        <v>Бандаж на локтевой сустав эластичный 8317 M (Болгария) KZ.7700.02.01.00814839 / Действительно до 19.11.2026 / 1121083KZ083 / годен до 19.11.2026 г.</v>
      </c>
    </row>
    <row r="1806" spans="1:8" ht="12.75" x14ac:dyDescent="0.2">
      <c r="A1806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1806" s="1" t="str">
        <f ca="1">IFERROR(__xludf.DUMMYFUNCTION("""COMPUTED_VALUE"""),"KZ.7700.02.01.00814842")</f>
        <v>KZ.7700.02.01.00814842</v>
      </c>
      <c r="C1806" s="1" t="str">
        <f ca="1">IFERROR(__xludf.DUMMYFUNCTION("""COMPUTED_VALUE"""),"Действительно до 19.11.2026")</f>
        <v>Действительно до 19.11.2026</v>
      </c>
      <c r="D1806" s="8" t="str">
        <f ca="1">IFERROR(__xludf.DUMMYFUNCTION("""COMPUTED_VALUE"""),"1121083KZ083")</f>
        <v>1121083KZ083</v>
      </c>
      <c r="E1806" s="1" t="str">
        <f ca="1">IFERROR(__xludf.DUMMYFUNCTION("""COMPUTED_VALUE"""),"годен до 19.11.2026 г.")</f>
        <v>годен до 19.11.2026 г.</v>
      </c>
      <c r="F1806" s="1" t="str">
        <f ca="1">IFERROR(__xludf.DUMMYFUNCTION("""COMPUTED_VALUE"""),"Бандаж на локтевой сустав эластичный 8317 S (Болгария) - 1121083KZ083")</f>
        <v>Бандаж на локтевой сустав эластичный 8317 S (Болгария) - 1121083KZ083</v>
      </c>
      <c r="G1806" s="1" t="str">
        <f ca="1">IFERROR(__xludf.DUMMYFUNCTION("""COMPUTED_VALUE"""),"KZ.7700.02.01.00814842 / Действительно до 19.11.2026 / 1121083KZ083 / годен до 19.11.2026 г.")</f>
        <v>KZ.7700.02.01.00814842 / Действительно до 19.11.2026 / 1121083KZ083 / годен до 19.11.2026 г.</v>
      </c>
      <c r="H1806" s="1" t="str">
        <f ca="1">IFERROR(__xludf.DUMMYFUNCTION("""COMPUTED_VALUE"""),"Бандаж на локтевой сустав эластичный 8317 S (Болгария) KZ.7700.02.01.00814842 / Действительно до 19.11.2026 / 1121083KZ083 / годен до 19.11.2026 г.")</f>
        <v>Бандаж на локтевой сустав эластичный 8317 S (Болгария) KZ.7700.02.01.00814842 / Действительно до 19.11.2026 / 1121083KZ083 / годен до 19.11.2026 г.</v>
      </c>
    </row>
    <row r="1807" spans="1:8" ht="12.75" x14ac:dyDescent="0.2">
      <c r="A1807" s="1" t="str">
        <f ca="1">IFERROR(__xludf.DUMMYFUNCTION("""COMPUTED_VALUE"""),"Бандаж на локтевой сустав эластичный 8317 XL (Болгария)")</f>
        <v>Бандаж на локтевой сустав эластичный 8317 XL (Болгария)</v>
      </c>
      <c r="B1807" s="1" t="str">
        <f ca="1">IFERROR(__xludf.DUMMYFUNCTION("""COMPUTED_VALUE"""),"KZ.7700.02.01.00814835")</f>
        <v>KZ.7700.02.01.00814835</v>
      </c>
      <c r="C1807" s="1" t="str">
        <f ca="1">IFERROR(__xludf.DUMMYFUNCTION("""COMPUTED_VALUE"""),"Действительно до 19.11.2026")</f>
        <v>Действительно до 19.11.2026</v>
      </c>
      <c r="D1807" s="8" t="str">
        <f ca="1">IFERROR(__xludf.DUMMYFUNCTION("""COMPUTED_VALUE"""),"1121083KZ083")</f>
        <v>1121083KZ083</v>
      </c>
      <c r="E1807" s="1" t="str">
        <f ca="1">IFERROR(__xludf.DUMMYFUNCTION("""COMPUTED_VALUE"""),"годен до 19.11.2026 г.")</f>
        <v>годен до 19.11.2026 г.</v>
      </c>
      <c r="F1807" s="1" t="str">
        <f ca="1">IFERROR(__xludf.DUMMYFUNCTION("""COMPUTED_VALUE"""),"Бандаж на локтевой сустав эластичный 8317 XL (Болгария) - 1121083KZ083")</f>
        <v>Бандаж на локтевой сустав эластичный 8317 XL (Болгария) - 1121083KZ083</v>
      </c>
      <c r="G1807" s="1" t="str">
        <f ca="1">IFERROR(__xludf.DUMMYFUNCTION("""COMPUTED_VALUE"""),"KZ.7700.02.01.00814835 / Действительно до 19.11.2026 / 1121083KZ083 / годен до 19.11.2026 г.")</f>
        <v>KZ.7700.02.01.00814835 / Действительно до 19.11.2026 / 1121083KZ083 / годен до 19.11.2026 г.</v>
      </c>
      <c r="H1807" s="1" t="str">
        <f ca="1">IFERROR(__xludf.DUMMYFUNCTION("""COMPUTED_VALUE"""),"Бандаж на локтевой сустав эластичный 8317 XL (Болгария) KZ.7700.02.01.00814835 / Действительно до 19.11.2026 / 1121083KZ083 / годен до 19.11.2026 г.")</f>
        <v>Бандаж на локтевой сустав эластичный 8317 XL (Болгария) KZ.7700.02.01.00814835 / Действительно до 19.11.2026 / 1121083KZ083 / годен до 19.11.2026 г.</v>
      </c>
    </row>
    <row r="1808" spans="1:8" ht="12.75" x14ac:dyDescent="0.2">
      <c r="A1808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1808" s="1" t="str">
        <f ca="1">IFERROR(__xludf.DUMMYFUNCTION("""COMPUTED_VALUE"""),"KZ.7700.02.01.00814841")</f>
        <v>KZ.7700.02.01.00814841</v>
      </c>
      <c r="C1808" s="1" t="str">
        <f ca="1">IFERROR(__xludf.DUMMYFUNCTION("""COMPUTED_VALUE"""),"Действительно до 19.11.2026")</f>
        <v>Действительно до 19.11.2026</v>
      </c>
      <c r="D1808" s="8" t="str">
        <f ca="1">IFERROR(__xludf.DUMMYFUNCTION("""COMPUTED_VALUE"""),"1121083KZ083")</f>
        <v>1121083KZ083</v>
      </c>
      <c r="E1808" s="1" t="str">
        <f ca="1">IFERROR(__xludf.DUMMYFUNCTION("""COMPUTED_VALUE"""),"годен до 19.11.2026 г.")</f>
        <v>годен до 19.11.2026 г.</v>
      </c>
      <c r="F1808" s="1" t="str">
        <f ca="1">IFERROR(__xludf.DUMMYFUNCTION("""COMPUTED_VALUE"""),"Бандаж на лучезапястный сустав эластичный 8503 L (Болгария) - 1121083KZ083")</f>
        <v>Бандаж на лучезапястный сустав эластичный 8503 L (Болгария) - 1121083KZ083</v>
      </c>
      <c r="G1808" s="1" t="str">
        <f ca="1">IFERROR(__xludf.DUMMYFUNCTION("""COMPUTED_VALUE"""),"KZ.7700.02.01.00814841 / Действительно до 19.11.2026 / 1121083KZ083 / годен до 19.11.2026 г.")</f>
        <v>KZ.7700.02.01.00814841 / Действительно до 19.11.2026 / 1121083KZ083 / годен до 19.11.2026 г.</v>
      </c>
      <c r="H1808" s="1" t="str">
        <f ca="1">IFERROR(__xludf.DUMMYFUNCTION("""COMPUTED_VALUE"""),"Бандаж на лучезапястный сустав эластичный 8503 L (Болгария) KZ.7700.02.01.00814841 / Действительно до 19.11.2026 / 1121083KZ083 / годен до 19.11.2026 г.")</f>
        <v>Бандаж на лучезапястный сустав эластичный 8503 L (Болгария) KZ.7700.02.01.00814841 / Действительно до 19.11.2026 / 1121083KZ083 / годен до 19.11.2026 г.</v>
      </c>
    </row>
    <row r="1809" spans="1:8" ht="12.75" x14ac:dyDescent="0.2">
      <c r="A1809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809" s="1" t="str">
        <f ca="1">IFERROR(__xludf.DUMMYFUNCTION("""COMPUTED_VALUE"""),"KZ.7700.02.01.00814837")</f>
        <v>KZ.7700.02.01.00814837</v>
      </c>
      <c r="C1809" s="1" t="str">
        <f ca="1">IFERROR(__xludf.DUMMYFUNCTION("""COMPUTED_VALUE"""),"Действительно до 19.11.2026")</f>
        <v>Действительно до 19.11.2026</v>
      </c>
      <c r="D1809" s="8" t="str">
        <f ca="1">IFERROR(__xludf.DUMMYFUNCTION("""COMPUTED_VALUE"""),"1121083KZ083")</f>
        <v>1121083KZ083</v>
      </c>
      <c r="E1809" s="1" t="str">
        <f ca="1">IFERROR(__xludf.DUMMYFUNCTION("""COMPUTED_VALUE"""),"годен до 19.11.2026 г.")</f>
        <v>годен до 19.11.2026 г.</v>
      </c>
      <c r="F1809" s="1" t="str">
        <f ca="1">IFERROR(__xludf.DUMMYFUNCTION("""COMPUTED_VALUE"""),"Бандаж на лучезапястный сустав эластичный 8503 M (Болгария) - 1121083KZ083")</f>
        <v>Бандаж на лучезапястный сустав эластичный 8503 M (Болгария) - 1121083KZ083</v>
      </c>
      <c r="G1809" s="1" t="str">
        <f ca="1">IFERROR(__xludf.DUMMYFUNCTION("""COMPUTED_VALUE"""),"KZ.7700.02.01.00814837 / Действительно до 19.11.2026 / 1121083KZ083 / годен до 19.11.2026 г.")</f>
        <v>KZ.7700.02.01.00814837 / Действительно до 19.11.2026 / 1121083KZ083 / годен до 19.11.2026 г.</v>
      </c>
      <c r="H1809" s="1" t="str">
        <f ca="1">IFERROR(__xludf.DUMMYFUNCTION("""COMPUTED_VALUE"""),"Бандаж на лучезапястный сустав эластичный 8503 M (Болгария) KZ.7700.02.01.00814837 / Действительно до 19.11.2026 / 1121083KZ083 / годен до 19.11.2026 г.")</f>
        <v>Бандаж на лучезапястный сустав эластичный 8503 M (Болгария) KZ.7700.02.01.00814837 / Действительно до 19.11.2026 / 1121083KZ083 / годен до 19.11.2026 г.</v>
      </c>
    </row>
    <row r="1810" spans="1:8" ht="12.75" x14ac:dyDescent="0.2">
      <c r="A1810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810" s="1" t="str">
        <f ca="1">IFERROR(__xludf.DUMMYFUNCTION("""COMPUTED_VALUE"""),"KZ.7700.02.01.00814840")</f>
        <v>KZ.7700.02.01.00814840</v>
      </c>
      <c r="C1810" s="1" t="str">
        <f ca="1">IFERROR(__xludf.DUMMYFUNCTION("""COMPUTED_VALUE"""),"Действительно до 19.11.2026")</f>
        <v>Действительно до 19.11.2026</v>
      </c>
      <c r="D1810" s="8" t="str">
        <f ca="1">IFERROR(__xludf.DUMMYFUNCTION("""COMPUTED_VALUE"""),"1121083KZ083")</f>
        <v>1121083KZ083</v>
      </c>
      <c r="E1810" s="1" t="str">
        <f ca="1">IFERROR(__xludf.DUMMYFUNCTION("""COMPUTED_VALUE"""),"годен до 19.11.2026 г.")</f>
        <v>годен до 19.11.2026 г.</v>
      </c>
      <c r="F1810" s="1" t="str">
        <f ca="1">IFERROR(__xludf.DUMMYFUNCTION("""COMPUTED_VALUE"""),"Бандаж на лучезапястный сустав эластичный 8503 S (Болгария) - 1121083KZ083")</f>
        <v>Бандаж на лучезапястный сустав эластичный 8503 S (Болгария) - 1121083KZ083</v>
      </c>
      <c r="G1810" s="1" t="str">
        <f ca="1">IFERROR(__xludf.DUMMYFUNCTION("""COMPUTED_VALUE"""),"KZ.7700.02.01.00814840 / Действительно до 19.11.2026 / 1121083KZ083 / годен до 19.11.2026 г.")</f>
        <v>KZ.7700.02.01.00814840 / Действительно до 19.11.2026 / 1121083KZ083 / годен до 19.11.2026 г.</v>
      </c>
      <c r="H1810" s="1" t="str">
        <f ca="1">IFERROR(__xludf.DUMMYFUNCTION("""COMPUTED_VALUE"""),"Бандаж на лучезапястный сустав эластичный 8503 S (Болгария) KZ.7700.02.01.00814840 / Действительно до 19.11.2026 / 1121083KZ083 / годен до 19.11.2026 г.")</f>
        <v>Бандаж на лучезапястный сустав эластичный 8503 S (Болгария) KZ.7700.02.01.00814840 / Действительно до 19.11.2026 / 1121083KZ083 / годен до 19.11.2026 г.</v>
      </c>
    </row>
    <row r="1811" spans="1:8" ht="12.75" x14ac:dyDescent="0.2">
      <c r="A1811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1811" s="1" t="str">
        <f ca="1">IFERROR(__xludf.DUMMYFUNCTION("""COMPUTED_VALUE"""),"KZ.7700.02.01.00814849")</f>
        <v>KZ.7700.02.01.00814849</v>
      </c>
      <c r="C1811" s="1" t="str">
        <f ca="1">IFERROR(__xludf.DUMMYFUNCTION("""COMPUTED_VALUE"""),"Действительно до 19.11.2026")</f>
        <v>Действительно до 19.11.2026</v>
      </c>
      <c r="D1811" s="8" t="str">
        <f ca="1">IFERROR(__xludf.DUMMYFUNCTION("""COMPUTED_VALUE"""),"1121083KZ083")</f>
        <v>1121083KZ083</v>
      </c>
      <c r="E1811" s="1" t="str">
        <f ca="1">IFERROR(__xludf.DUMMYFUNCTION("""COMPUTED_VALUE"""),"годен до 19.11.2026 г.")</f>
        <v>годен до 19.11.2026 г.</v>
      </c>
      <c r="F1811" s="1" t="str">
        <f ca="1">IFERROR(__xludf.DUMMYFUNCTION("""COMPUTED_VALUE"""),"Бандаж на лучезапястный сустав легкой фиксации 8505 L/XL (Бежевый) (Болгария) - 1121083KZ083")</f>
        <v>Бандаж на лучезапястный сустав легкой фиксации 8505 L/XL (Бежевый) (Болгария) - 1121083KZ083</v>
      </c>
      <c r="G1811" s="1" t="str">
        <f ca="1">IFERROR(__xludf.DUMMYFUNCTION("""COMPUTED_VALUE"""),"KZ.7700.02.01.00814849 / Действительно до 19.11.2026 / 1121083KZ083 / годен до 19.11.2026 г.")</f>
        <v>KZ.7700.02.01.00814849 / Действительно до 19.11.2026 / 1121083KZ083 / годен до 19.11.2026 г.</v>
      </c>
      <c r="H1811" s="1" t="str">
        <f ca="1">IFERROR(__xludf.DUMMYFUNCTION("""COMPUTED_VALUE"""),"Бандаж на лучезапястный сустав легкой фиксации 8505 L/XL (Бежевый) (Болгария) KZ.7700.02.01.00814849 / Действительно до 19.11.2026 / 1121083KZ083 / годен до 19.11.2026 г.")</f>
        <v>Бандаж на лучезапястный сустав легкой фиксации 8505 L/XL (Бежевый) (Болгария) KZ.7700.02.01.00814849 / Действительно до 19.11.2026 / 1121083KZ083 / годен до 19.11.2026 г.</v>
      </c>
    </row>
    <row r="1812" spans="1:8" ht="12.75" x14ac:dyDescent="0.2">
      <c r="A1812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1812" s="1" t="str">
        <f ca="1">IFERROR(__xludf.DUMMYFUNCTION("""COMPUTED_VALUE"""),"KZ.7700.02.01.00814846")</f>
        <v>KZ.7700.02.01.00814846</v>
      </c>
      <c r="C1812" s="1" t="str">
        <f ca="1">IFERROR(__xludf.DUMMYFUNCTION("""COMPUTED_VALUE"""),"Действительно до 19.11.2026")</f>
        <v>Действительно до 19.11.2026</v>
      </c>
      <c r="D1812" s="8" t="str">
        <f ca="1">IFERROR(__xludf.DUMMYFUNCTION("""COMPUTED_VALUE"""),"1121083KZ083")</f>
        <v>1121083KZ083</v>
      </c>
      <c r="E1812" s="1" t="str">
        <f ca="1">IFERROR(__xludf.DUMMYFUNCTION("""COMPUTED_VALUE"""),"годен до 19.11.2026 г.")</f>
        <v>годен до 19.11.2026 г.</v>
      </c>
      <c r="F1812" s="1" t="str">
        <f ca="1">IFERROR(__xludf.DUMMYFUNCTION("""COMPUTED_VALUE"""),"Бандаж на лучезапястный сустав легкой фиксации 8505 S/M (Бежевый) (Болгария) - 1121083KZ083")</f>
        <v>Бандаж на лучезапястный сустав легкой фиксации 8505 S/M (Бежевый) (Болгария) - 1121083KZ083</v>
      </c>
      <c r="G1812" s="1" t="str">
        <f ca="1">IFERROR(__xludf.DUMMYFUNCTION("""COMPUTED_VALUE"""),"KZ.7700.02.01.00814846 / Действительно до 19.11.2026 / 1121083KZ083 / годен до 19.11.2026 г.")</f>
        <v>KZ.7700.02.01.00814846 / Действительно до 19.11.2026 / 1121083KZ083 / годен до 19.11.2026 г.</v>
      </c>
      <c r="H1812" s="1" t="str">
        <f ca="1">IFERROR(__xludf.DUMMYFUNCTION("""COMPUTED_VALUE"""),"Бандаж на лучезапястный сустав легкой фиксации 8505 S/M (Бежевый) (Болгария) KZ.7700.02.01.00814846 / Действительно до 19.11.2026 / 1121083KZ083 / годен до 19.11.2026 г.")</f>
        <v>Бандаж на лучезапястный сустав легкой фиксации 8505 S/M (Бежевый) (Болгария) KZ.7700.02.01.00814846 / Действительно до 19.11.2026 / 1121083KZ083 / годен до 19.11.2026 г.</v>
      </c>
    </row>
    <row r="1813" spans="1:8" ht="12.75" x14ac:dyDescent="0.2">
      <c r="A1813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813" s="1" t="str">
        <f ca="1">IFERROR(__xludf.DUMMYFUNCTION("""COMPUTED_VALUE"""),"KZ.7700.02.01.00814844")</f>
        <v>KZ.7700.02.01.00814844</v>
      </c>
      <c r="C1813" s="1" t="str">
        <f ca="1">IFERROR(__xludf.DUMMYFUNCTION("""COMPUTED_VALUE"""),"Действительно до 19.11.2026")</f>
        <v>Действительно до 19.11.2026</v>
      </c>
      <c r="D1813" s="8" t="str">
        <f ca="1">IFERROR(__xludf.DUMMYFUNCTION("""COMPUTED_VALUE"""),"1121083KZ083")</f>
        <v>1121083KZ083</v>
      </c>
      <c r="E1813" s="1" t="str">
        <f ca="1">IFERROR(__xludf.DUMMYFUNCTION("""COMPUTED_VALUE"""),"годен до 19.11.2026 г.")</f>
        <v>годен до 19.11.2026 г.</v>
      </c>
      <c r="F1813" s="1" t="str">
        <f ca="1">IFERROR(__xludf.DUMMYFUNCTION("""COMPUTED_VALUE"""),"Бандаж на лучезапястный сустав с фиксацией пальца 8552 L\XL (Болгария) - 1121083KZ083")</f>
        <v>Бандаж на лучезапястный сустав с фиксацией пальца 8552 L\XL (Болгария) - 1121083KZ083</v>
      </c>
      <c r="G1813" s="1" t="str">
        <f ca="1">IFERROR(__xludf.DUMMYFUNCTION("""COMPUTED_VALUE"""),"KZ.7700.02.01.00814844 / Действительно до 19.11.2026 / 1121083KZ083 / годен до 19.11.2026 г.")</f>
        <v>KZ.7700.02.01.00814844 / Действительно до 19.11.2026 / 1121083KZ083 / годен до 19.11.2026 г.</v>
      </c>
      <c r="H1813" s="1" t="str">
        <f ca="1">IFERROR(__xludf.DUMMYFUNCTION("""COMPUTED_VALUE"""),"Бандаж на лучезапястный сустав с фиксацией пальца 8552 L\XL (Болгария) KZ.7700.02.01.00814844 / Действительно до 19.11.2026 / 1121083KZ083 / годен до 19.11.2026 г.")</f>
        <v>Бандаж на лучезапястный сустав с фиксацией пальца 8552 L\XL (Болгария) KZ.7700.02.01.00814844 / Действительно до 19.11.2026 / 1121083KZ083 / годен до 19.11.2026 г.</v>
      </c>
    </row>
    <row r="1814" spans="1:8" ht="12.75" x14ac:dyDescent="0.2">
      <c r="A1814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814" s="1" t="str">
        <f ca="1">IFERROR(__xludf.DUMMYFUNCTION("""COMPUTED_VALUE"""),"KZ.7700.02.01.00814852")</f>
        <v>KZ.7700.02.01.00814852</v>
      </c>
      <c r="C1814" s="1" t="str">
        <f ca="1">IFERROR(__xludf.DUMMYFUNCTION("""COMPUTED_VALUE"""),"Действительно до 19.11.2026")</f>
        <v>Действительно до 19.11.2026</v>
      </c>
      <c r="D1814" s="8" t="str">
        <f ca="1">IFERROR(__xludf.DUMMYFUNCTION("""COMPUTED_VALUE"""),"1121083KZ083")</f>
        <v>1121083KZ083</v>
      </c>
      <c r="E1814" s="1" t="str">
        <f ca="1">IFERROR(__xludf.DUMMYFUNCTION("""COMPUTED_VALUE"""),"годен до 19.11.2026 г.")</f>
        <v>годен до 19.11.2026 г.</v>
      </c>
      <c r="F1814" s="1" t="str">
        <f ca="1">IFERROR(__xludf.DUMMYFUNCTION("""COMPUTED_VALUE"""),"Бандаж на лучезапястный сустав с фиксацией пальца 8552 S\M (Болгария) - 1121083KZ083")</f>
        <v>Бандаж на лучезапястный сустав с фиксацией пальца 8552 S\M (Болгария) - 1121083KZ083</v>
      </c>
      <c r="G1814" s="1" t="str">
        <f ca="1">IFERROR(__xludf.DUMMYFUNCTION("""COMPUTED_VALUE"""),"KZ.7700.02.01.00814852 / Действительно до 19.11.2026 / 1121083KZ083 / годен до 19.11.2026 г.")</f>
        <v>KZ.7700.02.01.00814852 / Действительно до 19.11.2026 / 1121083KZ083 / годен до 19.11.2026 г.</v>
      </c>
      <c r="H1814" s="1" t="str">
        <f ca="1">IFERROR(__xludf.DUMMYFUNCTION("""COMPUTED_VALUE"""),"Бандаж на лучезапястный сустав с фиксацией пальца 8552 S\M (Болгария) KZ.7700.02.01.00814852 / Действительно до 19.11.2026 / 1121083KZ083 / годен до 19.11.2026 г.")</f>
        <v>Бандаж на лучезапястный сустав с фиксацией пальца 8552 S\M (Болгария) KZ.7700.02.01.00814852 / Действительно до 19.11.2026 / 1121083KZ083 / годен до 19.11.2026 г.</v>
      </c>
    </row>
    <row r="1815" spans="1:8" ht="12.75" x14ac:dyDescent="0.2">
      <c r="A1815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1815" s="1" t="str">
        <f ca="1">IFERROR(__xludf.DUMMYFUNCTION("""COMPUTED_VALUE"""),"KZ.7700.02.01.00814860")</f>
        <v>KZ.7700.02.01.00814860</v>
      </c>
      <c r="C1815" s="1" t="str">
        <f ca="1">IFERROR(__xludf.DUMMYFUNCTION("""COMPUTED_VALUE"""),"Действительно до 19.11.2026")</f>
        <v>Действительно до 19.11.2026</v>
      </c>
      <c r="D1815" s="8" t="str">
        <f ca="1">IFERROR(__xludf.DUMMYFUNCTION("""COMPUTED_VALUE"""),"1121083KZ083")</f>
        <v>1121083KZ083</v>
      </c>
      <c r="E1815" s="1" t="str">
        <f ca="1">IFERROR(__xludf.DUMMYFUNCTION("""COMPUTED_VALUE"""),"годен до 19.11.2026 г.")</f>
        <v>годен до 19.11.2026 г.</v>
      </c>
      <c r="F1815" s="1" t="str">
        <f ca="1">IFERROR(__xludf.DUMMYFUNCTION("""COMPUTED_VALUE"""),"Бандаж для руки поддерживающий облегченный (косынка) 9912 L (белый) (Болгария) - 1121083KZ083")</f>
        <v>Бандаж для руки поддерживающий облегченный (косынка) 9912 L (белый) (Болгария) - 1121083KZ083</v>
      </c>
      <c r="G1815" s="1" t="str">
        <f ca="1">IFERROR(__xludf.DUMMYFUNCTION("""COMPUTED_VALUE"""),"KZ.7700.02.01.00814860 / Действительно до 19.11.2026 / 1121083KZ083 / годен до 19.11.2026 г.")</f>
        <v>KZ.7700.02.01.00814860 / Действительно до 19.11.2026 / 1121083KZ083 / годен до 19.11.2026 г.</v>
      </c>
      <c r="H1815" s="1" t="str">
        <f ca="1">IFERROR(__xludf.DUMMYFUNCTION("""COMPUTED_VALUE"""),"Бандаж для руки поддерживающий облегченный (косынка) 9912 L (белый) (Болгария) KZ.7700.02.01.00814860 / Действительно до 19.11.2026 / 1121083KZ083 / годен до 19.11.2026 г.")</f>
        <v>Бандаж для руки поддерживающий облегченный (косынка) 9912 L (белый) (Болгария) KZ.7700.02.01.00814860 / Действительно до 19.11.2026 / 1121083KZ083 / годен до 19.11.2026 г.</v>
      </c>
    </row>
    <row r="1816" spans="1:8" ht="12.75" x14ac:dyDescent="0.2">
      <c r="A1816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816" s="1" t="str">
        <f ca="1">IFERROR(__xludf.DUMMYFUNCTION("""COMPUTED_VALUE"""),"KZ.7700.02.01.00814847")</f>
        <v>KZ.7700.02.01.00814847</v>
      </c>
      <c r="C1816" s="1" t="str">
        <f ca="1">IFERROR(__xludf.DUMMYFUNCTION("""COMPUTED_VALUE"""),"Действительно до 19.11.2026")</f>
        <v>Действительно до 19.11.2026</v>
      </c>
      <c r="D1816" s="8" t="str">
        <f ca="1">IFERROR(__xludf.DUMMYFUNCTION("""COMPUTED_VALUE"""),"1121083KZ083")</f>
        <v>1121083KZ083</v>
      </c>
      <c r="E1816" s="1" t="str">
        <f ca="1">IFERROR(__xludf.DUMMYFUNCTION("""COMPUTED_VALUE"""),"годен до 19.11.2026 г.")</f>
        <v>годен до 19.11.2026 г.</v>
      </c>
      <c r="F1816" s="1" t="str">
        <f ca="1">IFERROR(__xludf.DUMMYFUNCTION("""COMPUTED_VALUE"""),"Бандаж для руки поддерживающий облегченный (косынка) 9912 L (черный) (Болгария) - 1121083KZ083")</f>
        <v>Бандаж для руки поддерживающий облегченный (косынка) 9912 L (черный) (Болгария) - 1121083KZ083</v>
      </c>
      <c r="G1816" s="1" t="str">
        <f ca="1">IFERROR(__xludf.DUMMYFUNCTION("""COMPUTED_VALUE"""),"KZ.7700.02.01.00814847 / Действительно до 19.11.2026 / 1121083KZ083 / годен до 19.11.2026 г.")</f>
        <v>KZ.7700.02.01.00814847 / Действительно до 19.11.2026 / 1121083KZ083 / годен до 19.11.2026 г.</v>
      </c>
      <c r="H1816" s="1" t="str">
        <f ca="1">IFERROR(__xludf.DUMMYFUNCTION("""COMPUTED_VALUE"""),"Бандаж для руки поддерживающий облегченный (косынка) 9912 L (черный) (Болгария) KZ.7700.02.01.00814847 / Действительно до 19.11.2026 / 1121083KZ083 / годен до 19.11.2026 г.")</f>
        <v>Бандаж для руки поддерживающий облегченный (косынка) 9912 L (черный) (Болгария) KZ.7700.02.01.00814847 / Действительно до 19.11.2026 / 1121083KZ083 / годен до 19.11.2026 г.</v>
      </c>
    </row>
    <row r="1817" spans="1:8" ht="12.75" x14ac:dyDescent="0.2">
      <c r="A1817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1817" s="1" t="str">
        <f ca="1">IFERROR(__xludf.DUMMYFUNCTION("""COMPUTED_VALUE"""),"KZ.7700.02.01.00814850")</f>
        <v>KZ.7700.02.01.00814850</v>
      </c>
      <c r="C1817" s="1" t="str">
        <f ca="1">IFERROR(__xludf.DUMMYFUNCTION("""COMPUTED_VALUE"""),"Действительно до 19.11.2026")</f>
        <v>Действительно до 19.11.2026</v>
      </c>
      <c r="D1817" s="8" t="str">
        <f ca="1">IFERROR(__xludf.DUMMYFUNCTION("""COMPUTED_VALUE"""),"1121083KZ083")</f>
        <v>1121083KZ083</v>
      </c>
      <c r="E1817" s="1" t="str">
        <f ca="1">IFERROR(__xludf.DUMMYFUNCTION("""COMPUTED_VALUE"""),"годен до 19.11.2026 г.")</f>
        <v>годен до 19.11.2026 г.</v>
      </c>
      <c r="F1817" s="1" t="str">
        <f ca="1">IFERROR(__xludf.DUMMYFUNCTION("""COMPUTED_VALUE"""),"Бандаж для руки поддерживающий облегченный (косынка) 9912 M (белый) (Болгария) - 1121083KZ083")</f>
        <v>Бандаж для руки поддерживающий облегченный (косынка) 9912 M (белый) (Болгария) - 1121083KZ083</v>
      </c>
      <c r="G1817" s="1" t="str">
        <f ca="1">IFERROR(__xludf.DUMMYFUNCTION("""COMPUTED_VALUE"""),"KZ.7700.02.01.00814850 / Действительно до 19.11.2026 / 1121083KZ083 / годен до 19.11.2026 г.")</f>
        <v>KZ.7700.02.01.00814850 / Действительно до 19.11.2026 / 1121083KZ083 / годен до 19.11.2026 г.</v>
      </c>
      <c r="H1817" s="1" t="str">
        <f ca="1">IFERROR(__xludf.DUMMYFUNCTION("""COMPUTED_VALUE"""),"Бандаж для руки поддерживающий облегченный (косынка) 9912 M (белый) (Болгария) KZ.7700.02.01.00814850 / Действительно до 19.11.2026 / 1121083KZ083 / годен до 19.11.2026 г.")</f>
        <v>Бандаж для руки поддерживающий облегченный (косынка) 9912 M (белый) (Болгария) KZ.7700.02.01.00814850 / Действительно до 19.11.2026 / 1121083KZ083 / годен до 19.11.2026 г.</v>
      </c>
    </row>
    <row r="1818" spans="1:8" ht="12.75" x14ac:dyDescent="0.2">
      <c r="A1818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818" s="1" t="str">
        <f ca="1">IFERROR(__xludf.DUMMYFUNCTION("""COMPUTED_VALUE"""),"KZ.7700.02.01.00814848")</f>
        <v>KZ.7700.02.01.00814848</v>
      </c>
      <c r="C1818" s="1" t="str">
        <f ca="1">IFERROR(__xludf.DUMMYFUNCTION("""COMPUTED_VALUE"""),"Действительно до 19.11.2026")</f>
        <v>Действительно до 19.11.2026</v>
      </c>
      <c r="D1818" s="8" t="str">
        <f ca="1">IFERROR(__xludf.DUMMYFUNCTION("""COMPUTED_VALUE"""),"1121083KZ083")</f>
        <v>1121083KZ083</v>
      </c>
      <c r="E1818" s="1" t="str">
        <f ca="1">IFERROR(__xludf.DUMMYFUNCTION("""COMPUTED_VALUE"""),"годен до 19.11.2026 г.")</f>
        <v>годен до 19.11.2026 г.</v>
      </c>
      <c r="F1818" s="1" t="str">
        <f ca="1">IFERROR(__xludf.DUMMYFUNCTION("""COMPUTED_VALUE"""),"Бандаж для руки поддерживающий облегченный (косынка) 9912 M (черный) (Болгария) - 1121083KZ083")</f>
        <v>Бандаж для руки поддерживающий облегченный (косынка) 9912 M (черный) (Болгария) - 1121083KZ083</v>
      </c>
      <c r="G1818" s="1" t="str">
        <f ca="1">IFERROR(__xludf.DUMMYFUNCTION("""COMPUTED_VALUE"""),"KZ.7700.02.01.00814848 / Действительно до 19.11.2026 / 1121083KZ083 / годен до 19.11.2026 г.")</f>
        <v>KZ.7700.02.01.00814848 / Действительно до 19.11.2026 / 1121083KZ083 / годен до 19.11.2026 г.</v>
      </c>
      <c r="H1818" s="1" t="str">
        <f ca="1">IFERROR(__xludf.DUMMYFUNCTION("""COMPUTED_VALUE"""),"Бандаж для руки поддерживающий облегченный (косынка) 9912 M (черный) (Болгария) KZ.7700.02.01.00814848 / Действительно до 19.11.2026 / 1121083KZ083 / годен до 19.11.2026 г.")</f>
        <v>Бандаж для руки поддерживающий облегченный (косынка) 9912 M (черный) (Болгария) KZ.7700.02.01.00814848 / Действительно до 19.11.2026 / 1121083KZ083 / годен до 19.11.2026 г.</v>
      </c>
    </row>
    <row r="1819" spans="1:8" ht="12.75" x14ac:dyDescent="0.2">
      <c r="A1819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B1819" s="1" t="str">
        <f ca="1">IFERROR(__xludf.DUMMYFUNCTION("""COMPUTED_VALUE"""),"KZ.7700.02.01.00814851")</f>
        <v>KZ.7700.02.01.00814851</v>
      </c>
      <c r="C1819" s="1" t="str">
        <f ca="1">IFERROR(__xludf.DUMMYFUNCTION("""COMPUTED_VALUE"""),"Действительно до 19.11.2026")</f>
        <v>Действительно до 19.11.2026</v>
      </c>
      <c r="D1819" s="8" t="str">
        <f ca="1">IFERROR(__xludf.DUMMYFUNCTION("""COMPUTED_VALUE"""),"1121083KZ083")</f>
        <v>1121083KZ083</v>
      </c>
      <c r="E1819" s="1" t="str">
        <f ca="1">IFERROR(__xludf.DUMMYFUNCTION("""COMPUTED_VALUE"""),"годен до 19.11.2026 г.")</f>
        <v>годен до 19.11.2026 г.</v>
      </c>
      <c r="F1819" s="1" t="str">
        <f ca="1">IFERROR(__xludf.DUMMYFUNCTION("""COMPUTED_VALUE"""),"Бандаж для руки поддерживающий облегченный (косынка) 9912 S (белый) (Болгария) - 1121083KZ083")</f>
        <v>Бандаж для руки поддерживающий облегченный (косынка) 9912 S (белый) (Болгария) - 1121083KZ083</v>
      </c>
      <c r="G1819" s="1" t="str">
        <f ca="1">IFERROR(__xludf.DUMMYFUNCTION("""COMPUTED_VALUE"""),"KZ.7700.02.01.00814851 / Действительно до 19.11.2026 / 1121083KZ083 / годен до 19.11.2026 г.")</f>
        <v>KZ.7700.02.01.00814851 / Действительно до 19.11.2026 / 1121083KZ083 / годен до 19.11.2026 г.</v>
      </c>
      <c r="H1819" s="1" t="str">
        <f ca="1">IFERROR(__xludf.DUMMYFUNCTION("""COMPUTED_VALUE"""),"Бандаж для руки поддерживающий облегченный (косынка) 9912 S (белый) (Болгария) KZ.7700.02.01.00814851 / Действительно до 19.11.2026 / 1121083KZ083 / годен до 19.11.2026 г.")</f>
        <v>Бандаж для руки поддерживающий облегченный (косынка) 9912 S (белый) (Болгария) KZ.7700.02.01.00814851 / Действительно до 19.11.2026 / 1121083KZ083 / годен до 19.11.2026 г.</v>
      </c>
    </row>
    <row r="1820" spans="1:8" ht="12.75" x14ac:dyDescent="0.2">
      <c r="A1820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1820" s="1" t="str">
        <f ca="1">IFERROR(__xludf.DUMMYFUNCTION("""COMPUTED_VALUE"""),"KZ.7700.02.01.00814853")</f>
        <v>KZ.7700.02.01.00814853</v>
      </c>
      <c r="C1820" s="1" t="str">
        <f ca="1">IFERROR(__xludf.DUMMYFUNCTION("""COMPUTED_VALUE"""),"Действительно до 19.11.2026")</f>
        <v>Действительно до 19.11.2026</v>
      </c>
      <c r="D1820" s="8" t="str">
        <f ca="1">IFERROR(__xludf.DUMMYFUNCTION("""COMPUTED_VALUE"""),"1121083KZ083")</f>
        <v>1121083KZ083</v>
      </c>
      <c r="E1820" s="1" t="str">
        <f ca="1">IFERROR(__xludf.DUMMYFUNCTION("""COMPUTED_VALUE"""),"годен до 19.11.2026 г.")</f>
        <v>годен до 19.11.2026 г.</v>
      </c>
      <c r="F1820" s="1" t="str">
        <f ca="1">IFERROR(__xludf.DUMMYFUNCTION("""COMPUTED_VALUE"""),"Бандаж для руки поддерживающий облегченный (косынка) 9912 S (черный) (Болгария) - 1121083KZ083")</f>
        <v>Бандаж для руки поддерживающий облегченный (косынка) 9912 S (черный) (Болгария) - 1121083KZ083</v>
      </c>
      <c r="G1820" s="1" t="str">
        <f ca="1">IFERROR(__xludf.DUMMYFUNCTION("""COMPUTED_VALUE"""),"KZ.7700.02.01.00814853 / Действительно до 19.11.2026 / 1121083KZ083 / годен до 19.11.2026 г.")</f>
        <v>KZ.7700.02.01.00814853 / Действительно до 19.11.2026 / 1121083KZ083 / годен до 19.11.2026 г.</v>
      </c>
      <c r="H1820" s="1" t="str">
        <f ca="1">IFERROR(__xludf.DUMMYFUNCTION("""COMPUTED_VALUE"""),"Бандаж для руки поддерживающий облегченный (косынка) 9912 S (черный) (Болгария) KZ.7700.02.01.00814853 / Действительно до 19.11.2026 / 1121083KZ083 / годен до 19.11.2026 г.")</f>
        <v>Бандаж для руки поддерживающий облегченный (косынка) 9912 S (черный) (Болгария) KZ.7700.02.01.00814853 / Действительно до 19.11.2026 / 1121083KZ083 / годен до 19.11.2026 г.</v>
      </c>
    </row>
    <row r="1821" spans="1:8" ht="12.75" x14ac:dyDescent="0.2">
      <c r="A1821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821" s="1" t="str">
        <f ca="1">IFERROR(__xludf.DUMMYFUNCTION("""COMPUTED_VALUE"""),"KZ.7700.02.01.00814845")</f>
        <v>KZ.7700.02.01.00814845</v>
      </c>
      <c r="C1821" s="1" t="str">
        <f ca="1">IFERROR(__xludf.DUMMYFUNCTION("""COMPUTED_VALUE"""),"Действительно до 19.11.2026")</f>
        <v>Действительно до 19.11.2026</v>
      </c>
      <c r="D1821" s="8" t="str">
        <f ca="1">IFERROR(__xludf.DUMMYFUNCTION("""COMPUTED_VALUE"""),"1121083KZ083")</f>
        <v>1121083KZ083</v>
      </c>
      <c r="E1821" s="1" t="str">
        <f ca="1">IFERROR(__xludf.DUMMYFUNCTION("""COMPUTED_VALUE"""),"годен до 19.11.2026 г.")</f>
        <v>годен до 19.11.2026 г.</v>
      </c>
      <c r="F1821" s="1" t="str">
        <f ca="1">IFERROR(__xludf.DUMMYFUNCTION("""COMPUTED_VALUE"""),"Бандаж для руки поддерживающий облегченный (косынка) 9912 XL (черный) (Болгария) - 1121083KZ083")</f>
        <v>Бандаж для руки поддерживающий облегченный (косынка) 9912 XL (черный) (Болгария) - 1121083KZ083</v>
      </c>
      <c r="G1821" s="1" t="str">
        <f ca="1">IFERROR(__xludf.DUMMYFUNCTION("""COMPUTED_VALUE"""),"KZ.7700.02.01.00814845 / Действительно до 19.11.2026 / 1121083KZ083 / годен до 19.11.2026 г.")</f>
        <v>KZ.7700.02.01.00814845 / Действительно до 19.11.2026 / 1121083KZ083 / годен до 19.11.2026 г.</v>
      </c>
      <c r="H1821" s="1" t="str">
        <f ca="1">IFERROR(__xludf.DUMMYFUNCTION("""COMPUTED_VALUE"""),"Бандаж для руки поддерживающий облегченный (косынка) 9912 XL (черный) (Болгария) KZ.7700.02.01.00814845 / Действительно до 19.11.2026 / 1121083KZ083 / годен до 19.11.2026 г.")</f>
        <v>Бандаж для руки поддерживающий облегченный (косынка) 9912 XL (черный) (Болгария) KZ.7700.02.01.00814845 / Действительно до 19.11.2026 / 1121083KZ083 / годен до 19.11.2026 г.</v>
      </c>
    </row>
    <row r="1822" spans="1:8" ht="12.75" x14ac:dyDescent="0.2">
      <c r="A1822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1822" s="1" t="str">
        <f ca="1">IFERROR(__xludf.DUMMYFUNCTION("""COMPUTED_VALUE"""),"KZ.7700.02.01.00818556")</f>
        <v>KZ.7700.02.01.00818556</v>
      </c>
      <c r="C1822" s="1" t="str">
        <f ca="1">IFERROR(__xludf.DUMMYFUNCTION("""COMPUTED_VALUE"""),"Действительно до бессрочно")</f>
        <v>Действительно до бессрочно</v>
      </c>
      <c r="D1822" s="8" t="str">
        <f ca="1">IFERROR(__xludf.DUMMYFUNCTION("""COMPUTED_VALUE"""),"JL-MGS-0122")</f>
        <v>JL-MGS-0122</v>
      </c>
      <c r="E1822" s="1" t="str">
        <f ca="1">IFERROR(__xludf.DUMMYFUNCTION("""COMPUTED_VALUE"""),"без срока годности")</f>
        <v>без срока годности</v>
      </c>
      <c r="F1822" s="1" t="str">
        <f ca="1">IFERROR(__xludf.DUMMYFUNCTION("""COMPUTED_VALUE"""),"Ингалятор компрессорный Gamma модель EFFECT NEW - JL-MGS-0122")</f>
        <v>Ингалятор компрессорный Gamma модель EFFECT NEW - JL-MGS-0122</v>
      </c>
      <c r="G1822" s="1" t="str">
        <f ca="1">IFERROR(__xludf.DUMMYFUNCTION("""COMPUTED_VALUE"""),"KZ.7700.02.01.00818556 / Действительно до бессрочно / JL-MGS-0122 / без срока годности")</f>
        <v>KZ.7700.02.01.00818556 / Действительно до бессрочно / JL-MGS-0122 / без срока годности</v>
      </c>
      <c r="H1822" s="1" t="str">
        <f ca="1">IFERROR(__xludf.DUMMYFUNCTION("""COMPUTED_VALUE"""),"Ингалятор компрессорный Gamma модель EFFECT NEW KZ.7700.02.01.00818556 / Действительно до бессрочно / JL-MGS-0122 / без срока годности")</f>
        <v>Ингалятор компрессорный Gamma модель EFFECT NEW KZ.7700.02.01.00818556 / Действительно до бессрочно / JL-MGS-0122 / без срока годности</v>
      </c>
    </row>
    <row r="1823" spans="1:8" ht="12.75" x14ac:dyDescent="0.2">
      <c r="A1823" s="1" t="str">
        <f ca="1">IFERROR(__xludf.DUMMYFUNCTION("""COMPUTED_VALUE"""),"Ингалятор компрессорный Gamma модель NEMO")</f>
        <v>Ингалятор компрессорный Gamma модель NEMO</v>
      </c>
      <c r="B1823" s="1" t="str">
        <f ca="1">IFERROR(__xludf.DUMMYFUNCTION("""COMPUTED_VALUE"""),"KZ.7700.02.01.00818555")</f>
        <v>KZ.7700.02.01.00818555</v>
      </c>
      <c r="C1823" s="1" t="str">
        <f ca="1">IFERROR(__xludf.DUMMYFUNCTION("""COMPUTED_VALUE"""),"Действительно до бессрочно")</f>
        <v>Действительно до бессрочно</v>
      </c>
      <c r="D1823" s="8" t="str">
        <f ca="1">IFERROR(__xludf.DUMMYFUNCTION("""COMPUTED_VALUE"""),"JL-MGS-0122")</f>
        <v>JL-MGS-0122</v>
      </c>
      <c r="E1823" s="1" t="str">
        <f ca="1">IFERROR(__xludf.DUMMYFUNCTION("""COMPUTED_VALUE"""),"без срока годности")</f>
        <v>без срока годности</v>
      </c>
      <c r="F1823" s="1" t="str">
        <f ca="1">IFERROR(__xludf.DUMMYFUNCTION("""COMPUTED_VALUE"""),"Ингалятор компрессорный Gamma модель NEMO - JL-MGS-0122")</f>
        <v>Ингалятор компрессорный Gamma модель NEMO - JL-MGS-0122</v>
      </c>
      <c r="G1823" s="1" t="str">
        <f ca="1">IFERROR(__xludf.DUMMYFUNCTION("""COMPUTED_VALUE"""),"KZ.7700.02.01.00818555 / Действительно до бессрочно / JL-MGS-0122 / без срока годности")</f>
        <v>KZ.7700.02.01.00818555 / Действительно до бессрочно / JL-MGS-0122 / без срока годности</v>
      </c>
      <c r="H1823" s="1" t="str">
        <f ca="1">IFERROR(__xludf.DUMMYFUNCTION("""COMPUTED_VALUE"""),"Ингалятор компрессорный Gamma модель NEMO KZ.7700.02.01.00818555 / Действительно до бессрочно / JL-MGS-0122 / без срока годности")</f>
        <v>Ингалятор компрессорный Gamma модель NEMO KZ.7700.02.01.00818555 / Действительно до бессрочно / JL-MGS-0122 / без срока годности</v>
      </c>
    </row>
    <row r="1824" spans="1:8" ht="12.75" x14ac:dyDescent="0.2">
      <c r="A1824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1824" s="1" t="str">
        <f ca="1">IFERROR(__xludf.DUMMYFUNCTION("""COMPUTED_VALUE"""),"KZ.7700.02.01.00814179")</f>
        <v>KZ.7700.02.01.00814179</v>
      </c>
      <c r="C1824" s="1" t="str">
        <f ca="1">IFERROR(__xludf.DUMMYFUNCTION("""COMPUTED_VALUE"""),"Действительно до 01.12.2026")</f>
        <v>Действительно до 01.12.2026</v>
      </c>
      <c r="D1824" s="8" t="str">
        <f ca="1">IFERROR(__xludf.DUMMYFUNCTION("""COMPUTED_VALUE"""),"2111TNI3140")</f>
        <v>2111TNI3140</v>
      </c>
      <c r="E1824" s="1" t="str">
        <f ca="1">IFERROR(__xludf.DUMMYFUNCTION("""COMPUTED_VALUE"""),"годен до 11.2026 г")</f>
        <v>годен до 11.2026 г</v>
      </c>
      <c r="F1824" s="1" t="str">
        <f ca="1">IFERROR(__xludf.DUMMYFUNCTION("""COMPUTED_VALUE"""),"DOLPHI анатомические ультратонкие Презервативы латексные, № 3 - 2111TNI3140")</f>
        <v>DOLPHI анатомические ультратонкие Презервативы латексные, № 3 - 2111TNI3140</v>
      </c>
      <c r="G1824" s="1" t="str">
        <f ca="1">IFERROR(__xludf.DUMMYFUNCTION("""COMPUTED_VALUE"""),"KZ.7700.02.01.00814179 / Действительно до 01.12.2026 / 2111TNI3140 / годен до 11.2026 г")</f>
        <v>KZ.7700.02.01.00814179 / Действительно до 01.12.2026 / 2111TNI3140 / годен до 11.2026 г</v>
      </c>
      <c r="H1824" s="1" t="str">
        <f ca="1">IFERROR(__xludf.DUMMYFUNCTION("""COMPUTED_VALUE"""),"DOLPHI анатомические ультратонкие Презервативы латексные, № 3 KZ.7700.02.01.00814179 / Действительно до 01.12.2026 / 2111TNI3140 / годен до 11.2026 г")</f>
        <v>DOLPHI анатомические ультратонкие Презервативы латексные, № 3 KZ.7700.02.01.00814179 / Действительно до 01.12.2026 / 2111TNI3140 / годен до 11.2026 г</v>
      </c>
    </row>
    <row r="1825" spans="1:8" ht="12.75" x14ac:dyDescent="0.2">
      <c r="A1825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1825" s="1" t="str">
        <f ca="1">IFERROR(__xludf.DUMMYFUNCTION("""COMPUTED_VALUE"""),"KZ.7700.02.01.00814180")</f>
        <v>KZ.7700.02.01.00814180</v>
      </c>
      <c r="C1825" s="1" t="str">
        <f ca="1">IFERROR(__xludf.DUMMYFUNCTION("""COMPUTED_VALUE"""),"Действительно до 01.12.2026")</f>
        <v>Действительно до 01.12.2026</v>
      </c>
      <c r="D1825" s="8" t="str">
        <f ca="1">IFERROR(__xludf.DUMMYFUNCTION("""COMPUTED_VALUE"""),"2111TNI3140")</f>
        <v>2111TNI3140</v>
      </c>
      <c r="E1825" s="1" t="str">
        <f ca="1">IFERROR(__xludf.DUMMYFUNCTION("""COMPUTED_VALUE"""),"годен до 11.2026 г")</f>
        <v>годен до 11.2026 г</v>
      </c>
      <c r="F1825" s="1" t="str">
        <f ca="1">IFERROR(__xludf.DUMMYFUNCTION("""COMPUTED_VALUE"""),"DOLPHI анатомические ультратонкие, №12 Презервативы латексные - 2111TNI3140")</f>
        <v>DOLPHI анатомические ультратонкие, №12 Презервативы латексные - 2111TNI3140</v>
      </c>
      <c r="G1825" s="1" t="str">
        <f ca="1">IFERROR(__xludf.DUMMYFUNCTION("""COMPUTED_VALUE"""),"KZ.7700.02.01.00814180 / Действительно до 01.12.2026 / 2111TNI3140 / годен до 11.2026 г")</f>
        <v>KZ.7700.02.01.00814180 / Действительно до 01.12.2026 / 2111TNI3140 / годен до 11.2026 г</v>
      </c>
      <c r="H1825" s="1" t="str">
        <f ca="1">IFERROR(__xludf.DUMMYFUNCTION("""COMPUTED_VALUE"""),"DOLPHI анатомические ультратонкие, №12 Презервативы латексные KZ.7700.02.01.00814180 / Действительно до 01.12.2026 / 2111TNI3140 / годен до 11.2026 г")</f>
        <v>DOLPHI анатомические ультратонкие, №12 Презервативы латексные KZ.7700.02.01.00814180 / Действительно до 01.12.2026 / 2111TNI3140 / годен до 11.2026 г</v>
      </c>
    </row>
    <row r="1826" spans="1:8" ht="12.75" x14ac:dyDescent="0.2">
      <c r="A1826" s="1" t="str">
        <f ca="1">IFERROR(__xludf.DUMMYFUNCTION("""COMPUTED_VALUE"""),"Тест-полоски для контроля ур глюкозы Rightest GS300 (2уп. х 25шт)")</f>
        <v>Тест-полоски для контроля ур глюкозы Rightest GS300 (2уп. х 25шт)</v>
      </c>
      <c r="B1826" s="1"/>
      <c r="C1826" s="1" t="str">
        <f ca="1">IFERROR(__xludf.DUMMYFUNCTION("""COMPUTED_VALUE"""),"не подлежит сертификации")</f>
        <v>не подлежит сертификации</v>
      </c>
      <c r="D1826" s="8" t="str">
        <f ca="1">IFERROR(__xludf.DUMMYFUNCTION("""COMPUTED_VALUE"""),"212152106")</f>
        <v>212152106</v>
      </c>
      <c r="E1826" s="1" t="str">
        <f ca="1">IFERROR(__xludf.DUMMYFUNCTION("""COMPUTED_VALUE"""),"годен до 21.04.2023")</f>
        <v>годен до 21.04.2023</v>
      </c>
      <c r="F1826" s="1" t="str">
        <f ca="1">IFERROR(__xludf.DUMMYFUNCTION("""COMPUTED_VALUE"""),"Тест-полоски для контроля ур глюкозы Rightest GS300 (2уп. х 25шт) - 212152106")</f>
        <v>Тест-полоски для контроля ур глюкозы Rightest GS300 (2уп. х 25шт) - 212152106</v>
      </c>
      <c r="G1826" s="1" t="str">
        <f ca="1">IFERROR(__xludf.DUMMYFUNCTION("""COMPUTED_VALUE""")," / не подлежит сертификации / 212152106 / годен до 21.04.2023")</f>
        <v xml:space="preserve"> / не подлежит сертификации / 212152106 / годен до 21.04.2023</v>
      </c>
      <c r="H1826" s="1" t="str">
        <f ca="1">IFERROR(__xludf.DUMMYFUNCTION("""COMPUTED_VALUE"""),"Тест-полоски для контроля ур глюкозы Rightest GS300 (2уп. х 25шт)  / не подлежит сертификации / 212152106 / годен до 21.04.2023")</f>
        <v>Тест-полоски для контроля ур глюкозы Rightest GS300 (2уп. х 25шт)  / не подлежит сертификации / 212152106 / годен до 21.04.2023</v>
      </c>
    </row>
    <row r="1827" spans="1:8" ht="12.75" x14ac:dyDescent="0.2">
      <c r="A1827" s="1" t="str">
        <f ca="1">IFERROR(__xludf.DUMMYFUNCTION("""COMPUTED_VALUE"""),"Тонометр на запястие автомат Gamma Active")</f>
        <v>Тонометр на запястие автомат Gamma Active</v>
      </c>
      <c r="B1827" s="1" t="str">
        <f ca="1">IFERROR(__xludf.DUMMYFUNCTION("""COMPUTED_VALUE"""),"KZ.7700.02.01.00823797")</f>
        <v>KZ.7700.02.01.00823797</v>
      </c>
      <c r="C1827" s="1" t="str">
        <f ca="1">IFERROR(__xludf.DUMMYFUNCTION("""COMPUTED_VALUE"""),"Действительно до Бессрочно")</f>
        <v>Действительно до Бессрочно</v>
      </c>
      <c r="D1827" s="8" t="str">
        <f ca="1">IFERROR(__xludf.DUMMYFUNCTION("""COMPUTED_VALUE"""),"PG20210906KM")</f>
        <v>PG20210906KM</v>
      </c>
      <c r="E1827" s="1" t="str">
        <f ca="1">IFERROR(__xludf.DUMMYFUNCTION("""COMPUTED_VALUE"""),"без срока годности")</f>
        <v>без срока годности</v>
      </c>
      <c r="F1827" s="1" t="str">
        <f ca="1">IFERROR(__xludf.DUMMYFUNCTION("""COMPUTED_VALUE"""),"Тонометр на запястие автомат Gamma Active - PG20210906KM")</f>
        <v>Тонометр на запястие автомат Gamma Active - PG20210906KM</v>
      </c>
      <c r="G1827" s="1" t="str">
        <f ca="1">IFERROR(__xludf.DUMMYFUNCTION("""COMPUTED_VALUE"""),"KZ.7700.02.01.00823797 / Действительно до Бессрочно / PG20210906KM / без срока годности")</f>
        <v>KZ.7700.02.01.00823797 / Действительно до Бессрочно / PG20210906KM / без срока годности</v>
      </c>
      <c r="H1827" s="1" t="str">
        <f ca="1">IFERROR(__xludf.DUMMYFUNCTION("""COMPUTED_VALUE"""),"Тонометр на запястие автомат Gamma Active KZ.7700.02.01.00823797 / Действительно до Бессрочно / PG20210906KM / без срока годности")</f>
        <v>Тонометр на запястие автомат Gamma Active KZ.7700.02.01.00823797 / Действительно до Бессрочно / PG20210906KM / без срока годности</v>
      </c>
    </row>
    <row r="1828" spans="1:8" ht="12.75" x14ac:dyDescent="0.2">
      <c r="A1828" s="1" t="str">
        <f ca="1">IFERROR(__xludf.DUMMYFUNCTION("""COMPUTED_VALUE"""),"Тонометр автомат Gamma Plus")</f>
        <v>Тонометр автомат Gamma Plus</v>
      </c>
      <c r="B1828" s="1" t="str">
        <f ca="1">IFERROR(__xludf.DUMMYFUNCTION("""COMPUTED_VALUE"""),"KZ.7700.02.01.00824438")</f>
        <v>KZ.7700.02.01.00824438</v>
      </c>
      <c r="C1828" s="1" t="str">
        <f ca="1">IFERROR(__xludf.DUMMYFUNCTION("""COMPUTED_VALUE"""),"Действительно до Бессрочно")</f>
        <v>Действительно до Бессрочно</v>
      </c>
      <c r="D1828" s="8" t="str">
        <f ca="1">IFERROR(__xludf.DUMMYFUNCTION("""COMPUTED_VALUE"""),"PG20210906KM")</f>
        <v>PG20210906KM</v>
      </c>
      <c r="E1828" s="1" t="str">
        <f ca="1">IFERROR(__xludf.DUMMYFUNCTION("""COMPUTED_VALUE"""),"без срока годности")</f>
        <v>без срока годности</v>
      </c>
      <c r="F1828" s="1" t="str">
        <f ca="1">IFERROR(__xludf.DUMMYFUNCTION("""COMPUTED_VALUE"""),"Тонометр автомат Gamma Plus - PG20210906KM")</f>
        <v>Тонометр автомат Gamma Plus - PG20210906KM</v>
      </c>
      <c r="G1828" s="1" t="str">
        <f ca="1">IFERROR(__xludf.DUMMYFUNCTION("""COMPUTED_VALUE"""),"KZ.7700.02.01.00824438 / Действительно до Бессрочно / PG20210906KM / без срока годности")</f>
        <v>KZ.7700.02.01.00824438 / Действительно до Бессрочно / PG20210906KM / без срока годности</v>
      </c>
      <c r="H1828" s="1" t="str">
        <f ca="1">IFERROR(__xludf.DUMMYFUNCTION("""COMPUTED_VALUE"""),"Тонометр автомат Gamma Plus KZ.7700.02.01.00824438 / Действительно до Бессрочно / PG20210906KM / без срока годности")</f>
        <v>Тонометр автомат Gamma Plus KZ.7700.02.01.00824438 / Действительно до Бессрочно / PG20210906KM / без срока годности</v>
      </c>
    </row>
    <row r="1829" spans="1:8" ht="12.75" x14ac:dyDescent="0.2">
      <c r="A1829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829" s="1" t="str">
        <f ca="1">IFERROR(__xludf.DUMMYFUNCTION("""COMPUTED_VALUE"""),"KZ.7700.02.01.00824983")</f>
        <v>KZ.7700.02.01.00824983</v>
      </c>
      <c r="C1829" s="1" t="str">
        <f ca="1">IFERROR(__xludf.DUMMYFUNCTION("""COMPUTED_VALUE"""),"Действительно до Бессрочно")</f>
        <v>Действительно до Бессрочно</v>
      </c>
      <c r="D1829" s="8" t="str">
        <f ca="1">IFERROR(__xludf.DUMMYFUNCTION("""COMPUTED_VALUE"""),"PG20210906KM")</f>
        <v>PG20210906KM</v>
      </c>
      <c r="E1829" s="1" t="str">
        <f ca="1">IFERROR(__xludf.DUMMYFUNCTION("""COMPUTED_VALUE"""),"без срока годности")</f>
        <v>без срока годности</v>
      </c>
      <c r="F1829" s="1" t="str">
        <f ca="1">IFERROR(__xludf.DUMMYFUNCTION("""COMPUTED_VALUE"""),"Автоматический измеритель артериального давления ТМ DR.FREI МОДЕЛЬ M-100A - PG20210906KM")</f>
        <v>Автоматический измеритель артериального давления ТМ DR.FREI МОДЕЛЬ M-100A - PG20210906KM</v>
      </c>
      <c r="G1829" s="1" t="str">
        <f ca="1">IFERROR(__xludf.DUMMYFUNCTION("""COMPUTED_VALUE"""),"KZ.7700.02.01.00824983 / Действительно до Бессрочно / PG20210906KM / без срока годности")</f>
        <v>KZ.7700.02.01.00824983 / Действительно до Бессрочно / PG20210906KM / без срока годности</v>
      </c>
      <c r="H1829" s="1" t="str">
        <f ca="1">IFERROR(__xludf.DUMMYFUNCTION("""COMPUTED_VALUE"""),"Автоматический измеритель артериального давления ТМ DR.FREI МОДЕЛЬ M-100A KZ.7700.02.01.00824983 / Действительно до Бессрочно / PG20210906KM / без срока годности")</f>
        <v>Автоматический измеритель артериального давления ТМ DR.FREI МОДЕЛЬ M-100A KZ.7700.02.01.00824983 / Действительно до Бессрочно / PG20210906KM / без срока годности</v>
      </c>
    </row>
    <row r="1830" spans="1:8" ht="12.75" x14ac:dyDescent="0.2">
      <c r="A1830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830" s="1" t="str">
        <f ca="1">IFERROR(__xludf.DUMMYFUNCTION("""COMPUTED_VALUE"""),"KZ.7700.02.01.00824152")</f>
        <v>KZ.7700.02.01.00824152</v>
      </c>
      <c r="C1830" s="1" t="str">
        <f ca="1">IFERROR(__xludf.DUMMYFUNCTION("""COMPUTED_VALUE"""),"Действительно до Бессрочно")</f>
        <v>Действительно до Бессрочно</v>
      </c>
      <c r="D1830" s="8" t="str">
        <f ca="1">IFERROR(__xludf.DUMMYFUNCTION("""COMPUTED_VALUE"""),"PG20210906KM")</f>
        <v>PG20210906KM</v>
      </c>
      <c r="E1830" s="1" t="str">
        <f ca="1">IFERROR(__xludf.DUMMYFUNCTION("""COMPUTED_VALUE"""),"без срока годности")</f>
        <v>без срока годности</v>
      </c>
      <c r="F1830" s="1" t="str">
        <f ca="1">IFERROR(__xludf.DUMMYFUNCTION("""COMPUTED_VALUE"""),"Полуавтоматический измеритель артериального давления ТМ DR.FREI МОДЕЛЬ M-150S - PG20210906KM")</f>
        <v>Полуавтоматический измеритель артериального давления ТМ DR.FREI МОДЕЛЬ M-150S - PG20210906KM</v>
      </c>
      <c r="G1830" s="1" t="str">
        <f ca="1">IFERROR(__xludf.DUMMYFUNCTION("""COMPUTED_VALUE"""),"KZ.7700.02.01.00824152 / Действительно до Бессрочно / PG20210906KM / без срока годности")</f>
        <v>KZ.7700.02.01.00824152 / Действительно до Бессрочно / PG20210906KM / без срока годности</v>
      </c>
      <c r="H1830" s="1" t="str">
        <f ca="1">IFERROR(__xludf.DUMMYFUNCTION("""COMPUTED_VALUE"""),"Полуавтоматический измеритель артериального давления ТМ DR.FREI МОДЕЛЬ M-150S KZ.7700.02.01.00824152 / Действительно до Бессрочно / PG20210906KM / без срока годности")</f>
        <v>Полуавтоматический измеритель артериального давления ТМ DR.FREI МОДЕЛЬ M-150S KZ.7700.02.01.00824152 / Действительно до Бессрочно / PG20210906KM / без срока годности</v>
      </c>
    </row>
    <row r="1831" spans="1:8" ht="12.75" x14ac:dyDescent="0.2">
      <c r="A1831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831" s="1" t="str">
        <f ca="1">IFERROR(__xludf.DUMMYFUNCTION("""COMPUTED_VALUE"""),"KZ.7700.02.01.00824153")</f>
        <v>KZ.7700.02.01.00824153</v>
      </c>
      <c r="C1831" s="1" t="str">
        <f ca="1">IFERROR(__xludf.DUMMYFUNCTION("""COMPUTED_VALUE"""),"Действительно до Бессрочно")</f>
        <v>Действительно до Бессрочно</v>
      </c>
      <c r="D1831" s="8" t="str">
        <f ca="1">IFERROR(__xludf.DUMMYFUNCTION("""COMPUTED_VALUE"""),"PG20210906KM")</f>
        <v>PG20210906KM</v>
      </c>
      <c r="E1831" s="1" t="str">
        <f ca="1">IFERROR(__xludf.DUMMYFUNCTION("""COMPUTED_VALUE"""),"без срока годности")</f>
        <v>без срока годности</v>
      </c>
      <c r="F1831" s="1" t="str">
        <f ca="1">IFERROR(__xludf.DUMMYFUNCTION("""COMPUTED_VALUE"""),"Автоматический измеритель артериального давления ТМ DR.FREI МОДЕЛЬ M-200A - PG20210906KM")</f>
        <v>Автоматический измеритель артериального давления ТМ DR.FREI МОДЕЛЬ M-200A - PG20210906KM</v>
      </c>
      <c r="G1831" s="1" t="str">
        <f ca="1">IFERROR(__xludf.DUMMYFUNCTION("""COMPUTED_VALUE"""),"KZ.7700.02.01.00824153 / Действительно до Бессрочно / PG20210906KM / без срока годности")</f>
        <v>KZ.7700.02.01.00824153 / Действительно до Бессрочно / PG20210906KM / без срока годности</v>
      </c>
      <c r="H1831" s="1" t="str">
        <f ca="1">IFERROR(__xludf.DUMMYFUNCTION("""COMPUTED_VALUE"""),"Автоматический измеритель артериального давления ТМ DR.FREI МОДЕЛЬ M-200A KZ.7700.02.01.00824153 / Действительно до Бессрочно / PG20210906KM / без срока годности")</f>
        <v>Автоматический измеритель артериального давления ТМ DR.FREI МОДЕЛЬ M-200A KZ.7700.02.01.00824153 / Действительно до Бессрочно / PG20210906KM / без срока годности</v>
      </c>
    </row>
    <row r="1832" spans="1:8" ht="12.75" x14ac:dyDescent="0.2">
      <c r="A1832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1832" s="1" t="str">
        <f ca="1">IFERROR(__xludf.DUMMYFUNCTION("""COMPUTED_VALUE"""),"KZ.7700.02.01.00824433")</f>
        <v>KZ.7700.02.01.00824433</v>
      </c>
      <c r="C1832" s="1" t="str">
        <f ca="1">IFERROR(__xludf.DUMMYFUNCTION("""COMPUTED_VALUE"""),"Действительно до Бессрочно")</f>
        <v>Действительно до Бессрочно</v>
      </c>
      <c r="D1832" s="8" t="str">
        <f ca="1">IFERROR(__xludf.DUMMYFUNCTION("""COMPUTED_VALUE"""),"YTC21045")</f>
        <v>YTC21045</v>
      </c>
      <c r="E1832" s="1" t="str">
        <f ca="1">IFERROR(__xludf.DUMMYFUNCTION("""COMPUTED_VALUE"""),"без срока годности")</f>
        <v>без срока годности</v>
      </c>
      <c r="F1832" s="1" t="str">
        <f ca="1">IFERROR(__xludf.DUMMYFUNCTION("""COMPUTED_VALUE"""),"Измеритель артериального давления Классик Dr.Frei А-20 - YTC21045")</f>
        <v>Измеритель артериального давления Классик Dr.Frei А-20 - YTC21045</v>
      </c>
      <c r="G1832" s="1" t="str">
        <f ca="1">IFERROR(__xludf.DUMMYFUNCTION("""COMPUTED_VALUE"""),"KZ.7700.02.01.00824433 / Действительно до Бессрочно / YTC21045 / без срока годности")</f>
        <v>KZ.7700.02.01.00824433 / Действительно до Бессрочно / YTC21045 / без срока годности</v>
      </c>
      <c r="H1832" s="1" t="str">
        <f ca="1">IFERROR(__xludf.DUMMYFUNCTION("""COMPUTED_VALUE"""),"Измеритель артериального давления Классик Dr.Frei А-20 KZ.7700.02.01.00824433 / Действительно до Бессрочно / YTC21045 / без срока годности")</f>
        <v>Измеритель артериального давления Классик Dr.Frei А-20 KZ.7700.02.01.00824433 / Действительно до Бессрочно / YTC21045 / без срока годности</v>
      </c>
    </row>
    <row r="1833" spans="1:8" ht="12.75" x14ac:dyDescent="0.2">
      <c r="A1833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1833" s="1" t="str">
        <f ca="1">IFERROR(__xludf.DUMMYFUNCTION("""COMPUTED_VALUE"""),"KZ.7700.02.01.00824268")</f>
        <v>KZ.7700.02.01.00824268</v>
      </c>
      <c r="C1833" s="1" t="str">
        <f ca="1">IFERROR(__xludf.DUMMYFUNCTION("""COMPUTED_VALUE"""),"Действительно до Бессрочно")</f>
        <v>Действительно до Бессрочно</v>
      </c>
      <c r="D1833" s="8" t="str">
        <f ca="1">IFERROR(__xludf.DUMMYFUNCTION("""COMPUTED_VALUE"""),"YTC21045")</f>
        <v>YTC21045</v>
      </c>
      <c r="E1833" s="1" t="str">
        <f ca="1">IFERROR(__xludf.DUMMYFUNCTION("""COMPUTED_VALUE"""),"без срока годности")</f>
        <v>без срока годности</v>
      </c>
      <c r="F1833" s="1" t="str">
        <f ca="1">IFERROR(__xludf.DUMMYFUNCTION("""COMPUTED_VALUE"""),"Измеритель артериального давления Premium Dr.Frei А-30 - YTC21045")</f>
        <v>Измеритель артериального давления Premium Dr.Frei А-30 - YTC21045</v>
      </c>
      <c r="G1833" s="1" t="str">
        <f ca="1">IFERROR(__xludf.DUMMYFUNCTION("""COMPUTED_VALUE"""),"KZ.7700.02.01.00824268 / Действительно до Бессрочно / YTC21045 / без срока годности")</f>
        <v>KZ.7700.02.01.00824268 / Действительно до Бессрочно / YTC21045 / без срока годности</v>
      </c>
      <c r="H1833" s="1" t="str">
        <f ca="1">IFERROR(__xludf.DUMMYFUNCTION("""COMPUTED_VALUE"""),"Измеритель артериального давления Premium Dr.Frei А-30 KZ.7700.02.01.00824268 / Действительно до Бессрочно / YTC21045 / без срока годности")</f>
        <v>Измеритель артериального давления Premium Dr.Frei А-30 KZ.7700.02.01.00824268 / Действительно до Бессрочно / YTC21045 / без срока годности</v>
      </c>
    </row>
    <row r="1834" spans="1:8" ht="12.75" x14ac:dyDescent="0.2">
      <c r="A1834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1834" s="1" t="str">
        <f ca="1">IFERROR(__xludf.DUMMYFUNCTION("""COMPUTED_VALUE"""),"KZ.7700.02.01.00824990")</f>
        <v>KZ.7700.02.01.00824990</v>
      </c>
      <c r="C1834" s="1" t="str">
        <f ca="1">IFERROR(__xludf.DUMMYFUNCTION("""COMPUTED_VALUE"""),"Действительно до Бессрочно")</f>
        <v>Действительно до Бессрочно</v>
      </c>
      <c r="D1834" s="8" t="str">
        <f ca="1">IFERROR(__xludf.DUMMYFUNCTION("""COMPUTED_VALUE"""),"YTC21045")</f>
        <v>YTC21045</v>
      </c>
      <c r="E1834" s="1" t="str">
        <f ca="1">IFERROR(__xludf.DUMMYFUNCTION("""COMPUTED_VALUE"""),"без срока годности")</f>
        <v>без срока годности</v>
      </c>
      <c r="F1834" s="1" t="str">
        <f ca="1">IFERROR(__xludf.DUMMYFUNCTION("""COMPUTED_VALUE"""),"Измеритель артериального давления Комфорт Dr.Frei А-40 - YTC21045")</f>
        <v>Измеритель артериального давления Комфорт Dr.Frei А-40 - YTC21045</v>
      </c>
      <c r="G1834" s="1" t="str">
        <f ca="1">IFERROR(__xludf.DUMMYFUNCTION("""COMPUTED_VALUE"""),"KZ.7700.02.01.00824990 / Действительно до Бессрочно / YTC21045 / без срока годности")</f>
        <v>KZ.7700.02.01.00824990 / Действительно до Бессрочно / YTC21045 / без срока годности</v>
      </c>
      <c r="H1834" s="1" t="str">
        <f ca="1">IFERROR(__xludf.DUMMYFUNCTION("""COMPUTED_VALUE"""),"Измеритель артериального давления Комфорт Dr.Frei А-40 KZ.7700.02.01.00824990 / Действительно до Бессрочно / YTC21045 / без срока годности")</f>
        <v>Измеритель артериального давления Комфорт Dr.Frei А-40 KZ.7700.02.01.00824990 / Действительно до Бессрочно / YTC21045 / без срока годности</v>
      </c>
    </row>
    <row r="1835" spans="1:8" ht="12.75" x14ac:dyDescent="0.2">
      <c r="A1835" s="1" t="str">
        <f ca="1">IFERROR(__xludf.DUMMYFUNCTION("""COMPUTED_VALUE"""),"М 0201 L/XL Гигеническая маска, черная")</f>
        <v>М 0201 L/XL Гигеническая маска, черная</v>
      </c>
      <c r="B1835" s="1" t="str">
        <f ca="1">IFERROR(__xludf.DUMMYFUNCTION("""COMPUTED_VALUE"""),"KZ.3510317.05.01.00595")</f>
        <v>KZ.3510317.05.01.00595</v>
      </c>
      <c r="C1835" s="1" t="str">
        <f ca="1">IFERROR(__xludf.DUMMYFUNCTION("""COMPUTED_VALUE"""),"Действителен до 15.02.2023")</f>
        <v>Действителен до 15.02.2023</v>
      </c>
      <c r="D1835" s="8" t="str">
        <f ca="1">IFERROR(__xludf.DUMMYFUNCTION("""COMPUTED_VALUE"""),"1121083KZ083")</f>
        <v>1121083KZ083</v>
      </c>
      <c r="E1835" s="1" t="str">
        <f ca="1">IFERROR(__xludf.DUMMYFUNCTION("""COMPUTED_VALUE"""),"Срок годности 19.11.2026 г")</f>
        <v>Срок годности 19.11.2026 г</v>
      </c>
      <c r="F1835" s="1" t="str">
        <f ca="1">IFERROR(__xludf.DUMMYFUNCTION("""COMPUTED_VALUE"""),"М 0201 L/XL Гигеническая маска, черная - 1121083KZ083")</f>
        <v>М 0201 L/XL Гигеническая маска, черная - 1121083KZ083</v>
      </c>
      <c r="G1835" s="1" t="str">
        <f ca="1">IFERROR(__xludf.DUMMYFUNCTION("""COMPUTED_VALUE"""),"KZ.3510317.05.01.00595 / Действителен до 15.02.2023 / 1121083KZ083 / Срок годности 19.11.2026 г")</f>
        <v>KZ.3510317.05.01.00595 / Действителен до 15.02.2023 / 1121083KZ083 / Срок годности 19.11.2026 г</v>
      </c>
      <c r="H1835" s="1" t="str">
        <f ca="1">IFERROR(__xludf.DUMMYFUNCTION("""COMPUTED_VALUE"""),"М 0201 L/XL Гигеническая маска, черная KZ.3510317.05.01.00595 / Действителен до 15.02.2023 / 1121083KZ083 / Срок годности 19.11.2026 г")</f>
        <v>М 0201 L/XL Гигеническая маска, черная KZ.3510317.05.01.00595 / Действителен до 15.02.2023 / 1121083KZ083 / Срок годности 19.11.2026 г</v>
      </c>
    </row>
    <row r="1836" spans="1:8" ht="12.75" x14ac:dyDescent="0.2">
      <c r="A1836" s="1" t="str">
        <f ca="1">IFERROR(__xludf.DUMMYFUNCTION("""COMPUTED_VALUE"""),"М 0201 XS/M Гигеническая маска, черная")</f>
        <v>М 0201 XS/M Гигеническая маска, черная</v>
      </c>
      <c r="B1836" s="1" t="str">
        <f ca="1">IFERROR(__xludf.DUMMYFUNCTION("""COMPUTED_VALUE"""),"KZ.3510317.05.01.00595")</f>
        <v>KZ.3510317.05.01.00595</v>
      </c>
      <c r="C1836" s="1" t="str">
        <f ca="1">IFERROR(__xludf.DUMMYFUNCTION("""COMPUTED_VALUE"""),"Действителен до 15.02.2023")</f>
        <v>Действителен до 15.02.2023</v>
      </c>
      <c r="D1836" s="8" t="str">
        <f ca="1">IFERROR(__xludf.DUMMYFUNCTION("""COMPUTED_VALUE"""),"1121083KZ083")</f>
        <v>1121083KZ083</v>
      </c>
      <c r="E1836" s="1" t="str">
        <f ca="1">IFERROR(__xludf.DUMMYFUNCTION("""COMPUTED_VALUE"""),"Срок годности 19.11.2026 г")</f>
        <v>Срок годности 19.11.2026 г</v>
      </c>
      <c r="F1836" s="1" t="str">
        <f ca="1">IFERROR(__xludf.DUMMYFUNCTION("""COMPUTED_VALUE"""),"М 0201 XS/M Гигеническая маска, черная - 1121083KZ083")</f>
        <v>М 0201 XS/M Гигеническая маска, черная - 1121083KZ083</v>
      </c>
      <c r="G1836" s="1" t="str">
        <f ca="1">IFERROR(__xludf.DUMMYFUNCTION("""COMPUTED_VALUE"""),"KZ.3510317.05.01.00595 / Действителен до 15.02.2023 / 1121083KZ083 / Срок годности 19.11.2026 г")</f>
        <v>KZ.3510317.05.01.00595 / Действителен до 15.02.2023 / 1121083KZ083 / Срок годности 19.11.2026 г</v>
      </c>
      <c r="H1836" s="1" t="str">
        <f ca="1">IFERROR(__xludf.DUMMYFUNCTION("""COMPUTED_VALUE"""),"М 0201 XS/M Гигеническая маска, черная KZ.3510317.05.01.00595 / Действителен до 15.02.2023 / 1121083KZ083 / Срок годности 19.11.2026 г")</f>
        <v>М 0201 XS/M Гигеническая маска, черная KZ.3510317.05.01.00595 / Действителен до 15.02.2023 / 1121083KZ083 / Срок годности 19.11.2026 г</v>
      </c>
    </row>
    <row r="1837" spans="1:8" ht="12.75" x14ac:dyDescent="0.2">
      <c r="A1837" s="1" t="str">
        <f ca="1">IFERROR(__xludf.DUMMYFUNCTION("""COMPUTED_VALUE"""),"М 0201 XS/M Гигиеническая маска, бежевая")</f>
        <v>М 0201 XS/M Гигиеническая маска, бежевая</v>
      </c>
      <c r="B1837" s="1" t="str">
        <f ca="1">IFERROR(__xludf.DUMMYFUNCTION("""COMPUTED_VALUE"""),"KZ.3510317.05.01.00595")</f>
        <v>KZ.3510317.05.01.00595</v>
      </c>
      <c r="C1837" s="1" t="str">
        <f ca="1">IFERROR(__xludf.DUMMYFUNCTION("""COMPUTED_VALUE"""),"Действителен до 15.02.2023")</f>
        <v>Действителен до 15.02.2023</v>
      </c>
      <c r="D1837" s="8" t="str">
        <f ca="1">IFERROR(__xludf.DUMMYFUNCTION("""COMPUTED_VALUE"""),"1121083KZ083")</f>
        <v>1121083KZ083</v>
      </c>
      <c r="E1837" s="1" t="str">
        <f ca="1">IFERROR(__xludf.DUMMYFUNCTION("""COMPUTED_VALUE"""),"Срок годности 19.11.2026 г")</f>
        <v>Срок годности 19.11.2026 г</v>
      </c>
      <c r="F1837" s="1" t="str">
        <f ca="1">IFERROR(__xludf.DUMMYFUNCTION("""COMPUTED_VALUE"""),"М 0201 XS/M Гигиеническая маска, бежевая - 1121083KZ083")</f>
        <v>М 0201 XS/M Гигиеническая маска, бежевая - 1121083KZ083</v>
      </c>
      <c r="G1837" s="1" t="str">
        <f ca="1">IFERROR(__xludf.DUMMYFUNCTION("""COMPUTED_VALUE"""),"KZ.3510317.05.01.00595 / Действителен до 15.02.2023 / 1121083KZ083 / Срок годности 19.11.2026 г")</f>
        <v>KZ.3510317.05.01.00595 / Действителен до 15.02.2023 / 1121083KZ083 / Срок годности 19.11.2026 г</v>
      </c>
      <c r="H1837" s="1" t="str">
        <f ca="1">IFERROR(__xludf.DUMMYFUNCTION("""COMPUTED_VALUE"""),"М 0201 XS/M Гигиеническая маска, бежевая KZ.3510317.05.01.00595 / Действителен до 15.02.2023 / 1121083KZ083 / Срок годности 19.11.2026 г")</f>
        <v>М 0201 XS/M Гигиеническая маска, бежевая KZ.3510317.05.01.00595 / Действителен до 15.02.2023 / 1121083KZ083 / Срок годности 19.11.2026 г</v>
      </c>
    </row>
    <row r="1838" spans="1:8" ht="12.75" x14ac:dyDescent="0.2">
      <c r="A1838" s="1" t="str">
        <f ca="1">IFERROR(__xludf.DUMMYFUNCTION("""COMPUTED_VALUE"""),"М 0201 L/XL/M Гигиеническая маска, бежевая")</f>
        <v>М 0201 L/XL/M Гигиеническая маска, бежевая</v>
      </c>
      <c r="B1838" s="1" t="str">
        <f ca="1">IFERROR(__xludf.DUMMYFUNCTION("""COMPUTED_VALUE"""),"KZ.3510317.05.01.00595")</f>
        <v>KZ.3510317.05.01.00595</v>
      </c>
      <c r="C1838" s="1" t="str">
        <f ca="1">IFERROR(__xludf.DUMMYFUNCTION("""COMPUTED_VALUE"""),"Действителен до 15.02.2023")</f>
        <v>Действителен до 15.02.2023</v>
      </c>
      <c r="D1838" s="8" t="str">
        <f ca="1">IFERROR(__xludf.DUMMYFUNCTION("""COMPUTED_VALUE"""),"1121083KZ083")</f>
        <v>1121083KZ083</v>
      </c>
      <c r="E1838" s="1" t="str">
        <f ca="1">IFERROR(__xludf.DUMMYFUNCTION("""COMPUTED_VALUE"""),"Срок годности 19.11.2026 г")</f>
        <v>Срок годности 19.11.2026 г</v>
      </c>
      <c r="F1838" s="1" t="str">
        <f ca="1">IFERROR(__xludf.DUMMYFUNCTION("""COMPUTED_VALUE"""),"М 0201 L/XL/M Гигиеническая маска, бежевая - 1121083KZ083")</f>
        <v>М 0201 L/XL/M Гигиеническая маска, бежевая - 1121083KZ083</v>
      </c>
      <c r="G1838" s="1" t="str">
        <f ca="1">IFERROR(__xludf.DUMMYFUNCTION("""COMPUTED_VALUE"""),"KZ.3510317.05.01.00595 / Действителен до 15.02.2023 / 1121083KZ083 / Срок годности 19.11.2026 г")</f>
        <v>KZ.3510317.05.01.00595 / Действителен до 15.02.2023 / 1121083KZ083 / Срок годности 19.11.2026 г</v>
      </c>
      <c r="H1838" s="1" t="str">
        <f ca="1">IFERROR(__xludf.DUMMYFUNCTION("""COMPUTED_VALUE"""),"М 0201 L/XL/M Гигиеническая маска, бежевая KZ.3510317.05.01.00595 / Действителен до 15.02.2023 / 1121083KZ083 / Срок годности 19.11.2026 г")</f>
        <v>М 0201 L/XL/M Гигиеническая маска, бежевая KZ.3510317.05.01.00595 / Действителен до 15.02.2023 / 1121083KZ083 / Срок годности 19.11.2026 г</v>
      </c>
    </row>
    <row r="1839" spans="1:8" ht="12.75" x14ac:dyDescent="0.2">
      <c r="A1839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1839" s="1"/>
      <c r="C1839" s="1" t="str">
        <f ca="1">IFERROR(__xludf.DUMMYFUNCTION("""COMPUTED_VALUE"""),"не подлежит сертификации")</f>
        <v>не подлежит сертификации</v>
      </c>
      <c r="D1839" s="8" t="str">
        <f ca="1">IFERROR(__xludf.DUMMYFUNCTION("""COMPUTED_VALUE"""),"2119А2529")</f>
        <v>2119А2529</v>
      </c>
      <c r="E1839" s="1" t="str">
        <f ca="1">IFERROR(__xludf.DUMMYFUNCTION("""COMPUTED_VALUE"""),"Срок годности 02.06.2023 г")</f>
        <v>Срок годности 02.06.2023 г</v>
      </c>
      <c r="F1839" s="1" t="str">
        <f ca="1">IFERROR(__xludf.DUMMYFUNCTION("""COMPUTED_VALUE"""),"Тест-полоски для контроля уровня глюкозы в крови Bionime Rightest GS 550 № 50 - 2119А2529")</f>
        <v>Тест-полоски для контроля уровня глюкозы в крови Bionime Rightest GS 550 № 50 - 2119А2529</v>
      </c>
      <c r="G1839" s="1" t="str">
        <f ca="1">IFERROR(__xludf.DUMMYFUNCTION("""COMPUTED_VALUE""")," / не подлежит сертификации / 2119А2529 / Срок годности 02.06.2023 г")</f>
        <v xml:space="preserve"> / не подлежит сертификации / 2119А2529 / Срок годности 02.06.2023 г</v>
      </c>
      <c r="H1839" s="1" t="str">
        <f ca="1">IFERROR(__xludf.DUMMYFUNCTION("""COMPUTED_VALUE"""),"Тест-полоски для контроля уровня глюкозы в крови Bionime Rightest GS 550 № 50  / не подлежит сертификации / 2119А2529 / Срок годности 02.06.2023 г")</f>
        <v>Тест-полоски для контроля уровня глюкозы в крови Bionime Rightest GS 550 № 50  / не подлежит сертификации / 2119А2529 / Срок годности 02.06.2023 г</v>
      </c>
    </row>
    <row r="1840" spans="1:8" ht="12.75" x14ac:dyDescent="0.2">
      <c r="A1840" s="1" t="str">
        <f ca="1">IFERROR(__xludf.DUMMYFUNCTION("""COMPUTED_VALUE"""),"Тонометр на запястие автомат Gamma Active")</f>
        <v>Тонометр на запястие автомат Gamma Active</v>
      </c>
      <c r="B1840" s="1" t="str">
        <f ca="1">IFERROR(__xludf.DUMMYFUNCTION("""COMPUTED_VALUE"""),"KZ.7700.02.01.00836003")</f>
        <v>KZ.7700.02.01.00836003</v>
      </c>
      <c r="C1840" s="1" t="str">
        <f ca="1">IFERROR(__xludf.DUMMYFUNCTION("""COMPUTED_VALUE"""),"Действительно до Бессрочно")</f>
        <v>Действительно до Бессрочно</v>
      </c>
      <c r="D1840" s="8" t="str">
        <f ca="1">IFERROR(__xludf.DUMMYFUNCTION("""COMPUTED_VALUE"""),"PG20210524KM")</f>
        <v>PG20210524KM</v>
      </c>
      <c r="E1840" s="1"/>
      <c r="F1840" s="1" t="str">
        <f ca="1">IFERROR(__xludf.DUMMYFUNCTION("""COMPUTED_VALUE"""),"Тонометр на запястие автомат Gamma Active - PG20210524KM")</f>
        <v>Тонометр на запястие автомат Gamma Active - PG20210524KM</v>
      </c>
      <c r="G1840" s="1" t="str">
        <f ca="1">IFERROR(__xludf.DUMMYFUNCTION("""COMPUTED_VALUE"""),"KZ.7700.02.01.00836003 / Действительно до Бессрочно / PG20210524KM / ")</f>
        <v xml:space="preserve">KZ.7700.02.01.00836003 / Действительно до Бессрочно / PG20210524KM / </v>
      </c>
      <c r="H1840" s="1" t="str">
        <f ca="1">IFERROR(__xludf.DUMMYFUNCTION("""COMPUTED_VALUE"""),"Тонометр на запястие автомат Gamma Active KZ.7700.02.01.00836003 / Действительно до Бессрочно / PG20210524KM / ")</f>
        <v xml:space="preserve">Тонометр на запястие автомат Gamma Active KZ.7700.02.01.00836003 / Действительно до Бессрочно / PG20210524KM / </v>
      </c>
    </row>
    <row r="1841" spans="1:8" ht="12.75" x14ac:dyDescent="0.2">
      <c r="A1841" s="1" t="str">
        <f ca="1">IFERROR(__xludf.DUMMYFUNCTION("""COMPUTED_VALUE"""),"Тонометр автомат Gamma Control")</f>
        <v>Тонометр автомат Gamma Control</v>
      </c>
      <c r="B1841" s="1" t="str">
        <f ca="1">IFERROR(__xludf.DUMMYFUNCTION("""COMPUTED_VALUE"""),"KZ.7700.02.01.00838260")</f>
        <v>KZ.7700.02.01.00838260</v>
      </c>
      <c r="C1841" s="1" t="str">
        <f ca="1">IFERROR(__xludf.DUMMYFUNCTION("""COMPUTED_VALUE"""),"Действительно до Бессрочно")</f>
        <v>Действительно до Бессрочно</v>
      </c>
      <c r="D1841" s="8" t="str">
        <f ca="1">IFERROR(__xludf.DUMMYFUNCTION("""COMPUTED_VALUE"""),"PG20210524KM")</f>
        <v>PG20210524KM</v>
      </c>
      <c r="E1841" s="1" t="str">
        <f ca="1">IFERROR(__xludf.DUMMYFUNCTION("""COMPUTED_VALUE"""),"без срока годности")</f>
        <v>без срока годности</v>
      </c>
      <c r="F1841" s="1" t="str">
        <f ca="1">IFERROR(__xludf.DUMMYFUNCTION("""COMPUTED_VALUE"""),"Тонометр автомат Gamma Control - PG20210524KM")</f>
        <v>Тонометр автомат Gamma Control - PG20210524KM</v>
      </c>
      <c r="G1841" s="1" t="str">
        <f ca="1">IFERROR(__xludf.DUMMYFUNCTION("""COMPUTED_VALUE"""),"KZ.7700.02.01.00838260 / Действительно до Бессрочно / PG20210524KM / без срока годности")</f>
        <v>KZ.7700.02.01.00838260 / Действительно до Бессрочно / PG20210524KM / без срока годности</v>
      </c>
      <c r="H1841" s="1" t="str">
        <f ca="1">IFERROR(__xludf.DUMMYFUNCTION("""COMPUTED_VALUE"""),"Тонометр автомат Gamma Control KZ.7700.02.01.00838260 / Действительно до Бессрочно / PG20210524KM / без срока годности")</f>
        <v>Тонометр автомат Gamma Control KZ.7700.02.01.00838260 / Действительно до Бессрочно / PG20210524KM / без срока годности</v>
      </c>
    </row>
    <row r="1842" spans="1:8" ht="12.75" x14ac:dyDescent="0.2">
      <c r="A1842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1842" s="1" t="str">
        <f ca="1">IFERROR(__xludf.DUMMYFUNCTION("""COMPUTED_VALUE"""),"KZ.7700.02.01.00836004")</f>
        <v>KZ.7700.02.01.00836004</v>
      </c>
      <c r="C1842" s="1" t="str">
        <f ca="1">IFERROR(__xludf.DUMMYFUNCTION("""COMPUTED_VALUE"""),"Действительно до Бессрочно")</f>
        <v>Действительно до Бессрочно</v>
      </c>
      <c r="D1842" s="8" t="str">
        <f ca="1">IFERROR(__xludf.DUMMYFUNCTION("""COMPUTED_VALUE"""),"PG20210524KM")</f>
        <v>PG20210524KM</v>
      </c>
      <c r="E1842" s="1" t="str">
        <f ca="1">IFERROR(__xludf.DUMMYFUNCTION("""COMPUTED_VALUE"""),"без срока годности")</f>
        <v>без срока годности</v>
      </c>
      <c r="F1842" s="1" t="str">
        <f ca="1">IFERROR(__xludf.DUMMYFUNCTION("""COMPUTED_VALUE"""),"Автоматический измеритель артериального давления ТМ DR.FREI МОДЕЛЬ M-100A - PG20210524KM")</f>
        <v>Автоматический измеритель артериального давления ТМ DR.FREI МОДЕЛЬ M-100A - PG20210524KM</v>
      </c>
      <c r="G1842" s="1" t="str">
        <f ca="1">IFERROR(__xludf.DUMMYFUNCTION("""COMPUTED_VALUE"""),"KZ.7700.02.01.00836004 / Действительно до Бессрочно / PG20210524KM / без срока годности")</f>
        <v>KZ.7700.02.01.00836004 / Действительно до Бессрочно / PG20210524KM / без срока годности</v>
      </c>
      <c r="H1842" s="1" t="str">
        <f ca="1">IFERROR(__xludf.DUMMYFUNCTION("""COMPUTED_VALUE"""),"Автоматический измеритель артериального давления ТМ DR.FREI МОДЕЛЬ M-100A KZ.7700.02.01.00836004 / Действительно до Бессрочно / PG20210524KM / без срока годности")</f>
        <v>Автоматический измеритель артериального давления ТМ DR.FREI МОДЕЛЬ M-100A KZ.7700.02.01.00836004 / Действительно до Бессрочно / PG20210524KM / без срока годности</v>
      </c>
    </row>
    <row r="1843" spans="1:8" ht="12.75" x14ac:dyDescent="0.2">
      <c r="A1843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1843" s="1" t="str">
        <f ca="1">IFERROR(__xludf.DUMMYFUNCTION("""COMPUTED_VALUE"""),"KZ.7700.02.01.00836847")</f>
        <v>KZ.7700.02.01.00836847</v>
      </c>
      <c r="C1843" s="1" t="str">
        <f ca="1">IFERROR(__xludf.DUMMYFUNCTION("""COMPUTED_VALUE"""),"Действительно до Бессрочно")</f>
        <v>Действительно до Бессрочно</v>
      </c>
      <c r="D1843" s="8" t="str">
        <f ca="1">IFERROR(__xludf.DUMMYFUNCTION("""COMPUTED_VALUE"""),"PG20210524KM")</f>
        <v>PG20210524KM</v>
      </c>
      <c r="E1843" s="1" t="str">
        <f ca="1">IFERROR(__xludf.DUMMYFUNCTION("""COMPUTED_VALUE"""),"без срока годности")</f>
        <v>без срока годности</v>
      </c>
      <c r="F1843" s="1" t="str">
        <f ca="1">IFERROR(__xludf.DUMMYFUNCTION("""COMPUTED_VALUE"""),"Полуавтоматический измеритель артериального давления ТМ DR.FREI МОДЕЛЬ M-150S - PG20210524KM")</f>
        <v>Полуавтоматический измеритель артериального давления ТМ DR.FREI МОДЕЛЬ M-150S - PG20210524KM</v>
      </c>
      <c r="G1843" s="1" t="str">
        <f ca="1">IFERROR(__xludf.DUMMYFUNCTION("""COMPUTED_VALUE"""),"KZ.7700.02.01.00836847 / Действительно до Бессрочно / PG20210524KM / без срока годности")</f>
        <v>KZ.7700.02.01.00836847 / Действительно до Бессрочно / PG20210524KM / без срока годности</v>
      </c>
      <c r="H1843" s="1" t="str">
        <f ca="1">IFERROR(__xludf.DUMMYFUNCTION("""COMPUTED_VALUE"""),"Полуавтоматический измеритель артериального давления ТМ DR.FREI МОДЕЛЬ M-150S KZ.7700.02.01.00836847 / Действительно до Бессрочно / PG20210524KM / без срока годности")</f>
        <v>Полуавтоматический измеритель артериального давления ТМ DR.FREI МОДЕЛЬ M-150S KZ.7700.02.01.00836847 / Действительно до Бессрочно / PG20210524KM / без срока годности</v>
      </c>
    </row>
    <row r="1844" spans="1:8" ht="12.75" x14ac:dyDescent="0.2">
      <c r="A1844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1844" s="1" t="str">
        <f ca="1">IFERROR(__xludf.DUMMYFUNCTION("""COMPUTED_VALUE"""),"KZ.7700.02.01.00838108")</f>
        <v>KZ.7700.02.01.00838108</v>
      </c>
      <c r="C1844" s="1" t="str">
        <f ca="1">IFERROR(__xludf.DUMMYFUNCTION("""COMPUTED_VALUE"""),"Действительно до Бессрочно")</f>
        <v>Действительно до Бессрочно</v>
      </c>
      <c r="D1844" s="8" t="str">
        <f ca="1">IFERROR(__xludf.DUMMYFUNCTION("""COMPUTED_VALUE"""),"PG20210524KM")</f>
        <v>PG20210524KM</v>
      </c>
      <c r="E1844" s="1" t="str">
        <f ca="1">IFERROR(__xludf.DUMMYFUNCTION("""COMPUTED_VALUE"""),"без срока годности")</f>
        <v>без срока годности</v>
      </c>
      <c r="F1844" s="1" t="str">
        <f ca="1">IFERROR(__xludf.DUMMYFUNCTION("""COMPUTED_VALUE"""),"Автоматический измеритель артериального давления ТМ DR.FREI МОДЕЛЬ M-200A - PG20210524KM")</f>
        <v>Автоматический измеритель артериального давления ТМ DR.FREI МОДЕЛЬ M-200A - PG20210524KM</v>
      </c>
      <c r="G1844" s="1" t="str">
        <f ca="1">IFERROR(__xludf.DUMMYFUNCTION("""COMPUTED_VALUE"""),"KZ.7700.02.01.00838108 / Действительно до Бессрочно / PG20210524KM / без срока годности")</f>
        <v>KZ.7700.02.01.00838108 / Действительно до Бессрочно / PG20210524KM / без срока годности</v>
      </c>
      <c r="H1844" s="1" t="str">
        <f ca="1">IFERROR(__xludf.DUMMYFUNCTION("""COMPUTED_VALUE"""),"Автоматический измеритель артериального давления ТМ DR.FREI МОДЕЛЬ M-200A KZ.7700.02.01.00838108 / Действительно до Бессрочно / PG20210524KM / без срока годности")</f>
        <v>Автоматический измеритель артериального давления ТМ DR.FREI МОДЕЛЬ M-200A KZ.7700.02.01.00838108 / Действительно до Бессрочно / PG20210524KM / без срока годности</v>
      </c>
    </row>
    <row r="1845" spans="1:8" ht="12.75" x14ac:dyDescent="0.2">
      <c r="A1845" s="1" t="str">
        <f ca="1">IFERROR(__xludf.DUMMYFUNCTION("""COMPUTED_VALUE"""),"Тонометр автомат Gamma Plus")</f>
        <v>Тонометр автомат Gamma Plus</v>
      </c>
      <c r="B1845" s="1" t="str">
        <f ca="1">IFERROR(__xludf.DUMMYFUNCTION("""COMPUTED_VALUE"""),"KZ.7700.02.01.00836017")</f>
        <v>KZ.7700.02.01.00836017</v>
      </c>
      <c r="C1845" s="1" t="str">
        <f ca="1">IFERROR(__xludf.DUMMYFUNCTION("""COMPUTED_VALUE"""),"Действительно до Бессрочно")</f>
        <v>Действительно до Бессрочно</v>
      </c>
      <c r="D1845" s="8" t="str">
        <f ca="1">IFERROR(__xludf.DUMMYFUNCTION("""COMPUTED_VALUE"""),"PG20210524KM")</f>
        <v>PG20210524KM</v>
      </c>
      <c r="E1845" s="1" t="str">
        <f ca="1">IFERROR(__xludf.DUMMYFUNCTION("""COMPUTED_VALUE"""),"без срока годности")</f>
        <v>без срока годности</v>
      </c>
      <c r="F1845" s="1" t="str">
        <f ca="1">IFERROR(__xludf.DUMMYFUNCTION("""COMPUTED_VALUE"""),"Тонометр автомат Gamma Plus - PG20210524KM")</f>
        <v>Тонометр автомат Gamma Plus - PG20210524KM</v>
      </c>
      <c r="G1845" s="1" t="str">
        <f ca="1">IFERROR(__xludf.DUMMYFUNCTION("""COMPUTED_VALUE"""),"KZ.7700.02.01.00836017 / Действительно до Бессрочно / PG20210524KM / без срока годности")</f>
        <v>KZ.7700.02.01.00836017 / Действительно до Бессрочно / PG20210524KM / без срока годности</v>
      </c>
      <c r="H1845" s="1" t="str">
        <f ca="1">IFERROR(__xludf.DUMMYFUNCTION("""COMPUTED_VALUE"""),"Тонометр автомат Gamma Plus KZ.7700.02.01.00836017 / Действительно до Бессрочно / PG20210524KM / без срока годности")</f>
        <v>Тонометр автомат Gamma Plus KZ.7700.02.01.00836017 / Действительно до Бессрочно / PG20210524KM / без срока годности</v>
      </c>
    </row>
    <row r="1846" spans="1:8" ht="12.75" x14ac:dyDescent="0.2">
      <c r="A1846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1846" s="1" t="str">
        <f ca="1">IFERROR(__xludf.DUMMYFUNCTION("""COMPUTED_VALUE"""),"KZ.7700.02.01.00843219")</f>
        <v>KZ.7700.02.01.00843219</v>
      </c>
      <c r="C1846" s="1" t="str">
        <f ca="1">IFERROR(__xludf.DUMMYFUNCTION("""COMPUTED_VALUE"""),"Действительно до 09.03.2027")</f>
        <v>Действительно до 09.03.2027</v>
      </c>
      <c r="D1846" s="8" t="str">
        <f ca="1">IFERROR(__xludf.DUMMYFUNCTION("""COMPUTED_VALUE"""),"0222104KZ104")</f>
        <v>0222104KZ104</v>
      </c>
      <c r="E1846" s="1" t="str">
        <f ca="1">IFERROR(__xludf.DUMMYFUNCTION("""COMPUTED_VALUE"""),"годен до 09.03.2027г")</f>
        <v>годен до 09.03.2027г</v>
      </c>
      <c r="F1846" s="1" t="str">
        <f ca="1">IFERROR(__xludf.DUMMYFUNCTION("""COMPUTED_VALUE"""),"Бандаж для беременных эластичный 4505 - S (Болгария) - 0222104KZ104")</f>
        <v>Бандаж для беременных эластичный 4505 - S (Болгария) - 0222104KZ104</v>
      </c>
      <c r="G1846" s="1" t="str">
        <f ca="1">IFERROR(__xludf.DUMMYFUNCTION("""COMPUTED_VALUE"""),"KZ.7700.02.01.00843219 / Действительно до 09.03.2027 / 0222104KZ104 / годен до 09.03.2027г")</f>
        <v>KZ.7700.02.01.00843219 / Действительно до 09.03.2027 / 0222104KZ104 / годен до 09.03.2027г</v>
      </c>
      <c r="H1846" s="1" t="str">
        <f ca="1">IFERROR(__xludf.DUMMYFUNCTION("""COMPUTED_VALUE"""),"Бандаж для беременных эластичный 4505 - S (Болгария) KZ.7700.02.01.00843219 / Действительно до 09.03.2027 / 0222104KZ104 / годен до 09.03.2027г")</f>
        <v>Бандаж для беременных эластичный 4505 - S (Болгария) KZ.7700.02.01.00843219 / Действительно до 09.03.2027 / 0222104KZ104 / годен до 09.03.2027г</v>
      </c>
    </row>
    <row r="1847" spans="1:8" ht="12.75" x14ac:dyDescent="0.2">
      <c r="A1847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1847" s="1" t="str">
        <f ca="1">IFERROR(__xludf.DUMMYFUNCTION("""COMPUTED_VALUE"""),"KZ.7700.02.01.00843219")</f>
        <v>KZ.7700.02.01.00843219</v>
      </c>
      <c r="C1847" s="1" t="str">
        <f ca="1">IFERROR(__xludf.DUMMYFUNCTION("""COMPUTED_VALUE"""),"Действительно до 09.03.2027")</f>
        <v>Действительно до 09.03.2027</v>
      </c>
      <c r="D1847" s="8" t="str">
        <f ca="1">IFERROR(__xludf.DUMMYFUNCTION("""COMPUTED_VALUE"""),"0222104KZ104")</f>
        <v>0222104KZ104</v>
      </c>
      <c r="E1847" s="1" t="str">
        <f ca="1">IFERROR(__xludf.DUMMYFUNCTION("""COMPUTED_VALUE"""),"годен до 09.03.2027г")</f>
        <v>годен до 09.03.2027г</v>
      </c>
      <c r="F1847" s="1" t="str">
        <f ca="1">IFERROR(__xludf.DUMMYFUNCTION("""COMPUTED_VALUE"""),"Бандаж для беременных эластичный 4505 - М (Болгария) - 0222104KZ104")</f>
        <v>Бандаж для беременных эластичный 4505 - М (Болгария) - 0222104KZ104</v>
      </c>
      <c r="G1847" s="1" t="str">
        <f ca="1">IFERROR(__xludf.DUMMYFUNCTION("""COMPUTED_VALUE"""),"KZ.7700.02.01.00843219 / Действительно до 09.03.2027 / 0222104KZ104 / годен до 09.03.2027г")</f>
        <v>KZ.7700.02.01.00843219 / Действительно до 09.03.2027 / 0222104KZ104 / годен до 09.03.2027г</v>
      </c>
      <c r="H1847" s="1" t="str">
        <f ca="1">IFERROR(__xludf.DUMMYFUNCTION("""COMPUTED_VALUE"""),"Бандаж для беременных эластичный 4505 - М (Болгария) KZ.7700.02.01.00843219 / Действительно до 09.03.2027 / 0222104KZ104 / годен до 09.03.2027г")</f>
        <v>Бандаж для беременных эластичный 4505 - М (Болгария) KZ.7700.02.01.00843219 / Действительно до 09.03.2027 / 0222104KZ104 / годен до 09.03.2027г</v>
      </c>
    </row>
    <row r="1848" spans="1:8" ht="12.75" x14ac:dyDescent="0.2">
      <c r="A1848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1848" s="1" t="str">
        <f ca="1">IFERROR(__xludf.DUMMYFUNCTION("""COMPUTED_VALUE"""),"KZ.7700.02.01.00843219")</f>
        <v>KZ.7700.02.01.00843219</v>
      </c>
      <c r="C1848" s="1" t="str">
        <f ca="1">IFERROR(__xludf.DUMMYFUNCTION("""COMPUTED_VALUE"""),"Действительно до 09.03.2027")</f>
        <v>Действительно до 09.03.2027</v>
      </c>
      <c r="D1848" s="8" t="str">
        <f ca="1">IFERROR(__xludf.DUMMYFUNCTION("""COMPUTED_VALUE"""),"0222104KZ104")</f>
        <v>0222104KZ104</v>
      </c>
      <c r="E1848" s="1" t="str">
        <f ca="1">IFERROR(__xludf.DUMMYFUNCTION("""COMPUTED_VALUE"""),"годен до 09.03.2027г")</f>
        <v>годен до 09.03.2027г</v>
      </c>
      <c r="F1848" s="1" t="str">
        <f ca="1">IFERROR(__xludf.DUMMYFUNCTION("""COMPUTED_VALUE"""),"Бандаж для беременных эластичный 4505 - L (Болгария) - 0222104KZ104")</f>
        <v>Бандаж для беременных эластичный 4505 - L (Болгария) - 0222104KZ104</v>
      </c>
      <c r="G1848" s="1" t="str">
        <f ca="1">IFERROR(__xludf.DUMMYFUNCTION("""COMPUTED_VALUE"""),"KZ.7700.02.01.00843219 / Действительно до 09.03.2027 / 0222104KZ104 / годен до 09.03.2027г")</f>
        <v>KZ.7700.02.01.00843219 / Действительно до 09.03.2027 / 0222104KZ104 / годен до 09.03.2027г</v>
      </c>
      <c r="H1848" s="1" t="str">
        <f ca="1">IFERROR(__xludf.DUMMYFUNCTION("""COMPUTED_VALUE"""),"Бандаж для беременных эластичный 4505 - L (Болгария) KZ.7700.02.01.00843219 / Действительно до 09.03.2027 / 0222104KZ104 / годен до 09.03.2027г")</f>
        <v>Бандаж для беременных эластичный 4505 - L (Болгария) KZ.7700.02.01.00843219 / Действительно до 09.03.2027 / 0222104KZ104 / годен до 09.03.2027г</v>
      </c>
    </row>
    <row r="1849" spans="1:8" ht="12.75" x14ac:dyDescent="0.2">
      <c r="A1849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1849" s="1" t="str">
        <f ca="1">IFERROR(__xludf.DUMMYFUNCTION("""COMPUTED_VALUE"""),"KZ.7700.02.01.00843219")</f>
        <v>KZ.7700.02.01.00843219</v>
      </c>
      <c r="C1849" s="1" t="str">
        <f ca="1">IFERROR(__xludf.DUMMYFUNCTION("""COMPUTED_VALUE"""),"Действительно до 09.03.2027")</f>
        <v>Действительно до 09.03.2027</v>
      </c>
      <c r="D1849" s="8" t="str">
        <f ca="1">IFERROR(__xludf.DUMMYFUNCTION("""COMPUTED_VALUE"""),"0222104KZ104")</f>
        <v>0222104KZ104</v>
      </c>
      <c r="E1849" s="1" t="str">
        <f ca="1">IFERROR(__xludf.DUMMYFUNCTION("""COMPUTED_VALUE"""),"годен до 09.03.2027г")</f>
        <v>годен до 09.03.2027г</v>
      </c>
      <c r="F1849" s="1" t="str">
        <f ca="1">IFERROR(__xludf.DUMMYFUNCTION("""COMPUTED_VALUE"""),"Бандаж для беременных эластичный 4505 - XL (Болгария) - 0222104KZ104")</f>
        <v>Бандаж для беременных эластичный 4505 - XL (Болгария) - 0222104KZ104</v>
      </c>
      <c r="G1849" s="1" t="str">
        <f ca="1">IFERROR(__xludf.DUMMYFUNCTION("""COMPUTED_VALUE"""),"KZ.7700.02.01.00843219 / Действительно до 09.03.2027 / 0222104KZ104 / годен до 09.03.2027г")</f>
        <v>KZ.7700.02.01.00843219 / Действительно до 09.03.2027 / 0222104KZ104 / годен до 09.03.2027г</v>
      </c>
      <c r="H1849" s="1" t="str">
        <f ca="1">IFERROR(__xludf.DUMMYFUNCTION("""COMPUTED_VALUE"""),"Бандаж для беременных эластичный 4505 - XL (Болгария) KZ.7700.02.01.00843219 / Действительно до 09.03.2027 / 0222104KZ104 / годен до 09.03.2027г")</f>
        <v>Бандаж для беременных эластичный 4505 - XL (Болгария) KZ.7700.02.01.00843219 / Действительно до 09.03.2027 / 0222104KZ104 / годен до 09.03.2027г</v>
      </c>
    </row>
    <row r="1850" spans="1:8" ht="12.75" x14ac:dyDescent="0.2">
      <c r="A1850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1850" s="1" t="str">
        <f ca="1">IFERROR(__xludf.DUMMYFUNCTION("""COMPUTED_VALUE"""),"KZ.7700.02.01.00843219")</f>
        <v>KZ.7700.02.01.00843219</v>
      </c>
      <c r="C1850" s="1" t="str">
        <f ca="1">IFERROR(__xludf.DUMMYFUNCTION("""COMPUTED_VALUE"""),"Действительно до 09.03.2027")</f>
        <v>Действительно до 09.03.2027</v>
      </c>
      <c r="D1850" s="8" t="str">
        <f ca="1">IFERROR(__xludf.DUMMYFUNCTION("""COMPUTED_VALUE"""),"0222104KZ104")</f>
        <v>0222104KZ104</v>
      </c>
      <c r="E1850" s="1" t="str">
        <f ca="1">IFERROR(__xludf.DUMMYFUNCTION("""COMPUTED_VALUE"""),"годен до 09.03.2027г")</f>
        <v>годен до 09.03.2027г</v>
      </c>
      <c r="F1850" s="1" t="str">
        <f ca="1">IFERROR(__xludf.DUMMYFUNCTION("""COMPUTED_VALUE"""),"Бандаж для беременных эластичный 4505 - XXL (Болгария) - 0222104KZ104")</f>
        <v>Бандаж для беременных эластичный 4505 - XXL (Болгария) - 0222104KZ104</v>
      </c>
      <c r="G1850" s="1" t="str">
        <f ca="1">IFERROR(__xludf.DUMMYFUNCTION("""COMPUTED_VALUE"""),"KZ.7700.02.01.00843219 / Действительно до 09.03.2027 / 0222104KZ104 / годен до 09.03.2027г")</f>
        <v>KZ.7700.02.01.00843219 / Действительно до 09.03.2027 / 0222104KZ104 / годен до 09.03.2027г</v>
      </c>
      <c r="H1850" s="1" t="str">
        <f ca="1">IFERROR(__xludf.DUMMYFUNCTION("""COMPUTED_VALUE"""),"Бандаж для беременных эластичный 4505 - XXL (Болгария) KZ.7700.02.01.00843219 / Действительно до 09.03.2027 / 0222104KZ104 / годен до 09.03.2027г")</f>
        <v>Бандаж для беременных эластичный 4505 - XXL (Болгария) KZ.7700.02.01.00843219 / Действительно до 09.03.2027 / 0222104KZ104 / годен до 09.03.2027г</v>
      </c>
    </row>
    <row r="1851" spans="1:8" ht="12.75" x14ac:dyDescent="0.2">
      <c r="A1851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1851" s="1" t="str">
        <f ca="1">IFERROR(__xludf.DUMMYFUNCTION("""COMPUTED_VALUE"""),"KZ.7700.02.01.00843219")</f>
        <v>KZ.7700.02.01.00843219</v>
      </c>
      <c r="C1851" s="1" t="str">
        <f ca="1">IFERROR(__xludf.DUMMYFUNCTION("""COMPUTED_VALUE"""),"Действительно до 09.03.2027")</f>
        <v>Действительно до 09.03.2027</v>
      </c>
      <c r="D1851" s="8" t="str">
        <f ca="1">IFERROR(__xludf.DUMMYFUNCTION("""COMPUTED_VALUE"""),"0222104KZ104")</f>
        <v>0222104KZ104</v>
      </c>
      <c r="E1851" s="1" t="str">
        <f ca="1">IFERROR(__xludf.DUMMYFUNCTION("""COMPUTED_VALUE"""),"годен до 09.03.2027г")</f>
        <v>годен до 09.03.2027г</v>
      </c>
      <c r="F1851" s="1" t="str">
        <f ca="1">IFERROR(__xludf.DUMMYFUNCTION("""COMPUTED_VALUE"""),"Бандаж для беременных эластичный 4505 - XXXL (Болгария) - 0222104KZ104")</f>
        <v>Бандаж для беременных эластичный 4505 - XXXL (Болгария) - 0222104KZ104</v>
      </c>
      <c r="G1851" s="1" t="str">
        <f ca="1">IFERROR(__xludf.DUMMYFUNCTION("""COMPUTED_VALUE"""),"KZ.7700.02.01.00843219 / Действительно до 09.03.2027 / 0222104KZ104 / годен до 09.03.2027г")</f>
        <v>KZ.7700.02.01.00843219 / Действительно до 09.03.2027 / 0222104KZ104 / годен до 09.03.2027г</v>
      </c>
      <c r="H1851" s="1" t="str">
        <f ca="1">IFERROR(__xludf.DUMMYFUNCTION("""COMPUTED_VALUE"""),"Бандаж для беременных эластичный 4505 - XXXL (Болгария) KZ.7700.02.01.00843219 / Действительно до 09.03.2027 / 0222104KZ104 / годен до 09.03.2027г")</f>
        <v>Бандаж для беременных эластичный 4505 - XXXL (Болгария) KZ.7700.02.01.00843219 / Действительно до 09.03.2027 / 0222104KZ104 / годен до 09.03.2027г</v>
      </c>
    </row>
    <row r="1852" spans="1:8" ht="12.75" x14ac:dyDescent="0.2">
      <c r="A1852" s="1" t="str">
        <f ca="1">IFERROR(__xludf.DUMMYFUNCTION("""COMPUTED_VALUE"""),"МЕДИЦИНСКИЙ НЕТКАНЫЙ ПЛАСТЫРЬ (19mm х 72mm) №100")</f>
        <v>МЕДИЦИНСКИЙ НЕТКАНЫЙ ПЛАСТЫРЬ (19mm х 72mm) №100</v>
      </c>
      <c r="B1852" s="1" t="str">
        <f ca="1">IFERROR(__xludf.DUMMYFUNCTION("""COMPUTED_VALUE"""),"KZ.7700.02.01.00847157")</f>
        <v>KZ.7700.02.01.00847157</v>
      </c>
      <c r="C1852" s="1" t="str">
        <f ca="1">IFERROR(__xludf.DUMMYFUNCTION("""COMPUTED_VALUE"""),"Действительно до 01.12.2026")</f>
        <v>Действительно до 01.12.2026</v>
      </c>
      <c r="D1852" s="8" t="str">
        <f ca="1">IFERROR(__xludf.DUMMYFUNCTION("""COMPUTED_VALUE"""),"21143-1")</f>
        <v>21143-1</v>
      </c>
      <c r="E1852" s="1" t="str">
        <f ca="1">IFERROR(__xludf.DUMMYFUNCTION("""COMPUTED_VALUE"""),"
годен до 11.2026 г.")</f>
        <v xml:space="preserve">
годен до 11.2026 г.</v>
      </c>
      <c r="F1852" s="1" t="str">
        <f ca="1">IFERROR(__xludf.DUMMYFUNCTION("""COMPUTED_VALUE"""),"МЕДИЦИНСКИЙ НЕТКАНЫЙ ПЛАСТЫРЬ (19mm х 72mm) №100 - 21143-1")</f>
        <v>МЕДИЦИНСКИЙ НЕТКАНЫЙ ПЛАСТЫРЬ (19mm х 72mm) №100 - 21143-1</v>
      </c>
      <c r="G1852" s="1" t="str">
        <f ca="1">IFERROR(__xludf.DUMMYFUNCTION("""COMPUTED_VALUE"""),"KZ.7700.02.01.00847157 / Действительно до 01.12.2026 / 21143-1 / 
годен до 11.2026 г.")</f>
        <v>KZ.7700.02.01.00847157 / Действительно до 01.12.2026 / 21143-1 / 
годен до 11.2026 г.</v>
      </c>
      <c r="H1852" s="1" t="str">
        <f ca="1">IFERROR(__xludf.DUMMYFUNCTION("""COMPUTED_VALUE"""),"МЕДИЦИНСКИЙ НЕТКАНЫЙ ПЛАСТЫРЬ (19mm х 72mm) №100 KZ.7700.02.01.00847157 / Действительно до 01.12.2026 / 21143-1 / 
годен до 11.2026 г.")</f>
        <v>МЕДИЦИНСКИЙ НЕТКАНЫЙ ПЛАСТЫРЬ (19mm х 72mm) №100 KZ.7700.02.01.00847157 / Действительно до 01.12.2026 / 21143-1 / 
годен до 11.2026 г.</v>
      </c>
    </row>
    <row r="1853" spans="1:8" ht="12.75" x14ac:dyDescent="0.2">
      <c r="A1853" s="1" t="str">
        <f ca="1">IFERROR(__xludf.DUMMYFUNCTION("""COMPUTED_VALUE"""),"МЕДИЦИНСКИЙ НЕТКАНЫЙ ПЛАСТЫРЬ В РУЛОНЕ (5 м x 1,25cm)")</f>
        <v>МЕДИЦИНСКИЙ НЕТКАНЫЙ ПЛАСТЫРЬ В РУЛОНЕ (5 м x 1,25cm)</v>
      </c>
      <c r="B1853" s="1" t="str">
        <f ca="1">IFERROR(__xludf.DUMMYFUNCTION("""COMPUTED_VALUE"""),"KZ.7700.02.01.00847569")</f>
        <v>KZ.7700.02.01.00847569</v>
      </c>
      <c r="C1853" s="1" t="str">
        <f ca="1">IFERROR(__xludf.DUMMYFUNCTION("""COMPUTED_VALUE"""),"Действительно до 01.12.2026")</f>
        <v>Действительно до 01.12.2026</v>
      </c>
      <c r="D1853" s="8" t="str">
        <f ca="1">IFERROR(__xludf.DUMMYFUNCTION("""COMPUTED_VALUE"""),"2151222-2")</f>
        <v>2151222-2</v>
      </c>
      <c r="E1853" s="1" t="str">
        <f ca="1">IFERROR(__xludf.DUMMYFUNCTION("""COMPUTED_VALUE"""),"годен до 11.2026 г.")</f>
        <v>годен до 11.2026 г.</v>
      </c>
      <c r="F1853" s="1" t="str">
        <f ca="1">IFERROR(__xludf.DUMMYFUNCTION("""COMPUTED_VALUE"""),"МЕДИЦИНСКИЙ НЕТКАНЫЙ ПЛАСТЫРЬ В РУЛОНЕ (5 м x 1,25cm) - 2151222-2")</f>
        <v>МЕДИЦИНСКИЙ НЕТКАНЫЙ ПЛАСТЫРЬ В РУЛОНЕ (5 м x 1,25cm) - 2151222-2</v>
      </c>
      <c r="G1853" s="1" t="str">
        <f ca="1">IFERROR(__xludf.DUMMYFUNCTION("""COMPUTED_VALUE"""),"KZ.7700.02.01.00847569 / Действительно до 01.12.2026 / 2151222-2 / годен до 11.2026 г.")</f>
        <v>KZ.7700.02.01.00847569 / Действительно до 01.12.2026 / 2151222-2 / годен до 11.2026 г.</v>
      </c>
      <c r="H1853" s="1" t="str">
        <f ca="1">IFERROR(__xludf.DUMMYFUNCTION("""COMPUTED_VALUE"""),"МЕДИЦИНСКИЙ НЕТКАНЫЙ ПЛАСТЫРЬ В РУЛОНЕ (5 м x 1,25cm) KZ.7700.02.01.00847569 / Действительно до 01.12.2026 / 2151222-2 / годен до 11.2026 г.")</f>
        <v>МЕДИЦИНСКИЙ НЕТКАНЫЙ ПЛАСТЫРЬ В РУЛОНЕ (5 м x 1,25cm) KZ.7700.02.01.00847569 / Действительно до 01.12.2026 / 2151222-2 / годен до 11.2026 г.</v>
      </c>
    </row>
    <row r="1854" spans="1:8" ht="12.75" x14ac:dyDescent="0.2">
      <c r="A1854" s="1" t="str">
        <f ca="1">IFERROR(__xludf.DUMMYFUNCTION("""COMPUTED_VALUE"""),"МЕДИЦИНСКИЙ НЕТКАНЫЙ ПЛАСТЫРЬ В РУЛОНЕ (5 м x 2,5cm)")</f>
        <v>МЕДИЦИНСКИЙ НЕТКАНЫЙ ПЛАСТЫРЬ В РУЛОНЕ (5 м x 2,5cm)</v>
      </c>
      <c r="B1854" s="1" t="str">
        <f ca="1">IFERROR(__xludf.DUMMYFUNCTION("""COMPUTED_VALUE"""),"KZ.7700.02.01.00843721")</f>
        <v>KZ.7700.02.01.00843721</v>
      </c>
      <c r="C1854" s="1" t="str">
        <f ca="1">IFERROR(__xludf.DUMMYFUNCTION("""COMPUTED_VALUE"""),"Действительно до 01.12.2026")</f>
        <v>Действительно до 01.12.2026</v>
      </c>
      <c r="D1854" s="8" t="str">
        <f ca="1">IFERROR(__xludf.DUMMYFUNCTION("""COMPUTED_VALUE"""),"2153222-2")</f>
        <v>2153222-2</v>
      </c>
      <c r="E1854" s="1" t="str">
        <f ca="1">IFERROR(__xludf.DUMMYFUNCTION("""COMPUTED_VALUE"""),"годен до 11.2026 г.")</f>
        <v>годен до 11.2026 г.</v>
      </c>
      <c r="F1854" s="1" t="str">
        <f ca="1">IFERROR(__xludf.DUMMYFUNCTION("""COMPUTED_VALUE"""),"МЕДИЦИНСКИЙ НЕТКАНЫЙ ПЛАСТЫРЬ В РУЛОНЕ (5 м x 2,5cm) - 2153222-2")</f>
        <v>МЕДИЦИНСКИЙ НЕТКАНЫЙ ПЛАСТЫРЬ В РУЛОНЕ (5 м x 2,5cm) - 2153222-2</v>
      </c>
      <c r="G1854" s="1" t="str">
        <f ca="1">IFERROR(__xludf.DUMMYFUNCTION("""COMPUTED_VALUE"""),"KZ.7700.02.01.00843721 / Действительно до 01.12.2026 / 2153222-2 / годен до 11.2026 г.")</f>
        <v>KZ.7700.02.01.00843721 / Действительно до 01.12.2026 / 2153222-2 / годен до 11.2026 г.</v>
      </c>
      <c r="H1854" s="1" t="str">
        <f ca="1">IFERROR(__xludf.DUMMYFUNCTION("""COMPUTED_VALUE"""),"МЕДИЦИНСКИЙ НЕТКАНЫЙ ПЛАСТЫРЬ В РУЛОНЕ (5 м x 2,5cm) KZ.7700.02.01.00843721 / Действительно до 01.12.2026 / 2153222-2 / годен до 11.2026 г.")</f>
        <v>МЕДИЦИНСКИЙ НЕТКАНЫЙ ПЛАСТЫРЬ В РУЛОНЕ (5 м x 2,5cm) KZ.7700.02.01.00843721 / Действительно до 01.12.2026 / 2153222-2 / годен до 11.2026 г.</v>
      </c>
    </row>
    <row r="1855" spans="1:8" ht="12.75" x14ac:dyDescent="0.2">
      <c r="A1855" s="1" t="str">
        <f ca="1">IFERROR(__xludf.DUMMYFUNCTION("""COMPUTED_VALUE"""),"МЕДИЦИНСКИЙ ПЛАСТЫРЬ НА НЕТКАНОЙ ОСНОВЕ (10сm х 6сm) №10")</f>
        <v>МЕДИЦИНСКИЙ ПЛАСТЫРЬ НА НЕТКАНОЙ ОСНОВЕ (10сm х 6сm) №10</v>
      </c>
      <c r="B1855" s="1" t="str">
        <f ca="1">IFERROR(__xludf.DUMMYFUNCTION("""COMPUTED_VALUE"""),"KZ.7700.02.01.00848182")</f>
        <v>KZ.7700.02.01.00848182</v>
      </c>
      <c r="C1855" s="1" t="str">
        <f ca="1">IFERROR(__xludf.DUMMYFUNCTION("""COMPUTED_VALUE"""),"Действительно до 01.12.2026")</f>
        <v>Действительно до 01.12.2026</v>
      </c>
      <c r="D1855" s="8" t="str">
        <f ca="1">IFERROR(__xludf.DUMMYFUNCTION("""COMPUTED_VALUE"""),"21218143-1")</f>
        <v>21218143-1</v>
      </c>
      <c r="E1855" s="1" t="str">
        <f ca="1">IFERROR(__xludf.DUMMYFUNCTION("""COMPUTED_VALUE"""),"годен до 11.2026 г.")</f>
        <v>годен до 11.2026 г.</v>
      </c>
      <c r="F1855" s="1" t="str">
        <f ca="1">IFERROR(__xludf.DUMMYFUNCTION("""COMPUTED_VALUE"""),"МЕДИЦИНСКИЙ ПЛАСТЫРЬ НА НЕТКАНОЙ ОСНОВЕ (10сm х 6сm) №10 - 21218143-1")</f>
        <v>МЕДИЦИНСКИЙ ПЛАСТЫРЬ НА НЕТКАНОЙ ОСНОВЕ (10сm х 6сm) №10 - 21218143-1</v>
      </c>
      <c r="G1855" s="1" t="str">
        <f ca="1">IFERROR(__xludf.DUMMYFUNCTION("""COMPUTED_VALUE"""),"KZ.7700.02.01.00848182 / Действительно до 01.12.2026 / 21218143-1 / годен до 11.2026 г.")</f>
        <v>KZ.7700.02.01.00848182 / Действительно до 01.12.2026 / 21218143-1 / годен до 11.2026 г.</v>
      </c>
      <c r="H1855" s="1" t="str">
        <f ca="1">IFERROR(__xludf.DUMMYFUNCTION("""COMPUTED_VALUE"""),"МЕДИЦИНСКИЙ ПЛАСТЫРЬ НА НЕТКАНОЙ ОСНОВЕ (10сm х 6сm) №10 KZ.7700.02.01.00848182 / Действительно до 01.12.2026 / 21218143-1 / годен до 11.2026 г.")</f>
        <v>МЕДИЦИНСКИЙ ПЛАСТЫРЬ НА НЕТКАНОЙ ОСНОВЕ (10сm х 6сm) №10 KZ.7700.02.01.00848182 / Действительно до 01.12.2026 / 21218143-1 / годен до 11.2026 г.</v>
      </c>
    </row>
    <row r="1856" spans="1:8" ht="12.75" x14ac:dyDescent="0.2">
      <c r="A1856" s="1" t="str">
        <f ca="1">IFERROR(__xludf.DUMMYFUNCTION("""COMPUTED_VALUE"""),"МЕДИЦИНСКИЙ ПЛАСТЫРЬ НА ТКАНЕВОЙ ОСНОВЕ (19mm х 72mm) №10")</f>
        <v>МЕДИЦИНСКИЙ ПЛАСТЫРЬ НА ТКАНЕВОЙ ОСНОВЕ (19mm х 72mm) №10</v>
      </c>
      <c r="B1856" s="1" t="str">
        <f ca="1">IFERROR(__xludf.DUMMYFUNCTION("""COMPUTED_VALUE"""),"KZ.7700.02.01.00843799")</f>
        <v>KZ.7700.02.01.00843799</v>
      </c>
      <c r="C1856" s="1" t="str">
        <f ca="1">IFERROR(__xludf.DUMMYFUNCTION("""COMPUTED_VALUE"""),"Действительно до 01.12.2026")</f>
        <v>Действительно до 01.12.2026</v>
      </c>
      <c r="D1856" s="8" t="str">
        <f ca="1">IFERROR(__xludf.DUMMYFUNCTION("""COMPUTED_VALUE"""),"21339-4")</f>
        <v>21339-4</v>
      </c>
      <c r="E1856" s="1" t="str">
        <f ca="1">IFERROR(__xludf.DUMMYFUNCTION("""COMPUTED_VALUE"""),"годен до 11.2026 г.")</f>
        <v>годен до 11.2026 г.</v>
      </c>
      <c r="F1856" s="1" t="str">
        <f ca="1">IFERROR(__xludf.DUMMYFUNCTION("""COMPUTED_VALUE"""),"МЕДИЦИНСКИЙ ПЛАСТЫРЬ НА ТКАНЕВОЙ ОСНОВЕ (19mm х 72mm) №10 - 21339-4")</f>
        <v>МЕДИЦИНСКИЙ ПЛАСТЫРЬ НА ТКАНЕВОЙ ОСНОВЕ (19mm х 72mm) №10 - 21339-4</v>
      </c>
      <c r="G1856" s="1" t="str">
        <f ca="1">IFERROR(__xludf.DUMMYFUNCTION("""COMPUTED_VALUE"""),"KZ.7700.02.01.00843799 / Действительно до 01.12.2026 / 21339-4 / годен до 11.2026 г.")</f>
        <v>KZ.7700.02.01.00843799 / Действительно до 01.12.2026 / 21339-4 / годен до 11.2026 г.</v>
      </c>
      <c r="H1856" s="1" t="str">
        <f ca="1">IFERROR(__xludf.DUMMYFUNCTION("""COMPUTED_VALUE"""),"МЕДИЦИНСКИЙ ПЛАСТЫРЬ НА ТКАНЕВОЙ ОСНОВЕ (19mm х 72mm) №10 KZ.7700.02.01.00843799 / Действительно до 01.12.2026 / 21339-4 / годен до 11.2026 г.")</f>
        <v>МЕДИЦИНСКИЙ ПЛАСТЫРЬ НА ТКАНЕВОЙ ОСНОВЕ (19mm х 72mm) №10 KZ.7700.02.01.00843799 / Действительно до 01.12.2026 / 21339-4 / годен до 11.2026 г.</v>
      </c>
    </row>
    <row r="1857" spans="1:8" ht="12.75" x14ac:dyDescent="0.2">
      <c r="A1857" s="1" t="str">
        <f ca="1">IFERROR(__xludf.DUMMYFUNCTION("""COMPUTED_VALUE"""),"МЕДИЦИНСКИЙ ХЛОПЧАТОБУМАЖНЫЙ ПЛАСТЫРЬ В РУЛОНЕ (5m x 1,25cm)")</f>
        <v>МЕДИЦИНСКИЙ ХЛОПЧАТОБУМАЖНЫЙ ПЛАСТЫРЬ В РУЛОНЕ (5m x 1,25cm)</v>
      </c>
      <c r="B1857" s="1" t="str">
        <f ca="1">IFERROR(__xludf.DUMMYFUNCTION("""COMPUTED_VALUE"""),"KZ.7700.02.01.00847158")</f>
        <v>KZ.7700.02.01.00847158</v>
      </c>
      <c r="C1857" s="1" t="str">
        <f ca="1">IFERROR(__xludf.DUMMYFUNCTION("""COMPUTED_VALUE"""),"Действительно до 01.12.2026")</f>
        <v>Действительно до 01.12.2026</v>
      </c>
      <c r="D1857" s="8" t="str">
        <f ca="1">IFERROR(__xludf.DUMMYFUNCTION("""COMPUTED_VALUE"""),"21127337-3")</f>
        <v>21127337-3</v>
      </c>
      <c r="E1857" s="1" t="str">
        <f ca="1">IFERROR(__xludf.DUMMYFUNCTION("""COMPUTED_VALUE"""),"годен до 11.2026 г.")</f>
        <v>годен до 11.2026 г.</v>
      </c>
      <c r="F1857" s="1" t="str">
        <f ca="1">IFERROR(__xludf.DUMMYFUNCTION("""COMPUTED_VALUE"""),"МЕДИЦИНСКИЙ ХЛОПЧАТОБУМАЖНЫЙ ПЛАСТЫРЬ В РУЛОНЕ (5m x 1,25cm) - 21127337-3")</f>
        <v>МЕДИЦИНСКИЙ ХЛОПЧАТОБУМАЖНЫЙ ПЛАСТЫРЬ В РУЛОНЕ (5m x 1,25cm) - 21127337-3</v>
      </c>
      <c r="G1857" s="1" t="str">
        <f ca="1">IFERROR(__xludf.DUMMYFUNCTION("""COMPUTED_VALUE"""),"KZ.7700.02.01.00847158 / Действительно до 01.12.2026 / 21127337-3 / годен до 11.2026 г.")</f>
        <v>KZ.7700.02.01.00847158 / Действительно до 01.12.2026 / 21127337-3 / годен до 11.2026 г.</v>
      </c>
      <c r="H1857" s="1" t="str">
        <f ca="1">IFERROR(__xludf.DUMMYFUNCTION("""COMPUTED_VALUE"""),"МЕДИЦИНСКИЙ ХЛОПЧАТОБУМАЖНЫЙ ПЛАСТЫРЬ В РУЛОНЕ (5m x 1,25cm) KZ.7700.02.01.00847158 / Действительно до 01.12.2026 / 21127337-3 / годен до 11.2026 г.")</f>
        <v>МЕДИЦИНСКИЙ ХЛОПЧАТОБУМАЖНЫЙ ПЛАСТЫРЬ В РУЛОНЕ (5m x 1,25cm) KZ.7700.02.01.00847158 / Действительно до 01.12.2026 / 21127337-3 / годен до 11.2026 г.</v>
      </c>
    </row>
    <row r="1858" spans="1:8" ht="12.75" x14ac:dyDescent="0.2">
      <c r="A1858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B1858" s="1" t="str">
        <f ca="1">IFERROR(__xludf.DUMMYFUNCTION("""COMPUTED_VALUE"""),"KZ.7700.02.01.00848190")</f>
        <v>KZ.7700.02.01.00848190</v>
      </c>
      <c r="C1858" s="1" t="str">
        <f ca="1">IFERROR(__xludf.DUMMYFUNCTION("""COMPUTED_VALUE"""),"Действительно до 01.12.2026")</f>
        <v>Действительно до 01.12.2026</v>
      </c>
      <c r="D1858" s="8" t="str">
        <f ca="1">IFERROR(__xludf.DUMMYFUNCTION("""COMPUTED_VALUE"""),"21128337-3")</f>
        <v>21128337-3</v>
      </c>
      <c r="E1858" s="1" t="str">
        <f ca="1">IFERROR(__xludf.DUMMYFUNCTION("""COMPUTED_VALUE"""),"годен до 11.2026 г.")</f>
        <v>годен до 11.2026 г.</v>
      </c>
      <c r="F1858" s="1" t="str">
        <f ca="1">IFERROR(__xludf.DUMMYFUNCTION("""COMPUTED_VALUE"""),"МЕДИЦИНСКИЙ ХЛОПЧАТОБУМАЖНЫЙ ПЛАСТЫРЬ В РУЛОНЕ (5m x 2,5cm) - 21128337-3")</f>
        <v>МЕДИЦИНСКИЙ ХЛОПЧАТОБУМАЖНЫЙ ПЛАСТЫРЬ В РУЛОНЕ (5m x 2,5cm) - 21128337-3</v>
      </c>
      <c r="G1858" s="1" t="str">
        <f ca="1">IFERROR(__xludf.DUMMYFUNCTION("""COMPUTED_VALUE"""),"KZ.7700.02.01.00848190 / Действительно до 01.12.2026 / 21128337-3 / годен до 11.2026 г.")</f>
        <v>KZ.7700.02.01.00848190 / Действительно до 01.12.2026 / 21128337-3 / годен до 11.2026 г.</v>
      </c>
      <c r="H1858" s="1" t="str">
        <f ca="1">IFERROR(__xludf.DUMMYFUNCTION("""COMPUTED_VALUE"""),"МЕДИЦИНСКИЙ ХЛОПЧАТОБУМАЖНЫЙ ПЛАСТЫРЬ В РУЛОНЕ (5m x 2,5cm) KZ.7700.02.01.00848190 / Действительно до 01.12.2026 / 21128337-3 / годен до 11.2026 г.")</f>
        <v>МЕДИЦИНСКИЙ ХЛОПЧАТОБУМАЖНЫЙ ПЛАСТЫРЬ В РУЛОНЕ (5m x 2,5cm) KZ.7700.02.01.00848190 / Действительно до 01.12.2026 / 21128337-3 / годен до 11.2026 г.</v>
      </c>
    </row>
    <row r="1859" spans="1:8" ht="12.75" x14ac:dyDescent="0.2">
      <c r="A1859" s="1" t="str">
        <f ca="1">IFERROR(__xludf.DUMMYFUNCTION("""COMPUTED_VALUE"""),"МОЗОЛЬНЫЙ ПЛАСТЫРЬ (19mm х 72mm) №4")</f>
        <v>МОЗОЛЬНЫЙ ПЛАСТЫРЬ (19mm х 72mm) №4</v>
      </c>
      <c r="B1859" s="1" t="str">
        <f ca="1">IFERROR(__xludf.DUMMYFUNCTION("""COMPUTED_VALUE"""),"KZ.7700.02.01.00846703")</f>
        <v>KZ.7700.02.01.00846703</v>
      </c>
      <c r="C1859" s="1" t="str">
        <f ca="1">IFERROR(__xludf.DUMMYFUNCTION("""COMPUTED_VALUE"""),"Действительно до 01.12.2026")</f>
        <v>Действительно до 01.12.2026</v>
      </c>
      <c r="D1859" s="8" t="str">
        <f ca="1">IFERROR(__xludf.DUMMYFUNCTION("""COMPUTED_VALUE"""),"2122411")</f>
        <v>2122411</v>
      </c>
      <c r="E1859" s="1" t="str">
        <f ca="1">IFERROR(__xludf.DUMMYFUNCTION("""COMPUTED_VALUE"""),"годен до 11.2026 г.")</f>
        <v>годен до 11.2026 г.</v>
      </c>
      <c r="F1859" s="1" t="str">
        <f ca="1">IFERROR(__xludf.DUMMYFUNCTION("""COMPUTED_VALUE"""),"МОЗОЛЬНЫЙ ПЛАСТЫРЬ (19mm х 72mm) №4 - 2122411")</f>
        <v>МОЗОЛЬНЫЙ ПЛАСТЫРЬ (19mm х 72mm) №4 - 2122411</v>
      </c>
      <c r="G1859" s="1" t="str">
        <f ca="1">IFERROR(__xludf.DUMMYFUNCTION("""COMPUTED_VALUE"""),"KZ.7700.02.01.00846703 / Действительно до 01.12.2026 / 2122411 / годен до 11.2026 г.")</f>
        <v>KZ.7700.02.01.00846703 / Действительно до 01.12.2026 / 2122411 / годен до 11.2026 г.</v>
      </c>
      <c r="H1859" s="1" t="str">
        <f ca="1">IFERROR(__xludf.DUMMYFUNCTION("""COMPUTED_VALUE"""),"МОЗОЛЬНЫЙ ПЛАСТЫРЬ (19mm х 72mm) №4 KZ.7700.02.01.00846703 / Действительно до 01.12.2026 / 2122411 / годен до 11.2026 г.")</f>
        <v>МОЗОЛЬНЫЙ ПЛАСТЫРЬ (19mm х 72mm) №4 KZ.7700.02.01.00846703 / Действительно до 01.12.2026 / 2122411 / годен до 11.2026 г.</v>
      </c>
    </row>
    <row r="1860" spans="1:8" ht="12.75" x14ac:dyDescent="0.2">
      <c r="A1860" s="1" t="str">
        <f ca="1">IFERROR(__xludf.DUMMYFUNCTION("""COMPUTED_VALUE"""),"ПЛАСТЫРИ ДЛЯ ДЕТЕЙ (19mm х 72mm) №20")</f>
        <v>ПЛАСТЫРИ ДЛЯ ДЕТЕЙ (19mm х 72mm) №20</v>
      </c>
      <c r="B1860" s="1" t="str">
        <f ca="1">IFERROR(__xludf.DUMMYFUNCTION("""COMPUTED_VALUE"""),"KZ.7700.02.01.00843309")</f>
        <v>KZ.7700.02.01.00843309</v>
      </c>
      <c r="C1860" s="1" t="str">
        <f ca="1">IFERROR(__xludf.DUMMYFUNCTION("""COMPUTED_VALUE"""),"Действительно до 01.12.2026")</f>
        <v>Действительно до 01.12.2026</v>
      </c>
      <c r="D1860" s="8" t="str">
        <f ca="1">IFERROR(__xludf.DUMMYFUNCTION("""COMPUTED_VALUE"""),"2121311")</f>
        <v>2121311</v>
      </c>
      <c r="E1860" s="1" t="str">
        <f ca="1">IFERROR(__xludf.DUMMYFUNCTION("""COMPUTED_VALUE"""),"годен до 11.2026 г.")</f>
        <v>годен до 11.2026 г.</v>
      </c>
      <c r="F1860" s="1" t="str">
        <f ca="1">IFERROR(__xludf.DUMMYFUNCTION("""COMPUTED_VALUE"""),"ПЛАСТЫРИ ДЛЯ ДЕТЕЙ (19mm х 72mm) №20 - 2121311")</f>
        <v>ПЛАСТЫРИ ДЛЯ ДЕТЕЙ (19mm х 72mm) №20 - 2121311</v>
      </c>
      <c r="G1860" s="1" t="str">
        <f ca="1">IFERROR(__xludf.DUMMYFUNCTION("""COMPUTED_VALUE"""),"KZ.7700.02.01.00843309 / Действительно до 01.12.2026 / 2121311 / годен до 11.2026 г.")</f>
        <v>KZ.7700.02.01.00843309 / Действительно до 01.12.2026 / 2121311 / годен до 11.2026 г.</v>
      </c>
      <c r="H1860" s="1" t="str">
        <f ca="1">IFERROR(__xludf.DUMMYFUNCTION("""COMPUTED_VALUE"""),"ПЛАСТЫРИ ДЛЯ ДЕТЕЙ (19mm х 72mm) №20 KZ.7700.02.01.00843309 / Действительно до 01.12.2026 / 2121311 / годен до 11.2026 г.")</f>
        <v>ПЛАСТЫРИ ДЛЯ ДЕТЕЙ (19mm х 72mm) №20 KZ.7700.02.01.00843309 / Действительно до 01.12.2026 / 2121311 / годен до 11.2026 г.</v>
      </c>
    </row>
    <row r="1861" spans="1:8" ht="12.75" x14ac:dyDescent="0.2">
      <c r="A1861" s="1" t="str">
        <f ca="1">IFERROR(__xludf.DUMMYFUNCTION("""COMPUTED_VALUE"""),"Детская зубная щетка торговой марки DENTISSIMO: KIDS Timer Soft (3-6) Years")</f>
        <v>Детская зубная щетка торговой марки DENTISSIMO: KIDS Timer Soft (3-6) Years</v>
      </c>
      <c r="B1861" s="1" t="str">
        <f ca="1">IFERROR(__xludf.DUMMYFUNCTION("""COMPUTED_VALUE"""),"KZ.7500995.13.12.03090")</f>
        <v>KZ.7500995.13.12.03090</v>
      </c>
      <c r="C1861" s="1" t="str">
        <f ca="1">IFERROR(__xludf.DUMMYFUNCTION("""COMPUTED_VALUE"""),"Действительно до 04.05.2023")</f>
        <v>Действительно до 04.05.2023</v>
      </c>
      <c r="D1861" s="1"/>
      <c r="E1861" s="1" t="str">
        <f ca="1">IFERROR(__xludf.DUMMYFUNCTION("""COMPUTED_VALUE"""),"Срок годности не ограничен")</f>
        <v>Срок годности не ограничен</v>
      </c>
      <c r="F1861" s="1" t="str">
        <f ca="1">IFERROR(__xludf.DUMMYFUNCTION("""COMPUTED_VALUE"""),"Детская зубная щетка торговой марки DENTISSIMO: KIDS Timer Soft (3-6) Years - ")</f>
        <v xml:space="preserve">Детская зубная щетка торговой марки DENTISSIMO: KIDS Timer Soft (3-6) Years - </v>
      </c>
      <c r="G1861" s="1" t="str">
        <f ca="1">IFERROR(__xludf.DUMMYFUNCTION("""COMPUTED_VALUE"""),"KZ.7500995.13.12.03090 / Действительно до 04.05.2023 /  / Срок годности не ограничен")</f>
        <v>KZ.7500995.13.12.03090 / Действительно до 04.05.2023 /  / Срок годности не ограничен</v>
      </c>
      <c r="H1861" s="1" t="str">
        <f ca="1">IFERROR(__xludf.DUMMYFUNCTION("""COMPUTED_VALUE"""),"Детская зубная щетка торговой марки DENTISSIMO: KIDS Timer Soft (3-6) Years KZ.7500995.13.12.03090 / Действительно до 04.05.2023 /  / Срок годности не ограничен")</f>
        <v>Детская зубная щетка торговой марки DENTISSIMO: KIDS Timer Soft (3-6) Years KZ.7500995.13.12.03090 / Действительно до 04.05.2023 /  / Срок годности не ограничен</v>
      </c>
    </row>
    <row r="1862" spans="1:8" ht="12.75" x14ac:dyDescent="0.2">
      <c r="A1862" s="1" t="str">
        <f ca="1">IFERROR(__xludf.DUMMYFUNCTION("""COMPUTED_VALUE"""),"Детские зубные щетки торговой марки DENTISSIMO : KIDS SOFT 2-6")</f>
        <v>Детские зубные щетки торговой марки DENTISSIMO : KIDS SOFT 2-6</v>
      </c>
      <c r="B1862" s="1" t="str">
        <f ca="1">IFERROR(__xludf.DUMMYFUNCTION("""COMPUTED_VALUE"""),"KZ.7500995.13.12.03089")</f>
        <v>KZ.7500995.13.12.03089</v>
      </c>
      <c r="C1862" s="1" t="str">
        <f ca="1">IFERROR(__xludf.DUMMYFUNCTION("""COMPUTED_VALUE"""),"Действительно до 04.05.2023")</f>
        <v>Действительно до 04.05.2023</v>
      </c>
      <c r="D1862" s="1"/>
      <c r="E1862" s="1" t="str">
        <f ca="1">IFERROR(__xludf.DUMMYFUNCTION("""COMPUTED_VALUE"""),"Срок годности не ограничен")</f>
        <v>Срок годности не ограничен</v>
      </c>
      <c r="F1862" s="1" t="str">
        <f ca="1">IFERROR(__xludf.DUMMYFUNCTION("""COMPUTED_VALUE"""),"Детские зубные щетки торговой марки DENTISSIMO : KIDS SOFT 2-6 - ")</f>
        <v xml:space="preserve">Детские зубные щетки торговой марки DENTISSIMO : KIDS SOFT 2-6 - </v>
      </c>
      <c r="G1862" s="1" t="str">
        <f ca="1">IFERROR(__xludf.DUMMYFUNCTION("""COMPUTED_VALUE"""),"KZ.7500995.13.12.03089 / Действительно до 04.05.2023 /  / Срок годности не ограничен")</f>
        <v>KZ.7500995.13.12.03089 / Действительно до 04.05.2023 /  / Срок годности не ограничен</v>
      </c>
      <c r="H1862" s="1" t="str">
        <f ca="1">IFERROR(__xludf.DUMMYFUNCTION("""COMPUTED_VALUE"""),"Детские зубные щетки торговой марки DENTISSIMO : KIDS SOFT 2-6 KZ.7500995.13.12.03089 / Действительно до 04.05.2023 /  / Срок годности не ограничен")</f>
        <v>Детские зубные щетки торговой марки DENTISSIMO : KIDS SOFT 2-6 KZ.7500995.13.12.03089 / Действительно до 04.05.2023 /  / Срок годности не ограничен</v>
      </c>
    </row>
    <row r="1863" spans="1:8" ht="12.75" x14ac:dyDescent="0.2">
      <c r="A1863" s="1" t="str">
        <f ca="1">IFERROR(__xludf.DUMMYFUNCTION("""COMPUTED_VALUE"""),"Детские зубные щетки торговой марки DENTISSIMO : JUNIOR SOFT 6+")</f>
        <v>Детские зубные щетки торговой марки DENTISSIMO : JUNIOR SOFT 6+</v>
      </c>
      <c r="B1863" s="1" t="str">
        <f ca="1">IFERROR(__xludf.DUMMYFUNCTION("""COMPUTED_VALUE"""),"KZ.7500995.13.12.03089")</f>
        <v>KZ.7500995.13.12.03089</v>
      </c>
      <c r="C1863" s="1" t="str">
        <f ca="1">IFERROR(__xludf.DUMMYFUNCTION("""COMPUTED_VALUE"""),"Действительно до 04.05.2023")</f>
        <v>Действительно до 04.05.2023</v>
      </c>
      <c r="D1863" s="1"/>
      <c r="E1863" s="1" t="str">
        <f ca="1">IFERROR(__xludf.DUMMYFUNCTION("""COMPUTED_VALUE"""),"Срок годности не ограничен")</f>
        <v>Срок годности не ограничен</v>
      </c>
      <c r="F1863" s="1" t="str">
        <f ca="1">IFERROR(__xludf.DUMMYFUNCTION("""COMPUTED_VALUE"""),"Детские зубные щетки торговой марки DENTISSIMO : JUNIOR SOFT 6+ - ")</f>
        <v xml:space="preserve">Детские зубные щетки торговой марки DENTISSIMO : JUNIOR SOFT 6+ - </v>
      </c>
      <c r="G1863" s="1" t="str">
        <f ca="1">IFERROR(__xludf.DUMMYFUNCTION("""COMPUTED_VALUE"""),"KZ.7500995.13.12.03089 / Действительно до 04.05.2023 /  / Срок годности не ограничен")</f>
        <v>KZ.7500995.13.12.03089 / Действительно до 04.05.2023 /  / Срок годности не ограничен</v>
      </c>
      <c r="H1863" s="1" t="str">
        <f ca="1">IFERROR(__xludf.DUMMYFUNCTION("""COMPUTED_VALUE"""),"Детские зубные щетки торговой марки DENTISSIMO : JUNIOR SOFT 6+ KZ.7500995.13.12.03089 / Действительно до 04.05.2023 /  / Срок годности не ограничен")</f>
        <v>Детские зубные щетки торговой марки DENTISSIMO : JUNIOR SOFT 6+ KZ.7500995.13.12.03089 / Действительно до 04.05.2023 /  / Срок годности не ограничен</v>
      </c>
    </row>
    <row r="1864" spans="1:8" ht="12.75" x14ac:dyDescent="0.2">
      <c r="A1864" s="1" t="str">
        <f ca="1">IFERROR(__xludf.DUMMYFUNCTION("""COMPUTED_VALUE"""),"Зубная паста торговой марки DENTISSIMO: COMPLETE CARE PLUS TOOTHPASTE")</f>
        <v>Зубная паста торговой марки DENTISSIMO: COMPLETE CARE PLUS TOOTHPASTE</v>
      </c>
      <c r="B1864" s="1" t="str">
        <f ca="1">IFERROR(__xludf.DUMMYFUNCTION("""COMPUTED_VALUE"""),"KZ.7500995.13.12.03088")</f>
        <v>KZ.7500995.13.12.03088</v>
      </c>
      <c r="C1864" s="1" t="str">
        <f ca="1">IFERROR(__xludf.DUMMYFUNCTION("""COMPUTED_VALUE"""),"Действительно до 04.05.2023")</f>
        <v>Действительно до 04.05.2023</v>
      </c>
      <c r="D1864" s="1"/>
      <c r="E1864" s="1" t="str">
        <f ca="1">IFERROR(__xludf.DUMMYFUNCTION("""COMPUTED_VALUE"""),"Срок годности до 11.2026")</f>
        <v>Срок годности до 11.2026</v>
      </c>
      <c r="F1864" s="1" t="str">
        <f ca="1">IFERROR(__xludf.DUMMYFUNCTION("""COMPUTED_VALUE"""),"Зубная паста торговой марки DENTISSIMO: COMPLETE CARE PLUS TOOTHPASTE - ")</f>
        <v xml:space="preserve">Зубная паста торговой марки DENTISSIMO: COMPLETE CARE PLUS TOOTHPASTE - </v>
      </c>
      <c r="G1864" s="1" t="str">
        <f ca="1">IFERROR(__xludf.DUMMYFUNCTION("""COMPUTED_VALUE"""),"KZ.7500995.13.12.03088 / Действительно до 04.05.2023 /  / Срок годности до 11.2026")</f>
        <v>KZ.7500995.13.12.03088 / Действительно до 04.05.2023 /  / Срок годности до 11.2026</v>
      </c>
      <c r="H1864" s="1" t="str">
        <f ca="1">IFERROR(__xludf.DUMMYFUNCTION("""COMPUTED_VALUE"""),"Зубная паста торговой марки DENTISSIMO: COMPLETE CARE PLUS TOOTHPASTE KZ.7500995.13.12.03088 / Действительно до 04.05.2023 /  / Срок годности до 11.2026")</f>
        <v>Зубная паста торговой марки DENTISSIMO: COMPLETE CARE PLUS TOOTHPASTE KZ.7500995.13.12.03088 / Действительно до 04.05.2023 /  / Срок годности до 11.2026</v>
      </c>
    </row>
    <row r="1865" spans="1:8" ht="12.75" x14ac:dyDescent="0.2">
      <c r="A1865" s="1" t="str">
        <f ca="1">IFERROR(__xludf.DUMMYFUNCTION("""COMPUTED_VALUE"""),"Зубная паста-гель торговой марки DENTISSIMO: Для беременных женщин и молодых мам")</f>
        <v>Зубная паста-гель торговой марки DENTISSIMO: Для беременных женщин и молодых мам</v>
      </c>
      <c r="B1865" s="1" t="str">
        <f ca="1">IFERROR(__xludf.DUMMYFUNCTION("""COMPUTED_VALUE"""),"KZ.7500995.13.12.03088")</f>
        <v>KZ.7500995.13.12.03088</v>
      </c>
      <c r="C1865" s="1" t="str">
        <f ca="1">IFERROR(__xludf.DUMMYFUNCTION("""COMPUTED_VALUE"""),"Действительно до 04.05.2023")</f>
        <v>Действительно до 04.05.2023</v>
      </c>
      <c r="D1865" s="1"/>
      <c r="E1865" s="1" t="str">
        <f ca="1">IFERROR(__xludf.DUMMYFUNCTION("""COMPUTED_VALUE"""),"Срок годности до 09.2024")</f>
        <v>Срок годности до 09.2024</v>
      </c>
      <c r="F1865" s="1" t="str">
        <f ca="1">IFERROR(__xludf.DUMMYFUNCTION("""COMPUTED_VALUE"""),"Зубная паста-гель торговой марки DENTISSIMO: Для беременных женщин и молодых мам - ")</f>
        <v xml:space="preserve">Зубная паста-гель торговой марки DENTISSIMO: Для беременных женщин и молодых мам - </v>
      </c>
      <c r="G1865" s="1" t="str">
        <f ca="1">IFERROR(__xludf.DUMMYFUNCTION("""COMPUTED_VALUE"""),"KZ.7500995.13.12.03088 / Действительно до 04.05.2023 /  / Срок годности до 09.2024")</f>
        <v>KZ.7500995.13.12.03088 / Действительно до 04.05.2023 /  / Срок годности до 09.2024</v>
      </c>
      <c r="H1865" s="1" t="str">
        <f ca="1">IFERROR(__xludf.DUMMYFUNCTION("""COMPUTED_VALUE"""),"Зубная паста-гель торговой марки DENTISSIMO: Для беременных женщин и молодых мам KZ.7500995.13.12.03088 / Действительно до 04.05.2023 /  / Срок годности до 09.2024")</f>
        <v>Зубная паста-гель торговой марки DENTISSIMO: Для беременных женщин и молодых мам KZ.7500995.13.12.03088 / Действительно до 04.05.2023 /  / Срок годности до 09.2024</v>
      </c>
    </row>
    <row r="1866" spans="1:8" ht="12.75" x14ac:dyDescent="0.2">
      <c r="A1866" s="1" t="str">
        <f ca="1">IFERROR(__xludf.DUMMYFUNCTION("""COMPUTED_VALUE"""),"Зубная паста торговой марки DENTISSIMO:PRO-CARE TEETH&amp;GUM TOOTHPASTE")</f>
        <v>Зубная паста торговой марки DENTISSIMO:PRO-CARE TEETH&amp;GUM TOOTHPASTE</v>
      </c>
      <c r="B1866" s="1" t="str">
        <f ca="1">IFERROR(__xludf.DUMMYFUNCTION("""COMPUTED_VALUE"""),"KZ.7500995.13.12.03088")</f>
        <v>KZ.7500995.13.12.03088</v>
      </c>
      <c r="C1866" s="1" t="str">
        <f ca="1">IFERROR(__xludf.DUMMYFUNCTION("""COMPUTED_VALUE"""),"Действительно до 04.05.2023")</f>
        <v>Действительно до 04.05.2023</v>
      </c>
      <c r="D1866" s="1"/>
      <c r="E1866" s="1" t="str">
        <f ca="1">IFERROR(__xludf.DUMMYFUNCTION("""COMPUTED_VALUE"""),"Срок годности до 01.2027")</f>
        <v>Срок годности до 01.2027</v>
      </c>
      <c r="F1866" s="1" t="str">
        <f ca="1">IFERROR(__xludf.DUMMYFUNCTION("""COMPUTED_VALUE"""),"Зубная паста торговой марки DENTISSIMO:PRO-CARE TEETH&amp;GUM TOOTHPASTE - ")</f>
        <v xml:space="preserve">Зубная паста торговой марки DENTISSIMO:PRO-CARE TEETH&amp;GUM TOOTHPASTE - </v>
      </c>
      <c r="G1866" s="1" t="str">
        <f ca="1">IFERROR(__xludf.DUMMYFUNCTION("""COMPUTED_VALUE"""),"KZ.7500995.13.12.03088 / Действительно до 04.05.2023 /  / Срок годности до 01.2027")</f>
        <v>KZ.7500995.13.12.03088 / Действительно до 04.05.2023 /  / Срок годности до 01.2027</v>
      </c>
      <c r="H1866" s="1" t="str">
        <f ca="1">IFERROR(__xludf.DUMMYFUNCTION("""COMPUTED_VALUE"""),"Зубная паста торговой марки DENTISSIMO:PRO-CARE TEETH&amp;GUM TOOTHPASTE KZ.7500995.13.12.03088 / Действительно до 04.05.2023 /  / Срок годности до 01.2027")</f>
        <v>Зубная паста торговой марки DENTISSIMO:PRO-CARE TEETH&amp;GUM TOOTHPASTE KZ.7500995.13.12.03088 / Действительно до 04.05.2023 /  / Срок годности до 01.2027</v>
      </c>
    </row>
    <row r="1867" spans="1:8" ht="12.75" x14ac:dyDescent="0.2">
      <c r="A1867" s="1" t="str">
        <f ca="1">IFERROR(__xludf.DUMMYFUNCTION("""COMPUTED_VALUE"""),"Зубная паста торговой марки DENTISSIMO: BIO-NATURAL WITH HERBS TOOTHPASTE")</f>
        <v>Зубная паста торговой марки DENTISSIMO: BIO-NATURAL WITH HERBS TOOTHPASTE</v>
      </c>
      <c r="B1867" s="1" t="str">
        <f ca="1">IFERROR(__xludf.DUMMYFUNCTION("""COMPUTED_VALUE"""),"KZ.7500995.13.12.03088")</f>
        <v>KZ.7500995.13.12.03088</v>
      </c>
      <c r="C1867" s="1" t="str">
        <f ca="1">IFERROR(__xludf.DUMMYFUNCTION("""COMPUTED_VALUE"""),"Действительно до 04.05.2023")</f>
        <v>Действительно до 04.05.2023</v>
      </c>
      <c r="D1867" s="1"/>
      <c r="E1867" s="1" t="str">
        <f ca="1">IFERROR(__xludf.DUMMYFUNCTION("""COMPUTED_VALUE"""),"Срок годности до 07.2024")</f>
        <v>Срок годности до 07.2024</v>
      </c>
      <c r="F1867" s="1" t="str">
        <f ca="1">IFERROR(__xludf.DUMMYFUNCTION("""COMPUTED_VALUE"""),"Зубная паста торговой марки DENTISSIMO: BIO-NATURAL WITH HERBS TOOTHPASTE - ")</f>
        <v xml:space="preserve">Зубная паста торговой марки DENTISSIMO: BIO-NATURAL WITH HERBS TOOTHPASTE - </v>
      </c>
      <c r="G1867" s="1" t="str">
        <f ca="1">IFERROR(__xludf.DUMMYFUNCTION("""COMPUTED_VALUE"""),"KZ.7500995.13.12.03088 / Действительно до 04.05.2023 /  / Срок годности до 07.2024")</f>
        <v>KZ.7500995.13.12.03088 / Действительно до 04.05.2023 /  / Срок годности до 07.2024</v>
      </c>
      <c r="H1867" s="1" t="str">
        <f ca="1">IFERROR(__xludf.DUMMYFUNCTION("""COMPUTED_VALUE"""),"Зубная паста торговой марки DENTISSIMO: BIO-NATURAL WITH HERBS TOOTHPASTE KZ.7500995.13.12.03088 / Действительно до 04.05.2023 /  / Срок годности до 07.2024")</f>
        <v>Зубная паста торговой марки DENTISSIMO: BIO-NATURAL WITH HERBS TOOTHPASTE KZ.7500995.13.12.03088 / Действительно до 04.05.2023 /  / Срок годности до 07.2024</v>
      </c>
    </row>
    <row r="1868" spans="1:8" ht="12.75" x14ac:dyDescent="0.2">
      <c r="A1868" s="1" t="str">
        <f ca="1">IFERROR(__xludf.DUMMYFUNCTION("""COMPUTED_VALUE"""),"DOLPHI 3 в 1 №3 Презервативы латексные")</f>
        <v>DOLPHI 3 в 1 №3 Презервативы латексные</v>
      </c>
      <c r="B1868" s="1" t="str">
        <f ca="1">IFERROR(__xludf.DUMMYFUNCTION("""COMPUTED_VALUE"""),"KZ.7700.02.01.00847148")</f>
        <v>KZ.7700.02.01.00847148</v>
      </c>
      <c r="C1868" s="1" t="str">
        <f ca="1">IFERROR(__xludf.DUMMYFUNCTION("""COMPUTED_VALUE"""),"Действительно до 01.01.2027")</f>
        <v>Действительно до 01.01.2027</v>
      </c>
      <c r="D1868" s="8" t="str">
        <f ca="1">IFERROR(__xludf.DUMMYFUNCTION("""COMPUTED_VALUE"""),"2112TNI2839")</f>
        <v>2112TNI2839</v>
      </c>
      <c r="E1868" s="1" t="str">
        <f ca="1">IFERROR(__xludf.DUMMYFUNCTION("""COMPUTED_VALUE"""),"годен до 12.2026 г.")</f>
        <v>годен до 12.2026 г.</v>
      </c>
      <c r="F1868" s="1" t="str">
        <f ca="1">IFERROR(__xludf.DUMMYFUNCTION("""COMPUTED_VALUE"""),"DOLPHI 3 в 1 №3 Презервативы латексные - 2112TNI2839")</f>
        <v>DOLPHI 3 в 1 №3 Презервативы латексные - 2112TNI2839</v>
      </c>
      <c r="G1868" s="1" t="str">
        <f ca="1">IFERROR(__xludf.DUMMYFUNCTION("""COMPUTED_VALUE"""),"KZ.7700.02.01.00847148 / Действительно до 01.01.2027 / 2112TNI2839 / годен до 12.2026 г.")</f>
        <v>KZ.7700.02.01.00847148 / Действительно до 01.01.2027 / 2112TNI2839 / годен до 12.2026 г.</v>
      </c>
      <c r="H1868" s="1" t="str">
        <f ca="1">IFERROR(__xludf.DUMMYFUNCTION("""COMPUTED_VALUE"""),"DOLPHI 3 в 1 №3 Презервативы латексные KZ.7700.02.01.00847148 / Действительно до 01.01.2027 / 2112TNI2839 / годен до 12.2026 г.")</f>
        <v>DOLPHI 3 в 1 №3 Презервативы латексные KZ.7700.02.01.00847148 / Действительно до 01.01.2027 / 2112TNI2839 / годен до 12.2026 г.</v>
      </c>
    </row>
    <row r="1869" spans="1:8" ht="12.75" x14ac:dyDescent="0.2">
      <c r="A1869" s="1" t="str">
        <f ca="1">IFERROR(__xludf.DUMMYFUNCTION("""COMPUTED_VALUE"""),"DOLPHI 3 в 1 №12 Презервативы латексные")</f>
        <v>DOLPHI 3 в 1 №12 Презервативы латексные</v>
      </c>
      <c r="B1869" s="1" t="str">
        <f ca="1">IFERROR(__xludf.DUMMYFUNCTION("""COMPUTED_VALUE"""),"KZ.7700.02.01.00843625")</f>
        <v>KZ.7700.02.01.00843625</v>
      </c>
      <c r="C1869" s="1" t="str">
        <f ca="1">IFERROR(__xludf.DUMMYFUNCTION("""COMPUTED_VALUE"""),"Действительно до 01.01.2027")</f>
        <v>Действительно до 01.01.2027</v>
      </c>
      <c r="D1869" s="8" t="str">
        <f ca="1">IFERROR(__xludf.DUMMYFUNCTION("""COMPUTED_VALUE"""),"2112TNI2839")</f>
        <v>2112TNI2839</v>
      </c>
      <c r="E1869" s="1" t="str">
        <f ca="1">IFERROR(__xludf.DUMMYFUNCTION("""COMPUTED_VALUE"""),"годен до 12.2026 г.")</f>
        <v>годен до 12.2026 г.</v>
      </c>
      <c r="F1869" s="1" t="str">
        <f ca="1">IFERROR(__xludf.DUMMYFUNCTION("""COMPUTED_VALUE"""),"DOLPHI 3 в 1 №12 Презервативы латексные - 2112TNI2839")</f>
        <v>DOLPHI 3 в 1 №12 Презервативы латексные - 2112TNI2839</v>
      </c>
      <c r="G1869" s="1" t="str">
        <f ca="1">IFERROR(__xludf.DUMMYFUNCTION("""COMPUTED_VALUE"""),"KZ.7700.02.01.00843625 / Действительно до 01.01.2027 / 2112TNI2839 / годен до 12.2026 г.")</f>
        <v>KZ.7700.02.01.00843625 / Действительно до 01.01.2027 / 2112TNI2839 / годен до 12.2026 г.</v>
      </c>
      <c r="H1869" s="1" t="str">
        <f ca="1">IFERROR(__xludf.DUMMYFUNCTION("""COMPUTED_VALUE"""),"DOLPHI 3 в 1 №12 Презервативы латексные KZ.7700.02.01.00843625 / Действительно до 01.01.2027 / 2112TNI2839 / годен до 12.2026 г.")</f>
        <v>DOLPHI 3 в 1 №12 Презервативы латексные KZ.7700.02.01.00843625 / Действительно до 01.01.2027 / 2112TNI2839 / годен до 12.2026 г.</v>
      </c>
    </row>
    <row r="1870" spans="1:8" ht="12.75" x14ac:dyDescent="0.2">
      <c r="A1870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1870" s="1" t="str">
        <f ca="1">IFERROR(__xludf.DUMMYFUNCTION("""COMPUTED_VALUE"""),"KZ.7700.02.01.00845712")</f>
        <v>KZ.7700.02.01.00845712</v>
      </c>
      <c r="C1870" s="1" t="str">
        <f ca="1">IFERROR(__xludf.DUMMYFUNCTION("""COMPUTED_VALUE"""),"Действительно до 01.12.2026")</f>
        <v>Действительно до 01.12.2026</v>
      </c>
      <c r="D1870" s="8" t="str">
        <f ca="1">IFERROR(__xludf.DUMMYFUNCTION("""COMPUTED_VALUE"""),"2111TNI3140")</f>
        <v>2111TNI3140</v>
      </c>
      <c r="E1870" s="1" t="str">
        <f ca="1">IFERROR(__xludf.DUMMYFUNCTION("""COMPUTED_VALUE"""),"годен до 11.2026 г.")</f>
        <v>годен до 11.2026 г.</v>
      </c>
      <c r="F1870" s="1" t="str">
        <f ca="1">IFERROR(__xludf.DUMMYFUNCTION("""COMPUTED_VALUE"""),"DOLPHI анатомические ультратонкие Презервативы латексные, № 3 - 2111TNI3140")</f>
        <v>DOLPHI анатомические ультратонкие Презервативы латексные, № 3 - 2111TNI3140</v>
      </c>
      <c r="G1870" s="1" t="str">
        <f ca="1">IFERROR(__xludf.DUMMYFUNCTION("""COMPUTED_VALUE"""),"KZ.7700.02.01.00845712 / Действительно до 01.12.2026 / 2111TNI3140 / годен до 11.2026 г.")</f>
        <v>KZ.7700.02.01.00845712 / Действительно до 01.12.2026 / 2111TNI3140 / годен до 11.2026 г.</v>
      </c>
      <c r="H1870" s="1" t="str">
        <f ca="1">IFERROR(__xludf.DUMMYFUNCTION("""COMPUTED_VALUE"""),"DOLPHI анатомические ультратонкие Презервативы латексные, № 3 KZ.7700.02.01.00845712 / Действительно до 01.12.2026 / 2111TNI3140 / годен до 11.2026 г.")</f>
        <v>DOLPHI анатомические ультратонкие Презервативы латексные, № 3 KZ.7700.02.01.00845712 / Действительно до 01.12.2026 / 2111TNI3140 / годен до 11.2026 г.</v>
      </c>
    </row>
    <row r="1871" spans="1:8" ht="12.75" x14ac:dyDescent="0.2">
      <c r="A1871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1871" s="1" t="str">
        <f ca="1">IFERROR(__xludf.DUMMYFUNCTION("""COMPUTED_VALUE"""),"KZ.7700.02.01.00848787")</f>
        <v>KZ.7700.02.01.00848787</v>
      </c>
      <c r="C1871" s="1" t="str">
        <f ca="1">IFERROR(__xludf.DUMMYFUNCTION("""COMPUTED_VALUE"""),"Действительно до 01.12.2026")</f>
        <v>Действительно до 01.12.2026</v>
      </c>
      <c r="D1871" s="8" t="str">
        <f ca="1">IFERROR(__xludf.DUMMYFUNCTION("""COMPUTED_VALUE"""),"2111TNI3140")</f>
        <v>2111TNI3140</v>
      </c>
      <c r="E1871" s="1" t="str">
        <f ca="1">IFERROR(__xludf.DUMMYFUNCTION("""COMPUTED_VALUE"""),"годен до 11.2026 г.")</f>
        <v>годен до 11.2026 г.</v>
      </c>
      <c r="F1871" s="1" t="str">
        <f ca="1">IFERROR(__xludf.DUMMYFUNCTION("""COMPUTED_VALUE"""),"DOLPHI анатомические ультратонкие, №12 Презервативы латексные - 2111TNI3140")</f>
        <v>DOLPHI анатомические ультратонкие, №12 Презервативы латексные - 2111TNI3140</v>
      </c>
      <c r="G1871" s="1" t="str">
        <f ca="1">IFERROR(__xludf.DUMMYFUNCTION("""COMPUTED_VALUE"""),"KZ.7700.02.01.00848787 / Действительно до 01.12.2026 / 2111TNI3140 / годен до 11.2026 г.")</f>
        <v>KZ.7700.02.01.00848787 / Действительно до 01.12.2026 / 2111TNI3140 / годен до 11.2026 г.</v>
      </c>
      <c r="H1871" s="1" t="str">
        <f ca="1">IFERROR(__xludf.DUMMYFUNCTION("""COMPUTED_VALUE"""),"DOLPHI анатомические ультратонкие, №12 Презервативы латексные KZ.7700.02.01.00848787 / Действительно до 01.12.2026 / 2111TNI3140 / годен до 11.2026 г.")</f>
        <v>DOLPHI анатомические ультратонкие, №12 Презервативы латексные KZ.7700.02.01.00848787 / Действительно до 01.12.2026 / 2111TNI3140 / годен до 11.2026 г.</v>
      </c>
    </row>
    <row r="1872" spans="1:8" ht="12.75" x14ac:dyDescent="0.2">
      <c r="A1872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1872" s="1" t="str">
        <f ca="1">IFERROR(__xludf.DUMMYFUNCTION("""COMPUTED_VALUE"""),"KZ.7700.02.01.00843610")</f>
        <v>KZ.7700.02.01.00843610</v>
      </c>
      <c r="C1872" s="1" t="str">
        <f ca="1">IFERROR(__xludf.DUMMYFUNCTION("""COMPUTED_VALUE"""),"Действительно до 01.12.2026")</f>
        <v>Действительно до 01.12.2026</v>
      </c>
      <c r="D1872" s="8" t="str">
        <f ca="1">IFERROR(__xludf.DUMMYFUNCTION("""COMPUTED_VALUE"""),"2111TNI3134")</f>
        <v>2111TNI3134</v>
      </c>
      <c r="E1872" s="1" t="str">
        <f ca="1">IFERROR(__xludf.DUMMYFUNCTION("""COMPUTED_VALUE"""),"годен до 11.2026 г.")</f>
        <v>годен до 11.2026 г.</v>
      </c>
      <c r="F1872" s="1" t="str">
        <f ca="1">IFERROR(__xludf.DUMMYFUNCTION("""COMPUTED_VALUE"""),"DOLPHI Класические №3 Презервативы латексные - 2111TNI3134")</f>
        <v>DOLPHI Класические №3 Презервативы латексные - 2111TNI3134</v>
      </c>
      <c r="G1872" s="1" t="str">
        <f ca="1">IFERROR(__xludf.DUMMYFUNCTION("""COMPUTED_VALUE"""),"KZ.7700.02.01.00843610 / Действительно до 01.12.2026 / 2111TNI3134 / годен до 11.2026 г.")</f>
        <v>KZ.7700.02.01.00843610 / Действительно до 01.12.2026 / 2111TNI3134 / годен до 11.2026 г.</v>
      </c>
      <c r="H1872" s="1" t="str">
        <f ca="1">IFERROR(__xludf.DUMMYFUNCTION("""COMPUTED_VALUE"""),"DOLPHI Класические №3 Презервативы латексные KZ.7700.02.01.00843610 / Действительно до 01.12.2026 / 2111TNI3134 / годен до 11.2026 г.")</f>
        <v>DOLPHI Класические №3 Презервативы латексные KZ.7700.02.01.00843610 / Действительно до 01.12.2026 / 2111TNI3134 / годен до 11.2026 г.</v>
      </c>
    </row>
    <row r="1873" spans="1:8" ht="12.75" x14ac:dyDescent="0.2">
      <c r="A1873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1873" s="1" t="str">
        <f ca="1">IFERROR(__xludf.DUMMYFUNCTION("""COMPUTED_VALUE"""),"KZ.7700.02.01.00844867")</f>
        <v>KZ.7700.02.01.00844867</v>
      </c>
      <c r="C1873" s="1" t="str">
        <f ca="1">IFERROR(__xludf.DUMMYFUNCTION("""COMPUTED_VALUE"""),"Действительно до 01.12.2026")</f>
        <v>Действительно до 01.12.2026</v>
      </c>
      <c r="D1873" s="8" t="str">
        <f ca="1">IFERROR(__xludf.DUMMYFUNCTION("""COMPUTED_VALUE"""),"2111TNI3134")</f>
        <v>2111TNI3134</v>
      </c>
      <c r="E1873" s="1" t="str">
        <f ca="1">IFERROR(__xludf.DUMMYFUNCTION("""COMPUTED_VALUE"""),"годен до 11.2026 г.")</f>
        <v>годен до 11.2026 г.</v>
      </c>
      <c r="F1873" s="1" t="str">
        <f ca="1">IFERROR(__xludf.DUMMYFUNCTION("""COMPUTED_VALUE"""),"DOLPHI классические, №12 Презервативы латексные - 2111TNI3134")</f>
        <v>DOLPHI классические, №12 Презервативы латексные - 2111TNI3134</v>
      </c>
      <c r="G1873" s="1" t="str">
        <f ca="1">IFERROR(__xludf.DUMMYFUNCTION("""COMPUTED_VALUE"""),"KZ.7700.02.01.00844867 / Действительно до 01.12.2026 / 2111TNI3134 / годен до 11.2026 г.")</f>
        <v>KZ.7700.02.01.00844867 / Действительно до 01.12.2026 / 2111TNI3134 / годен до 11.2026 г.</v>
      </c>
      <c r="H1873" s="1" t="str">
        <f ca="1">IFERROR(__xludf.DUMMYFUNCTION("""COMPUTED_VALUE"""),"DOLPHI классические, №12 Презервативы латексные KZ.7700.02.01.00844867 / Действительно до 01.12.2026 / 2111TNI3134 / годен до 11.2026 г.")</f>
        <v>DOLPHI классические, №12 Презервативы латексные KZ.7700.02.01.00844867 / Действительно до 01.12.2026 / 2111TNI3134 / годен до 11.2026 г.</v>
      </c>
    </row>
    <row r="1874" spans="1:8" ht="12.75" x14ac:dyDescent="0.2">
      <c r="A1874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1874" s="1" t="str">
        <f ca="1">IFERROR(__xludf.DUMMYFUNCTION("""COMPUTED_VALUE"""),"KZ.7700.02.01.00846906")</f>
        <v>KZ.7700.02.01.00846906</v>
      </c>
      <c r="C1874" s="1" t="str">
        <f ca="1">IFERROR(__xludf.DUMMYFUNCTION("""COMPUTED_VALUE"""),"Действительно до 01.12.2026")</f>
        <v>Действительно до 01.12.2026</v>
      </c>
      <c r="D1874" s="8" t="str">
        <f ca="1">IFERROR(__xludf.DUMMYFUNCTION("""COMPUTED_VALUE"""),"2111TNI3134")</f>
        <v>2111TNI3134</v>
      </c>
      <c r="E1874" s="1" t="str">
        <f ca="1">IFERROR(__xludf.DUMMYFUNCTION("""COMPUTED_VALUE"""),"годен до 11.2026 г.")</f>
        <v>годен до 11.2026 г.</v>
      </c>
      <c r="F1874" s="1" t="str">
        <f ca="1">IFERROR(__xludf.DUMMYFUNCTION("""COMPUTED_VALUE"""),"Mister Ben классические № 3 Презервативы латексные - 2111TNI3134")</f>
        <v>Mister Ben классические № 3 Презервативы латексные - 2111TNI3134</v>
      </c>
      <c r="G1874" s="1" t="str">
        <f ca="1">IFERROR(__xludf.DUMMYFUNCTION("""COMPUTED_VALUE"""),"KZ.7700.02.01.00846906 / Действительно до 01.12.2026 / 2111TNI3134 / годен до 11.2026 г.")</f>
        <v>KZ.7700.02.01.00846906 / Действительно до 01.12.2026 / 2111TNI3134 / годен до 11.2026 г.</v>
      </c>
      <c r="H1874" s="1" t="str">
        <f ca="1">IFERROR(__xludf.DUMMYFUNCTION("""COMPUTED_VALUE"""),"Mister Ben классические № 3 Презервативы латексные KZ.7700.02.01.00846906 / Действительно до 01.12.2026 / 2111TNI3134 / годен до 11.2026 г.")</f>
        <v>Mister Ben классические № 3 Презервативы латексные KZ.7700.02.01.00846906 / Действительно до 01.12.2026 / 2111TNI3134 / годен до 11.2026 г.</v>
      </c>
    </row>
    <row r="1875" spans="1:8" ht="12.75" x14ac:dyDescent="0.2">
      <c r="A1875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1875" s="1" t="str">
        <f ca="1">IFERROR(__xludf.DUMMYFUNCTION("""COMPUTED_VALUE"""),"KZ.7700.02.01.00847547")</f>
        <v>KZ.7700.02.01.00847547</v>
      </c>
      <c r="C1875" s="1" t="str">
        <f ca="1">IFERROR(__xludf.DUMMYFUNCTION("""COMPUTED_VALUE"""),"Действительно до 01.01.2027")</f>
        <v>Действительно до 01.01.2027</v>
      </c>
      <c r="D1875" s="8" t="str">
        <f ca="1">IFERROR(__xludf.DUMMYFUNCTION("""COMPUTED_VALUE"""),"2112TNI3134")</f>
        <v>2112TNI3134</v>
      </c>
      <c r="E1875" s="1" t="str">
        <f ca="1">IFERROR(__xludf.DUMMYFUNCTION("""COMPUTED_VALUE"""),"годен до 12.2026 г.")</f>
        <v>годен до 12.2026 г.</v>
      </c>
      <c r="F1875" s="1" t="str">
        <f ca="1">IFERROR(__xludf.DUMMYFUNCTION("""COMPUTED_VALUE"""),"Sexxxy классические №3 Презервативы латексные - 2112TNI3134")</f>
        <v>Sexxxy классические №3 Презервативы латексные - 2112TNI3134</v>
      </c>
      <c r="G1875" s="1" t="str">
        <f ca="1">IFERROR(__xludf.DUMMYFUNCTION("""COMPUTED_VALUE"""),"KZ.7700.02.01.00847547 / Действительно до 01.01.2027 / 2112TNI3134 / годен до 12.2026 г.")</f>
        <v>KZ.7700.02.01.00847547 / Действительно до 01.01.2027 / 2112TNI3134 / годен до 12.2026 г.</v>
      </c>
      <c r="H1875" s="1" t="str">
        <f ca="1">IFERROR(__xludf.DUMMYFUNCTION("""COMPUTED_VALUE"""),"Sexxxy классические №3 Презервативы латексные KZ.7700.02.01.00847547 / Действительно до 01.01.2027 / 2112TNI3134 / годен до 12.2026 г.")</f>
        <v>Sexxxy классические №3 Презервативы латексные KZ.7700.02.01.00847547 / Действительно до 01.01.2027 / 2112TNI3134 / годен до 12.2026 г.</v>
      </c>
    </row>
    <row r="1876" spans="1:8" ht="12.75" x14ac:dyDescent="0.2">
      <c r="A1876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1876" s="1" t="str">
        <f ca="1">IFERROR(__xludf.DUMMYFUNCTION("""COMPUTED_VALUE"""),"KZ.7700.02.01.00844865")</f>
        <v>KZ.7700.02.01.00844865</v>
      </c>
      <c r="C1876" s="1" t="str">
        <f ca="1">IFERROR(__xludf.DUMMYFUNCTION("""COMPUTED_VALUE"""),"Действительно до 01.01.2027")</f>
        <v>Действительно до 01.01.2027</v>
      </c>
      <c r="D1876" s="8" t="str">
        <f ca="1">IFERROR(__xludf.DUMMYFUNCTION("""COMPUTED_VALUE"""),"2112TNI2679")</f>
        <v>2112TNI2679</v>
      </c>
      <c r="E1876" s="1" t="str">
        <f ca="1">IFERROR(__xludf.DUMMYFUNCTION("""COMPUTED_VALUE"""),"годен до 12.2026 г.")</f>
        <v>годен до 12.2026 г.</v>
      </c>
      <c r="F1876" s="1" t="str">
        <f ca="1">IFERROR(__xludf.DUMMYFUNCTION("""COMPUTED_VALUE"""),"Mister Ben Ребристые № 3 Презервативы латексные - 2112TNI2679")</f>
        <v>Mister Ben Ребристые № 3 Презервативы латексные - 2112TNI2679</v>
      </c>
      <c r="G1876" s="1" t="str">
        <f ca="1">IFERROR(__xludf.DUMMYFUNCTION("""COMPUTED_VALUE"""),"KZ.7700.02.01.00844865 / Действительно до 01.01.2027 / 2112TNI2679 / годен до 12.2026 г.")</f>
        <v>KZ.7700.02.01.00844865 / Действительно до 01.01.2027 / 2112TNI2679 / годен до 12.2026 г.</v>
      </c>
      <c r="H1876" s="1" t="str">
        <f ca="1">IFERROR(__xludf.DUMMYFUNCTION("""COMPUTED_VALUE"""),"Mister Ben Ребристые № 3 Презервативы латексные KZ.7700.02.01.00844865 / Действительно до 01.01.2027 / 2112TNI2679 / годен до 12.2026 г.")</f>
        <v>Mister Ben Ребристые № 3 Презервативы латексные KZ.7700.02.01.00844865 / Действительно до 01.01.2027 / 2112TNI2679 / годен до 12.2026 г.</v>
      </c>
    </row>
    <row r="1877" spans="1:8" ht="12.75" x14ac:dyDescent="0.2">
      <c r="A1877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1877" s="1" t="str">
        <f ca="1">IFERROR(__xludf.DUMMYFUNCTION("""COMPUTED_VALUE"""),"KZ.7700.02.01.00845619")</f>
        <v>KZ.7700.02.01.00845619</v>
      </c>
      <c r="C1877" s="1" t="str">
        <f ca="1">IFERROR(__xludf.DUMMYFUNCTION("""COMPUTED_VALUE"""),"Действительно до 01.01.2027")</f>
        <v>Действительно до 01.01.2027</v>
      </c>
      <c r="D1877" s="8" t="str">
        <f ca="1">IFERROR(__xludf.DUMMYFUNCTION("""COMPUTED_VALUE"""),"2112TNI2678")</f>
        <v>2112TNI2678</v>
      </c>
      <c r="E1877" s="1" t="str">
        <f ca="1">IFERROR(__xludf.DUMMYFUNCTION("""COMPUTED_VALUE"""),"годен до 12.2026 г.")</f>
        <v>годен до 12.2026 г.</v>
      </c>
      <c r="F1877" s="1" t="str">
        <f ca="1">IFERROR(__xludf.DUMMYFUNCTION("""COMPUTED_VALUE"""),"Mister Ben С точечной структурой № 3 Презервативы латексные - 2112TNI2678")</f>
        <v>Mister Ben С точечной структурой № 3 Презервативы латексные - 2112TNI2678</v>
      </c>
      <c r="G1877" s="1" t="str">
        <f ca="1">IFERROR(__xludf.DUMMYFUNCTION("""COMPUTED_VALUE"""),"KZ.7700.02.01.00843629 / Действительно до 01.01.2027 / 2112TNI2678 / годен до 12.2026 г.")</f>
        <v>KZ.7700.02.01.00843629 / Действительно до 01.01.2027 / 2112TNI2678 / годен до 12.2026 г.</v>
      </c>
      <c r="H1877" s="1" t="str">
        <f ca="1">IFERROR(__xludf.DUMMYFUNCTION("""COMPUTED_VALUE"""),"Mister Ben С точечной структурой № 3 Презервативы латексные KZ.7700.02.01.00843629 / Действительно до 01.01.2027 / 2112TNI2678 / годен до 12.2026 г.")</f>
        <v>Mister Ben С точечной структурой № 3 Презервативы латексные KZ.7700.02.01.00843629 / Действительно до 01.01.2027 / 2112TNI2678 / годен до 12.2026 г.</v>
      </c>
    </row>
    <row r="1878" spans="1:8" ht="12.75" x14ac:dyDescent="0.2">
      <c r="A1878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1878" s="1" t="str">
        <f ca="1">IFERROR(__xludf.DUMMYFUNCTION("""COMPUTED_VALUE"""),"KZ.7700.02.01.00843629")</f>
        <v>KZ.7700.02.01.00843629</v>
      </c>
      <c r="C1878" s="1" t="str">
        <f ca="1">IFERROR(__xludf.DUMMYFUNCTION("""COMPUTED_VALUE"""),"Действительно до 01.12.2026")</f>
        <v>Действительно до 01.12.2026</v>
      </c>
      <c r="D1878" s="8" t="str">
        <f ca="1">IFERROR(__xludf.DUMMYFUNCTION("""COMPUTED_VALUE"""),"2111TNI2996")</f>
        <v>2111TNI2996</v>
      </c>
      <c r="E1878" s="1" t="str">
        <f ca="1">IFERROR(__xludf.DUMMYFUNCTION("""COMPUTED_VALUE"""),"годен до 11.2026 г.")</f>
        <v>годен до 11.2026 г.</v>
      </c>
      <c r="F1878" s="1" t="str">
        <f ca="1">IFERROR(__xludf.DUMMYFUNCTION("""COMPUTED_VALUE"""),"Mister Ben Ультратонкие № 3 Презервативы латексные - 2111TNI2996")</f>
        <v>Mister Ben Ультратонкие № 3 Презервативы латексные - 2111TNI2996</v>
      </c>
      <c r="G1878" s="1" t="str">
        <f ca="1">IFERROR(__xludf.DUMMYFUNCTION("""COMPUTED_VALUE"""),"#REF!")</f>
        <v>#REF!</v>
      </c>
      <c r="H1878" s="1" t="str">
        <f ca="1">IFERROR(__xludf.DUMMYFUNCTION("""COMPUTED_VALUE"""),"#REF!")</f>
        <v>#REF!</v>
      </c>
    </row>
    <row r="1879" spans="1:8" ht="12.75" x14ac:dyDescent="0.2">
      <c r="A1879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879" s="1" t="str">
        <f ca="1">IFERROR(__xludf.DUMMYFUNCTION("""COMPUTED_VALUE"""),"KZ.7700.02.01.00845115")</f>
        <v>KZ.7700.02.01.00845115</v>
      </c>
      <c r="C1879" s="1" t="str">
        <f ca="1">IFERROR(__xludf.DUMMYFUNCTION("""COMPUTED_VALUE"""),"Действительно до 09.03.2027")</f>
        <v>Действительно до 09.03.2027</v>
      </c>
      <c r="D1879" s="8" t="str">
        <f ca="1">IFERROR(__xludf.DUMMYFUNCTION("""COMPUTED_VALUE"""),"0222104KZ104")</f>
        <v>0222104KZ104</v>
      </c>
      <c r="E1879" s="1" t="str">
        <f ca="1">IFERROR(__xludf.DUMMYFUNCTION("""COMPUTED_VALUE"""),"годен до 09.03.2027 г.")</f>
        <v>годен до 09.03.2027 г.</v>
      </c>
      <c r="F1879" s="1" t="str">
        <f ca="1">IFERROR(__xludf.DUMMYFUNCTION("""COMPUTED_VALUE"""),"Бинт эластичный медицинский средней растяжимости (ширина 80 мм) 02х80х2 - 0222104KZ104")</f>
        <v>Бинт эластичный медицинский средней растяжимости (ширина 80 мм) 02х80х2 - 0222104KZ104</v>
      </c>
      <c r="G1879" s="1" t="str">
        <f ca="1">IFERROR(__xludf.DUMMYFUNCTION("""COMPUTED_VALUE"""),"KZ.7700.02.01.00845115 / Действительно до 09.03.2027 / 0222104KZ104 / годен до 09.03.2027 г.")</f>
        <v>KZ.7700.02.01.00845115 / Действительно до 09.03.2027 / 0222104KZ104 / годен до 09.03.2027 г.</v>
      </c>
      <c r="H1879" s="1" t="str">
        <f ca="1">IFERROR(__xludf.DUMMYFUNCTION("""COMPUTED_VALUE"""),"Бинт эластичный медицинский средней растяжимости (ширина 80 мм) 02х80х2 KZ.7700.02.01.00845115 / Действительно до 09.03.2027 / 0222104KZ104 / годен до 09.03.2027 г.")</f>
        <v>Бинт эластичный медицинский средней растяжимости (ширина 80 мм) 02х80х2 KZ.7700.02.01.00845115 / Действительно до 09.03.2027 / 0222104KZ104 / годен до 09.03.2027 г.</v>
      </c>
    </row>
    <row r="1880" spans="1:8" ht="12.75" x14ac:dyDescent="0.2">
      <c r="A1880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880" s="1" t="str">
        <f ca="1">IFERROR(__xludf.DUMMYFUNCTION("""COMPUTED_VALUE"""),"KZ.7700.02.01.00847597")</f>
        <v>KZ.7700.02.01.00847597</v>
      </c>
      <c r="C1880" s="1" t="str">
        <f ca="1">IFERROR(__xludf.DUMMYFUNCTION("""COMPUTED_VALUE"""),"Действительно до 09.03.2027")</f>
        <v>Действительно до 09.03.2027</v>
      </c>
      <c r="D1880" s="8" t="str">
        <f ca="1">IFERROR(__xludf.DUMMYFUNCTION("""COMPUTED_VALUE"""),"0222104KZ104")</f>
        <v>0222104KZ104</v>
      </c>
      <c r="E1880" s="1" t="str">
        <f ca="1">IFERROR(__xludf.DUMMYFUNCTION("""COMPUTED_VALUE"""),"годен до 09.03.2027 г.")</f>
        <v>годен до 09.03.2027 г.</v>
      </c>
      <c r="F1880" s="1" t="str">
        <f ca="1">IFERROR(__xludf.DUMMYFUNCTION("""COMPUTED_VALUE"""),"Бинт эластичный медицинский средней растяжимости (ширина 80 мм) 02х80х1 - 0222104KZ104")</f>
        <v>Бинт эластичный медицинский средней растяжимости (ширина 80 мм) 02х80х1 - 0222104KZ104</v>
      </c>
      <c r="G1880" s="1" t="str">
        <f ca="1">IFERROR(__xludf.DUMMYFUNCTION("""COMPUTED_VALUE"""),"KZ.7700.02.01.00847597 / Действительно до 09.03.2027 / 0222104KZ104 / годен до 09.03.2027 г.")</f>
        <v>KZ.7700.02.01.00847597 / Действительно до 09.03.2027 / 0222104KZ104 / годен до 09.03.2027 г.</v>
      </c>
      <c r="H1880" s="1" t="str">
        <f ca="1">IFERROR(__xludf.DUMMYFUNCTION("""COMPUTED_VALUE"""),"Бинт эластичный медицинский средней растяжимости (ширина 80 мм) 02х80х1 KZ.7700.02.01.00847597 / Действительно до 09.03.2027 / 0222104KZ104 / годен до 09.03.2027 г.")</f>
        <v>Бинт эластичный медицинский средней растяжимости (ширина 80 мм) 02х80х1 KZ.7700.02.01.00847597 / Действительно до 09.03.2027 / 0222104KZ104 / годен до 09.03.2027 г.</v>
      </c>
    </row>
    <row r="1881" spans="1:8" ht="12.75" x14ac:dyDescent="0.2">
      <c r="A1881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881" s="1" t="str">
        <f ca="1">IFERROR(__xludf.DUMMYFUNCTION("""COMPUTED_VALUE"""),"KZ.7700.02.01.00848224")</f>
        <v>KZ.7700.02.01.00848224</v>
      </c>
      <c r="C1881" s="1" t="str">
        <f ca="1">IFERROR(__xludf.DUMMYFUNCTION("""COMPUTED_VALUE"""),"Действительно до 09.03.2027")</f>
        <v>Действительно до 09.03.2027</v>
      </c>
      <c r="D1881" s="8" t="str">
        <f ca="1">IFERROR(__xludf.DUMMYFUNCTION("""COMPUTED_VALUE"""),"0222104KZ104")</f>
        <v>0222104KZ104</v>
      </c>
      <c r="E1881" s="1" t="str">
        <f ca="1">IFERROR(__xludf.DUMMYFUNCTION("""COMPUTED_VALUE"""),"годен до 09.03.2027 г.")</f>
        <v>годен до 09.03.2027 г.</v>
      </c>
      <c r="F1881" s="1" t="str">
        <f ca="1">IFERROR(__xludf.DUMMYFUNCTION("""COMPUTED_VALUE"""),"Бинт эластичный медицинский средней растяжимости (ширина 80 мм) 02х80х1.5 - 0222104KZ104")</f>
        <v>Бинт эластичный медицинский средней растяжимости (ширина 80 мм) 02х80х1.5 - 0222104KZ104</v>
      </c>
      <c r="G1881" s="1" t="str">
        <f ca="1">IFERROR(__xludf.DUMMYFUNCTION("""COMPUTED_VALUE"""),"KZ.7700.02.01.00848224 / Действительно до 09.03.2027 / 0222104KZ104 / годен до 09.03.2027 г.")</f>
        <v>KZ.7700.02.01.00848224 / Действительно до 09.03.2027 / 0222104KZ104 / годен до 09.03.2027 г.</v>
      </c>
      <c r="H1881" s="1" t="str">
        <f ca="1">IFERROR(__xludf.DUMMYFUNCTION("""COMPUTED_VALUE"""),"Бинт эластичный медицинский средней растяжимости (ширина 80 мм) 02х80х1.5 KZ.7700.02.01.00848224 / Действительно до 09.03.2027 / 0222104KZ104 / годен до 09.03.2027 г.")</f>
        <v>Бинт эластичный медицинский средней растяжимости (ширина 80 мм) 02х80х1.5 KZ.7700.02.01.00848224 / Действительно до 09.03.2027 / 0222104KZ104 / годен до 09.03.2027 г.</v>
      </c>
    </row>
    <row r="1882" spans="1:8" ht="12.75" x14ac:dyDescent="0.2">
      <c r="A1882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882" s="1" t="str">
        <f ca="1">IFERROR(__xludf.DUMMYFUNCTION("""COMPUTED_VALUE"""),"KZ.7700.02.01.00849415")</f>
        <v>KZ.7700.02.01.00849415</v>
      </c>
      <c r="C1882" s="1" t="str">
        <f ca="1">IFERROR(__xludf.DUMMYFUNCTION("""COMPUTED_VALUE"""),"Действительно до 09.03.2027")</f>
        <v>Действительно до 09.03.2027</v>
      </c>
      <c r="D1882" s="8" t="str">
        <f ca="1">IFERROR(__xludf.DUMMYFUNCTION("""COMPUTED_VALUE"""),"0222104KZ104")</f>
        <v>0222104KZ104</v>
      </c>
      <c r="E1882" s="1" t="str">
        <f ca="1">IFERROR(__xludf.DUMMYFUNCTION("""COMPUTED_VALUE"""),"годен до 09.03.2027 г.")</f>
        <v>годен до 09.03.2027 г.</v>
      </c>
      <c r="F1882" s="1" t="str">
        <f ca="1">IFERROR(__xludf.DUMMYFUNCTION("""COMPUTED_VALUE"""),"Бинт эластичный медицинский средней растяжимости (ширина 80 мм) 02х80х2.5 - 0222104KZ104")</f>
        <v>Бинт эластичный медицинский средней растяжимости (ширина 80 мм) 02х80х2.5 - 0222104KZ104</v>
      </c>
      <c r="G1882" s="1" t="str">
        <f ca="1">IFERROR(__xludf.DUMMYFUNCTION("""COMPUTED_VALUE"""),"KZ.7700.02.01.00849415 / Действительно до 09.03.2027 / 0222104KZ104 / годен до 09.03.2027 г.")</f>
        <v>KZ.7700.02.01.00849415 / Действительно до 09.03.2027 / 0222104KZ104 / годен до 09.03.2027 г.</v>
      </c>
      <c r="H1882" s="1" t="str">
        <f ca="1">IFERROR(__xludf.DUMMYFUNCTION("""COMPUTED_VALUE"""),"Бинт эластичный медицинский средней растяжимости (ширина 80 мм) 02х80х2.5 KZ.7700.02.01.00849415 / Действительно до 09.03.2027 / 0222104KZ104 / годен до 09.03.2027 г.")</f>
        <v>Бинт эластичный медицинский средней растяжимости (ширина 80 мм) 02х80х2.5 KZ.7700.02.01.00849415 / Действительно до 09.03.2027 / 0222104KZ104 / годен до 09.03.2027 г.</v>
      </c>
    </row>
    <row r="1883" spans="1:8" ht="12.75" x14ac:dyDescent="0.2">
      <c r="A1883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883" s="1" t="str">
        <f ca="1">IFERROR(__xludf.DUMMYFUNCTION("""COMPUTED_VALUE"""),"KZ.7700.02.01.00848219")</f>
        <v>KZ.7700.02.01.00848219</v>
      </c>
      <c r="C1883" s="1" t="str">
        <f ca="1">IFERROR(__xludf.DUMMYFUNCTION("""COMPUTED_VALUE"""),"Действительно до 09.03.2027")</f>
        <v>Действительно до 09.03.2027</v>
      </c>
      <c r="D1883" s="8" t="str">
        <f ca="1">IFERROR(__xludf.DUMMYFUNCTION("""COMPUTED_VALUE"""),"0222104KZ104")</f>
        <v>0222104KZ104</v>
      </c>
      <c r="E1883" s="1" t="str">
        <f ca="1">IFERROR(__xludf.DUMMYFUNCTION("""COMPUTED_VALUE"""),"годен до 09.03.2027 г.")</f>
        <v>годен до 09.03.2027 г.</v>
      </c>
      <c r="F1883" s="1" t="str">
        <f ca="1">IFERROR(__xludf.DUMMYFUNCTION("""COMPUTED_VALUE"""),"Бинт эластичный медицинский средней растяжимости (ширина 80 мм) 02х80х3 - 0222104KZ104")</f>
        <v>Бинт эластичный медицинский средней растяжимости (ширина 80 мм) 02х80х3 - 0222104KZ104</v>
      </c>
      <c r="G1883" s="1" t="str">
        <f ca="1">IFERROR(__xludf.DUMMYFUNCTION("""COMPUTED_VALUE"""),"KZ.7700.02.01.00848219 / Действительно до 09.03.2027 / 0222104KZ104 / годен до 09.03.2027 г.")</f>
        <v>KZ.7700.02.01.00848219 / Действительно до 09.03.2027 / 0222104KZ104 / годен до 09.03.2027 г.</v>
      </c>
      <c r="H1883" s="1" t="str">
        <f ca="1">IFERROR(__xludf.DUMMYFUNCTION("""COMPUTED_VALUE"""),"Бинт эластичный медицинский средней растяжимости (ширина 80 мм) 02х80х3 KZ.7700.02.01.00848219 / Действительно до 09.03.2027 / 0222104KZ104 / годен до 09.03.2027 г.")</f>
        <v>Бинт эластичный медицинский средней растяжимости (ширина 80 мм) 02х80х3 KZ.7700.02.01.00848219 / Действительно до 09.03.2027 / 0222104KZ104 / годен до 09.03.2027 г.</v>
      </c>
    </row>
    <row r="1884" spans="1:8" ht="12.75" x14ac:dyDescent="0.2">
      <c r="A1884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884" s="1" t="str">
        <f ca="1">IFERROR(__xludf.DUMMYFUNCTION("""COMPUTED_VALUE"""),"KZ.7700.02.01.00848594")</f>
        <v>KZ.7700.02.01.00848594</v>
      </c>
      <c r="C1884" s="1" t="str">
        <f ca="1">IFERROR(__xludf.DUMMYFUNCTION("""COMPUTED_VALUE"""),"Действительно до 09.03.2027")</f>
        <v>Действительно до 09.03.2027</v>
      </c>
      <c r="D1884" s="8" t="str">
        <f ca="1">IFERROR(__xludf.DUMMYFUNCTION("""COMPUTED_VALUE"""),"0222104KZ104")</f>
        <v>0222104KZ104</v>
      </c>
      <c r="E1884" s="1" t="str">
        <f ca="1">IFERROR(__xludf.DUMMYFUNCTION("""COMPUTED_VALUE"""),"годен до 09.03.2027 г.")</f>
        <v>годен до 09.03.2027 г.</v>
      </c>
      <c r="F1884" s="1" t="str">
        <f ca="1">IFERROR(__xludf.DUMMYFUNCTION("""COMPUTED_VALUE"""),"Бинт эластичный медицинский средней растяжимости (ширина 80 мм) 02х80х3.5 - 0222104KZ104")</f>
        <v>Бинт эластичный медицинский средней растяжимости (ширина 80 мм) 02х80х3.5 - 0222104KZ104</v>
      </c>
      <c r="G1884" s="1" t="str">
        <f ca="1">IFERROR(__xludf.DUMMYFUNCTION("""COMPUTED_VALUE"""),"KZ.7700.02.01.00848594 / Действительно до 09.03.2027 / 0222104KZ104 / годен до 09.03.2027 г.")</f>
        <v>KZ.7700.02.01.00848594 / Действительно до 09.03.2027 / 0222104KZ104 / годен до 09.03.2027 г.</v>
      </c>
      <c r="H1884" s="1" t="str">
        <f ca="1">IFERROR(__xludf.DUMMYFUNCTION("""COMPUTED_VALUE"""),"Бинт эластичный медицинский средней растяжимости (ширина 80 мм) 02х80х3.5 KZ.7700.02.01.00848594 / Действительно до 09.03.2027 / 0222104KZ104 / годен до 09.03.2027 г.")</f>
        <v>Бинт эластичный медицинский средней растяжимости (ширина 80 мм) 02х80х3.5 KZ.7700.02.01.00848594 / Действительно до 09.03.2027 / 0222104KZ104 / годен до 09.03.2027 г.</v>
      </c>
    </row>
    <row r="1885" spans="1:8" ht="12.75" x14ac:dyDescent="0.2">
      <c r="A1885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885" s="1" t="str">
        <f ca="1">IFERROR(__xludf.DUMMYFUNCTION("""COMPUTED_VALUE"""),"KZ.7700.02.01.00847004")</f>
        <v>KZ.7700.02.01.00847004</v>
      </c>
      <c r="C1885" s="1" t="str">
        <f ca="1">IFERROR(__xludf.DUMMYFUNCTION("""COMPUTED_VALUE"""),"Действительно до 09.03.2027")</f>
        <v>Действительно до 09.03.2027</v>
      </c>
      <c r="D1885" s="8" t="str">
        <f ca="1">IFERROR(__xludf.DUMMYFUNCTION("""COMPUTED_VALUE"""),"0222104KZ104")</f>
        <v>0222104KZ104</v>
      </c>
      <c r="E1885" s="1" t="str">
        <f ca="1">IFERROR(__xludf.DUMMYFUNCTION("""COMPUTED_VALUE"""),"годен до 09.03.2027 г.")</f>
        <v>годен до 09.03.2027 г.</v>
      </c>
      <c r="F1885" s="1" t="str">
        <f ca="1">IFERROR(__xludf.DUMMYFUNCTION("""COMPUTED_VALUE"""),"Бинт эластичный медицинский средней растяжимости (ширина 80 мм) 02х80х5 - 0222104KZ104")</f>
        <v>Бинт эластичный медицинский средней растяжимости (ширина 80 мм) 02х80х5 - 0222104KZ104</v>
      </c>
      <c r="G1885" s="1" t="str">
        <f ca="1">IFERROR(__xludf.DUMMYFUNCTION("""COMPUTED_VALUE"""),"KZ.7700.02.01.00847004 / Действительно до 09.03.2027 / 0222104KZ104 / годен до 09.03.2027 г.")</f>
        <v>KZ.7700.02.01.00847004 / Действительно до 09.03.2027 / 0222104KZ104 / годен до 09.03.2027 г.</v>
      </c>
      <c r="H1885" s="1" t="str">
        <f ca="1">IFERROR(__xludf.DUMMYFUNCTION("""COMPUTED_VALUE"""),"Бинт эластичный медицинский средней растяжимости (ширина 80 мм) 02х80х5 KZ.7700.02.01.00847004 / Действительно до 09.03.2027 / 0222104KZ104 / годен до 09.03.2027 г.")</f>
        <v>Бинт эластичный медицинский средней растяжимости (ширина 80 мм) 02х80х5 KZ.7700.02.01.00847004 / Действительно до 09.03.2027 / 0222104KZ104 / годен до 09.03.2027 г.</v>
      </c>
    </row>
    <row r="1886" spans="1:8" ht="12.75" x14ac:dyDescent="0.2">
      <c r="A1886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886" s="1" t="str">
        <f ca="1">IFERROR(__xludf.DUMMYFUNCTION("""COMPUTED_VALUE"""),"KZ.7700.02.01.00846647")</f>
        <v>KZ.7700.02.01.00846647</v>
      </c>
      <c r="C1886" s="1" t="str">
        <f ca="1">IFERROR(__xludf.DUMMYFUNCTION("""COMPUTED_VALUE"""),"Действительно до 09.03.2027")</f>
        <v>Действительно до 09.03.2027</v>
      </c>
      <c r="D1886" s="8" t="str">
        <f ca="1">IFERROR(__xludf.DUMMYFUNCTION("""COMPUTED_VALUE"""),"0222104KZ104")</f>
        <v>0222104KZ104</v>
      </c>
      <c r="E1886" s="1" t="str">
        <f ca="1">IFERROR(__xludf.DUMMYFUNCTION("""COMPUTED_VALUE"""),"годен до 09.03.2027 г.")</f>
        <v>годен до 09.03.2027 г.</v>
      </c>
      <c r="F1886" s="1" t="str">
        <f ca="1">IFERROR(__xludf.DUMMYFUNCTION("""COMPUTED_VALUE"""),"Бандаж на шейный отдел позвоночника мягкой фиксацией 1001 I(S) (Болгария) - 0222104KZ104")</f>
        <v>Бандаж на шейный отдел позвоночника мягкой фиксацией 1001 I(S) (Болгария) - 0222104KZ104</v>
      </c>
      <c r="G1886" s="1" t="str">
        <f ca="1">IFERROR(__xludf.DUMMYFUNCTION("""COMPUTED_VALUE"""),"KZ.7700.02.01.00846647 / Действительно до 09.03.2027 / 0222104KZ104 / годен до 09.03.2027 г.")</f>
        <v>KZ.7700.02.01.00846647 / Действительно до 09.03.2027 / 0222104KZ104 / годен до 09.03.2027 г.</v>
      </c>
      <c r="H1886" s="1" t="str">
        <f ca="1">IFERROR(__xludf.DUMMYFUNCTION("""COMPUTED_VALUE"""),"Бандаж на шейный отдел позвоночника мягкой фиксацией 1001 I(S) (Болгария) KZ.7700.02.01.00846647 / Действительно до 09.03.2027 / 0222104KZ104 / годен до 09.03.2027 г.")</f>
        <v>Бандаж на шейный отдел позвоночника мягкой фиксацией 1001 I(S) (Болгария) KZ.7700.02.01.00846647 / Действительно до 09.03.2027 / 0222104KZ104 / годен до 09.03.2027 г.</v>
      </c>
    </row>
    <row r="1887" spans="1:8" ht="12.75" x14ac:dyDescent="0.2">
      <c r="A1887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887" s="1" t="str">
        <f ca="1">IFERROR(__xludf.DUMMYFUNCTION("""COMPUTED_VALUE"""),"KZ.7700.02.01.00846647")</f>
        <v>KZ.7700.02.01.00846647</v>
      </c>
      <c r="C1887" s="1" t="str">
        <f ca="1">IFERROR(__xludf.DUMMYFUNCTION("""COMPUTED_VALUE"""),"Действительно до 09.03.2027")</f>
        <v>Действительно до 09.03.2027</v>
      </c>
      <c r="D1887" s="8" t="str">
        <f ca="1">IFERROR(__xludf.DUMMYFUNCTION("""COMPUTED_VALUE"""),"0222104KZ104")</f>
        <v>0222104KZ104</v>
      </c>
      <c r="E1887" s="1" t="str">
        <f ca="1">IFERROR(__xludf.DUMMYFUNCTION("""COMPUTED_VALUE"""),"годен до 09.03.2027 г.")</f>
        <v>годен до 09.03.2027 г.</v>
      </c>
      <c r="F1887" s="1" t="str">
        <f ca="1">IFERROR(__xludf.DUMMYFUNCTION("""COMPUTED_VALUE"""),"Бандаж на шейный отдел позвоночника мягкой фиксацией 1001 II(M) (Болгария) - 0222104KZ104")</f>
        <v>Бандаж на шейный отдел позвоночника мягкой фиксацией 1001 II(M) (Болгария) - 0222104KZ104</v>
      </c>
      <c r="G1887" s="1" t="str">
        <f ca="1">IFERROR(__xludf.DUMMYFUNCTION("""COMPUTED_VALUE"""),"KZ.7700.02.01.00846647 / Действительно до 09.03.2027 / 0222104KZ104 / годен до 09.03.2027 г.")</f>
        <v>KZ.7700.02.01.00846647 / Действительно до 09.03.2027 / 0222104KZ104 / годен до 09.03.2027 г.</v>
      </c>
      <c r="H1887" s="1" t="str">
        <f ca="1">IFERROR(__xludf.DUMMYFUNCTION("""COMPUTED_VALUE"""),"Бандаж на шейный отдел позвоночника мягкой фиксацией 1001 II(M) (Болгария) KZ.7700.02.01.00846647 / Действительно до 09.03.2027 / 0222104KZ104 / годен до 09.03.2027 г.")</f>
        <v>Бандаж на шейный отдел позвоночника мягкой фиксацией 1001 II(M) (Болгария) KZ.7700.02.01.00846647 / Действительно до 09.03.2027 / 0222104KZ104 / годен до 09.03.2027 г.</v>
      </c>
    </row>
    <row r="1888" spans="1:8" ht="12.75" x14ac:dyDescent="0.2">
      <c r="A1888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888" s="1" t="str">
        <f ca="1">IFERROR(__xludf.DUMMYFUNCTION("""COMPUTED_VALUE"""),"KZ.7700.02.01.00846647")</f>
        <v>KZ.7700.02.01.00846647</v>
      </c>
      <c r="C1888" s="1" t="str">
        <f ca="1">IFERROR(__xludf.DUMMYFUNCTION("""COMPUTED_VALUE"""),"Действительно до 09.03.2027")</f>
        <v>Действительно до 09.03.2027</v>
      </c>
      <c r="D1888" s="8" t="str">
        <f ca="1">IFERROR(__xludf.DUMMYFUNCTION("""COMPUTED_VALUE"""),"0222104KZ104")</f>
        <v>0222104KZ104</v>
      </c>
      <c r="E1888" s="1" t="str">
        <f ca="1">IFERROR(__xludf.DUMMYFUNCTION("""COMPUTED_VALUE"""),"годен до 09.03.2027 г.")</f>
        <v>годен до 09.03.2027 г.</v>
      </c>
      <c r="F1888" s="1" t="str">
        <f ca="1">IFERROR(__xludf.DUMMYFUNCTION("""COMPUTED_VALUE"""),"Бандаж на шейный отдел позвоночника мягкой фиксацией 1001 III(L) (Болгария) - 0222104KZ104")</f>
        <v>Бандаж на шейный отдел позвоночника мягкой фиксацией 1001 III(L) (Болгария) - 0222104KZ104</v>
      </c>
      <c r="G1888" s="1" t="str">
        <f ca="1">IFERROR(__xludf.DUMMYFUNCTION("""COMPUTED_VALUE"""),"KZ.7700.02.01.00846647 / Действительно до 09.03.2027 / 0222104KZ104 / годен до 09.03.2027 г.")</f>
        <v>KZ.7700.02.01.00846647 / Действительно до 09.03.2027 / 0222104KZ104 / годен до 09.03.2027 г.</v>
      </c>
      <c r="H1888" s="1" t="str">
        <f ca="1">IFERROR(__xludf.DUMMYFUNCTION("""COMPUTED_VALUE"""),"Бандаж на шейный отдел позвоночника мягкой фиксацией 1001 III(L) (Болгария) KZ.7700.02.01.00846647 / Действительно до 09.03.2027 / 0222104KZ104 / годен до 09.03.2027 г.")</f>
        <v>Бандаж на шейный отдел позвоночника мягкой фиксацией 1001 III(L) (Болгария) KZ.7700.02.01.00846647 / Действительно до 09.03.2027 / 0222104KZ104 / годен до 09.03.2027 г.</v>
      </c>
    </row>
    <row r="1889" spans="1:8" ht="12.75" x14ac:dyDescent="0.2">
      <c r="A1889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889" s="1" t="str">
        <f ca="1">IFERROR(__xludf.DUMMYFUNCTION("""COMPUTED_VALUE"""),"KZ.7700.02.01.00849062")</f>
        <v>KZ.7700.02.01.00849062</v>
      </c>
      <c r="C1889" s="1" t="str">
        <f ca="1">IFERROR(__xludf.DUMMYFUNCTION("""COMPUTED_VALUE"""),"Действительно до 09.03.2027")</f>
        <v>Действительно до 09.03.2027</v>
      </c>
      <c r="D1889" s="8" t="str">
        <f ca="1">IFERROR(__xludf.DUMMYFUNCTION("""COMPUTED_VALUE"""),"0222104KZ104")</f>
        <v>0222104KZ104</v>
      </c>
      <c r="E1889" s="1" t="str">
        <f ca="1">IFERROR(__xludf.DUMMYFUNCTION("""COMPUTED_VALUE"""),"годен до 09.03.2027 г.")</f>
        <v>годен до 09.03.2027 г.</v>
      </c>
      <c r="F1889" s="1" t="str">
        <f ca="1">IFERROR(__xludf.DUMMYFUNCTION("""COMPUTED_VALUE"""),"Реклинатор (корректор осанки) детский 2005 L (Болгария) - 0222104KZ104")</f>
        <v>Реклинатор (корректор осанки) детский 2005 L (Болгария) - 0222104KZ104</v>
      </c>
      <c r="G1889" s="1" t="str">
        <f ca="1">IFERROR(__xludf.DUMMYFUNCTION("""COMPUTED_VALUE"""),"KZ.7700.02.01.00849062 / Действительно до 09.03.2027 / 0222104KZ104 / годен до 09.03.2027 г.")</f>
        <v>KZ.7700.02.01.00849062 / Действительно до 09.03.2027 / 0222104KZ104 / годен до 09.03.2027 г.</v>
      </c>
      <c r="H1889" s="1" t="str">
        <f ca="1">IFERROR(__xludf.DUMMYFUNCTION("""COMPUTED_VALUE"""),"Реклинатор (корректор осанки) детский 2005 L (Болгария) KZ.7700.02.01.00849062 / Действительно до 09.03.2027 / 0222104KZ104 / годен до 09.03.2027 г.")</f>
        <v>Реклинатор (корректор осанки) детский 2005 L (Болгария) KZ.7700.02.01.00849062 / Действительно до 09.03.2027 / 0222104KZ104 / годен до 09.03.2027 г.</v>
      </c>
    </row>
    <row r="1890" spans="1:8" ht="12.75" x14ac:dyDescent="0.2">
      <c r="A1890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1890" s="1" t="str">
        <f ca="1">IFERROR(__xludf.DUMMYFUNCTION("""COMPUTED_VALUE"""),"KZ.7700.02.01.00849062")</f>
        <v>KZ.7700.02.01.00849062</v>
      </c>
      <c r="C1890" s="1" t="str">
        <f ca="1">IFERROR(__xludf.DUMMYFUNCTION("""COMPUTED_VALUE"""),"Действительно до 09.03.2027")</f>
        <v>Действительно до 09.03.2027</v>
      </c>
      <c r="D1890" s="8" t="str">
        <f ca="1">IFERROR(__xludf.DUMMYFUNCTION("""COMPUTED_VALUE"""),"0222104KZ104")</f>
        <v>0222104KZ104</v>
      </c>
      <c r="E1890" s="1" t="str">
        <f ca="1">IFERROR(__xludf.DUMMYFUNCTION("""COMPUTED_VALUE"""),"годен до 09.03.2027 г.")</f>
        <v>годен до 09.03.2027 г.</v>
      </c>
      <c r="F1890" s="1" t="str">
        <f ca="1">IFERROR(__xludf.DUMMYFUNCTION("""COMPUTED_VALUE"""),"Реклинатор (корректор осанки) детский 2005 M (Болгария) - 0222104KZ104")</f>
        <v>Реклинатор (корректор осанки) детский 2005 M (Болгария) - 0222104KZ104</v>
      </c>
      <c r="G1890" s="1" t="str">
        <f ca="1">IFERROR(__xludf.DUMMYFUNCTION("""COMPUTED_VALUE"""),"KZ.7700.02.01.00849062 / Действительно до 09.03.2027 / 0222104KZ104 / годен до 09.03.2027 г.")</f>
        <v>KZ.7700.02.01.00849062 / Действительно до 09.03.2027 / 0222104KZ104 / годен до 09.03.2027 г.</v>
      </c>
      <c r="H1890" s="1" t="str">
        <f ca="1">IFERROR(__xludf.DUMMYFUNCTION("""COMPUTED_VALUE"""),"Реклинатор (корректор осанки) детский 2005 M (Болгария) KZ.7700.02.01.00849062 / Действительно до 09.03.2027 / 0222104KZ104 / годен до 09.03.2027 г.")</f>
        <v>Реклинатор (корректор осанки) детский 2005 M (Болгария) KZ.7700.02.01.00849062 / Действительно до 09.03.2027 / 0222104KZ104 / годен до 09.03.2027 г.</v>
      </c>
    </row>
    <row r="1891" spans="1:8" ht="12.75" x14ac:dyDescent="0.2">
      <c r="A1891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1891" s="1" t="str">
        <f ca="1">IFERROR(__xludf.DUMMYFUNCTION("""COMPUTED_VALUE"""),"KZ.7700.02.01.00849062")</f>
        <v>KZ.7700.02.01.00849062</v>
      </c>
      <c r="C1891" s="1" t="str">
        <f ca="1">IFERROR(__xludf.DUMMYFUNCTION("""COMPUTED_VALUE"""),"Действительно до 09.03.2027")</f>
        <v>Действительно до 09.03.2027</v>
      </c>
      <c r="D1891" s="8" t="str">
        <f ca="1">IFERROR(__xludf.DUMMYFUNCTION("""COMPUTED_VALUE"""),"0222104KZ104")</f>
        <v>0222104KZ104</v>
      </c>
      <c r="E1891" s="1" t="str">
        <f ca="1">IFERROR(__xludf.DUMMYFUNCTION("""COMPUTED_VALUE"""),"годен до 09.03.2027 г.")</f>
        <v>годен до 09.03.2027 г.</v>
      </c>
      <c r="F1891" s="1" t="str">
        <f ca="1">IFERROR(__xludf.DUMMYFUNCTION("""COMPUTED_VALUE"""),"Реклинатор (корректор осанки) детский 2005 S (Болгария) - 0222104KZ104")</f>
        <v>Реклинатор (корректор осанки) детский 2005 S (Болгария) - 0222104KZ104</v>
      </c>
      <c r="G1891" s="1" t="str">
        <f ca="1">IFERROR(__xludf.DUMMYFUNCTION("""COMPUTED_VALUE"""),"KZ.7700.02.01.00849062 / Действительно до 09.03.2027 / 0222104KZ104 / годен до 09.03.2027 г.")</f>
        <v>KZ.7700.02.01.00849062 / Действительно до 09.03.2027 / 0222104KZ104 / годен до 09.03.2027 г.</v>
      </c>
      <c r="H1891" s="1" t="str">
        <f ca="1">IFERROR(__xludf.DUMMYFUNCTION("""COMPUTED_VALUE"""),"Реклинатор (корректор осанки) детский 2005 S (Болгария) KZ.7700.02.01.00849062 / Действительно до 09.03.2027 / 0222104KZ104 / годен до 09.03.2027 г.")</f>
        <v>Реклинатор (корректор осанки) детский 2005 S (Болгария) KZ.7700.02.01.00849062 / Действительно до 09.03.2027 / 0222104KZ104 / годен до 09.03.2027 г.</v>
      </c>
    </row>
    <row r="1892" spans="1:8" ht="12.75" x14ac:dyDescent="0.2">
      <c r="A1892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1892" s="1" t="str">
        <f ca="1">IFERROR(__xludf.DUMMYFUNCTION("""COMPUTED_VALUE"""),"KZ.7700.02.01.00845705")</f>
        <v>KZ.7700.02.01.00845705</v>
      </c>
      <c r="C1892" s="1" t="str">
        <f ca="1">IFERROR(__xludf.DUMMYFUNCTION("""COMPUTED_VALUE"""),"Действительно до 09.03.2027")</f>
        <v>Действительно до 09.03.2027</v>
      </c>
      <c r="D1892" s="8" t="str">
        <f ca="1">IFERROR(__xludf.DUMMYFUNCTION("""COMPUTED_VALUE"""),"0222104KZ104")</f>
        <v>0222104KZ104</v>
      </c>
      <c r="E1892" s="1" t="str">
        <f ca="1">IFERROR(__xludf.DUMMYFUNCTION("""COMPUTED_VALUE"""),"годен до 09.03.2027 г.")</f>
        <v>годен до 09.03.2027 г.</v>
      </c>
      <c r="F1892" s="1" t="str">
        <f ca="1">IFERROR(__xludf.DUMMYFUNCTION("""COMPUTED_VALUE"""),"Корректор осанки с ребрами жесткости эластичный 2011 L (Болгария) - 0222104KZ104")</f>
        <v>Корректор осанки с ребрами жесткости эластичный 2011 L (Болгария) - 0222104KZ104</v>
      </c>
      <c r="G1892" s="1" t="str">
        <f ca="1">IFERROR(__xludf.DUMMYFUNCTION("""COMPUTED_VALUE"""),"KZ.7700.02.01.00845705 / Действительно до 09.03.2027 / 0222104KZ104 / годен до 09.03.2027 г.")</f>
        <v>KZ.7700.02.01.00845705 / Действительно до 09.03.2027 / 0222104KZ104 / годен до 09.03.2027 г.</v>
      </c>
      <c r="H1892" s="1" t="str">
        <f ca="1">IFERROR(__xludf.DUMMYFUNCTION("""COMPUTED_VALUE"""),"Корректор осанки с ребрами жесткости эластичный 2011 L (Болгария) KZ.7700.02.01.00845705 / Действительно до 09.03.2027 / 0222104KZ104 / годен до 09.03.2027 г.")</f>
        <v>Корректор осанки с ребрами жесткости эластичный 2011 L (Болгария) KZ.7700.02.01.00845705 / Действительно до 09.03.2027 / 0222104KZ104 / годен до 09.03.2027 г.</v>
      </c>
    </row>
    <row r="1893" spans="1:8" ht="12.75" x14ac:dyDescent="0.2">
      <c r="A1893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1893" s="1" t="str">
        <f ca="1">IFERROR(__xludf.DUMMYFUNCTION("""COMPUTED_VALUE"""),"KZ.7700.02.01.00845705")</f>
        <v>KZ.7700.02.01.00845705</v>
      </c>
      <c r="C1893" s="1" t="str">
        <f ca="1">IFERROR(__xludf.DUMMYFUNCTION("""COMPUTED_VALUE"""),"Действительно до 09.03.2027")</f>
        <v>Действительно до 09.03.2027</v>
      </c>
      <c r="D1893" s="8" t="str">
        <f ca="1">IFERROR(__xludf.DUMMYFUNCTION("""COMPUTED_VALUE"""),"0222104KZ104")</f>
        <v>0222104KZ104</v>
      </c>
      <c r="E1893" s="1" t="str">
        <f ca="1">IFERROR(__xludf.DUMMYFUNCTION("""COMPUTED_VALUE"""),"годен до 09.03.2027 г.")</f>
        <v>годен до 09.03.2027 г.</v>
      </c>
      <c r="F1893" s="1" t="str">
        <f ca="1">IFERROR(__xludf.DUMMYFUNCTION("""COMPUTED_VALUE"""),"Корректор осанки с ребрами жесткости эластичный 2011 M (Болгария) - 0222104KZ104")</f>
        <v>Корректор осанки с ребрами жесткости эластичный 2011 M (Болгария) - 0222104KZ104</v>
      </c>
      <c r="G1893" s="1" t="str">
        <f ca="1">IFERROR(__xludf.DUMMYFUNCTION("""COMPUTED_VALUE"""),"KZ.7700.02.01.00845705 / Действительно до 09.03.2027 / 0222104KZ104 / годен до 09.03.2027 г.")</f>
        <v>KZ.7700.02.01.00845705 / Действительно до 09.03.2027 / 0222104KZ104 / годен до 09.03.2027 г.</v>
      </c>
      <c r="H1893" s="1" t="str">
        <f ca="1">IFERROR(__xludf.DUMMYFUNCTION("""COMPUTED_VALUE"""),"Корректор осанки с ребрами жесткости эластичный 2011 M (Болгария) KZ.7700.02.01.00845705 / Действительно до 09.03.2027 / 0222104KZ104 / годен до 09.03.2027 г.")</f>
        <v>Корректор осанки с ребрами жесткости эластичный 2011 M (Болгария) KZ.7700.02.01.00845705 / Действительно до 09.03.2027 / 0222104KZ104 / годен до 09.03.2027 г.</v>
      </c>
    </row>
    <row r="1894" spans="1:8" ht="12.75" x14ac:dyDescent="0.2">
      <c r="A1894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1894" s="1" t="str">
        <f ca="1">IFERROR(__xludf.DUMMYFUNCTION("""COMPUTED_VALUE"""),"KZ.7700.02.01.00845705")</f>
        <v>KZ.7700.02.01.00845705</v>
      </c>
      <c r="C1894" s="1" t="str">
        <f ca="1">IFERROR(__xludf.DUMMYFUNCTION("""COMPUTED_VALUE"""),"Действительно до 09.03.2027")</f>
        <v>Действительно до 09.03.2027</v>
      </c>
      <c r="D1894" s="8" t="str">
        <f ca="1">IFERROR(__xludf.DUMMYFUNCTION("""COMPUTED_VALUE"""),"0222104KZ104")</f>
        <v>0222104KZ104</v>
      </c>
      <c r="E1894" s="1" t="str">
        <f ca="1">IFERROR(__xludf.DUMMYFUNCTION("""COMPUTED_VALUE"""),"годен до 09.03.2027 г.")</f>
        <v>годен до 09.03.2027 г.</v>
      </c>
      <c r="F1894" s="1" t="str">
        <f ca="1">IFERROR(__xludf.DUMMYFUNCTION("""COMPUTED_VALUE"""),"Корректор осанки с ребрами жесткости эластичный 2011 S (Болгария) - 0222104KZ104")</f>
        <v>Корректор осанки с ребрами жесткости эластичный 2011 S (Болгария) - 0222104KZ104</v>
      </c>
      <c r="G1894" s="1" t="str">
        <f ca="1">IFERROR(__xludf.DUMMYFUNCTION("""COMPUTED_VALUE"""),"KZ.7700.02.01.00845705 / Действительно до 09.03.2027 / 0222104KZ104 / годен до 09.03.2027 г.")</f>
        <v>KZ.7700.02.01.00845705 / Действительно до 09.03.2027 / 0222104KZ104 / годен до 09.03.2027 г.</v>
      </c>
      <c r="H1894" s="1" t="str">
        <f ca="1">IFERROR(__xludf.DUMMYFUNCTION("""COMPUTED_VALUE"""),"Корректор осанки с ребрами жесткости эластичный 2011 S (Болгария) KZ.7700.02.01.00845705 / Действительно до 09.03.2027 / 0222104KZ104 / годен до 09.03.2027 г.")</f>
        <v>Корректор осанки с ребрами жесткости эластичный 2011 S (Болгария) KZ.7700.02.01.00845705 / Действительно до 09.03.2027 / 0222104KZ104 / годен до 09.03.2027 г.</v>
      </c>
    </row>
    <row r="1895" spans="1:8" ht="12.75" x14ac:dyDescent="0.2">
      <c r="A1895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1895" s="1" t="str">
        <f ca="1">IFERROR(__xludf.DUMMYFUNCTION("""COMPUTED_VALUE"""),"KZ.7700.02.01.00845705")</f>
        <v>KZ.7700.02.01.00845705</v>
      </c>
      <c r="C1895" s="1" t="str">
        <f ca="1">IFERROR(__xludf.DUMMYFUNCTION("""COMPUTED_VALUE"""),"Действительно до 09.03.2027")</f>
        <v>Действительно до 09.03.2027</v>
      </c>
      <c r="D1895" s="8" t="str">
        <f ca="1">IFERROR(__xludf.DUMMYFUNCTION("""COMPUTED_VALUE"""),"0222104KZ104")</f>
        <v>0222104KZ104</v>
      </c>
      <c r="E1895" s="1" t="str">
        <f ca="1">IFERROR(__xludf.DUMMYFUNCTION("""COMPUTED_VALUE"""),"годен до 09.03.2027 г.")</f>
        <v>годен до 09.03.2027 г.</v>
      </c>
      <c r="F1895" s="1" t="str">
        <f ca="1">IFERROR(__xludf.DUMMYFUNCTION("""COMPUTED_VALUE"""),"Корректор осанки с ребрами жесткости эластичный 2011 XL (Болгария) - 0222104KZ104")</f>
        <v>Корректор осанки с ребрами жесткости эластичный 2011 XL (Болгария) - 0222104KZ104</v>
      </c>
      <c r="G1895" s="1" t="str">
        <f ca="1">IFERROR(__xludf.DUMMYFUNCTION("""COMPUTED_VALUE"""),"KZ.7700.02.01.00845705 / Действительно до 09.03.2027 / 0222104KZ104 / годен до 09.03.2027 г.")</f>
        <v>KZ.7700.02.01.00845705 / Действительно до 09.03.2027 / 0222104KZ104 / годен до 09.03.2027 г.</v>
      </c>
      <c r="H1895" s="1" t="str">
        <f ca="1">IFERROR(__xludf.DUMMYFUNCTION("""COMPUTED_VALUE"""),"Корректор осанки с ребрами жесткости эластичный 2011 XL (Болгария) KZ.7700.02.01.00845705 / Действительно до 09.03.2027 / 0222104KZ104 / годен до 09.03.2027 г.")</f>
        <v>Корректор осанки с ребрами жесткости эластичный 2011 XL (Болгария) KZ.7700.02.01.00845705 / Действительно до 09.03.2027 / 0222104KZ104 / годен до 09.03.2027 г.</v>
      </c>
    </row>
    <row r="1896" spans="1:8" ht="12.75" x14ac:dyDescent="0.2">
      <c r="A1896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1896" s="1" t="str">
        <f ca="1">IFERROR(__xludf.DUMMYFUNCTION("""COMPUTED_VALUE"""),"KZ.7700.02.01.00845705")</f>
        <v>KZ.7700.02.01.00845705</v>
      </c>
      <c r="C1896" s="1" t="str">
        <f ca="1">IFERROR(__xludf.DUMMYFUNCTION("""COMPUTED_VALUE"""),"Действительно до 09.03.2027")</f>
        <v>Действительно до 09.03.2027</v>
      </c>
      <c r="D1896" s="8" t="str">
        <f ca="1">IFERROR(__xludf.DUMMYFUNCTION("""COMPUTED_VALUE"""),"0222104KZ104")</f>
        <v>0222104KZ104</v>
      </c>
      <c r="E1896" s="1" t="str">
        <f ca="1">IFERROR(__xludf.DUMMYFUNCTION("""COMPUTED_VALUE"""),"годен до 09.03.2027 г.")</f>
        <v>годен до 09.03.2027 г.</v>
      </c>
      <c r="F1896" s="1" t="str">
        <f ca="1">IFERROR(__xludf.DUMMYFUNCTION("""COMPUTED_VALUE"""),"Корректор осанки с ребрами жесткости эластичный 2011 XXL (Болгария) - 0222104KZ104")</f>
        <v>Корректор осанки с ребрами жесткости эластичный 2011 XXL (Болгария) - 0222104KZ104</v>
      </c>
      <c r="G1896" s="1" t="str">
        <f ca="1">IFERROR(__xludf.DUMMYFUNCTION("""COMPUTED_VALUE"""),"KZ.7700.02.01.00845705 / Действительно до 09.03.2027 / 0222104KZ104 / годен до 09.03.2027 г.")</f>
        <v>KZ.7700.02.01.00845705 / Действительно до 09.03.2027 / 0222104KZ104 / годен до 09.03.2027 г.</v>
      </c>
      <c r="H1896" s="1" t="str">
        <f ca="1">IFERROR(__xludf.DUMMYFUNCTION("""COMPUTED_VALUE"""),"Корректор осанки с ребрами жесткости эластичный 2011 XXL (Болгария) KZ.7700.02.01.00845705 / Действительно до 09.03.2027 / 0222104KZ104 / годен до 09.03.2027 г.")</f>
        <v>Корректор осанки с ребрами жесткости эластичный 2011 XXL (Болгария) KZ.7700.02.01.00845705 / Действительно до 09.03.2027 / 0222104KZ104 / годен до 09.03.2027 г.</v>
      </c>
    </row>
    <row r="1897" spans="1:8" ht="12.75" x14ac:dyDescent="0.2">
      <c r="A1897" s="1" t="str">
        <f ca="1">IFERROR(__xludf.DUMMYFUNCTION("""COMPUTED_VALUE"""),"Реклинатор ключичный усиленной фиксации 2024 - S (Болгария)")</f>
        <v>Реклинатор ключичный усиленной фиксации 2024 - S (Болгария)</v>
      </c>
      <c r="B1897" s="1" t="str">
        <f ca="1">IFERROR(__xludf.DUMMYFUNCTION("""COMPUTED_VALUE"""),"KZ.7700.02.01.00846656")</f>
        <v>KZ.7700.02.01.00846656</v>
      </c>
      <c r="C1897" s="1" t="str">
        <f ca="1">IFERROR(__xludf.DUMMYFUNCTION("""COMPUTED_VALUE"""),"Действительно до 09.03.2027")</f>
        <v>Действительно до 09.03.2027</v>
      </c>
      <c r="D1897" s="8" t="str">
        <f ca="1">IFERROR(__xludf.DUMMYFUNCTION("""COMPUTED_VALUE"""),"0222104KZ104")</f>
        <v>0222104KZ104</v>
      </c>
      <c r="E1897" s="1" t="str">
        <f ca="1">IFERROR(__xludf.DUMMYFUNCTION("""COMPUTED_VALUE"""),"годен до 09.03.2027 г.")</f>
        <v>годен до 09.03.2027 г.</v>
      </c>
      <c r="F1897" s="1" t="str">
        <f ca="1">IFERROR(__xludf.DUMMYFUNCTION("""COMPUTED_VALUE"""),"Реклинатор ключичный усиленной фиксации 2024 - S (Болгария) - 0222104KZ104")</f>
        <v>Реклинатор ключичный усиленной фиксации 2024 - S (Болгария) - 0222104KZ104</v>
      </c>
      <c r="G1897" s="1" t="str">
        <f ca="1">IFERROR(__xludf.DUMMYFUNCTION("""COMPUTED_VALUE"""),"KZ.7700.02.01.00846656 / Действительно до 09.03.2027 / 0222104KZ104 / годен до 09.03.2027 г.")</f>
        <v>KZ.7700.02.01.00846656 / Действительно до 09.03.2027 / 0222104KZ104 / годен до 09.03.2027 г.</v>
      </c>
      <c r="H1897" s="1" t="str">
        <f ca="1">IFERROR(__xludf.DUMMYFUNCTION("""COMPUTED_VALUE"""),"Реклинатор ключичный усиленной фиксации 2024 - S (Болгария) KZ.7700.02.01.00846656 / Действительно до 09.03.2027 / 0222104KZ104 / годен до 09.03.2027 г.")</f>
        <v>Реклинатор ключичный усиленной фиксации 2024 - S (Болгария) KZ.7700.02.01.00846656 / Действительно до 09.03.2027 / 0222104KZ104 / годен до 09.03.2027 г.</v>
      </c>
    </row>
    <row r="1898" spans="1:8" ht="12.75" x14ac:dyDescent="0.2">
      <c r="A1898" s="1" t="str">
        <f ca="1">IFERROR(__xludf.DUMMYFUNCTION("""COMPUTED_VALUE"""),"Реклинатор ключичный усиленной фиксации 2024 - M (Болгария)")</f>
        <v>Реклинатор ключичный усиленной фиксации 2024 - M (Болгария)</v>
      </c>
      <c r="B1898" s="1" t="str">
        <f ca="1">IFERROR(__xludf.DUMMYFUNCTION("""COMPUTED_VALUE"""),"KZ.7700.02.01.00846656")</f>
        <v>KZ.7700.02.01.00846656</v>
      </c>
      <c r="C1898" s="1" t="str">
        <f ca="1">IFERROR(__xludf.DUMMYFUNCTION("""COMPUTED_VALUE"""),"Действительно до 09.03.2027")</f>
        <v>Действительно до 09.03.2027</v>
      </c>
      <c r="D1898" s="8" t="str">
        <f ca="1">IFERROR(__xludf.DUMMYFUNCTION("""COMPUTED_VALUE"""),"0222104KZ104")</f>
        <v>0222104KZ104</v>
      </c>
      <c r="E1898" s="1" t="str">
        <f ca="1">IFERROR(__xludf.DUMMYFUNCTION("""COMPUTED_VALUE"""),"годен до 09.03.2027 г.")</f>
        <v>годен до 09.03.2027 г.</v>
      </c>
      <c r="F1898" s="1" t="str">
        <f ca="1">IFERROR(__xludf.DUMMYFUNCTION("""COMPUTED_VALUE"""),"Реклинатор ключичный усиленной фиксации 2024 - M (Болгария) - 0222104KZ104")</f>
        <v>Реклинатор ключичный усиленной фиксации 2024 - M (Болгария) - 0222104KZ104</v>
      </c>
      <c r="G1898" s="1" t="str">
        <f ca="1">IFERROR(__xludf.DUMMYFUNCTION("""COMPUTED_VALUE"""),"KZ.7700.02.01.00846656 / Действительно до 09.03.2027 / 0222104KZ104 / годен до 09.03.2027 г.")</f>
        <v>KZ.7700.02.01.00846656 / Действительно до 09.03.2027 / 0222104KZ104 / годен до 09.03.2027 г.</v>
      </c>
      <c r="H1898" s="1" t="str">
        <f ca="1">IFERROR(__xludf.DUMMYFUNCTION("""COMPUTED_VALUE"""),"Реклинатор ключичный усиленной фиксации 2024 - M (Болгария) KZ.7700.02.01.00846656 / Действительно до 09.03.2027 / 0222104KZ104 / годен до 09.03.2027 г.")</f>
        <v>Реклинатор ключичный усиленной фиксации 2024 - M (Болгария) KZ.7700.02.01.00846656 / Действительно до 09.03.2027 / 0222104KZ104 / годен до 09.03.2027 г.</v>
      </c>
    </row>
    <row r="1899" spans="1:8" ht="12.75" x14ac:dyDescent="0.2">
      <c r="A1899" s="1" t="str">
        <f ca="1">IFERROR(__xludf.DUMMYFUNCTION("""COMPUTED_VALUE"""),"Реклинатор ключичный усиленной фиксации 2024 - L (Болгария)")</f>
        <v>Реклинатор ключичный усиленной фиксации 2024 - L (Болгария)</v>
      </c>
      <c r="B1899" s="1" t="str">
        <f ca="1">IFERROR(__xludf.DUMMYFUNCTION("""COMPUTED_VALUE"""),"KZ.7700.02.01.00846656")</f>
        <v>KZ.7700.02.01.00846656</v>
      </c>
      <c r="C1899" s="1" t="str">
        <f ca="1">IFERROR(__xludf.DUMMYFUNCTION("""COMPUTED_VALUE"""),"Действительно до 09.03.2027")</f>
        <v>Действительно до 09.03.2027</v>
      </c>
      <c r="D1899" s="8" t="str">
        <f ca="1">IFERROR(__xludf.DUMMYFUNCTION("""COMPUTED_VALUE"""),"0222104KZ104")</f>
        <v>0222104KZ104</v>
      </c>
      <c r="E1899" s="1" t="str">
        <f ca="1">IFERROR(__xludf.DUMMYFUNCTION("""COMPUTED_VALUE"""),"годен до 09.03.2027 г.")</f>
        <v>годен до 09.03.2027 г.</v>
      </c>
      <c r="F1899" s="1" t="str">
        <f ca="1">IFERROR(__xludf.DUMMYFUNCTION("""COMPUTED_VALUE"""),"Реклинатор ключичный усиленной фиксации 2024 - L (Болгария) - 0222104KZ104")</f>
        <v>Реклинатор ключичный усиленной фиксации 2024 - L (Болгария) - 0222104KZ104</v>
      </c>
      <c r="G1899" s="1" t="str">
        <f ca="1">IFERROR(__xludf.DUMMYFUNCTION("""COMPUTED_VALUE"""),"KZ.7700.02.01.00846656 / Действительно до 09.03.2027 / 0222104KZ104 / годен до 09.03.2027 г.")</f>
        <v>KZ.7700.02.01.00846656 / Действительно до 09.03.2027 / 0222104KZ104 / годен до 09.03.2027 г.</v>
      </c>
      <c r="H1899" s="1" t="str">
        <f ca="1">IFERROR(__xludf.DUMMYFUNCTION("""COMPUTED_VALUE"""),"Реклинатор ключичный усиленной фиксации 2024 - L (Болгария) KZ.7700.02.01.00846656 / Действительно до 09.03.2027 / 0222104KZ104 / годен до 09.03.2027 г.")</f>
        <v>Реклинатор ключичный усиленной фиксации 2024 - L (Болгария) KZ.7700.02.01.00846656 / Действительно до 09.03.2027 / 0222104KZ104 / годен до 09.03.2027 г.</v>
      </c>
    </row>
    <row r="1900" spans="1:8" ht="12.75" x14ac:dyDescent="0.2">
      <c r="A1900" s="1" t="str">
        <f ca="1">IFERROR(__xludf.DUMMYFUNCTION("""COMPUTED_VALUE"""),"Реклинатор ключичный усиленной фиксации 2024 - XL (Болгария)")</f>
        <v>Реклинатор ключичный усиленной фиксации 2024 - XL (Болгария)</v>
      </c>
      <c r="B1900" s="1" t="str">
        <f ca="1">IFERROR(__xludf.DUMMYFUNCTION("""COMPUTED_VALUE"""),"KZ.7700.02.01.00846656")</f>
        <v>KZ.7700.02.01.00846656</v>
      </c>
      <c r="C1900" s="1" t="str">
        <f ca="1">IFERROR(__xludf.DUMMYFUNCTION("""COMPUTED_VALUE"""),"Действительно до 09.03.2027")</f>
        <v>Действительно до 09.03.2027</v>
      </c>
      <c r="D1900" s="8" t="str">
        <f ca="1">IFERROR(__xludf.DUMMYFUNCTION("""COMPUTED_VALUE"""),"0222104KZ104")</f>
        <v>0222104KZ104</v>
      </c>
      <c r="E1900" s="1" t="str">
        <f ca="1">IFERROR(__xludf.DUMMYFUNCTION("""COMPUTED_VALUE"""),"годен до 09.03.2027 г.")</f>
        <v>годен до 09.03.2027 г.</v>
      </c>
      <c r="F1900" s="1" t="str">
        <f ca="1">IFERROR(__xludf.DUMMYFUNCTION("""COMPUTED_VALUE"""),"Реклинатор ключичный усиленной фиксации 2024 - XL (Болгария) - 0222104KZ104")</f>
        <v>Реклинатор ключичный усиленной фиксации 2024 - XL (Болгария) - 0222104KZ104</v>
      </c>
      <c r="G1900" s="1" t="str">
        <f ca="1">IFERROR(__xludf.DUMMYFUNCTION("""COMPUTED_VALUE"""),"KZ.7700.02.01.00846656 / Действительно до 09.03.2027 / 0222104KZ104 / годен до 09.03.2027 г.")</f>
        <v>KZ.7700.02.01.00846656 / Действительно до 09.03.2027 / 0222104KZ104 / годен до 09.03.2027 г.</v>
      </c>
      <c r="H1900" s="1" t="str">
        <f ca="1">IFERROR(__xludf.DUMMYFUNCTION("""COMPUTED_VALUE"""),"Реклинатор ключичный усиленной фиксации 2024 - XL (Болгария) KZ.7700.02.01.00846656 / Действительно до 09.03.2027 / 0222104KZ104 / годен до 09.03.2027 г.")</f>
        <v>Реклинатор ключичный усиленной фиксации 2024 - XL (Болгария) KZ.7700.02.01.00846656 / Действительно до 09.03.2027 / 0222104KZ104 / годен до 09.03.2027 г.</v>
      </c>
    </row>
    <row r="1901" spans="1:8" ht="12.75" x14ac:dyDescent="0.2">
      <c r="A1901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1901" s="1" t="str">
        <f ca="1">IFERROR(__xludf.DUMMYFUNCTION("""COMPUTED_VALUE"""),"KZ.7700.02.01.00850255")</f>
        <v>KZ.7700.02.01.00850255</v>
      </c>
      <c r="C1901" s="1" t="str">
        <f ca="1">IFERROR(__xludf.DUMMYFUNCTION("""COMPUTED_VALUE"""),"Действительно до 09.03.2027")</f>
        <v>Действительно до 09.03.2027</v>
      </c>
      <c r="D1901" s="8" t="str">
        <f ca="1">IFERROR(__xludf.DUMMYFUNCTION("""COMPUTED_VALUE"""),"0222104KZ104")</f>
        <v>0222104KZ104</v>
      </c>
      <c r="E1901" s="1" t="str">
        <f ca="1">IFERROR(__xludf.DUMMYFUNCTION("""COMPUTED_VALUE"""),"годен до 09.03.2027 г.")</f>
        <v>годен до 09.03.2027 г.</v>
      </c>
      <c r="F1901" s="1" t="str">
        <f ca="1">IFERROR(__xludf.DUMMYFUNCTION("""COMPUTED_VALUE"""),"Корректор лечебно-профилактический (с 4 ребрами жесткости) эластичный 3011 - М - 0222104KZ104")</f>
        <v>Корректор лечебно-профилактический (с 4 ребрами жесткости) эластичный 3011 - М - 0222104KZ104</v>
      </c>
      <c r="G1901" s="1" t="str">
        <f ca="1">IFERROR(__xludf.DUMMYFUNCTION("""COMPUTED_VALUE"""),"KZ.7700.02.01.00850255 / Действительно до 09.03.2027 / 0222104KZ104 / годен до 09.03.2027 г.")</f>
        <v>KZ.7700.02.01.00850255 / Действительно до 09.03.2027 / 0222104KZ104 / годен до 09.03.2027 г.</v>
      </c>
      <c r="H1901" s="1" t="str">
        <f ca="1">IFERROR(__xludf.DUMMYFUNCTION("""COMPUTED_VALUE"""),"Корректор лечебно-профилактический (с 4 ребрами жесткости) эластичный 3011 - М KZ.7700.02.01.00850255 / Действительно до 09.03.2027 / 0222104KZ104 / годен до 09.03.2027 г.")</f>
        <v>Корректор лечебно-профилактический (с 4 ребрами жесткости) эластичный 3011 - М KZ.7700.02.01.00850255 / Действительно до 09.03.2027 / 0222104KZ104 / годен до 09.03.2027 г.</v>
      </c>
    </row>
    <row r="1902" spans="1:8" ht="12.75" x14ac:dyDescent="0.2">
      <c r="A1902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1902" s="1" t="str">
        <f ca="1">IFERROR(__xludf.DUMMYFUNCTION("""COMPUTED_VALUE"""),"KZ.7700.02.01.00850255")</f>
        <v>KZ.7700.02.01.00850255</v>
      </c>
      <c r="C1902" s="1" t="str">
        <f ca="1">IFERROR(__xludf.DUMMYFUNCTION("""COMPUTED_VALUE"""),"Действительно до 09.03.2027")</f>
        <v>Действительно до 09.03.2027</v>
      </c>
      <c r="D1902" s="8" t="str">
        <f ca="1">IFERROR(__xludf.DUMMYFUNCTION("""COMPUTED_VALUE"""),"0222104KZ104")</f>
        <v>0222104KZ104</v>
      </c>
      <c r="E1902" s="1" t="str">
        <f ca="1">IFERROR(__xludf.DUMMYFUNCTION("""COMPUTED_VALUE"""),"годен до 09.03.2027 г.")</f>
        <v>годен до 09.03.2027 г.</v>
      </c>
      <c r="F1902" s="1" t="str">
        <f ca="1">IFERROR(__xludf.DUMMYFUNCTION("""COMPUTED_VALUE"""),"Корректор лечебно-профилактический (с 4 ребрами жесткости) эластичный 3011 - L - 0222104KZ104")</f>
        <v>Корректор лечебно-профилактический (с 4 ребрами жесткости) эластичный 3011 - L - 0222104KZ104</v>
      </c>
      <c r="G1902" s="1" t="str">
        <f ca="1">IFERROR(__xludf.DUMMYFUNCTION("""COMPUTED_VALUE"""),"KZ.7700.02.01.00850255 / Действительно до 09.03.2027 / 0222104KZ104 / годен до 09.03.2027 г.")</f>
        <v>KZ.7700.02.01.00850255 / Действительно до 09.03.2027 / 0222104KZ104 / годен до 09.03.2027 г.</v>
      </c>
      <c r="H1902" s="1" t="str">
        <f ca="1">IFERROR(__xludf.DUMMYFUNCTION("""COMPUTED_VALUE"""),"Корректор лечебно-профилактический (с 4 ребрами жесткости) эластичный 3011 - L KZ.7700.02.01.00850255 / Действительно до 09.03.2027 / 0222104KZ104 / годен до 09.03.2027 г.")</f>
        <v>Корректор лечебно-профилактический (с 4 ребрами жесткости) эластичный 3011 - L KZ.7700.02.01.00850255 / Действительно до 09.03.2027 / 0222104KZ104 / годен до 09.03.2027 г.</v>
      </c>
    </row>
    <row r="1903" spans="1:8" ht="12.75" x14ac:dyDescent="0.2">
      <c r="A1903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1903" s="1" t="str">
        <f ca="1">IFERROR(__xludf.DUMMYFUNCTION("""COMPUTED_VALUE"""),"KZ.7700.02.01.00850255")</f>
        <v>KZ.7700.02.01.00850255</v>
      </c>
      <c r="C1903" s="1" t="str">
        <f ca="1">IFERROR(__xludf.DUMMYFUNCTION("""COMPUTED_VALUE"""),"Действительно до 09.03.2027")</f>
        <v>Действительно до 09.03.2027</v>
      </c>
      <c r="D1903" s="8" t="str">
        <f ca="1">IFERROR(__xludf.DUMMYFUNCTION("""COMPUTED_VALUE"""),"0222104KZ104")</f>
        <v>0222104KZ104</v>
      </c>
      <c r="E1903" s="1" t="str">
        <f ca="1">IFERROR(__xludf.DUMMYFUNCTION("""COMPUTED_VALUE"""),"годен до 09.03.2027 г.")</f>
        <v>годен до 09.03.2027 г.</v>
      </c>
      <c r="F1903" s="1" t="str">
        <f ca="1">IFERROR(__xludf.DUMMYFUNCTION("""COMPUTED_VALUE"""),"Корректор лечебно-профилактический (с 4 ребрами жесткости) эластичный 3011- XL - 0222104KZ104")</f>
        <v>Корректор лечебно-профилактический (с 4 ребрами жесткости) эластичный 3011- XL - 0222104KZ104</v>
      </c>
      <c r="G1903" s="1" t="str">
        <f ca="1">IFERROR(__xludf.DUMMYFUNCTION("""COMPUTED_VALUE"""),"KZ.7700.02.01.00850255 / Действительно до 09.03.2027 / 0222104KZ104 / годен до 09.03.2027 г.")</f>
        <v>KZ.7700.02.01.00850255 / Действительно до 09.03.2027 / 0222104KZ104 / годен до 09.03.2027 г.</v>
      </c>
      <c r="H1903" s="1" t="str">
        <f ca="1">IFERROR(__xludf.DUMMYFUNCTION("""COMPUTED_VALUE"""),"Корректор лечебно-профилактический (с 4 ребрами жесткости) эластичный 3011- XL KZ.7700.02.01.00850255 / Действительно до 09.03.2027 / 0222104KZ104 / годен до 09.03.2027 г.")</f>
        <v>Корректор лечебно-профилактический (с 4 ребрами жесткости) эластичный 3011- XL KZ.7700.02.01.00850255 / Действительно до 09.03.2027 / 0222104KZ104 / годен до 09.03.2027 г.</v>
      </c>
    </row>
    <row r="1904" spans="1:8" ht="12.75" x14ac:dyDescent="0.2">
      <c r="A1904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1904" s="1" t="str">
        <f ca="1">IFERROR(__xludf.DUMMYFUNCTION("""COMPUTED_VALUE"""),"KZ.7700.02.01.00850255")</f>
        <v>KZ.7700.02.01.00850255</v>
      </c>
      <c r="C1904" s="1" t="str">
        <f ca="1">IFERROR(__xludf.DUMMYFUNCTION("""COMPUTED_VALUE"""),"Действительно до 09.03.2027")</f>
        <v>Действительно до 09.03.2027</v>
      </c>
      <c r="D1904" s="8" t="str">
        <f ca="1">IFERROR(__xludf.DUMMYFUNCTION("""COMPUTED_VALUE"""),"0222104KZ104")</f>
        <v>0222104KZ104</v>
      </c>
      <c r="E1904" s="1" t="str">
        <f ca="1">IFERROR(__xludf.DUMMYFUNCTION("""COMPUTED_VALUE"""),"годен до 09.03.2027 г.")</f>
        <v>годен до 09.03.2027 г.</v>
      </c>
      <c r="F1904" s="1" t="str">
        <f ca="1">IFERROR(__xludf.DUMMYFUNCTION("""COMPUTED_VALUE"""),"Корректор лечебно-профилактический (с 4 ребрами жесткости) эластичный 3011- XXL - 0222104KZ104")</f>
        <v>Корректор лечебно-профилактический (с 4 ребрами жесткости) эластичный 3011- XXL - 0222104KZ104</v>
      </c>
      <c r="G1904" s="1" t="str">
        <f ca="1">IFERROR(__xludf.DUMMYFUNCTION("""COMPUTED_VALUE"""),"KZ.7700.02.01.00850255 / Действительно до 09.03.2027 / 0222104KZ104 / годен до 09.03.2027 г.")</f>
        <v>KZ.7700.02.01.00850255 / Действительно до 09.03.2027 / 0222104KZ104 / годен до 09.03.2027 г.</v>
      </c>
      <c r="H1904" s="1" t="str">
        <f ca="1">IFERROR(__xludf.DUMMYFUNCTION("""COMPUTED_VALUE"""),"Корректор лечебно-профилактический (с 4 ребрами жесткости) эластичный 3011- XXL KZ.7700.02.01.00850255 / Действительно до 09.03.2027 / 0222104KZ104 / годен до 09.03.2027 г.")</f>
        <v>Корректор лечебно-профилактический (с 4 ребрами жесткости) эластичный 3011- XXL KZ.7700.02.01.00850255 / Действительно до 09.03.2027 / 0222104KZ104 / годен до 09.03.2027 г.</v>
      </c>
    </row>
    <row r="1905" spans="1:8" ht="12.75" x14ac:dyDescent="0.2">
      <c r="A1905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1905" s="1" t="str">
        <f ca="1">IFERROR(__xludf.DUMMYFUNCTION("""COMPUTED_VALUE"""),"KZ.7700.02.01.00850255")</f>
        <v>KZ.7700.02.01.00850255</v>
      </c>
      <c r="C1905" s="1" t="str">
        <f ca="1">IFERROR(__xludf.DUMMYFUNCTION("""COMPUTED_VALUE"""),"Действительно до 09.03.2027")</f>
        <v>Действительно до 09.03.2027</v>
      </c>
      <c r="D1905" s="8" t="str">
        <f ca="1">IFERROR(__xludf.DUMMYFUNCTION("""COMPUTED_VALUE"""),"0222104KZ104")</f>
        <v>0222104KZ104</v>
      </c>
      <c r="E1905" s="1" t="str">
        <f ca="1">IFERROR(__xludf.DUMMYFUNCTION("""COMPUTED_VALUE"""),"годен до 09.03.2027 г.")</f>
        <v>годен до 09.03.2027 г.</v>
      </c>
      <c r="F1905" s="1" t="str">
        <f ca="1">IFERROR(__xludf.DUMMYFUNCTION("""COMPUTED_VALUE"""),"Корректор лечебно-профилактический (с 4 ребрами жесткости) эластичный 3011- XXXL - 0222104KZ104")</f>
        <v>Корректор лечебно-профилактический (с 4 ребрами жесткости) эластичный 3011- XXXL - 0222104KZ104</v>
      </c>
      <c r="G1905" s="1" t="str">
        <f ca="1">IFERROR(__xludf.DUMMYFUNCTION("""COMPUTED_VALUE"""),"KZ.7700.02.01.00850255 / Действительно до 09.03.2027 / 0222104KZ104 / годен до 09.03.2027 г.")</f>
        <v>KZ.7700.02.01.00850255 / Действительно до 09.03.2027 / 0222104KZ104 / годен до 09.03.2027 г.</v>
      </c>
      <c r="H1905" s="1" t="str">
        <f ca="1">IFERROR(__xludf.DUMMYFUNCTION("""COMPUTED_VALUE"""),"Корректор лечебно-профилактический (с 4 ребрами жесткости) эластичный 3011- XXXL KZ.7700.02.01.00850255 / Действительно до 09.03.2027 / 0222104KZ104 / годен до 09.03.2027 г.")</f>
        <v>Корректор лечебно-профилактический (с 4 ребрами жесткости) эластичный 3011- XXXL KZ.7700.02.01.00850255 / Действительно до 09.03.2027 / 0222104KZ104 / годен до 09.03.2027 г.</v>
      </c>
    </row>
    <row r="1906" spans="1:8" ht="12.75" x14ac:dyDescent="0.2">
      <c r="A1906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1906" s="1" t="str">
        <f ca="1">IFERROR(__xludf.DUMMYFUNCTION("""COMPUTED_VALUE"""),"KZ.7700.02.01.00850255")</f>
        <v>KZ.7700.02.01.00850255</v>
      </c>
      <c r="C1906" s="1" t="str">
        <f ca="1">IFERROR(__xludf.DUMMYFUNCTION("""COMPUTED_VALUE"""),"Действительно до 09.03.2027")</f>
        <v>Действительно до 09.03.2027</v>
      </c>
      <c r="D1906" s="8" t="str">
        <f ca="1">IFERROR(__xludf.DUMMYFUNCTION("""COMPUTED_VALUE"""),"0222104KZ104")</f>
        <v>0222104KZ104</v>
      </c>
      <c r="E1906" s="1" t="str">
        <f ca="1">IFERROR(__xludf.DUMMYFUNCTION("""COMPUTED_VALUE"""),"годен до 09.03.2027 г.")</f>
        <v>годен до 09.03.2027 г.</v>
      </c>
      <c r="F1906" s="1" t="str">
        <f ca="1">IFERROR(__xludf.DUMMYFUNCTION("""COMPUTED_VALUE"""),"Корректор лечебно-профилактический (с 4 ребрами жесткости) эластичный 3011 XXXXL - 0222104KZ104")</f>
        <v>Корректор лечебно-профилактический (с 4 ребрами жесткости) эластичный 3011 XXXXL - 0222104KZ104</v>
      </c>
      <c r="G1906" s="1" t="str">
        <f ca="1">IFERROR(__xludf.DUMMYFUNCTION("""COMPUTED_VALUE"""),"KZ.7700.02.01.00850255 / Действительно до 09.03.2027 / 0222104KZ104 / годен до 09.03.2027 г.")</f>
        <v>KZ.7700.02.01.00850255 / Действительно до 09.03.2027 / 0222104KZ104 / годен до 09.03.2027 г.</v>
      </c>
      <c r="H1906" s="1" t="str">
        <f ca="1">IFERROR(__xludf.DUMMYFUNCTION("""COMPUTED_VALUE"""),"Корректор лечебно-профилактический (с 4 ребрами жесткости) эластичный 3011 XXXXL KZ.7700.02.01.00850255 / Действительно до 09.03.2027 / 0222104KZ104 / годен до 09.03.2027 г.")</f>
        <v>Корректор лечебно-профилактический (с 4 ребрами жесткости) эластичный 3011 XXXXL KZ.7700.02.01.00850255 / Действительно до 09.03.2027 / 0222104KZ104 / годен до 09.03.2027 г.</v>
      </c>
    </row>
    <row r="1907" spans="1:8" ht="12.75" x14ac:dyDescent="0.2">
      <c r="A1907" s="1" t="str">
        <f ca="1">IFERROR(__xludf.DUMMYFUNCTION("""COMPUTED_VALUE"""),"Корсет ортопедический с ребрами жесткости согревающий 3041 XS/S (Болгария)")</f>
        <v>Корсет ортопедический с ребрами жесткости согревающий 3041 XS/S (Болгария)</v>
      </c>
      <c r="B1907" s="1" t="str">
        <f ca="1">IFERROR(__xludf.DUMMYFUNCTION("""COMPUTED_VALUE"""),"KZ.7700.02.01.00846660")</f>
        <v>KZ.7700.02.01.00846660</v>
      </c>
      <c r="C1907" s="1" t="str">
        <f ca="1">IFERROR(__xludf.DUMMYFUNCTION("""COMPUTED_VALUE"""),"Действительно до 09.03.2027")</f>
        <v>Действительно до 09.03.2027</v>
      </c>
      <c r="D1907" s="8" t="str">
        <f ca="1">IFERROR(__xludf.DUMMYFUNCTION("""COMPUTED_VALUE"""),"0222104KZ104")</f>
        <v>0222104KZ104</v>
      </c>
      <c r="E1907" s="1" t="str">
        <f ca="1">IFERROR(__xludf.DUMMYFUNCTION("""COMPUTED_VALUE"""),"годен до 09.03.2027 г.")</f>
        <v>годен до 09.03.2027 г.</v>
      </c>
      <c r="F1907" s="1" t="str">
        <f ca="1">IFERROR(__xludf.DUMMYFUNCTION("""COMPUTED_VALUE"""),"Корсет ортопедический с ребрами жесткости согревающий 3041 XS/S (Болгария) - 0222104KZ104")</f>
        <v>Корсет ортопедический с ребрами жесткости согревающий 3041 XS/S (Болгария) - 0222104KZ104</v>
      </c>
      <c r="G1907" s="1" t="str">
        <f ca="1">IFERROR(__xludf.DUMMYFUNCTION("""COMPUTED_VALUE"""),"KZ.7700.02.01.00846660 / Действительно до 09.03.2027 / 0222104KZ104 / годен до 09.03.2027 г.")</f>
        <v>KZ.7700.02.01.00846660 / Действительно до 09.03.2027 / 0222104KZ104 / годен до 09.03.2027 г.</v>
      </c>
      <c r="H1907" s="1" t="str">
        <f ca="1">IFERROR(__xludf.DUMMYFUNCTION("""COMPUTED_VALUE"""),"Корсет ортопедический с ребрами жесткости согревающий 3041 XS/S (Болгария) KZ.7700.02.01.00846660 / Действительно до 09.03.2027 / 0222104KZ104 / годен до 09.03.2027 г.")</f>
        <v>Корсет ортопедический с ребрами жесткости согревающий 3041 XS/S (Болгария) KZ.7700.02.01.00846660 / Действительно до 09.03.2027 / 0222104KZ104 / годен до 09.03.2027 г.</v>
      </c>
    </row>
    <row r="1908" spans="1:8" ht="12.75" x14ac:dyDescent="0.2">
      <c r="A1908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1908" s="1" t="str">
        <f ca="1">IFERROR(__xludf.DUMMYFUNCTION("""COMPUTED_VALUE"""),"KZ.7700.02.01.00846660")</f>
        <v>KZ.7700.02.01.00846660</v>
      </c>
      <c r="C1908" s="1" t="str">
        <f ca="1">IFERROR(__xludf.DUMMYFUNCTION("""COMPUTED_VALUE"""),"Действительно до 09.03.2027")</f>
        <v>Действительно до 09.03.2027</v>
      </c>
      <c r="D1908" s="8" t="str">
        <f ca="1">IFERROR(__xludf.DUMMYFUNCTION("""COMPUTED_VALUE"""),"0222104KZ104")</f>
        <v>0222104KZ104</v>
      </c>
      <c r="E1908" s="1" t="str">
        <f ca="1">IFERROR(__xludf.DUMMYFUNCTION("""COMPUTED_VALUE"""),"годен до 09.03.2027 г.")</f>
        <v>годен до 09.03.2027 г.</v>
      </c>
      <c r="F1908" s="1" t="str">
        <f ca="1">IFERROR(__xludf.DUMMYFUNCTION("""COMPUTED_VALUE"""),"Корсет ортопедический с ребрами жесткости согревающий 3041 M/L (Болгария) - 0222104KZ104")</f>
        <v>Корсет ортопедический с ребрами жесткости согревающий 3041 M/L (Болгария) - 0222104KZ104</v>
      </c>
      <c r="G1908" s="1" t="str">
        <f ca="1">IFERROR(__xludf.DUMMYFUNCTION("""COMPUTED_VALUE"""),"KZ.7700.02.01.00846660 / Действительно до 09.03.2027 / 0222104KZ104 / годен до 09.03.2027 г.")</f>
        <v>KZ.7700.02.01.00846660 / Действительно до 09.03.2027 / 0222104KZ104 / годен до 09.03.2027 г.</v>
      </c>
      <c r="H1908" s="1" t="str">
        <f ca="1">IFERROR(__xludf.DUMMYFUNCTION("""COMPUTED_VALUE"""),"Корсет ортопедический с ребрами жесткости согревающий 3041 M/L (Болгария) KZ.7700.02.01.00846660 / Действительно до 09.03.2027 / 0222104KZ104 / годен до 09.03.2027 г.")</f>
        <v>Корсет ортопедический с ребрами жесткости согревающий 3041 M/L (Болгария) KZ.7700.02.01.00846660 / Действительно до 09.03.2027 / 0222104KZ104 / годен до 09.03.2027 г.</v>
      </c>
    </row>
    <row r="1909" spans="1:8" ht="12.75" x14ac:dyDescent="0.2">
      <c r="A1909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1909" s="1" t="str">
        <f ca="1">IFERROR(__xludf.DUMMYFUNCTION("""COMPUTED_VALUE"""),"KZ.7700.02.01.00846660")</f>
        <v>KZ.7700.02.01.00846660</v>
      </c>
      <c r="C1909" s="1" t="str">
        <f ca="1">IFERROR(__xludf.DUMMYFUNCTION("""COMPUTED_VALUE"""),"Действительно до 09.03.2027")</f>
        <v>Действительно до 09.03.2027</v>
      </c>
      <c r="D1909" s="8" t="str">
        <f ca="1">IFERROR(__xludf.DUMMYFUNCTION("""COMPUTED_VALUE"""),"0222104KZ104")</f>
        <v>0222104KZ104</v>
      </c>
      <c r="E1909" s="1" t="str">
        <f ca="1">IFERROR(__xludf.DUMMYFUNCTION("""COMPUTED_VALUE"""),"годен до 09.03.2027 г.")</f>
        <v>годен до 09.03.2027 г.</v>
      </c>
      <c r="F1909" s="1" t="str">
        <f ca="1">IFERROR(__xludf.DUMMYFUNCTION("""COMPUTED_VALUE"""),"Корсет ортопедический с ребрами жесткости согревающий 3041 XL/XXL (Болгария) - 0222104KZ104")</f>
        <v>Корсет ортопедический с ребрами жесткости согревающий 3041 XL/XXL (Болгария) - 0222104KZ104</v>
      </c>
      <c r="G1909" s="1" t="str">
        <f ca="1">IFERROR(__xludf.DUMMYFUNCTION("""COMPUTED_VALUE"""),"KZ.7700.02.01.00846660 / Действительно до 09.03.2027 / 0222104KZ104 / годен до 09.03.2027 г.")</f>
        <v>KZ.7700.02.01.00846660 / Действительно до 09.03.2027 / 0222104KZ104 / годен до 09.03.2027 г.</v>
      </c>
      <c r="H1909" s="1" t="str">
        <f ca="1">IFERROR(__xludf.DUMMYFUNCTION("""COMPUTED_VALUE"""),"Корсет ортопедический с ребрами жесткости согревающий 3041 XL/XXL (Болгария) KZ.7700.02.01.00846660 / Действительно до 09.03.2027 / 0222104KZ104 / годен до 09.03.2027 г.")</f>
        <v>Корсет ортопедический с ребрами жесткости согревающий 3041 XL/XXL (Болгария) KZ.7700.02.01.00846660 / Действительно до 09.03.2027 / 0222104KZ104 / годен до 09.03.2027 г.</v>
      </c>
    </row>
    <row r="1910" spans="1:8" ht="12.75" x14ac:dyDescent="0.2">
      <c r="A1910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1910" s="1" t="str">
        <f ca="1">IFERROR(__xludf.DUMMYFUNCTION("""COMPUTED_VALUE"""),"KZ.7700.02.01.00846660")</f>
        <v>KZ.7700.02.01.00846660</v>
      </c>
      <c r="C1910" s="1" t="str">
        <f ca="1">IFERROR(__xludf.DUMMYFUNCTION("""COMPUTED_VALUE"""),"Действительно до 09.03.2027")</f>
        <v>Действительно до 09.03.2027</v>
      </c>
      <c r="D1910" s="8" t="str">
        <f ca="1">IFERROR(__xludf.DUMMYFUNCTION("""COMPUTED_VALUE"""),"0222104KZ104")</f>
        <v>0222104KZ104</v>
      </c>
      <c r="E1910" s="1" t="str">
        <f ca="1">IFERROR(__xludf.DUMMYFUNCTION("""COMPUTED_VALUE"""),"годен до 09.03.2027 г.")</f>
        <v>годен до 09.03.2027 г.</v>
      </c>
      <c r="F1910" s="1" t="str">
        <f ca="1">IFERROR(__xludf.DUMMYFUNCTION("""COMPUTED_VALUE"""),"Корсет ортопедический с ребрами жесткости согревающий 3041 XXXL/XXXXL (Болгария) - 0222104KZ104")</f>
        <v>Корсет ортопедический с ребрами жесткости согревающий 3041 XXXL/XXXXL (Болгария) - 0222104KZ104</v>
      </c>
      <c r="G1910" s="1" t="str">
        <f ca="1">IFERROR(__xludf.DUMMYFUNCTION("""COMPUTED_VALUE"""),"KZ.7700.02.01.00846660 / Действительно до 09.03.2027 / 0222104KZ104 / годен до 09.03.2027 г.")</f>
        <v>KZ.7700.02.01.00846660 / Действительно до 09.03.2027 / 0222104KZ104 / годен до 09.03.2027 г.</v>
      </c>
      <c r="H1910" s="1" t="str">
        <f ca="1">IFERROR(__xludf.DUMMYFUNCTION("""COMPUTED_VALUE"""),"Корсет ортопедический с ребрами жесткости согревающий 3041 XXXL/XXXXL (Болгария) KZ.7700.02.01.00846660 / Действительно до 09.03.2027 / 0222104KZ104 / годен до 09.03.2027 г.")</f>
        <v>Корсет ортопедический с ребрами жесткости согревающий 3041 XXXL/XXXXL (Болгария) KZ.7700.02.01.00846660 / Действительно до 09.03.2027 / 0222104KZ104 / годен до 09.03.2027 г.</v>
      </c>
    </row>
    <row r="1911" spans="1:8" ht="12.75" x14ac:dyDescent="0.2">
      <c r="A1911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1911" s="1" t="str">
        <f ca="1">IFERROR(__xludf.DUMMYFUNCTION("""COMPUTED_VALUE"""),"KZ.7700.02.01.00846991")</f>
        <v>KZ.7700.02.01.00846991</v>
      </c>
      <c r="C1911" s="1" t="str">
        <f ca="1">IFERROR(__xludf.DUMMYFUNCTION("""COMPUTED_VALUE"""),"Действительно до 09.03.2027")</f>
        <v>Действительно до 09.03.2027</v>
      </c>
      <c r="D1911" s="8" t="str">
        <f ca="1">IFERROR(__xludf.DUMMYFUNCTION("""COMPUTED_VALUE"""),"0222104KZ104")</f>
        <v>0222104KZ104</v>
      </c>
      <c r="E1911" s="1" t="str">
        <f ca="1">IFERROR(__xludf.DUMMYFUNCTION("""COMPUTED_VALUE"""),"годен до 09.03.2027 г.")</f>
        <v>годен до 09.03.2027 г.</v>
      </c>
      <c r="F1911" s="1" t="str">
        <f ca="1">IFERROR(__xludf.DUMMYFUNCTION("""COMPUTED_VALUE"""),"Бандаж лечебно–профилактический эластичный 4002 S (Болгария) - 0222104KZ104")</f>
        <v>Бандаж лечебно–профилактический эластичный 4002 S (Болгария) - 0222104KZ104</v>
      </c>
      <c r="G1911" s="1" t="str">
        <f ca="1">IFERROR(__xludf.DUMMYFUNCTION("""COMPUTED_VALUE"""),"KZ.7700.02.01.00846991 / Действительно до 09.03.2027 / 0222104KZ104 / годен до 09.03.2027 г.")</f>
        <v>KZ.7700.02.01.00846991 / Действительно до 09.03.2027 / 0222104KZ104 / годен до 09.03.2027 г.</v>
      </c>
      <c r="H1911" s="1" t="str">
        <f ca="1">IFERROR(__xludf.DUMMYFUNCTION("""COMPUTED_VALUE"""),"Бандаж лечебно–профилактический эластичный 4002 S (Болгария) KZ.7700.02.01.00846991 / Действительно до 09.03.2027 / 0222104KZ104 / годен до 09.03.2027 г.")</f>
        <v>Бандаж лечебно–профилактический эластичный 4002 S (Болгария) KZ.7700.02.01.00846991 / Действительно до 09.03.2027 / 0222104KZ104 / годен до 09.03.2027 г.</v>
      </c>
    </row>
    <row r="1912" spans="1:8" ht="12.75" x14ac:dyDescent="0.2">
      <c r="A1912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1912" s="1" t="str">
        <f ca="1">IFERROR(__xludf.DUMMYFUNCTION("""COMPUTED_VALUE"""),"KZ.7700.02.01.00846991")</f>
        <v>KZ.7700.02.01.00846991</v>
      </c>
      <c r="C1912" s="1" t="str">
        <f ca="1">IFERROR(__xludf.DUMMYFUNCTION("""COMPUTED_VALUE"""),"Действительно до 09.03.2027")</f>
        <v>Действительно до 09.03.2027</v>
      </c>
      <c r="D1912" s="8" t="str">
        <f ca="1">IFERROR(__xludf.DUMMYFUNCTION("""COMPUTED_VALUE"""),"0222104KZ104")</f>
        <v>0222104KZ104</v>
      </c>
      <c r="E1912" s="1" t="str">
        <f ca="1">IFERROR(__xludf.DUMMYFUNCTION("""COMPUTED_VALUE"""),"годен до 09.03.2027 г.")</f>
        <v>годен до 09.03.2027 г.</v>
      </c>
      <c r="F1912" s="1" t="str">
        <f ca="1">IFERROR(__xludf.DUMMYFUNCTION("""COMPUTED_VALUE"""),"Бандаж лечебно–профилактический эластичный 4002 M (Болгария) - 0222104KZ104")</f>
        <v>Бандаж лечебно–профилактический эластичный 4002 M (Болгария) - 0222104KZ104</v>
      </c>
      <c r="G1912" s="1" t="str">
        <f ca="1">IFERROR(__xludf.DUMMYFUNCTION("""COMPUTED_VALUE"""),"KZ.7700.02.01.00846991 / Действительно до 09.03.2027 / 0222104KZ104 / годен до 09.03.2027 г.")</f>
        <v>KZ.7700.02.01.00846991 / Действительно до 09.03.2027 / 0222104KZ104 / годен до 09.03.2027 г.</v>
      </c>
      <c r="H1912" s="1" t="str">
        <f ca="1">IFERROR(__xludf.DUMMYFUNCTION("""COMPUTED_VALUE"""),"Бандаж лечебно–профилактический эластичный 4002 M (Болгария) KZ.7700.02.01.00846991 / Действительно до 09.03.2027 / 0222104KZ104 / годен до 09.03.2027 г.")</f>
        <v>Бандаж лечебно–профилактический эластичный 4002 M (Болгария) KZ.7700.02.01.00846991 / Действительно до 09.03.2027 / 0222104KZ104 / годен до 09.03.2027 г.</v>
      </c>
    </row>
    <row r="1913" spans="1:8" ht="12.75" x14ac:dyDescent="0.2">
      <c r="A1913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1913" s="1" t="str">
        <f ca="1">IFERROR(__xludf.DUMMYFUNCTION("""COMPUTED_VALUE"""),"KZ.7700.02.01.00846991")</f>
        <v>KZ.7700.02.01.00846991</v>
      </c>
      <c r="C1913" s="1" t="str">
        <f ca="1">IFERROR(__xludf.DUMMYFUNCTION("""COMPUTED_VALUE"""),"Действительно до 09.03.2027")</f>
        <v>Действительно до 09.03.2027</v>
      </c>
      <c r="D1913" s="8" t="str">
        <f ca="1">IFERROR(__xludf.DUMMYFUNCTION("""COMPUTED_VALUE"""),"0222104KZ104")</f>
        <v>0222104KZ104</v>
      </c>
      <c r="E1913" s="1" t="str">
        <f ca="1">IFERROR(__xludf.DUMMYFUNCTION("""COMPUTED_VALUE"""),"годен до 09.03.2027 г.")</f>
        <v>годен до 09.03.2027 г.</v>
      </c>
      <c r="F1913" s="1" t="str">
        <f ca="1">IFERROR(__xludf.DUMMYFUNCTION("""COMPUTED_VALUE"""),"Бандаж лечебно–профилактический эластичный 4002 L (Болгария) - 0222104KZ104")</f>
        <v>Бандаж лечебно–профилактический эластичный 4002 L (Болгария) - 0222104KZ104</v>
      </c>
      <c r="G1913" s="1" t="str">
        <f ca="1">IFERROR(__xludf.DUMMYFUNCTION("""COMPUTED_VALUE"""),"KZ.7700.02.01.00846991 / Действительно до 09.03.2027 / 0222104KZ104 / годен до 09.03.2027 г.")</f>
        <v>KZ.7700.02.01.00846991 / Действительно до 09.03.2027 / 0222104KZ104 / годен до 09.03.2027 г.</v>
      </c>
      <c r="H1913" s="1" t="str">
        <f ca="1">IFERROR(__xludf.DUMMYFUNCTION("""COMPUTED_VALUE"""),"Бандаж лечебно–профилактический эластичный 4002 L (Болгария) KZ.7700.02.01.00846991 / Действительно до 09.03.2027 / 0222104KZ104 / годен до 09.03.2027 г.")</f>
        <v>Бандаж лечебно–профилактический эластичный 4002 L (Болгария) KZ.7700.02.01.00846991 / Действительно до 09.03.2027 / 0222104KZ104 / годен до 09.03.2027 г.</v>
      </c>
    </row>
    <row r="1914" spans="1:8" ht="12.75" x14ac:dyDescent="0.2">
      <c r="A1914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1914" s="1" t="str">
        <f ca="1">IFERROR(__xludf.DUMMYFUNCTION("""COMPUTED_VALUE"""),"KZ.7700.02.01.00846991")</f>
        <v>KZ.7700.02.01.00846991</v>
      </c>
      <c r="C1914" s="1" t="str">
        <f ca="1">IFERROR(__xludf.DUMMYFUNCTION("""COMPUTED_VALUE"""),"Действительно до 09.03.2027")</f>
        <v>Действительно до 09.03.2027</v>
      </c>
      <c r="D1914" s="8" t="str">
        <f ca="1">IFERROR(__xludf.DUMMYFUNCTION("""COMPUTED_VALUE"""),"0222104KZ104")</f>
        <v>0222104KZ104</v>
      </c>
      <c r="E1914" s="1" t="str">
        <f ca="1">IFERROR(__xludf.DUMMYFUNCTION("""COMPUTED_VALUE"""),"годен до 09.03.2027 г.")</f>
        <v>годен до 09.03.2027 г.</v>
      </c>
      <c r="F1914" s="1" t="str">
        <f ca="1">IFERROR(__xludf.DUMMYFUNCTION("""COMPUTED_VALUE"""),"Бандаж лечебно–профилактический эластичный 4002 XL (Болгария) - 0222104KZ104")</f>
        <v>Бандаж лечебно–профилактический эластичный 4002 XL (Болгария) - 0222104KZ104</v>
      </c>
      <c r="G1914" s="1" t="str">
        <f ca="1">IFERROR(__xludf.DUMMYFUNCTION("""COMPUTED_VALUE"""),"KZ.7700.02.01.00846991 / Действительно до 09.03.2027 / 0222104KZ104 / годен до 09.03.2027 г.")</f>
        <v>KZ.7700.02.01.00846991 / Действительно до 09.03.2027 / 0222104KZ104 / годен до 09.03.2027 г.</v>
      </c>
      <c r="H1914" s="1" t="str">
        <f ca="1">IFERROR(__xludf.DUMMYFUNCTION("""COMPUTED_VALUE"""),"Бандаж лечебно–профилактический эластичный 4002 XL (Болгария) KZ.7700.02.01.00846991 / Действительно до 09.03.2027 / 0222104KZ104 / годен до 09.03.2027 г.")</f>
        <v>Бандаж лечебно–профилактический эластичный 4002 XL (Болгария) KZ.7700.02.01.00846991 / Действительно до 09.03.2027 / 0222104KZ104 / годен до 09.03.2027 г.</v>
      </c>
    </row>
    <row r="1915" spans="1:8" ht="12.75" x14ac:dyDescent="0.2">
      <c r="A1915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1915" s="1" t="str">
        <f ca="1">IFERROR(__xludf.DUMMYFUNCTION("""COMPUTED_VALUE"""),"KZ.7700.02.01.00846991")</f>
        <v>KZ.7700.02.01.00846991</v>
      </c>
      <c r="C1915" s="1" t="str">
        <f ca="1">IFERROR(__xludf.DUMMYFUNCTION("""COMPUTED_VALUE"""),"Действительно до 09.03.2027")</f>
        <v>Действительно до 09.03.2027</v>
      </c>
      <c r="D1915" s="8" t="str">
        <f ca="1">IFERROR(__xludf.DUMMYFUNCTION("""COMPUTED_VALUE"""),"0222104KZ104")</f>
        <v>0222104KZ104</v>
      </c>
      <c r="E1915" s="1" t="str">
        <f ca="1">IFERROR(__xludf.DUMMYFUNCTION("""COMPUTED_VALUE"""),"годен до 09.03.2027 г.")</f>
        <v>годен до 09.03.2027 г.</v>
      </c>
      <c r="F1915" s="1" t="str">
        <f ca="1">IFERROR(__xludf.DUMMYFUNCTION("""COMPUTED_VALUE"""),"Бандаж лечебно–профилактический эластичный 4002 XXL (Болгария) - 0222104KZ104")</f>
        <v>Бандаж лечебно–профилактический эластичный 4002 XXL (Болгария) - 0222104KZ104</v>
      </c>
      <c r="G1915" s="1" t="str">
        <f ca="1">IFERROR(__xludf.DUMMYFUNCTION("""COMPUTED_VALUE"""),"KZ.7700.02.01.00846991 / Действительно до 09.03.2027 / 0222104KZ104 / годен до 09.03.2027 г.")</f>
        <v>KZ.7700.02.01.00846991 / Действительно до 09.03.2027 / 0222104KZ104 / годен до 09.03.2027 г.</v>
      </c>
      <c r="H1915" s="1" t="str">
        <f ca="1">IFERROR(__xludf.DUMMYFUNCTION("""COMPUTED_VALUE"""),"Бандаж лечебно–профилактический эластичный 4002 XXL (Болгария) KZ.7700.02.01.00846991 / Действительно до 09.03.2027 / 0222104KZ104 / годен до 09.03.2027 г.")</f>
        <v>Бандаж лечебно–профилактический эластичный 4002 XXL (Болгария) KZ.7700.02.01.00846991 / Действительно до 09.03.2027 / 0222104KZ104 / годен до 09.03.2027 г.</v>
      </c>
    </row>
    <row r="1916" spans="1:8" ht="12.75" x14ac:dyDescent="0.2">
      <c r="A1916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1916" s="1" t="str">
        <f ca="1">IFERROR(__xludf.DUMMYFUNCTION("""COMPUTED_VALUE"""),"KZ.7700.02.01.00846991")</f>
        <v>KZ.7700.02.01.00846991</v>
      </c>
      <c r="C1916" s="1" t="str">
        <f ca="1">IFERROR(__xludf.DUMMYFUNCTION("""COMPUTED_VALUE"""),"Действительно до 09.03.2027")</f>
        <v>Действительно до 09.03.2027</v>
      </c>
      <c r="D1916" s="8" t="str">
        <f ca="1">IFERROR(__xludf.DUMMYFUNCTION("""COMPUTED_VALUE"""),"0222104KZ104")</f>
        <v>0222104KZ104</v>
      </c>
      <c r="E1916" s="1" t="str">
        <f ca="1">IFERROR(__xludf.DUMMYFUNCTION("""COMPUTED_VALUE"""),"годен до 09.03.2027 г.")</f>
        <v>годен до 09.03.2027 г.</v>
      </c>
      <c r="F1916" s="1" t="str">
        <f ca="1">IFERROR(__xludf.DUMMYFUNCTION("""COMPUTED_VALUE"""),"Бандаж лечебно–профилактический эластичный 4002 XXXL (Болгария) - 0222104KZ104")</f>
        <v>Бандаж лечебно–профилактический эластичный 4002 XXXL (Болгария) - 0222104KZ104</v>
      </c>
      <c r="G1916" s="1" t="str">
        <f ca="1">IFERROR(__xludf.DUMMYFUNCTION("""COMPUTED_VALUE"""),"KZ.7700.02.01.00846991 / Действительно до 09.03.2027 / 0222104KZ104 / годен до 09.03.2027 г.")</f>
        <v>KZ.7700.02.01.00846991 / Действительно до 09.03.2027 / 0222104KZ104 / годен до 09.03.2027 г.</v>
      </c>
      <c r="H1916" s="1" t="str">
        <f ca="1">IFERROR(__xludf.DUMMYFUNCTION("""COMPUTED_VALUE"""),"Бандаж лечебно–профилактический эластичный 4002 XXXL (Болгария) KZ.7700.02.01.00846991 / Действительно до 09.03.2027 / 0222104KZ104 / годен до 09.03.2027 г.")</f>
        <v>Бандаж лечебно–профилактический эластичный 4002 XXXL (Болгария) KZ.7700.02.01.00846991 / Действительно до 09.03.2027 / 0222104KZ104 / годен до 09.03.2027 г.</v>
      </c>
    </row>
    <row r="1917" spans="1:8" ht="12.75" x14ac:dyDescent="0.2">
      <c r="A1917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1917" s="1" t="str">
        <f ca="1">IFERROR(__xludf.DUMMYFUNCTION("""COMPUTED_VALUE"""),"KZ.7700.02.01.00846991")</f>
        <v>KZ.7700.02.01.00846991</v>
      </c>
      <c r="C1917" s="1" t="str">
        <f ca="1">IFERROR(__xludf.DUMMYFUNCTION("""COMPUTED_VALUE"""),"Действительно до 09.03.2027")</f>
        <v>Действительно до 09.03.2027</v>
      </c>
      <c r="D1917" s="8" t="str">
        <f ca="1">IFERROR(__xludf.DUMMYFUNCTION("""COMPUTED_VALUE"""),"0222104KZ104")</f>
        <v>0222104KZ104</v>
      </c>
      <c r="E1917" s="1" t="str">
        <f ca="1">IFERROR(__xludf.DUMMYFUNCTION("""COMPUTED_VALUE"""),"годен до 09.03.2027 г.")</f>
        <v>годен до 09.03.2027 г.</v>
      </c>
      <c r="F1917" s="1" t="str">
        <f ca="1">IFERROR(__xludf.DUMMYFUNCTION("""COMPUTED_VALUE"""),"Бандаж лечебно–профилактический эластичный 4002 XXXXL (Болгария) - 0222104KZ104")</f>
        <v>Бандаж лечебно–профилактический эластичный 4002 XXXXL (Болгария) - 0222104KZ104</v>
      </c>
      <c r="G1917" s="1" t="str">
        <f ca="1">IFERROR(__xludf.DUMMYFUNCTION("""COMPUTED_VALUE"""),"KZ.7700.02.01.00846991 / Действительно до 09.03.2027 / 0222104KZ104 / годен до 09.03.2027 г.")</f>
        <v>KZ.7700.02.01.00846991 / Действительно до 09.03.2027 / 0222104KZ104 / годен до 09.03.2027 г.</v>
      </c>
      <c r="H1917" s="1" t="str">
        <f ca="1">IFERROR(__xludf.DUMMYFUNCTION("""COMPUTED_VALUE"""),"Бандаж лечебно–профилактический эластичный 4002 XXXXL (Болгария) KZ.7700.02.01.00846991 / Действительно до 09.03.2027 / 0222104KZ104 / годен до 09.03.2027 г.")</f>
        <v>Бандаж лечебно–профилактический эластичный 4002 XXXXL (Болгария) KZ.7700.02.01.00846991 / Действительно до 09.03.2027 / 0222104KZ104 / годен до 09.03.2027 г.</v>
      </c>
    </row>
    <row r="1918" spans="1:8" ht="12.75" x14ac:dyDescent="0.2">
      <c r="A1918" s="1" t="str">
        <f ca="1">IFERROR(__xludf.DUMMYFUNCTION("""COMPUTED_VALUE"""),"Бандаж лечебно–профилактический эластичный 4002 XS (Болгария)")</f>
        <v>Бандаж лечебно–профилактический эластичный 4002 XS (Болгария)</v>
      </c>
      <c r="B1918" s="1" t="str">
        <f ca="1">IFERROR(__xludf.DUMMYFUNCTION("""COMPUTED_VALUE"""),"KZ.7700.02.01.00846991")</f>
        <v>KZ.7700.02.01.00846991</v>
      </c>
      <c r="C1918" s="1" t="str">
        <f ca="1">IFERROR(__xludf.DUMMYFUNCTION("""COMPUTED_VALUE"""),"Действительно до 09.03.2027")</f>
        <v>Действительно до 09.03.2027</v>
      </c>
      <c r="D1918" s="8" t="str">
        <f ca="1">IFERROR(__xludf.DUMMYFUNCTION("""COMPUTED_VALUE"""),"0222104KZ104")</f>
        <v>0222104KZ104</v>
      </c>
      <c r="E1918" s="1" t="str">
        <f ca="1">IFERROR(__xludf.DUMMYFUNCTION("""COMPUTED_VALUE"""),"годен до 09.03.2027 г.")</f>
        <v>годен до 09.03.2027 г.</v>
      </c>
      <c r="F1918" s="1" t="str">
        <f ca="1">IFERROR(__xludf.DUMMYFUNCTION("""COMPUTED_VALUE"""),"Бандаж лечебно–профилактический эластичный 4002 XS (Болгария) - 0222104KZ104")</f>
        <v>Бандаж лечебно–профилактический эластичный 4002 XS (Болгария) - 0222104KZ104</v>
      </c>
      <c r="G1918" s="1" t="str">
        <f ca="1">IFERROR(__xludf.DUMMYFUNCTION("""COMPUTED_VALUE"""),"KZ.7700.02.01.00846991 / Действительно до 09.03.2027 / 0222104KZ104 / годен до 09.03.2027 г.")</f>
        <v>KZ.7700.02.01.00846991 / Действительно до 09.03.2027 / 0222104KZ104 / годен до 09.03.2027 г.</v>
      </c>
      <c r="H1918" s="1" t="str">
        <f ca="1">IFERROR(__xludf.DUMMYFUNCTION("""COMPUTED_VALUE"""),"Бандаж лечебно–профилактический эластичный 4002 XS (Болгария) KZ.7700.02.01.00846991 / Действительно до 09.03.2027 / 0222104KZ104 / годен до 09.03.2027 г.")</f>
        <v>Бандаж лечебно–профилактический эластичный 4002 XS (Болгария) KZ.7700.02.01.00846991 / Действительно до 09.03.2027 / 0222104KZ104 / годен до 09.03.2027 г.</v>
      </c>
    </row>
    <row r="1919" spans="1:8" ht="12.75" x14ac:dyDescent="0.2">
      <c r="A1919" s="1" t="str">
        <f ca="1">IFERROR(__xludf.DUMMYFUNCTION("""COMPUTED_VALUE"""),"Бандаж универсальный 4011 XS/S (Болгария)")</f>
        <v>Бандаж универсальный 4011 XS/S (Болгария)</v>
      </c>
      <c r="B1919" s="1" t="str">
        <f ca="1">IFERROR(__xludf.DUMMYFUNCTION("""COMPUTED_VALUE"""),"KZ.7700.02.01.00846658")</f>
        <v>KZ.7700.02.01.00846658</v>
      </c>
      <c r="C1919" s="1" t="str">
        <f ca="1">IFERROR(__xludf.DUMMYFUNCTION("""COMPUTED_VALUE"""),"Действительно до 09.03.2027")</f>
        <v>Действительно до 09.03.2027</v>
      </c>
      <c r="D1919" s="8" t="str">
        <f ca="1">IFERROR(__xludf.DUMMYFUNCTION("""COMPUTED_VALUE"""),"0222104KZ104")</f>
        <v>0222104KZ104</v>
      </c>
      <c r="E1919" s="1" t="str">
        <f ca="1">IFERROR(__xludf.DUMMYFUNCTION("""COMPUTED_VALUE"""),"годен до 09.03.2027 г.")</f>
        <v>годен до 09.03.2027 г.</v>
      </c>
      <c r="F1919" s="1" t="str">
        <f ca="1">IFERROR(__xludf.DUMMYFUNCTION("""COMPUTED_VALUE"""),"Бандаж универсальный 4011 XS/S (Болгария) - 0222104KZ104")</f>
        <v>Бандаж универсальный 4011 XS/S (Болгария) - 0222104KZ104</v>
      </c>
      <c r="G1919" s="1" t="str">
        <f ca="1">IFERROR(__xludf.DUMMYFUNCTION("""COMPUTED_VALUE"""),"KZ.7700.02.01.00846658 / Действительно до 09.03.2027 / 0222104KZ104 / годен до 09.03.2027 г.")</f>
        <v>KZ.7700.02.01.00846658 / Действительно до 09.03.2027 / 0222104KZ104 / годен до 09.03.2027 г.</v>
      </c>
      <c r="H1919" s="1" t="str">
        <f ca="1">IFERROR(__xludf.DUMMYFUNCTION("""COMPUTED_VALUE"""),"Бандаж универсальный 4011 XS/S (Болгария) KZ.7700.02.01.00846658 / Действительно до 09.03.2027 / 0222104KZ104 / годен до 09.03.2027 г.")</f>
        <v>Бандаж универсальный 4011 XS/S (Болгария) KZ.7700.02.01.00846658 / Действительно до 09.03.2027 / 0222104KZ104 / годен до 09.03.2027 г.</v>
      </c>
    </row>
    <row r="1920" spans="1:8" ht="12.75" x14ac:dyDescent="0.2">
      <c r="A1920" s="1" t="str">
        <f ca="1">IFERROR(__xludf.DUMMYFUNCTION("""COMPUTED_VALUE"""),"Бандаж универсальный 4011 M/L (Болгария)")</f>
        <v>Бандаж универсальный 4011 M/L (Болгария)</v>
      </c>
      <c r="B1920" s="1" t="str">
        <f ca="1">IFERROR(__xludf.DUMMYFUNCTION("""COMPUTED_VALUE"""),"KZ.7700.02.01.00846658")</f>
        <v>KZ.7700.02.01.00846658</v>
      </c>
      <c r="C1920" s="1" t="str">
        <f ca="1">IFERROR(__xludf.DUMMYFUNCTION("""COMPUTED_VALUE"""),"Действительно до 09.03.2027")</f>
        <v>Действительно до 09.03.2027</v>
      </c>
      <c r="D1920" s="8" t="str">
        <f ca="1">IFERROR(__xludf.DUMMYFUNCTION("""COMPUTED_VALUE"""),"0222104KZ104")</f>
        <v>0222104KZ104</v>
      </c>
      <c r="E1920" s="1" t="str">
        <f ca="1">IFERROR(__xludf.DUMMYFUNCTION("""COMPUTED_VALUE"""),"годен до 09.03.2027 г.")</f>
        <v>годен до 09.03.2027 г.</v>
      </c>
      <c r="F1920" s="1" t="str">
        <f ca="1">IFERROR(__xludf.DUMMYFUNCTION("""COMPUTED_VALUE"""),"Бандаж универсальный 4011 M/L (Болгария) - 0222104KZ104")</f>
        <v>Бандаж универсальный 4011 M/L (Болгария) - 0222104KZ104</v>
      </c>
      <c r="G1920" s="1" t="str">
        <f ca="1">IFERROR(__xludf.DUMMYFUNCTION("""COMPUTED_VALUE"""),"KZ.7700.02.01.00846658 / Действительно до 09.03.2027 / 0222104KZ104 / годен до 09.03.2027 г.")</f>
        <v>KZ.7700.02.01.00846658 / Действительно до 09.03.2027 / 0222104KZ104 / годен до 09.03.2027 г.</v>
      </c>
      <c r="H1920" s="1" t="str">
        <f ca="1">IFERROR(__xludf.DUMMYFUNCTION("""COMPUTED_VALUE"""),"Бандаж универсальный 4011 M/L (Болгария) KZ.7700.02.01.00846658 / Действительно до 09.03.2027 / 0222104KZ104 / годен до 09.03.2027 г.")</f>
        <v>Бандаж универсальный 4011 M/L (Болгария) KZ.7700.02.01.00846658 / Действительно до 09.03.2027 / 0222104KZ104 / годен до 09.03.2027 г.</v>
      </c>
    </row>
    <row r="1921" spans="1:8" ht="12.75" x14ac:dyDescent="0.2">
      <c r="A1921" s="1" t="str">
        <f ca="1">IFERROR(__xludf.DUMMYFUNCTION("""COMPUTED_VALUE"""),"Бандаж универсальный 4011 XL/XXL (Болгария)")</f>
        <v>Бандаж универсальный 4011 XL/XXL (Болгария)</v>
      </c>
      <c r="B1921" s="1" t="str">
        <f ca="1">IFERROR(__xludf.DUMMYFUNCTION("""COMPUTED_VALUE"""),"KZ.7700.02.01.00846658")</f>
        <v>KZ.7700.02.01.00846658</v>
      </c>
      <c r="C1921" s="1" t="str">
        <f ca="1">IFERROR(__xludf.DUMMYFUNCTION("""COMPUTED_VALUE"""),"Действительно до 09.03.2027")</f>
        <v>Действительно до 09.03.2027</v>
      </c>
      <c r="D1921" s="8" t="str">
        <f ca="1">IFERROR(__xludf.DUMMYFUNCTION("""COMPUTED_VALUE"""),"0222104KZ104")</f>
        <v>0222104KZ104</v>
      </c>
      <c r="E1921" s="1" t="str">
        <f ca="1">IFERROR(__xludf.DUMMYFUNCTION("""COMPUTED_VALUE"""),"годен до 09.03.2027 г.")</f>
        <v>годен до 09.03.2027 г.</v>
      </c>
      <c r="F1921" s="1" t="str">
        <f ca="1">IFERROR(__xludf.DUMMYFUNCTION("""COMPUTED_VALUE"""),"Бандаж универсальный 4011 XL/XXL (Болгария) - 0222104KZ104")</f>
        <v>Бандаж универсальный 4011 XL/XXL (Болгария) - 0222104KZ104</v>
      </c>
      <c r="G1921" s="1" t="str">
        <f ca="1">IFERROR(__xludf.DUMMYFUNCTION("""COMPUTED_VALUE"""),"KZ.7700.02.01.00846658 / Действительно до 09.03.2027 / 0222104KZ104 / годен до 09.03.2027 г.")</f>
        <v>KZ.7700.02.01.00846658 / Действительно до 09.03.2027 / 0222104KZ104 / годен до 09.03.2027 г.</v>
      </c>
      <c r="H1921" s="1" t="str">
        <f ca="1">IFERROR(__xludf.DUMMYFUNCTION("""COMPUTED_VALUE"""),"Бандаж универсальный 4011 XL/XXL (Болгария) KZ.7700.02.01.00846658 / Действительно до 09.03.2027 / 0222104KZ104 / годен до 09.03.2027 г.")</f>
        <v>Бандаж универсальный 4011 XL/XXL (Болгария) KZ.7700.02.01.00846658 / Действительно до 09.03.2027 / 0222104KZ104 / годен до 09.03.2027 г.</v>
      </c>
    </row>
    <row r="1922" spans="1:8" ht="12.75" x14ac:dyDescent="0.2">
      <c r="A1922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1922" s="1" t="str">
        <f ca="1">IFERROR(__xludf.DUMMYFUNCTION("""COMPUTED_VALUE"""),"KZ.7700.02.01.00846658")</f>
        <v>KZ.7700.02.01.00846658</v>
      </c>
      <c r="C1922" s="1" t="str">
        <f ca="1">IFERROR(__xludf.DUMMYFUNCTION("""COMPUTED_VALUE"""),"Действительно до 09.03.2027")</f>
        <v>Действительно до 09.03.2027</v>
      </c>
      <c r="D1922" s="8" t="str">
        <f ca="1">IFERROR(__xludf.DUMMYFUNCTION("""COMPUTED_VALUE"""),"0222104KZ104")</f>
        <v>0222104KZ104</v>
      </c>
      <c r="E1922" s="1" t="str">
        <f ca="1">IFERROR(__xludf.DUMMYFUNCTION("""COMPUTED_VALUE"""),"годен до 09.03.2027 г.")</f>
        <v>годен до 09.03.2027 г.</v>
      </c>
      <c r="F1922" s="1" t="str">
        <f ca="1">IFERROR(__xludf.DUMMYFUNCTION("""COMPUTED_VALUE"""),"Бандаж универсальный 4011 XXXL/XXXXL (Болгария) - 0222104KZ104")</f>
        <v>Бандаж универсальный 4011 XXXL/XXXXL (Болгария) - 0222104KZ104</v>
      </c>
      <c r="G1922" s="1" t="str">
        <f ca="1">IFERROR(__xludf.DUMMYFUNCTION("""COMPUTED_VALUE"""),"KZ.7700.02.01.00846658 / Действительно до 09.03.2027 / 0222104KZ104 / годен до 09.03.2027 г.")</f>
        <v>KZ.7700.02.01.00846658 / Действительно до 09.03.2027 / 0222104KZ104 / годен до 09.03.2027 г.</v>
      </c>
      <c r="H1922" s="1" t="str">
        <f ca="1">IFERROR(__xludf.DUMMYFUNCTION("""COMPUTED_VALUE"""),"Бандаж универсальный 4011 XXXL/XXXXL (Болгария) KZ.7700.02.01.00846658 / Действительно до 09.03.2027 / 0222104KZ104 / годен до 09.03.2027 г.")</f>
        <v>Бандаж универсальный 4011 XXXL/XXXXL (Болгария) KZ.7700.02.01.00846658 / Действительно до 09.03.2027 / 0222104KZ104 / годен до 09.03.2027 г.</v>
      </c>
    </row>
    <row r="1923" spans="1:8" ht="12.75" x14ac:dyDescent="0.2">
      <c r="A1923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1923" s="1" t="str">
        <f ca="1">IFERROR(__xludf.DUMMYFUNCTION("""COMPUTED_VALUE"""),"KZ.7700.02.01.00850381")</f>
        <v>KZ.7700.02.01.00850381</v>
      </c>
      <c r="C1923" s="1" t="str">
        <f ca="1">IFERROR(__xludf.DUMMYFUNCTION("""COMPUTED_VALUE"""),"Действительно до 09.03.2027")</f>
        <v>Действительно до 09.03.2027</v>
      </c>
      <c r="D1923" s="8" t="str">
        <f ca="1">IFERROR(__xludf.DUMMYFUNCTION("""COMPUTED_VALUE"""),"0222104KZ104")</f>
        <v>0222104KZ104</v>
      </c>
      <c r="E1923" s="1" t="str">
        <f ca="1">IFERROR(__xludf.DUMMYFUNCTION("""COMPUTED_VALUE"""),"годен до 09.03.2027 г.")</f>
        <v>годен до 09.03.2027 г.</v>
      </c>
      <c r="F1923" s="1" t="str">
        <f ca="1">IFERROR(__xludf.DUMMYFUNCTION("""COMPUTED_VALUE"""),"Бандаж грыжевой лево-и правосторонний 5001 XS/S (Болгария) - 0222104KZ104")</f>
        <v>Бандаж грыжевой лево-и правосторонний 5001 XS/S (Болгария) - 0222104KZ104</v>
      </c>
      <c r="G1923" s="1" t="str">
        <f ca="1">IFERROR(__xludf.DUMMYFUNCTION("""COMPUTED_VALUE"""),"KZ.7700.02.01.00850381 / Действительно до 09.03.2027 / 0222104KZ104 / годен до 09.03.2027 г.")</f>
        <v>KZ.7700.02.01.00850381 / Действительно до 09.03.2027 / 0222104KZ104 / годен до 09.03.2027 г.</v>
      </c>
      <c r="H1923" s="1" t="str">
        <f ca="1">IFERROR(__xludf.DUMMYFUNCTION("""COMPUTED_VALUE"""),"Бандаж грыжевой лево-и правосторонний 5001 XS/S (Болгария) KZ.7700.02.01.00850381 / Действительно до 09.03.2027 / 0222104KZ104 / годен до 09.03.2027 г.")</f>
        <v>Бандаж грыжевой лево-и правосторонний 5001 XS/S (Болгария) KZ.7700.02.01.00850381 / Действительно до 09.03.2027 / 0222104KZ104 / годен до 09.03.2027 г.</v>
      </c>
    </row>
    <row r="1924" spans="1:8" ht="12.75" x14ac:dyDescent="0.2">
      <c r="A1924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1924" s="1" t="str">
        <f ca="1">IFERROR(__xludf.DUMMYFUNCTION("""COMPUTED_VALUE"""),"KZ.7700.02.01.00850381")</f>
        <v>KZ.7700.02.01.00850381</v>
      </c>
      <c r="C1924" s="1" t="str">
        <f ca="1">IFERROR(__xludf.DUMMYFUNCTION("""COMPUTED_VALUE"""),"Действительно до 09.03.2027")</f>
        <v>Действительно до 09.03.2027</v>
      </c>
      <c r="D1924" s="8" t="str">
        <f ca="1">IFERROR(__xludf.DUMMYFUNCTION("""COMPUTED_VALUE"""),"0222104KZ104")</f>
        <v>0222104KZ104</v>
      </c>
      <c r="E1924" s="1" t="str">
        <f ca="1">IFERROR(__xludf.DUMMYFUNCTION("""COMPUTED_VALUE"""),"годен до 09.03.2027 г.")</f>
        <v>годен до 09.03.2027 г.</v>
      </c>
      <c r="F1924" s="1" t="str">
        <f ca="1">IFERROR(__xludf.DUMMYFUNCTION("""COMPUTED_VALUE"""),"Бандаж грыжевой лево-и правосторонний 5001 M/L (Болгария) - 0222104KZ104")</f>
        <v>Бандаж грыжевой лево-и правосторонний 5001 M/L (Болгария) - 0222104KZ104</v>
      </c>
      <c r="G1924" s="1" t="str">
        <f ca="1">IFERROR(__xludf.DUMMYFUNCTION("""COMPUTED_VALUE"""),"KZ.7700.02.01.00850381 / Действительно до 09.03.2027 / 0222104KZ104 / годен до 09.03.2027 г.")</f>
        <v>KZ.7700.02.01.00850381 / Действительно до 09.03.2027 / 0222104KZ104 / годен до 09.03.2027 г.</v>
      </c>
      <c r="H1924" s="1" t="str">
        <f ca="1">IFERROR(__xludf.DUMMYFUNCTION("""COMPUTED_VALUE"""),"Бандаж грыжевой лево-и правосторонний 5001 M/L (Болгария) KZ.7700.02.01.00850381 / Действительно до 09.03.2027 / 0222104KZ104 / годен до 09.03.2027 г.")</f>
        <v>Бандаж грыжевой лево-и правосторонний 5001 M/L (Болгария) KZ.7700.02.01.00850381 / Действительно до 09.03.2027 / 0222104KZ104 / годен до 09.03.2027 г.</v>
      </c>
    </row>
    <row r="1925" spans="1:8" ht="12.75" x14ac:dyDescent="0.2">
      <c r="A1925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1925" s="1" t="str">
        <f ca="1">IFERROR(__xludf.DUMMYFUNCTION("""COMPUTED_VALUE"""),"KZ.7700.02.01.00850381")</f>
        <v>KZ.7700.02.01.00850381</v>
      </c>
      <c r="C1925" s="1" t="str">
        <f ca="1">IFERROR(__xludf.DUMMYFUNCTION("""COMPUTED_VALUE"""),"Действительно до 09.03.2027")</f>
        <v>Действительно до 09.03.2027</v>
      </c>
      <c r="D1925" s="8" t="str">
        <f ca="1">IFERROR(__xludf.DUMMYFUNCTION("""COMPUTED_VALUE"""),"0222104KZ104")</f>
        <v>0222104KZ104</v>
      </c>
      <c r="E1925" s="1" t="str">
        <f ca="1">IFERROR(__xludf.DUMMYFUNCTION("""COMPUTED_VALUE"""),"годен до 09.03.2027 г.")</f>
        <v>годен до 09.03.2027 г.</v>
      </c>
      <c r="F1925" s="1" t="str">
        <f ca="1">IFERROR(__xludf.DUMMYFUNCTION("""COMPUTED_VALUE"""),"Бандаж грыжевой лево-и правосторонний 5001 XL/XXL (Болгария) - 0222104KZ104")</f>
        <v>Бандаж грыжевой лево-и правосторонний 5001 XL/XXL (Болгария) - 0222104KZ104</v>
      </c>
      <c r="G1925" s="1" t="str">
        <f ca="1">IFERROR(__xludf.DUMMYFUNCTION("""COMPUTED_VALUE"""),"KZ.7700.02.01.00850381 / Действительно до 09.03.2027 / 0222104KZ104 / годен до 09.03.2027 г.")</f>
        <v>KZ.7700.02.01.00850381 / Действительно до 09.03.2027 / 0222104KZ104 / годен до 09.03.2027 г.</v>
      </c>
      <c r="H1925" s="1" t="str">
        <f ca="1">IFERROR(__xludf.DUMMYFUNCTION("""COMPUTED_VALUE"""),"Бандаж грыжевой лево-и правосторонний 5001 XL/XXL (Болгария) KZ.7700.02.01.00850381 / Действительно до 09.03.2027 / 0222104KZ104 / годен до 09.03.2027 г.")</f>
        <v>Бандаж грыжевой лево-и правосторонний 5001 XL/XXL (Болгария) KZ.7700.02.01.00850381 / Действительно до 09.03.2027 / 0222104KZ104 / годен до 09.03.2027 г.</v>
      </c>
    </row>
    <row r="1926" spans="1:8" ht="12.75" x14ac:dyDescent="0.2">
      <c r="A1926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1926" s="1" t="str">
        <f ca="1">IFERROR(__xludf.DUMMYFUNCTION("""COMPUTED_VALUE"""),"KZ.7700.02.01.00850270")</f>
        <v>KZ.7700.02.01.00850270</v>
      </c>
      <c r="C1926" s="1" t="str">
        <f ca="1">IFERROR(__xludf.DUMMYFUNCTION("""COMPUTED_VALUE"""),"Действительно до 09.03.2027")</f>
        <v>Действительно до 09.03.2027</v>
      </c>
      <c r="D1926" s="8" t="str">
        <f ca="1">IFERROR(__xludf.DUMMYFUNCTION("""COMPUTED_VALUE"""),"0222104KZ104")</f>
        <v>0222104KZ104</v>
      </c>
      <c r="E1926" s="1" t="str">
        <f ca="1">IFERROR(__xludf.DUMMYFUNCTION("""COMPUTED_VALUE"""),"годен до 09.03.2027 г.")</f>
        <v>годен до 09.03.2027 г.</v>
      </c>
      <c r="F1926" s="1" t="str">
        <f ca="1">IFERROR(__xludf.DUMMYFUNCTION("""COMPUTED_VALUE"""),"Бандаж при пупочной грыже 5051 M/L (Болгария) - 0222104KZ104")</f>
        <v>Бандаж при пупочной грыже 5051 M/L (Болгария) - 0222104KZ104</v>
      </c>
      <c r="G1926" s="1" t="str">
        <f ca="1">IFERROR(__xludf.DUMMYFUNCTION("""COMPUTED_VALUE"""),"KZ.7700.02.01.00850270 / Действительно до 09.03.2027 / 0222104KZ104 / годен до 09.03.2027 г.")</f>
        <v>KZ.7700.02.01.00850270 / Действительно до 09.03.2027 / 0222104KZ104 / годен до 09.03.2027 г.</v>
      </c>
      <c r="H1926" s="1" t="str">
        <f ca="1">IFERROR(__xludf.DUMMYFUNCTION("""COMPUTED_VALUE"""),"Бандаж при пупочной грыже 5051 M/L (Болгария) KZ.7700.02.01.00850270 / Действительно до 09.03.2027 / 0222104KZ104 / годен до 09.03.2027 г.")</f>
        <v>Бандаж при пупочной грыже 5051 M/L (Болгария) KZ.7700.02.01.00850270 / Действительно до 09.03.2027 / 0222104KZ104 / годен до 09.03.2027 г.</v>
      </c>
    </row>
    <row r="1927" spans="1:8" ht="12.75" x14ac:dyDescent="0.2">
      <c r="A1927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1927" s="1" t="str">
        <f ca="1">IFERROR(__xludf.DUMMYFUNCTION("""COMPUTED_VALUE"""),"KZ.7700.02.01.00850270")</f>
        <v>KZ.7700.02.01.00850270</v>
      </c>
      <c r="C1927" s="1" t="str">
        <f ca="1">IFERROR(__xludf.DUMMYFUNCTION("""COMPUTED_VALUE"""),"Действительно до 09.03.2027")</f>
        <v>Действительно до 09.03.2027</v>
      </c>
      <c r="D1927" s="8" t="str">
        <f ca="1">IFERROR(__xludf.DUMMYFUNCTION("""COMPUTED_VALUE"""),"0222104KZ104")</f>
        <v>0222104KZ104</v>
      </c>
      <c r="E1927" s="1" t="str">
        <f ca="1">IFERROR(__xludf.DUMMYFUNCTION("""COMPUTED_VALUE"""),"годен до 09.03.2027 г.")</f>
        <v>годен до 09.03.2027 г.</v>
      </c>
      <c r="F1927" s="1" t="str">
        <f ca="1">IFERROR(__xludf.DUMMYFUNCTION("""COMPUTED_VALUE"""),"Бандаж при пупочной грыже 5051 XL/XXL (Болгария) - 0222104KZ104")</f>
        <v>Бандаж при пупочной грыже 5051 XL/XXL (Болгария) - 0222104KZ104</v>
      </c>
      <c r="G1927" s="1" t="str">
        <f ca="1">IFERROR(__xludf.DUMMYFUNCTION("""COMPUTED_VALUE"""),"KZ.7700.02.01.00850270 / Действительно до 09.03.2027 / 0222104KZ104 / годен до 09.03.2027 г.")</f>
        <v>KZ.7700.02.01.00850270 / Действительно до 09.03.2027 / 0222104KZ104 / годен до 09.03.2027 г.</v>
      </c>
      <c r="H1927" s="1" t="str">
        <f ca="1">IFERROR(__xludf.DUMMYFUNCTION("""COMPUTED_VALUE"""),"Бандаж при пупочной грыже 5051 XL/XXL (Болгария) KZ.7700.02.01.00850270 / Действительно до 09.03.2027 / 0222104KZ104 / годен до 09.03.2027 г.")</f>
        <v>Бандаж при пупочной грыже 5051 XL/XXL (Болгария) KZ.7700.02.01.00850270 / Действительно до 09.03.2027 / 0222104KZ104 / годен до 09.03.2027 г.</v>
      </c>
    </row>
    <row r="1928" spans="1:8" ht="12.75" x14ac:dyDescent="0.2">
      <c r="A1928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1928" s="1" t="str">
        <f ca="1">IFERROR(__xludf.DUMMYFUNCTION("""COMPUTED_VALUE"""),"KZ.7700.02.01.00850270")</f>
        <v>KZ.7700.02.01.00850270</v>
      </c>
      <c r="C1928" s="1" t="str">
        <f ca="1">IFERROR(__xludf.DUMMYFUNCTION("""COMPUTED_VALUE"""),"Действительно до 09.03.2027")</f>
        <v>Действительно до 09.03.2027</v>
      </c>
      <c r="D1928" s="8" t="str">
        <f ca="1">IFERROR(__xludf.DUMMYFUNCTION("""COMPUTED_VALUE"""),"0222104KZ104")</f>
        <v>0222104KZ104</v>
      </c>
      <c r="E1928" s="1" t="str">
        <f ca="1">IFERROR(__xludf.DUMMYFUNCTION("""COMPUTED_VALUE"""),"годен до 09.03.2027 г.")</f>
        <v>годен до 09.03.2027 г.</v>
      </c>
      <c r="F1928" s="1" t="str">
        <f ca="1">IFERROR(__xludf.DUMMYFUNCTION("""COMPUTED_VALUE"""),"Бандаж при пупочной грыже 5051 XXXL/XXXXL (Болгария) - 0222104KZ104")</f>
        <v>Бандаж при пупочной грыже 5051 XXXL/XXXXL (Болгария) - 0222104KZ104</v>
      </c>
      <c r="G1928" s="1" t="str">
        <f ca="1">IFERROR(__xludf.DUMMYFUNCTION("""COMPUTED_VALUE"""),"KZ.7700.02.01.00850270 / Действительно до 09.03.2027 / 0222104KZ104 / годен до 09.03.2027 г.")</f>
        <v>KZ.7700.02.01.00850270 / Действительно до 09.03.2027 / 0222104KZ104 / годен до 09.03.2027 г.</v>
      </c>
      <c r="H1928" s="1" t="str">
        <f ca="1">IFERROR(__xludf.DUMMYFUNCTION("""COMPUTED_VALUE"""),"Бандаж при пупочной грыже 5051 XXXL/XXXXL (Болгария) KZ.7700.02.01.00850270 / Действительно до 09.03.2027 / 0222104KZ104 / годен до 09.03.2027 г.")</f>
        <v>Бандаж при пупочной грыже 5051 XXXL/XXXXL (Болгария) KZ.7700.02.01.00850270 / Действительно до 09.03.2027 / 0222104KZ104 / годен до 09.03.2027 г.</v>
      </c>
    </row>
    <row r="1929" spans="1:8" ht="12.75" x14ac:dyDescent="0.2">
      <c r="A1929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1929" s="1" t="str">
        <f ca="1">IFERROR(__xludf.DUMMYFUNCTION("""COMPUTED_VALUE"""),"KZ.7700.02.01.00847598")</f>
        <v>KZ.7700.02.01.00847598</v>
      </c>
      <c r="C1929" s="1" t="str">
        <f ca="1">IFERROR(__xludf.DUMMYFUNCTION("""COMPUTED_VALUE"""),"Действительно до 09.03.2027")</f>
        <v>Действительно до 09.03.2027</v>
      </c>
      <c r="D1929" s="8" t="str">
        <f ca="1">IFERROR(__xludf.DUMMYFUNCTION("""COMPUTED_VALUE"""),"0222104KZ104")</f>
        <v>0222104KZ104</v>
      </c>
      <c r="E1929" s="1" t="str">
        <f ca="1">IFERROR(__xludf.DUMMYFUNCTION("""COMPUTED_VALUE"""),"годен до 09.03.2027 г.")</f>
        <v>годен до 09.03.2027 г.</v>
      </c>
      <c r="F1929" s="1" t="str">
        <f ca="1">IFERROR(__xludf.DUMMYFUNCTION("""COMPUTED_VALUE"""),"Бандаж на коленный сустав эластичный 6040 S (Болгария) - 0222104KZ104")</f>
        <v>Бандаж на коленный сустав эластичный 6040 S (Болгария) - 0222104KZ104</v>
      </c>
      <c r="G1929" s="1" t="str">
        <f ca="1">IFERROR(__xludf.DUMMYFUNCTION("""COMPUTED_VALUE"""),"KZ.7700.02.01.00847598 / Действительно до 09.03.2027 / 0222104KZ104 / годен до 09.03.2027 г.")</f>
        <v>KZ.7700.02.01.00847598 / Действительно до 09.03.2027 / 0222104KZ104 / годен до 09.03.2027 г.</v>
      </c>
      <c r="H1929" s="1" t="str">
        <f ca="1">IFERROR(__xludf.DUMMYFUNCTION("""COMPUTED_VALUE"""),"Бандаж на коленный сустав эластичный 6040 S (Болгария) KZ.7700.02.01.00847598 / Действительно до 09.03.2027 / 0222104KZ104 / годен до 09.03.2027 г.")</f>
        <v>Бандаж на коленный сустав эластичный 6040 S (Болгария) KZ.7700.02.01.00847598 / Действительно до 09.03.2027 / 0222104KZ104 / годен до 09.03.2027 г.</v>
      </c>
    </row>
    <row r="1930" spans="1:8" ht="12.75" x14ac:dyDescent="0.2">
      <c r="A1930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1930" s="1" t="str">
        <f ca="1">IFERROR(__xludf.DUMMYFUNCTION("""COMPUTED_VALUE"""),"KZ.7700.02.01.00847598")</f>
        <v>KZ.7700.02.01.00847598</v>
      </c>
      <c r="C1930" s="1" t="str">
        <f ca="1">IFERROR(__xludf.DUMMYFUNCTION("""COMPUTED_VALUE"""),"Действительно до 09.03.2027")</f>
        <v>Действительно до 09.03.2027</v>
      </c>
      <c r="D1930" s="8" t="str">
        <f ca="1">IFERROR(__xludf.DUMMYFUNCTION("""COMPUTED_VALUE"""),"0222104KZ104")</f>
        <v>0222104KZ104</v>
      </c>
      <c r="E1930" s="1" t="str">
        <f ca="1">IFERROR(__xludf.DUMMYFUNCTION("""COMPUTED_VALUE"""),"годен до 09.03.2027 г.")</f>
        <v>годен до 09.03.2027 г.</v>
      </c>
      <c r="F1930" s="1" t="str">
        <f ca="1">IFERROR(__xludf.DUMMYFUNCTION("""COMPUTED_VALUE"""),"Бандаж на коленный сустав эластичный 6040 M (Болгария) - 0222104KZ104")</f>
        <v>Бандаж на коленный сустав эластичный 6040 M (Болгария) - 0222104KZ104</v>
      </c>
      <c r="G1930" s="1" t="str">
        <f ca="1">IFERROR(__xludf.DUMMYFUNCTION("""COMPUTED_VALUE"""),"KZ.7700.02.01.00847598 / Действительно до 09.03.2027 / 0222104KZ104 / годен до 09.03.2027 г.")</f>
        <v>KZ.7700.02.01.00847598 / Действительно до 09.03.2027 / 0222104KZ104 / годен до 09.03.2027 г.</v>
      </c>
      <c r="H1930" s="1" t="str">
        <f ca="1">IFERROR(__xludf.DUMMYFUNCTION("""COMPUTED_VALUE"""),"Бандаж на коленный сустав эластичный 6040 M (Болгария) KZ.7700.02.01.00847598 / Действительно до 09.03.2027 / 0222104KZ104 / годен до 09.03.2027 г.")</f>
        <v>Бандаж на коленный сустав эластичный 6040 M (Болгария) KZ.7700.02.01.00847598 / Действительно до 09.03.2027 / 0222104KZ104 / годен до 09.03.2027 г.</v>
      </c>
    </row>
    <row r="1931" spans="1:8" ht="12.75" x14ac:dyDescent="0.2">
      <c r="A1931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1931" s="1" t="str">
        <f ca="1">IFERROR(__xludf.DUMMYFUNCTION("""COMPUTED_VALUE"""),"KZ.7700.02.01.00847598")</f>
        <v>KZ.7700.02.01.00847598</v>
      </c>
      <c r="C1931" s="1" t="str">
        <f ca="1">IFERROR(__xludf.DUMMYFUNCTION("""COMPUTED_VALUE"""),"Действительно до 09.03.2027")</f>
        <v>Действительно до 09.03.2027</v>
      </c>
      <c r="D1931" s="8" t="str">
        <f ca="1">IFERROR(__xludf.DUMMYFUNCTION("""COMPUTED_VALUE"""),"0222104KZ104")</f>
        <v>0222104KZ104</v>
      </c>
      <c r="E1931" s="1" t="str">
        <f ca="1">IFERROR(__xludf.DUMMYFUNCTION("""COMPUTED_VALUE"""),"годен до 09.03.2027 г.")</f>
        <v>годен до 09.03.2027 г.</v>
      </c>
      <c r="F1931" s="1" t="str">
        <f ca="1">IFERROR(__xludf.DUMMYFUNCTION("""COMPUTED_VALUE"""),"Бандаж на коленный сустав эластичный 6040 L (Болгария) - 0222104KZ104")</f>
        <v>Бандаж на коленный сустав эластичный 6040 L (Болгария) - 0222104KZ104</v>
      </c>
      <c r="G1931" s="1" t="str">
        <f ca="1">IFERROR(__xludf.DUMMYFUNCTION("""COMPUTED_VALUE"""),"KZ.7700.02.01.00847598 / Действительно до 09.03.2027 / 0222104KZ104 / годен до 09.03.2027 г.")</f>
        <v>KZ.7700.02.01.00847598 / Действительно до 09.03.2027 / 0222104KZ104 / годен до 09.03.2027 г.</v>
      </c>
      <c r="H1931" s="1" t="str">
        <f ca="1">IFERROR(__xludf.DUMMYFUNCTION("""COMPUTED_VALUE"""),"Бандаж на коленный сустав эластичный 6040 L (Болгария) KZ.7700.02.01.00847598 / Действительно до 09.03.2027 / 0222104KZ104 / годен до 09.03.2027 г.")</f>
        <v>Бандаж на коленный сустав эластичный 6040 L (Болгария) KZ.7700.02.01.00847598 / Действительно до 09.03.2027 / 0222104KZ104 / годен до 09.03.2027 г.</v>
      </c>
    </row>
    <row r="1932" spans="1:8" ht="12.75" x14ac:dyDescent="0.2">
      <c r="A1932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1932" s="1" t="str">
        <f ca="1">IFERROR(__xludf.DUMMYFUNCTION("""COMPUTED_VALUE"""),"KZ.7700.02.01.00847598")</f>
        <v>KZ.7700.02.01.00847598</v>
      </c>
      <c r="C1932" s="1" t="str">
        <f ca="1">IFERROR(__xludf.DUMMYFUNCTION("""COMPUTED_VALUE"""),"Действительно до 09.03.2027")</f>
        <v>Действительно до 09.03.2027</v>
      </c>
      <c r="D1932" s="8" t="str">
        <f ca="1">IFERROR(__xludf.DUMMYFUNCTION("""COMPUTED_VALUE"""),"0222104KZ104")</f>
        <v>0222104KZ104</v>
      </c>
      <c r="E1932" s="1" t="str">
        <f ca="1">IFERROR(__xludf.DUMMYFUNCTION("""COMPUTED_VALUE"""),"годен до 09.03.2027 г.")</f>
        <v>годен до 09.03.2027 г.</v>
      </c>
      <c r="F1932" s="1" t="str">
        <f ca="1">IFERROR(__xludf.DUMMYFUNCTION("""COMPUTED_VALUE"""),"Бандаж на коленный сустав эластичный 6040 XL (Болгария) - 0222104KZ104")</f>
        <v>Бандаж на коленный сустав эластичный 6040 XL (Болгария) - 0222104KZ104</v>
      </c>
      <c r="G1932" s="1" t="str">
        <f ca="1">IFERROR(__xludf.DUMMYFUNCTION("""COMPUTED_VALUE"""),"KZ.7700.02.01.00847598 / Действительно до 09.03.2027 / 0222104KZ104 / годен до 09.03.2027 г.")</f>
        <v>KZ.7700.02.01.00847598 / Действительно до 09.03.2027 / 0222104KZ104 / годен до 09.03.2027 г.</v>
      </c>
      <c r="H1932" s="1" t="str">
        <f ca="1">IFERROR(__xludf.DUMMYFUNCTION("""COMPUTED_VALUE"""),"Бандаж на коленный сустав эластичный 6040 XL (Болгария) KZ.7700.02.01.00847598 / Действительно до 09.03.2027 / 0222104KZ104 / годен до 09.03.2027 г.")</f>
        <v>Бандаж на коленный сустав эластичный 6040 XL (Болгария) KZ.7700.02.01.00847598 / Действительно до 09.03.2027 / 0222104KZ104 / годен до 09.03.2027 г.</v>
      </c>
    </row>
    <row r="1933" spans="1:8" ht="12.75" x14ac:dyDescent="0.2">
      <c r="A1933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1933" s="1" t="str">
        <f ca="1">IFERROR(__xludf.DUMMYFUNCTION("""COMPUTED_VALUE"""),"KZ.7700.02.01.00846657")</f>
        <v>KZ.7700.02.01.00846657</v>
      </c>
      <c r="C1933" s="1" t="str">
        <f ca="1">IFERROR(__xludf.DUMMYFUNCTION("""COMPUTED_VALUE"""),"Действительно до 09.03.2027")</f>
        <v>Действительно до 09.03.2027</v>
      </c>
      <c r="D1933" s="8" t="str">
        <f ca="1">IFERROR(__xludf.DUMMYFUNCTION("""COMPUTED_VALUE"""),"0222104KZ104")</f>
        <v>0222104KZ104</v>
      </c>
      <c r="E1933" s="1" t="str">
        <f ca="1">IFERROR(__xludf.DUMMYFUNCTION("""COMPUTED_VALUE"""),"годен до 09.03.2027 г.")</f>
        <v>годен до 09.03.2027 г.</v>
      </c>
      <c r="F1933" s="1" t="str">
        <f ca="1">IFERROR(__xludf.DUMMYFUNCTION("""COMPUTED_VALUE"""),"Бандаж на коленный сустав разъемный 6058 S\M (Болгария) - 0222104KZ104")</f>
        <v>Бандаж на коленный сустав разъемный 6058 S\M (Болгария) - 0222104KZ104</v>
      </c>
      <c r="G1933" s="1" t="str">
        <f ca="1">IFERROR(__xludf.DUMMYFUNCTION("""COMPUTED_VALUE"""),"KZ.7700.02.01.00846657 / Действительно до 09.03.2027 / 0222104KZ104 / годен до 09.03.2027 г.")</f>
        <v>KZ.7700.02.01.00846657 / Действительно до 09.03.2027 / 0222104KZ104 / годен до 09.03.2027 г.</v>
      </c>
      <c r="H1933" s="1" t="str">
        <f ca="1">IFERROR(__xludf.DUMMYFUNCTION("""COMPUTED_VALUE"""),"Бандаж на коленный сустав разъемный 6058 S\M (Болгария) KZ.7700.02.01.00846657 / Действительно до 09.03.2027 / 0222104KZ104 / годен до 09.03.2027 г.")</f>
        <v>Бандаж на коленный сустав разъемный 6058 S\M (Болгария) KZ.7700.02.01.00846657 / Действительно до 09.03.2027 / 0222104KZ104 / годен до 09.03.2027 г.</v>
      </c>
    </row>
    <row r="1934" spans="1:8" ht="12.75" x14ac:dyDescent="0.2">
      <c r="A1934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1934" s="1" t="str">
        <f ca="1">IFERROR(__xludf.DUMMYFUNCTION("""COMPUTED_VALUE"""),"KZ.7700.02.01.00846657")</f>
        <v>KZ.7700.02.01.00846657</v>
      </c>
      <c r="C1934" s="1" t="str">
        <f ca="1">IFERROR(__xludf.DUMMYFUNCTION("""COMPUTED_VALUE"""),"Действительно до 09.03.2027")</f>
        <v>Действительно до 09.03.2027</v>
      </c>
      <c r="D1934" s="8" t="str">
        <f ca="1">IFERROR(__xludf.DUMMYFUNCTION("""COMPUTED_VALUE"""),"0222104KZ104")</f>
        <v>0222104KZ104</v>
      </c>
      <c r="E1934" s="1" t="str">
        <f ca="1">IFERROR(__xludf.DUMMYFUNCTION("""COMPUTED_VALUE"""),"годен до 09.03.2027 г.")</f>
        <v>годен до 09.03.2027 г.</v>
      </c>
      <c r="F1934" s="1" t="str">
        <f ca="1">IFERROR(__xludf.DUMMYFUNCTION("""COMPUTED_VALUE"""),"Бандаж на коленный сустав разъемный 6058 L\XL (Болгария) - 0222104KZ104")</f>
        <v>Бандаж на коленный сустав разъемный 6058 L\XL (Болгария) - 0222104KZ104</v>
      </c>
      <c r="G1934" s="1" t="str">
        <f ca="1">IFERROR(__xludf.DUMMYFUNCTION("""COMPUTED_VALUE"""),"KZ.7700.02.01.00846657 / Действительно до 09.03.2027 / 0222104KZ104 / годен до 09.03.2027 г.")</f>
        <v>KZ.7700.02.01.00846657 / Действительно до 09.03.2027 / 0222104KZ104 / годен до 09.03.2027 г.</v>
      </c>
      <c r="H1934" s="1" t="str">
        <f ca="1">IFERROR(__xludf.DUMMYFUNCTION("""COMPUTED_VALUE"""),"Бандаж на коленный сустав разъемный 6058 L\XL (Болгария) KZ.7700.02.01.00846657 / Действительно до 09.03.2027 / 0222104KZ104 / годен до 09.03.2027 г.")</f>
        <v>Бандаж на коленный сустав разъемный 6058 L\XL (Болгария) KZ.7700.02.01.00846657 / Действительно до 09.03.2027 / 0222104KZ104 / годен до 09.03.2027 г.</v>
      </c>
    </row>
    <row r="1935" spans="1:8" ht="12.75" x14ac:dyDescent="0.2">
      <c r="A1935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1935" s="1" t="str">
        <f ca="1">IFERROR(__xludf.DUMMYFUNCTION("""COMPUTED_VALUE"""),"KZ.7700.02.01.00846657")</f>
        <v>KZ.7700.02.01.00846657</v>
      </c>
      <c r="C1935" s="1" t="str">
        <f ca="1">IFERROR(__xludf.DUMMYFUNCTION("""COMPUTED_VALUE"""),"Действительно до 09.03.2027")</f>
        <v>Действительно до 09.03.2027</v>
      </c>
      <c r="D1935" s="8" t="str">
        <f ca="1">IFERROR(__xludf.DUMMYFUNCTION("""COMPUTED_VALUE"""),"0222104KZ104")</f>
        <v>0222104KZ104</v>
      </c>
      <c r="E1935" s="1" t="str">
        <f ca="1">IFERROR(__xludf.DUMMYFUNCTION("""COMPUTED_VALUE"""),"годен до 09.03.2027 г.")</f>
        <v>годен до 09.03.2027 г.</v>
      </c>
      <c r="F1935" s="1" t="str">
        <f ca="1">IFERROR(__xludf.DUMMYFUNCTION("""COMPUTED_VALUE"""),"Бандаж на коленный сустав разъемный 6058 XXL (Болгария) - 0222104KZ104")</f>
        <v>Бандаж на коленный сустав разъемный 6058 XXL (Болгария) - 0222104KZ104</v>
      </c>
      <c r="G1935" s="1" t="str">
        <f ca="1">IFERROR(__xludf.DUMMYFUNCTION("""COMPUTED_VALUE"""),"KZ.7700.02.01.00846657 / Действительно до 09.03.2027 / 0222104KZ104 / годен до 09.03.2027 г.")</f>
        <v>KZ.7700.02.01.00846657 / Действительно до 09.03.2027 / 0222104KZ104 / годен до 09.03.2027 г.</v>
      </c>
      <c r="H1935" s="1" t="str">
        <f ca="1">IFERROR(__xludf.DUMMYFUNCTION("""COMPUTED_VALUE"""),"Бандаж на коленный сустав разъемный 6058 XXL (Болгария) KZ.7700.02.01.00846657 / Действительно до 09.03.2027 / 0222104KZ104 / годен до 09.03.2027 г.")</f>
        <v>Бандаж на коленный сустав разъемный 6058 XXL (Болгария) KZ.7700.02.01.00846657 / Действительно до 09.03.2027 / 0222104KZ104 / годен до 09.03.2027 г.</v>
      </c>
    </row>
    <row r="1936" spans="1:8" ht="12.75" x14ac:dyDescent="0.2">
      <c r="A1936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1936" s="1" t="str">
        <f ca="1">IFERROR(__xludf.DUMMYFUNCTION("""COMPUTED_VALUE"""),"KZ.7700.02.01.00850269")</f>
        <v>KZ.7700.02.01.00850269</v>
      </c>
      <c r="C1936" s="1" t="str">
        <f ca="1">IFERROR(__xludf.DUMMYFUNCTION("""COMPUTED_VALUE"""),"Действительно до 09.03.2027")</f>
        <v>Действительно до 09.03.2027</v>
      </c>
      <c r="D1936" s="8" t="str">
        <f ca="1">IFERROR(__xludf.DUMMYFUNCTION("""COMPUTED_VALUE"""),"0222104KZ104")</f>
        <v>0222104KZ104</v>
      </c>
      <c r="E1936" s="1" t="str">
        <f ca="1">IFERROR(__xludf.DUMMYFUNCTION("""COMPUTED_VALUE"""),"годен до 09.03.2027 г.")</f>
        <v>годен до 09.03.2027 г.</v>
      </c>
      <c r="F1936" s="1" t="str">
        <f ca="1">IFERROR(__xludf.DUMMYFUNCTION("""COMPUTED_VALUE"""),"Бандаж на голеностопный сустав легкой фиксации 7034 M (бежевый) (Болгария) - 0222104KZ104")</f>
        <v>Бандаж на голеностопный сустав легкой фиксации 7034 M (бежевый) (Болгария) - 0222104KZ104</v>
      </c>
      <c r="G1936" s="1" t="str">
        <f ca="1">IFERROR(__xludf.DUMMYFUNCTION("""COMPUTED_VALUE"""),"KZ.7700.02.01.00850269 / Действительно до 09.03.2027 / 0222104KZ104 / годен до 09.03.2027 г.")</f>
        <v>KZ.7700.02.01.00850269 / Действительно до 09.03.2027 / 0222104KZ104 / годен до 09.03.2027 г.</v>
      </c>
      <c r="H1936" s="1" t="str">
        <f ca="1">IFERROR(__xludf.DUMMYFUNCTION("""COMPUTED_VALUE"""),"Бандаж на голеностопный сустав легкой фиксации 7034 M (бежевый) (Болгария) KZ.7700.02.01.00850269 / Действительно до 09.03.2027 / 0222104KZ104 / годен до 09.03.2027 г.")</f>
        <v>Бандаж на голеностопный сустав легкой фиксации 7034 M (бежевый) (Болгария) KZ.7700.02.01.00850269 / Действительно до 09.03.2027 / 0222104KZ104 / годен до 09.03.2027 г.</v>
      </c>
    </row>
    <row r="1937" spans="1:8" ht="12.75" x14ac:dyDescent="0.2">
      <c r="A1937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1937" s="1" t="str">
        <f ca="1">IFERROR(__xludf.DUMMYFUNCTION("""COMPUTED_VALUE"""),"KZ.7700.02.01.00850269")</f>
        <v>KZ.7700.02.01.00850269</v>
      </c>
      <c r="C1937" s="1" t="str">
        <f ca="1">IFERROR(__xludf.DUMMYFUNCTION("""COMPUTED_VALUE"""),"Действительно до 09.03.2027")</f>
        <v>Действительно до 09.03.2027</v>
      </c>
      <c r="D1937" s="8" t="str">
        <f ca="1">IFERROR(__xludf.DUMMYFUNCTION("""COMPUTED_VALUE"""),"0222104KZ104")</f>
        <v>0222104KZ104</v>
      </c>
      <c r="E1937" s="1" t="str">
        <f ca="1">IFERROR(__xludf.DUMMYFUNCTION("""COMPUTED_VALUE"""),"годен до 09.03.2027 г.")</f>
        <v>годен до 09.03.2027 г.</v>
      </c>
      <c r="F1937" s="1" t="str">
        <f ca="1">IFERROR(__xludf.DUMMYFUNCTION("""COMPUTED_VALUE"""),"Бандаж на голеностопный сустав легкой фиксации 7034 XL (бежевый) (Болгария) - 0222104KZ104")</f>
        <v>Бандаж на голеностопный сустав легкой фиксации 7034 XL (бежевый) (Болгария) - 0222104KZ104</v>
      </c>
      <c r="G1937" s="1" t="str">
        <f ca="1">IFERROR(__xludf.DUMMYFUNCTION("""COMPUTED_VALUE"""),"KZ.7700.02.01.00850269 / Действительно до 09.03.2027 / 0222104KZ104 / годен до 09.03.2027 г.")</f>
        <v>KZ.7700.02.01.00850269 / Действительно до 09.03.2027 / 0222104KZ104 / годен до 09.03.2027 г.</v>
      </c>
      <c r="H1937" s="1" t="str">
        <f ca="1">IFERROR(__xludf.DUMMYFUNCTION("""COMPUTED_VALUE"""),"Бандаж на голеностопный сустав легкой фиксации 7034 XL (бежевый) (Болгария) KZ.7700.02.01.00850269 / Действительно до 09.03.2027 / 0222104KZ104 / годен до 09.03.2027 г.")</f>
        <v>Бандаж на голеностопный сустав легкой фиксации 7034 XL (бежевый) (Болгария) KZ.7700.02.01.00850269 / Действительно до 09.03.2027 / 0222104KZ104 / годен до 09.03.2027 г.</v>
      </c>
    </row>
    <row r="1938" spans="1:8" ht="12.75" x14ac:dyDescent="0.2">
      <c r="A1938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1938" s="1" t="str">
        <f ca="1">IFERROR(__xludf.DUMMYFUNCTION("""COMPUTED_VALUE"""),"KZ.7700.02.01.00846674")</f>
        <v>KZ.7700.02.01.00846674</v>
      </c>
      <c r="C1938" s="1" t="str">
        <f ca="1">IFERROR(__xludf.DUMMYFUNCTION("""COMPUTED_VALUE"""),"Действительно до 09.03.2027")</f>
        <v>Действительно до 09.03.2027</v>
      </c>
      <c r="D1938" s="8" t="str">
        <f ca="1">IFERROR(__xludf.DUMMYFUNCTION("""COMPUTED_VALUE"""),"0222104KZ104")</f>
        <v>0222104KZ104</v>
      </c>
      <c r="E1938" s="1" t="str">
        <f ca="1">IFERROR(__xludf.DUMMYFUNCTION("""COMPUTED_VALUE"""),"годен до 09.03.2027 г.")</f>
        <v>годен до 09.03.2027 г.</v>
      </c>
      <c r="F1938" s="1" t="str">
        <f ca="1">IFERROR(__xludf.DUMMYFUNCTION("""COMPUTED_VALUE"""),"Бандаж на голеностопный сустав эластичный 7035 S (Болгария) - 0222104KZ104")</f>
        <v>Бандаж на голеностопный сустав эластичный 7035 S (Болгария) - 0222104KZ104</v>
      </c>
      <c r="G1938" s="1" t="str">
        <f ca="1">IFERROR(__xludf.DUMMYFUNCTION("""COMPUTED_VALUE"""),"KZ.7700.02.01.00846674 / Действительно до 09.03.2027 / 0222104KZ104 / годен до 09.03.2027 г.")</f>
        <v>KZ.7700.02.01.00846674 / Действительно до 09.03.2027 / 0222104KZ104 / годен до 09.03.2027 г.</v>
      </c>
      <c r="H1938" s="1" t="str">
        <f ca="1">IFERROR(__xludf.DUMMYFUNCTION("""COMPUTED_VALUE"""),"Бандаж на голеностопный сустав эластичный 7035 S (Болгария) KZ.7700.02.01.00846674 / Действительно до 09.03.2027 / 0222104KZ104 / годен до 09.03.2027 г.")</f>
        <v>Бандаж на голеностопный сустав эластичный 7035 S (Болгария) KZ.7700.02.01.00846674 / Действительно до 09.03.2027 / 0222104KZ104 / годен до 09.03.2027 г.</v>
      </c>
    </row>
    <row r="1939" spans="1:8" ht="12.75" x14ac:dyDescent="0.2">
      <c r="A1939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1939" s="1" t="str">
        <f ca="1">IFERROR(__xludf.DUMMYFUNCTION("""COMPUTED_VALUE"""),"KZ.7700.02.01.00846674")</f>
        <v>KZ.7700.02.01.00846674</v>
      </c>
      <c r="C1939" s="1" t="str">
        <f ca="1">IFERROR(__xludf.DUMMYFUNCTION("""COMPUTED_VALUE"""),"Действительно до 09.03.2027")</f>
        <v>Действительно до 09.03.2027</v>
      </c>
      <c r="D1939" s="8" t="str">
        <f ca="1">IFERROR(__xludf.DUMMYFUNCTION("""COMPUTED_VALUE"""),"0222104KZ104")</f>
        <v>0222104KZ104</v>
      </c>
      <c r="E1939" s="1" t="str">
        <f ca="1">IFERROR(__xludf.DUMMYFUNCTION("""COMPUTED_VALUE"""),"годен до 09.03.2027 г.")</f>
        <v>годен до 09.03.2027 г.</v>
      </c>
      <c r="F1939" s="1" t="str">
        <f ca="1">IFERROR(__xludf.DUMMYFUNCTION("""COMPUTED_VALUE"""),"Бандаж на голеностопный сустав эластичный 7035 M (Болгария) - 0222104KZ104")</f>
        <v>Бандаж на голеностопный сустав эластичный 7035 M (Болгария) - 0222104KZ104</v>
      </c>
      <c r="G1939" s="1" t="str">
        <f ca="1">IFERROR(__xludf.DUMMYFUNCTION("""COMPUTED_VALUE"""),"KZ.7700.02.01.00846674 / Действительно до 09.03.2027 / 0222104KZ104 / годен до 09.03.2027 г.")</f>
        <v>KZ.7700.02.01.00846674 / Действительно до 09.03.2027 / 0222104KZ104 / годен до 09.03.2027 г.</v>
      </c>
      <c r="H1939" s="1" t="str">
        <f ca="1">IFERROR(__xludf.DUMMYFUNCTION("""COMPUTED_VALUE"""),"Бандаж на голеностопный сустав эластичный 7035 M (Болгария) KZ.7700.02.01.00846674 / Действительно до 09.03.2027 / 0222104KZ104 / годен до 09.03.2027 г.")</f>
        <v>Бандаж на голеностопный сустав эластичный 7035 M (Болгария) KZ.7700.02.01.00846674 / Действительно до 09.03.2027 / 0222104KZ104 / годен до 09.03.2027 г.</v>
      </c>
    </row>
    <row r="1940" spans="1:8" ht="12.75" x14ac:dyDescent="0.2">
      <c r="A1940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1940" s="1" t="str">
        <f ca="1">IFERROR(__xludf.DUMMYFUNCTION("""COMPUTED_VALUE"""),"KZ.7700.02.01.00846674")</f>
        <v>KZ.7700.02.01.00846674</v>
      </c>
      <c r="C1940" s="1" t="str">
        <f ca="1">IFERROR(__xludf.DUMMYFUNCTION("""COMPUTED_VALUE"""),"Действительно до 09.03.2027")</f>
        <v>Действительно до 09.03.2027</v>
      </c>
      <c r="D1940" s="8" t="str">
        <f ca="1">IFERROR(__xludf.DUMMYFUNCTION("""COMPUTED_VALUE"""),"0222104KZ104")</f>
        <v>0222104KZ104</v>
      </c>
      <c r="E1940" s="1" t="str">
        <f ca="1">IFERROR(__xludf.DUMMYFUNCTION("""COMPUTED_VALUE"""),"годен до 09.03.2027 г.")</f>
        <v>годен до 09.03.2027 г.</v>
      </c>
      <c r="F1940" s="1" t="str">
        <f ca="1">IFERROR(__xludf.DUMMYFUNCTION("""COMPUTED_VALUE"""),"Бандаж на голеностопный сустав эластичный 7035 L (Болгария) - 0222104KZ104")</f>
        <v>Бандаж на голеностопный сустав эластичный 7035 L (Болгария) - 0222104KZ104</v>
      </c>
      <c r="G1940" s="1" t="str">
        <f ca="1">IFERROR(__xludf.DUMMYFUNCTION("""COMPUTED_VALUE"""),"KZ.7700.02.01.00846674 / Действительно до 09.03.2027 / 0222104KZ104 / годен до 09.03.2027 г.")</f>
        <v>KZ.7700.02.01.00846674 / Действительно до 09.03.2027 / 0222104KZ104 / годен до 09.03.2027 г.</v>
      </c>
      <c r="H1940" s="1" t="str">
        <f ca="1">IFERROR(__xludf.DUMMYFUNCTION("""COMPUTED_VALUE"""),"Бандаж на голеностопный сустав эластичный 7035 L (Болгария) KZ.7700.02.01.00846674 / Действительно до 09.03.2027 / 0222104KZ104 / годен до 09.03.2027 г.")</f>
        <v>Бандаж на голеностопный сустав эластичный 7035 L (Болгария) KZ.7700.02.01.00846674 / Действительно до 09.03.2027 / 0222104KZ104 / годен до 09.03.2027 г.</v>
      </c>
    </row>
    <row r="1941" spans="1:8" ht="12.75" x14ac:dyDescent="0.2">
      <c r="A1941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1941" s="1" t="str">
        <f ca="1">IFERROR(__xludf.DUMMYFUNCTION("""COMPUTED_VALUE"""),"KZ.7700.02.01.00846674")</f>
        <v>KZ.7700.02.01.00846674</v>
      </c>
      <c r="C1941" s="1" t="str">
        <f ca="1">IFERROR(__xludf.DUMMYFUNCTION("""COMPUTED_VALUE"""),"Действительно до 09.03.2027")</f>
        <v>Действительно до 09.03.2027</v>
      </c>
      <c r="D1941" s="8" t="str">
        <f ca="1">IFERROR(__xludf.DUMMYFUNCTION("""COMPUTED_VALUE"""),"0222104KZ104")</f>
        <v>0222104KZ104</v>
      </c>
      <c r="E1941" s="1" t="str">
        <f ca="1">IFERROR(__xludf.DUMMYFUNCTION("""COMPUTED_VALUE"""),"годен до 09.03.2027 г.")</f>
        <v>годен до 09.03.2027 г.</v>
      </c>
      <c r="F1941" s="1" t="str">
        <f ca="1">IFERROR(__xludf.DUMMYFUNCTION("""COMPUTED_VALUE"""),"Бандаж на голеностопный сустав эластичный 7035 XL (Болгария) - 0222104KZ104")</f>
        <v>Бандаж на голеностопный сустав эластичный 7035 XL (Болгария) - 0222104KZ104</v>
      </c>
      <c r="G1941" s="1" t="str">
        <f ca="1">IFERROR(__xludf.DUMMYFUNCTION("""COMPUTED_VALUE"""),"KZ.7700.02.01.00846674 / Действительно до 09.03.2027 / 0222104KZ104 / годен до 09.03.2027 г.")</f>
        <v>KZ.7700.02.01.00846674 / Действительно до 09.03.2027 / 0222104KZ104 / годен до 09.03.2027 г.</v>
      </c>
      <c r="H1941" s="1" t="str">
        <f ca="1">IFERROR(__xludf.DUMMYFUNCTION("""COMPUTED_VALUE"""),"Бандаж на голеностопный сустав эластичный 7035 XL (Болгария) KZ.7700.02.01.00846674 / Действительно до 09.03.2027 / 0222104KZ104 / годен до 09.03.2027 г.")</f>
        <v>Бандаж на голеностопный сустав эластичный 7035 XL (Болгария) KZ.7700.02.01.00846674 / Действительно до 09.03.2027 / 0222104KZ104 / годен до 09.03.2027 г.</v>
      </c>
    </row>
    <row r="1942" spans="1:8" ht="12.75" x14ac:dyDescent="0.2">
      <c r="A1942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1942" s="1" t="str">
        <f ca="1">IFERROR(__xludf.DUMMYFUNCTION("""COMPUTED_VALUE"""),"KZ.7700.02.01.00850268")</f>
        <v>KZ.7700.02.01.00850268</v>
      </c>
      <c r="C1942" s="1" t="str">
        <f ca="1">IFERROR(__xludf.DUMMYFUNCTION("""COMPUTED_VALUE"""),"Действительно до 09.03.2027")</f>
        <v>Действительно до 09.03.2027</v>
      </c>
      <c r="D1942" s="8" t="str">
        <f ca="1">IFERROR(__xludf.DUMMYFUNCTION("""COMPUTED_VALUE"""),"0222104KZ104")</f>
        <v>0222104KZ104</v>
      </c>
      <c r="E1942" s="1" t="str">
        <f ca="1">IFERROR(__xludf.DUMMYFUNCTION("""COMPUTED_VALUE"""),"годен до 09.03.2027 г.")</f>
        <v>годен до 09.03.2027 г.</v>
      </c>
      <c r="F1942" s="1" t="str">
        <f ca="1">IFERROR(__xludf.DUMMYFUNCTION("""COMPUTED_VALUE"""),"Бандаж на локтевой сустав эластичный 8317 S (Болгария) - 0222104KZ104")</f>
        <v>Бандаж на локтевой сустав эластичный 8317 S (Болгария) - 0222104KZ104</v>
      </c>
      <c r="G1942" s="1" t="str">
        <f ca="1">IFERROR(__xludf.DUMMYFUNCTION("""COMPUTED_VALUE"""),"KZ.7700.02.01.00850268 / Действительно до 09.03.2027 / 0222104KZ104 / годен до 09.03.2027 г.")</f>
        <v>KZ.7700.02.01.00850268 / Действительно до 09.03.2027 / 0222104KZ104 / годен до 09.03.2027 г.</v>
      </c>
      <c r="H1942" s="1" t="str">
        <f ca="1">IFERROR(__xludf.DUMMYFUNCTION("""COMPUTED_VALUE"""),"Бандаж на локтевой сустав эластичный 8317 S (Болгария) KZ.7700.02.01.00850268 / Действительно до 09.03.2027 / 0222104KZ104 / годен до 09.03.2027 г.")</f>
        <v>Бандаж на локтевой сустав эластичный 8317 S (Болгария) KZ.7700.02.01.00850268 / Действительно до 09.03.2027 / 0222104KZ104 / годен до 09.03.2027 г.</v>
      </c>
    </row>
    <row r="1943" spans="1:8" ht="12.75" x14ac:dyDescent="0.2">
      <c r="A1943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1943" s="1" t="str">
        <f ca="1">IFERROR(__xludf.DUMMYFUNCTION("""COMPUTED_VALUE"""),"KZ.7700.02.01.00850268")</f>
        <v>KZ.7700.02.01.00850268</v>
      </c>
      <c r="C1943" s="1" t="str">
        <f ca="1">IFERROR(__xludf.DUMMYFUNCTION("""COMPUTED_VALUE"""),"Действительно до 09.03.2027")</f>
        <v>Действительно до 09.03.2027</v>
      </c>
      <c r="D1943" s="8" t="str">
        <f ca="1">IFERROR(__xludf.DUMMYFUNCTION("""COMPUTED_VALUE"""),"0222104KZ104")</f>
        <v>0222104KZ104</v>
      </c>
      <c r="E1943" s="1" t="str">
        <f ca="1">IFERROR(__xludf.DUMMYFUNCTION("""COMPUTED_VALUE"""),"годен до 09.03.2027 г.")</f>
        <v>годен до 09.03.2027 г.</v>
      </c>
      <c r="F1943" s="1" t="str">
        <f ca="1">IFERROR(__xludf.DUMMYFUNCTION("""COMPUTED_VALUE"""),"Бандаж на локтевой сустав эластичный 8317 M (Болгария) - 0222104KZ104")</f>
        <v>Бандаж на локтевой сустав эластичный 8317 M (Болгария) - 0222104KZ104</v>
      </c>
      <c r="G1943" s="1" t="str">
        <f ca="1">IFERROR(__xludf.DUMMYFUNCTION("""COMPUTED_VALUE"""),"KZ.7700.02.01.00850268 / Действительно до 09.03.2027 / 0222104KZ104 / годен до 09.03.2027 г.")</f>
        <v>KZ.7700.02.01.00850268 / Действительно до 09.03.2027 / 0222104KZ104 / годен до 09.03.2027 г.</v>
      </c>
      <c r="H1943" s="1" t="str">
        <f ca="1">IFERROR(__xludf.DUMMYFUNCTION("""COMPUTED_VALUE"""),"Бандаж на локтевой сустав эластичный 8317 M (Болгария) KZ.7700.02.01.00850268 / Действительно до 09.03.2027 / 0222104KZ104 / годен до 09.03.2027 г.")</f>
        <v>Бандаж на локтевой сустав эластичный 8317 M (Болгария) KZ.7700.02.01.00850268 / Действительно до 09.03.2027 / 0222104KZ104 / годен до 09.03.2027 г.</v>
      </c>
    </row>
    <row r="1944" spans="1:8" ht="12.75" x14ac:dyDescent="0.2">
      <c r="A1944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1944" s="1" t="str">
        <f ca="1">IFERROR(__xludf.DUMMYFUNCTION("""COMPUTED_VALUE"""),"KZ.7700.02.01.00850268")</f>
        <v>KZ.7700.02.01.00850268</v>
      </c>
      <c r="C1944" s="1" t="str">
        <f ca="1">IFERROR(__xludf.DUMMYFUNCTION("""COMPUTED_VALUE"""),"Действительно до 09.03.2027")</f>
        <v>Действительно до 09.03.2027</v>
      </c>
      <c r="D1944" s="8" t="str">
        <f ca="1">IFERROR(__xludf.DUMMYFUNCTION("""COMPUTED_VALUE"""),"0222104KZ104")</f>
        <v>0222104KZ104</v>
      </c>
      <c r="E1944" s="1" t="str">
        <f ca="1">IFERROR(__xludf.DUMMYFUNCTION("""COMPUTED_VALUE"""),"годен до 09.03.2027 г.")</f>
        <v>годен до 09.03.2027 г.</v>
      </c>
      <c r="F1944" s="1" t="str">
        <f ca="1">IFERROR(__xludf.DUMMYFUNCTION("""COMPUTED_VALUE"""),"Бандаж на локтевой сустав эластичный 8317 L (Болгария) - 0222104KZ104")</f>
        <v>Бандаж на локтевой сустав эластичный 8317 L (Болгария) - 0222104KZ104</v>
      </c>
      <c r="G1944" s="1" t="str">
        <f ca="1">IFERROR(__xludf.DUMMYFUNCTION("""COMPUTED_VALUE"""),"KZ.7700.02.01.00850268 / Действительно до 09.03.2027 / 0222104KZ104 / годен до 09.03.2027 г.")</f>
        <v>KZ.7700.02.01.00850268 / Действительно до 09.03.2027 / 0222104KZ104 / годен до 09.03.2027 г.</v>
      </c>
      <c r="H1944" s="1" t="str">
        <f ca="1">IFERROR(__xludf.DUMMYFUNCTION("""COMPUTED_VALUE"""),"Бандаж на локтевой сустав эластичный 8317 L (Болгария) KZ.7700.02.01.00850268 / Действительно до 09.03.2027 / 0222104KZ104 / годен до 09.03.2027 г.")</f>
        <v>Бандаж на локтевой сустав эластичный 8317 L (Болгария) KZ.7700.02.01.00850268 / Действительно до 09.03.2027 / 0222104KZ104 / годен до 09.03.2027 г.</v>
      </c>
    </row>
    <row r="1945" spans="1:8" ht="12.75" x14ac:dyDescent="0.2">
      <c r="A1945" s="1" t="str">
        <f ca="1">IFERROR(__xludf.DUMMYFUNCTION("""COMPUTED_VALUE"""),"Бандаж на локтевой сустав эластичный 8317 XL (Болгария)")</f>
        <v>Бандаж на локтевой сустав эластичный 8317 XL (Болгария)</v>
      </c>
      <c r="B1945" s="1" t="str">
        <f ca="1">IFERROR(__xludf.DUMMYFUNCTION("""COMPUTED_VALUE"""),"KZ.7700.02.01.00850268")</f>
        <v>KZ.7700.02.01.00850268</v>
      </c>
      <c r="C1945" s="1" t="str">
        <f ca="1">IFERROR(__xludf.DUMMYFUNCTION("""COMPUTED_VALUE"""),"Действительно до 09.03.2027")</f>
        <v>Действительно до 09.03.2027</v>
      </c>
      <c r="D1945" s="8" t="str">
        <f ca="1">IFERROR(__xludf.DUMMYFUNCTION("""COMPUTED_VALUE"""),"0222104KZ104")</f>
        <v>0222104KZ104</v>
      </c>
      <c r="E1945" s="1" t="str">
        <f ca="1">IFERROR(__xludf.DUMMYFUNCTION("""COMPUTED_VALUE"""),"годен до 09.03.2027 г.")</f>
        <v>годен до 09.03.2027 г.</v>
      </c>
      <c r="F1945" s="1" t="str">
        <f ca="1">IFERROR(__xludf.DUMMYFUNCTION("""COMPUTED_VALUE"""),"Бандаж на локтевой сустав эластичный 8317 XL (Болгария) - 0222104KZ104")</f>
        <v>Бандаж на локтевой сустав эластичный 8317 XL (Болгария) - 0222104KZ104</v>
      </c>
      <c r="G1945" s="1" t="str">
        <f ca="1">IFERROR(__xludf.DUMMYFUNCTION("""COMPUTED_VALUE"""),"KZ.7700.02.01.00850268 / Действительно до 09.03.2027 / 0222104KZ104 / годен до 09.03.2027 г.")</f>
        <v>KZ.7700.02.01.00850268 / Действительно до 09.03.2027 / 0222104KZ104 / годен до 09.03.2027 г.</v>
      </c>
      <c r="H1945" s="1" t="str">
        <f ca="1">IFERROR(__xludf.DUMMYFUNCTION("""COMPUTED_VALUE"""),"Бандаж на локтевой сустав эластичный 8317 XL (Болгария) KZ.7700.02.01.00850268 / Действительно до 09.03.2027 / 0222104KZ104 / годен до 09.03.2027 г.")</f>
        <v>Бандаж на локтевой сустав эластичный 8317 XL (Болгария) KZ.7700.02.01.00850268 / Действительно до 09.03.2027 / 0222104KZ104 / годен до 09.03.2027 г.</v>
      </c>
    </row>
    <row r="1946" spans="1:8" ht="12.75" x14ac:dyDescent="0.2">
      <c r="A1946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1946" s="1" t="str">
        <f ca="1">IFERROR(__xludf.DUMMYFUNCTION("""COMPUTED_VALUE"""),"KZ.7700.02.01.00846990")</f>
        <v>KZ.7700.02.01.00846990</v>
      </c>
      <c r="C1946" s="1" t="str">
        <f ca="1">IFERROR(__xludf.DUMMYFUNCTION("""COMPUTED_VALUE"""),"Действительно до 09.03.2027")</f>
        <v>Действительно до 09.03.2027</v>
      </c>
      <c r="D1946" s="8" t="str">
        <f ca="1">IFERROR(__xludf.DUMMYFUNCTION("""COMPUTED_VALUE"""),"0222104KZ104")</f>
        <v>0222104KZ104</v>
      </c>
      <c r="E1946" s="1" t="str">
        <f ca="1">IFERROR(__xludf.DUMMYFUNCTION("""COMPUTED_VALUE"""),"годен до 09.03.2027 г.")</f>
        <v>годен до 09.03.2027 г.</v>
      </c>
      <c r="F1946" s="1" t="str">
        <f ca="1">IFERROR(__xludf.DUMMYFUNCTION("""COMPUTED_VALUE"""),"Бандаж на лучезапястный сустав эластичный 8503 S (Болгария) - 0222104KZ104")</f>
        <v>Бандаж на лучезапястный сустав эластичный 8503 S (Болгария) - 0222104KZ104</v>
      </c>
      <c r="G1946" s="1" t="str">
        <f ca="1">IFERROR(__xludf.DUMMYFUNCTION("""COMPUTED_VALUE"""),"KZ.7700.02.01.00846990 / Действительно до 09.03.2027 / 0222104KZ104 / годен до 09.03.2027 г.")</f>
        <v>KZ.7700.02.01.00846990 / Действительно до 09.03.2027 / 0222104KZ104 / годен до 09.03.2027 г.</v>
      </c>
      <c r="H1946" s="1" t="str">
        <f ca="1">IFERROR(__xludf.DUMMYFUNCTION("""COMPUTED_VALUE"""),"Бандаж на лучезапястный сустав эластичный 8503 S (Болгария) KZ.7700.02.01.00846990 / Действительно до 09.03.2027 / 0222104KZ104 / годен до 09.03.2027 г.")</f>
        <v>Бандаж на лучезапястный сустав эластичный 8503 S (Болгария) KZ.7700.02.01.00846990 / Действительно до 09.03.2027 / 0222104KZ104 / годен до 09.03.2027 г.</v>
      </c>
    </row>
    <row r="1947" spans="1:8" ht="12.75" x14ac:dyDescent="0.2">
      <c r="A1947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1947" s="1" t="str">
        <f ca="1">IFERROR(__xludf.DUMMYFUNCTION("""COMPUTED_VALUE"""),"KZ.7700.02.01.00846990")</f>
        <v>KZ.7700.02.01.00846990</v>
      </c>
      <c r="C1947" s="1" t="str">
        <f ca="1">IFERROR(__xludf.DUMMYFUNCTION("""COMPUTED_VALUE"""),"Действительно до 09.03.2027")</f>
        <v>Действительно до 09.03.2027</v>
      </c>
      <c r="D1947" s="8" t="str">
        <f ca="1">IFERROR(__xludf.DUMMYFUNCTION("""COMPUTED_VALUE"""),"0222104KZ104")</f>
        <v>0222104KZ104</v>
      </c>
      <c r="E1947" s="1" t="str">
        <f ca="1">IFERROR(__xludf.DUMMYFUNCTION("""COMPUTED_VALUE"""),"годен до 09.03.2027 г.")</f>
        <v>годен до 09.03.2027 г.</v>
      </c>
      <c r="F1947" s="1" t="str">
        <f ca="1">IFERROR(__xludf.DUMMYFUNCTION("""COMPUTED_VALUE"""),"Бандаж на лучезапястный сустав эластичный 8503 M (Болгария) - 0222104KZ104")</f>
        <v>Бандаж на лучезапястный сустав эластичный 8503 M (Болгария) - 0222104KZ104</v>
      </c>
      <c r="G1947" s="1" t="str">
        <f ca="1">IFERROR(__xludf.DUMMYFUNCTION("""COMPUTED_VALUE"""),"KZ.7700.02.01.00846990 / Действительно до 09.03.2027 / 0222104KZ104 / годен до 09.03.2027 г.")</f>
        <v>KZ.7700.02.01.00846990 / Действительно до 09.03.2027 / 0222104KZ104 / годен до 09.03.2027 г.</v>
      </c>
      <c r="H1947" s="1" t="str">
        <f ca="1">IFERROR(__xludf.DUMMYFUNCTION("""COMPUTED_VALUE"""),"Бандаж на лучезапястный сустав эластичный 8503 M (Болгария) KZ.7700.02.01.00846990 / Действительно до 09.03.2027 / 0222104KZ104 / годен до 09.03.2027 г.")</f>
        <v>Бандаж на лучезапястный сустав эластичный 8503 M (Болгария) KZ.7700.02.01.00846990 / Действительно до 09.03.2027 / 0222104KZ104 / годен до 09.03.2027 г.</v>
      </c>
    </row>
    <row r="1948" spans="1:8" ht="12.75" x14ac:dyDescent="0.2">
      <c r="A1948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1948" s="1" t="str">
        <f ca="1">IFERROR(__xludf.DUMMYFUNCTION("""COMPUTED_VALUE"""),"KZ.7700.02.01.00846990")</f>
        <v>KZ.7700.02.01.00846990</v>
      </c>
      <c r="C1948" s="1" t="str">
        <f ca="1">IFERROR(__xludf.DUMMYFUNCTION("""COMPUTED_VALUE"""),"Действительно до 09.03.2027")</f>
        <v>Действительно до 09.03.2027</v>
      </c>
      <c r="D1948" s="8" t="str">
        <f ca="1">IFERROR(__xludf.DUMMYFUNCTION("""COMPUTED_VALUE"""),"0222104KZ104")</f>
        <v>0222104KZ104</v>
      </c>
      <c r="E1948" s="1" t="str">
        <f ca="1">IFERROR(__xludf.DUMMYFUNCTION("""COMPUTED_VALUE"""),"годен до 09.03.2027 г.")</f>
        <v>годен до 09.03.2027 г.</v>
      </c>
      <c r="F1948" s="1" t="str">
        <f ca="1">IFERROR(__xludf.DUMMYFUNCTION("""COMPUTED_VALUE"""),"Бандаж на лучезапястный сустав эластичный 8503 L (Болгария) - 0222104KZ104")</f>
        <v>Бандаж на лучезапястный сустав эластичный 8503 L (Болгария) - 0222104KZ104</v>
      </c>
      <c r="G1948" s="1" t="str">
        <f ca="1">IFERROR(__xludf.DUMMYFUNCTION("""COMPUTED_VALUE"""),"KZ.7700.02.01.00846990 / Действительно до 09.03.2027 / 0222104KZ104 / годен до 09.03.2027 г.")</f>
        <v>KZ.7700.02.01.00846990 / Действительно до 09.03.2027 / 0222104KZ104 / годен до 09.03.2027 г.</v>
      </c>
      <c r="H1948" s="1" t="str">
        <f ca="1">IFERROR(__xludf.DUMMYFUNCTION("""COMPUTED_VALUE"""),"Бандаж на лучезапястный сустав эластичный 8503 L (Болгария) KZ.7700.02.01.00846990 / Действительно до 09.03.2027 / 0222104KZ104 / годен до 09.03.2027 г.")</f>
        <v>Бандаж на лучезапястный сустав эластичный 8503 L (Болгария) KZ.7700.02.01.00846990 / Действительно до 09.03.2027 / 0222104KZ104 / годен до 09.03.2027 г.</v>
      </c>
    </row>
    <row r="1949" spans="1:8" ht="12.75" x14ac:dyDescent="0.2">
      <c r="A1949" s="1" t="str">
        <f ca="1">IFERROR(__xludf.DUMMYFUNCTION("""COMPUTED_VALUE"""),"Бандаж на лучезапястный сустав эластичный 8503 XL (Болгария)")</f>
        <v>Бандаж на лучезапястный сустав эластичный 8503 XL (Болгария)</v>
      </c>
      <c r="B1949" s="1" t="str">
        <f ca="1">IFERROR(__xludf.DUMMYFUNCTION("""COMPUTED_VALUE"""),"KZ.7700.02.01.00846990")</f>
        <v>KZ.7700.02.01.00846990</v>
      </c>
      <c r="C1949" s="1" t="str">
        <f ca="1">IFERROR(__xludf.DUMMYFUNCTION("""COMPUTED_VALUE"""),"Действительно до 09.03.2027")</f>
        <v>Действительно до 09.03.2027</v>
      </c>
      <c r="D1949" s="8" t="str">
        <f ca="1">IFERROR(__xludf.DUMMYFUNCTION("""COMPUTED_VALUE"""),"0222104KZ104")</f>
        <v>0222104KZ104</v>
      </c>
      <c r="E1949" s="1" t="str">
        <f ca="1">IFERROR(__xludf.DUMMYFUNCTION("""COMPUTED_VALUE"""),"годен до 09.03.2027 г.")</f>
        <v>годен до 09.03.2027 г.</v>
      </c>
      <c r="F1949" s="1" t="str">
        <f ca="1">IFERROR(__xludf.DUMMYFUNCTION("""COMPUTED_VALUE"""),"Бандаж на лучезапястный сустав эластичный 8503 XL (Болгария) - 0222104KZ104")</f>
        <v>Бандаж на лучезапястный сустав эластичный 8503 XL (Болгария) - 0222104KZ104</v>
      </c>
      <c r="G1949" s="1" t="str">
        <f ca="1">IFERROR(__xludf.DUMMYFUNCTION("""COMPUTED_VALUE"""),"KZ.7700.02.01.00846990 / Действительно до 09.03.2027 / 0222104KZ104 / годен до 09.03.2027 г.")</f>
        <v>KZ.7700.02.01.00846990 / Действительно до 09.03.2027 / 0222104KZ104 / годен до 09.03.2027 г.</v>
      </c>
      <c r="H1949" s="1" t="str">
        <f ca="1">IFERROR(__xludf.DUMMYFUNCTION("""COMPUTED_VALUE"""),"Бандаж на лучезапястный сустав эластичный 8503 XL (Болгария) KZ.7700.02.01.00846990 / Действительно до 09.03.2027 / 0222104KZ104 / годен до 09.03.2027 г.")</f>
        <v>Бандаж на лучезапястный сустав эластичный 8503 XL (Болгария) KZ.7700.02.01.00846990 / Действительно до 09.03.2027 / 0222104KZ104 / годен до 09.03.2027 г.</v>
      </c>
    </row>
    <row r="1950" spans="1:8" ht="12.75" x14ac:dyDescent="0.2">
      <c r="A1950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1950" s="1" t="str">
        <f ca="1">IFERROR(__xludf.DUMMYFUNCTION("""COMPUTED_VALUE"""),"KZ.7700.02.01.00847596")</f>
        <v>KZ.7700.02.01.00847596</v>
      </c>
      <c r="C1950" s="1" t="str">
        <f ca="1">IFERROR(__xludf.DUMMYFUNCTION("""COMPUTED_VALUE"""),"Действительно до 09.03.2027")</f>
        <v>Действительно до 09.03.2027</v>
      </c>
      <c r="D1950" s="8" t="str">
        <f ca="1">IFERROR(__xludf.DUMMYFUNCTION("""COMPUTED_VALUE"""),"0222104KZ104")</f>
        <v>0222104KZ104</v>
      </c>
      <c r="E1950" s="1" t="str">
        <f ca="1">IFERROR(__xludf.DUMMYFUNCTION("""COMPUTED_VALUE"""),"годен до 09.03.2027 г.")</f>
        <v>годен до 09.03.2027 г.</v>
      </c>
      <c r="F1950" s="1" t="str">
        <f ca="1">IFERROR(__xludf.DUMMYFUNCTION("""COMPUTED_VALUE"""),"Бандаж на лучезапястный сустав легкой фиксации 8505 S/M (Бежевый) (Болгария) - 0222104KZ104")</f>
        <v>Бандаж на лучезапястный сустав легкой фиксации 8505 S/M (Бежевый) (Болгария) - 0222104KZ104</v>
      </c>
      <c r="G1950" s="1" t="str">
        <f ca="1">IFERROR(__xludf.DUMMYFUNCTION("""COMPUTED_VALUE"""),"KZ.7700.02.01.00847596 / Действительно до 09.03.2027 / 0222104KZ104 / годен до 09.03.2027 г.")</f>
        <v>KZ.7700.02.01.00847596 / Действительно до 09.03.2027 / 0222104KZ104 / годен до 09.03.2027 г.</v>
      </c>
      <c r="H1950" s="1" t="str">
        <f ca="1">IFERROR(__xludf.DUMMYFUNCTION("""COMPUTED_VALUE"""),"Бандаж на лучезапястный сустав легкой фиксации 8505 S/M (Бежевый) (Болгария) KZ.7700.02.01.00847596 / Действительно до 09.03.2027 / 0222104KZ104 / годен до 09.03.2027 г.")</f>
        <v>Бандаж на лучезапястный сустав легкой фиксации 8505 S/M (Бежевый) (Болгария) KZ.7700.02.01.00847596 / Действительно до 09.03.2027 / 0222104KZ104 / годен до 09.03.2027 г.</v>
      </c>
    </row>
    <row r="1951" spans="1:8" ht="12.75" x14ac:dyDescent="0.2">
      <c r="A1951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1951" s="1" t="str">
        <f ca="1">IFERROR(__xludf.DUMMYFUNCTION("""COMPUTED_VALUE"""),"KZ.7700.02.01.00847596")</f>
        <v>KZ.7700.02.01.00847596</v>
      </c>
      <c r="C1951" s="1" t="str">
        <f ca="1">IFERROR(__xludf.DUMMYFUNCTION("""COMPUTED_VALUE"""),"Действительно до 09.03.2027")</f>
        <v>Действительно до 09.03.2027</v>
      </c>
      <c r="D1951" s="8" t="str">
        <f ca="1">IFERROR(__xludf.DUMMYFUNCTION("""COMPUTED_VALUE"""),"0222104KZ104")</f>
        <v>0222104KZ104</v>
      </c>
      <c r="E1951" s="1" t="str">
        <f ca="1">IFERROR(__xludf.DUMMYFUNCTION("""COMPUTED_VALUE"""),"годен до 09.03.2027 г.")</f>
        <v>годен до 09.03.2027 г.</v>
      </c>
      <c r="F1951" s="1" t="str">
        <f ca="1">IFERROR(__xludf.DUMMYFUNCTION("""COMPUTED_VALUE"""),"Бандаж на лучезапястный сустав легкой фиксации 8505 L/XL (Бежевый) (Болгария) - 0222104KZ104")</f>
        <v>Бандаж на лучезапястный сустав легкой фиксации 8505 L/XL (Бежевый) (Болгария) - 0222104KZ104</v>
      </c>
      <c r="G1951" s="1" t="str">
        <f ca="1">IFERROR(__xludf.DUMMYFUNCTION("""COMPUTED_VALUE"""),"KZ.7700.02.01.00847596 / Действительно до 09.03.2027 / 0222104KZ104 / годен до 09.03.2027 г.")</f>
        <v>KZ.7700.02.01.00847596 / Действительно до 09.03.2027 / 0222104KZ104 / годен до 09.03.2027 г.</v>
      </c>
      <c r="H1951" s="1" t="str">
        <f ca="1">IFERROR(__xludf.DUMMYFUNCTION("""COMPUTED_VALUE"""),"Бандаж на лучезапястный сустав легкой фиксации 8505 L/XL (Бежевый) (Болгария) KZ.7700.02.01.00847596 / Действительно до 09.03.2027 / 0222104KZ104 / годен до 09.03.2027 г.")</f>
        <v>Бандаж на лучезапястный сустав легкой фиксации 8505 L/XL (Бежевый) (Болгария) KZ.7700.02.01.00847596 / Действительно до 09.03.2027 / 0222104KZ104 / годен до 09.03.2027 г.</v>
      </c>
    </row>
    <row r="1952" spans="1:8" ht="12.75" x14ac:dyDescent="0.2">
      <c r="A1952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1952" s="1" t="str">
        <f ca="1">IFERROR(__xludf.DUMMYFUNCTION("""COMPUTED_VALUE"""),"KZ.7700.02.01.00850375")</f>
        <v>KZ.7700.02.01.00850375</v>
      </c>
      <c r="C1952" s="1" t="str">
        <f ca="1">IFERROR(__xludf.DUMMYFUNCTION("""COMPUTED_VALUE"""),"Действительно до 09.03.2027")</f>
        <v>Действительно до 09.03.2027</v>
      </c>
      <c r="D1952" s="8" t="str">
        <f ca="1">IFERROR(__xludf.DUMMYFUNCTION("""COMPUTED_VALUE"""),"0222104KZ104")</f>
        <v>0222104KZ104</v>
      </c>
      <c r="E1952" s="1" t="str">
        <f ca="1">IFERROR(__xludf.DUMMYFUNCTION("""COMPUTED_VALUE"""),"годен до 09.03.2027 г.")</f>
        <v>годен до 09.03.2027 г.</v>
      </c>
      <c r="F1952" s="1" t="str">
        <f ca="1">IFERROR(__xludf.DUMMYFUNCTION("""COMPUTED_VALUE"""),"Бандаж на лучезапястный сустав с фиксацией пальца 8552 S\M (Болгария) - 0222104KZ104")</f>
        <v>Бандаж на лучезапястный сустав с фиксацией пальца 8552 S\M (Болгария) - 0222104KZ104</v>
      </c>
      <c r="G1952" s="1" t="str">
        <f ca="1">IFERROR(__xludf.DUMMYFUNCTION("""COMPUTED_VALUE"""),"KZ.7700.02.01.00850375 / Действительно до 09.03.2027 / 0222104KZ104 / годен до 09.03.2027 г.")</f>
        <v>KZ.7700.02.01.00850375 / Действительно до 09.03.2027 / 0222104KZ104 / годен до 09.03.2027 г.</v>
      </c>
      <c r="H1952" s="1" t="str">
        <f ca="1">IFERROR(__xludf.DUMMYFUNCTION("""COMPUTED_VALUE"""),"Бандаж на лучезапястный сустав с фиксацией пальца 8552 S\M (Болгария) KZ.7700.02.01.00850375 / Действительно до 09.03.2027 / 0222104KZ104 / годен до 09.03.2027 г.")</f>
        <v>Бандаж на лучезапястный сустав с фиксацией пальца 8552 S\M (Болгария) KZ.7700.02.01.00850375 / Действительно до 09.03.2027 / 0222104KZ104 / годен до 09.03.2027 г.</v>
      </c>
    </row>
    <row r="1953" spans="1:8" ht="12.75" x14ac:dyDescent="0.2">
      <c r="A1953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1953" s="1" t="str">
        <f ca="1">IFERROR(__xludf.DUMMYFUNCTION("""COMPUTED_VALUE"""),"KZ.7700.02.01.00850375")</f>
        <v>KZ.7700.02.01.00850375</v>
      </c>
      <c r="C1953" s="1" t="str">
        <f ca="1">IFERROR(__xludf.DUMMYFUNCTION("""COMPUTED_VALUE"""),"Действительно до 09.03.2027")</f>
        <v>Действительно до 09.03.2027</v>
      </c>
      <c r="D1953" s="8" t="str">
        <f ca="1">IFERROR(__xludf.DUMMYFUNCTION("""COMPUTED_VALUE"""),"0222104KZ104")</f>
        <v>0222104KZ104</v>
      </c>
      <c r="E1953" s="1" t="str">
        <f ca="1">IFERROR(__xludf.DUMMYFUNCTION("""COMPUTED_VALUE"""),"годен до 09.03.2027 г.")</f>
        <v>годен до 09.03.2027 г.</v>
      </c>
      <c r="F1953" s="1" t="str">
        <f ca="1">IFERROR(__xludf.DUMMYFUNCTION("""COMPUTED_VALUE"""),"Бандаж на лучезапястный сустав с фиксацией пальца 8552 L\XL (Болгария) - 0222104KZ104")</f>
        <v>Бандаж на лучезапястный сустав с фиксацией пальца 8552 L\XL (Болгария) - 0222104KZ104</v>
      </c>
      <c r="G1953" s="1" t="str">
        <f ca="1">IFERROR(__xludf.DUMMYFUNCTION("""COMPUTED_VALUE"""),"KZ.7700.02.01.00850375 / Действительно до 09.03.2027 / 0222104KZ104 / годен до 09.03.2027 г.")</f>
        <v>KZ.7700.02.01.00850375 / Действительно до 09.03.2027 / 0222104KZ104 / годен до 09.03.2027 г.</v>
      </c>
      <c r="H1953" s="1" t="str">
        <f ca="1">IFERROR(__xludf.DUMMYFUNCTION("""COMPUTED_VALUE"""),"Бандаж на лучезапястный сустав с фиксацией пальца 8552 L\XL (Болгария) KZ.7700.02.01.00850375 / Действительно до 09.03.2027 / 0222104KZ104 / годен до 09.03.2027 г.")</f>
        <v>Бандаж на лучезапястный сустав с фиксацией пальца 8552 L\XL (Болгария) KZ.7700.02.01.00850375 / Действительно до 09.03.2027 / 0222104KZ104 / годен до 09.03.2027 г.</v>
      </c>
    </row>
    <row r="1954" spans="1:8" ht="12.75" x14ac:dyDescent="0.2">
      <c r="A1954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B1954" s="1" t="str">
        <f ca="1">IFERROR(__xludf.DUMMYFUNCTION("""COMPUTED_VALUE"""),"KZ.7700.02.01.00846992")</f>
        <v>KZ.7700.02.01.00846992</v>
      </c>
      <c r="C1954" s="1" t="str">
        <f ca="1">IFERROR(__xludf.DUMMYFUNCTION("""COMPUTED_VALUE"""),"Действительно до 09.03.2027")</f>
        <v>Действительно до 09.03.2027</v>
      </c>
      <c r="D1954" s="8" t="str">
        <f ca="1">IFERROR(__xludf.DUMMYFUNCTION("""COMPUTED_VALUE"""),"0222104KZ104")</f>
        <v>0222104KZ104</v>
      </c>
      <c r="E1954" s="1" t="str">
        <f ca="1">IFERROR(__xludf.DUMMYFUNCTION("""COMPUTED_VALUE"""),"годен до 09.03.2027 г.")</f>
        <v>годен до 09.03.2027 г.</v>
      </c>
      <c r="F1954" s="1" t="str">
        <f ca="1">IFERROR(__xludf.DUMMYFUNCTION("""COMPUTED_VALUE"""),"Бандаж для руки поддерживающий облегченный (косынка) 9912 S (белый) (Болгария) - 0222104KZ104")</f>
        <v>Бандаж для руки поддерживающий облегченный (косынка) 9912 S (белый) (Болгария) - 0222104KZ104</v>
      </c>
      <c r="G1954" s="1" t="str">
        <f ca="1">IFERROR(__xludf.DUMMYFUNCTION("""COMPUTED_VALUE"""),"KZ.7700.02.01.00846992 / Действительно до 09.03.2027 / 0222104KZ104 / годен до 09.03.2027 г.")</f>
        <v>KZ.7700.02.01.00846992 / Действительно до 09.03.2027 / 0222104KZ104 / годен до 09.03.2027 г.</v>
      </c>
      <c r="H1954" s="1" t="str">
        <f ca="1">IFERROR(__xludf.DUMMYFUNCTION("""COMPUTED_VALUE"""),"Бандаж для руки поддерживающий облегченный (косынка) 9912 S (белый) (Болгария) KZ.7700.02.01.00846992 / Действительно до 09.03.2027 / 0222104KZ104 / годен до 09.03.2027 г.")</f>
        <v>Бандаж для руки поддерживающий облегченный (косынка) 9912 S (белый) (Болгария) KZ.7700.02.01.00846992 / Действительно до 09.03.2027 / 0222104KZ104 / годен до 09.03.2027 г.</v>
      </c>
    </row>
    <row r="1955" spans="1:8" ht="12.75" x14ac:dyDescent="0.2">
      <c r="A1955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1955" s="1" t="str">
        <f ca="1">IFERROR(__xludf.DUMMYFUNCTION("""COMPUTED_VALUE"""),"KZ.7700.02.01.00846992")</f>
        <v>KZ.7700.02.01.00846992</v>
      </c>
      <c r="C1955" s="1" t="str">
        <f ca="1">IFERROR(__xludf.DUMMYFUNCTION("""COMPUTED_VALUE"""),"Действительно до 09.03.2027")</f>
        <v>Действительно до 09.03.2027</v>
      </c>
      <c r="D1955" s="8" t="str">
        <f ca="1">IFERROR(__xludf.DUMMYFUNCTION("""COMPUTED_VALUE"""),"0222104KZ104")</f>
        <v>0222104KZ104</v>
      </c>
      <c r="E1955" s="1" t="str">
        <f ca="1">IFERROR(__xludf.DUMMYFUNCTION("""COMPUTED_VALUE"""),"годен до 09.03.2027 г.")</f>
        <v>годен до 09.03.2027 г.</v>
      </c>
      <c r="F1955" s="1" t="str">
        <f ca="1">IFERROR(__xludf.DUMMYFUNCTION("""COMPUTED_VALUE"""),"Бандаж для руки поддерживающий облегченный (косынка) 9912 M (белый) (Болгария) - 0222104KZ104")</f>
        <v>Бандаж для руки поддерживающий облегченный (косынка) 9912 M (белый) (Болгария) - 0222104KZ104</v>
      </c>
      <c r="G1955" s="1" t="str">
        <f ca="1">IFERROR(__xludf.DUMMYFUNCTION("""COMPUTED_VALUE"""),"KZ.7700.02.01.00846992 / Действительно до 09.03.2027 / 0222104KZ104 / годен до 09.03.2027 г.")</f>
        <v>KZ.7700.02.01.00846992 / Действительно до 09.03.2027 / 0222104KZ104 / годен до 09.03.2027 г.</v>
      </c>
      <c r="H1955" s="1" t="str">
        <f ca="1">IFERROR(__xludf.DUMMYFUNCTION("""COMPUTED_VALUE"""),"Бандаж для руки поддерживающий облегченный (косынка) 9912 M (белый) (Болгария) KZ.7700.02.01.00846992 / Действительно до 09.03.2027 / 0222104KZ104 / годен до 09.03.2027 г.")</f>
        <v>Бандаж для руки поддерживающий облегченный (косынка) 9912 M (белый) (Болгария) KZ.7700.02.01.00846992 / Действительно до 09.03.2027 / 0222104KZ104 / годен до 09.03.2027 г.</v>
      </c>
    </row>
    <row r="1956" spans="1:8" ht="12.75" x14ac:dyDescent="0.2">
      <c r="A1956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1956" s="1" t="str">
        <f ca="1">IFERROR(__xludf.DUMMYFUNCTION("""COMPUTED_VALUE"""),"KZ.7700.02.01.00846992")</f>
        <v>KZ.7700.02.01.00846992</v>
      </c>
      <c r="C1956" s="1" t="str">
        <f ca="1">IFERROR(__xludf.DUMMYFUNCTION("""COMPUTED_VALUE"""),"Действительно до 09.03.2027")</f>
        <v>Действительно до 09.03.2027</v>
      </c>
      <c r="D1956" s="8" t="str">
        <f ca="1">IFERROR(__xludf.DUMMYFUNCTION("""COMPUTED_VALUE"""),"0222104KZ104")</f>
        <v>0222104KZ104</v>
      </c>
      <c r="E1956" s="1" t="str">
        <f ca="1">IFERROR(__xludf.DUMMYFUNCTION("""COMPUTED_VALUE"""),"годен до 09.03.2027 г.")</f>
        <v>годен до 09.03.2027 г.</v>
      </c>
      <c r="F1956" s="1" t="str">
        <f ca="1">IFERROR(__xludf.DUMMYFUNCTION("""COMPUTED_VALUE"""),"Бандаж для руки поддерживающий облегченный (косынка) 9912 L (белый) (Болгария) - 0222104KZ104")</f>
        <v>Бандаж для руки поддерживающий облегченный (косынка) 9912 L (белый) (Болгария) - 0222104KZ104</v>
      </c>
      <c r="G1956" s="1" t="str">
        <f ca="1">IFERROR(__xludf.DUMMYFUNCTION("""COMPUTED_VALUE"""),"KZ.7700.02.01.00846992 / Действительно до 09.03.2027 / 0222104KZ104 / годен до 09.03.2027 г.")</f>
        <v>KZ.7700.02.01.00846992 / Действительно до 09.03.2027 / 0222104KZ104 / годен до 09.03.2027 г.</v>
      </c>
      <c r="H1956" s="1" t="str">
        <f ca="1">IFERROR(__xludf.DUMMYFUNCTION("""COMPUTED_VALUE"""),"Бандаж для руки поддерживающий облегченный (косынка) 9912 L (белый) (Болгария) KZ.7700.02.01.00846992 / Действительно до 09.03.2027 / 0222104KZ104 / годен до 09.03.2027 г.")</f>
        <v>Бандаж для руки поддерживающий облегченный (косынка) 9912 L (белый) (Болгария) KZ.7700.02.01.00846992 / Действительно до 09.03.2027 / 0222104KZ104 / годен до 09.03.2027 г.</v>
      </c>
    </row>
    <row r="1957" spans="1:8" ht="12.75" x14ac:dyDescent="0.2">
      <c r="A1957" s="1" t="str">
        <f ca="1">IFERROR(__xludf.DUMMYFUNCTION("""COMPUTED_VALUE"""),"Бандаж для руки поддерживающий облегченный (косынка) 9912 XL (белый) (Болгария)")</f>
        <v>Бандаж для руки поддерживающий облегченный (косынка) 9912 XL (белый) (Болгария)</v>
      </c>
      <c r="B1957" s="1" t="str">
        <f ca="1">IFERROR(__xludf.DUMMYFUNCTION("""COMPUTED_VALUE"""),"KZ.7700.02.01.00846992")</f>
        <v>KZ.7700.02.01.00846992</v>
      </c>
      <c r="C1957" s="1" t="str">
        <f ca="1">IFERROR(__xludf.DUMMYFUNCTION("""COMPUTED_VALUE"""),"Действительно до 09.03.2027")</f>
        <v>Действительно до 09.03.2027</v>
      </c>
      <c r="D1957" s="8" t="str">
        <f ca="1">IFERROR(__xludf.DUMMYFUNCTION("""COMPUTED_VALUE"""),"0222104KZ104")</f>
        <v>0222104KZ104</v>
      </c>
      <c r="E1957" s="1" t="str">
        <f ca="1">IFERROR(__xludf.DUMMYFUNCTION("""COMPUTED_VALUE"""),"годен до 09.03.2027 г.")</f>
        <v>годен до 09.03.2027 г.</v>
      </c>
      <c r="F1957" s="1" t="str">
        <f ca="1">IFERROR(__xludf.DUMMYFUNCTION("""COMPUTED_VALUE"""),"Бандаж для руки поддерживающий облегченный (косынка) 9912 XL (белый) (Болгария) - 0222104KZ104")</f>
        <v>Бандаж для руки поддерживающий облегченный (косынка) 9912 XL (белый) (Болгария) - 0222104KZ104</v>
      </c>
      <c r="G1957" s="1" t="str">
        <f ca="1">IFERROR(__xludf.DUMMYFUNCTION("""COMPUTED_VALUE"""),"KZ.7700.02.01.00846992 / Действительно до 09.03.2027 / 0222104KZ104 / годен до 09.03.2027 г.")</f>
        <v>KZ.7700.02.01.00846992 / Действительно до 09.03.2027 / 0222104KZ104 / годен до 09.03.2027 г.</v>
      </c>
      <c r="H1957" s="1" t="str">
        <f ca="1">IFERROR(__xludf.DUMMYFUNCTION("""COMPUTED_VALUE"""),"Бандаж для руки поддерживающий облегченный (косынка) 9912 XL (белый) (Болгария) KZ.7700.02.01.00846992 / Действительно до 09.03.2027 / 0222104KZ104 / годен до 09.03.2027 г.")</f>
        <v>Бандаж для руки поддерживающий облегченный (косынка) 9912 XL (белый) (Болгария) KZ.7700.02.01.00846992 / Действительно до 09.03.2027 / 0222104KZ104 / годен до 09.03.2027 г.</v>
      </c>
    </row>
    <row r="1958" spans="1:8" ht="12.75" x14ac:dyDescent="0.2">
      <c r="A1958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1958" s="1" t="str">
        <f ca="1">IFERROR(__xludf.DUMMYFUNCTION("""COMPUTED_VALUE"""),"KZ.7700.02.01.00846992")</f>
        <v>KZ.7700.02.01.00846992</v>
      </c>
      <c r="C1958" s="1" t="str">
        <f ca="1">IFERROR(__xludf.DUMMYFUNCTION("""COMPUTED_VALUE"""),"Действительно до 09.03.2027")</f>
        <v>Действительно до 09.03.2027</v>
      </c>
      <c r="D1958" s="8" t="str">
        <f ca="1">IFERROR(__xludf.DUMMYFUNCTION("""COMPUTED_VALUE"""),"0222104KZ104")</f>
        <v>0222104KZ104</v>
      </c>
      <c r="E1958" s="1" t="str">
        <f ca="1">IFERROR(__xludf.DUMMYFUNCTION("""COMPUTED_VALUE"""),"годен до 09.03.2027 г.")</f>
        <v>годен до 09.03.2027 г.</v>
      </c>
      <c r="F1958" s="1" t="str">
        <f ca="1">IFERROR(__xludf.DUMMYFUNCTION("""COMPUTED_VALUE"""),"Бандаж для руки поддерживающий облегченный (косынка) 9912 S (черный) (Болгария) - 0222104KZ104")</f>
        <v>Бандаж для руки поддерживающий облегченный (косынка) 9912 S (черный) (Болгария) - 0222104KZ104</v>
      </c>
      <c r="G1958" s="1" t="str">
        <f ca="1">IFERROR(__xludf.DUMMYFUNCTION("""COMPUTED_VALUE"""),"KZ.7700.02.01.00846992 / Действительно до 09.03.2027 / 0222104KZ104 / годен до 09.03.2027 г.")</f>
        <v>KZ.7700.02.01.00846992 / Действительно до 09.03.2027 / 0222104KZ104 / годен до 09.03.2027 г.</v>
      </c>
      <c r="H1958" s="1" t="str">
        <f ca="1">IFERROR(__xludf.DUMMYFUNCTION("""COMPUTED_VALUE"""),"Бандаж для руки поддерживающий облегченный (косынка) 9912 S (черный) (Болгария) KZ.7700.02.01.00846992 / Действительно до 09.03.2027 / 0222104KZ104 / годен до 09.03.2027 г.")</f>
        <v>Бандаж для руки поддерживающий облегченный (косынка) 9912 S (черный) (Болгария) KZ.7700.02.01.00846992 / Действительно до 09.03.2027 / 0222104KZ104 / годен до 09.03.2027 г.</v>
      </c>
    </row>
    <row r="1959" spans="1:8" ht="12.75" x14ac:dyDescent="0.2">
      <c r="A1959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1959" s="1" t="str">
        <f ca="1">IFERROR(__xludf.DUMMYFUNCTION("""COMPUTED_VALUE"""),"KZ.7700.02.01.00846992")</f>
        <v>KZ.7700.02.01.00846992</v>
      </c>
      <c r="C1959" s="1" t="str">
        <f ca="1">IFERROR(__xludf.DUMMYFUNCTION("""COMPUTED_VALUE"""),"Действительно до 09.03.2027")</f>
        <v>Действительно до 09.03.2027</v>
      </c>
      <c r="D1959" s="8" t="str">
        <f ca="1">IFERROR(__xludf.DUMMYFUNCTION("""COMPUTED_VALUE"""),"0222104KZ104")</f>
        <v>0222104KZ104</v>
      </c>
      <c r="E1959" s="1" t="str">
        <f ca="1">IFERROR(__xludf.DUMMYFUNCTION("""COMPUTED_VALUE"""),"годен до 09.03.2027 г.")</f>
        <v>годен до 09.03.2027 г.</v>
      </c>
      <c r="F1959" s="1" t="str">
        <f ca="1">IFERROR(__xludf.DUMMYFUNCTION("""COMPUTED_VALUE"""),"Бандаж для руки поддерживающий облегченный (косынка) 9912 M (черный) (Болгария) - 0222104KZ104")</f>
        <v>Бандаж для руки поддерживающий облегченный (косынка) 9912 M (черный) (Болгария) - 0222104KZ104</v>
      </c>
      <c r="G1959" s="1" t="str">
        <f ca="1">IFERROR(__xludf.DUMMYFUNCTION("""COMPUTED_VALUE"""),"KZ.7700.02.01.00846992 / Действительно до 09.03.2027 / 0222104KZ104 / годен до 09.03.2027 г.")</f>
        <v>KZ.7700.02.01.00846992 / Действительно до 09.03.2027 / 0222104KZ104 / годен до 09.03.2027 г.</v>
      </c>
      <c r="H1959" s="1" t="str">
        <f ca="1">IFERROR(__xludf.DUMMYFUNCTION("""COMPUTED_VALUE"""),"Бандаж для руки поддерживающий облегченный (косынка) 9912 M (черный) (Болгария) KZ.7700.02.01.00846992 / Действительно до 09.03.2027 / 0222104KZ104 / годен до 09.03.2027 г.")</f>
        <v>Бандаж для руки поддерживающий облегченный (косынка) 9912 M (черный) (Болгария) KZ.7700.02.01.00846992 / Действительно до 09.03.2027 / 0222104KZ104 / годен до 09.03.2027 г.</v>
      </c>
    </row>
    <row r="1960" spans="1:8" ht="12.75" x14ac:dyDescent="0.2">
      <c r="A1960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1960" s="1" t="str">
        <f ca="1">IFERROR(__xludf.DUMMYFUNCTION("""COMPUTED_VALUE"""),"KZ.7700.02.01.00846992")</f>
        <v>KZ.7700.02.01.00846992</v>
      </c>
      <c r="C1960" s="1" t="str">
        <f ca="1">IFERROR(__xludf.DUMMYFUNCTION("""COMPUTED_VALUE"""),"Действительно до 09.03.2027")</f>
        <v>Действительно до 09.03.2027</v>
      </c>
      <c r="D1960" s="8" t="str">
        <f ca="1">IFERROR(__xludf.DUMMYFUNCTION("""COMPUTED_VALUE"""),"0222104KZ104")</f>
        <v>0222104KZ104</v>
      </c>
      <c r="E1960" s="1" t="str">
        <f ca="1">IFERROR(__xludf.DUMMYFUNCTION("""COMPUTED_VALUE"""),"годен до 09.03.2027 г.")</f>
        <v>годен до 09.03.2027 г.</v>
      </c>
      <c r="F1960" s="1" t="str">
        <f ca="1">IFERROR(__xludf.DUMMYFUNCTION("""COMPUTED_VALUE"""),"Бандаж для руки поддерживающий облегченный (косынка) 9912 L (черный) (Болгария) - 0222104KZ104")</f>
        <v>Бандаж для руки поддерживающий облегченный (косынка) 9912 L (черный) (Болгария) - 0222104KZ104</v>
      </c>
      <c r="G1960" s="1" t="str">
        <f ca="1">IFERROR(__xludf.DUMMYFUNCTION("""COMPUTED_VALUE"""),"KZ.7700.02.01.00846992 / Действительно до 09.03.2027 / 0222104KZ104 / годен до 09.03.2027 г.")</f>
        <v>KZ.7700.02.01.00846992 / Действительно до 09.03.2027 / 0222104KZ104 / годен до 09.03.2027 г.</v>
      </c>
      <c r="H1960" s="1" t="str">
        <f ca="1">IFERROR(__xludf.DUMMYFUNCTION("""COMPUTED_VALUE"""),"Бандаж для руки поддерживающий облегченный (косынка) 9912 L (черный) (Болгария) KZ.7700.02.01.00846992 / Действительно до 09.03.2027 / 0222104KZ104 / годен до 09.03.2027 г.")</f>
        <v>Бандаж для руки поддерживающий облегченный (косынка) 9912 L (черный) (Болгария) KZ.7700.02.01.00846992 / Действительно до 09.03.2027 / 0222104KZ104 / годен до 09.03.2027 г.</v>
      </c>
    </row>
    <row r="1961" spans="1:8" ht="12.75" x14ac:dyDescent="0.2">
      <c r="A1961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1961" s="1" t="str">
        <f ca="1">IFERROR(__xludf.DUMMYFUNCTION("""COMPUTED_VALUE"""),"KZ.7700.02.01.00846992")</f>
        <v>KZ.7700.02.01.00846992</v>
      </c>
      <c r="C1961" s="1" t="str">
        <f ca="1">IFERROR(__xludf.DUMMYFUNCTION("""COMPUTED_VALUE"""),"Действительно до 09.03.2027")</f>
        <v>Действительно до 09.03.2027</v>
      </c>
      <c r="D1961" s="8" t="str">
        <f ca="1">IFERROR(__xludf.DUMMYFUNCTION("""COMPUTED_VALUE"""),"0222104KZ104")</f>
        <v>0222104KZ104</v>
      </c>
      <c r="E1961" s="1" t="str">
        <f ca="1">IFERROR(__xludf.DUMMYFUNCTION("""COMPUTED_VALUE"""),"годен до 09.03.2027 г.")</f>
        <v>годен до 09.03.2027 г.</v>
      </c>
      <c r="F1961" s="1" t="str">
        <f ca="1">IFERROR(__xludf.DUMMYFUNCTION("""COMPUTED_VALUE"""),"Бандаж для руки поддерживающий облегченный (косынка) 9912 XL (черный) (Болгария) - 0222104KZ104")</f>
        <v>Бандаж для руки поддерживающий облегченный (косынка) 9912 XL (черный) (Болгария) - 0222104KZ104</v>
      </c>
      <c r="G1961" s="1" t="str">
        <f ca="1">IFERROR(__xludf.DUMMYFUNCTION("""COMPUTED_VALUE"""),"KZ.7700.02.01.00846992 / Действительно до 09.03.2027 / 0222104KZ104 / годен до 09.03.2027 г.")</f>
        <v>KZ.7700.02.01.00846992 / Действительно до 09.03.2027 / 0222104KZ104 / годен до 09.03.2027 г.</v>
      </c>
      <c r="H1961" s="1" t="str">
        <f ca="1">IFERROR(__xludf.DUMMYFUNCTION("""COMPUTED_VALUE"""),"Бандаж для руки поддерживающий облегченный (косынка) 9912 XL (черный) (Болгария) KZ.7700.02.01.00846992 / Действительно до 09.03.2027 / 0222104KZ104 / годен до 09.03.2027 г.")</f>
        <v>Бандаж для руки поддерживающий облегченный (косынка) 9912 XL (черный) (Болгария) KZ.7700.02.01.00846992 / Действительно до 09.03.2027 / 0222104KZ104 / годен до 09.03.2027 г.</v>
      </c>
    </row>
    <row r="1962" spans="1:8" ht="12.75" x14ac:dyDescent="0.2">
      <c r="A1962" s="1" t="str">
        <f ca="1">IFERROR(__xludf.DUMMYFUNCTION("""COMPUTED_VALUE"""),"М 0201 L/XL Гигеническая маска, черная")</f>
        <v>М 0201 L/XL Гигеническая маска, черная</v>
      </c>
      <c r="B1962" s="1" t="str">
        <f ca="1">IFERROR(__xludf.DUMMYFUNCTION("""COMPUTED_VALUE"""),"KZ..3510317.05.01.00812")</f>
        <v>KZ..3510317.05.01.00812</v>
      </c>
      <c r="C1962" s="1" t="str">
        <f ca="1">IFERROR(__xludf.DUMMYFUNCTION("""COMPUTED_VALUE"""),"Действительно до 13.05.2023")</f>
        <v>Действительно до 13.05.2023</v>
      </c>
      <c r="D1962" s="8" t="str">
        <f ca="1">IFERROR(__xludf.DUMMYFUNCTION("""COMPUTED_VALUE"""),"0321022KZ022")</f>
        <v>0321022KZ022</v>
      </c>
      <c r="E1962" s="1" t="str">
        <f ca="1">IFERROR(__xludf.DUMMYFUNCTION("""COMPUTED_VALUE"""),"годен до 30.03.2026 г.")</f>
        <v>годен до 30.03.2026 г.</v>
      </c>
      <c r="F1962" s="1" t="str">
        <f ca="1">IFERROR(__xludf.DUMMYFUNCTION("""COMPUTED_VALUE"""),"М 0201 L/XL Гигеническая маска, черная - 0321022KZ022")</f>
        <v>М 0201 L/XL Гигеническая маска, черная - 0321022KZ022</v>
      </c>
      <c r="G1962" s="1" t="str">
        <f ca="1">IFERROR(__xludf.DUMMYFUNCTION("""COMPUTED_VALUE"""),"#REF!")</f>
        <v>#REF!</v>
      </c>
      <c r="H1962" s="1" t="str">
        <f ca="1">IFERROR(__xludf.DUMMYFUNCTION("""COMPUTED_VALUE"""),"#REF!")</f>
        <v>#REF!</v>
      </c>
    </row>
    <row r="1963" spans="1:8" ht="12.75" x14ac:dyDescent="0.2">
      <c r="A1963" s="1" t="str">
        <f ca="1">IFERROR(__xludf.DUMMYFUNCTION("""COMPUTED_VALUE"""),"М 0201 XS/M Гигеническая маска, черная")</f>
        <v>М 0201 XS/M Гигеническая маска, черная</v>
      </c>
      <c r="B1963" s="1" t="str">
        <f ca="1">IFERROR(__xludf.DUMMYFUNCTION("""COMPUTED_VALUE"""),"KZ.3510317.05.01.00812")</f>
        <v>KZ.3510317.05.01.00812</v>
      </c>
      <c r="C1963" s="1" t="str">
        <f ca="1">IFERROR(__xludf.DUMMYFUNCTION("""COMPUTED_VALUE"""),"Действительно до 13.05.2023")</f>
        <v>Действительно до 13.05.2023</v>
      </c>
      <c r="D1963" s="8" t="str">
        <f ca="1">IFERROR(__xludf.DUMMYFUNCTION("""COMPUTED_VALUE"""),"0321022KZ022")</f>
        <v>0321022KZ022</v>
      </c>
      <c r="E1963" s="1" t="str">
        <f ca="1">IFERROR(__xludf.DUMMYFUNCTION("""COMPUTED_VALUE"""),"годен до 30.03.2026 г.")</f>
        <v>годен до 30.03.2026 г.</v>
      </c>
      <c r="F1963" s="1" t="str">
        <f ca="1">IFERROR(__xludf.DUMMYFUNCTION("""COMPUTED_VALUE"""),"М 0201 XS/M Гигеническая маска, черная - 0321022KZ022")</f>
        <v>М 0201 XS/M Гигеническая маска, черная - 0321022KZ022</v>
      </c>
      <c r="G1963" s="1" t="str">
        <f ca="1">IFERROR(__xludf.DUMMYFUNCTION("""COMPUTED_VALUE"""),"KZ..3510317.05.01.00812 / Действительно до 13.05.2023 / 0321022KZ022 / годен до 30.03.2026 г.")</f>
        <v>KZ..3510317.05.01.00812 / Действительно до 13.05.2023 / 0321022KZ022 / годен до 30.03.2026 г.</v>
      </c>
      <c r="H1963" s="1" t="str">
        <f ca="1">IFERROR(__xludf.DUMMYFUNCTION("""COMPUTED_VALUE"""),"М 0201 XS/M Гигеническая маска, черная KZ..3510317.05.01.00812 / Действительно до 13.05.2023 / 0321022KZ022 / годен до 30.03.2026 г.")</f>
        <v>М 0201 XS/M Гигеническая маска, черная KZ..3510317.05.01.00812 / Действительно до 13.05.2023 / 0321022KZ022 / годен до 30.03.2026 г.</v>
      </c>
    </row>
    <row r="1964" spans="1:8" ht="12.75" x14ac:dyDescent="0.2">
      <c r="A1964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1964" s="1" t="str">
        <f ca="1">IFERROR(__xludf.DUMMYFUNCTION("""COMPUTED_VALUE"""),"KZ.7700.02.01.00851801")</f>
        <v>KZ.7700.02.01.00851801</v>
      </c>
      <c r="C1964" s="1" t="str">
        <f ca="1">IFERROR(__xludf.DUMMYFUNCTION("""COMPUTED_VALUE"""),"Действительно до 09.03.2027")</f>
        <v>Действительно до 09.03.2027</v>
      </c>
      <c r="D1964" s="8" t="str">
        <f ca="1">IFERROR(__xludf.DUMMYFUNCTION("""COMPUTED_VALUE"""),"0222104KZ104")</f>
        <v>0222104KZ104</v>
      </c>
      <c r="E1964" s="1" t="str">
        <f ca="1">IFERROR(__xludf.DUMMYFUNCTION("""COMPUTED_VALUE"""),"годен до 09.03.2027 г.")</f>
        <v>годен до 09.03.2027 г.</v>
      </c>
      <c r="F1964" s="1" t="str">
        <f ca="1">IFERROR(__xludf.DUMMYFUNCTION("""COMPUTED_VALUE"""),"Бандаж на шейный отдел позвоночника мягкой фиксацией с жесткой вставкой 1005 I(S) - 0222104KZ104")</f>
        <v>Бандаж на шейный отдел позвоночника мягкой фиксацией с жесткой вставкой 1005 I(S) - 0222104KZ104</v>
      </c>
      <c r="G1964" s="1" t="str">
        <f ca="1">IFERROR(__xludf.DUMMYFUNCTION("""COMPUTED_VALUE"""),"KZ.7700.02.01.00851801 / Действительно до 09.03.2027 / 0222104KZ104 / годен до 09.03.2027 г.")</f>
        <v>KZ.7700.02.01.00851801 / Действительно до 09.03.2027 / 0222104KZ104 / годен до 09.03.2027 г.</v>
      </c>
      <c r="H1964" s="1" t="str">
        <f ca="1">IFERROR(__xludf.DUMMYFUNCTION("""COMPUTED_VALUE"""),"Бандаж на шейный отдел позвоночника мягкой фиксацией с жесткой вставкой 1005 I(S) KZ.7700.02.01.00851801 / Действительно до 09.03.2027 / 0222104KZ104 / годен до 09.03.2027 г.")</f>
        <v>Бандаж на шейный отдел позвоночника мягкой фиксацией с жесткой вставкой 1005 I(S) KZ.7700.02.01.00851801 / Действительно до 09.03.2027 / 0222104KZ104 / годен до 09.03.2027 г.</v>
      </c>
    </row>
    <row r="1965" spans="1:8" ht="12.75" x14ac:dyDescent="0.2">
      <c r="A1965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965" s="1" t="str">
        <f ca="1">IFERROR(__xludf.DUMMYFUNCTION("""COMPUTED_VALUE"""),"KZ.7700.02.01.00851801")</f>
        <v>KZ.7700.02.01.00851801</v>
      </c>
      <c r="C1965" s="1" t="str">
        <f ca="1">IFERROR(__xludf.DUMMYFUNCTION("""COMPUTED_VALUE"""),"Действительно до 09.03.2027")</f>
        <v>Действительно до 09.03.2027</v>
      </c>
      <c r="D1965" s="8" t="str">
        <f ca="1">IFERROR(__xludf.DUMMYFUNCTION("""COMPUTED_VALUE"""),"0222104KZ104")</f>
        <v>0222104KZ104</v>
      </c>
      <c r="E1965" s="1" t="str">
        <f ca="1">IFERROR(__xludf.DUMMYFUNCTION("""COMPUTED_VALUE"""),"годен до 09.03.2027 г.")</f>
        <v>годен до 09.03.2027 г.</v>
      </c>
      <c r="F1965" s="1" t="str">
        <f ca="1">IFERROR(__xludf.DUMMYFUNCTION("""COMPUTED_VALUE"""),"Бандаж на шейный отдел позвоночника мягкой фиксацией с жесткой вставкой 1005 II(M) - 0222104KZ104")</f>
        <v>Бандаж на шейный отдел позвоночника мягкой фиксацией с жесткой вставкой 1005 II(M) - 0222104KZ104</v>
      </c>
      <c r="G1965" s="1" t="str">
        <f ca="1">IFERROR(__xludf.DUMMYFUNCTION("""COMPUTED_VALUE"""),"KZ.7700.02.01.00851801 / Действительно до 09.03.2027 / 0222104KZ104 / годен до 09.03.2027 г.")</f>
        <v>KZ.7700.02.01.00851801 / Действительно до 09.03.2027 / 0222104KZ104 / годен до 09.03.2027 г.</v>
      </c>
      <c r="H1965" s="1" t="str">
        <f ca="1">IFERROR(__xludf.DUMMYFUNCTION("""COMPUTED_VALUE"""),"Бандаж на шейный отдел позвоночника мягкой фиксацией с жесткой вставкой 1005 II(M) KZ.7700.02.01.00851801 / Действительно до 09.03.2027 / 0222104KZ104 / годен до 09.03.2027 г.")</f>
        <v>Бандаж на шейный отдел позвоночника мягкой фиксацией с жесткой вставкой 1005 II(M) KZ.7700.02.01.00851801 / Действительно до 09.03.2027 / 0222104KZ104 / годен до 09.03.2027 г.</v>
      </c>
    </row>
    <row r="1966" spans="1:8" ht="12.75" x14ac:dyDescent="0.2">
      <c r="A1966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1966" s="1" t="str">
        <f ca="1">IFERROR(__xludf.DUMMYFUNCTION("""COMPUTED_VALUE"""),"KZ.7700.02.01.00851801")</f>
        <v>KZ.7700.02.01.00851801</v>
      </c>
      <c r="C1966" s="1" t="str">
        <f ca="1">IFERROR(__xludf.DUMMYFUNCTION("""COMPUTED_VALUE"""),"Действительно до 09.03.2027")</f>
        <v>Действительно до 09.03.2027</v>
      </c>
      <c r="D1966" s="8" t="str">
        <f ca="1">IFERROR(__xludf.DUMMYFUNCTION("""COMPUTED_VALUE"""),"0222104KZ104")</f>
        <v>0222104KZ104</v>
      </c>
      <c r="E1966" s="1" t="str">
        <f ca="1">IFERROR(__xludf.DUMMYFUNCTION("""COMPUTED_VALUE"""),"годен до 09.03.2027 г.")</f>
        <v>годен до 09.03.2027 г.</v>
      </c>
      <c r="F1966" s="1" t="str">
        <f ca="1">IFERROR(__xludf.DUMMYFUNCTION("""COMPUTED_VALUE"""),"Бандаж на шейный отдел позвоночника мягкой фиксацией с жесткой вставкой 1005 III(L) - 0222104KZ104")</f>
        <v>Бандаж на шейный отдел позвоночника мягкой фиксацией с жесткой вставкой 1005 III(L) - 0222104KZ104</v>
      </c>
      <c r="G1966" s="1" t="str">
        <f ca="1">IFERROR(__xludf.DUMMYFUNCTION("""COMPUTED_VALUE"""),"KZ.7700.02.01.00851801 / Действительно до 09.03.2027 / 0222104KZ104 / годен до 09.03.2027 г.")</f>
        <v>KZ.7700.02.01.00851801 / Действительно до 09.03.2027 / 0222104KZ104 / годен до 09.03.2027 г.</v>
      </c>
      <c r="H1966" s="1" t="str">
        <f ca="1">IFERROR(__xludf.DUMMYFUNCTION("""COMPUTED_VALUE"""),"Бандаж на шейный отдел позвоночника мягкой фиксацией с жесткой вставкой 1005 III(L) KZ.7700.02.01.00851801 / Действительно до 09.03.2027 / 0222104KZ104 / годен до 09.03.2027 г.")</f>
        <v>Бандаж на шейный отдел позвоночника мягкой фиксацией с жесткой вставкой 1005 III(L) KZ.7700.02.01.00851801 / Действительно до 09.03.2027 / 0222104KZ104 / годен до 09.03.2027 г.</v>
      </c>
    </row>
    <row r="1967" spans="1:8" ht="12.75" x14ac:dyDescent="0.2">
      <c r="A1967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1967" s="1" t="str">
        <f ca="1">IFERROR(__xludf.DUMMYFUNCTION("""COMPUTED_VALUE"""),"KZ.7700.02.01.00860221")</f>
        <v>KZ.7700.02.01.00860221</v>
      </c>
      <c r="C1967" s="1" t="str">
        <f ca="1">IFERROR(__xludf.DUMMYFUNCTION("""COMPUTED_VALUE"""),"Действительно до 09.03.2024")</f>
        <v>Действительно до 09.03.2024</v>
      </c>
      <c r="D1967" s="8" t="str">
        <f ca="1">IFERROR(__xludf.DUMMYFUNCTION("""COMPUTED_VALUE"""),"2121С3005")</f>
        <v>2121С3005</v>
      </c>
      <c r="E1967" s="1" t="str">
        <f ca="1">IFERROR(__xludf.DUMMYFUNCTION("""COMPUTED_VALUE"""),"годен до 09.03.2024 г.")</f>
        <v>годен до 09.03.2024 г.</v>
      </c>
      <c r="F1967" s="1" t="str">
        <f ca="1">IFERROR(__xludf.DUMMYFUNCTION("""COMPUTED_VALUE"""),"Тест-полоски для контроля уровня глюкозы в крови Bionime Rightest GS 550 № 50 - 2121С3005")</f>
        <v>Тест-полоски для контроля уровня глюкозы в крови Bionime Rightest GS 550 № 50 - 2121С3005</v>
      </c>
      <c r="G1967" s="1" t="str">
        <f ca="1">IFERROR(__xludf.DUMMYFUNCTION("""COMPUTED_VALUE"""),"KZ.7700.02.01.00860221 / Действительно до 09.03.2024 / 2121С3005 / годен до 09.03.2024 г.")</f>
        <v>KZ.7700.02.01.00860221 / Действительно до 09.03.2024 / 2121С3005 / годен до 09.03.2024 г.</v>
      </c>
      <c r="H1967" s="1" t="str">
        <f ca="1">IFERROR(__xludf.DUMMYFUNCTION("""COMPUTED_VALUE"""),"Тест-полоски для контроля уровня глюкозы в крови Bionime Rightest GS 550 № 50 KZ.7700.02.01.00860221 / Действительно до 09.03.2024 / 2121С3005 / годен до 09.03.2024 г.")</f>
        <v>Тест-полоски для контроля уровня глюкозы в крови Bionime Rightest GS 550 № 50 KZ.7700.02.01.00860221 / Действительно до 09.03.2024 / 2121С3005 / годен до 09.03.2024 г.</v>
      </c>
    </row>
    <row r="1968" spans="1:8" ht="12.75" x14ac:dyDescent="0.2">
      <c r="A1968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1968" s="1" t="str">
        <f ca="1">IFERROR(__xludf.DUMMYFUNCTION("""COMPUTED_VALUE"""),"KZ.7700.02.01.00861922")</f>
        <v>KZ.7700.02.01.00861922</v>
      </c>
      <c r="C1968" s="1" t="str">
        <f ca="1">IFERROR(__xludf.DUMMYFUNCTION("""COMPUTED_VALUE"""),"Действительно до 08.03.2024")</f>
        <v>Действительно до 08.03.2024</v>
      </c>
      <c r="D1968" s="8" t="str">
        <f ca="1">IFERROR(__xludf.DUMMYFUNCTION("""COMPUTED_VALUE"""),"2121С3004")</f>
        <v>2121С3004</v>
      </c>
      <c r="E1968" s="1" t="str">
        <f ca="1">IFERROR(__xludf.DUMMYFUNCTION("""COMPUTED_VALUE"""),"годен до 08.03.2024 г.")</f>
        <v>годен до 08.03.2024 г.</v>
      </c>
      <c r="F1968" s="1" t="str">
        <f ca="1">IFERROR(__xludf.DUMMYFUNCTION("""COMPUTED_VALUE"""),"Тест-полоски для контроля уровня глюкозы в крови Bionime Rightest GS 550 № 50 - 2121С3004")</f>
        <v>Тест-полоски для контроля уровня глюкозы в крови Bionime Rightest GS 550 № 50 - 2121С3004</v>
      </c>
      <c r="G1968" s="1" t="str">
        <f ca="1">IFERROR(__xludf.DUMMYFUNCTION("""COMPUTED_VALUE"""),"KZ.7700.02.01.00861922 / Действительно до 08.03.2024 / 2121С3004 / годен до 08.03.2024 г.")</f>
        <v>KZ.7700.02.01.00861922 / Действительно до 08.03.2024 / 2121С3004 / годен до 08.03.2024 г.</v>
      </c>
      <c r="H1968" s="1" t="str">
        <f ca="1">IFERROR(__xludf.DUMMYFUNCTION("""COMPUTED_VALUE"""),"Тест-полоски для контроля уровня глюкозы в крови Bionime Rightest GS 550 № 50 KZ.7700.02.01.00861922 / Действительно до 08.03.2024 / 2121С3004 / годен до 08.03.2024 г.")</f>
        <v>Тест-полоски для контроля уровня глюкозы в крови Bionime Rightest GS 550 № 50 KZ.7700.02.01.00861922 / Действительно до 08.03.2024 / 2121С3004 / годен до 08.03.2024 г.</v>
      </c>
    </row>
    <row r="1969" spans="1:8" ht="12.75" x14ac:dyDescent="0.2">
      <c r="A1969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1969" s="1" t="str">
        <f ca="1">IFERROR(__xludf.DUMMYFUNCTION("""COMPUTED_VALUE"""),"KZ.7700.02.01.00865949")</f>
        <v>KZ.7700.02.01.00865949</v>
      </c>
      <c r="C1969" s="1" t="str">
        <f ca="1">IFERROR(__xludf.DUMMYFUNCTION("""COMPUTED_VALUE"""),"Действительно до 01.05.2025")</f>
        <v>Действительно до 01.05.2025</v>
      </c>
      <c r="D1969" s="8" t="str">
        <f ca="1">IFERROR(__xludf.DUMMYFUNCTION("""COMPUTED_VALUE"""),"20220408LS")</f>
        <v>20220408LS</v>
      </c>
      <c r="E1969" s="1" t="str">
        <f ca="1">IFERROR(__xludf.DUMMYFUNCTION("""COMPUTED_VALUE"""),"годен до 04.2025 г.")</f>
        <v>годен до 04.2025 г.</v>
      </c>
      <c r="F1969" s="1" t="str">
        <f ca="1">IFERROR(__xludf.DUMMYFUNCTION("""COMPUTED_VALUE"""),"Экспресс-Тест (полоска) на овуляцию №5 + 1 ПДВ - 20220408LS")</f>
        <v>Экспресс-Тест (полоска) на овуляцию №5 + 1 ПДВ - 20220408LS</v>
      </c>
      <c r="G1969" s="1" t="str">
        <f ca="1">IFERROR(__xludf.DUMMYFUNCTION("""COMPUTED_VALUE"""),"KZ.7700.02.01.00865949 / Действительно до 01.05.2025 / 20220408LS / годен до 04.2025 г.")</f>
        <v>KZ.7700.02.01.00865949 / Действительно до 01.05.2025 / 20220408LS / годен до 04.2025 г.</v>
      </c>
      <c r="H1969" s="1" t="str">
        <f ca="1">IFERROR(__xludf.DUMMYFUNCTION("""COMPUTED_VALUE"""),"Экспресс-Тест (полоска) на овуляцию №5 + 1 ПДВ KZ.7700.02.01.00865949 / Действительно до 01.05.2025 / 20220408LS / годен до 04.2025 г.")</f>
        <v>Экспресс-Тест (полоска) на овуляцию №5 + 1 ПДВ KZ.7700.02.01.00865949 / Действительно до 01.05.2025 / 20220408LS / годен до 04.2025 г.</v>
      </c>
    </row>
    <row r="1970" spans="1:8" ht="12.75" x14ac:dyDescent="0.2">
      <c r="A1970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1970" s="1" t="str">
        <f ca="1">IFERROR(__xludf.DUMMYFUNCTION("""COMPUTED_VALUE"""),"KZ.7700.02.01.00866927")</f>
        <v>KZ.7700.02.01.00866927</v>
      </c>
      <c r="C1970" s="1" t="str">
        <f ca="1">IFERROR(__xludf.DUMMYFUNCTION("""COMPUTED_VALUE"""),"Действительно до 01.05.2025")</f>
        <v>Действительно до 01.05.2025</v>
      </c>
      <c r="D1970" s="8" t="str">
        <f ca="1">IFERROR(__xludf.DUMMYFUNCTION("""COMPUTED_VALUE"""),"20220408HS")</f>
        <v>20220408HS</v>
      </c>
      <c r="E1970" s="1" t="str">
        <f ca="1">IFERROR(__xludf.DUMMYFUNCTION("""COMPUTED_VALUE"""),"годен до 04.2025 г.")</f>
        <v>годен до 04.2025 г.</v>
      </c>
      <c r="F1970" s="1" t="str">
        <f ca="1">IFERROR(__xludf.DUMMYFUNCTION("""COMPUTED_VALUE"""),"Экспресс-Тест (полоска) на беременность 3 мм №1 - 20220408HS")</f>
        <v>Экспресс-Тест (полоска) на беременность 3 мм №1 - 20220408HS</v>
      </c>
      <c r="G1970" s="1" t="str">
        <f ca="1">IFERROR(__xludf.DUMMYFUNCTION("""COMPUTED_VALUE"""),"KZ.7700.02.01.00866927 / Действительно до 01.05.2025 / 20220408HS / годен до 04.2025 г.")</f>
        <v>KZ.7700.02.01.00866927 / Действительно до 01.05.2025 / 20220408HS / годен до 04.2025 г.</v>
      </c>
      <c r="H1970" s="1" t="str">
        <f ca="1">IFERROR(__xludf.DUMMYFUNCTION("""COMPUTED_VALUE"""),"Экспресс-Тест (полоска) на беременность 3 мм №1 KZ.7700.02.01.00866927 / Действительно до 01.05.2025 / 20220408HS / годен до 04.2025 г.")</f>
        <v>Экспресс-Тест (полоска) на беременность 3 мм №1 KZ.7700.02.01.00866927 / Действительно до 01.05.2025 / 20220408HS / годен до 04.2025 г.</v>
      </c>
    </row>
    <row r="1971" spans="1:8" ht="12.75" x14ac:dyDescent="0.2">
      <c r="A1971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1971" s="1" t="str">
        <f ca="1">IFERROR(__xludf.DUMMYFUNCTION("""COMPUTED_VALUE"""),"KZ.7700.02.01.00868571")</f>
        <v>KZ.7700.02.01.00868571</v>
      </c>
      <c r="C1971" s="1" t="str">
        <f ca="1">IFERROR(__xludf.DUMMYFUNCTION("""COMPUTED_VALUE"""),"Действительно до 01.05.2025")</f>
        <v>Действительно до 01.05.2025</v>
      </c>
      <c r="D1971" s="8" t="str">
        <f ca="1">IFERROR(__xludf.DUMMYFUNCTION("""COMPUTED_VALUE"""),"20220408HM")</f>
        <v>20220408HM</v>
      </c>
      <c r="E1971" s="1" t="str">
        <f ca="1">IFERROR(__xludf.DUMMYFUNCTION("""COMPUTED_VALUE"""),"годен до 04.2025 г.")</f>
        <v>годен до 04.2025 г.</v>
      </c>
      <c r="F1971" s="1" t="str">
        <f ca="1">IFERROR(__xludf.DUMMYFUNCTION("""COMPUTED_VALUE"""),"Экспресс-Тест (струйный) на беременность - 20220408HM")</f>
        <v>Экспресс-Тест (струйный) на беременность - 20220408HM</v>
      </c>
      <c r="G1971" s="1" t="str">
        <f ca="1">IFERROR(__xludf.DUMMYFUNCTION("""COMPUTED_VALUE"""),"KZ.7700.02.01.00868571 / Действительно до 01.05.2025 / 20220408HM / годен до 04.2025 г.")</f>
        <v>KZ.7700.02.01.00868571 / Действительно до 01.05.2025 / 20220408HM / годен до 04.2025 г.</v>
      </c>
      <c r="H1971" s="1" t="str">
        <f ca="1">IFERROR(__xludf.DUMMYFUNCTION("""COMPUTED_VALUE"""),"Экспресс-Тест (струйный) на беременность KZ.7700.02.01.00868571 / Действительно до 01.05.2025 / 20220408HM / годен до 04.2025 г.")</f>
        <v>Экспресс-Тест (струйный) на беременность KZ.7700.02.01.00868571 / Действительно до 01.05.2025 / 20220408HM / годен до 04.2025 г.</v>
      </c>
    </row>
    <row r="1972" spans="1:8" ht="12.75" x14ac:dyDescent="0.2">
      <c r="A1972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1972" s="1" t="str">
        <f ca="1">IFERROR(__xludf.DUMMYFUNCTION("""COMPUTED_VALUE"""),"KZ.7700.02.01.00868648")</f>
        <v>KZ.7700.02.01.00868648</v>
      </c>
      <c r="C1972" s="1" t="str">
        <f ca="1">IFERROR(__xludf.DUMMYFUNCTION("""COMPUTED_VALUE"""),"Действительно до 01.05.2025")</f>
        <v>Действительно до 01.05.2025</v>
      </c>
      <c r="D1972" s="8" t="str">
        <f ca="1">IFERROR(__xludf.DUMMYFUNCTION("""COMPUTED_VALUE"""),"20220408HS2")</f>
        <v>20220408HS2</v>
      </c>
      <c r="E1972" s="1" t="str">
        <f ca="1">IFERROR(__xludf.DUMMYFUNCTION("""COMPUTED_VALUE"""),"годен до 04.2025 г.")</f>
        <v>годен до 04.2025 г.</v>
      </c>
      <c r="F1972" s="1" t="str">
        <f ca="1">IFERROR(__xludf.DUMMYFUNCTION("""COMPUTED_VALUE"""),"Экспресс-Тест (полоска) на беременность 3 мм №2 ПДВ - 20220408HS2")</f>
        <v>Экспресс-Тест (полоска) на беременность 3 мм №2 ПДВ - 20220408HS2</v>
      </c>
      <c r="G1972" s="1" t="str">
        <f ca="1">IFERROR(__xludf.DUMMYFUNCTION("""COMPUTED_VALUE"""),"KZ.7700.02.01.00868648 / Действительно до 01.05.2025 / 20220408HS2 / годен до 04.2025 г.")</f>
        <v>KZ.7700.02.01.00868648 / Действительно до 01.05.2025 / 20220408HS2 / годен до 04.2025 г.</v>
      </c>
      <c r="H1972" s="1" t="str">
        <f ca="1">IFERROR(__xludf.DUMMYFUNCTION("""COMPUTED_VALUE"""),"Экспресс-Тест (полоска) на беременность 3 мм №2 ПДВ KZ.7700.02.01.00868648 / Действительно до 01.05.2025 / 20220408HS2 / годен до 04.2025 г.")</f>
        <v>Экспресс-Тест (полоска) на беременность 3 мм №2 ПДВ KZ.7700.02.01.00868648 / Действительно до 01.05.2025 / 20220408HS2 / годен до 04.2025 г.</v>
      </c>
    </row>
    <row r="1973" spans="1:8" ht="12.75" x14ac:dyDescent="0.2">
      <c r="A1973" s="1" t="str">
        <f ca="1">IFERROR(__xludf.DUMMYFUNCTION("""COMPUTED_VALUE"""),"Тест-полоски для контроля ур глюкозы Rightest GS300 (2уп. х 25шт)")</f>
        <v>Тест-полоски для контроля ур глюкозы Rightest GS300 (2уп. х 25шт)</v>
      </c>
      <c r="B1973" s="1" t="str">
        <f ca="1">IFERROR(__xludf.DUMMYFUNCTION("""COMPUTED_VALUE"""),"KZ.7700.02.01.00872674")</f>
        <v>KZ.7700.02.01.00872674</v>
      </c>
      <c r="C1973" s="1" t="str">
        <f ca="1">IFERROR(__xludf.DUMMYFUNCTION("""COMPUTED_VALUE"""),"Действительно до 17.02.2024")</f>
        <v>Действительно до 17.02.2024</v>
      </c>
      <c r="D1973" s="8" t="str">
        <f ca="1">IFERROR(__xludf.DUMMYFUNCTION("""COMPUTED_VALUE"""),"212232101")</f>
        <v>212232101</v>
      </c>
      <c r="E1973" s="1" t="str">
        <f ca="1">IFERROR(__xludf.DUMMYFUNCTION("""COMPUTED_VALUE"""),"годен до 17.02.2024 г.")</f>
        <v>годен до 17.02.2024 г.</v>
      </c>
      <c r="F1973" s="1" t="str">
        <f ca="1">IFERROR(__xludf.DUMMYFUNCTION("""COMPUTED_VALUE"""),"Тест-полоски для контроля ур глюкозы Rightest GS300 (2уп. х 25шт) - 212232101")</f>
        <v>Тест-полоски для контроля ур глюкозы Rightest GS300 (2уп. х 25шт) - 212232101</v>
      </c>
      <c r="G1973" s="1" t="str">
        <f ca="1">IFERROR(__xludf.DUMMYFUNCTION("""COMPUTED_VALUE"""),"KZ.7700.02.01.00872674 / Действительно до 17.02.2024 / 212232101 / годен до 17.02.2024 г.")</f>
        <v>KZ.7700.02.01.00872674 / Действительно до 17.02.2024 / 212232101 / годен до 17.02.2024 г.</v>
      </c>
      <c r="H1973" s="1" t="str">
        <f ca="1">IFERROR(__xludf.DUMMYFUNCTION("""COMPUTED_VALUE"""),"Тест-полоски для контроля ур глюкозы Rightest GS300 (2уп. х 25шт) KZ.7700.02.01.00872674 / Действительно до 17.02.2024 / 212232101 / годен до 17.02.2024 г.")</f>
        <v>Тест-полоски для контроля ур глюкозы Rightest GS300 (2уп. х 25шт) KZ.7700.02.01.00872674 / Действительно до 17.02.2024 / 212232101 / годен до 17.02.2024 г.</v>
      </c>
    </row>
    <row r="1974" spans="1:8" ht="12.75" x14ac:dyDescent="0.2">
      <c r="A1974" s="1" t="str">
        <f ca="1">IFERROR(__xludf.DUMMYFUNCTION("""COMPUTED_VALUE"""),"Тест-полоски для контроля ур глюкозы Rightest GS300 (2уп. х 25шт)")</f>
        <v>Тест-полоски для контроля ур глюкозы Rightest GS300 (2уп. х 25шт)</v>
      </c>
      <c r="B1974" s="1" t="str">
        <f ca="1">IFERROR(__xludf.DUMMYFUNCTION("""COMPUTED_VALUE"""),"KZ.7700.02.01.00872391")</f>
        <v>KZ.7700.02.01.00872391</v>
      </c>
      <c r="C1974" s="1" t="str">
        <f ca="1">IFERROR(__xludf.DUMMYFUNCTION("""COMPUTED_VALUE"""),"Действительно до 21.03.2024")</f>
        <v>Действительно до 21.03.2024</v>
      </c>
      <c r="D1974" s="8" t="str">
        <f ca="1">IFERROR(__xludf.DUMMYFUNCTION("""COMPUTED_VALUE"""),"212242209")</f>
        <v>212242209</v>
      </c>
      <c r="E1974" s="1" t="str">
        <f ca="1">IFERROR(__xludf.DUMMYFUNCTION("""COMPUTED_VALUE"""),"годен до 21.03.2024 г.")</f>
        <v>годен до 21.03.2024 г.</v>
      </c>
      <c r="F1974" s="1" t="str">
        <f ca="1">IFERROR(__xludf.DUMMYFUNCTION("""COMPUTED_VALUE"""),"Тест-полоски для контроля ур глюкозы Rightest GS300 (2уп. х 25шт) - 212242209")</f>
        <v>Тест-полоски для контроля ур глюкозы Rightest GS300 (2уп. х 25шт) - 212242209</v>
      </c>
      <c r="G1974" s="1" t="str">
        <f ca="1">IFERROR(__xludf.DUMMYFUNCTION("""COMPUTED_VALUE"""),"KZ.7700.02.01.00872391 / Действительно до 21.03.2024 / 212242209 / годен до 21.03.2024 г.")</f>
        <v>KZ.7700.02.01.00872391 / Действительно до 21.03.2024 / 212242209 / годен до 21.03.2024 г.</v>
      </c>
      <c r="H1974" s="1" t="str">
        <f ca="1">IFERROR(__xludf.DUMMYFUNCTION("""COMPUTED_VALUE"""),"Тест-полоски для контроля ур глюкозы Rightest GS300 (2уп. х 25шт) KZ.7700.02.01.00872391 / Действительно до 21.03.2024 / 212242209 / годен до 21.03.2024 г.")</f>
        <v>Тест-полоски для контроля ур глюкозы Rightest GS300 (2уп. х 25шт) KZ.7700.02.01.00872391 / Действительно до 21.03.2024 / 212242209 / годен до 21.03.2024 г.</v>
      </c>
    </row>
    <row r="1975" spans="1:8" ht="12.75" x14ac:dyDescent="0.2">
      <c r="A1975" s="1" t="str">
        <f ca="1">IFERROR(__xludf.DUMMYFUNCTION("""COMPUTED_VALUE"""),"Ингалятор компрессорный Gamma модель NEMO")</f>
        <v>Ингалятор компрессорный Gamma модель NEMO</v>
      </c>
      <c r="B1975" s="1" t="str">
        <f ca="1">IFERROR(__xludf.DUMMYFUNCTION("""COMPUTED_VALUE"""),"KZ.7700.02.01.00888062")</f>
        <v>KZ.7700.02.01.00888062</v>
      </c>
      <c r="C1975" s="1" t="str">
        <f ca="1">IFERROR(__xludf.DUMMYFUNCTION("""COMPUTED_VALUE"""),"Действительно до бессрочно")</f>
        <v>Действительно до бессрочно</v>
      </c>
      <c r="D1975" s="8" t="str">
        <f ca="1">IFERROR(__xludf.DUMMYFUNCTION("""COMPUTED_VALUE"""),"JL-MGS-0124")</f>
        <v>JL-MGS-0124</v>
      </c>
      <c r="E1975" s="1" t="str">
        <f ca="1">IFERROR(__xludf.DUMMYFUNCTION("""COMPUTED_VALUE"""),"без срока годности")</f>
        <v>без срока годности</v>
      </c>
      <c r="F1975" s="1" t="str">
        <f ca="1">IFERROR(__xludf.DUMMYFUNCTION("""COMPUTED_VALUE"""),"Ингалятор компрессорный Gamma модель NEMO - JL-MGS-0124")</f>
        <v>Ингалятор компрессорный Gamma модель NEMO - JL-MGS-0124</v>
      </c>
      <c r="G1975" s="1" t="str">
        <f ca="1">IFERROR(__xludf.DUMMYFUNCTION("""COMPUTED_VALUE"""),"KZ.7700.02.01.00888062 / Действительно до бессрочно / JL-MGS-0124 / без срока годности")</f>
        <v>KZ.7700.02.01.00888062 / Действительно до бессрочно / JL-MGS-0124 / без срока годности</v>
      </c>
      <c r="H1975" s="1" t="str">
        <f ca="1">IFERROR(__xludf.DUMMYFUNCTION("""COMPUTED_VALUE"""),"Ингалятор компрессорный Gamma модель NEMO KZ.7700.02.01.00888062 / Действительно до бессрочно / JL-MGS-0124 / без срока годности")</f>
        <v>Ингалятор компрессорный Gamma модель NEMO KZ.7700.02.01.00888062 / Действительно до бессрочно / JL-MGS-0124 / без срока годности</v>
      </c>
    </row>
    <row r="1976" spans="1:8" ht="12.75" x14ac:dyDescent="0.2">
      <c r="A1976" s="1" t="str">
        <f ca="1">IFERROR(__xludf.DUMMYFUNCTION("""COMPUTED_VALUE"""),"DOLPHI 3 в 1 №3 Презервативы латексные")</f>
        <v>DOLPHI 3 в 1 №3 Презервативы латексные</v>
      </c>
      <c r="B1976" s="1" t="str">
        <f ca="1">IFERROR(__xludf.DUMMYFUNCTION("""COMPUTED_VALUE"""),"KZ.7700.02.01.00888338")</f>
        <v>KZ.7700.02.01.00888338</v>
      </c>
      <c r="C1976" s="1" t="str">
        <f ca="1">IFERROR(__xludf.DUMMYFUNCTION("""COMPUTED_VALUE"""),"Действительно до 01.02.2027")</f>
        <v>Действительно до 01.02.2027</v>
      </c>
      <c r="D1976" s="8" t="str">
        <f ca="1">IFERROR(__xludf.DUMMYFUNCTION("""COMPUTED_VALUE"""),"2201TNI2841")</f>
        <v>2201TNI2841</v>
      </c>
      <c r="E1976" s="1" t="str">
        <f ca="1">IFERROR(__xludf.DUMMYFUNCTION("""COMPUTED_VALUE"""),"годен до 01.2027")</f>
        <v>годен до 01.2027</v>
      </c>
      <c r="F1976" s="1" t="str">
        <f ca="1">IFERROR(__xludf.DUMMYFUNCTION("""COMPUTED_VALUE"""),"DOLPHI 3 в 1 №3 Презервативы латексные - 2201TNI2841")</f>
        <v>DOLPHI 3 в 1 №3 Презервативы латексные - 2201TNI2841</v>
      </c>
      <c r="G1976" s="1" t="str">
        <f ca="1">IFERROR(__xludf.DUMMYFUNCTION("""COMPUTED_VALUE"""),"KZ.7700.02.01.00888338 / Действительно до 01.02.2027 / 2201TNI2841 / годен до 01.2027")</f>
        <v>KZ.7700.02.01.00888338 / Действительно до 01.02.2027 / 2201TNI2841 / годен до 01.2027</v>
      </c>
      <c r="H1976" s="1" t="str">
        <f ca="1">IFERROR(__xludf.DUMMYFUNCTION("""COMPUTED_VALUE"""),"DOLPHI 3 в 1 №3 Презервативы латексные KZ.7700.02.01.00888338 / Действительно до 01.02.2027 / 2201TNI2841 / годен до 01.2027")</f>
        <v>DOLPHI 3 в 1 №3 Презервативы латексные KZ.7700.02.01.00888338 / Действительно до 01.02.2027 / 2201TNI2841 / годен до 01.2027</v>
      </c>
    </row>
    <row r="1977" spans="1:8" ht="12.75" x14ac:dyDescent="0.2">
      <c r="A1977" s="1" t="str">
        <f ca="1">IFERROR(__xludf.DUMMYFUNCTION("""COMPUTED_VALUE"""),"DOLPHI 3 в 1 №12 Презервативы латексные")</f>
        <v>DOLPHI 3 в 1 №12 Презервативы латексные</v>
      </c>
      <c r="B1977" s="1" t="str">
        <f ca="1">IFERROR(__xludf.DUMMYFUNCTION("""COMPUTED_VALUE"""),"KZ.7700.02.01.00888377")</f>
        <v>KZ.7700.02.01.00888377</v>
      </c>
      <c r="C1977" s="1" t="str">
        <f ca="1">IFERROR(__xludf.DUMMYFUNCTION("""COMPUTED_VALUE"""),"Действительно до 01.02.2027")</f>
        <v>Действительно до 01.02.2027</v>
      </c>
      <c r="D1977" s="8" t="str">
        <f ca="1">IFERROR(__xludf.DUMMYFUNCTION("""COMPUTED_VALUE"""),"2201TNI2841")</f>
        <v>2201TNI2841</v>
      </c>
      <c r="E1977" s="1" t="str">
        <f ca="1">IFERROR(__xludf.DUMMYFUNCTION("""COMPUTED_VALUE"""),"годен до 01.2027")</f>
        <v>годен до 01.2027</v>
      </c>
      <c r="F1977" s="1" t="str">
        <f ca="1">IFERROR(__xludf.DUMMYFUNCTION("""COMPUTED_VALUE"""),"DOLPHI 3 в 1 №12 Презервативы латексные - 2201TNI2841")</f>
        <v>DOLPHI 3 в 1 №12 Презервативы латексные - 2201TNI2841</v>
      </c>
      <c r="G1977" s="1" t="str">
        <f ca="1">IFERROR(__xludf.DUMMYFUNCTION("""COMPUTED_VALUE"""),"KZ.7700.02.01.00888377 / Действительно до 01.02.2027 / 2201TNI2841 / годен до 01.2027")</f>
        <v>KZ.7700.02.01.00888377 / Действительно до 01.02.2027 / 2201TNI2841 / годен до 01.2027</v>
      </c>
      <c r="H1977" s="1" t="str">
        <f ca="1">IFERROR(__xludf.DUMMYFUNCTION("""COMPUTED_VALUE"""),"DOLPHI 3 в 1 №12 Презервативы латексные KZ.7700.02.01.00888377 / Действительно до 01.02.2027 / 2201TNI2841 / годен до 01.2027")</f>
        <v>DOLPHI 3 в 1 №12 Презервативы латексные KZ.7700.02.01.00888377 / Действительно до 01.02.2027 / 2201TNI2841 / годен до 01.2027</v>
      </c>
    </row>
    <row r="1978" spans="1:8" ht="12.75" x14ac:dyDescent="0.2">
      <c r="A1978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1978" s="1" t="str">
        <f ca="1">IFERROR(__xludf.DUMMYFUNCTION("""COMPUTED_VALUE"""),"KZ.7700.02.01.00887692")</f>
        <v>KZ.7700.02.01.00887692</v>
      </c>
      <c r="C1978" s="1" t="str">
        <f ca="1">IFERROR(__xludf.DUMMYFUNCTION("""COMPUTED_VALUE"""),"Действительно до 01.03.2027")</f>
        <v>Действительно до 01.03.2027</v>
      </c>
      <c r="D1978" s="8" t="str">
        <f ca="1">IFERROR(__xludf.DUMMYFUNCTION("""COMPUTED_VALUE"""),"2202TNI3142")</f>
        <v>2202TNI3142</v>
      </c>
      <c r="E1978" s="1" t="str">
        <f ca="1">IFERROR(__xludf.DUMMYFUNCTION("""COMPUTED_VALUE"""),"годен до 02.2027")</f>
        <v>годен до 02.2027</v>
      </c>
      <c r="F1978" s="1" t="str">
        <f ca="1">IFERROR(__xludf.DUMMYFUNCTION("""COMPUTED_VALUE"""),"DOLPHI анатомические ультратонкие Презервативы латексные, № 3 - 2202TNI3142")</f>
        <v>DOLPHI анатомические ультратонкие Презервативы латексные, № 3 - 2202TNI3142</v>
      </c>
      <c r="G1978" s="1" t="str">
        <f ca="1">IFERROR(__xludf.DUMMYFUNCTION("""COMPUTED_VALUE"""),"KZ.7700.02.01.00887692 / Действительно до 01.03.2027 / 2202TNI3142 / годен до 02.2027")</f>
        <v>KZ.7700.02.01.00887692 / Действительно до 01.03.2027 / 2202TNI3142 / годен до 02.2027</v>
      </c>
      <c r="H1978" s="1" t="str">
        <f ca="1">IFERROR(__xludf.DUMMYFUNCTION("""COMPUTED_VALUE"""),"DOLPHI анатомические ультратонкие Презервативы латексные, № 3 KZ.7700.02.01.00887692 / Действительно до 01.03.2027 / 2202TNI3142 / годен до 02.2027")</f>
        <v>DOLPHI анатомические ультратонкие Презервативы латексные, № 3 KZ.7700.02.01.00887692 / Действительно до 01.03.2027 / 2202TNI3142 / годен до 02.2027</v>
      </c>
    </row>
    <row r="1979" spans="1:8" ht="12.75" x14ac:dyDescent="0.2">
      <c r="A1979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1979" s="1" t="str">
        <f ca="1">IFERROR(__xludf.DUMMYFUNCTION("""COMPUTED_VALUE"""),"KZ.7700.02.01.00892244")</f>
        <v>KZ.7700.02.01.00892244</v>
      </c>
      <c r="C1979" s="1" t="str">
        <f ca="1">IFERROR(__xludf.DUMMYFUNCTION("""COMPUTED_VALUE"""),"Действительно до 01.01.2027")</f>
        <v>Действительно до 01.01.2027</v>
      </c>
      <c r="D1979" s="8" t="str">
        <f ca="1">IFERROR(__xludf.DUMMYFUNCTION("""COMPUTED_VALUE"""),"2112TNI3141")</f>
        <v>2112TNI3141</v>
      </c>
      <c r="E1979" s="1" t="str">
        <f ca="1">IFERROR(__xludf.DUMMYFUNCTION("""COMPUTED_VALUE"""),"годен до 12.2026")</f>
        <v>годен до 12.2026</v>
      </c>
      <c r="F1979" s="1" t="str">
        <f ca="1">IFERROR(__xludf.DUMMYFUNCTION("""COMPUTED_VALUE"""),"DOLPHI анатомические ультратонкие, №12 Презервативы латексные - 2112TNI3141")</f>
        <v>DOLPHI анатомические ультратонкие, №12 Презервативы латексные - 2112TNI3141</v>
      </c>
      <c r="G1979" s="1" t="str">
        <f ca="1">IFERROR(__xludf.DUMMYFUNCTION("""COMPUTED_VALUE"""),"KZ.7700.02.01.00892244 / Действительно до 01.01.2027 / 2112TNI3141 / годен до 12.2026")</f>
        <v>KZ.7700.02.01.00892244 / Действительно до 01.01.2027 / 2112TNI3141 / годен до 12.2026</v>
      </c>
      <c r="H1979" s="1" t="str">
        <f ca="1">IFERROR(__xludf.DUMMYFUNCTION("""COMPUTED_VALUE"""),"DOLPHI анатомические ультратонкие, №12 Презервативы латексные KZ.7700.02.01.00892244 / Действительно до 01.01.2027 / 2112TNI3141 / годен до 12.2026")</f>
        <v>DOLPHI анатомические ультратонкие, №12 Презервативы латексные KZ.7700.02.01.00892244 / Действительно до 01.01.2027 / 2112TNI3141 / годен до 12.2026</v>
      </c>
    </row>
    <row r="1980" spans="1:8" ht="12.75" x14ac:dyDescent="0.2">
      <c r="A1980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1980" s="1" t="str">
        <f ca="1">IFERROR(__xludf.DUMMYFUNCTION("""COMPUTED_VALUE"""),"KZ.7700.02.01.00890325")</f>
        <v>KZ.7700.02.01.00890325</v>
      </c>
      <c r="C1980" s="1" t="str">
        <f ca="1">IFERROR(__xludf.DUMMYFUNCTION("""COMPUTED_VALUE"""),"Действительно до 01.04.2027")</f>
        <v>Действительно до 01.04.2027</v>
      </c>
      <c r="D1980" s="8" t="str">
        <f ca="1">IFERROR(__xludf.DUMMYFUNCTION("""COMPUTED_VALUE"""),"2203TNI3139")</f>
        <v>2203TNI3139</v>
      </c>
      <c r="E1980" s="1" t="str">
        <f ca="1">IFERROR(__xludf.DUMMYFUNCTION("""COMPUTED_VALUE"""),"годен до 03.2027")</f>
        <v>годен до 03.2027</v>
      </c>
      <c r="F1980" s="1" t="str">
        <f ca="1">IFERROR(__xludf.DUMMYFUNCTION("""COMPUTED_VALUE"""),"Mister Ben классические № 3 Презервативы латексные - 2203TNI3139")</f>
        <v>Mister Ben классические № 3 Презервативы латексные - 2203TNI3139</v>
      </c>
      <c r="G1980" s="1" t="str">
        <f ca="1">IFERROR(__xludf.DUMMYFUNCTION("""COMPUTED_VALUE"""),"KZ.7700.02.01.00890325 / Действительно до 01.04.2027 / 2203TNI3139 / годен до 03.2027")</f>
        <v>KZ.7700.02.01.00890325 / Действительно до 01.04.2027 / 2203TNI3139 / годен до 03.2027</v>
      </c>
      <c r="H1980" s="1" t="str">
        <f ca="1">IFERROR(__xludf.DUMMYFUNCTION("""COMPUTED_VALUE"""),"Mister Ben классические № 3 Презервативы латексные KZ.7700.02.01.00890325 / Действительно до 01.04.2027 / 2203TNI3139 / годен до 03.2027")</f>
        <v>Mister Ben классические № 3 Презервативы латексные KZ.7700.02.01.00890325 / Действительно до 01.04.2027 / 2203TNI3139 / годен до 03.2027</v>
      </c>
    </row>
    <row r="1981" spans="1:8" ht="12.75" x14ac:dyDescent="0.2">
      <c r="A1981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1981" s="1" t="str">
        <f ca="1">IFERROR(__xludf.DUMMYFUNCTION("""COMPUTED_VALUE"""),"KZ.7700.02.01.00892055")</f>
        <v>KZ.7700.02.01.00892055</v>
      </c>
      <c r="C1981" s="1" t="str">
        <f ca="1">IFERROR(__xludf.DUMMYFUNCTION("""COMPUTED_VALUE"""),"Действительно до 01.10.2026")</f>
        <v>Действительно до 01.10.2026</v>
      </c>
      <c r="D1981" s="8" t="str">
        <f ca="1">IFERROR(__xludf.DUMMYFUNCTION("""COMPUTED_VALUE"""),"2109TNI2818")</f>
        <v>2109TNI2818</v>
      </c>
      <c r="E1981" s="1" t="str">
        <f ca="1">IFERROR(__xludf.DUMMYFUNCTION("""COMPUTED_VALUE"""),"годен до 09.2026")</f>
        <v>годен до 09.2026</v>
      </c>
      <c r="F1981" s="1" t="str">
        <f ca="1">IFERROR(__xludf.DUMMYFUNCTION("""COMPUTED_VALUE"""),"Sexxxy классические №3 Презервативы латексные - 2109TNI2818")</f>
        <v>Sexxxy классические №3 Презервативы латексные - 2109TNI2818</v>
      </c>
      <c r="G1981" s="1" t="str">
        <f ca="1">IFERROR(__xludf.DUMMYFUNCTION("""COMPUTED_VALUE"""),"KZ.7700.02.01.00892055 / Действительно до 01.10.2026 / 2109TNI2818 / годен до 09.2026")</f>
        <v>KZ.7700.02.01.00892055 / Действительно до 01.10.2026 / 2109TNI2818 / годен до 09.2026</v>
      </c>
      <c r="H1981" s="1" t="str">
        <f ca="1">IFERROR(__xludf.DUMMYFUNCTION("""COMPUTED_VALUE"""),"Sexxxy классические №3 Презервативы латексные KZ.7700.02.01.00892055 / Действительно до 01.10.2026 / 2109TNI2818 / годен до 09.2026")</f>
        <v>Sexxxy классические №3 Презервативы латексные KZ.7700.02.01.00892055 / Действительно до 01.10.2026 / 2109TNI2818 / годен до 09.2026</v>
      </c>
    </row>
    <row r="1982" spans="1:8" ht="12.75" x14ac:dyDescent="0.2">
      <c r="A1982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1982" s="1" t="str">
        <f ca="1">IFERROR(__xludf.DUMMYFUNCTION("""COMPUTED_VALUE"""),"KZ.7700.02.01.00888404")</f>
        <v>KZ.7700.02.01.00888404</v>
      </c>
      <c r="C1982" s="1" t="str">
        <f ca="1">IFERROR(__xludf.DUMMYFUNCTION("""COMPUTED_VALUE"""),"Действительно до 01.01.2027")</f>
        <v>Действительно до 01.01.2027</v>
      </c>
      <c r="D1982" s="8" t="str">
        <f ca="1">IFERROR(__xludf.DUMMYFUNCTION("""COMPUTED_VALUE"""),"2112TNI2679")</f>
        <v>2112TNI2679</v>
      </c>
      <c r="E1982" s="1" t="str">
        <f ca="1">IFERROR(__xludf.DUMMYFUNCTION("""COMPUTED_VALUE"""),"годен до 12.2026")</f>
        <v>годен до 12.2026</v>
      </c>
      <c r="F1982" s="1" t="str">
        <f ca="1">IFERROR(__xludf.DUMMYFUNCTION("""COMPUTED_VALUE"""),"Mister Ben Ребристые № 3 Презервативы латексные - 2112TNI2679")</f>
        <v>Mister Ben Ребристые № 3 Презервативы латексные - 2112TNI2679</v>
      </c>
      <c r="G1982" s="1" t="str">
        <f ca="1">IFERROR(__xludf.DUMMYFUNCTION("""COMPUTED_VALUE"""),"KZ.7700.02.01.00888404 / Действительно до 01.01.2027 / 2112TNI2679 / годен до 12.2026")</f>
        <v>KZ.7700.02.01.00888404 / Действительно до 01.01.2027 / 2112TNI2679 / годен до 12.2026</v>
      </c>
      <c r="H1982" s="1" t="str">
        <f ca="1">IFERROR(__xludf.DUMMYFUNCTION("""COMPUTED_VALUE"""),"Mister Ben Ребристые № 3 Презервативы латексные KZ.7700.02.01.00888404 / Действительно до 01.01.2027 / 2112TNI2679 / годен до 12.2026")</f>
        <v>Mister Ben Ребристые № 3 Презервативы латексные KZ.7700.02.01.00888404 / Действительно до 01.01.2027 / 2112TNI2679 / годен до 12.2026</v>
      </c>
    </row>
    <row r="1983" spans="1:8" ht="12.75" x14ac:dyDescent="0.2">
      <c r="A1983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1983" s="1" t="str">
        <f ca="1">IFERROR(__xludf.DUMMYFUNCTION("""COMPUTED_VALUE"""),"KZ.7700.02.01.00887790")</f>
        <v>KZ.7700.02.01.00887790</v>
      </c>
      <c r="C1983" s="1" t="str">
        <f ca="1">IFERROR(__xludf.DUMMYFUNCTION("""COMPUTED_VALUE"""),"Действительно до 01.01.2027")</f>
        <v>Действительно до 01.01.2027</v>
      </c>
      <c r="D1983" s="8" t="str">
        <f ca="1">IFERROR(__xludf.DUMMYFUNCTION("""COMPUTED_VALUE"""),"2112TNI2678")</f>
        <v>2112TNI2678</v>
      </c>
      <c r="E1983" s="1" t="str">
        <f ca="1">IFERROR(__xludf.DUMMYFUNCTION("""COMPUTED_VALUE"""),"годен до 12.2026")</f>
        <v>годен до 12.2026</v>
      </c>
      <c r="F1983" s="1" t="str">
        <f ca="1">IFERROR(__xludf.DUMMYFUNCTION("""COMPUTED_VALUE"""),"Mister Ben С точечной структурой № 3 Презервативы латексные - 2112TNI2678")</f>
        <v>Mister Ben С точечной структурой № 3 Презервативы латексные - 2112TNI2678</v>
      </c>
      <c r="G1983" s="1" t="str">
        <f ca="1">IFERROR(__xludf.DUMMYFUNCTION("""COMPUTED_VALUE"""),"KZ.7700.02.01.00887790 / Действительно до 01.01.2027 / 2112TNI2678 / годен до 12.2026")</f>
        <v>KZ.7700.02.01.00887790 / Действительно до 01.01.2027 / 2112TNI2678 / годен до 12.2026</v>
      </c>
      <c r="H1983" s="1" t="str">
        <f ca="1">IFERROR(__xludf.DUMMYFUNCTION("""COMPUTED_VALUE"""),"Mister Ben С точечной структурой № 3 Презервативы латексные KZ.7700.02.01.00887790 / Действительно до 01.01.2027 / 2112TNI2678 / годен до 12.2026")</f>
        <v>Mister Ben С точечной структурой № 3 Презервативы латексные KZ.7700.02.01.00887790 / Действительно до 01.01.2027 / 2112TNI2678 / годен до 12.2026</v>
      </c>
    </row>
    <row r="1984" spans="1:8" ht="12.75" x14ac:dyDescent="0.2">
      <c r="A1984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1984" s="1" t="str">
        <f ca="1">IFERROR(__xludf.DUMMYFUNCTION("""COMPUTED_VALUE"""),"KZ.7700.02.01.00888145")</f>
        <v>KZ.7700.02.01.00888145</v>
      </c>
      <c r="C1984" s="1" t="str">
        <f ca="1">IFERROR(__xludf.DUMMYFUNCTION("""COMPUTED_VALUE"""),"Действительно до 25.05.2027")</f>
        <v>Действительно до 25.05.2027</v>
      </c>
      <c r="D1984" s="8" t="str">
        <f ca="1">IFERROR(__xludf.DUMMYFUNCTION("""COMPUTED_VALUE"""),"0522006KZ006")</f>
        <v>0522006KZ006</v>
      </c>
      <c r="E1984" s="1" t="str">
        <f ca="1">IFERROR(__xludf.DUMMYFUNCTION("""COMPUTED_VALUE"""),"годен до 25.05.2027")</f>
        <v>годен до 25.05.2027</v>
      </c>
      <c r="F1984" s="1" t="str">
        <f ca="1">IFERROR(__xludf.DUMMYFUNCTION("""COMPUTED_VALUE"""),"Бинт эластичный медицинский средней растяжимости (ширина 80 мм) 02х80х1 - 0522006KZ006")</f>
        <v>Бинт эластичный медицинский средней растяжимости (ширина 80 мм) 02х80х1 - 0522006KZ006</v>
      </c>
      <c r="G1984" s="1" t="str">
        <f ca="1">IFERROR(__xludf.DUMMYFUNCTION("""COMPUTED_VALUE"""),"KZ.7700.02.01.00888145 / Действительно до 25.05.2027 / 0522006KZ006 / годен до 25.05.2027")</f>
        <v>KZ.7700.02.01.00888145 / Действительно до 25.05.2027 / 0522006KZ006 / годен до 25.05.2027</v>
      </c>
      <c r="H1984" s="1" t="str">
        <f ca="1">IFERROR(__xludf.DUMMYFUNCTION("""COMPUTED_VALUE"""),"Бинт эластичный медицинский средней растяжимости (ширина 80 мм) 02х80х1 KZ.7700.02.01.00888145 / Действительно до 25.05.2027 / 0522006KZ006 / годен до 25.05.2027")</f>
        <v>Бинт эластичный медицинский средней растяжимости (ширина 80 мм) 02х80х1 KZ.7700.02.01.00888145 / Действительно до 25.05.2027 / 0522006KZ006 / годен до 25.05.2027</v>
      </c>
    </row>
    <row r="1985" spans="1:8" ht="12.75" x14ac:dyDescent="0.2">
      <c r="A1985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1985" s="1" t="str">
        <f ca="1">IFERROR(__xludf.DUMMYFUNCTION("""COMPUTED_VALUE"""),"KZ.7700.02.01.00891557")</f>
        <v>KZ.7700.02.01.00891557</v>
      </c>
      <c r="C1985" s="1" t="str">
        <f ca="1">IFERROR(__xludf.DUMMYFUNCTION("""COMPUTED_VALUE"""),"Действительно до 25.05.2027")</f>
        <v>Действительно до 25.05.2027</v>
      </c>
      <c r="D1985" s="8" t="str">
        <f ca="1">IFERROR(__xludf.DUMMYFUNCTION("""COMPUTED_VALUE"""),"0522006KZ006")</f>
        <v>0522006KZ006</v>
      </c>
      <c r="E1985" s="1" t="str">
        <f ca="1">IFERROR(__xludf.DUMMYFUNCTION("""COMPUTED_VALUE"""),"годен до 25.05.2027")</f>
        <v>годен до 25.05.2027</v>
      </c>
      <c r="F1985" s="1" t="str">
        <f ca="1">IFERROR(__xludf.DUMMYFUNCTION("""COMPUTED_VALUE"""),"Бинт эластичный медицинский средней растяжимости (ширина 80 мм) 02х80х1.5 - 0522006KZ006")</f>
        <v>Бинт эластичный медицинский средней растяжимости (ширина 80 мм) 02х80х1.5 - 0522006KZ006</v>
      </c>
      <c r="G1985" s="1" t="str">
        <f ca="1">IFERROR(__xludf.DUMMYFUNCTION("""COMPUTED_VALUE"""),"KZ.7700.02.01.00891557 / Действительно до 25.05.2027 / 0522006KZ006 / годен до 25.05.2027")</f>
        <v>KZ.7700.02.01.00891557 / Действительно до 25.05.2027 / 0522006KZ006 / годен до 25.05.2027</v>
      </c>
      <c r="H1985" s="1" t="str">
        <f ca="1">IFERROR(__xludf.DUMMYFUNCTION("""COMPUTED_VALUE"""),"Бинт эластичный медицинский средней растяжимости (ширина 80 мм) 02х80х1.5 KZ.7700.02.01.00891557 / Действительно до 25.05.2027 / 0522006KZ006 / годен до 25.05.2027")</f>
        <v>Бинт эластичный медицинский средней растяжимости (ширина 80 мм) 02х80х1.5 KZ.7700.02.01.00891557 / Действительно до 25.05.2027 / 0522006KZ006 / годен до 25.05.2027</v>
      </c>
    </row>
    <row r="1986" spans="1:8" ht="12.75" x14ac:dyDescent="0.2">
      <c r="A1986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1986" s="1" t="str">
        <f ca="1">IFERROR(__xludf.DUMMYFUNCTION("""COMPUTED_VALUE"""),"KZ.7700.02.01.00887395")</f>
        <v>KZ.7700.02.01.00887395</v>
      </c>
      <c r="C1986" s="1" t="str">
        <f ca="1">IFERROR(__xludf.DUMMYFUNCTION("""COMPUTED_VALUE"""),"Действительно до 25.05.2027")</f>
        <v>Действительно до 25.05.2027</v>
      </c>
      <c r="D1986" s="8" t="str">
        <f ca="1">IFERROR(__xludf.DUMMYFUNCTION("""COMPUTED_VALUE"""),"0522006KZ006")</f>
        <v>0522006KZ006</v>
      </c>
      <c r="E1986" s="1" t="str">
        <f ca="1">IFERROR(__xludf.DUMMYFUNCTION("""COMPUTED_VALUE"""),"годен до 25.05.2027")</f>
        <v>годен до 25.05.2027</v>
      </c>
      <c r="F1986" s="1" t="str">
        <f ca="1">IFERROR(__xludf.DUMMYFUNCTION("""COMPUTED_VALUE"""),"Бинт эластичный медицинский средней растяжимости (ширина 80 мм) 02х80х2 - 0522006KZ006")</f>
        <v>Бинт эластичный медицинский средней растяжимости (ширина 80 мм) 02х80х2 - 0522006KZ006</v>
      </c>
      <c r="G1986" s="1" t="str">
        <f ca="1">IFERROR(__xludf.DUMMYFUNCTION("""COMPUTED_VALUE"""),"KZ.7700.02.01.00887395 / Действительно до 25.05.2027 / 0522006KZ006 / годен до 25.05.2027")</f>
        <v>KZ.7700.02.01.00887395 / Действительно до 25.05.2027 / 0522006KZ006 / годен до 25.05.2027</v>
      </c>
      <c r="H1986" s="1" t="str">
        <f ca="1">IFERROR(__xludf.DUMMYFUNCTION("""COMPUTED_VALUE"""),"Бинт эластичный медицинский средней растяжимости (ширина 80 мм) 02х80х2 KZ.7700.02.01.00887395 / Действительно до 25.05.2027 / 0522006KZ006 / годен до 25.05.2027")</f>
        <v>Бинт эластичный медицинский средней растяжимости (ширина 80 мм) 02х80х2 KZ.7700.02.01.00887395 / Действительно до 25.05.2027 / 0522006KZ006 / годен до 25.05.2027</v>
      </c>
    </row>
    <row r="1987" spans="1:8" ht="12.75" x14ac:dyDescent="0.2">
      <c r="A1987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1987" s="1" t="str">
        <f ca="1">IFERROR(__xludf.DUMMYFUNCTION("""COMPUTED_VALUE"""),"KZ.7700.02.01.00887246")</f>
        <v>KZ.7700.02.01.00887246</v>
      </c>
      <c r="C1987" s="1" t="str">
        <f ca="1">IFERROR(__xludf.DUMMYFUNCTION("""COMPUTED_VALUE"""),"Действительно до 25.05.2027")</f>
        <v>Действительно до 25.05.2027</v>
      </c>
      <c r="D1987" s="8" t="str">
        <f ca="1">IFERROR(__xludf.DUMMYFUNCTION("""COMPUTED_VALUE"""),"0522006KZ006")</f>
        <v>0522006KZ006</v>
      </c>
      <c r="E1987" s="1" t="str">
        <f ca="1">IFERROR(__xludf.DUMMYFUNCTION("""COMPUTED_VALUE"""),"годен до 25.05.2027")</f>
        <v>годен до 25.05.2027</v>
      </c>
      <c r="F1987" s="1" t="str">
        <f ca="1">IFERROR(__xludf.DUMMYFUNCTION("""COMPUTED_VALUE"""),"Бинт эластичный медицинский средней растяжимости (ширина 80 мм) 02х80х2.5 - 0522006KZ006")</f>
        <v>Бинт эластичный медицинский средней растяжимости (ширина 80 мм) 02х80х2.5 - 0522006KZ006</v>
      </c>
      <c r="G1987" s="1" t="str">
        <f ca="1">IFERROR(__xludf.DUMMYFUNCTION("""COMPUTED_VALUE"""),"KZ.7700.02.01.00887246 / Действительно до 25.05.2027 / 0522006KZ006 / годен до 25.05.2027")</f>
        <v>KZ.7700.02.01.00887246 / Действительно до 25.05.2027 / 0522006KZ006 / годен до 25.05.2027</v>
      </c>
      <c r="H1987" s="1" t="str">
        <f ca="1">IFERROR(__xludf.DUMMYFUNCTION("""COMPUTED_VALUE"""),"Бинт эластичный медицинский средней растяжимости (ширина 80 мм) 02х80х2.5 KZ.7700.02.01.00887246 / Действительно до 25.05.2027 / 0522006KZ006 / годен до 25.05.2027")</f>
        <v>Бинт эластичный медицинский средней растяжимости (ширина 80 мм) 02х80х2.5 KZ.7700.02.01.00887246 / Действительно до 25.05.2027 / 0522006KZ006 / годен до 25.05.2027</v>
      </c>
    </row>
    <row r="1988" spans="1:8" ht="12.75" x14ac:dyDescent="0.2">
      <c r="A1988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1988" s="1" t="str">
        <f ca="1">IFERROR(__xludf.DUMMYFUNCTION("""COMPUTED_VALUE"""),"KZ.7700.02.01.00890408")</f>
        <v>KZ.7700.02.01.00890408</v>
      </c>
      <c r="C1988" s="1" t="str">
        <f ca="1">IFERROR(__xludf.DUMMYFUNCTION("""COMPUTED_VALUE"""),"Действительно до 25.05.2027")</f>
        <v>Действительно до 25.05.2027</v>
      </c>
      <c r="D1988" s="8" t="str">
        <f ca="1">IFERROR(__xludf.DUMMYFUNCTION("""COMPUTED_VALUE"""),"0522006KZ006")</f>
        <v>0522006KZ006</v>
      </c>
      <c r="E1988" s="1" t="str">
        <f ca="1">IFERROR(__xludf.DUMMYFUNCTION("""COMPUTED_VALUE"""),"годен до 25.05.2027")</f>
        <v>годен до 25.05.2027</v>
      </c>
      <c r="F1988" s="1" t="str">
        <f ca="1">IFERROR(__xludf.DUMMYFUNCTION("""COMPUTED_VALUE"""),"Бинт эластичный медицинский средней растяжимости (ширина 80 мм) 02х80х3 - 0522006KZ006")</f>
        <v>Бинт эластичный медицинский средней растяжимости (ширина 80 мм) 02х80х3 - 0522006KZ006</v>
      </c>
      <c r="G1988" s="1" t="str">
        <f ca="1">IFERROR(__xludf.DUMMYFUNCTION("""COMPUTED_VALUE"""),"KZ.7700.02.01.00890408 / Действительно до 25.05.2027 / 0522006KZ006 / годен до 25.05.2027")</f>
        <v>KZ.7700.02.01.00890408 / Действительно до 25.05.2027 / 0522006KZ006 / годен до 25.05.2027</v>
      </c>
      <c r="H1988" s="1" t="str">
        <f ca="1">IFERROR(__xludf.DUMMYFUNCTION("""COMPUTED_VALUE"""),"Бинт эластичный медицинский средней растяжимости (ширина 80 мм) 02х80х3 KZ.7700.02.01.00890408 / Действительно до 25.05.2027 / 0522006KZ006 / годен до 25.05.2027")</f>
        <v>Бинт эластичный медицинский средней растяжимости (ширина 80 мм) 02х80х3 KZ.7700.02.01.00890408 / Действительно до 25.05.2027 / 0522006KZ006 / годен до 25.05.2027</v>
      </c>
    </row>
    <row r="1989" spans="1:8" ht="12.75" x14ac:dyDescent="0.2">
      <c r="A1989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1989" s="1" t="str">
        <f ca="1">IFERROR(__xludf.DUMMYFUNCTION("""COMPUTED_VALUE"""),"KZ.7700.02.01.00890272")</f>
        <v>KZ.7700.02.01.00890272</v>
      </c>
      <c r="C1989" s="1" t="str">
        <f ca="1">IFERROR(__xludf.DUMMYFUNCTION("""COMPUTED_VALUE"""),"Действительно до 25.05.2027")</f>
        <v>Действительно до 25.05.2027</v>
      </c>
      <c r="D1989" s="8" t="str">
        <f ca="1">IFERROR(__xludf.DUMMYFUNCTION("""COMPUTED_VALUE"""),"0522006KZ006")</f>
        <v>0522006KZ006</v>
      </c>
      <c r="E1989" s="1" t="str">
        <f ca="1">IFERROR(__xludf.DUMMYFUNCTION("""COMPUTED_VALUE"""),"годен до 25.05.2027")</f>
        <v>годен до 25.05.2027</v>
      </c>
      <c r="F1989" s="1" t="str">
        <f ca="1">IFERROR(__xludf.DUMMYFUNCTION("""COMPUTED_VALUE"""),"Бинт эластичный медицинский средней растяжимости (ширина 80 мм) 02х80х3.5 - 0522006KZ006")</f>
        <v>Бинт эластичный медицинский средней растяжимости (ширина 80 мм) 02х80х3.5 - 0522006KZ006</v>
      </c>
      <c r="G1989" s="1" t="str">
        <f ca="1">IFERROR(__xludf.DUMMYFUNCTION("""COMPUTED_VALUE"""),"KZ.7700.02.01.00890272 / Действительно до 25.05.2027 / 0522006KZ006 / годен до 25.05.2027")</f>
        <v>KZ.7700.02.01.00890272 / Действительно до 25.05.2027 / 0522006KZ006 / годен до 25.05.2027</v>
      </c>
      <c r="H1989" s="1" t="str">
        <f ca="1">IFERROR(__xludf.DUMMYFUNCTION("""COMPUTED_VALUE"""),"Бинт эластичный медицинский средней растяжимости (ширина 80 мм) 02х80х3.5 KZ.7700.02.01.00890272 / Действительно до 25.05.2027 / 0522006KZ006 / годен до 25.05.2027")</f>
        <v>Бинт эластичный медицинский средней растяжимости (ширина 80 мм) 02х80х3.5 KZ.7700.02.01.00890272 / Действительно до 25.05.2027 / 0522006KZ006 / годен до 25.05.2027</v>
      </c>
    </row>
    <row r="1990" spans="1:8" ht="12.75" x14ac:dyDescent="0.2">
      <c r="A1990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1990" s="1" t="str">
        <f ca="1">IFERROR(__xludf.DUMMYFUNCTION("""COMPUTED_VALUE"""),"KZ.7700.02.01.00891415")</f>
        <v>KZ.7700.02.01.00891415</v>
      </c>
      <c r="C1990" s="1" t="str">
        <f ca="1">IFERROR(__xludf.DUMMYFUNCTION("""COMPUTED_VALUE"""),"Действительно до 25.05.2027")</f>
        <v>Действительно до 25.05.2027</v>
      </c>
      <c r="D1990" s="8" t="str">
        <f ca="1">IFERROR(__xludf.DUMMYFUNCTION("""COMPUTED_VALUE"""),"0522006KZ006")</f>
        <v>0522006KZ006</v>
      </c>
      <c r="E1990" s="1" t="str">
        <f ca="1">IFERROR(__xludf.DUMMYFUNCTION("""COMPUTED_VALUE"""),"годен до 25.05.2027")</f>
        <v>годен до 25.05.2027</v>
      </c>
      <c r="F1990" s="1" t="str">
        <f ca="1">IFERROR(__xludf.DUMMYFUNCTION("""COMPUTED_VALUE"""),"Бинт эластичный медицинский средней растяжимости (ширина 80 мм) 02х80х4 - 0522006KZ006")</f>
        <v>Бинт эластичный медицинский средней растяжимости (ширина 80 мм) 02х80х4 - 0522006KZ006</v>
      </c>
      <c r="G1990" s="1" t="str">
        <f ca="1">IFERROR(__xludf.DUMMYFUNCTION("""COMPUTED_VALUE"""),"KZ.7700.02.01.00891415 / Действительно до 25.05.2027 / 0522006KZ006 / годен до 25.05.2027")</f>
        <v>KZ.7700.02.01.00891415 / Действительно до 25.05.2027 / 0522006KZ006 / годен до 25.05.2027</v>
      </c>
      <c r="H1990" s="1" t="str">
        <f ca="1">IFERROR(__xludf.DUMMYFUNCTION("""COMPUTED_VALUE"""),"Бинт эластичный медицинский средней растяжимости (ширина 80 мм) 02х80х4 KZ.7700.02.01.00891415 / Действительно до 25.05.2027 / 0522006KZ006 / годен до 25.05.2027")</f>
        <v>Бинт эластичный медицинский средней растяжимости (ширина 80 мм) 02х80х4 KZ.7700.02.01.00891415 / Действительно до 25.05.2027 / 0522006KZ006 / годен до 25.05.2027</v>
      </c>
    </row>
    <row r="1991" spans="1:8" ht="12.75" x14ac:dyDescent="0.2">
      <c r="A1991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1991" s="1" t="str">
        <f ca="1">IFERROR(__xludf.DUMMYFUNCTION("""COMPUTED_VALUE"""),"KZ.7700.02.01.00893804")</f>
        <v>KZ.7700.02.01.00893804</v>
      </c>
      <c r="C1991" s="1" t="str">
        <f ca="1">IFERROR(__xludf.DUMMYFUNCTION("""COMPUTED_VALUE"""),"Действительно до 25.05.2027")</f>
        <v>Действительно до 25.05.2027</v>
      </c>
      <c r="D1991" s="8" t="str">
        <f ca="1">IFERROR(__xludf.DUMMYFUNCTION("""COMPUTED_VALUE"""),"0522006KZ006")</f>
        <v>0522006KZ006</v>
      </c>
      <c r="E1991" s="1" t="str">
        <f ca="1">IFERROR(__xludf.DUMMYFUNCTION("""COMPUTED_VALUE"""),"годен до 25.05.2027")</f>
        <v>годен до 25.05.2027</v>
      </c>
      <c r="F1991" s="1" t="str">
        <f ca="1">IFERROR(__xludf.DUMMYFUNCTION("""COMPUTED_VALUE"""),"Бинт эластичный медицинский средней растяжимости (ширина 80 мм) 02х80х5 - 0522006KZ006")</f>
        <v>Бинт эластичный медицинский средней растяжимости (ширина 80 мм) 02х80х5 - 0522006KZ006</v>
      </c>
      <c r="G1991" s="1" t="str">
        <f ca="1">IFERROR(__xludf.DUMMYFUNCTION("""COMPUTED_VALUE"""),"KZ.7700.02.01.00893804 / Действительно до 25.05.2027 / 0522006KZ006 / годен до 25.05.2027")</f>
        <v>KZ.7700.02.01.00893804 / Действительно до 25.05.2027 / 0522006KZ006 / годен до 25.05.2027</v>
      </c>
      <c r="H1991" s="1" t="str">
        <f ca="1">IFERROR(__xludf.DUMMYFUNCTION("""COMPUTED_VALUE"""),"Бинт эластичный медицинский средней растяжимости (ширина 80 мм) 02х80х5 KZ.7700.02.01.00893804 / Действительно до 25.05.2027 / 0522006KZ006 / годен до 25.05.2027")</f>
        <v>Бинт эластичный медицинский средней растяжимости (ширина 80 мм) 02х80х5 KZ.7700.02.01.00893804 / Действительно до 25.05.2027 / 0522006KZ006 / годен до 25.05.2027</v>
      </c>
    </row>
    <row r="1992" spans="1:8" ht="12.75" x14ac:dyDescent="0.2">
      <c r="A1992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1992" s="1" t="str">
        <f ca="1">IFERROR(__xludf.DUMMYFUNCTION("""COMPUTED_VALUE"""),"KZ.7700.02.01.00888032")</f>
        <v>KZ.7700.02.01.00888032</v>
      </c>
      <c r="C1992" s="1" t="str">
        <f ca="1">IFERROR(__xludf.DUMMYFUNCTION("""COMPUTED_VALUE"""),"Действительно до 25.05.2027")</f>
        <v>Действительно до 25.05.2027</v>
      </c>
      <c r="D1992" s="8" t="str">
        <f ca="1">IFERROR(__xludf.DUMMYFUNCTION("""COMPUTED_VALUE"""),"0522006KZ006")</f>
        <v>0522006KZ006</v>
      </c>
      <c r="E1992" s="1" t="str">
        <f ca="1">IFERROR(__xludf.DUMMYFUNCTION("""COMPUTED_VALUE"""),"годен до 25.05.2027")</f>
        <v>годен до 25.05.2027</v>
      </c>
      <c r="F1992" s="1" t="str">
        <f ca="1">IFERROR(__xludf.DUMMYFUNCTION("""COMPUTED_VALUE"""),"Бандаж на шейный отдел позвоночника мягкой фиксацией 1001 I(S) (Болгария) - 0522006KZ006")</f>
        <v>Бандаж на шейный отдел позвоночника мягкой фиксацией 1001 I(S) (Болгария) - 0522006KZ006</v>
      </c>
      <c r="G1992" s="1" t="str">
        <f ca="1">IFERROR(__xludf.DUMMYFUNCTION("""COMPUTED_VALUE"""),"KZ.7700.02.01.00888032 / Действительно до 25.05.2027 / 0522006KZ006 / годен до 25.05.2027")</f>
        <v>KZ.7700.02.01.00888032 / Действительно до 25.05.2027 / 0522006KZ006 / годен до 25.05.2027</v>
      </c>
      <c r="H1992" s="1" t="str">
        <f ca="1">IFERROR(__xludf.DUMMYFUNCTION("""COMPUTED_VALUE"""),"Бандаж на шейный отдел позвоночника мягкой фиксацией 1001 I(S) (Болгария) KZ.7700.02.01.00888032 / Действительно до 25.05.2027 / 0522006KZ006 / годен до 25.05.2027")</f>
        <v>Бандаж на шейный отдел позвоночника мягкой фиксацией 1001 I(S) (Болгария) KZ.7700.02.01.00888032 / Действительно до 25.05.2027 / 0522006KZ006 / годен до 25.05.2027</v>
      </c>
    </row>
    <row r="1993" spans="1:8" ht="12.75" x14ac:dyDescent="0.2">
      <c r="A1993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1993" s="1" t="str">
        <f ca="1">IFERROR(__xludf.DUMMYFUNCTION("""COMPUTED_VALUE"""),"KZ.7700.02.01.00888032")</f>
        <v>KZ.7700.02.01.00888032</v>
      </c>
      <c r="C1993" s="1" t="str">
        <f ca="1">IFERROR(__xludf.DUMMYFUNCTION("""COMPUTED_VALUE"""),"Действительно до 25.05.2027")</f>
        <v>Действительно до 25.05.2027</v>
      </c>
      <c r="D1993" s="8" t="str">
        <f ca="1">IFERROR(__xludf.DUMMYFUNCTION("""COMPUTED_VALUE"""),"0522006KZ006")</f>
        <v>0522006KZ006</v>
      </c>
      <c r="E1993" s="1" t="str">
        <f ca="1">IFERROR(__xludf.DUMMYFUNCTION("""COMPUTED_VALUE"""),"годен до 25.05.2027")</f>
        <v>годен до 25.05.2027</v>
      </c>
      <c r="F1993" s="1" t="str">
        <f ca="1">IFERROR(__xludf.DUMMYFUNCTION("""COMPUTED_VALUE"""),"Бандаж на шейный отдел позвоночника мягкой фиксацией 1001 II(M) (Болгария) - 0522006KZ006")</f>
        <v>Бандаж на шейный отдел позвоночника мягкой фиксацией 1001 II(M) (Болгария) - 0522006KZ006</v>
      </c>
      <c r="G1993" s="1" t="str">
        <f ca="1">IFERROR(__xludf.DUMMYFUNCTION("""COMPUTED_VALUE"""),"KZ.7700.02.01.00888032 / Действительно до 25.05.2027 / 0522006KZ006 / годен до 25.05.2027")</f>
        <v>KZ.7700.02.01.00888032 / Действительно до 25.05.2027 / 0522006KZ006 / годен до 25.05.2027</v>
      </c>
      <c r="H1993" s="1" t="str">
        <f ca="1">IFERROR(__xludf.DUMMYFUNCTION("""COMPUTED_VALUE"""),"Бандаж на шейный отдел позвоночника мягкой фиксацией 1001 II(M) (Болгария) KZ.7700.02.01.00888032 / Действительно до 25.05.2027 / 0522006KZ006 / годен до 25.05.2027")</f>
        <v>Бандаж на шейный отдел позвоночника мягкой фиксацией 1001 II(M) (Болгария) KZ.7700.02.01.00888032 / Действительно до 25.05.2027 / 0522006KZ006 / годен до 25.05.2027</v>
      </c>
    </row>
    <row r="1994" spans="1:8" ht="12.75" x14ac:dyDescent="0.2">
      <c r="A1994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1994" s="1" t="str">
        <f ca="1">IFERROR(__xludf.DUMMYFUNCTION("""COMPUTED_VALUE"""),"KZ.7700.02.01.00888032")</f>
        <v>KZ.7700.02.01.00888032</v>
      </c>
      <c r="C1994" s="1" t="str">
        <f ca="1">IFERROR(__xludf.DUMMYFUNCTION("""COMPUTED_VALUE"""),"Действительно до 25.05.2027")</f>
        <v>Действительно до 25.05.2027</v>
      </c>
      <c r="D1994" s="8" t="str">
        <f ca="1">IFERROR(__xludf.DUMMYFUNCTION("""COMPUTED_VALUE"""),"0522006KZ006")</f>
        <v>0522006KZ006</v>
      </c>
      <c r="E1994" s="1" t="str">
        <f ca="1">IFERROR(__xludf.DUMMYFUNCTION("""COMPUTED_VALUE"""),"годен до 25.05.2027")</f>
        <v>годен до 25.05.2027</v>
      </c>
      <c r="F1994" s="1" t="str">
        <f ca="1">IFERROR(__xludf.DUMMYFUNCTION("""COMPUTED_VALUE"""),"Бандаж на шейный отдел позвоночника мягкой фиксацией 1001 III(L) (Болгария) - 0522006KZ006")</f>
        <v>Бандаж на шейный отдел позвоночника мягкой фиксацией 1001 III(L) (Болгария) - 0522006KZ006</v>
      </c>
      <c r="G1994" s="1" t="str">
        <f ca="1">IFERROR(__xludf.DUMMYFUNCTION("""COMPUTED_VALUE"""),"KZ.7700.02.01.00888032 / Действительно до 25.05.2027 / 0522006KZ006 / годен до 25.05.2027")</f>
        <v>KZ.7700.02.01.00888032 / Действительно до 25.05.2027 / 0522006KZ006 / годен до 25.05.2027</v>
      </c>
      <c r="H1994" s="1" t="str">
        <f ca="1">IFERROR(__xludf.DUMMYFUNCTION("""COMPUTED_VALUE"""),"Бандаж на шейный отдел позвоночника мягкой фиксацией 1001 III(L) (Болгария) KZ.7700.02.01.00888032 / Действительно до 25.05.2027 / 0522006KZ006 / годен до 25.05.2027")</f>
        <v>Бандаж на шейный отдел позвоночника мягкой фиксацией 1001 III(L) (Болгария) KZ.7700.02.01.00888032 / Действительно до 25.05.2027 / 0522006KZ006 / годен до 25.05.2027</v>
      </c>
    </row>
    <row r="1995" spans="1:8" ht="12.75" x14ac:dyDescent="0.2">
      <c r="A1995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1995" s="1" t="str">
        <f ca="1">IFERROR(__xludf.DUMMYFUNCTION("""COMPUTED_VALUE"""),"KZ.7700.02.01.00892554")</f>
        <v>KZ.7700.02.01.00892554</v>
      </c>
      <c r="C1995" s="1" t="str">
        <f ca="1">IFERROR(__xludf.DUMMYFUNCTION("""COMPUTED_VALUE"""),"Действительно до 25.05.2027")</f>
        <v>Действительно до 25.05.2027</v>
      </c>
      <c r="D1995" s="8" t="str">
        <f ca="1">IFERROR(__xludf.DUMMYFUNCTION("""COMPUTED_VALUE"""),"0522006KZ006")</f>
        <v>0522006KZ006</v>
      </c>
      <c r="E1995" s="1" t="str">
        <f ca="1">IFERROR(__xludf.DUMMYFUNCTION("""COMPUTED_VALUE"""),"годен до 25.05.2027")</f>
        <v>годен до 25.05.2027</v>
      </c>
      <c r="F1995" s="1" t="str">
        <f ca="1">IFERROR(__xludf.DUMMYFUNCTION("""COMPUTED_VALUE"""),"Бандаж на шейный отдел позвоночника мягкой фиксацией с жесткой вставкой 1005 III(L) - 0522006KZ006")</f>
        <v>Бандаж на шейный отдел позвоночника мягкой фиксацией с жесткой вставкой 1005 III(L) - 0522006KZ006</v>
      </c>
      <c r="G1995" s="1" t="str">
        <f ca="1">IFERROR(__xludf.DUMMYFUNCTION("""COMPUTED_VALUE"""),"KZ.7700.02.01.00892554 / Действительно до 25.05.2027 / 0522006KZ006 / годен до 25.05.2027")</f>
        <v>KZ.7700.02.01.00892554 / Действительно до 25.05.2027 / 0522006KZ006 / годен до 25.05.2027</v>
      </c>
      <c r="H1995" s="1" t="str">
        <f ca="1">IFERROR(__xludf.DUMMYFUNCTION("""COMPUTED_VALUE"""),"Бандаж на шейный отдел позвоночника мягкой фиксацией с жесткой вставкой 1005 III(L) KZ.7700.02.01.00892554 / Действительно до 25.05.2027 / 0522006KZ006 / годен до 25.05.2027")</f>
        <v>Бандаж на шейный отдел позвоночника мягкой фиксацией с жесткой вставкой 1005 III(L) KZ.7700.02.01.00892554 / Действительно до 25.05.2027 / 0522006KZ006 / годен до 25.05.2027</v>
      </c>
    </row>
    <row r="1996" spans="1:8" ht="12.75" x14ac:dyDescent="0.2">
      <c r="A1996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1996" s="1" t="str">
        <f ca="1">IFERROR(__xludf.DUMMYFUNCTION("""COMPUTED_VALUE"""),"KZ.7700.02.01.00892554")</f>
        <v>KZ.7700.02.01.00892554</v>
      </c>
      <c r="C1996" s="1" t="str">
        <f ca="1">IFERROR(__xludf.DUMMYFUNCTION("""COMPUTED_VALUE"""),"Действительно до 25.05.2027")</f>
        <v>Действительно до 25.05.2027</v>
      </c>
      <c r="D1996" s="8" t="str">
        <f ca="1">IFERROR(__xludf.DUMMYFUNCTION("""COMPUTED_VALUE"""),"0522006KZ006")</f>
        <v>0522006KZ006</v>
      </c>
      <c r="E1996" s="1" t="str">
        <f ca="1">IFERROR(__xludf.DUMMYFUNCTION("""COMPUTED_VALUE"""),"годен до 25.05.2027")</f>
        <v>годен до 25.05.2027</v>
      </c>
      <c r="F1996" s="1" t="str">
        <f ca="1">IFERROR(__xludf.DUMMYFUNCTION("""COMPUTED_VALUE"""),"Бандаж на шейный отдел позвоночника мягкой фиксацией с жесткой вставкой 1005 II(M) - 0522006KZ006")</f>
        <v>Бандаж на шейный отдел позвоночника мягкой фиксацией с жесткой вставкой 1005 II(M) - 0522006KZ006</v>
      </c>
      <c r="G1996" s="1" t="str">
        <f ca="1">IFERROR(__xludf.DUMMYFUNCTION("""COMPUTED_VALUE"""),"KZ.7700.02.01.00892554 / Действительно до 25.05.2027 / 0522006KZ006 / годен до 25.05.2027")</f>
        <v>KZ.7700.02.01.00892554 / Действительно до 25.05.2027 / 0522006KZ006 / годен до 25.05.2027</v>
      </c>
      <c r="H1996" s="1" t="str">
        <f ca="1">IFERROR(__xludf.DUMMYFUNCTION("""COMPUTED_VALUE"""),"Бандаж на шейный отдел позвоночника мягкой фиксацией с жесткой вставкой 1005 II(M) KZ.7700.02.01.00892554 / Действительно до 25.05.2027 / 0522006KZ006 / годен до 25.05.2027")</f>
        <v>Бандаж на шейный отдел позвоночника мягкой фиксацией с жесткой вставкой 1005 II(M) KZ.7700.02.01.00892554 / Действительно до 25.05.2027 / 0522006KZ006 / годен до 25.05.2027</v>
      </c>
    </row>
    <row r="1997" spans="1:8" ht="12.75" x14ac:dyDescent="0.2">
      <c r="A1997" s="1" t="str">
        <f ca="1">IFERROR(__xludf.DUMMYFUNCTION("""COMPUTED_VALUE"""),"Реклинатор (корректор осанки) детский 2005 S (Болгария)")</f>
        <v>Реклинатор (корректор осанки) детский 2005 S (Болгария)</v>
      </c>
      <c r="B1997" s="1" t="str">
        <f ca="1">IFERROR(__xludf.DUMMYFUNCTION("""COMPUTED_VALUE"""),"KZ.7700.02.01.00890531")</f>
        <v>KZ.7700.02.01.00890531</v>
      </c>
      <c r="C1997" s="1" t="str">
        <f ca="1">IFERROR(__xludf.DUMMYFUNCTION("""COMPUTED_VALUE"""),"Действительно до 25.05.2027")</f>
        <v>Действительно до 25.05.2027</v>
      </c>
      <c r="D1997" s="8" t="str">
        <f ca="1">IFERROR(__xludf.DUMMYFUNCTION("""COMPUTED_VALUE"""),"0522006KZ006")</f>
        <v>0522006KZ006</v>
      </c>
      <c r="E1997" s="1" t="str">
        <f ca="1">IFERROR(__xludf.DUMMYFUNCTION("""COMPUTED_VALUE"""),"годен до 25.05.2027")</f>
        <v>годен до 25.05.2027</v>
      </c>
      <c r="F1997" s="1" t="str">
        <f ca="1">IFERROR(__xludf.DUMMYFUNCTION("""COMPUTED_VALUE"""),"Реклинатор (корректор осанки) детский 2005 S (Болгария) - 0522006KZ006")</f>
        <v>Реклинатор (корректор осанки) детский 2005 S (Болгария) - 0522006KZ006</v>
      </c>
      <c r="G1997" s="1" t="str">
        <f ca="1">IFERROR(__xludf.DUMMYFUNCTION("""COMPUTED_VALUE"""),"KZ.7700.02.01.00890531 / Действительно до 25.05.2027 / 0522006KZ006 / годен до 25.05.2027")</f>
        <v>KZ.7700.02.01.00890531 / Действительно до 25.05.2027 / 0522006KZ006 / годен до 25.05.2027</v>
      </c>
      <c r="H1997" s="1" t="str">
        <f ca="1">IFERROR(__xludf.DUMMYFUNCTION("""COMPUTED_VALUE"""),"Реклинатор (корректор осанки) детский 2005 S (Болгария) KZ.7700.02.01.00890531 / Действительно до 25.05.2027 / 0522006KZ006 / годен до 25.05.2027")</f>
        <v>Реклинатор (корректор осанки) детский 2005 S (Болгария) KZ.7700.02.01.00890531 / Действительно до 25.05.2027 / 0522006KZ006 / годен до 25.05.2027</v>
      </c>
    </row>
    <row r="1998" spans="1:8" ht="12.75" x14ac:dyDescent="0.2">
      <c r="A1998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1998" s="1" t="str">
        <f ca="1">IFERROR(__xludf.DUMMYFUNCTION("""COMPUTED_VALUE"""),"KZ.7700.02.01.00890531")</f>
        <v>KZ.7700.02.01.00890531</v>
      </c>
      <c r="C1998" s="1" t="str">
        <f ca="1">IFERROR(__xludf.DUMMYFUNCTION("""COMPUTED_VALUE"""),"Действительно до 25.05.2027")</f>
        <v>Действительно до 25.05.2027</v>
      </c>
      <c r="D1998" s="8" t="str">
        <f ca="1">IFERROR(__xludf.DUMMYFUNCTION("""COMPUTED_VALUE"""),"0522006KZ006")</f>
        <v>0522006KZ006</v>
      </c>
      <c r="E1998" s="1" t="str">
        <f ca="1">IFERROR(__xludf.DUMMYFUNCTION("""COMPUTED_VALUE"""),"годен до 25.05.2027")</f>
        <v>годен до 25.05.2027</v>
      </c>
      <c r="F1998" s="1" t="str">
        <f ca="1">IFERROR(__xludf.DUMMYFUNCTION("""COMPUTED_VALUE"""),"Реклинатор (корректор осанки) детский 2005 M (Болгария) - 0522006KZ006")</f>
        <v>Реклинатор (корректор осанки) детский 2005 M (Болгария) - 0522006KZ006</v>
      </c>
      <c r="G1998" s="1" t="str">
        <f ca="1">IFERROR(__xludf.DUMMYFUNCTION("""COMPUTED_VALUE"""),"KZ.7700.02.01.00890531 / Действительно до 25.05.2027 / 0522006KZ006 / годен до 25.05.2027")</f>
        <v>KZ.7700.02.01.00890531 / Действительно до 25.05.2027 / 0522006KZ006 / годен до 25.05.2027</v>
      </c>
      <c r="H1998" s="1" t="str">
        <f ca="1">IFERROR(__xludf.DUMMYFUNCTION("""COMPUTED_VALUE"""),"Реклинатор (корректор осанки) детский 2005 M (Болгария) KZ.7700.02.01.00890531 / Действительно до 25.05.2027 / 0522006KZ006 / годен до 25.05.2027")</f>
        <v>Реклинатор (корректор осанки) детский 2005 M (Болгария) KZ.7700.02.01.00890531 / Действительно до 25.05.2027 / 0522006KZ006 / годен до 25.05.2027</v>
      </c>
    </row>
    <row r="1999" spans="1:8" ht="12.75" x14ac:dyDescent="0.2">
      <c r="A1999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1999" s="1" t="str">
        <f ca="1">IFERROR(__xludf.DUMMYFUNCTION("""COMPUTED_VALUE"""),"KZ.7700.02.01.00890531")</f>
        <v>KZ.7700.02.01.00890531</v>
      </c>
      <c r="C1999" s="1" t="str">
        <f ca="1">IFERROR(__xludf.DUMMYFUNCTION("""COMPUTED_VALUE"""),"Действительно до 25.05.2027")</f>
        <v>Действительно до 25.05.2027</v>
      </c>
      <c r="D1999" s="8" t="str">
        <f ca="1">IFERROR(__xludf.DUMMYFUNCTION("""COMPUTED_VALUE"""),"0522006KZ006")</f>
        <v>0522006KZ006</v>
      </c>
      <c r="E1999" s="1" t="str">
        <f ca="1">IFERROR(__xludf.DUMMYFUNCTION("""COMPUTED_VALUE"""),"годен до 25.05.2027")</f>
        <v>годен до 25.05.2027</v>
      </c>
      <c r="F1999" s="1" t="str">
        <f ca="1">IFERROR(__xludf.DUMMYFUNCTION("""COMPUTED_VALUE"""),"Реклинатор (корректор осанки) детский 2005 L (Болгария) - 0522006KZ006")</f>
        <v>Реклинатор (корректор осанки) детский 2005 L (Болгария) - 0522006KZ006</v>
      </c>
      <c r="G1999" s="1" t="str">
        <f ca="1">IFERROR(__xludf.DUMMYFUNCTION("""COMPUTED_VALUE"""),"KZ.7700.02.01.00890531 / Действительно до 25.05.2027 / 0522006KZ006 / годен до 25.05.2027")</f>
        <v>KZ.7700.02.01.00890531 / Действительно до 25.05.2027 / 0522006KZ006 / годен до 25.05.2027</v>
      </c>
      <c r="H1999" s="1" t="str">
        <f ca="1">IFERROR(__xludf.DUMMYFUNCTION("""COMPUTED_VALUE"""),"Реклинатор (корректор осанки) детский 2005 L (Болгария) KZ.7700.02.01.00890531 / Действительно до 25.05.2027 / 0522006KZ006 / годен до 25.05.2027")</f>
        <v>Реклинатор (корректор осанки) детский 2005 L (Болгария) KZ.7700.02.01.00890531 / Действительно до 25.05.2027 / 0522006KZ006 / годен до 25.05.2027</v>
      </c>
    </row>
    <row r="2000" spans="1:8" ht="12.75" x14ac:dyDescent="0.2">
      <c r="A2000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2000" s="1" t="str">
        <f ca="1">IFERROR(__xludf.DUMMYFUNCTION("""COMPUTED_VALUE"""),"KZ.7700.02.01.00893562")</f>
        <v>KZ.7700.02.01.00893562</v>
      </c>
      <c r="C2000" s="1" t="str">
        <f ca="1">IFERROR(__xludf.DUMMYFUNCTION("""COMPUTED_VALUE"""),"Действительно до 25.05.2027")</f>
        <v>Действительно до 25.05.2027</v>
      </c>
      <c r="D2000" s="8" t="str">
        <f ca="1">IFERROR(__xludf.DUMMYFUNCTION("""COMPUTED_VALUE"""),"0522006KZ006")</f>
        <v>0522006KZ006</v>
      </c>
      <c r="E2000" s="1" t="str">
        <f ca="1">IFERROR(__xludf.DUMMYFUNCTION("""COMPUTED_VALUE"""),"годен до 25.05.2027")</f>
        <v>годен до 25.05.2027</v>
      </c>
      <c r="F2000" s="1" t="str">
        <f ca="1">IFERROR(__xludf.DUMMYFUNCTION("""COMPUTED_VALUE"""),"Корректор осанки с ребрами жесткости эластичный 2011 L (Болгария) - 0522006KZ006")</f>
        <v>Корректор осанки с ребрами жесткости эластичный 2011 L (Болгария) - 0522006KZ006</v>
      </c>
      <c r="G2000" s="1" t="str">
        <f ca="1">IFERROR(__xludf.DUMMYFUNCTION("""COMPUTED_VALUE"""),"KZ.7700.02.01.00893562 / Действительно до 25.05.2027 / 0522006KZ006 / годен до 25.05.2027")</f>
        <v>KZ.7700.02.01.00893562 / Действительно до 25.05.2027 / 0522006KZ006 / годен до 25.05.2027</v>
      </c>
      <c r="H2000" s="1" t="str">
        <f ca="1">IFERROR(__xludf.DUMMYFUNCTION("""COMPUTED_VALUE"""),"Корректор осанки с ребрами жесткости эластичный 2011 L (Болгария) KZ.7700.02.01.00893562 / Действительно до 25.05.2027 / 0522006KZ006 / годен до 25.05.2027")</f>
        <v>Корректор осанки с ребрами жесткости эластичный 2011 L (Болгария) KZ.7700.02.01.00893562 / Действительно до 25.05.2027 / 0522006KZ006 / годен до 25.05.2027</v>
      </c>
    </row>
    <row r="2001" spans="1:8" ht="12.75" x14ac:dyDescent="0.2">
      <c r="A2001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2001" s="1" t="str">
        <f ca="1">IFERROR(__xludf.DUMMYFUNCTION("""COMPUTED_VALUE"""),"KZ.7700.02.01.00893562")</f>
        <v>KZ.7700.02.01.00893562</v>
      </c>
      <c r="C2001" s="1" t="str">
        <f ca="1">IFERROR(__xludf.DUMMYFUNCTION("""COMPUTED_VALUE"""),"Действительно до 25.05.2027")</f>
        <v>Действительно до 25.05.2027</v>
      </c>
      <c r="D2001" s="8" t="str">
        <f ca="1">IFERROR(__xludf.DUMMYFUNCTION("""COMPUTED_VALUE"""),"0522006KZ006")</f>
        <v>0522006KZ006</v>
      </c>
      <c r="E2001" s="1" t="str">
        <f ca="1">IFERROR(__xludf.DUMMYFUNCTION("""COMPUTED_VALUE"""),"годен до 25.05.2027")</f>
        <v>годен до 25.05.2027</v>
      </c>
      <c r="F2001" s="1" t="str">
        <f ca="1">IFERROR(__xludf.DUMMYFUNCTION("""COMPUTED_VALUE"""),"Корректор осанки с ребрами жесткости эластичный 2011 M (Болгария) - 0522006KZ006")</f>
        <v>Корректор осанки с ребрами жесткости эластичный 2011 M (Болгария) - 0522006KZ006</v>
      </c>
      <c r="G2001" s="1" t="str">
        <f ca="1">IFERROR(__xludf.DUMMYFUNCTION("""COMPUTED_VALUE"""),"KZ.7700.02.01.00893562 / Действительно до 25.05.2027 / 0522006KZ006 / годен до 25.05.2027")</f>
        <v>KZ.7700.02.01.00893562 / Действительно до 25.05.2027 / 0522006KZ006 / годен до 25.05.2027</v>
      </c>
      <c r="H2001" s="1" t="str">
        <f ca="1">IFERROR(__xludf.DUMMYFUNCTION("""COMPUTED_VALUE"""),"Корректор осанки с ребрами жесткости эластичный 2011 M (Болгария) KZ.7700.02.01.00893562 / Действительно до 25.05.2027 / 0522006KZ006 / годен до 25.05.2027")</f>
        <v>Корректор осанки с ребрами жесткости эластичный 2011 M (Болгария) KZ.7700.02.01.00893562 / Действительно до 25.05.2027 / 0522006KZ006 / годен до 25.05.2027</v>
      </c>
    </row>
    <row r="2002" spans="1:8" ht="12.75" x14ac:dyDescent="0.2">
      <c r="A2002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2002" s="1" t="str">
        <f ca="1">IFERROR(__xludf.DUMMYFUNCTION("""COMPUTED_VALUE"""),"KZ.7700.02.01.00893562")</f>
        <v>KZ.7700.02.01.00893562</v>
      </c>
      <c r="C2002" s="1" t="str">
        <f ca="1">IFERROR(__xludf.DUMMYFUNCTION("""COMPUTED_VALUE"""),"Действительно до 25.05.2027")</f>
        <v>Действительно до 25.05.2027</v>
      </c>
      <c r="D2002" s="8" t="str">
        <f ca="1">IFERROR(__xludf.DUMMYFUNCTION("""COMPUTED_VALUE"""),"0522006KZ006")</f>
        <v>0522006KZ006</v>
      </c>
      <c r="E2002" s="1" t="str">
        <f ca="1">IFERROR(__xludf.DUMMYFUNCTION("""COMPUTED_VALUE"""),"годен до 25.05.2027")</f>
        <v>годен до 25.05.2027</v>
      </c>
      <c r="F2002" s="1" t="str">
        <f ca="1">IFERROR(__xludf.DUMMYFUNCTION("""COMPUTED_VALUE"""),"Корректор осанки с ребрами жесткости эластичный 2011 S (Болгария) - 0522006KZ006")</f>
        <v>Корректор осанки с ребрами жесткости эластичный 2011 S (Болгария) - 0522006KZ006</v>
      </c>
      <c r="G2002" s="1" t="str">
        <f ca="1">IFERROR(__xludf.DUMMYFUNCTION("""COMPUTED_VALUE"""),"KZ.7700.02.01.00893562 / Действительно до 25.05.2027 / 0522006KZ006 / годен до 25.05.2027")</f>
        <v>KZ.7700.02.01.00893562 / Действительно до 25.05.2027 / 0522006KZ006 / годен до 25.05.2027</v>
      </c>
      <c r="H2002" s="1" t="str">
        <f ca="1">IFERROR(__xludf.DUMMYFUNCTION("""COMPUTED_VALUE"""),"Корректор осанки с ребрами жесткости эластичный 2011 S (Болгария) KZ.7700.02.01.00893562 / Действительно до 25.05.2027 / 0522006KZ006 / годен до 25.05.2027")</f>
        <v>Корректор осанки с ребрами жесткости эластичный 2011 S (Болгария) KZ.7700.02.01.00893562 / Действительно до 25.05.2027 / 0522006KZ006 / годен до 25.05.2027</v>
      </c>
    </row>
    <row r="2003" spans="1:8" ht="12.75" x14ac:dyDescent="0.2">
      <c r="A2003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2003" s="1" t="str">
        <f ca="1">IFERROR(__xludf.DUMMYFUNCTION("""COMPUTED_VALUE"""),"KZ.7700.02.01.00893562")</f>
        <v>KZ.7700.02.01.00893562</v>
      </c>
      <c r="C2003" s="1" t="str">
        <f ca="1">IFERROR(__xludf.DUMMYFUNCTION("""COMPUTED_VALUE"""),"Действительно до 25.05.2027")</f>
        <v>Действительно до 25.05.2027</v>
      </c>
      <c r="D2003" s="8" t="str">
        <f ca="1">IFERROR(__xludf.DUMMYFUNCTION("""COMPUTED_VALUE"""),"0522006KZ006")</f>
        <v>0522006KZ006</v>
      </c>
      <c r="E2003" s="1" t="str">
        <f ca="1">IFERROR(__xludf.DUMMYFUNCTION("""COMPUTED_VALUE"""),"годен до 25.05.2027")</f>
        <v>годен до 25.05.2027</v>
      </c>
      <c r="F2003" s="1" t="str">
        <f ca="1">IFERROR(__xludf.DUMMYFUNCTION("""COMPUTED_VALUE"""),"Корректор осанки с ребрами жесткости эластичный 2011 XL (Болгария) - 0522006KZ006")</f>
        <v>Корректор осанки с ребрами жесткости эластичный 2011 XL (Болгария) - 0522006KZ006</v>
      </c>
      <c r="G2003" s="1" t="str">
        <f ca="1">IFERROR(__xludf.DUMMYFUNCTION("""COMPUTED_VALUE"""),"KZ.7700.02.01.00893562 / Действительно до 25.05.2027 / 0522006KZ006 / годен до 25.05.2027")</f>
        <v>KZ.7700.02.01.00893562 / Действительно до 25.05.2027 / 0522006KZ006 / годен до 25.05.2027</v>
      </c>
      <c r="H2003" s="1" t="str">
        <f ca="1">IFERROR(__xludf.DUMMYFUNCTION("""COMPUTED_VALUE"""),"Корректор осанки с ребрами жесткости эластичный 2011 XL (Болгария) KZ.7700.02.01.00893562 / Действительно до 25.05.2027 / 0522006KZ006 / годен до 25.05.2027")</f>
        <v>Корректор осанки с ребрами жесткости эластичный 2011 XL (Болгария) KZ.7700.02.01.00893562 / Действительно до 25.05.2027 / 0522006KZ006 / годен до 25.05.2027</v>
      </c>
    </row>
    <row r="2004" spans="1:8" ht="12.75" x14ac:dyDescent="0.2">
      <c r="A2004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2004" s="1" t="str">
        <f ca="1">IFERROR(__xludf.DUMMYFUNCTION("""COMPUTED_VALUE"""),"KZ.7700.02.01.00893562")</f>
        <v>KZ.7700.02.01.00893562</v>
      </c>
      <c r="C2004" s="1" t="str">
        <f ca="1">IFERROR(__xludf.DUMMYFUNCTION("""COMPUTED_VALUE"""),"Действительно до 25.05.2027")</f>
        <v>Действительно до 25.05.2027</v>
      </c>
      <c r="D2004" s="8" t="str">
        <f ca="1">IFERROR(__xludf.DUMMYFUNCTION("""COMPUTED_VALUE"""),"0522006KZ006")</f>
        <v>0522006KZ006</v>
      </c>
      <c r="E2004" s="1" t="str">
        <f ca="1">IFERROR(__xludf.DUMMYFUNCTION("""COMPUTED_VALUE"""),"годен до 25.05.2027")</f>
        <v>годен до 25.05.2027</v>
      </c>
      <c r="F2004" s="1" t="str">
        <f ca="1">IFERROR(__xludf.DUMMYFUNCTION("""COMPUTED_VALUE"""),"Корректор осанки с ребрами жесткости эластичный 2011 XXL (Болгария) - 0522006KZ006")</f>
        <v>Корректор осанки с ребрами жесткости эластичный 2011 XXL (Болгария) - 0522006KZ006</v>
      </c>
      <c r="G2004" s="1" t="str">
        <f ca="1">IFERROR(__xludf.DUMMYFUNCTION("""COMPUTED_VALUE"""),"KZ.7700.02.01.00893562 / Действительно до 25.05.2027 / 0522006KZ006 / годен до 25.05.2027")</f>
        <v>KZ.7700.02.01.00893562 / Действительно до 25.05.2027 / 0522006KZ006 / годен до 25.05.2027</v>
      </c>
      <c r="H2004" s="1" t="str">
        <f ca="1">IFERROR(__xludf.DUMMYFUNCTION("""COMPUTED_VALUE"""),"Корректор осанки с ребрами жесткости эластичный 2011 XXL (Болгария) KZ.7700.02.01.00893562 / Действительно до 25.05.2027 / 0522006KZ006 / годен до 25.05.2027")</f>
        <v>Корректор осанки с ребрами жесткости эластичный 2011 XXL (Болгария) KZ.7700.02.01.00893562 / Действительно до 25.05.2027 / 0522006KZ006 / годен до 25.05.2027</v>
      </c>
    </row>
    <row r="2005" spans="1:8" ht="12.75" x14ac:dyDescent="0.2">
      <c r="A2005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2005" s="1" t="str">
        <f ca="1">IFERROR(__xludf.DUMMYFUNCTION("""COMPUTED_VALUE"""),"KZ.7700.02.01.00892566")</f>
        <v>KZ.7700.02.01.00892566</v>
      </c>
      <c r="C2005" s="1" t="str">
        <f ca="1">IFERROR(__xludf.DUMMYFUNCTION("""COMPUTED_VALUE"""),"Действительно до 25.05.2027")</f>
        <v>Действительно до 25.05.2027</v>
      </c>
      <c r="D2005" s="8" t="str">
        <f ca="1">IFERROR(__xludf.DUMMYFUNCTION("""COMPUTED_VALUE"""),"0522006KZ006")</f>
        <v>0522006KZ006</v>
      </c>
      <c r="E2005" s="1" t="str">
        <f ca="1">IFERROR(__xludf.DUMMYFUNCTION("""COMPUTED_VALUE"""),"годен до 25.05.2027")</f>
        <v>годен до 25.05.2027</v>
      </c>
      <c r="F2005" s="1" t="str">
        <f ca="1">IFERROR(__xludf.DUMMYFUNCTION("""COMPUTED_VALUE"""),"Корректор лечебно-профилактический (с 4 ребрами жесткости) эластичный 3011 - М - 0522006KZ006")</f>
        <v>Корректор лечебно-профилактический (с 4 ребрами жесткости) эластичный 3011 - М - 0522006KZ006</v>
      </c>
      <c r="G2005" s="1" t="str">
        <f ca="1">IFERROR(__xludf.DUMMYFUNCTION("""COMPUTED_VALUE"""),"KZ.7700.02.01.00892566 / Действительно до 25.05.2027 / 0522006KZ006 / годен до 25.05.2027")</f>
        <v>KZ.7700.02.01.00892566 / Действительно до 25.05.2027 / 0522006KZ006 / годен до 25.05.2027</v>
      </c>
      <c r="H2005" s="1" t="str">
        <f ca="1">IFERROR(__xludf.DUMMYFUNCTION("""COMPUTED_VALUE"""),"Корректор лечебно-профилактический (с 4 ребрами жесткости) эластичный 3011 - М KZ.7700.02.01.00892566 / Действительно до 25.05.2027 / 0522006KZ006 / годен до 25.05.2027")</f>
        <v>Корректор лечебно-профилактический (с 4 ребрами жесткости) эластичный 3011 - М KZ.7700.02.01.00892566 / Действительно до 25.05.2027 / 0522006KZ006 / годен до 25.05.2027</v>
      </c>
    </row>
    <row r="2006" spans="1:8" ht="12.75" x14ac:dyDescent="0.2">
      <c r="A2006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2006" s="1" t="str">
        <f ca="1">IFERROR(__xludf.DUMMYFUNCTION("""COMPUTED_VALUE"""),"KZ.7700.02.01.00892566")</f>
        <v>KZ.7700.02.01.00892566</v>
      </c>
      <c r="C2006" s="1" t="str">
        <f ca="1">IFERROR(__xludf.DUMMYFUNCTION("""COMPUTED_VALUE"""),"Действительно до 25.05.2027")</f>
        <v>Действительно до 25.05.2027</v>
      </c>
      <c r="D2006" s="8" t="str">
        <f ca="1">IFERROR(__xludf.DUMMYFUNCTION("""COMPUTED_VALUE"""),"0522006KZ006")</f>
        <v>0522006KZ006</v>
      </c>
      <c r="E2006" s="1" t="str">
        <f ca="1">IFERROR(__xludf.DUMMYFUNCTION("""COMPUTED_VALUE"""),"годен до 25.05.2027")</f>
        <v>годен до 25.05.2027</v>
      </c>
      <c r="F2006" s="1" t="str">
        <f ca="1">IFERROR(__xludf.DUMMYFUNCTION("""COMPUTED_VALUE"""),"Корректор лечебно-профилактический (с 4 ребрами жесткости) эластичный 3011 - L - 0522006KZ006")</f>
        <v>Корректор лечебно-профилактический (с 4 ребрами жесткости) эластичный 3011 - L - 0522006KZ006</v>
      </c>
      <c r="G2006" s="1" t="str">
        <f ca="1">IFERROR(__xludf.DUMMYFUNCTION("""COMPUTED_VALUE"""),"KZ.7700.02.01.00892566 / Действительно до 25.05.2027 / 0522006KZ006 / годен до 25.05.2027")</f>
        <v>KZ.7700.02.01.00892566 / Действительно до 25.05.2027 / 0522006KZ006 / годен до 25.05.2027</v>
      </c>
      <c r="H2006" s="1" t="str">
        <f ca="1">IFERROR(__xludf.DUMMYFUNCTION("""COMPUTED_VALUE"""),"Корректор лечебно-профилактический (с 4 ребрами жесткости) эластичный 3011 - L KZ.7700.02.01.00892566 / Действительно до 25.05.2027 / 0522006KZ006 / годен до 25.05.2027")</f>
        <v>Корректор лечебно-профилактический (с 4 ребрами жесткости) эластичный 3011 - L KZ.7700.02.01.00892566 / Действительно до 25.05.2027 / 0522006KZ006 / годен до 25.05.2027</v>
      </c>
    </row>
    <row r="2007" spans="1:8" ht="12.75" x14ac:dyDescent="0.2">
      <c r="A2007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2007" s="1" t="str">
        <f ca="1">IFERROR(__xludf.DUMMYFUNCTION("""COMPUTED_VALUE"""),"KZ.7700.02.01.00892566")</f>
        <v>KZ.7700.02.01.00892566</v>
      </c>
      <c r="C2007" s="1" t="str">
        <f ca="1">IFERROR(__xludf.DUMMYFUNCTION("""COMPUTED_VALUE"""),"Действительно до 25.05.2027")</f>
        <v>Действительно до 25.05.2027</v>
      </c>
      <c r="D2007" s="8" t="str">
        <f ca="1">IFERROR(__xludf.DUMMYFUNCTION("""COMPUTED_VALUE"""),"0522006KZ006")</f>
        <v>0522006KZ006</v>
      </c>
      <c r="E2007" s="1" t="str">
        <f ca="1">IFERROR(__xludf.DUMMYFUNCTION("""COMPUTED_VALUE"""),"годен до 25.05.2027")</f>
        <v>годен до 25.05.2027</v>
      </c>
      <c r="F2007" s="1" t="str">
        <f ca="1">IFERROR(__xludf.DUMMYFUNCTION("""COMPUTED_VALUE"""),"Корректор лечебно-профилактический (с 4 ребрами жесткости) эластичный 3011- XL - 0522006KZ006")</f>
        <v>Корректор лечебно-профилактический (с 4 ребрами жесткости) эластичный 3011- XL - 0522006KZ006</v>
      </c>
      <c r="G2007" s="1" t="str">
        <f ca="1">IFERROR(__xludf.DUMMYFUNCTION("""COMPUTED_VALUE"""),"KZ.7700.02.01.00892566 / Действительно до 25.05.2027 / 0522006KZ006 / годен до 25.05.2027")</f>
        <v>KZ.7700.02.01.00892566 / Действительно до 25.05.2027 / 0522006KZ006 / годен до 25.05.2027</v>
      </c>
      <c r="H2007" s="1" t="str">
        <f ca="1">IFERROR(__xludf.DUMMYFUNCTION("""COMPUTED_VALUE"""),"Корректор лечебно-профилактический (с 4 ребрами жесткости) эластичный 3011- XL KZ.7700.02.01.00892566 / Действительно до 25.05.2027 / 0522006KZ006 / годен до 25.05.2027")</f>
        <v>Корректор лечебно-профилактический (с 4 ребрами жесткости) эластичный 3011- XL KZ.7700.02.01.00892566 / Действительно до 25.05.2027 / 0522006KZ006 / годен до 25.05.2027</v>
      </c>
    </row>
    <row r="2008" spans="1:8" ht="12.75" x14ac:dyDescent="0.2">
      <c r="A2008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2008" s="1" t="str">
        <f ca="1">IFERROR(__xludf.DUMMYFUNCTION("""COMPUTED_VALUE"""),"KZ.7700.02.01.00892566")</f>
        <v>KZ.7700.02.01.00892566</v>
      </c>
      <c r="C2008" s="1" t="str">
        <f ca="1">IFERROR(__xludf.DUMMYFUNCTION("""COMPUTED_VALUE"""),"Действительно до 25.05.2027")</f>
        <v>Действительно до 25.05.2027</v>
      </c>
      <c r="D2008" s="8" t="str">
        <f ca="1">IFERROR(__xludf.DUMMYFUNCTION("""COMPUTED_VALUE"""),"0522006KZ006")</f>
        <v>0522006KZ006</v>
      </c>
      <c r="E2008" s="1" t="str">
        <f ca="1">IFERROR(__xludf.DUMMYFUNCTION("""COMPUTED_VALUE"""),"годен до 25.05.2027")</f>
        <v>годен до 25.05.2027</v>
      </c>
      <c r="F2008" s="1" t="str">
        <f ca="1">IFERROR(__xludf.DUMMYFUNCTION("""COMPUTED_VALUE"""),"Корректор лечебно-профилактический (с 4 ребрами жесткости) эластичный 3011- XXL - 0522006KZ006")</f>
        <v>Корректор лечебно-профилактический (с 4 ребрами жесткости) эластичный 3011- XXL - 0522006KZ006</v>
      </c>
      <c r="G2008" s="1" t="str">
        <f ca="1">IFERROR(__xludf.DUMMYFUNCTION("""COMPUTED_VALUE"""),"KZ.7700.02.01.00892566 / Действительно до 25.05.2027 / 0522006KZ006 / годен до 25.05.2027")</f>
        <v>KZ.7700.02.01.00892566 / Действительно до 25.05.2027 / 0522006KZ006 / годен до 25.05.2027</v>
      </c>
      <c r="H2008" s="1" t="str">
        <f ca="1">IFERROR(__xludf.DUMMYFUNCTION("""COMPUTED_VALUE"""),"Корректор лечебно-профилактический (с 4 ребрами жесткости) эластичный 3011- XXL KZ.7700.02.01.00892566 / Действительно до 25.05.2027 / 0522006KZ006 / годен до 25.05.2027")</f>
        <v>Корректор лечебно-профилактический (с 4 ребрами жесткости) эластичный 3011- XXL KZ.7700.02.01.00892566 / Действительно до 25.05.2027 / 0522006KZ006 / годен до 25.05.2027</v>
      </c>
    </row>
    <row r="2009" spans="1:8" ht="12.75" x14ac:dyDescent="0.2">
      <c r="A2009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2009" s="1" t="str">
        <f ca="1">IFERROR(__xludf.DUMMYFUNCTION("""COMPUTED_VALUE"""),"KZ.7700.02.01.00892566")</f>
        <v>KZ.7700.02.01.00892566</v>
      </c>
      <c r="C2009" s="1" t="str">
        <f ca="1">IFERROR(__xludf.DUMMYFUNCTION("""COMPUTED_VALUE"""),"Действительно до 25.05.2027")</f>
        <v>Действительно до 25.05.2027</v>
      </c>
      <c r="D2009" s="8" t="str">
        <f ca="1">IFERROR(__xludf.DUMMYFUNCTION("""COMPUTED_VALUE"""),"0522006KZ006")</f>
        <v>0522006KZ006</v>
      </c>
      <c r="E2009" s="1" t="str">
        <f ca="1">IFERROR(__xludf.DUMMYFUNCTION("""COMPUTED_VALUE"""),"годен до 25.05.2027")</f>
        <v>годен до 25.05.2027</v>
      </c>
      <c r="F2009" s="1" t="str">
        <f ca="1">IFERROR(__xludf.DUMMYFUNCTION("""COMPUTED_VALUE"""),"Корректор лечебно-профилактический (с 4 ребрами жесткости) эластичный 3011- XXXL - 0522006KZ006")</f>
        <v>Корректор лечебно-профилактический (с 4 ребрами жесткости) эластичный 3011- XXXL - 0522006KZ006</v>
      </c>
      <c r="G2009" s="1" t="str">
        <f ca="1">IFERROR(__xludf.DUMMYFUNCTION("""COMPUTED_VALUE"""),"KZ.7700.02.01.00892566 / Действительно до 25.05.2027 / 0522006KZ006 / годен до 25.05.2027")</f>
        <v>KZ.7700.02.01.00892566 / Действительно до 25.05.2027 / 0522006KZ006 / годен до 25.05.2027</v>
      </c>
      <c r="H2009" s="1" t="str">
        <f ca="1">IFERROR(__xludf.DUMMYFUNCTION("""COMPUTED_VALUE"""),"Корректор лечебно-профилактический (с 4 ребрами жесткости) эластичный 3011- XXXL KZ.7700.02.01.00892566 / Действительно до 25.05.2027 / 0522006KZ006 / годен до 25.05.2027")</f>
        <v>Корректор лечебно-профилактический (с 4 ребрами жесткости) эластичный 3011- XXXL KZ.7700.02.01.00892566 / Действительно до 25.05.2027 / 0522006KZ006 / годен до 25.05.2027</v>
      </c>
    </row>
    <row r="2010" spans="1:8" ht="12.75" x14ac:dyDescent="0.2">
      <c r="A2010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2010" s="1" t="str">
        <f ca="1">IFERROR(__xludf.DUMMYFUNCTION("""COMPUTED_VALUE"""),"KZ.7700.02.01.00892566")</f>
        <v>KZ.7700.02.01.00892566</v>
      </c>
      <c r="C2010" s="1" t="str">
        <f ca="1">IFERROR(__xludf.DUMMYFUNCTION("""COMPUTED_VALUE"""),"Действительно до 25.05.2027")</f>
        <v>Действительно до 25.05.2027</v>
      </c>
      <c r="D2010" s="8" t="str">
        <f ca="1">IFERROR(__xludf.DUMMYFUNCTION("""COMPUTED_VALUE"""),"0522006KZ006")</f>
        <v>0522006KZ006</v>
      </c>
      <c r="E2010" s="1" t="str">
        <f ca="1">IFERROR(__xludf.DUMMYFUNCTION("""COMPUTED_VALUE"""),"годен до 25.05.2027")</f>
        <v>годен до 25.05.2027</v>
      </c>
      <c r="F2010" s="1" t="str">
        <f ca="1">IFERROR(__xludf.DUMMYFUNCTION("""COMPUTED_VALUE"""),"Корректор лечебно-профилактический (с 4 ребрами жесткости) эластичный 3011 XXXXL - 0522006KZ006")</f>
        <v>Корректор лечебно-профилактический (с 4 ребрами жесткости) эластичный 3011 XXXXL - 0522006KZ006</v>
      </c>
      <c r="G2010" s="1" t="str">
        <f ca="1">IFERROR(__xludf.DUMMYFUNCTION("""COMPUTED_VALUE"""),"KZ.7700.02.01.00892566 / Действительно до 25.05.2027 / 0522006KZ006 / годен до 25.05.2027")</f>
        <v>KZ.7700.02.01.00892566 / Действительно до 25.05.2027 / 0522006KZ006 / годен до 25.05.2027</v>
      </c>
      <c r="H2010" s="1" t="str">
        <f ca="1">IFERROR(__xludf.DUMMYFUNCTION("""COMPUTED_VALUE"""),"Корректор лечебно-профилактический (с 4 ребрами жесткости) эластичный 3011 XXXXL KZ.7700.02.01.00892566 / Действительно до 25.05.2027 / 0522006KZ006 / годен до 25.05.2027")</f>
        <v>Корректор лечебно-профилактический (с 4 ребрами жесткости) эластичный 3011 XXXXL KZ.7700.02.01.00892566 / Действительно до 25.05.2027 / 0522006KZ006 / годен до 25.05.2027</v>
      </c>
    </row>
    <row r="2011" spans="1:8" ht="12.75" x14ac:dyDescent="0.2">
      <c r="A2011" s="1" t="str">
        <f ca="1">IFERROR(__xludf.DUMMYFUNCTION("""COMPUTED_VALUE"""),"Корсет ортопедический с ребрами жесткости согревающий 3041 XS/S (Болгария)")</f>
        <v>Корсет ортопедический с ребрами жесткости согревающий 3041 XS/S (Болгария)</v>
      </c>
      <c r="B2011" s="1" t="str">
        <f ca="1">IFERROR(__xludf.DUMMYFUNCTION("""COMPUTED_VALUE"""),"KZ.7700.02.01.00891467")</f>
        <v>KZ.7700.02.01.00891467</v>
      </c>
      <c r="C2011" s="1" t="str">
        <f ca="1">IFERROR(__xludf.DUMMYFUNCTION("""COMPUTED_VALUE"""),"Действительно до 25.05.2027")</f>
        <v>Действительно до 25.05.2027</v>
      </c>
      <c r="D2011" s="8" t="str">
        <f ca="1">IFERROR(__xludf.DUMMYFUNCTION("""COMPUTED_VALUE"""),"0522006KZ006")</f>
        <v>0522006KZ006</v>
      </c>
      <c r="E2011" s="1" t="str">
        <f ca="1">IFERROR(__xludf.DUMMYFUNCTION("""COMPUTED_VALUE"""),"годен до 25.05.2027")</f>
        <v>годен до 25.05.2027</v>
      </c>
      <c r="F2011" s="1" t="str">
        <f ca="1">IFERROR(__xludf.DUMMYFUNCTION("""COMPUTED_VALUE"""),"Корсет ортопедический с ребрами жесткости согревающий 3041 XS/S (Болгария) - 0522006KZ006")</f>
        <v>Корсет ортопедический с ребрами жесткости согревающий 3041 XS/S (Болгария) - 0522006KZ006</v>
      </c>
      <c r="G2011" s="1" t="str">
        <f ca="1">IFERROR(__xludf.DUMMYFUNCTION("""COMPUTED_VALUE"""),"KZ.7700.02.01.00891467 / Действительно до 25.05.2027 / 0522006KZ006 / годен до 25.05.2027")</f>
        <v>KZ.7700.02.01.00891467 / Действительно до 25.05.2027 / 0522006KZ006 / годен до 25.05.2027</v>
      </c>
      <c r="H2011" s="1" t="str">
        <f ca="1">IFERROR(__xludf.DUMMYFUNCTION("""COMPUTED_VALUE"""),"Корсет ортопедический с ребрами жесткости согревающий 3041 XS/S (Болгария) KZ.7700.02.01.00891467 / Действительно до 25.05.2027 / 0522006KZ006 / годен до 25.05.2027")</f>
        <v>Корсет ортопедический с ребрами жесткости согревающий 3041 XS/S (Болгария) KZ.7700.02.01.00891467 / Действительно до 25.05.2027 / 0522006KZ006 / годен до 25.05.2027</v>
      </c>
    </row>
    <row r="2012" spans="1:8" ht="12.75" x14ac:dyDescent="0.2">
      <c r="A2012" s="1" t="str">
        <f ca="1">IFERROR(__xludf.DUMMYFUNCTION("""COMPUTED_VALUE"""),"Корсет ортопедический с ребрами жесткости согревающий 3041 M/L (Болгария)")</f>
        <v>Корсет ортопедический с ребрами жесткости согревающий 3041 M/L (Болгария)</v>
      </c>
      <c r="B2012" s="1" t="str">
        <f ca="1">IFERROR(__xludf.DUMMYFUNCTION("""COMPUTED_VALUE"""),"KZ.7700.02.01.00891467")</f>
        <v>KZ.7700.02.01.00891467</v>
      </c>
      <c r="C2012" s="1" t="str">
        <f ca="1">IFERROR(__xludf.DUMMYFUNCTION("""COMPUTED_VALUE"""),"Действительно до 25.05.2027")</f>
        <v>Действительно до 25.05.2027</v>
      </c>
      <c r="D2012" s="8" t="str">
        <f ca="1">IFERROR(__xludf.DUMMYFUNCTION("""COMPUTED_VALUE"""),"0522006KZ006")</f>
        <v>0522006KZ006</v>
      </c>
      <c r="E2012" s="1" t="str">
        <f ca="1">IFERROR(__xludf.DUMMYFUNCTION("""COMPUTED_VALUE"""),"годен до 25.05.2027")</f>
        <v>годен до 25.05.2027</v>
      </c>
      <c r="F2012" s="1" t="str">
        <f ca="1">IFERROR(__xludf.DUMMYFUNCTION("""COMPUTED_VALUE"""),"Корсет ортопедический с ребрами жесткости согревающий 3041 M/L (Болгария) - 0522006KZ006")</f>
        <v>Корсет ортопедический с ребрами жесткости согревающий 3041 M/L (Болгария) - 0522006KZ006</v>
      </c>
      <c r="G2012" s="1" t="str">
        <f ca="1">IFERROR(__xludf.DUMMYFUNCTION("""COMPUTED_VALUE"""),"KZ.7700.02.01.00891467 / Действительно до 25.05.2027 / 0522006KZ006 / годен до 25.05.2027")</f>
        <v>KZ.7700.02.01.00891467 / Действительно до 25.05.2027 / 0522006KZ006 / годен до 25.05.2027</v>
      </c>
      <c r="H2012" s="1" t="str">
        <f ca="1">IFERROR(__xludf.DUMMYFUNCTION("""COMPUTED_VALUE"""),"Корсет ортопедический с ребрами жесткости согревающий 3041 M/L (Болгария) KZ.7700.02.01.00891467 / Действительно до 25.05.2027 / 0522006KZ006 / годен до 25.05.2027")</f>
        <v>Корсет ортопедический с ребрами жесткости согревающий 3041 M/L (Болгария) KZ.7700.02.01.00891467 / Действительно до 25.05.2027 / 0522006KZ006 / годен до 25.05.2027</v>
      </c>
    </row>
    <row r="2013" spans="1:8" ht="12.75" x14ac:dyDescent="0.2">
      <c r="A2013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2013" s="1" t="str">
        <f ca="1">IFERROR(__xludf.DUMMYFUNCTION("""COMPUTED_VALUE"""),"KZ.7700.02.01.00891467")</f>
        <v>KZ.7700.02.01.00891467</v>
      </c>
      <c r="C2013" s="1" t="str">
        <f ca="1">IFERROR(__xludf.DUMMYFUNCTION("""COMPUTED_VALUE"""),"Действительно до 25.05.2027")</f>
        <v>Действительно до 25.05.2027</v>
      </c>
      <c r="D2013" s="8" t="str">
        <f ca="1">IFERROR(__xludf.DUMMYFUNCTION("""COMPUTED_VALUE"""),"0522006KZ006")</f>
        <v>0522006KZ006</v>
      </c>
      <c r="E2013" s="1" t="str">
        <f ca="1">IFERROR(__xludf.DUMMYFUNCTION("""COMPUTED_VALUE"""),"годен до 25.05.2027")</f>
        <v>годен до 25.05.2027</v>
      </c>
      <c r="F2013" s="1" t="str">
        <f ca="1">IFERROR(__xludf.DUMMYFUNCTION("""COMPUTED_VALUE"""),"Корсет ортопедический с ребрами жесткости согревающий 3041 XL/XXL (Болгария) - 0522006KZ006")</f>
        <v>Корсет ортопедический с ребрами жесткости согревающий 3041 XL/XXL (Болгария) - 0522006KZ006</v>
      </c>
      <c r="G2013" s="1" t="str">
        <f ca="1">IFERROR(__xludf.DUMMYFUNCTION("""COMPUTED_VALUE"""),"KZ.7700.02.01.00891467 / Действительно до 25.05.2027 / 0522006KZ006 / годен до 25.05.2027")</f>
        <v>KZ.7700.02.01.00891467 / Действительно до 25.05.2027 / 0522006KZ006 / годен до 25.05.2027</v>
      </c>
      <c r="H2013" s="1" t="str">
        <f ca="1">IFERROR(__xludf.DUMMYFUNCTION("""COMPUTED_VALUE"""),"Корсет ортопедический с ребрами жесткости согревающий 3041 XL/XXL (Болгария) KZ.7700.02.01.00891467 / Действительно до 25.05.2027 / 0522006KZ006 / годен до 25.05.2027")</f>
        <v>Корсет ортопедический с ребрами жесткости согревающий 3041 XL/XXL (Болгария) KZ.7700.02.01.00891467 / Действительно до 25.05.2027 / 0522006KZ006 / годен до 25.05.2027</v>
      </c>
    </row>
    <row r="2014" spans="1:8" ht="12.75" x14ac:dyDescent="0.2">
      <c r="A2014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2014" s="1" t="str">
        <f ca="1">IFERROR(__xludf.DUMMYFUNCTION("""COMPUTED_VALUE"""),"KZ.7700.02.01.00891467")</f>
        <v>KZ.7700.02.01.00891467</v>
      </c>
      <c r="C2014" s="1" t="str">
        <f ca="1">IFERROR(__xludf.DUMMYFUNCTION("""COMPUTED_VALUE"""),"Действительно до 25.05.2027")</f>
        <v>Действительно до 25.05.2027</v>
      </c>
      <c r="D2014" s="8" t="str">
        <f ca="1">IFERROR(__xludf.DUMMYFUNCTION("""COMPUTED_VALUE"""),"0522006KZ006")</f>
        <v>0522006KZ006</v>
      </c>
      <c r="E2014" s="1" t="str">
        <f ca="1">IFERROR(__xludf.DUMMYFUNCTION("""COMPUTED_VALUE"""),"годен до 25.05.2027")</f>
        <v>годен до 25.05.2027</v>
      </c>
      <c r="F2014" s="1" t="str">
        <f ca="1">IFERROR(__xludf.DUMMYFUNCTION("""COMPUTED_VALUE"""),"Корсет ортопедический с ребрами жесткости согревающий 3041 XXXL/XXXXL (Болгария) - 0522006KZ006")</f>
        <v>Корсет ортопедический с ребрами жесткости согревающий 3041 XXXL/XXXXL (Болгария) - 0522006KZ006</v>
      </c>
      <c r="G2014" s="1" t="str">
        <f ca="1">IFERROR(__xludf.DUMMYFUNCTION("""COMPUTED_VALUE"""),"KZ.7700.02.01.00891467 / Действительно до 25.05.2027 / 0522006KZ006 / годен до 25.05.2027")</f>
        <v>KZ.7700.02.01.00891467 / Действительно до 25.05.2027 / 0522006KZ006 / годен до 25.05.2027</v>
      </c>
      <c r="H2014" s="1" t="str">
        <f ca="1">IFERROR(__xludf.DUMMYFUNCTION("""COMPUTED_VALUE"""),"Корсет ортопедический с ребрами жесткости согревающий 3041 XXXL/XXXXL (Болгария) KZ.7700.02.01.00891467 / Действительно до 25.05.2027 / 0522006KZ006 / годен до 25.05.2027")</f>
        <v>Корсет ортопедический с ребрами жесткости согревающий 3041 XXXL/XXXXL (Болгария) KZ.7700.02.01.00891467 / Действительно до 25.05.2027 / 0522006KZ006 / годен до 25.05.2027</v>
      </c>
    </row>
    <row r="2015" spans="1:8" ht="12.75" x14ac:dyDescent="0.2">
      <c r="A2015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2015" s="1" t="str">
        <f ca="1">IFERROR(__xludf.DUMMYFUNCTION("""COMPUTED_VALUE"""),"KZ.7700.02.01.00890606")</f>
        <v>KZ.7700.02.01.00890606</v>
      </c>
      <c r="C2015" s="1" t="str">
        <f ca="1">IFERROR(__xludf.DUMMYFUNCTION("""COMPUTED_VALUE"""),"Действительно до 25.05.2027")</f>
        <v>Действительно до 25.05.2027</v>
      </c>
      <c r="D2015" s="8" t="str">
        <f ca="1">IFERROR(__xludf.DUMMYFUNCTION("""COMPUTED_VALUE"""),"0522006KZ006")</f>
        <v>0522006KZ006</v>
      </c>
      <c r="E2015" s="1" t="str">
        <f ca="1">IFERROR(__xludf.DUMMYFUNCTION("""COMPUTED_VALUE"""),"годен до 25.05.2027")</f>
        <v>годен до 25.05.2027</v>
      </c>
      <c r="F2015" s="1" t="str">
        <f ca="1">IFERROR(__xludf.DUMMYFUNCTION("""COMPUTED_VALUE"""),"Бандаж лечебно–профилактический (с тремя ребрами жесткости) 4001 S (Болгария) - 0522006KZ006")</f>
        <v>Бандаж лечебно–профилактический (с тремя ребрами жесткости) 4001 S (Болгария) - 0522006KZ006</v>
      </c>
      <c r="G2015" s="1" t="str">
        <f ca="1">IFERROR(__xludf.DUMMYFUNCTION("""COMPUTED_VALUE"""),"KZ.7700.02.01.00890606 / Действительно до 25.05.2027 / 0522006KZ006 / годен до 25.05.2027")</f>
        <v>KZ.7700.02.01.00890606 / Действительно до 25.05.2027 / 0522006KZ006 / годен до 25.05.2027</v>
      </c>
      <c r="H2015" s="1" t="str">
        <f ca="1">IFERROR(__xludf.DUMMYFUNCTION("""COMPUTED_VALUE"""),"Бандаж лечебно–профилактический (с тремя ребрами жесткости) 4001 S (Болгария) KZ.7700.02.01.00890606 / Действительно до 25.05.2027 / 0522006KZ006 / годен до 25.05.2027")</f>
        <v>Бандаж лечебно–профилактический (с тремя ребрами жесткости) 4001 S (Болгария) KZ.7700.02.01.00890606 / Действительно до 25.05.2027 / 0522006KZ006 / годен до 25.05.2027</v>
      </c>
    </row>
    <row r="2016" spans="1:8" ht="12.75" x14ac:dyDescent="0.2">
      <c r="A2016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2016" s="1" t="str">
        <f ca="1">IFERROR(__xludf.DUMMYFUNCTION("""COMPUTED_VALUE"""),"KZ.7700.02.01.00890606")</f>
        <v>KZ.7700.02.01.00890606</v>
      </c>
      <c r="C2016" s="1" t="str">
        <f ca="1">IFERROR(__xludf.DUMMYFUNCTION("""COMPUTED_VALUE"""),"Действительно до 25.05.2027")</f>
        <v>Действительно до 25.05.2027</v>
      </c>
      <c r="D2016" s="8" t="str">
        <f ca="1">IFERROR(__xludf.DUMMYFUNCTION("""COMPUTED_VALUE"""),"0522006KZ006")</f>
        <v>0522006KZ006</v>
      </c>
      <c r="E2016" s="1" t="str">
        <f ca="1">IFERROR(__xludf.DUMMYFUNCTION("""COMPUTED_VALUE"""),"годен до 25.05.2027")</f>
        <v>годен до 25.05.2027</v>
      </c>
      <c r="F2016" s="1" t="str">
        <f ca="1">IFERROR(__xludf.DUMMYFUNCTION("""COMPUTED_VALUE"""),"Бандаж лечебно–профилактический (с тремя ребрами жесткости) 4001 M (Болгария) - 0522006KZ006")</f>
        <v>Бандаж лечебно–профилактический (с тремя ребрами жесткости) 4001 M (Болгария) - 0522006KZ006</v>
      </c>
      <c r="G2016" s="1" t="str">
        <f ca="1">IFERROR(__xludf.DUMMYFUNCTION("""COMPUTED_VALUE"""),"KZ.7700.02.01.00890606 / Действительно до 25.05.2027 / 0522006KZ006 / годен до 25.05.2027")</f>
        <v>KZ.7700.02.01.00890606 / Действительно до 25.05.2027 / 0522006KZ006 / годен до 25.05.2027</v>
      </c>
      <c r="H2016" s="1" t="str">
        <f ca="1">IFERROR(__xludf.DUMMYFUNCTION("""COMPUTED_VALUE"""),"Бандаж лечебно–профилактический (с тремя ребрами жесткости) 4001 M (Болгария) KZ.7700.02.01.00890606 / Действительно до 25.05.2027 / 0522006KZ006 / годен до 25.05.2027")</f>
        <v>Бандаж лечебно–профилактический (с тремя ребрами жесткости) 4001 M (Болгария) KZ.7700.02.01.00890606 / Действительно до 25.05.2027 / 0522006KZ006 / годен до 25.05.2027</v>
      </c>
    </row>
    <row r="2017" spans="1:8" ht="12.75" x14ac:dyDescent="0.2">
      <c r="A2017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2017" s="1" t="str">
        <f ca="1">IFERROR(__xludf.DUMMYFUNCTION("""COMPUTED_VALUE"""),"KZ.7700.02.01.00890606")</f>
        <v>KZ.7700.02.01.00890606</v>
      </c>
      <c r="C2017" s="1" t="str">
        <f ca="1">IFERROR(__xludf.DUMMYFUNCTION("""COMPUTED_VALUE"""),"Действительно до 25.05.2027")</f>
        <v>Действительно до 25.05.2027</v>
      </c>
      <c r="D2017" s="8" t="str">
        <f ca="1">IFERROR(__xludf.DUMMYFUNCTION("""COMPUTED_VALUE"""),"0522006KZ006")</f>
        <v>0522006KZ006</v>
      </c>
      <c r="E2017" s="1" t="str">
        <f ca="1">IFERROR(__xludf.DUMMYFUNCTION("""COMPUTED_VALUE"""),"годен до 25.05.2027")</f>
        <v>годен до 25.05.2027</v>
      </c>
      <c r="F2017" s="1" t="str">
        <f ca="1">IFERROR(__xludf.DUMMYFUNCTION("""COMPUTED_VALUE"""),"Бандаж лечебно–профилактический (с тремя ребрами жесткости) 4001 L (Болгария) - 0522006KZ006")</f>
        <v>Бандаж лечебно–профилактический (с тремя ребрами жесткости) 4001 L (Болгария) - 0522006KZ006</v>
      </c>
      <c r="G2017" s="1" t="str">
        <f ca="1">IFERROR(__xludf.DUMMYFUNCTION("""COMPUTED_VALUE"""),"KZ.7700.02.01.00890606 / Действительно до 25.05.2027 / 0522006KZ006 / годен до 25.05.2027")</f>
        <v>KZ.7700.02.01.00890606 / Действительно до 25.05.2027 / 0522006KZ006 / годен до 25.05.2027</v>
      </c>
      <c r="H2017" s="1" t="str">
        <f ca="1">IFERROR(__xludf.DUMMYFUNCTION("""COMPUTED_VALUE"""),"Бандаж лечебно–профилактический (с тремя ребрами жесткости) 4001 L (Болгария) KZ.7700.02.01.00890606 / Действительно до 25.05.2027 / 0522006KZ006 / годен до 25.05.2027")</f>
        <v>Бандаж лечебно–профилактический (с тремя ребрами жесткости) 4001 L (Болгария) KZ.7700.02.01.00890606 / Действительно до 25.05.2027 / 0522006KZ006 / годен до 25.05.2027</v>
      </c>
    </row>
    <row r="2018" spans="1:8" ht="12.75" x14ac:dyDescent="0.2">
      <c r="A2018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2018" s="1" t="str">
        <f ca="1">IFERROR(__xludf.DUMMYFUNCTION("""COMPUTED_VALUE"""),"KZ.7700.02.01.00890606")</f>
        <v>KZ.7700.02.01.00890606</v>
      </c>
      <c r="C2018" s="1" t="str">
        <f ca="1">IFERROR(__xludf.DUMMYFUNCTION("""COMPUTED_VALUE"""),"Действительно до 25.05.2027")</f>
        <v>Действительно до 25.05.2027</v>
      </c>
      <c r="D2018" s="8" t="str">
        <f ca="1">IFERROR(__xludf.DUMMYFUNCTION("""COMPUTED_VALUE"""),"0522006KZ006")</f>
        <v>0522006KZ006</v>
      </c>
      <c r="E2018" s="1" t="str">
        <f ca="1">IFERROR(__xludf.DUMMYFUNCTION("""COMPUTED_VALUE"""),"годен до 25.05.2027")</f>
        <v>годен до 25.05.2027</v>
      </c>
      <c r="F2018" s="1" t="str">
        <f ca="1">IFERROR(__xludf.DUMMYFUNCTION("""COMPUTED_VALUE"""),"Бандаж лечебно–профилактический (с тремя ребрами жесткости) 4001 XL (Болгария) - 0522006KZ006")</f>
        <v>Бандаж лечебно–профилактический (с тремя ребрами жесткости) 4001 XL (Болгария) - 0522006KZ006</v>
      </c>
      <c r="G2018" s="1" t="str">
        <f ca="1">IFERROR(__xludf.DUMMYFUNCTION("""COMPUTED_VALUE"""),"KZ.7700.02.01.00890606 / Действительно до 25.05.2027 / 0522006KZ006 / годен до 25.05.2027")</f>
        <v>KZ.7700.02.01.00890606 / Действительно до 25.05.2027 / 0522006KZ006 / годен до 25.05.2027</v>
      </c>
      <c r="H2018" s="1" t="str">
        <f ca="1">IFERROR(__xludf.DUMMYFUNCTION("""COMPUTED_VALUE"""),"Бандаж лечебно–профилактический (с тремя ребрами жесткости) 4001 XL (Болгария) KZ.7700.02.01.00890606 / Действительно до 25.05.2027 / 0522006KZ006 / годен до 25.05.2027")</f>
        <v>Бандаж лечебно–профилактический (с тремя ребрами жесткости) 4001 XL (Болгария) KZ.7700.02.01.00890606 / Действительно до 25.05.2027 / 0522006KZ006 / годен до 25.05.2027</v>
      </c>
    </row>
    <row r="2019" spans="1:8" ht="12.75" x14ac:dyDescent="0.2">
      <c r="A2019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2019" s="1" t="str">
        <f ca="1">IFERROR(__xludf.DUMMYFUNCTION("""COMPUTED_VALUE"""),"KZ.7700.02.01.00890606")</f>
        <v>KZ.7700.02.01.00890606</v>
      </c>
      <c r="C2019" s="1" t="str">
        <f ca="1">IFERROR(__xludf.DUMMYFUNCTION("""COMPUTED_VALUE"""),"Действительно до 25.05.2027")</f>
        <v>Действительно до 25.05.2027</v>
      </c>
      <c r="D2019" s="8" t="str">
        <f ca="1">IFERROR(__xludf.DUMMYFUNCTION("""COMPUTED_VALUE"""),"0522006KZ006")</f>
        <v>0522006KZ006</v>
      </c>
      <c r="E2019" s="1" t="str">
        <f ca="1">IFERROR(__xludf.DUMMYFUNCTION("""COMPUTED_VALUE"""),"годен до 25.05.2027")</f>
        <v>годен до 25.05.2027</v>
      </c>
      <c r="F2019" s="1" t="str">
        <f ca="1">IFERROR(__xludf.DUMMYFUNCTION("""COMPUTED_VALUE"""),"Бандаж лечебно–профилактический (с тремя ребрами жесткости) 4001 XXXXL(Болгария) - 0522006KZ006")</f>
        <v>Бандаж лечебно–профилактический (с тремя ребрами жесткости) 4001 XXXXL(Болгария) - 0522006KZ006</v>
      </c>
      <c r="G2019" s="1" t="str">
        <f ca="1">IFERROR(__xludf.DUMMYFUNCTION("""COMPUTED_VALUE"""),"KZ.7700.02.01.00890606 / Действительно до 25.05.2027 / 0522006KZ006 / годен до 25.05.2027")</f>
        <v>KZ.7700.02.01.00890606 / Действительно до 25.05.2027 / 0522006KZ006 / годен до 25.05.2027</v>
      </c>
      <c r="H2019" s="1" t="str">
        <f ca="1">IFERROR(__xludf.DUMMYFUNCTION("""COMPUTED_VALUE"""),"Бандаж лечебно–профилактический (с тремя ребрами жесткости) 4001 XXXXL(Болгария) KZ.7700.02.01.00890606 / Действительно до 25.05.2027 / 0522006KZ006 / годен до 25.05.2027")</f>
        <v>Бандаж лечебно–профилактический (с тремя ребрами жесткости) 4001 XXXXL(Болгария) KZ.7700.02.01.00890606 / Действительно до 25.05.2027 / 0522006KZ006 / годен до 25.05.2027</v>
      </c>
    </row>
    <row r="2020" spans="1:8" ht="12.75" x14ac:dyDescent="0.2">
      <c r="A2020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2020" s="1" t="str">
        <f ca="1">IFERROR(__xludf.DUMMYFUNCTION("""COMPUTED_VALUE"""),"KZ.7700.02.01.00892283")</f>
        <v>KZ.7700.02.01.00892283</v>
      </c>
      <c r="C2020" s="1" t="str">
        <f ca="1">IFERROR(__xludf.DUMMYFUNCTION("""COMPUTED_VALUE"""),"Действительно до 09.03.2027")</f>
        <v>Действительно до 09.03.2027</v>
      </c>
      <c r="D2020" s="8" t="str">
        <f ca="1">IFERROR(__xludf.DUMMYFUNCTION("""COMPUTED_VALUE"""),"0222104KZ104")</f>
        <v>0222104KZ104</v>
      </c>
      <c r="E2020" s="1" t="str">
        <f ca="1">IFERROR(__xludf.DUMMYFUNCTION("""COMPUTED_VALUE"""),"годен до 09.03.2027")</f>
        <v>годен до 09.03.2027</v>
      </c>
      <c r="F2020" s="1" t="str">
        <f ca="1">IFERROR(__xludf.DUMMYFUNCTION("""COMPUTED_VALUE"""),"Бандаж лечебно–профилактический (с тремя ребрами жесткости) 4001 S (Болгария) - 0222104KZ104")</f>
        <v>Бандаж лечебно–профилактический (с тремя ребрами жесткости) 4001 S (Болгария) - 0222104KZ104</v>
      </c>
      <c r="G2020" s="1" t="str">
        <f ca="1">IFERROR(__xludf.DUMMYFUNCTION("""COMPUTED_VALUE"""),"KZ.7700.02.01.00892283 / Действительно до 09.03.2027 / 0222104KZ104 / годен до 09.03.2027")</f>
        <v>KZ.7700.02.01.00892283 / Действительно до 09.03.2027 / 0222104KZ104 / годен до 09.03.2027</v>
      </c>
      <c r="H2020" s="1" t="str">
        <f ca="1">IFERROR(__xludf.DUMMYFUNCTION("""COMPUTED_VALUE"""),"Бандаж лечебно–профилактический (с тремя ребрами жесткости) 4001 S (Болгария) KZ.7700.02.01.00892283 / Действительно до 09.03.2027 / 0222104KZ104 / годен до 09.03.2027")</f>
        <v>Бандаж лечебно–профилактический (с тремя ребрами жесткости) 4001 S (Болгария) KZ.7700.02.01.00892283 / Действительно до 09.03.2027 / 0222104KZ104 / годен до 09.03.2027</v>
      </c>
    </row>
    <row r="2021" spans="1:8" ht="12.75" x14ac:dyDescent="0.2">
      <c r="A2021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2021" s="1" t="str">
        <f ca="1">IFERROR(__xludf.DUMMYFUNCTION("""COMPUTED_VALUE"""),"KZ.7700.02.01.00892283")</f>
        <v>KZ.7700.02.01.00892283</v>
      </c>
      <c r="C2021" s="1" t="str">
        <f ca="1">IFERROR(__xludf.DUMMYFUNCTION("""COMPUTED_VALUE"""),"Действительно до 09.03.2027")</f>
        <v>Действительно до 09.03.2027</v>
      </c>
      <c r="D2021" s="8" t="str">
        <f ca="1">IFERROR(__xludf.DUMMYFUNCTION("""COMPUTED_VALUE"""),"0222104KZ104")</f>
        <v>0222104KZ104</v>
      </c>
      <c r="E2021" s="1" t="str">
        <f ca="1">IFERROR(__xludf.DUMMYFUNCTION("""COMPUTED_VALUE"""),"годен до 09.03.2027")</f>
        <v>годен до 09.03.2027</v>
      </c>
      <c r="F2021" s="1" t="str">
        <f ca="1">IFERROR(__xludf.DUMMYFUNCTION("""COMPUTED_VALUE"""),"Бандаж лечебно–профилактический (с тремя ребрами жесткости) 4001 M (Болгария) - 0222104KZ104")</f>
        <v>Бандаж лечебно–профилактический (с тремя ребрами жесткости) 4001 M (Болгария) - 0222104KZ104</v>
      </c>
      <c r="G2021" s="1" t="str">
        <f ca="1">IFERROR(__xludf.DUMMYFUNCTION("""COMPUTED_VALUE"""),"KZ.7700.02.01.00892283 / Действительно до 09.03.2027 / 0222104KZ104 / годен до 09.03.2027")</f>
        <v>KZ.7700.02.01.00892283 / Действительно до 09.03.2027 / 0222104KZ104 / годен до 09.03.2027</v>
      </c>
      <c r="H2021" s="1" t="str">
        <f ca="1">IFERROR(__xludf.DUMMYFUNCTION("""COMPUTED_VALUE"""),"Бандаж лечебно–профилактический (с тремя ребрами жесткости) 4001 M (Болгария) KZ.7700.02.01.00892283 / Действительно до 09.03.2027 / 0222104KZ104 / годен до 09.03.2027")</f>
        <v>Бандаж лечебно–профилактический (с тремя ребрами жесткости) 4001 M (Болгария) KZ.7700.02.01.00892283 / Действительно до 09.03.2027 / 0222104KZ104 / годен до 09.03.2027</v>
      </c>
    </row>
    <row r="2022" spans="1:8" ht="12.75" x14ac:dyDescent="0.2">
      <c r="A2022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2022" s="1" t="str">
        <f ca="1">IFERROR(__xludf.DUMMYFUNCTION("""COMPUTED_VALUE"""),"KZ.7700.02.01.00892283")</f>
        <v>KZ.7700.02.01.00892283</v>
      </c>
      <c r="C2022" s="1" t="str">
        <f ca="1">IFERROR(__xludf.DUMMYFUNCTION("""COMPUTED_VALUE"""),"Действительно до 09.03.2027")</f>
        <v>Действительно до 09.03.2027</v>
      </c>
      <c r="D2022" s="8" t="str">
        <f ca="1">IFERROR(__xludf.DUMMYFUNCTION("""COMPUTED_VALUE"""),"0222104KZ104")</f>
        <v>0222104KZ104</v>
      </c>
      <c r="E2022" s="1" t="str">
        <f ca="1">IFERROR(__xludf.DUMMYFUNCTION("""COMPUTED_VALUE"""),"годен до 09.03.2027")</f>
        <v>годен до 09.03.2027</v>
      </c>
      <c r="F2022" s="1" t="str">
        <f ca="1">IFERROR(__xludf.DUMMYFUNCTION("""COMPUTED_VALUE"""),"Бандаж лечебно–профилактический (с тремя ребрами жесткости) 4001 L (Болгария) - 0222104KZ104")</f>
        <v>Бандаж лечебно–профилактический (с тремя ребрами жесткости) 4001 L (Болгария) - 0222104KZ104</v>
      </c>
      <c r="G2022" s="1" t="str">
        <f ca="1">IFERROR(__xludf.DUMMYFUNCTION("""COMPUTED_VALUE"""),"KZ.7700.02.01.00892283 / Действительно до 09.03.2027 / 0222104KZ104 / годен до 09.03.2027")</f>
        <v>KZ.7700.02.01.00892283 / Действительно до 09.03.2027 / 0222104KZ104 / годен до 09.03.2027</v>
      </c>
      <c r="H2022" s="1" t="str">
        <f ca="1">IFERROR(__xludf.DUMMYFUNCTION("""COMPUTED_VALUE"""),"Бандаж лечебно–профилактический (с тремя ребрами жесткости) 4001 L (Болгария) KZ.7700.02.01.00892283 / Действительно до 09.03.2027 / 0222104KZ104 / годен до 09.03.2027")</f>
        <v>Бандаж лечебно–профилактический (с тремя ребрами жесткости) 4001 L (Болгария) KZ.7700.02.01.00892283 / Действительно до 09.03.2027 / 0222104KZ104 / годен до 09.03.2027</v>
      </c>
    </row>
    <row r="2023" spans="1:8" ht="12.75" x14ac:dyDescent="0.2">
      <c r="A2023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2023" s="1" t="str">
        <f ca="1">IFERROR(__xludf.DUMMYFUNCTION("""COMPUTED_VALUE"""),"KZ.7700.02.01.00892283")</f>
        <v>KZ.7700.02.01.00892283</v>
      </c>
      <c r="C2023" s="1" t="str">
        <f ca="1">IFERROR(__xludf.DUMMYFUNCTION("""COMPUTED_VALUE"""),"Действительно до 09.03.2027")</f>
        <v>Действительно до 09.03.2027</v>
      </c>
      <c r="D2023" s="8" t="str">
        <f ca="1">IFERROR(__xludf.DUMMYFUNCTION("""COMPUTED_VALUE"""),"0222104KZ104")</f>
        <v>0222104KZ104</v>
      </c>
      <c r="E2023" s="1" t="str">
        <f ca="1">IFERROR(__xludf.DUMMYFUNCTION("""COMPUTED_VALUE"""),"годен до 09.03.2027")</f>
        <v>годен до 09.03.2027</v>
      </c>
      <c r="F2023" s="1" t="str">
        <f ca="1">IFERROR(__xludf.DUMMYFUNCTION("""COMPUTED_VALUE"""),"Бандаж лечебно–профилактический (с тремя ребрами жесткости) 4001 XL (Болгария) - 0222104KZ104")</f>
        <v>Бандаж лечебно–профилактический (с тремя ребрами жесткости) 4001 XL (Болгария) - 0222104KZ104</v>
      </c>
      <c r="G2023" s="1" t="str">
        <f ca="1">IFERROR(__xludf.DUMMYFUNCTION("""COMPUTED_VALUE"""),"KZ.7700.02.01.00892283 / Действительно до 09.03.2027 / 0222104KZ104 / годен до 09.03.2027")</f>
        <v>KZ.7700.02.01.00892283 / Действительно до 09.03.2027 / 0222104KZ104 / годен до 09.03.2027</v>
      </c>
      <c r="H2023" s="1" t="str">
        <f ca="1">IFERROR(__xludf.DUMMYFUNCTION("""COMPUTED_VALUE"""),"Бандаж лечебно–профилактический (с тремя ребрами жесткости) 4001 XL (Болгария) KZ.7700.02.01.00892283 / Действительно до 09.03.2027 / 0222104KZ104 / годен до 09.03.2027")</f>
        <v>Бандаж лечебно–профилактический (с тремя ребрами жесткости) 4001 XL (Болгария) KZ.7700.02.01.00892283 / Действительно до 09.03.2027 / 0222104KZ104 / годен до 09.03.2027</v>
      </c>
    </row>
    <row r="2024" spans="1:8" ht="12.75" x14ac:dyDescent="0.2">
      <c r="A2024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2024" s="1" t="str">
        <f ca="1">IFERROR(__xludf.DUMMYFUNCTION("""COMPUTED_VALUE"""),"KZ.7700.02.01.00892283")</f>
        <v>KZ.7700.02.01.00892283</v>
      </c>
      <c r="C2024" s="1" t="str">
        <f ca="1">IFERROR(__xludf.DUMMYFUNCTION("""COMPUTED_VALUE"""),"Действительно до 09.03.2027")</f>
        <v>Действительно до 09.03.2027</v>
      </c>
      <c r="D2024" s="8" t="str">
        <f ca="1">IFERROR(__xludf.DUMMYFUNCTION("""COMPUTED_VALUE"""),"0222104KZ104")</f>
        <v>0222104KZ104</v>
      </c>
      <c r="E2024" s="1" t="str">
        <f ca="1">IFERROR(__xludf.DUMMYFUNCTION("""COMPUTED_VALUE"""),"годен до 09.03.2027")</f>
        <v>годен до 09.03.2027</v>
      </c>
      <c r="F2024" s="1" t="str">
        <f ca="1">IFERROR(__xludf.DUMMYFUNCTION("""COMPUTED_VALUE"""),"Бандаж лечебно–профилактический (с тремя ребрами жесткости) 4001 XXL (Болгария) - 0222104KZ104")</f>
        <v>Бандаж лечебно–профилактический (с тремя ребрами жесткости) 4001 XXL (Болгария) - 0222104KZ104</v>
      </c>
      <c r="G2024" s="1" t="str">
        <f ca="1">IFERROR(__xludf.DUMMYFUNCTION("""COMPUTED_VALUE"""),"KZ.7700.02.01.00892283 / Действительно до 09.03.2027 / 0222104KZ104 / годен до 09.03.2027")</f>
        <v>KZ.7700.02.01.00892283 / Действительно до 09.03.2027 / 0222104KZ104 / годен до 09.03.2027</v>
      </c>
      <c r="H2024" s="1" t="str">
        <f ca="1">IFERROR(__xludf.DUMMYFUNCTION("""COMPUTED_VALUE"""),"Бандаж лечебно–профилактический (с тремя ребрами жесткости) 4001 XXL (Болгария) KZ.7700.02.01.00892283 / Действительно до 09.03.2027 / 0222104KZ104 / годен до 09.03.2027")</f>
        <v>Бандаж лечебно–профилактический (с тремя ребрами жесткости) 4001 XXL (Болгария) KZ.7700.02.01.00892283 / Действительно до 09.03.2027 / 0222104KZ104 / годен до 09.03.2027</v>
      </c>
    </row>
    <row r="2025" spans="1:8" ht="12.75" x14ac:dyDescent="0.2">
      <c r="A2025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2025" s="1" t="str">
        <f ca="1">IFERROR(__xludf.DUMMYFUNCTION("""COMPUTED_VALUE"""),"KZ.7700.02.01.00892283")</f>
        <v>KZ.7700.02.01.00892283</v>
      </c>
      <c r="C2025" s="1" t="str">
        <f ca="1">IFERROR(__xludf.DUMMYFUNCTION("""COMPUTED_VALUE"""),"Действительно до 09.03.2027")</f>
        <v>Действительно до 09.03.2027</v>
      </c>
      <c r="D2025" s="8" t="str">
        <f ca="1">IFERROR(__xludf.DUMMYFUNCTION("""COMPUTED_VALUE"""),"0222104KZ104")</f>
        <v>0222104KZ104</v>
      </c>
      <c r="E2025" s="1" t="str">
        <f ca="1">IFERROR(__xludf.DUMMYFUNCTION("""COMPUTED_VALUE"""),"годен до 09.03.2027")</f>
        <v>годен до 09.03.2027</v>
      </c>
      <c r="F2025" s="1" t="str">
        <f ca="1">IFERROR(__xludf.DUMMYFUNCTION("""COMPUTED_VALUE"""),"Бандаж лечебно–профилактический (с тремя ребрами жесткости) 4001 XXXL(Болгария) - 0222104KZ104")</f>
        <v>Бандаж лечебно–профилактический (с тремя ребрами жесткости) 4001 XXXL(Болгария) - 0222104KZ104</v>
      </c>
      <c r="G2025" s="1" t="str">
        <f ca="1">IFERROR(__xludf.DUMMYFUNCTION("""COMPUTED_VALUE"""),"KZ.7700.02.01.00892283 / Действительно до 09.03.2027 / 0222104KZ104 / годен до 09.03.2027")</f>
        <v>KZ.7700.02.01.00892283 / Действительно до 09.03.2027 / 0222104KZ104 / годен до 09.03.2027</v>
      </c>
      <c r="H2025" s="1" t="str">
        <f ca="1">IFERROR(__xludf.DUMMYFUNCTION("""COMPUTED_VALUE"""),"Бандаж лечебно–профилактический (с тремя ребрами жесткости) 4001 XXXL(Болгария) KZ.7700.02.01.00892283 / Действительно до 09.03.2027 / 0222104KZ104 / годен до 09.03.2027")</f>
        <v>Бандаж лечебно–профилактический (с тремя ребрами жесткости) 4001 XXXL(Болгария) KZ.7700.02.01.00892283 / Действительно до 09.03.2027 / 0222104KZ104 / годен до 09.03.2027</v>
      </c>
    </row>
    <row r="2026" spans="1:8" ht="12.75" x14ac:dyDescent="0.2">
      <c r="A2026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2026" s="1" t="str">
        <f ca="1">IFERROR(__xludf.DUMMYFUNCTION("""COMPUTED_VALUE"""),"KZ.7700.02.01.00892283")</f>
        <v>KZ.7700.02.01.00892283</v>
      </c>
      <c r="C2026" s="1" t="str">
        <f ca="1">IFERROR(__xludf.DUMMYFUNCTION("""COMPUTED_VALUE"""),"Действительно до 09.03.2027")</f>
        <v>Действительно до 09.03.2027</v>
      </c>
      <c r="D2026" s="8" t="str">
        <f ca="1">IFERROR(__xludf.DUMMYFUNCTION("""COMPUTED_VALUE"""),"0222104KZ104")</f>
        <v>0222104KZ104</v>
      </c>
      <c r="E2026" s="1" t="str">
        <f ca="1">IFERROR(__xludf.DUMMYFUNCTION("""COMPUTED_VALUE"""),"годен до 09.03.2027")</f>
        <v>годен до 09.03.2027</v>
      </c>
      <c r="F2026" s="1" t="str">
        <f ca="1">IFERROR(__xludf.DUMMYFUNCTION("""COMPUTED_VALUE"""),"Бандаж лечебно–профилактический (с тремя ребрами жесткости) 4001 XXXXL(Болгария) - 0222104KZ104")</f>
        <v>Бандаж лечебно–профилактический (с тремя ребрами жесткости) 4001 XXXXL(Болгария) - 0222104KZ104</v>
      </c>
      <c r="G2026" s="1" t="str">
        <f ca="1">IFERROR(__xludf.DUMMYFUNCTION("""COMPUTED_VALUE"""),"KZ.7700.02.01.00892283 / Действительно до 09.03.2027 / 0222104KZ104 / годен до 09.03.2027")</f>
        <v>KZ.7700.02.01.00892283 / Действительно до 09.03.2027 / 0222104KZ104 / годен до 09.03.2027</v>
      </c>
      <c r="H2026" s="1" t="str">
        <f ca="1">IFERROR(__xludf.DUMMYFUNCTION("""COMPUTED_VALUE"""),"Бандаж лечебно–профилактический (с тремя ребрами жесткости) 4001 XXXXL(Болгария) KZ.7700.02.01.00892283 / Действительно до 09.03.2027 / 0222104KZ104 / годен до 09.03.2027")</f>
        <v>Бандаж лечебно–профилактический (с тремя ребрами жесткости) 4001 XXXXL(Болгария) KZ.7700.02.01.00892283 / Действительно до 09.03.2027 / 0222104KZ104 / годен до 09.03.2027</v>
      </c>
    </row>
    <row r="2027" spans="1:8" ht="12.75" x14ac:dyDescent="0.2">
      <c r="A2027" s="1" t="str">
        <f ca="1">IFERROR(__xludf.DUMMYFUNCTION("""COMPUTED_VALUE"""),"Бандаж лечебно–профилактический эластичный 4002 S (Болгария)")</f>
        <v>Бандаж лечебно–профилактический эластичный 4002 S (Болгария)</v>
      </c>
      <c r="B2027" s="1" t="str">
        <f ca="1">IFERROR(__xludf.DUMMYFUNCTION("""COMPUTED_VALUE"""),"KZ.7700.02.01.00889956")</f>
        <v>KZ.7700.02.01.00889956</v>
      </c>
      <c r="C2027" s="1" t="str">
        <f ca="1">IFERROR(__xludf.DUMMYFUNCTION("""COMPUTED_VALUE"""),"Действительно до 25.05.2027")</f>
        <v>Действительно до 25.05.2027</v>
      </c>
      <c r="D2027" s="8" t="str">
        <f ca="1">IFERROR(__xludf.DUMMYFUNCTION("""COMPUTED_VALUE"""),"0522006KZ006")</f>
        <v>0522006KZ006</v>
      </c>
      <c r="E2027" s="1" t="str">
        <f ca="1">IFERROR(__xludf.DUMMYFUNCTION("""COMPUTED_VALUE"""),"годен до 25.05.2027")</f>
        <v>годен до 25.05.2027</v>
      </c>
      <c r="F2027" s="1" t="str">
        <f ca="1">IFERROR(__xludf.DUMMYFUNCTION("""COMPUTED_VALUE"""),"Бандаж лечебно–профилактический эластичный 4002 S (Болгария) - 0522006KZ006")</f>
        <v>Бандаж лечебно–профилактический эластичный 4002 S (Болгария) - 0522006KZ006</v>
      </c>
      <c r="G2027" s="1" t="str">
        <f ca="1">IFERROR(__xludf.DUMMYFUNCTION("""COMPUTED_VALUE"""),"KZ.7700.02.01.00889956 / Действительно до 25.05.2027 / 0522006KZ006 / годен до 25.05.2027")</f>
        <v>KZ.7700.02.01.00889956 / Действительно до 25.05.2027 / 0522006KZ006 / годен до 25.05.2027</v>
      </c>
      <c r="H2027" s="1" t="str">
        <f ca="1">IFERROR(__xludf.DUMMYFUNCTION("""COMPUTED_VALUE"""),"Бандаж лечебно–профилактический эластичный 4002 S (Болгария) KZ.7700.02.01.00889956 / Действительно до 25.05.2027 / 0522006KZ006 / годен до 25.05.2027")</f>
        <v>Бандаж лечебно–профилактический эластичный 4002 S (Болгария) KZ.7700.02.01.00889956 / Действительно до 25.05.2027 / 0522006KZ006 / годен до 25.05.2027</v>
      </c>
    </row>
    <row r="2028" spans="1:8" ht="12.75" x14ac:dyDescent="0.2">
      <c r="A2028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2028" s="1" t="str">
        <f ca="1">IFERROR(__xludf.DUMMYFUNCTION("""COMPUTED_VALUE"""),"KZ.7700.02.01.00889956")</f>
        <v>KZ.7700.02.01.00889956</v>
      </c>
      <c r="C2028" s="1" t="str">
        <f ca="1">IFERROR(__xludf.DUMMYFUNCTION("""COMPUTED_VALUE"""),"Действительно до 25.05.2027")</f>
        <v>Действительно до 25.05.2027</v>
      </c>
      <c r="D2028" s="8" t="str">
        <f ca="1">IFERROR(__xludf.DUMMYFUNCTION("""COMPUTED_VALUE"""),"0522006KZ006")</f>
        <v>0522006KZ006</v>
      </c>
      <c r="E2028" s="1" t="str">
        <f ca="1">IFERROR(__xludf.DUMMYFUNCTION("""COMPUTED_VALUE"""),"годен до 25.05.2027")</f>
        <v>годен до 25.05.2027</v>
      </c>
      <c r="F2028" s="1" t="str">
        <f ca="1">IFERROR(__xludf.DUMMYFUNCTION("""COMPUTED_VALUE"""),"Бандаж лечебно–профилактический эластичный 4002 M (Болгария) - 0522006KZ006")</f>
        <v>Бандаж лечебно–профилактический эластичный 4002 M (Болгария) - 0522006KZ006</v>
      </c>
      <c r="G2028" s="1" t="str">
        <f ca="1">IFERROR(__xludf.DUMMYFUNCTION("""COMPUTED_VALUE"""),"KZ.7700.02.01.00889956 / Действительно до 25.05.2027 / 0522006KZ006 / годен до 25.05.2027")</f>
        <v>KZ.7700.02.01.00889956 / Действительно до 25.05.2027 / 0522006KZ006 / годен до 25.05.2027</v>
      </c>
      <c r="H2028" s="1" t="str">
        <f ca="1">IFERROR(__xludf.DUMMYFUNCTION("""COMPUTED_VALUE"""),"Бандаж лечебно–профилактический эластичный 4002 M (Болгария) KZ.7700.02.01.00889956 / Действительно до 25.05.2027 / 0522006KZ006 / годен до 25.05.2027")</f>
        <v>Бандаж лечебно–профилактический эластичный 4002 M (Болгария) KZ.7700.02.01.00889956 / Действительно до 25.05.2027 / 0522006KZ006 / годен до 25.05.2027</v>
      </c>
    </row>
    <row r="2029" spans="1:8" ht="12.75" x14ac:dyDescent="0.2">
      <c r="A2029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2029" s="1" t="str">
        <f ca="1">IFERROR(__xludf.DUMMYFUNCTION("""COMPUTED_VALUE"""),"KZ.7700.02.01.00889956")</f>
        <v>KZ.7700.02.01.00889956</v>
      </c>
      <c r="C2029" s="1" t="str">
        <f ca="1">IFERROR(__xludf.DUMMYFUNCTION("""COMPUTED_VALUE"""),"Действительно до 25.05.2027")</f>
        <v>Действительно до 25.05.2027</v>
      </c>
      <c r="D2029" s="8" t="str">
        <f ca="1">IFERROR(__xludf.DUMMYFUNCTION("""COMPUTED_VALUE"""),"0522006KZ006")</f>
        <v>0522006KZ006</v>
      </c>
      <c r="E2029" s="1" t="str">
        <f ca="1">IFERROR(__xludf.DUMMYFUNCTION("""COMPUTED_VALUE"""),"годен до 25.05.2027")</f>
        <v>годен до 25.05.2027</v>
      </c>
      <c r="F2029" s="1" t="str">
        <f ca="1">IFERROR(__xludf.DUMMYFUNCTION("""COMPUTED_VALUE"""),"Бандаж лечебно–профилактический эластичный 4002 L (Болгария) - 0522006KZ006")</f>
        <v>Бандаж лечебно–профилактический эластичный 4002 L (Болгария) - 0522006KZ006</v>
      </c>
      <c r="G2029" s="1" t="str">
        <f ca="1">IFERROR(__xludf.DUMMYFUNCTION("""COMPUTED_VALUE"""),"KZ.7700.02.01.00889956 / Действительно до 25.05.2027 / 0522006KZ006 / годен до 25.05.2027")</f>
        <v>KZ.7700.02.01.00889956 / Действительно до 25.05.2027 / 0522006KZ006 / годен до 25.05.2027</v>
      </c>
      <c r="H2029" s="1" t="str">
        <f ca="1">IFERROR(__xludf.DUMMYFUNCTION("""COMPUTED_VALUE"""),"Бандаж лечебно–профилактический эластичный 4002 L (Болгария) KZ.7700.02.01.00889956 / Действительно до 25.05.2027 / 0522006KZ006 / годен до 25.05.2027")</f>
        <v>Бандаж лечебно–профилактический эластичный 4002 L (Болгария) KZ.7700.02.01.00889956 / Действительно до 25.05.2027 / 0522006KZ006 / годен до 25.05.2027</v>
      </c>
    </row>
    <row r="2030" spans="1:8" ht="12.75" x14ac:dyDescent="0.2">
      <c r="A2030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2030" s="1" t="str">
        <f ca="1">IFERROR(__xludf.DUMMYFUNCTION("""COMPUTED_VALUE"""),"KZ.7700.02.01.00889956")</f>
        <v>KZ.7700.02.01.00889956</v>
      </c>
      <c r="C2030" s="1" t="str">
        <f ca="1">IFERROR(__xludf.DUMMYFUNCTION("""COMPUTED_VALUE"""),"Действительно до 25.05.2027")</f>
        <v>Действительно до 25.05.2027</v>
      </c>
      <c r="D2030" s="8" t="str">
        <f ca="1">IFERROR(__xludf.DUMMYFUNCTION("""COMPUTED_VALUE"""),"0522006KZ006")</f>
        <v>0522006KZ006</v>
      </c>
      <c r="E2030" s="1" t="str">
        <f ca="1">IFERROR(__xludf.DUMMYFUNCTION("""COMPUTED_VALUE"""),"годен до 25.05.2027")</f>
        <v>годен до 25.05.2027</v>
      </c>
      <c r="F2030" s="1" t="str">
        <f ca="1">IFERROR(__xludf.DUMMYFUNCTION("""COMPUTED_VALUE"""),"Бандаж лечебно–профилактический эластичный 4002 XL (Болгария) - 0522006KZ006")</f>
        <v>Бандаж лечебно–профилактический эластичный 4002 XL (Болгария) - 0522006KZ006</v>
      </c>
      <c r="G2030" s="1" t="str">
        <f ca="1">IFERROR(__xludf.DUMMYFUNCTION("""COMPUTED_VALUE"""),"KZ.7700.02.01.00889956 / Действительно до 25.05.2027 / 0522006KZ006 / годен до 25.05.2027")</f>
        <v>KZ.7700.02.01.00889956 / Действительно до 25.05.2027 / 0522006KZ006 / годен до 25.05.2027</v>
      </c>
      <c r="H2030" s="1" t="str">
        <f ca="1">IFERROR(__xludf.DUMMYFUNCTION("""COMPUTED_VALUE"""),"Бандаж лечебно–профилактический эластичный 4002 XL (Болгария) KZ.7700.02.01.00889956 / Действительно до 25.05.2027 / 0522006KZ006 / годен до 25.05.2027")</f>
        <v>Бандаж лечебно–профилактический эластичный 4002 XL (Болгария) KZ.7700.02.01.00889956 / Действительно до 25.05.2027 / 0522006KZ006 / годен до 25.05.2027</v>
      </c>
    </row>
    <row r="2031" spans="1:8" ht="12.75" x14ac:dyDescent="0.2">
      <c r="A2031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2031" s="1" t="str">
        <f ca="1">IFERROR(__xludf.DUMMYFUNCTION("""COMPUTED_VALUE"""),"KZ.7700.02.01.00889956")</f>
        <v>KZ.7700.02.01.00889956</v>
      </c>
      <c r="C2031" s="1" t="str">
        <f ca="1">IFERROR(__xludf.DUMMYFUNCTION("""COMPUTED_VALUE"""),"Действительно до 25.05.2027")</f>
        <v>Действительно до 25.05.2027</v>
      </c>
      <c r="D2031" s="8" t="str">
        <f ca="1">IFERROR(__xludf.DUMMYFUNCTION("""COMPUTED_VALUE"""),"0522006KZ006")</f>
        <v>0522006KZ006</v>
      </c>
      <c r="E2031" s="1" t="str">
        <f ca="1">IFERROR(__xludf.DUMMYFUNCTION("""COMPUTED_VALUE"""),"годен до 25.05.2027")</f>
        <v>годен до 25.05.2027</v>
      </c>
      <c r="F2031" s="1" t="str">
        <f ca="1">IFERROR(__xludf.DUMMYFUNCTION("""COMPUTED_VALUE"""),"Бандаж лечебно–профилактический эластичный 4002 XXL (Болгария) - 0522006KZ006")</f>
        <v>Бандаж лечебно–профилактический эластичный 4002 XXL (Болгария) - 0522006KZ006</v>
      </c>
      <c r="G2031" s="1" t="str">
        <f ca="1">IFERROR(__xludf.DUMMYFUNCTION("""COMPUTED_VALUE"""),"KZ.7700.02.01.00889956 / Действительно до 25.05.2027 / 0522006KZ006 / годен до 25.05.2027")</f>
        <v>KZ.7700.02.01.00889956 / Действительно до 25.05.2027 / 0522006KZ006 / годен до 25.05.2027</v>
      </c>
      <c r="H2031" s="1" t="str">
        <f ca="1">IFERROR(__xludf.DUMMYFUNCTION("""COMPUTED_VALUE"""),"Бандаж лечебно–профилактический эластичный 4002 XXL (Болгария) KZ.7700.02.01.00889956 / Действительно до 25.05.2027 / 0522006KZ006 / годен до 25.05.2027")</f>
        <v>Бандаж лечебно–профилактический эластичный 4002 XXL (Болгария) KZ.7700.02.01.00889956 / Действительно до 25.05.2027 / 0522006KZ006 / годен до 25.05.2027</v>
      </c>
    </row>
    <row r="2032" spans="1:8" ht="12.75" x14ac:dyDescent="0.2">
      <c r="A2032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2032" s="1" t="str">
        <f ca="1">IFERROR(__xludf.DUMMYFUNCTION("""COMPUTED_VALUE"""),"KZ.7700.02.01.00889956")</f>
        <v>KZ.7700.02.01.00889956</v>
      </c>
      <c r="C2032" s="1" t="str">
        <f ca="1">IFERROR(__xludf.DUMMYFUNCTION("""COMPUTED_VALUE"""),"Действительно до 25.05.2027")</f>
        <v>Действительно до 25.05.2027</v>
      </c>
      <c r="D2032" s="8" t="str">
        <f ca="1">IFERROR(__xludf.DUMMYFUNCTION("""COMPUTED_VALUE"""),"0522006KZ006")</f>
        <v>0522006KZ006</v>
      </c>
      <c r="E2032" s="1" t="str">
        <f ca="1">IFERROR(__xludf.DUMMYFUNCTION("""COMPUTED_VALUE"""),"годен до 25.05.2027")</f>
        <v>годен до 25.05.2027</v>
      </c>
      <c r="F2032" s="1" t="str">
        <f ca="1">IFERROR(__xludf.DUMMYFUNCTION("""COMPUTED_VALUE"""),"Бандаж лечебно–профилактический эластичный 4002 XXXL (Болгария) - 0522006KZ006")</f>
        <v>Бандаж лечебно–профилактический эластичный 4002 XXXL (Болгария) - 0522006KZ006</v>
      </c>
      <c r="G2032" s="1" t="str">
        <f ca="1">IFERROR(__xludf.DUMMYFUNCTION("""COMPUTED_VALUE"""),"KZ.7700.02.01.00889956 / Действительно до 25.05.2027 / 0522006KZ006 / годен до 25.05.2027")</f>
        <v>KZ.7700.02.01.00889956 / Действительно до 25.05.2027 / 0522006KZ006 / годен до 25.05.2027</v>
      </c>
      <c r="H2032" s="1" t="str">
        <f ca="1">IFERROR(__xludf.DUMMYFUNCTION("""COMPUTED_VALUE"""),"Бандаж лечебно–профилактический эластичный 4002 XXXL (Болгария) KZ.7700.02.01.00889956 / Действительно до 25.05.2027 / 0522006KZ006 / годен до 25.05.2027")</f>
        <v>Бандаж лечебно–профилактический эластичный 4002 XXXL (Болгария) KZ.7700.02.01.00889956 / Действительно до 25.05.2027 / 0522006KZ006 / годен до 25.05.2027</v>
      </c>
    </row>
    <row r="2033" spans="1:8" ht="12.75" x14ac:dyDescent="0.2">
      <c r="A2033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2033" s="1" t="str">
        <f ca="1">IFERROR(__xludf.DUMMYFUNCTION("""COMPUTED_VALUE"""),"KZ.7700.02.01.00889956")</f>
        <v>KZ.7700.02.01.00889956</v>
      </c>
      <c r="C2033" s="1" t="str">
        <f ca="1">IFERROR(__xludf.DUMMYFUNCTION("""COMPUTED_VALUE"""),"Действительно до 25.05.2027")</f>
        <v>Действительно до 25.05.2027</v>
      </c>
      <c r="D2033" s="8" t="str">
        <f ca="1">IFERROR(__xludf.DUMMYFUNCTION("""COMPUTED_VALUE"""),"0522006KZ006")</f>
        <v>0522006KZ006</v>
      </c>
      <c r="E2033" s="1" t="str">
        <f ca="1">IFERROR(__xludf.DUMMYFUNCTION("""COMPUTED_VALUE"""),"годен до 25.05.2027")</f>
        <v>годен до 25.05.2027</v>
      </c>
      <c r="F2033" s="1" t="str">
        <f ca="1">IFERROR(__xludf.DUMMYFUNCTION("""COMPUTED_VALUE"""),"Бандаж лечебно–профилактический эластичный 4002 XXXXL (Болгария) - 0522006KZ006")</f>
        <v>Бандаж лечебно–профилактический эластичный 4002 XXXXL (Болгария) - 0522006KZ006</v>
      </c>
      <c r="G2033" s="1" t="str">
        <f ca="1">IFERROR(__xludf.DUMMYFUNCTION("""COMPUTED_VALUE"""),"KZ.7700.02.01.00889956 / Действительно до 25.05.2027 / 0522006KZ006 / годен до 25.05.2027")</f>
        <v>KZ.7700.02.01.00889956 / Действительно до 25.05.2027 / 0522006KZ006 / годен до 25.05.2027</v>
      </c>
      <c r="H2033" s="1" t="str">
        <f ca="1">IFERROR(__xludf.DUMMYFUNCTION("""COMPUTED_VALUE"""),"Бандаж лечебно–профилактический эластичный 4002 XXXXL (Болгария) KZ.7700.02.01.00889956 / Действительно до 25.05.2027 / 0522006KZ006 / годен до 25.05.2027")</f>
        <v>Бандаж лечебно–профилактический эластичный 4002 XXXXL (Болгария) KZ.7700.02.01.00889956 / Действительно до 25.05.2027 / 0522006KZ006 / годен до 25.05.2027</v>
      </c>
    </row>
    <row r="2034" spans="1:8" ht="12.75" x14ac:dyDescent="0.2">
      <c r="A2034" s="1" t="str">
        <f ca="1">IFERROR(__xludf.DUMMYFUNCTION("""COMPUTED_VALUE"""),"Бандаж универсальный 4011 M/L (Болгария)")</f>
        <v>Бандаж универсальный 4011 M/L (Болгария)</v>
      </c>
      <c r="B2034" s="1" t="str">
        <f ca="1">IFERROR(__xludf.DUMMYFUNCTION("""COMPUTED_VALUE"""),"KZ.7700.02.01.00894043")</f>
        <v>KZ.7700.02.01.00894043</v>
      </c>
      <c r="C2034" s="1" t="str">
        <f ca="1">IFERROR(__xludf.DUMMYFUNCTION("""COMPUTED_VALUE"""),"Действительно до 25.05.2027")</f>
        <v>Действительно до 25.05.2027</v>
      </c>
      <c r="D2034" s="8" t="str">
        <f ca="1">IFERROR(__xludf.DUMMYFUNCTION("""COMPUTED_VALUE"""),"0522006KZ006")</f>
        <v>0522006KZ006</v>
      </c>
      <c r="E2034" s="1" t="str">
        <f ca="1">IFERROR(__xludf.DUMMYFUNCTION("""COMPUTED_VALUE"""),"годен до 25.05.2027")</f>
        <v>годен до 25.05.2027</v>
      </c>
      <c r="F2034" s="1" t="str">
        <f ca="1">IFERROR(__xludf.DUMMYFUNCTION("""COMPUTED_VALUE"""),"Бандаж универсальный 4011 M/L (Болгария) - 0522006KZ006")</f>
        <v>Бандаж универсальный 4011 M/L (Болгария) - 0522006KZ006</v>
      </c>
      <c r="G2034" s="1" t="str">
        <f ca="1">IFERROR(__xludf.DUMMYFUNCTION("""COMPUTED_VALUE"""),"KZ.7700.02.01.00894043 / Действительно до 25.05.2027 / 0522006KZ006 / годен до 25.05.2027")</f>
        <v>KZ.7700.02.01.00894043 / Действительно до 25.05.2027 / 0522006KZ006 / годен до 25.05.2027</v>
      </c>
      <c r="H2034" s="1" t="str">
        <f ca="1">IFERROR(__xludf.DUMMYFUNCTION("""COMPUTED_VALUE"""),"Бандаж универсальный 4011 M/L (Болгария) KZ.7700.02.01.00894043 / Действительно до 25.05.2027 / 0522006KZ006 / годен до 25.05.2027")</f>
        <v>Бандаж универсальный 4011 M/L (Болгария) KZ.7700.02.01.00894043 / Действительно до 25.05.2027 / 0522006KZ006 / годен до 25.05.2027</v>
      </c>
    </row>
    <row r="2035" spans="1:8" ht="12.75" x14ac:dyDescent="0.2">
      <c r="A2035" s="1" t="str">
        <f ca="1">IFERROR(__xludf.DUMMYFUNCTION("""COMPUTED_VALUE"""),"Бандаж универсальный 4011 XL/XXL (Болгария)")</f>
        <v>Бандаж универсальный 4011 XL/XXL (Болгария)</v>
      </c>
      <c r="B2035" s="1" t="str">
        <f ca="1">IFERROR(__xludf.DUMMYFUNCTION("""COMPUTED_VALUE"""),"KZ.7700.02.01.00894043")</f>
        <v>KZ.7700.02.01.00894043</v>
      </c>
      <c r="C2035" s="1" t="str">
        <f ca="1">IFERROR(__xludf.DUMMYFUNCTION("""COMPUTED_VALUE"""),"Действительно до 25.05.2027")</f>
        <v>Действительно до 25.05.2027</v>
      </c>
      <c r="D2035" s="8" t="str">
        <f ca="1">IFERROR(__xludf.DUMMYFUNCTION("""COMPUTED_VALUE"""),"0522006KZ006")</f>
        <v>0522006KZ006</v>
      </c>
      <c r="E2035" s="1" t="str">
        <f ca="1">IFERROR(__xludf.DUMMYFUNCTION("""COMPUTED_VALUE"""),"годен до 25.05.2027")</f>
        <v>годен до 25.05.2027</v>
      </c>
      <c r="F2035" s="1" t="str">
        <f ca="1">IFERROR(__xludf.DUMMYFUNCTION("""COMPUTED_VALUE"""),"Бандаж универсальный 4011 XL/XXL (Болгария) - 0522006KZ006")</f>
        <v>Бандаж универсальный 4011 XL/XXL (Болгария) - 0522006KZ006</v>
      </c>
      <c r="G2035" s="1" t="str">
        <f ca="1">IFERROR(__xludf.DUMMYFUNCTION("""COMPUTED_VALUE"""),"KZ.7700.02.01.00894043 / Действительно до 25.05.2027 / 0522006KZ006 / годен до 25.05.2027")</f>
        <v>KZ.7700.02.01.00894043 / Действительно до 25.05.2027 / 0522006KZ006 / годен до 25.05.2027</v>
      </c>
      <c r="H2035" s="1" t="str">
        <f ca="1">IFERROR(__xludf.DUMMYFUNCTION("""COMPUTED_VALUE"""),"Бандаж универсальный 4011 XL/XXL (Болгария) KZ.7700.02.01.00894043 / Действительно до 25.05.2027 / 0522006KZ006 / годен до 25.05.2027")</f>
        <v>Бандаж универсальный 4011 XL/XXL (Болгария) KZ.7700.02.01.00894043 / Действительно до 25.05.2027 / 0522006KZ006 / годен до 25.05.2027</v>
      </c>
    </row>
    <row r="2036" spans="1:8" ht="12.75" x14ac:dyDescent="0.2">
      <c r="A2036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2036" s="1" t="str">
        <f ca="1">IFERROR(__xludf.DUMMYFUNCTION("""COMPUTED_VALUE"""),"KZ.7700.02.01.00894043")</f>
        <v>KZ.7700.02.01.00894043</v>
      </c>
      <c r="C2036" s="1" t="str">
        <f ca="1">IFERROR(__xludf.DUMMYFUNCTION("""COMPUTED_VALUE"""),"Действительно до 25.05.2027")</f>
        <v>Действительно до 25.05.2027</v>
      </c>
      <c r="D2036" s="8" t="str">
        <f ca="1">IFERROR(__xludf.DUMMYFUNCTION("""COMPUTED_VALUE"""),"0522006KZ006")</f>
        <v>0522006KZ006</v>
      </c>
      <c r="E2036" s="1" t="str">
        <f ca="1">IFERROR(__xludf.DUMMYFUNCTION("""COMPUTED_VALUE"""),"годен до 25.05.2027")</f>
        <v>годен до 25.05.2027</v>
      </c>
      <c r="F2036" s="1" t="str">
        <f ca="1">IFERROR(__xludf.DUMMYFUNCTION("""COMPUTED_VALUE"""),"Бандаж универсальный 4011 XXXL/XXXXL (Болгария) - 0522006KZ006")</f>
        <v>Бандаж универсальный 4011 XXXL/XXXXL (Болгария) - 0522006KZ006</v>
      </c>
      <c r="G2036" s="1" t="str">
        <f ca="1">IFERROR(__xludf.DUMMYFUNCTION("""COMPUTED_VALUE"""),"KZ.7700.02.01.00894043 / Действительно до 25.05.2027 / 0522006KZ006 / годен до 25.05.2027")</f>
        <v>KZ.7700.02.01.00894043 / Действительно до 25.05.2027 / 0522006KZ006 / годен до 25.05.2027</v>
      </c>
      <c r="H2036" s="1" t="str">
        <f ca="1">IFERROR(__xludf.DUMMYFUNCTION("""COMPUTED_VALUE"""),"Бандаж универсальный 4011 XXXL/XXXXL (Болгария) KZ.7700.02.01.00894043 / Действительно до 25.05.2027 / 0522006KZ006 / годен до 25.05.2027")</f>
        <v>Бандаж универсальный 4011 XXXL/XXXXL (Болгария) KZ.7700.02.01.00894043 / Действительно до 25.05.2027 / 0522006KZ006 / годен до 25.05.2027</v>
      </c>
    </row>
    <row r="2037" spans="1:8" ht="12.75" x14ac:dyDescent="0.2">
      <c r="A2037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2037" s="1" t="str">
        <f ca="1">IFERROR(__xludf.DUMMYFUNCTION("""COMPUTED_VALUE"""),"KZ.7700.02.01.00890529")</f>
        <v>KZ.7700.02.01.00890529</v>
      </c>
      <c r="C2037" s="1" t="str">
        <f ca="1">IFERROR(__xludf.DUMMYFUNCTION("""COMPUTED_VALUE"""),"Действительно до 25.05.2027")</f>
        <v>Действительно до 25.05.2027</v>
      </c>
      <c r="D2037" s="8" t="str">
        <f ca="1">IFERROR(__xludf.DUMMYFUNCTION("""COMPUTED_VALUE"""),"0522006KZ006")</f>
        <v>0522006KZ006</v>
      </c>
      <c r="E2037" s="1" t="str">
        <f ca="1">IFERROR(__xludf.DUMMYFUNCTION("""COMPUTED_VALUE"""),"годен до 25.05.2027")</f>
        <v>годен до 25.05.2027</v>
      </c>
      <c r="F2037" s="1" t="str">
        <f ca="1">IFERROR(__xludf.DUMMYFUNCTION("""COMPUTED_VALUE"""),"Бандаж грыжевой лево-и правосторонний 5001 M/L (Болгария) - 0522006KZ006")</f>
        <v>Бандаж грыжевой лево-и правосторонний 5001 M/L (Болгария) - 0522006KZ006</v>
      </c>
      <c r="G2037" s="1" t="str">
        <f ca="1">IFERROR(__xludf.DUMMYFUNCTION("""COMPUTED_VALUE"""),"KZ.7700.02.01.00890529 / Действительно до 25.05.2027 / 0522006KZ006 / годен до 25.05.2027")</f>
        <v>KZ.7700.02.01.00890529 / Действительно до 25.05.2027 / 0522006KZ006 / годен до 25.05.2027</v>
      </c>
      <c r="H2037" s="1" t="str">
        <f ca="1">IFERROR(__xludf.DUMMYFUNCTION("""COMPUTED_VALUE"""),"Бандаж грыжевой лево-и правосторонний 5001 M/L (Болгария) KZ.7700.02.01.00890529 / Действительно до 25.05.2027 / 0522006KZ006 / годен до 25.05.2027")</f>
        <v>Бандаж грыжевой лево-и правосторонний 5001 M/L (Болгария) KZ.7700.02.01.00890529 / Действительно до 25.05.2027 / 0522006KZ006 / годен до 25.05.2027</v>
      </c>
    </row>
    <row r="2038" spans="1:8" ht="12.75" x14ac:dyDescent="0.2">
      <c r="A2038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2038" s="1" t="str">
        <f ca="1">IFERROR(__xludf.DUMMYFUNCTION("""COMPUTED_VALUE"""),"KZ.7700.02.01.00890529")</f>
        <v>KZ.7700.02.01.00890529</v>
      </c>
      <c r="C2038" s="1" t="str">
        <f ca="1">IFERROR(__xludf.DUMMYFUNCTION("""COMPUTED_VALUE"""),"Действительно до 25.05.2027")</f>
        <v>Действительно до 25.05.2027</v>
      </c>
      <c r="D2038" s="8" t="str">
        <f ca="1">IFERROR(__xludf.DUMMYFUNCTION("""COMPUTED_VALUE"""),"0522006KZ006")</f>
        <v>0522006KZ006</v>
      </c>
      <c r="E2038" s="1" t="str">
        <f ca="1">IFERROR(__xludf.DUMMYFUNCTION("""COMPUTED_VALUE"""),"годен до 25.05.2027")</f>
        <v>годен до 25.05.2027</v>
      </c>
      <c r="F2038" s="1" t="str">
        <f ca="1">IFERROR(__xludf.DUMMYFUNCTION("""COMPUTED_VALUE"""),"Бандаж грыжевой лево-и правосторонний 5001 XL/XXL (Болгария) - 0522006KZ006")</f>
        <v>Бандаж грыжевой лево-и правосторонний 5001 XL/XXL (Болгария) - 0522006KZ006</v>
      </c>
      <c r="G2038" s="1" t="str">
        <f ca="1">IFERROR(__xludf.DUMMYFUNCTION("""COMPUTED_VALUE"""),"KZ.7700.02.01.00890529 / Действительно до 25.05.2027 / 0522006KZ006 / годен до 25.05.2027")</f>
        <v>KZ.7700.02.01.00890529 / Действительно до 25.05.2027 / 0522006KZ006 / годен до 25.05.2027</v>
      </c>
      <c r="H2038" s="1" t="str">
        <f ca="1">IFERROR(__xludf.DUMMYFUNCTION("""COMPUTED_VALUE"""),"Бандаж грыжевой лево-и правосторонний 5001 XL/XXL (Болгария) KZ.7700.02.01.00890529 / Действительно до 25.05.2027 / 0522006KZ006 / годен до 25.05.2027")</f>
        <v>Бандаж грыжевой лево-и правосторонний 5001 XL/XXL (Болгария) KZ.7700.02.01.00890529 / Действительно до 25.05.2027 / 0522006KZ006 / годен до 25.05.2027</v>
      </c>
    </row>
    <row r="2039" spans="1:8" ht="12.75" x14ac:dyDescent="0.2">
      <c r="A2039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2039" s="1" t="str">
        <f ca="1">IFERROR(__xludf.DUMMYFUNCTION("""COMPUTED_VALUE"""),"KZ.7700.02.01.00888225")</f>
        <v>KZ.7700.02.01.00888225</v>
      </c>
      <c r="C2039" s="1" t="str">
        <f ca="1">IFERROR(__xludf.DUMMYFUNCTION("""COMPUTED_VALUE"""),"Действительно до 25.05.2027")</f>
        <v>Действительно до 25.05.2027</v>
      </c>
      <c r="D2039" s="8" t="str">
        <f ca="1">IFERROR(__xludf.DUMMYFUNCTION("""COMPUTED_VALUE"""),"0522006KZ006")</f>
        <v>0522006KZ006</v>
      </c>
      <c r="E2039" s="1" t="str">
        <f ca="1">IFERROR(__xludf.DUMMYFUNCTION("""COMPUTED_VALUE"""),"годен до 25.05.2027")</f>
        <v>годен до 25.05.2027</v>
      </c>
      <c r="F2039" s="1" t="str">
        <f ca="1">IFERROR(__xludf.DUMMYFUNCTION("""COMPUTED_VALUE"""),"Бандаж при пупочной грыже 5051 XL/XXL (Болгария) - 0522006KZ006")</f>
        <v>Бандаж при пупочной грыже 5051 XL/XXL (Болгария) - 0522006KZ006</v>
      </c>
      <c r="G2039" s="1" t="str">
        <f ca="1">IFERROR(__xludf.DUMMYFUNCTION("""COMPUTED_VALUE"""),"KZ.7700.02.01.00888225 / Действительно до 25.05.2027 / 0522006KZ006 / годен до 25.05.2027")</f>
        <v>KZ.7700.02.01.00888225 / Действительно до 25.05.2027 / 0522006KZ006 / годен до 25.05.2027</v>
      </c>
      <c r="H2039" s="1" t="str">
        <f ca="1">IFERROR(__xludf.DUMMYFUNCTION("""COMPUTED_VALUE"""),"Бандаж при пупочной грыже 5051 XL/XXL (Болгария) KZ.7700.02.01.00888225 / Действительно до 25.05.2027 / 0522006KZ006 / годен до 25.05.2027")</f>
        <v>Бандаж при пупочной грыже 5051 XL/XXL (Болгария) KZ.7700.02.01.00888225 / Действительно до 25.05.2027 / 0522006KZ006 / годен до 25.05.2027</v>
      </c>
    </row>
    <row r="2040" spans="1:8" ht="12.75" x14ac:dyDescent="0.2">
      <c r="A2040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2040" s="1" t="str">
        <f ca="1">IFERROR(__xludf.DUMMYFUNCTION("""COMPUTED_VALUE"""),"KZ.7700.02.01.00888225")</f>
        <v>KZ.7700.02.01.00888225</v>
      </c>
      <c r="C2040" s="1" t="str">
        <f ca="1">IFERROR(__xludf.DUMMYFUNCTION("""COMPUTED_VALUE"""),"Действительно до 25.05.2027")</f>
        <v>Действительно до 25.05.2027</v>
      </c>
      <c r="D2040" s="8" t="str">
        <f ca="1">IFERROR(__xludf.DUMMYFUNCTION("""COMPUTED_VALUE"""),"0522006KZ006")</f>
        <v>0522006KZ006</v>
      </c>
      <c r="E2040" s="1" t="str">
        <f ca="1">IFERROR(__xludf.DUMMYFUNCTION("""COMPUTED_VALUE"""),"годен до 25.05.2027")</f>
        <v>годен до 25.05.2027</v>
      </c>
      <c r="F2040" s="1" t="str">
        <f ca="1">IFERROR(__xludf.DUMMYFUNCTION("""COMPUTED_VALUE"""),"Бандаж при пупочной грыже 5051 XXXL/XXXXL (Болгария) - 0522006KZ006")</f>
        <v>Бандаж при пупочной грыже 5051 XXXL/XXXXL (Болгария) - 0522006KZ006</v>
      </c>
      <c r="G2040" s="1" t="str">
        <f ca="1">IFERROR(__xludf.DUMMYFUNCTION("""COMPUTED_VALUE"""),"KZ.7700.02.01.00888225 / Действительно до 25.05.2027 / 0522006KZ006 / годен до 25.05.2027")</f>
        <v>KZ.7700.02.01.00888225 / Действительно до 25.05.2027 / 0522006KZ006 / годен до 25.05.2027</v>
      </c>
      <c r="H2040" s="1" t="str">
        <f ca="1">IFERROR(__xludf.DUMMYFUNCTION("""COMPUTED_VALUE"""),"Бандаж при пупочной грыже 5051 XXXL/XXXXL (Болгария) KZ.7700.02.01.00888225 / Действительно до 25.05.2027 / 0522006KZ006 / годен до 25.05.2027")</f>
        <v>Бандаж при пупочной грыже 5051 XXXL/XXXXL (Болгария) KZ.7700.02.01.00888225 / Действительно до 25.05.2027 / 0522006KZ006 / годен до 25.05.2027</v>
      </c>
    </row>
    <row r="2041" spans="1:8" ht="12.75" x14ac:dyDescent="0.2">
      <c r="A2041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2041" s="1" t="str">
        <f ca="1">IFERROR(__xludf.DUMMYFUNCTION("""COMPUTED_VALUE"""),"KZ.7700.02.01.00890778")</f>
        <v>KZ.7700.02.01.00890778</v>
      </c>
      <c r="C2041" s="1" t="str">
        <f ca="1">IFERROR(__xludf.DUMMYFUNCTION("""COMPUTED_VALUE"""),"Действительно до 25.05.2027")</f>
        <v>Действительно до 25.05.2027</v>
      </c>
      <c r="D2041" s="8" t="str">
        <f ca="1">IFERROR(__xludf.DUMMYFUNCTION("""COMPUTED_VALUE"""),"0522006KZ006")</f>
        <v>0522006KZ006</v>
      </c>
      <c r="E2041" s="1" t="str">
        <f ca="1">IFERROR(__xludf.DUMMYFUNCTION("""COMPUTED_VALUE"""),"годен до 25.05.2027")</f>
        <v>годен до 25.05.2027</v>
      </c>
      <c r="F2041" s="1" t="str">
        <f ca="1">IFERROR(__xludf.DUMMYFUNCTION("""COMPUTED_VALUE"""),"Бандаж на коленный сустав эластичный 6040 M (Болгария) - 0522006KZ006")</f>
        <v>Бандаж на коленный сустав эластичный 6040 M (Болгария) - 0522006KZ006</v>
      </c>
      <c r="G2041" s="1" t="str">
        <f ca="1">IFERROR(__xludf.DUMMYFUNCTION("""COMPUTED_VALUE"""),"KZ.7700.02.01.00890778 / Действительно до 25.05.2027 / 0522006KZ006 / годен до 25.05.2027")</f>
        <v>KZ.7700.02.01.00890778 / Действительно до 25.05.2027 / 0522006KZ006 / годен до 25.05.2027</v>
      </c>
      <c r="H2041" s="1" t="str">
        <f ca="1">IFERROR(__xludf.DUMMYFUNCTION("""COMPUTED_VALUE"""),"Бандаж на коленный сустав эластичный 6040 M (Болгария) KZ.7700.02.01.00890778 / Действительно до 25.05.2027 / 0522006KZ006 / годен до 25.05.2027")</f>
        <v>Бандаж на коленный сустав эластичный 6040 M (Болгария) KZ.7700.02.01.00890778 / Действительно до 25.05.2027 / 0522006KZ006 / годен до 25.05.2027</v>
      </c>
    </row>
    <row r="2042" spans="1:8" ht="12.75" x14ac:dyDescent="0.2">
      <c r="A2042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2042" s="1" t="str">
        <f ca="1">IFERROR(__xludf.DUMMYFUNCTION("""COMPUTED_VALUE"""),"KZ.7700.02.01.00890778")</f>
        <v>KZ.7700.02.01.00890778</v>
      </c>
      <c r="C2042" s="1" t="str">
        <f ca="1">IFERROR(__xludf.DUMMYFUNCTION("""COMPUTED_VALUE"""),"Действительно до 25.05.2027")</f>
        <v>Действительно до 25.05.2027</v>
      </c>
      <c r="D2042" s="8" t="str">
        <f ca="1">IFERROR(__xludf.DUMMYFUNCTION("""COMPUTED_VALUE"""),"0522006KZ006")</f>
        <v>0522006KZ006</v>
      </c>
      <c r="E2042" s="1" t="str">
        <f ca="1">IFERROR(__xludf.DUMMYFUNCTION("""COMPUTED_VALUE"""),"годен до 25.05.2027")</f>
        <v>годен до 25.05.2027</v>
      </c>
      <c r="F2042" s="1" t="str">
        <f ca="1">IFERROR(__xludf.DUMMYFUNCTION("""COMPUTED_VALUE"""),"Бандаж на коленный сустав эластичный 6040 L (Болгария) - 0522006KZ006")</f>
        <v>Бандаж на коленный сустав эластичный 6040 L (Болгария) - 0522006KZ006</v>
      </c>
      <c r="G2042" s="1" t="str">
        <f ca="1">IFERROR(__xludf.DUMMYFUNCTION("""COMPUTED_VALUE"""),"KZ.7700.02.01.00890778 / Действительно до 25.05.2027 / 0522006KZ006 / годен до 25.05.2027")</f>
        <v>KZ.7700.02.01.00890778 / Действительно до 25.05.2027 / 0522006KZ006 / годен до 25.05.2027</v>
      </c>
      <c r="H2042" s="1" t="str">
        <f ca="1">IFERROR(__xludf.DUMMYFUNCTION("""COMPUTED_VALUE"""),"Бандаж на коленный сустав эластичный 6040 L (Болгария) KZ.7700.02.01.00890778 / Действительно до 25.05.2027 / 0522006KZ006 / годен до 25.05.2027")</f>
        <v>Бандаж на коленный сустав эластичный 6040 L (Болгария) KZ.7700.02.01.00890778 / Действительно до 25.05.2027 / 0522006KZ006 / годен до 25.05.2027</v>
      </c>
    </row>
    <row r="2043" spans="1:8" ht="12.75" x14ac:dyDescent="0.2">
      <c r="A2043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2043" s="1" t="str">
        <f ca="1">IFERROR(__xludf.DUMMYFUNCTION("""COMPUTED_VALUE"""),"KZ.7700.02.01.00890778")</f>
        <v>KZ.7700.02.01.00890778</v>
      </c>
      <c r="C2043" s="1" t="str">
        <f ca="1">IFERROR(__xludf.DUMMYFUNCTION("""COMPUTED_VALUE"""),"Действительно до 25.05.2027")</f>
        <v>Действительно до 25.05.2027</v>
      </c>
      <c r="D2043" s="8" t="str">
        <f ca="1">IFERROR(__xludf.DUMMYFUNCTION("""COMPUTED_VALUE"""),"0522006KZ006")</f>
        <v>0522006KZ006</v>
      </c>
      <c r="E2043" s="1" t="str">
        <f ca="1">IFERROR(__xludf.DUMMYFUNCTION("""COMPUTED_VALUE"""),"годен до 25.05.2027")</f>
        <v>годен до 25.05.2027</v>
      </c>
      <c r="F2043" s="1" t="str">
        <f ca="1">IFERROR(__xludf.DUMMYFUNCTION("""COMPUTED_VALUE"""),"Бандаж на коленный сустав эластичный 6040 XL (Болгария) - 0522006KZ006")</f>
        <v>Бандаж на коленный сустав эластичный 6040 XL (Болгария) - 0522006KZ006</v>
      </c>
      <c r="G2043" s="1" t="str">
        <f ca="1">IFERROR(__xludf.DUMMYFUNCTION("""COMPUTED_VALUE"""),"KZ.7700.02.01.00890778 / Действительно до 25.05.2027 / 0522006KZ006 / годен до 25.05.2027")</f>
        <v>KZ.7700.02.01.00890778 / Действительно до 25.05.2027 / 0522006KZ006 / годен до 25.05.2027</v>
      </c>
      <c r="H2043" s="1" t="str">
        <f ca="1">IFERROR(__xludf.DUMMYFUNCTION("""COMPUTED_VALUE"""),"Бандаж на коленный сустав эластичный 6040 XL (Болгария) KZ.7700.02.01.00890778 / Действительно до 25.05.2027 / 0522006KZ006 / годен до 25.05.2027")</f>
        <v>Бандаж на коленный сустав эластичный 6040 XL (Болгария) KZ.7700.02.01.00890778 / Действительно до 25.05.2027 / 0522006KZ006 / годен до 25.05.2027</v>
      </c>
    </row>
    <row r="2044" spans="1:8" ht="12.75" x14ac:dyDescent="0.2">
      <c r="A2044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2044" s="1" t="str">
        <f ca="1">IFERROR(__xludf.DUMMYFUNCTION("""COMPUTED_VALUE"""),"KZ.7700.02.01.00894048")</f>
        <v>KZ.7700.02.01.00894048</v>
      </c>
      <c r="C2044" s="1" t="str">
        <f ca="1">IFERROR(__xludf.DUMMYFUNCTION("""COMPUTED_VALUE"""),"Действительно до 25.05.2027")</f>
        <v>Действительно до 25.05.2027</v>
      </c>
      <c r="D2044" s="8" t="str">
        <f ca="1">IFERROR(__xludf.DUMMYFUNCTION("""COMPUTED_VALUE"""),"0522006KZ006")</f>
        <v>0522006KZ006</v>
      </c>
      <c r="E2044" s="1" t="str">
        <f ca="1">IFERROR(__xludf.DUMMYFUNCTION("""COMPUTED_VALUE"""),"годен до 25.05.2027")</f>
        <v>годен до 25.05.2027</v>
      </c>
      <c r="F2044" s="1" t="str">
        <f ca="1">IFERROR(__xludf.DUMMYFUNCTION("""COMPUTED_VALUE"""),"Бандаж на коленный сустав разъемный 6058 S\M (Болгария) - 0522006KZ006")</f>
        <v>Бандаж на коленный сустав разъемный 6058 S\M (Болгария) - 0522006KZ006</v>
      </c>
      <c r="G2044" s="1" t="str">
        <f ca="1">IFERROR(__xludf.DUMMYFUNCTION("""COMPUTED_VALUE"""),"KZ.7700.02.01.00894048 / Действительно до 25.05.2027 / 0522006KZ006 / годен до 25.05.2027")</f>
        <v>KZ.7700.02.01.00894048 / Действительно до 25.05.2027 / 0522006KZ006 / годен до 25.05.2027</v>
      </c>
      <c r="H2044" s="1" t="str">
        <f ca="1">IFERROR(__xludf.DUMMYFUNCTION("""COMPUTED_VALUE"""),"Бандаж на коленный сустав разъемный 6058 S\M (Болгария) KZ.7700.02.01.00894048 / Действительно до 25.05.2027 / 0522006KZ006 / годен до 25.05.2027")</f>
        <v>Бандаж на коленный сустав разъемный 6058 S\M (Болгария) KZ.7700.02.01.00894048 / Действительно до 25.05.2027 / 0522006KZ006 / годен до 25.05.2027</v>
      </c>
    </row>
    <row r="2045" spans="1:8" ht="12.75" x14ac:dyDescent="0.2">
      <c r="A2045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2045" s="1" t="str">
        <f ca="1">IFERROR(__xludf.DUMMYFUNCTION("""COMPUTED_VALUE"""),"KZ.7700.02.01.00894048")</f>
        <v>KZ.7700.02.01.00894048</v>
      </c>
      <c r="C2045" s="1" t="str">
        <f ca="1">IFERROR(__xludf.DUMMYFUNCTION("""COMPUTED_VALUE"""),"Действительно до 25.05.2027")</f>
        <v>Действительно до 25.05.2027</v>
      </c>
      <c r="D2045" s="8" t="str">
        <f ca="1">IFERROR(__xludf.DUMMYFUNCTION("""COMPUTED_VALUE"""),"0522006KZ006")</f>
        <v>0522006KZ006</v>
      </c>
      <c r="E2045" s="1" t="str">
        <f ca="1">IFERROR(__xludf.DUMMYFUNCTION("""COMPUTED_VALUE"""),"годен до 25.05.2027")</f>
        <v>годен до 25.05.2027</v>
      </c>
      <c r="F2045" s="1" t="str">
        <f ca="1">IFERROR(__xludf.DUMMYFUNCTION("""COMPUTED_VALUE"""),"Бандаж на коленный сустав разъемный 6058 L\XL (Болгария) - 0522006KZ006")</f>
        <v>Бандаж на коленный сустав разъемный 6058 L\XL (Болгария) - 0522006KZ006</v>
      </c>
      <c r="G2045" s="1" t="str">
        <f ca="1">IFERROR(__xludf.DUMMYFUNCTION("""COMPUTED_VALUE"""),"KZ.7700.02.01.00894048 / Действительно до 25.05.2027 / 0522006KZ006 / годен до 25.05.2027")</f>
        <v>KZ.7700.02.01.00894048 / Действительно до 25.05.2027 / 0522006KZ006 / годен до 25.05.2027</v>
      </c>
      <c r="H2045" s="1" t="str">
        <f ca="1">IFERROR(__xludf.DUMMYFUNCTION("""COMPUTED_VALUE"""),"Бандаж на коленный сустав разъемный 6058 L\XL (Болгария) KZ.7700.02.01.00894048 / Действительно до 25.05.2027 / 0522006KZ006 / годен до 25.05.2027")</f>
        <v>Бандаж на коленный сустав разъемный 6058 L\XL (Болгария) KZ.7700.02.01.00894048 / Действительно до 25.05.2027 / 0522006KZ006 / годен до 25.05.2027</v>
      </c>
    </row>
    <row r="2046" spans="1:8" ht="12.75" x14ac:dyDescent="0.2">
      <c r="A2046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2046" s="1" t="str">
        <f ca="1">IFERROR(__xludf.DUMMYFUNCTION("""COMPUTED_VALUE"""),"KZ.7700.02.01.00894048")</f>
        <v>KZ.7700.02.01.00894048</v>
      </c>
      <c r="C2046" s="1" t="str">
        <f ca="1">IFERROR(__xludf.DUMMYFUNCTION("""COMPUTED_VALUE"""),"Действительно до 25.05.2027")</f>
        <v>Действительно до 25.05.2027</v>
      </c>
      <c r="D2046" s="8" t="str">
        <f ca="1">IFERROR(__xludf.DUMMYFUNCTION("""COMPUTED_VALUE"""),"0522006KZ006")</f>
        <v>0522006KZ006</v>
      </c>
      <c r="E2046" s="1" t="str">
        <f ca="1">IFERROR(__xludf.DUMMYFUNCTION("""COMPUTED_VALUE"""),"годен до 25.05.2027")</f>
        <v>годен до 25.05.2027</v>
      </c>
      <c r="F2046" s="1" t="str">
        <f ca="1">IFERROR(__xludf.DUMMYFUNCTION("""COMPUTED_VALUE"""),"Бандаж на коленный сустав разъемный 6058 XXL (Болгария) - 0522006KZ006")</f>
        <v>Бандаж на коленный сустав разъемный 6058 XXL (Болгария) - 0522006KZ006</v>
      </c>
      <c r="G2046" s="1" t="str">
        <f ca="1">IFERROR(__xludf.DUMMYFUNCTION("""COMPUTED_VALUE"""),"KZ.7700.02.01.00894048 / Действительно до 25.05.2027 / 0522006KZ006 / годен до 25.05.2027")</f>
        <v>KZ.7700.02.01.00894048 / Действительно до 25.05.2027 / 0522006KZ006 / годен до 25.05.2027</v>
      </c>
      <c r="H2046" s="1" t="str">
        <f ca="1">IFERROR(__xludf.DUMMYFUNCTION("""COMPUTED_VALUE"""),"Бандаж на коленный сустав разъемный 6058 XXL (Болгария) KZ.7700.02.01.00894048 / Действительно до 25.05.2027 / 0522006KZ006 / годен до 25.05.2027")</f>
        <v>Бандаж на коленный сустав разъемный 6058 XXL (Болгария) KZ.7700.02.01.00894048 / Действительно до 25.05.2027 / 0522006KZ006 / годен до 25.05.2027</v>
      </c>
    </row>
    <row r="2047" spans="1:8" ht="12.75" x14ac:dyDescent="0.2">
      <c r="A2047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2047" s="1" t="str">
        <f ca="1">IFERROR(__xludf.DUMMYFUNCTION("""COMPUTED_VALUE"""),"KZ.7700.02.01.00887897")</f>
        <v>KZ.7700.02.01.00887897</v>
      </c>
      <c r="C2047" s="1" t="str">
        <f ca="1">IFERROR(__xludf.DUMMYFUNCTION("""COMPUTED_VALUE"""),"Действительно до 25.05.2027")</f>
        <v>Действительно до 25.05.2027</v>
      </c>
      <c r="D2047" s="8" t="str">
        <f ca="1">IFERROR(__xludf.DUMMYFUNCTION("""COMPUTED_VALUE"""),"0522006KZ006")</f>
        <v>0522006KZ006</v>
      </c>
      <c r="E2047" s="1" t="str">
        <f ca="1">IFERROR(__xludf.DUMMYFUNCTION("""COMPUTED_VALUE"""),"годен до 25.05.2027")</f>
        <v>годен до 25.05.2027</v>
      </c>
      <c r="F2047" s="1" t="str">
        <f ca="1">IFERROR(__xludf.DUMMYFUNCTION("""COMPUTED_VALUE"""),"Бандаж на голеностопный сустав эластичный 7035 S (Болгария) - 0522006KZ006")</f>
        <v>Бандаж на голеностопный сустав эластичный 7035 S (Болгария) - 0522006KZ006</v>
      </c>
      <c r="G2047" s="1" t="str">
        <f ca="1">IFERROR(__xludf.DUMMYFUNCTION("""COMPUTED_VALUE"""),"KZ.7700.02.01.00887897 / Действительно до 25.05.2027 / 0522006KZ006 / годен до 25.05.2027")</f>
        <v>KZ.7700.02.01.00887897 / Действительно до 25.05.2027 / 0522006KZ006 / годен до 25.05.2027</v>
      </c>
      <c r="H2047" s="1" t="str">
        <f ca="1">IFERROR(__xludf.DUMMYFUNCTION("""COMPUTED_VALUE"""),"Бандаж на голеностопный сустав эластичный 7035 S (Болгария) KZ.7700.02.01.00887897 / Действительно до 25.05.2027 / 0522006KZ006 / годен до 25.05.2027")</f>
        <v>Бандаж на голеностопный сустав эластичный 7035 S (Болгария) KZ.7700.02.01.00887897 / Действительно до 25.05.2027 / 0522006KZ006 / годен до 25.05.2027</v>
      </c>
    </row>
    <row r="2048" spans="1:8" ht="12.75" x14ac:dyDescent="0.2">
      <c r="A2048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2048" s="1" t="str">
        <f ca="1">IFERROR(__xludf.DUMMYFUNCTION("""COMPUTED_VALUE"""),"KZ.7700.02.01.00887897")</f>
        <v>KZ.7700.02.01.00887897</v>
      </c>
      <c r="C2048" s="1" t="str">
        <f ca="1">IFERROR(__xludf.DUMMYFUNCTION("""COMPUTED_VALUE"""),"Действительно до 25.05.2027")</f>
        <v>Действительно до 25.05.2027</v>
      </c>
      <c r="D2048" s="8" t="str">
        <f ca="1">IFERROR(__xludf.DUMMYFUNCTION("""COMPUTED_VALUE"""),"0522006KZ006")</f>
        <v>0522006KZ006</v>
      </c>
      <c r="E2048" s="1" t="str">
        <f ca="1">IFERROR(__xludf.DUMMYFUNCTION("""COMPUTED_VALUE"""),"годен до 25.05.2027")</f>
        <v>годен до 25.05.2027</v>
      </c>
      <c r="F2048" s="1" t="str">
        <f ca="1">IFERROR(__xludf.DUMMYFUNCTION("""COMPUTED_VALUE"""),"Бандаж на голеностопный сустав эластичный 7035 M (Болгария) - 0522006KZ006")</f>
        <v>Бандаж на голеностопный сустав эластичный 7035 M (Болгария) - 0522006KZ006</v>
      </c>
      <c r="G2048" s="1" t="str">
        <f ca="1">IFERROR(__xludf.DUMMYFUNCTION("""COMPUTED_VALUE"""),"KZ.7700.02.01.00887897 / Действительно до 25.05.2027 / 0522006KZ006 / годен до 25.05.2027")</f>
        <v>KZ.7700.02.01.00887897 / Действительно до 25.05.2027 / 0522006KZ006 / годен до 25.05.2027</v>
      </c>
      <c r="H2048" s="1" t="str">
        <f ca="1">IFERROR(__xludf.DUMMYFUNCTION("""COMPUTED_VALUE"""),"Бандаж на голеностопный сустав эластичный 7035 M (Болгария) KZ.7700.02.01.00887897 / Действительно до 25.05.2027 / 0522006KZ006 / годен до 25.05.2027")</f>
        <v>Бандаж на голеностопный сустав эластичный 7035 M (Болгария) KZ.7700.02.01.00887897 / Действительно до 25.05.2027 / 0522006KZ006 / годен до 25.05.2027</v>
      </c>
    </row>
    <row r="2049" spans="1:8" ht="12.75" x14ac:dyDescent="0.2">
      <c r="A2049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2049" s="1" t="str">
        <f ca="1">IFERROR(__xludf.DUMMYFUNCTION("""COMPUTED_VALUE"""),"KZ.7700.02.01.00887897")</f>
        <v>KZ.7700.02.01.00887897</v>
      </c>
      <c r="C2049" s="1" t="str">
        <f ca="1">IFERROR(__xludf.DUMMYFUNCTION("""COMPUTED_VALUE"""),"Действительно до 25.05.2027")</f>
        <v>Действительно до 25.05.2027</v>
      </c>
      <c r="D2049" s="8" t="str">
        <f ca="1">IFERROR(__xludf.DUMMYFUNCTION("""COMPUTED_VALUE"""),"0522006KZ006")</f>
        <v>0522006KZ006</v>
      </c>
      <c r="E2049" s="1" t="str">
        <f ca="1">IFERROR(__xludf.DUMMYFUNCTION("""COMPUTED_VALUE"""),"годен до 25.05.2027")</f>
        <v>годен до 25.05.2027</v>
      </c>
      <c r="F2049" s="1" t="str">
        <f ca="1">IFERROR(__xludf.DUMMYFUNCTION("""COMPUTED_VALUE"""),"Бандаж на голеностопный сустав эластичный 7035 L (Болгария) - 0522006KZ006")</f>
        <v>Бандаж на голеностопный сустав эластичный 7035 L (Болгария) - 0522006KZ006</v>
      </c>
      <c r="G2049" s="1" t="str">
        <f ca="1">IFERROR(__xludf.DUMMYFUNCTION("""COMPUTED_VALUE"""),"KZ.7700.02.01.00887897 / Действительно до 25.05.2027 / 0522006KZ006 / годен до 25.05.2027")</f>
        <v>KZ.7700.02.01.00887897 / Действительно до 25.05.2027 / 0522006KZ006 / годен до 25.05.2027</v>
      </c>
      <c r="H2049" s="1" t="str">
        <f ca="1">IFERROR(__xludf.DUMMYFUNCTION("""COMPUTED_VALUE"""),"Бандаж на голеностопный сустав эластичный 7035 L (Болгария) KZ.7700.02.01.00887897 / Действительно до 25.05.2027 / 0522006KZ006 / годен до 25.05.2027")</f>
        <v>Бандаж на голеностопный сустав эластичный 7035 L (Болгария) KZ.7700.02.01.00887897 / Действительно до 25.05.2027 / 0522006KZ006 / годен до 25.05.2027</v>
      </c>
    </row>
    <row r="2050" spans="1:8" ht="12.75" x14ac:dyDescent="0.2">
      <c r="A2050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2050" s="1" t="str">
        <f ca="1">IFERROR(__xludf.DUMMYFUNCTION("""COMPUTED_VALUE"""),"KZ.7700.02.01.00887897")</f>
        <v>KZ.7700.02.01.00887897</v>
      </c>
      <c r="C2050" s="1" t="str">
        <f ca="1">IFERROR(__xludf.DUMMYFUNCTION("""COMPUTED_VALUE"""),"Действительно до 25.05.2027")</f>
        <v>Действительно до 25.05.2027</v>
      </c>
      <c r="D2050" s="8" t="str">
        <f ca="1">IFERROR(__xludf.DUMMYFUNCTION("""COMPUTED_VALUE"""),"0522006KZ006")</f>
        <v>0522006KZ006</v>
      </c>
      <c r="E2050" s="1" t="str">
        <f ca="1">IFERROR(__xludf.DUMMYFUNCTION("""COMPUTED_VALUE"""),"годен до 25.05.2027")</f>
        <v>годен до 25.05.2027</v>
      </c>
      <c r="F2050" s="1" t="str">
        <f ca="1">IFERROR(__xludf.DUMMYFUNCTION("""COMPUTED_VALUE"""),"Бандаж на голеностопный сустав эластичный 7035 XL (Болгария) - 0522006KZ006")</f>
        <v>Бандаж на голеностопный сустав эластичный 7035 XL (Болгария) - 0522006KZ006</v>
      </c>
      <c r="G2050" s="1" t="str">
        <f ca="1">IFERROR(__xludf.DUMMYFUNCTION("""COMPUTED_VALUE"""),"KZ.7700.02.01.00887897 / Действительно до 25.05.2027 / 0522006KZ006 / годен до 25.05.2027")</f>
        <v>KZ.7700.02.01.00887897 / Действительно до 25.05.2027 / 0522006KZ006 / годен до 25.05.2027</v>
      </c>
      <c r="H2050" s="1" t="str">
        <f ca="1">IFERROR(__xludf.DUMMYFUNCTION("""COMPUTED_VALUE"""),"Бандаж на голеностопный сустав эластичный 7035 XL (Болгария) KZ.7700.02.01.00887897 / Действительно до 25.05.2027 / 0522006KZ006 / годен до 25.05.2027")</f>
        <v>Бандаж на голеностопный сустав эластичный 7035 XL (Болгария) KZ.7700.02.01.00887897 / Действительно до 25.05.2027 / 0522006KZ006 / годен до 25.05.2027</v>
      </c>
    </row>
    <row r="2051" spans="1:8" ht="12.75" x14ac:dyDescent="0.2">
      <c r="A2051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2051" s="1" t="str">
        <f ca="1">IFERROR(__xludf.DUMMYFUNCTION("""COMPUTED_VALUE"""),"KZ.7700.02.01.00890376")</f>
        <v>KZ.7700.02.01.00890376</v>
      </c>
      <c r="C2051" s="1" t="str">
        <f ca="1">IFERROR(__xludf.DUMMYFUNCTION("""COMPUTED_VALUE"""),"Действительно до 25.05.2027")</f>
        <v>Действительно до 25.05.2027</v>
      </c>
      <c r="D2051" s="8" t="str">
        <f ca="1">IFERROR(__xludf.DUMMYFUNCTION("""COMPUTED_VALUE"""),"0522006KZ006")</f>
        <v>0522006KZ006</v>
      </c>
      <c r="E2051" s="1" t="str">
        <f ca="1">IFERROR(__xludf.DUMMYFUNCTION("""COMPUTED_VALUE"""),"годен до 25.05.2027")</f>
        <v>годен до 25.05.2027</v>
      </c>
      <c r="F2051" s="1" t="str">
        <f ca="1">IFERROR(__xludf.DUMMYFUNCTION("""COMPUTED_VALUE"""),"Бандаж на локтевой сустав эластичный 8317 S (Болгария) - 0522006KZ006")</f>
        <v>Бандаж на локтевой сустав эластичный 8317 S (Болгария) - 0522006KZ006</v>
      </c>
      <c r="G2051" s="1" t="str">
        <f ca="1">IFERROR(__xludf.DUMMYFUNCTION("""COMPUTED_VALUE"""),"KZ.7700.02.01.00890376 / Действительно до 25.05.2027 / 0522006KZ006 / годен до 25.05.2027")</f>
        <v>KZ.7700.02.01.00890376 / Действительно до 25.05.2027 / 0522006KZ006 / годен до 25.05.2027</v>
      </c>
      <c r="H2051" s="1" t="str">
        <f ca="1">IFERROR(__xludf.DUMMYFUNCTION("""COMPUTED_VALUE"""),"Бандаж на локтевой сустав эластичный 8317 S (Болгария) KZ.7700.02.01.00890376 / Действительно до 25.05.2027 / 0522006KZ006 / годен до 25.05.2027")</f>
        <v>Бандаж на локтевой сустав эластичный 8317 S (Болгария) KZ.7700.02.01.00890376 / Действительно до 25.05.2027 / 0522006KZ006 / годен до 25.05.2027</v>
      </c>
    </row>
    <row r="2052" spans="1:8" ht="12.75" x14ac:dyDescent="0.2">
      <c r="A2052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2052" s="1" t="str">
        <f ca="1">IFERROR(__xludf.DUMMYFUNCTION("""COMPUTED_VALUE"""),"KZ.7700.02.01.00890376")</f>
        <v>KZ.7700.02.01.00890376</v>
      </c>
      <c r="C2052" s="1" t="str">
        <f ca="1">IFERROR(__xludf.DUMMYFUNCTION("""COMPUTED_VALUE"""),"Действительно до 25.05.2027")</f>
        <v>Действительно до 25.05.2027</v>
      </c>
      <c r="D2052" s="8" t="str">
        <f ca="1">IFERROR(__xludf.DUMMYFUNCTION("""COMPUTED_VALUE"""),"0522006KZ006")</f>
        <v>0522006KZ006</v>
      </c>
      <c r="E2052" s="1" t="str">
        <f ca="1">IFERROR(__xludf.DUMMYFUNCTION("""COMPUTED_VALUE"""),"годен до 25.05.2027")</f>
        <v>годен до 25.05.2027</v>
      </c>
      <c r="F2052" s="1" t="str">
        <f ca="1">IFERROR(__xludf.DUMMYFUNCTION("""COMPUTED_VALUE"""),"Бандаж на локтевой сустав эластичный 8317 M (Болгария) - 0522006KZ006")</f>
        <v>Бандаж на локтевой сустав эластичный 8317 M (Болгария) - 0522006KZ006</v>
      </c>
      <c r="G2052" s="1" t="str">
        <f ca="1">IFERROR(__xludf.DUMMYFUNCTION("""COMPUTED_VALUE"""),"KZ.7700.02.01.00890376 / Действительно до 25.05.2027 / 0522006KZ006 / годен до 25.05.2027")</f>
        <v>KZ.7700.02.01.00890376 / Действительно до 25.05.2027 / 0522006KZ006 / годен до 25.05.2027</v>
      </c>
      <c r="H2052" s="1" t="str">
        <f ca="1">IFERROR(__xludf.DUMMYFUNCTION("""COMPUTED_VALUE"""),"Бандаж на локтевой сустав эластичный 8317 M (Болгария) KZ.7700.02.01.00890376 / Действительно до 25.05.2027 / 0522006KZ006 / годен до 25.05.2027")</f>
        <v>Бандаж на локтевой сустав эластичный 8317 M (Болгария) KZ.7700.02.01.00890376 / Действительно до 25.05.2027 / 0522006KZ006 / годен до 25.05.2027</v>
      </c>
    </row>
    <row r="2053" spans="1:8" ht="12.75" x14ac:dyDescent="0.2">
      <c r="A2053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2053" s="1" t="str">
        <f ca="1">IFERROR(__xludf.DUMMYFUNCTION("""COMPUTED_VALUE"""),"KZ.7700.02.01.00890878")</f>
        <v>KZ.7700.02.01.00890878</v>
      </c>
      <c r="C2053" s="1" t="str">
        <f ca="1">IFERROR(__xludf.DUMMYFUNCTION("""COMPUTED_VALUE"""),"Действительно до 25.05.2027")</f>
        <v>Действительно до 25.05.2027</v>
      </c>
      <c r="D2053" s="8" t="str">
        <f ca="1">IFERROR(__xludf.DUMMYFUNCTION("""COMPUTED_VALUE"""),"0522006KZ006")</f>
        <v>0522006KZ006</v>
      </c>
      <c r="E2053" s="1" t="str">
        <f ca="1">IFERROR(__xludf.DUMMYFUNCTION("""COMPUTED_VALUE"""),"годен до 25.05.2027")</f>
        <v>годен до 25.05.2027</v>
      </c>
      <c r="F2053" s="1" t="str">
        <f ca="1">IFERROR(__xludf.DUMMYFUNCTION("""COMPUTED_VALUE"""),"Бандаж на лучезапястный сустав эластичный 8503 S (Болгария) - 0522006KZ006")</f>
        <v>Бандаж на лучезапястный сустав эластичный 8503 S (Болгария) - 0522006KZ006</v>
      </c>
      <c r="G2053" s="1" t="str">
        <f ca="1">IFERROR(__xludf.DUMMYFUNCTION("""COMPUTED_VALUE"""),"KZ.7700.02.01.00890878 / Действительно до 25.05.2027 / 0522006KZ006 / годен до 25.05.2027")</f>
        <v>KZ.7700.02.01.00890878 / Действительно до 25.05.2027 / 0522006KZ006 / годен до 25.05.2027</v>
      </c>
      <c r="H2053" s="1" t="str">
        <f ca="1">IFERROR(__xludf.DUMMYFUNCTION("""COMPUTED_VALUE"""),"Бандаж на лучезапястный сустав эластичный 8503 S (Болгария) KZ.7700.02.01.00890878 / Действительно до 25.05.2027 / 0522006KZ006 / годен до 25.05.2027")</f>
        <v>Бандаж на лучезапястный сустав эластичный 8503 S (Болгария) KZ.7700.02.01.00890878 / Действительно до 25.05.2027 / 0522006KZ006 / годен до 25.05.2027</v>
      </c>
    </row>
    <row r="2054" spans="1:8" ht="12.75" x14ac:dyDescent="0.2">
      <c r="A2054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2054" s="1" t="str">
        <f ca="1">IFERROR(__xludf.DUMMYFUNCTION("""COMPUTED_VALUE"""),"KZ.7700.02.01.00890878")</f>
        <v>KZ.7700.02.01.00890878</v>
      </c>
      <c r="C2054" s="1" t="str">
        <f ca="1">IFERROR(__xludf.DUMMYFUNCTION("""COMPUTED_VALUE"""),"Действительно до 25.05.2027")</f>
        <v>Действительно до 25.05.2027</v>
      </c>
      <c r="D2054" s="8" t="str">
        <f ca="1">IFERROR(__xludf.DUMMYFUNCTION("""COMPUTED_VALUE"""),"0522006KZ006")</f>
        <v>0522006KZ006</v>
      </c>
      <c r="E2054" s="1" t="str">
        <f ca="1">IFERROR(__xludf.DUMMYFUNCTION("""COMPUTED_VALUE"""),"годен до 25.05.2027")</f>
        <v>годен до 25.05.2027</v>
      </c>
      <c r="F2054" s="1" t="str">
        <f ca="1">IFERROR(__xludf.DUMMYFUNCTION("""COMPUTED_VALUE"""),"Бандаж на лучезапястный сустав эластичный 8503 M (Болгария) - 0522006KZ006")</f>
        <v>Бандаж на лучезапястный сустав эластичный 8503 M (Болгария) - 0522006KZ006</v>
      </c>
      <c r="G2054" s="1" t="str">
        <f ca="1">IFERROR(__xludf.DUMMYFUNCTION("""COMPUTED_VALUE"""),"KZ.7700.02.01.00890878 / Действительно до 25.05.2027 / 0522006KZ006 / годен до 25.05.2027")</f>
        <v>KZ.7700.02.01.00890878 / Действительно до 25.05.2027 / 0522006KZ006 / годен до 25.05.2027</v>
      </c>
      <c r="H2054" s="1" t="str">
        <f ca="1">IFERROR(__xludf.DUMMYFUNCTION("""COMPUTED_VALUE"""),"Бандаж на лучезапястный сустав эластичный 8503 M (Болгария) KZ.7700.02.01.00890878 / Действительно до 25.05.2027 / 0522006KZ006 / годен до 25.05.2027")</f>
        <v>Бандаж на лучезапястный сустав эластичный 8503 M (Болгария) KZ.7700.02.01.00890878 / Действительно до 25.05.2027 / 0522006KZ006 / годен до 25.05.2027</v>
      </c>
    </row>
    <row r="2055" spans="1:8" ht="12.75" x14ac:dyDescent="0.2">
      <c r="A2055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2055" s="1" t="str">
        <f ca="1">IFERROR(__xludf.DUMMYFUNCTION("""COMPUTED_VALUE"""),"KZ.7700.02.01.00890878")</f>
        <v>KZ.7700.02.01.00890878</v>
      </c>
      <c r="C2055" s="1" t="str">
        <f ca="1">IFERROR(__xludf.DUMMYFUNCTION("""COMPUTED_VALUE"""),"Действительно до 25.05.2027")</f>
        <v>Действительно до 25.05.2027</v>
      </c>
      <c r="D2055" s="8" t="str">
        <f ca="1">IFERROR(__xludf.DUMMYFUNCTION("""COMPUTED_VALUE"""),"0522006KZ006")</f>
        <v>0522006KZ006</v>
      </c>
      <c r="E2055" s="1" t="str">
        <f ca="1">IFERROR(__xludf.DUMMYFUNCTION("""COMPUTED_VALUE"""),"годен до 25.05.2027")</f>
        <v>годен до 25.05.2027</v>
      </c>
      <c r="F2055" s="1" t="str">
        <f ca="1">IFERROR(__xludf.DUMMYFUNCTION("""COMPUTED_VALUE"""),"Бандаж на лучезапястный сустав эластичный 8503 L (Болгария) - 0522006KZ006")</f>
        <v>Бандаж на лучезапястный сустав эластичный 8503 L (Болгария) - 0522006KZ006</v>
      </c>
      <c r="G2055" s="1" t="str">
        <f ca="1">IFERROR(__xludf.DUMMYFUNCTION("""COMPUTED_VALUE"""),"KZ.7700.02.01.00890878 / Действительно до 25.05.2027 / 0522006KZ006 / годен до 25.05.2027")</f>
        <v>KZ.7700.02.01.00890878 / Действительно до 25.05.2027 / 0522006KZ006 / годен до 25.05.2027</v>
      </c>
      <c r="H2055" s="1" t="str">
        <f ca="1">IFERROR(__xludf.DUMMYFUNCTION("""COMPUTED_VALUE"""),"Бандаж на лучезапястный сустав эластичный 8503 L (Болгария) KZ.7700.02.01.00890878 / Действительно до 25.05.2027 / 0522006KZ006 / годен до 25.05.2027")</f>
        <v>Бандаж на лучезапястный сустав эластичный 8503 L (Болгария) KZ.7700.02.01.00890878 / Действительно до 25.05.2027 / 0522006KZ006 / годен до 25.05.2027</v>
      </c>
    </row>
    <row r="2056" spans="1:8" ht="12.75" x14ac:dyDescent="0.2">
      <c r="A2056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2056" s="1" t="str">
        <f ca="1">IFERROR(__xludf.DUMMYFUNCTION("""COMPUTED_VALUE"""),"KZ.7700.02.01.00890366")</f>
        <v>KZ.7700.02.01.00890366</v>
      </c>
      <c r="C2056" s="1" t="str">
        <f ca="1">IFERROR(__xludf.DUMMYFUNCTION("""COMPUTED_VALUE"""),"Действительно до 25.05.2027")</f>
        <v>Действительно до 25.05.2027</v>
      </c>
      <c r="D2056" s="8" t="str">
        <f ca="1">IFERROR(__xludf.DUMMYFUNCTION("""COMPUTED_VALUE"""),"0522006KZ006")</f>
        <v>0522006KZ006</v>
      </c>
      <c r="E2056" s="1" t="str">
        <f ca="1">IFERROR(__xludf.DUMMYFUNCTION("""COMPUTED_VALUE"""),"годен до 25.05.2027")</f>
        <v>годен до 25.05.2027</v>
      </c>
      <c r="F2056" s="1" t="str">
        <f ca="1">IFERROR(__xludf.DUMMYFUNCTION("""COMPUTED_VALUE"""),"Бандаж на лучезапястный сустав легкой фиксации 8505 S/M (Бежевый) (Болгария) - 0522006KZ006")</f>
        <v>Бандаж на лучезапястный сустав легкой фиксации 8505 S/M (Бежевый) (Болгария) - 0522006KZ006</v>
      </c>
      <c r="G2056" s="1" t="str">
        <f ca="1">IFERROR(__xludf.DUMMYFUNCTION("""COMPUTED_VALUE"""),"KZ.7700.02.01.00890366 / Действительно до 25.05.2027 / 0522006KZ006 / годен до 25.05.2027")</f>
        <v>KZ.7700.02.01.00890366 / Действительно до 25.05.2027 / 0522006KZ006 / годен до 25.05.2027</v>
      </c>
      <c r="H2056" s="1" t="str">
        <f ca="1">IFERROR(__xludf.DUMMYFUNCTION("""COMPUTED_VALUE"""),"Бандаж на лучезапястный сустав легкой фиксации 8505 S/M (Бежевый) (Болгария) KZ.7700.02.01.00890366 / Действительно до 25.05.2027 / 0522006KZ006 / годен до 25.05.2027")</f>
        <v>Бандаж на лучезапястный сустав легкой фиксации 8505 S/M (Бежевый) (Болгария) KZ.7700.02.01.00890366 / Действительно до 25.05.2027 / 0522006KZ006 / годен до 25.05.2027</v>
      </c>
    </row>
    <row r="2057" spans="1:8" ht="12.75" x14ac:dyDescent="0.2">
      <c r="A2057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2057" s="1" t="str">
        <f ca="1">IFERROR(__xludf.DUMMYFUNCTION("""COMPUTED_VALUE"""),"KZ.7700.02.01.00890366")</f>
        <v>KZ.7700.02.01.00890366</v>
      </c>
      <c r="C2057" s="1" t="str">
        <f ca="1">IFERROR(__xludf.DUMMYFUNCTION("""COMPUTED_VALUE"""),"Действительно до 25.05.2027")</f>
        <v>Действительно до 25.05.2027</v>
      </c>
      <c r="D2057" s="8" t="str">
        <f ca="1">IFERROR(__xludf.DUMMYFUNCTION("""COMPUTED_VALUE"""),"0522006KZ006")</f>
        <v>0522006KZ006</v>
      </c>
      <c r="E2057" s="1" t="str">
        <f ca="1">IFERROR(__xludf.DUMMYFUNCTION("""COMPUTED_VALUE"""),"годен до 25.05.2027")</f>
        <v>годен до 25.05.2027</v>
      </c>
      <c r="F2057" s="1" t="str">
        <f ca="1">IFERROR(__xludf.DUMMYFUNCTION("""COMPUTED_VALUE"""),"Бандаж на лучезапястный сустав легкой фиксации 8505 L/XL (Бежевый) (Болгария) - 0522006KZ006")</f>
        <v>Бандаж на лучезапястный сустав легкой фиксации 8505 L/XL (Бежевый) (Болгария) - 0522006KZ006</v>
      </c>
      <c r="G2057" s="1" t="str">
        <f ca="1">IFERROR(__xludf.DUMMYFUNCTION("""COMPUTED_VALUE"""),"KZ.7700.02.01.00890366 / Действительно до 25.05.2027 / 0522006KZ006 / годен до 25.05.2027")</f>
        <v>KZ.7700.02.01.00890366 / Действительно до 25.05.2027 / 0522006KZ006 / годен до 25.05.2027</v>
      </c>
      <c r="H2057" s="1" t="str">
        <f ca="1">IFERROR(__xludf.DUMMYFUNCTION("""COMPUTED_VALUE"""),"Бандаж на лучезапястный сустав легкой фиксации 8505 L/XL (Бежевый) (Болгария) KZ.7700.02.01.00890366 / Действительно до 25.05.2027 / 0522006KZ006 / годен до 25.05.2027")</f>
        <v>Бандаж на лучезапястный сустав легкой фиксации 8505 L/XL (Бежевый) (Болгария) KZ.7700.02.01.00890366 / Действительно до 25.05.2027 / 0522006KZ006 / годен до 25.05.2027</v>
      </c>
    </row>
    <row r="2058" spans="1:8" ht="12.75" x14ac:dyDescent="0.2">
      <c r="A2058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2058" s="1" t="str">
        <f ca="1">IFERROR(__xludf.DUMMYFUNCTION("""COMPUTED_VALUE"""),"KZ.7700.02.01.00892544")</f>
        <v>KZ.7700.02.01.00892544</v>
      </c>
      <c r="C2058" s="1" t="str">
        <f ca="1">IFERROR(__xludf.DUMMYFUNCTION("""COMPUTED_VALUE"""),"Действительно до 25.05.2027")</f>
        <v>Действительно до 25.05.2027</v>
      </c>
      <c r="D2058" s="8" t="str">
        <f ca="1">IFERROR(__xludf.DUMMYFUNCTION("""COMPUTED_VALUE"""),"0522006KZ006")</f>
        <v>0522006KZ006</v>
      </c>
      <c r="E2058" s="1" t="str">
        <f ca="1">IFERROR(__xludf.DUMMYFUNCTION("""COMPUTED_VALUE"""),"годен до 25.05.2027")</f>
        <v>годен до 25.05.2027</v>
      </c>
      <c r="F2058" s="1" t="str">
        <f ca="1">IFERROR(__xludf.DUMMYFUNCTION("""COMPUTED_VALUE"""),"Бандаж на лучезапястный сустав с фиксацией пальца 8552 S\M (Болгария) - 0522006KZ006")</f>
        <v>Бандаж на лучезапястный сустав с фиксацией пальца 8552 S\M (Болгария) - 0522006KZ006</v>
      </c>
      <c r="G2058" s="1" t="str">
        <f ca="1">IFERROR(__xludf.DUMMYFUNCTION("""COMPUTED_VALUE"""),"KZ.7700.02.01.00892544 / Действительно до 25.05.2027 / 0522006KZ006 / годен до 25.05.2027")</f>
        <v>KZ.7700.02.01.00892544 / Действительно до 25.05.2027 / 0522006KZ006 / годен до 25.05.2027</v>
      </c>
      <c r="H2058" s="1" t="str">
        <f ca="1">IFERROR(__xludf.DUMMYFUNCTION("""COMPUTED_VALUE"""),"Бандаж на лучезапястный сустав с фиксацией пальца 8552 S\M (Болгария) KZ.7700.02.01.00892544 / Действительно до 25.05.2027 / 0522006KZ006 / годен до 25.05.2027")</f>
        <v>Бандаж на лучезапястный сустав с фиксацией пальца 8552 S\M (Болгария) KZ.7700.02.01.00892544 / Действительно до 25.05.2027 / 0522006KZ006 / годен до 25.05.2027</v>
      </c>
    </row>
    <row r="2059" spans="1:8" ht="12.75" x14ac:dyDescent="0.2">
      <c r="A2059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2059" s="1" t="str">
        <f ca="1">IFERROR(__xludf.DUMMYFUNCTION("""COMPUTED_VALUE"""),"KZ.7700.02.01.00892544")</f>
        <v>KZ.7700.02.01.00892544</v>
      </c>
      <c r="C2059" s="1" t="str">
        <f ca="1">IFERROR(__xludf.DUMMYFUNCTION("""COMPUTED_VALUE"""),"Действительно до 25.05.2027")</f>
        <v>Действительно до 25.05.2027</v>
      </c>
      <c r="D2059" s="8" t="str">
        <f ca="1">IFERROR(__xludf.DUMMYFUNCTION("""COMPUTED_VALUE"""),"0522006KZ006")</f>
        <v>0522006KZ006</v>
      </c>
      <c r="E2059" s="1" t="str">
        <f ca="1">IFERROR(__xludf.DUMMYFUNCTION("""COMPUTED_VALUE"""),"годен до 25.05.2027")</f>
        <v>годен до 25.05.2027</v>
      </c>
      <c r="F2059" s="1" t="str">
        <f ca="1">IFERROR(__xludf.DUMMYFUNCTION("""COMPUTED_VALUE"""),"Бандаж на лучезапястный сустав с фиксацией пальца 8552 L\XL (Болгария) - 0522006KZ006")</f>
        <v>Бандаж на лучезапястный сустав с фиксацией пальца 8552 L\XL (Болгария) - 0522006KZ006</v>
      </c>
      <c r="G2059" s="1" t="str">
        <f ca="1">IFERROR(__xludf.DUMMYFUNCTION("""COMPUTED_VALUE"""),"KZ.7700.02.01.00892544 / Действительно до 25.05.2027 / 0522006KZ006 / годен до 25.05.2027")</f>
        <v>KZ.7700.02.01.00892544 / Действительно до 25.05.2027 / 0522006KZ006 / годен до 25.05.2027</v>
      </c>
      <c r="H2059" s="1" t="str">
        <f ca="1">IFERROR(__xludf.DUMMYFUNCTION("""COMPUTED_VALUE"""),"Бандаж на лучезапястный сустав с фиксацией пальца 8552 L\XL (Болгария) KZ.7700.02.01.00892544 / Действительно до 25.05.2027 / 0522006KZ006 / годен до 25.05.2027")</f>
        <v>Бандаж на лучезапястный сустав с фиксацией пальца 8552 L\XL (Болгария) KZ.7700.02.01.00892544 / Действительно до 25.05.2027 / 0522006KZ006 / годен до 25.05.2027</v>
      </c>
    </row>
    <row r="2060" spans="1:8" ht="12.75" x14ac:dyDescent="0.2">
      <c r="A2060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2060" s="1" t="str">
        <f ca="1">IFERROR(__xludf.DUMMYFUNCTION("""COMPUTED_VALUE"""),"KZ.7700.02.01.00890339")</f>
        <v>KZ.7700.02.01.00890339</v>
      </c>
      <c r="C2060" s="1" t="str">
        <f ca="1">IFERROR(__xludf.DUMMYFUNCTION("""COMPUTED_VALUE"""),"Действительно до 25.05.2027")</f>
        <v>Действительно до 25.05.2027</v>
      </c>
      <c r="D2060" s="8" t="str">
        <f ca="1">IFERROR(__xludf.DUMMYFUNCTION("""COMPUTED_VALUE"""),"0522006KZ006")</f>
        <v>0522006KZ006</v>
      </c>
      <c r="E2060" s="1" t="str">
        <f ca="1">IFERROR(__xludf.DUMMYFUNCTION("""COMPUTED_VALUE"""),"годен до 25.05.2027")</f>
        <v>годен до 25.05.2027</v>
      </c>
      <c r="F2060" s="1" t="str">
        <f ca="1">IFERROR(__xludf.DUMMYFUNCTION("""COMPUTED_VALUE"""),"Бандаж для руки поддерживающий облегченный (косынка) 9912 M (белый) (Болгария) - 0522006KZ006")</f>
        <v>Бандаж для руки поддерживающий облегченный (косынка) 9912 M (белый) (Болгария) - 0522006KZ006</v>
      </c>
      <c r="G2060" s="1" t="str">
        <f ca="1">IFERROR(__xludf.DUMMYFUNCTION("""COMPUTED_VALUE"""),"KZ.7700.02.01.00890339 / Действительно до 25.05.2027 / 0522006KZ006 / годен до 25.05.2027")</f>
        <v>KZ.7700.02.01.00890339 / Действительно до 25.05.2027 / 0522006KZ006 / годен до 25.05.2027</v>
      </c>
      <c r="H2060" s="1" t="str">
        <f ca="1">IFERROR(__xludf.DUMMYFUNCTION("""COMPUTED_VALUE"""),"Бандаж для руки поддерживающий облегченный (косынка) 9912 M (белый) (Болгария) KZ.7700.02.01.00890339 / Действительно до 25.05.2027 / 0522006KZ006 / годен до 25.05.2027")</f>
        <v>Бандаж для руки поддерживающий облегченный (косынка) 9912 M (белый) (Болгария) KZ.7700.02.01.00890339 / Действительно до 25.05.2027 / 0522006KZ006 / годен до 25.05.2027</v>
      </c>
    </row>
    <row r="2061" spans="1:8" ht="12.75" x14ac:dyDescent="0.2">
      <c r="A2061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2061" s="1" t="str">
        <f ca="1">IFERROR(__xludf.DUMMYFUNCTION("""COMPUTED_VALUE"""),"KZ.7700.02.01.00890339")</f>
        <v>KZ.7700.02.01.00890339</v>
      </c>
      <c r="C2061" s="1" t="str">
        <f ca="1">IFERROR(__xludf.DUMMYFUNCTION("""COMPUTED_VALUE"""),"Действительно до 25.05.2027")</f>
        <v>Действительно до 25.05.2027</v>
      </c>
      <c r="D2061" s="8" t="str">
        <f ca="1">IFERROR(__xludf.DUMMYFUNCTION("""COMPUTED_VALUE"""),"0522006KZ006")</f>
        <v>0522006KZ006</v>
      </c>
      <c r="E2061" s="1" t="str">
        <f ca="1">IFERROR(__xludf.DUMMYFUNCTION("""COMPUTED_VALUE"""),"годен до 25.05.2027")</f>
        <v>годен до 25.05.2027</v>
      </c>
      <c r="F2061" s="1" t="str">
        <f ca="1">IFERROR(__xludf.DUMMYFUNCTION("""COMPUTED_VALUE"""),"Бандаж для руки поддерживающий облегченный (косынка) 9912 L (белый) (Болгария) - 0522006KZ006")</f>
        <v>Бандаж для руки поддерживающий облегченный (косынка) 9912 L (белый) (Болгария) - 0522006KZ006</v>
      </c>
      <c r="G2061" s="1" t="str">
        <f ca="1">IFERROR(__xludf.DUMMYFUNCTION("""COMPUTED_VALUE"""),"KZ.7700.02.01.00890339 / Действительно до 25.05.2027 / 0522006KZ006 / годен до 25.05.2027")</f>
        <v>KZ.7700.02.01.00890339 / Действительно до 25.05.2027 / 0522006KZ006 / годен до 25.05.2027</v>
      </c>
      <c r="H2061" s="1" t="str">
        <f ca="1">IFERROR(__xludf.DUMMYFUNCTION("""COMPUTED_VALUE"""),"Бандаж для руки поддерживающий облегченный (косынка) 9912 L (белый) (Болгария) KZ.7700.02.01.00890339 / Действительно до 25.05.2027 / 0522006KZ006 / годен до 25.05.2027")</f>
        <v>Бандаж для руки поддерживающий облегченный (косынка) 9912 L (белый) (Болгария) KZ.7700.02.01.00890339 / Действительно до 25.05.2027 / 0522006KZ006 / годен до 25.05.2027</v>
      </c>
    </row>
    <row r="2062" spans="1:8" ht="12.75" x14ac:dyDescent="0.2">
      <c r="A2062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2062" s="1" t="str">
        <f ca="1">IFERROR(__xludf.DUMMYFUNCTION("""COMPUTED_VALUE"""),"KZ.7700.02.01.00888265")</f>
        <v>KZ.7700.02.01.00888265</v>
      </c>
      <c r="C2062" s="1" t="str">
        <f ca="1">IFERROR(__xludf.DUMMYFUNCTION("""COMPUTED_VALUE"""),"Действительно до 25.05.2027")</f>
        <v>Действительно до 25.05.2027</v>
      </c>
      <c r="D2062" s="8" t="str">
        <f ca="1">IFERROR(__xludf.DUMMYFUNCTION("""COMPUTED_VALUE"""),"0522006KZ006")</f>
        <v>0522006KZ006</v>
      </c>
      <c r="E2062" s="1" t="str">
        <f ca="1">IFERROR(__xludf.DUMMYFUNCTION("""COMPUTED_VALUE"""),"годен до 25.05.2027")</f>
        <v>годен до 25.05.2027</v>
      </c>
      <c r="F2062" s="1" t="str">
        <f ca="1">IFERROR(__xludf.DUMMYFUNCTION("""COMPUTED_VALUE"""),"Бандаж для руки поддерживающий облегченный (косынка) 9912 M (черный) (Болгария) - 0522006KZ006")</f>
        <v>Бандаж для руки поддерживающий облегченный (косынка) 9912 M (черный) (Болгария) - 0522006KZ006</v>
      </c>
      <c r="G2062" s="1" t="str">
        <f ca="1">IFERROR(__xludf.DUMMYFUNCTION("""COMPUTED_VALUE"""),"KZ.7700.02.01.00888265 / Действительно до 25.05.2027 / 0522006KZ006 / годен до 25.05.2027")</f>
        <v>KZ.7700.02.01.00888265 / Действительно до 25.05.2027 / 0522006KZ006 / годен до 25.05.2027</v>
      </c>
      <c r="H2062" s="1" t="str">
        <f ca="1">IFERROR(__xludf.DUMMYFUNCTION("""COMPUTED_VALUE"""),"Бандаж для руки поддерживающий облегченный (косынка) 9912 M (черный) (Болгария) KZ.7700.02.01.00888265 / Действительно до 25.05.2027 / 0522006KZ006 / годен до 25.05.2027")</f>
        <v>Бандаж для руки поддерживающий облегченный (косынка) 9912 M (черный) (Болгария) KZ.7700.02.01.00888265 / Действительно до 25.05.2027 / 0522006KZ006 / годен до 25.05.2027</v>
      </c>
    </row>
    <row r="2063" spans="1:8" ht="12.75" x14ac:dyDescent="0.2">
      <c r="A2063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2063" s="1" t="str">
        <f ca="1">IFERROR(__xludf.DUMMYFUNCTION("""COMPUTED_VALUE"""),"KZ.7700.02.01.00888265")</f>
        <v>KZ.7700.02.01.00888265</v>
      </c>
      <c r="C2063" s="1" t="str">
        <f ca="1">IFERROR(__xludf.DUMMYFUNCTION("""COMPUTED_VALUE"""),"Действительно до 25.05.2027")</f>
        <v>Действительно до 25.05.2027</v>
      </c>
      <c r="D2063" s="8" t="str">
        <f ca="1">IFERROR(__xludf.DUMMYFUNCTION("""COMPUTED_VALUE"""),"0522006KZ006")</f>
        <v>0522006KZ006</v>
      </c>
      <c r="E2063" s="1" t="str">
        <f ca="1">IFERROR(__xludf.DUMMYFUNCTION("""COMPUTED_VALUE"""),"годен до 25.05.2027")</f>
        <v>годен до 25.05.2027</v>
      </c>
      <c r="F2063" s="1" t="str">
        <f ca="1">IFERROR(__xludf.DUMMYFUNCTION("""COMPUTED_VALUE"""),"Бандаж для руки поддерживающий облегченный (косынка) 9912 L (черный) (Болгария) - 0522006KZ006")</f>
        <v>Бандаж для руки поддерживающий облегченный (косынка) 9912 L (черный) (Болгария) - 0522006KZ006</v>
      </c>
      <c r="G2063" s="1" t="str">
        <f ca="1">IFERROR(__xludf.DUMMYFUNCTION("""COMPUTED_VALUE"""),"KZ.7700.02.01.00888265 / Действительно до 25.05.2027 / 0522006KZ006 / годен до 25.05.2027")</f>
        <v>KZ.7700.02.01.00888265 / Действительно до 25.05.2027 / 0522006KZ006 / годен до 25.05.2027</v>
      </c>
      <c r="H2063" s="1" t="str">
        <f ca="1">IFERROR(__xludf.DUMMYFUNCTION("""COMPUTED_VALUE"""),"Бандаж для руки поддерживающий облегченный (косынка) 9912 L (черный) (Болгария) KZ.7700.02.01.00888265 / Действительно до 25.05.2027 / 0522006KZ006 / годен до 25.05.2027")</f>
        <v>Бандаж для руки поддерживающий облегченный (косынка) 9912 L (черный) (Болгария) KZ.7700.02.01.00888265 / Действительно до 25.05.2027 / 0522006KZ006 / годен до 25.05.2027</v>
      </c>
    </row>
    <row r="2064" spans="1:8" ht="12.75" x14ac:dyDescent="0.2">
      <c r="A2064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2064" s="1" t="str">
        <f ca="1">IFERROR(__xludf.DUMMYFUNCTION("""COMPUTED_VALUE"""),"KZ.7700.02.01.00893782")</f>
        <v>KZ.7700.02.01.00893782</v>
      </c>
      <c r="C2064" s="1" t="str">
        <f ca="1">IFERROR(__xludf.DUMMYFUNCTION("""COMPUTED_VALUE"""),"Действительно до бессрочно")</f>
        <v>Действительно до бессрочно</v>
      </c>
      <c r="D2064" s="8" t="str">
        <f ca="1">IFERROR(__xludf.DUMMYFUNCTION("""COMPUTED_VALUE"""),"JL-MGS-0124")</f>
        <v>JL-MGS-0124</v>
      </c>
      <c r="E2064" s="1" t="str">
        <f ca="1">IFERROR(__xludf.DUMMYFUNCTION("""COMPUTED_VALUE"""),"без срока годности")</f>
        <v>без срока годности</v>
      </c>
      <c r="F2064" s="1" t="str">
        <f ca="1">IFERROR(__xludf.DUMMYFUNCTION("""COMPUTED_VALUE"""),"Ингалятор компрессорный Gamma модель EFFECT NEW - JL-MGS-0124")</f>
        <v>Ингалятор компрессорный Gamma модель EFFECT NEW - JL-MGS-0124</v>
      </c>
      <c r="G2064" s="1" t="str">
        <f ca="1">IFERROR(__xludf.DUMMYFUNCTION("""COMPUTED_VALUE"""),"KZ.7700.02.01.00893782 / Действительно до бессрочно / JL-MGS-0124 / без срока годности")</f>
        <v>KZ.7700.02.01.00893782 / Действительно до бессрочно / JL-MGS-0124 / без срока годности</v>
      </c>
      <c r="H2064" s="1" t="str">
        <f ca="1">IFERROR(__xludf.DUMMYFUNCTION("""COMPUTED_VALUE"""),"Ингалятор компрессорный Gamma модель EFFECT NEW KZ.7700.02.01.00893782 / Действительно до бессрочно / JL-MGS-0124 / без срока годности")</f>
        <v>Ингалятор компрессорный Gamma модель EFFECT NEW KZ.7700.02.01.00893782 / Действительно до бессрочно / JL-MGS-0124 / без срока годности</v>
      </c>
    </row>
    <row r="2065" spans="1:8" ht="12.75" x14ac:dyDescent="0.2">
      <c r="A2065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2065" s="1" t="str">
        <f ca="1">IFERROR(__xludf.DUMMYFUNCTION("""COMPUTED_VALUE"""),"KZ.7700.02.01.00888839")</f>
        <v>KZ.7700.02.01.00888839</v>
      </c>
      <c r="C2065" s="1" t="str">
        <f ca="1">IFERROR(__xludf.DUMMYFUNCTION("""COMPUTED_VALUE"""),"Действительно до 25.05.2027")</f>
        <v>Действительно до 25.05.2027</v>
      </c>
      <c r="D2065" s="8" t="str">
        <f ca="1">IFERROR(__xludf.DUMMYFUNCTION("""COMPUTED_VALUE"""),"0522006KZ006")</f>
        <v>0522006KZ006</v>
      </c>
      <c r="E2065" s="1" t="str">
        <f ca="1">IFERROR(__xludf.DUMMYFUNCTION("""COMPUTED_VALUE"""),"годен до 25.05.2027")</f>
        <v>годен до 25.05.2027</v>
      </c>
      <c r="F2065" s="1" t="str">
        <f ca="1">IFERROR(__xludf.DUMMYFUNCTION("""COMPUTED_VALUE"""),"Бандаж для беременных эластичный 4505 - S (Болгария) - 0522006KZ006")</f>
        <v>Бандаж для беременных эластичный 4505 - S (Болгария) - 0522006KZ006</v>
      </c>
      <c r="G2065" s="1" t="str">
        <f ca="1">IFERROR(__xludf.DUMMYFUNCTION("""COMPUTED_VALUE"""),"KZ.7700.02.01.00888839 / Действительно до 25.05.2027 / 0522006KZ006 / годен до 25.05.2027")</f>
        <v>KZ.7700.02.01.00888839 / Действительно до 25.05.2027 / 0522006KZ006 / годен до 25.05.2027</v>
      </c>
      <c r="H2065" s="1" t="str">
        <f ca="1">IFERROR(__xludf.DUMMYFUNCTION("""COMPUTED_VALUE"""),"Бандаж для беременных эластичный 4505 - S (Болгария) KZ.7700.02.01.00888839 / Действительно до 25.05.2027 / 0522006KZ006 / годен до 25.05.2027")</f>
        <v>Бандаж для беременных эластичный 4505 - S (Болгария) KZ.7700.02.01.00888839 / Действительно до 25.05.2027 / 0522006KZ006 / годен до 25.05.2027</v>
      </c>
    </row>
    <row r="2066" spans="1:8" ht="12.75" x14ac:dyDescent="0.2">
      <c r="A2066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2066" s="1" t="str">
        <f ca="1">IFERROR(__xludf.DUMMYFUNCTION("""COMPUTED_VALUE"""),"KZ.7700.02.01.00888839")</f>
        <v>KZ.7700.02.01.00888839</v>
      </c>
      <c r="C2066" s="1" t="str">
        <f ca="1">IFERROR(__xludf.DUMMYFUNCTION("""COMPUTED_VALUE"""),"Действительно до 25.05.2027")</f>
        <v>Действительно до 25.05.2027</v>
      </c>
      <c r="D2066" s="8" t="str">
        <f ca="1">IFERROR(__xludf.DUMMYFUNCTION("""COMPUTED_VALUE"""),"0522006KZ006")</f>
        <v>0522006KZ006</v>
      </c>
      <c r="E2066" s="1" t="str">
        <f ca="1">IFERROR(__xludf.DUMMYFUNCTION("""COMPUTED_VALUE"""),"годен до 25.05.2027")</f>
        <v>годен до 25.05.2027</v>
      </c>
      <c r="F2066" s="1" t="str">
        <f ca="1">IFERROR(__xludf.DUMMYFUNCTION("""COMPUTED_VALUE"""),"Бандаж для беременных эластичный 4505 - М (Болгария) - 0522006KZ006")</f>
        <v>Бандаж для беременных эластичный 4505 - М (Болгария) - 0522006KZ006</v>
      </c>
      <c r="G2066" s="1" t="str">
        <f ca="1">IFERROR(__xludf.DUMMYFUNCTION("""COMPUTED_VALUE"""),"KZ.7700.02.01.00888839 / Действительно до 25.05.2027 / 0522006KZ006 / годен до 25.05.2027")</f>
        <v>KZ.7700.02.01.00888839 / Действительно до 25.05.2027 / 0522006KZ006 / годен до 25.05.2027</v>
      </c>
      <c r="H2066" s="1" t="str">
        <f ca="1">IFERROR(__xludf.DUMMYFUNCTION("""COMPUTED_VALUE"""),"Бандаж для беременных эластичный 4505 - М (Болгария) KZ.7700.02.01.00888839 / Действительно до 25.05.2027 / 0522006KZ006 / годен до 25.05.2027")</f>
        <v>Бандаж для беременных эластичный 4505 - М (Болгария) KZ.7700.02.01.00888839 / Действительно до 25.05.2027 / 0522006KZ006 / годен до 25.05.2027</v>
      </c>
    </row>
    <row r="2067" spans="1:8" ht="12.75" x14ac:dyDescent="0.2">
      <c r="A2067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2067" s="1" t="str">
        <f ca="1">IFERROR(__xludf.DUMMYFUNCTION("""COMPUTED_VALUE"""),"KZ.7700.02.01.00888839")</f>
        <v>KZ.7700.02.01.00888839</v>
      </c>
      <c r="C2067" s="1" t="str">
        <f ca="1">IFERROR(__xludf.DUMMYFUNCTION("""COMPUTED_VALUE"""),"Действительно до 25.05.2027")</f>
        <v>Действительно до 25.05.2027</v>
      </c>
      <c r="D2067" s="8" t="str">
        <f ca="1">IFERROR(__xludf.DUMMYFUNCTION("""COMPUTED_VALUE"""),"0522006KZ006")</f>
        <v>0522006KZ006</v>
      </c>
      <c r="E2067" s="1" t="str">
        <f ca="1">IFERROR(__xludf.DUMMYFUNCTION("""COMPUTED_VALUE"""),"годен до 25.05.2027")</f>
        <v>годен до 25.05.2027</v>
      </c>
      <c r="F2067" s="1" t="str">
        <f ca="1">IFERROR(__xludf.DUMMYFUNCTION("""COMPUTED_VALUE"""),"Бандаж для беременных эластичный 4505 - L (Болгария) - 0522006KZ006")</f>
        <v>Бандаж для беременных эластичный 4505 - L (Болгария) - 0522006KZ006</v>
      </c>
      <c r="G2067" s="1" t="str">
        <f ca="1">IFERROR(__xludf.DUMMYFUNCTION("""COMPUTED_VALUE"""),"KZ.7700.02.01.00888839 / Действительно до 25.05.2027 / 0522006KZ006 / годен до 25.05.2027")</f>
        <v>KZ.7700.02.01.00888839 / Действительно до 25.05.2027 / 0522006KZ006 / годен до 25.05.2027</v>
      </c>
      <c r="H2067" s="1" t="str">
        <f ca="1">IFERROR(__xludf.DUMMYFUNCTION("""COMPUTED_VALUE"""),"Бандаж для беременных эластичный 4505 - L (Болгария) KZ.7700.02.01.00888839 / Действительно до 25.05.2027 / 0522006KZ006 / годен до 25.05.2027")</f>
        <v>Бандаж для беременных эластичный 4505 - L (Болгария) KZ.7700.02.01.00888839 / Действительно до 25.05.2027 / 0522006KZ006 / годен до 25.05.2027</v>
      </c>
    </row>
    <row r="2068" spans="1:8" ht="12.75" x14ac:dyDescent="0.2">
      <c r="A2068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2068" s="1" t="str">
        <f ca="1">IFERROR(__xludf.DUMMYFUNCTION("""COMPUTED_VALUE"""),"KZ.7700.02.01.00888839")</f>
        <v>KZ.7700.02.01.00888839</v>
      </c>
      <c r="C2068" s="1" t="str">
        <f ca="1">IFERROR(__xludf.DUMMYFUNCTION("""COMPUTED_VALUE"""),"Действительно до 25.05.2027")</f>
        <v>Действительно до 25.05.2027</v>
      </c>
      <c r="D2068" s="8" t="str">
        <f ca="1">IFERROR(__xludf.DUMMYFUNCTION("""COMPUTED_VALUE"""),"0522006KZ006")</f>
        <v>0522006KZ006</v>
      </c>
      <c r="E2068" s="1" t="str">
        <f ca="1">IFERROR(__xludf.DUMMYFUNCTION("""COMPUTED_VALUE"""),"годен до 25.05.2027")</f>
        <v>годен до 25.05.2027</v>
      </c>
      <c r="F2068" s="1" t="str">
        <f ca="1">IFERROR(__xludf.DUMMYFUNCTION("""COMPUTED_VALUE"""),"Бандаж для беременных эластичный 4505 - XL (Болгария) - 0522006KZ006")</f>
        <v>Бандаж для беременных эластичный 4505 - XL (Болгария) - 0522006KZ006</v>
      </c>
      <c r="G2068" s="1" t="str">
        <f ca="1">IFERROR(__xludf.DUMMYFUNCTION("""COMPUTED_VALUE"""),"KZ.7700.02.01.00888839 / Действительно до 25.05.2027 / 0522006KZ006 / годен до 25.05.2027")</f>
        <v>KZ.7700.02.01.00888839 / Действительно до 25.05.2027 / 0522006KZ006 / годен до 25.05.2027</v>
      </c>
      <c r="H2068" s="1" t="str">
        <f ca="1">IFERROR(__xludf.DUMMYFUNCTION("""COMPUTED_VALUE"""),"Бандаж для беременных эластичный 4505 - XL (Болгария) KZ.7700.02.01.00888839 / Действительно до 25.05.2027 / 0522006KZ006 / годен до 25.05.2027")</f>
        <v>Бандаж для беременных эластичный 4505 - XL (Болгария) KZ.7700.02.01.00888839 / Действительно до 25.05.2027 / 0522006KZ006 / годен до 25.05.2027</v>
      </c>
    </row>
    <row r="2069" spans="1:8" ht="12.75" x14ac:dyDescent="0.2">
      <c r="A2069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2069" s="1" t="str">
        <f ca="1">IFERROR(__xludf.DUMMYFUNCTION("""COMPUTED_VALUE"""),"KZ.7700.02.01.00888839")</f>
        <v>KZ.7700.02.01.00888839</v>
      </c>
      <c r="C2069" s="1" t="str">
        <f ca="1">IFERROR(__xludf.DUMMYFUNCTION("""COMPUTED_VALUE"""),"Действительно до 25.05.2027")</f>
        <v>Действительно до 25.05.2027</v>
      </c>
      <c r="D2069" s="8" t="str">
        <f ca="1">IFERROR(__xludf.DUMMYFUNCTION("""COMPUTED_VALUE"""),"0522006KZ006")</f>
        <v>0522006KZ006</v>
      </c>
      <c r="E2069" s="1" t="str">
        <f ca="1">IFERROR(__xludf.DUMMYFUNCTION("""COMPUTED_VALUE"""),"годен до 25.05.2027")</f>
        <v>годен до 25.05.2027</v>
      </c>
      <c r="F2069" s="1" t="str">
        <f ca="1">IFERROR(__xludf.DUMMYFUNCTION("""COMPUTED_VALUE"""),"Бандаж для беременных эластичный 4505 - XXL (Болгария) - 0522006KZ006")</f>
        <v>Бандаж для беременных эластичный 4505 - XXL (Болгария) - 0522006KZ006</v>
      </c>
      <c r="G2069" s="1" t="str">
        <f ca="1">IFERROR(__xludf.DUMMYFUNCTION("""COMPUTED_VALUE"""),"KZ.7700.02.01.00888839 / Действительно до 25.05.2027 / 0522006KZ006 / годен до 25.05.2027")</f>
        <v>KZ.7700.02.01.00888839 / Действительно до 25.05.2027 / 0522006KZ006 / годен до 25.05.2027</v>
      </c>
      <c r="H2069" s="1" t="str">
        <f ca="1">IFERROR(__xludf.DUMMYFUNCTION("""COMPUTED_VALUE"""),"Бандаж для беременных эластичный 4505 - XXL (Болгария) KZ.7700.02.01.00888839 / Действительно до 25.05.2027 / 0522006KZ006 / годен до 25.05.2027")</f>
        <v>Бандаж для беременных эластичный 4505 - XXL (Болгария) KZ.7700.02.01.00888839 / Действительно до 25.05.2027 / 0522006KZ006 / годен до 25.05.2027</v>
      </c>
    </row>
    <row r="2070" spans="1:8" ht="12.75" x14ac:dyDescent="0.2">
      <c r="A2070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2070" s="1" t="str">
        <f ca="1">IFERROR(__xludf.DUMMYFUNCTION("""COMPUTED_VALUE"""),"KZ.7700.02.01.00888839")</f>
        <v>KZ.7700.02.01.00888839</v>
      </c>
      <c r="C2070" s="1" t="str">
        <f ca="1">IFERROR(__xludf.DUMMYFUNCTION("""COMPUTED_VALUE"""),"Действительно до 25.05.2027")</f>
        <v>Действительно до 25.05.2027</v>
      </c>
      <c r="D2070" s="8" t="str">
        <f ca="1">IFERROR(__xludf.DUMMYFUNCTION("""COMPUTED_VALUE"""),"0522006KZ006")</f>
        <v>0522006KZ006</v>
      </c>
      <c r="E2070" s="1" t="str">
        <f ca="1">IFERROR(__xludf.DUMMYFUNCTION("""COMPUTED_VALUE"""),"годен до 25.05.2027")</f>
        <v>годен до 25.05.2027</v>
      </c>
      <c r="F2070" s="1" t="str">
        <f ca="1">IFERROR(__xludf.DUMMYFUNCTION("""COMPUTED_VALUE"""),"Бандаж для беременных эластичный 4505 - XXXL (Болгария) - 0522006KZ006")</f>
        <v>Бандаж для беременных эластичный 4505 - XXXL (Болгария) - 0522006KZ006</v>
      </c>
      <c r="G2070" s="1" t="str">
        <f ca="1">IFERROR(__xludf.DUMMYFUNCTION("""COMPUTED_VALUE"""),"KZ.7700.02.01.00888839 / Действительно до 25.05.2027 / 0522006KZ006 / годен до 25.05.2027")</f>
        <v>KZ.7700.02.01.00888839 / Действительно до 25.05.2027 / 0522006KZ006 / годен до 25.05.2027</v>
      </c>
      <c r="H2070" s="1" t="str">
        <f ca="1">IFERROR(__xludf.DUMMYFUNCTION("""COMPUTED_VALUE"""),"Бандаж для беременных эластичный 4505 - XXXL (Болгария) KZ.7700.02.01.00888839 / Действительно до 25.05.2027 / 0522006KZ006 / годен до 25.05.2027")</f>
        <v>Бандаж для беременных эластичный 4505 - XXXL (Болгария) KZ.7700.02.01.00888839 / Действительно до 25.05.2027 / 0522006KZ006 / годен до 25.05.2027</v>
      </c>
    </row>
    <row r="2071" spans="1:8" ht="12.75" x14ac:dyDescent="0.2">
      <c r="A2071" s="1" t="str">
        <f ca="1">IFERROR(__xludf.DUMMYFUNCTION("""COMPUTED_VALUE"""),"Тонометр автомат Gamma Control")</f>
        <v>Тонометр автомат Gamma Control</v>
      </c>
      <c r="B2071" s="1" t="str">
        <f ca="1">IFERROR(__xludf.DUMMYFUNCTION("""COMPUTED_VALUE"""),"KZ.7700.02.01.00894526")</f>
        <v>KZ.7700.02.01.00894526</v>
      </c>
      <c r="C2071" s="1" t="str">
        <f ca="1">IFERROR(__xludf.DUMMYFUNCTION("""COMPUTED_VALUE"""),"Действительно до Бессрочно")</f>
        <v>Действительно до Бессрочно</v>
      </c>
      <c r="D2071" s="8" t="str">
        <f ca="1">IFERROR(__xludf.DUMMYFUNCTION("""COMPUTED_VALUE"""),"PG20211103KM")</f>
        <v>PG20211103KM</v>
      </c>
      <c r="E2071" s="1" t="str">
        <f ca="1">IFERROR(__xludf.DUMMYFUNCTION("""COMPUTED_VALUE"""),"без срока годности")</f>
        <v>без срока годности</v>
      </c>
      <c r="F2071" s="1" t="str">
        <f ca="1">IFERROR(__xludf.DUMMYFUNCTION("""COMPUTED_VALUE"""),"Тонометр автомат Gamma Control - PG20211103KM")</f>
        <v>Тонометр автомат Gamma Control - PG20211103KM</v>
      </c>
      <c r="G2071" s="1" t="str">
        <f ca="1">IFERROR(__xludf.DUMMYFUNCTION("""COMPUTED_VALUE"""),"KZ.7700.02.01.00894526 / Действительно до Бессрочно / PG20211103KM / без срока годности")</f>
        <v>KZ.7700.02.01.00894526 / Действительно до Бессрочно / PG20211103KM / без срока годности</v>
      </c>
      <c r="H2071" s="1" t="str">
        <f ca="1">IFERROR(__xludf.DUMMYFUNCTION("""COMPUTED_VALUE"""),"Тонометр автомат Gamma Control KZ.7700.02.01.00894526 / Действительно до Бессрочно / PG20211103KM / без срока годности")</f>
        <v>Тонометр автомат Gamma Control KZ.7700.02.01.00894526 / Действительно до Бессрочно / PG20211103KM / без срока годности</v>
      </c>
    </row>
    <row r="2072" spans="1:8" ht="12.75" x14ac:dyDescent="0.2">
      <c r="A2072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2072" s="1" t="str">
        <f ca="1">IFERROR(__xludf.DUMMYFUNCTION("""COMPUTED_VALUE"""),"KZ.7700.02.01.00896369")</f>
        <v>KZ.7700.02.01.00896369</v>
      </c>
      <c r="C2072" s="1" t="str">
        <f ca="1">IFERROR(__xludf.DUMMYFUNCTION("""COMPUTED_VALUE"""),"Действительно до Бессрочно")</f>
        <v>Действительно до Бессрочно</v>
      </c>
      <c r="D2072" s="8" t="str">
        <f ca="1">IFERROR(__xludf.DUMMYFUNCTION("""COMPUTED_VALUE"""),"PG20211103KM")</f>
        <v>PG20211103KM</v>
      </c>
      <c r="E2072" s="1" t="str">
        <f ca="1">IFERROR(__xludf.DUMMYFUNCTION("""COMPUTED_VALUE"""),"без срока годности")</f>
        <v>без срока годности</v>
      </c>
      <c r="F2072" s="1" t="str">
        <f ca="1">IFERROR(__xludf.DUMMYFUNCTION("""COMPUTED_VALUE"""),"Автоматический измеритель артериального давления ТМ DR.FREI МОДЕЛЬ M-100A - PG20211103KM")</f>
        <v>Автоматический измеритель артериального давления ТМ DR.FREI МОДЕЛЬ M-100A - PG20211103KM</v>
      </c>
      <c r="G2072" s="1" t="str">
        <f ca="1">IFERROR(__xludf.DUMMYFUNCTION("""COMPUTED_VALUE"""),"KZ.7700.02.01.00896369 / Действительно до Бессрочно / PG20211103KM / без срока годности")</f>
        <v>KZ.7700.02.01.00896369 / Действительно до Бессрочно / PG20211103KM / без срока годности</v>
      </c>
      <c r="H2072" s="1" t="str">
        <f ca="1">IFERROR(__xludf.DUMMYFUNCTION("""COMPUTED_VALUE"""),"Автоматический измеритель артериального давления ТМ DR.FREI МОДЕЛЬ M-100A KZ.7700.02.01.00896369 / Действительно до Бессрочно / PG20211103KM / без срока годности")</f>
        <v>Автоматический измеритель артериального давления ТМ DR.FREI МОДЕЛЬ M-100A KZ.7700.02.01.00896369 / Действительно до Бессрочно / PG20211103KM / без срока годности</v>
      </c>
    </row>
    <row r="2073" spans="1:8" ht="12.75" x14ac:dyDescent="0.2">
      <c r="A2073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2073" s="1" t="str">
        <f ca="1">IFERROR(__xludf.DUMMYFUNCTION("""COMPUTED_VALUE"""),"KZ.7700.02.01.00896341")</f>
        <v>KZ.7700.02.01.00896341</v>
      </c>
      <c r="C2073" s="1" t="str">
        <f ca="1">IFERROR(__xludf.DUMMYFUNCTION("""COMPUTED_VALUE"""),"Действительно до 06.07.2024")</f>
        <v>Действительно до 06.07.2024</v>
      </c>
      <c r="D2073" s="8" t="str">
        <f ca="1">IFERROR(__xludf.DUMMYFUNCTION("""COMPUTED_VALUE"""),"212270106")</f>
        <v>212270106</v>
      </c>
      <c r="E2073" s="1" t="str">
        <f ca="1">IFERROR(__xludf.DUMMYFUNCTION("""COMPUTED_VALUE"""),"годен до  06.07.2024 г")</f>
        <v>годен до  06.07.2024 г</v>
      </c>
      <c r="F2073" s="1" t="str">
        <f ca="1">IFERROR(__xludf.DUMMYFUNCTION("""COMPUTED_VALUE"""),"Тест-полоски для контроля уровня глюкозы в крови Bionime Rightest GS 550 № 50 - 212270106")</f>
        <v>Тест-полоски для контроля уровня глюкозы в крови Bionime Rightest GS 550 № 50 - 212270106</v>
      </c>
      <c r="G2073" s="1" t="str">
        <f ca="1">IFERROR(__xludf.DUMMYFUNCTION("""COMPUTED_VALUE"""),"KZ.7700.02.01.00896341 / Действительно до 06.07.2024 / 212270106 / годен до  06.07.2024 г")</f>
        <v>KZ.7700.02.01.00896341 / Действительно до 06.07.2024 / 212270106 / годен до  06.07.2024 г</v>
      </c>
      <c r="H2073" s="1" t="str">
        <f ca="1">IFERROR(__xludf.DUMMYFUNCTION("""COMPUTED_VALUE"""),"Тест-полоски для контроля уровня глюкозы в крови Bionime Rightest GS 550 № 50 KZ.7700.02.01.00896341 / Действительно до 06.07.2024 / 212270106 / годен до  06.07.2024 г")</f>
        <v>Тест-полоски для контроля уровня глюкозы в крови Bionime Rightest GS 550 № 50 KZ.7700.02.01.00896341 / Действительно до 06.07.2024 / 212270106 / годен до  06.07.2024 г</v>
      </c>
    </row>
    <row r="2074" spans="1:8" ht="12.75" x14ac:dyDescent="0.2">
      <c r="A2074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2074" s="1" t="str">
        <f ca="1">IFERROR(__xludf.DUMMYFUNCTION("""COMPUTED_VALUE"""),"KZ.7700.02.01.00896145")</f>
        <v>KZ.7700.02.01.00896145</v>
      </c>
      <c r="C2074" s="1" t="str">
        <f ca="1">IFERROR(__xludf.DUMMYFUNCTION("""COMPUTED_VALUE"""),"Действительно до 06.07.2024")</f>
        <v>Действительно до 06.07.2024</v>
      </c>
      <c r="D2074" s="8" t="str">
        <f ca="1">IFERROR(__xludf.DUMMYFUNCTION("""COMPUTED_VALUE"""),"212270804")</f>
        <v>212270804</v>
      </c>
      <c r="E2074" s="1" t="str">
        <f ca="1">IFERROR(__xludf.DUMMYFUNCTION("""COMPUTED_VALUE"""),"годен до  06.07.2024 г")</f>
        <v>годен до  06.07.2024 г</v>
      </c>
      <c r="F2074" s="1" t="str">
        <f ca="1">IFERROR(__xludf.DUMMYFUNCTION("""COMPUTED_VALUE"""),"Тест-полоски для контроля уровня глюкозы в крови Bionime Rightest GS 550 № 50 - 212270804")</f>
        <v>Тест-полоски для контроля уровня глюкозы в крови Bionime Rightest GS 550 № 50 - 212270804</v>
      </c>
      <c r="G2074" s="1" t="str">
        <f ca="1">IFERROR(__xludf.DUMMYFUNCTION("""COMPUTED_VALUE"""),"KZ.7700.02.01.00896145 / Действительно до 06.07.2024 / 212270804 / годен до  06.07.2024 г")</f>
        <v>KZ.7700.02.01.00896145 / Действительно до 06.07.2024 / 212270804 / годен до  06.07.2024 г</v>
      </c>
      <c r="H2074" s="1" t="str">
        <f ca="1">IFERROR(__xludf.DUMMYFUNCTION("""COMPUTED_VALUE"""),"Тест-полоски для контроля уровня глюкозы в крови Bionime Rightest GS 550 № 50 KZ.7700.02.01.00896145 / Действительно до 06.07.2024 / 212270804 / годен до  06.07.2024 г")</f>
        <v>Тест-полоски для контроля уровня глюкозы в крови Bionime Rightest GS 550 № 50 KZ.7700.02.01.00896145 / Действительно до 06.07.2024 / 212270804 / годен до  06.07.2024 г</v>
      </c>
    </row>
    <row r="2075" spans="1:8" ht="12.75" x14ac:dyDescent="0.2">
      <c r="A2075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2075" s="1" t="str">
        <f ca="1">IFERROR(__xludf.DUMMYFUNCTION("""COMPUTED_VALUE"""),"KZ.7700.02.01.00894891")</f>
        <v>KZ.7700.02.01.00894891</v>
      </c>
      <c r="C2075" s="1" t="str">
        <f ca="1">IFERROR(__xludf.DUMMYFUNCTION("""COMPUTED_VALUE"""),"Действительно до 12.07.2024")</f>
        <v>Действительно до 12.07.2024</v>
      </c>
      <c r="D2075" s="8" t="str">
        <f ca="1">IFERROR(__xludf.DUMMYFUNCTION("""COMPUTED_VALUE"""),"212271404")</f>
        <v>212271404</v>
      </c>
      <c r="E2075" s="1" t="str">
        <f ca="1">IFERROR(__xludf.DUMMYFUNCTION("""COMPUTED_VALUE"""),"годен до 12.07.2024 г")</f>
        <v>годен до 12.07.2024 г</v>
      </c>
      <c r="F2075" s="1" t="str">
        <f ca="1">IFERROR(__xludf.DUMMYFUNCTION("""COMPUTED_VALUE"""),"Тест-полоски для контроля уровня глюкозы в крови Bionime Rightest GS 550 № 50 - 212271404")</f>
        <v>Тест-полоски для контроля уровня глюкозы в крови Bionime Rightest GS 550 № 50 - 212271404</v>
      </c>
      <c r="G2075" s="1" t="str">
        <f ca="1">IFERROR(__xludf.DUMMYFUNCTION("""COMPUTED_VALUE"""),"KZ.7700.02.01.00894891 / Действительно до 12.07.2024 / 212271404 / годен до 12.07.2024 г")</f>
        <v>KZ.7700.02.01.00894891 / Действительно до 12.07.2024 / 212271404 / годен до 12.07.2024 г</v>
      </c>
      <c r="H2075" s="1" t="str">
        <f ca="1">IFERROR(__xludf.DUMMYFUNCTION("""COMPUTED_VALUE"""),"Тест-полоски для контроля уровня глюкозы в крови Bionime Rightest GS 550 № 50 KZ.7700.02.01.00894891 / Действительно до 12.07.2024 / 212271404 / годен до 12.07.2024 г")</f>
        <v>Тест-полоски для контроля уровня глюкозы в крови Bionime Rightest GS 550 № 50 KZ.7700.02.01.00894891 / Действительно до 12.07.2024 / 212271404 / годен до 12.07.2024 г</v>
      </c>
    </row>
    <row r="2076" spans="1:8" ht="12.75" x14ac:dyDescent="0.2">
      <c r="A2076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076" s="1" t="str">
        <f ca="1">IFERROR(__xludf.DUMMYFUNCTION("""COMPUTED_VALUE"""),"KZ.7700.02.01.00895984")</f>
        <v>KZ.7700.02.01.00895984</v>
      </c>
      <c r="C2076" s="1" t="str">
        <f ca="1">IFERROR(__xludf.DUMMYFUNCTION("""COMPUTED_VALUE"""),"Действительно до 01.03.2027")</f>
        <v>Действительно до 01.03.2027</v>
      </c>
      <c r="D2076" s="8" t="str">
        <f ca="1">IFERROR(__xludf.DUMMYFUNCTION("""COMPUTED_VALUE"""),"2202TNI3142")</f>
        <v>2202TNI3142</v>
      </c>
      <c r="E2076" s="1" t="str">
        <f ca="1">IFERROR(__xludf.DUMMYFUNCTION("""COMPUTED_VALUE"""),"годен до 02.2027")</f>
        <v>годен до 02.2027</v>
      </c>
      <c r="F2076" s="1" t="str">
        <f ca="1">IFERROR(__xludf.DUMMYFUNCTION("""COMPUTED_VALUE"""),"DOLPHI анатомические ультратонкие Презервативы латексные, № 3 - 2202TNI3142")</f>
        <v>DOLPHI анатомические ультратонкие Презервативы латексные, № 3 - 2202TNI3142</v>
      </c>
      <c r="G2076" s="1" t="str">
        <f ca="1">IFERROR(__xludf.DUMMYFUNCTION("""COMPUTED_VALUE"""),"KZ.7700.02.01.00895984 / Действительно до 01.03.2027 / 2202TNI3142 / годен до 02.2027")</f>
        <v>KZ.7700.02.01.00895984 / Действительно до 01.03.2027 / 2202TNI3142 / годен до 02.2027</v>
      </c>
      <c r="H2076" s="1" t="str">
        <f ca="1">IFERROR(__xludf.DUMMYFUNCTION("""COMPUTED_VALUE"""),"DOLPHI анатомические ультратонкие Презервативы латексные, № 3 KZ.7700.02.01.00895984 / Действительно до 01.03.2027 / 2202TNI3142 / годен до 02.2027")</f>
        <v>DOLPHI анатомические ультратонкие Презервативы латексные, № 3 KZ.7700.02.01.00895984 / Действительно до 01.03.2027 / 2202TNI3142 / годен до 02.2027</v>
      </c>
    </row>
    <row r="2077" spans="1:8" ht="12.75" x14ac:dyDescent="0.2">
      <c r="A2077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2077" s="1" t="str">
        <f ca="1">IFERROR(__xludf.DUMMYFUNCTION("""COMPUTED_VALUE"""),"KZ.7700.02.01.00896932")</f>
        <v>KZ.7700.02.01.00896932</v>
      </c>
      <c r="C2077" s="1" t="str">
        <f ca="1">IFERROR(__xludf.DUMMYFUNCTION("""COMPUTED_VALUE"""),"Действительно до 01.03.2027")</f>
        <v>Действительно до 01.03.2027</v>
      </c>
      <c r="D2077" s="8" t="str">
        <f ca="1">IFERROR(__xludf.DUMMYFUNCTION("""COMPUTED_VALUE"""),"2202TNI3142")</f>
        <v>2202TNI3142</v>
      </c>
      <c r="E2077" s="1" t="str">
        <f ca="1">IFERROR(__xludf.DUMMYFUNCTION("""COMPUTED_VALUE"""),"годен до 02.2027")</f>
        <v>годен до 02.2027</v>
      </c>
      <c r="F2077" s="1" t="str">
        <f ca="1">IFERROR(__xludf.DUMMYFUNCTION("""COMPUTED_VALUE"""),"DOLPHI анатомические ультратонкие, №12 Презервативы латексные - 2202TNI3142")</f>
        <v>DOLPHI анатомические ультратонкие, №12 Презервативы латексные - 2202TNI3142</v>
      </c>
      <c r="G2077" s="1" t="str">
        <f ca="1">IFERROR(__xludf.DUMMYFUNCTION("""COMPUTED_VALUE"""),"KZ.7700.02.01.00896932 / Действительно до 01.03.2027 / 2202TNI3142 / годен до 02.2027")</f>
        <v>KZ.7700.02.01.00896932 / Действительно до 01.03.2027 / 2202TNI3142 / годен до 02.2027</v>
      </c>
      <c r="H2077" s="1" t="str">
        <f ca="1">IFERROR(__xludf.DUMMYFUNCTION("""COMPUTED_VALUE"""),"DOLPHI анатомические ультратонкие, №12 Презервативы латексные KZ.7700.02.01.00896932 / Действительно до 01.03.2027 / 2202TNI3142 / годен до 02.2027")</f>
        <v>DOLPHI анатомические ультратонкие, №12 Презервативы латексные KZ.7700.02.01.00896932 / Действительно до 01.03.2027 / 2202TNI3142 / годен до 02.2027</v>
      </c>
    </row>
    <row r="2078" spans="1:8" ht="12.75" x14ac:dyDescent="0.2">
      <c r="A2078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2078" s="1" t="str">
        <f ca="1">IFERROR(__xludf.DUMMYFUNCTION("""COMPUTED_VALUE"""),"KZ.7700.02.01.00896706")</f>
        <v>KZ.7700.02.01.00896706</v>
      </c>
      <c r="C2078" s="1" t="str">
        <f ca="1">IFERROR(__xludf.DUMMYFUNCTION("""COMPUTED_VALUE"""),"Действительно до 01.08.2027")</f>
        <v>Действительно до 01.08.2027</v>
      </c>
      <c r="D2078" s="8" t="str">
        <f ca="1">IFERROR(__xludf.DUMMYFUNCTION("""COMPUTED_VALUE"""),"2207TNI3357")</f>
        <v>2207TNI3357</v>
      </c>
      <c r="E2078" s="1" t="str">
        <f ca="1">IFERROR(__xludf.DUMMYFUNCTION("""COMPUTED_VALUE"""),"годен до 07.2027")</f>
        <v>годен до 07.2027</v>
      </c>
      <c r="F2078" s="1" t="str">
        <f ca="1">IFERROR(__xludf.DUMMYFUNCTION("""COMPUTED_VALUE"""),"DOLPHI Класические №3 Презервативы латексные - 2207TNI3357")</f>
        <v>DOLPHI Класические №3 Презервативы латексные - 2207TNI3357</v>
      </c>
      <c r="G2078" s="1" t="str">
        <f ca="1">IFERROR(__xludf.DUMMYFUNCTION("""COMPUTED_VALUE"""),"KZ.7700.02.01.00896706 / Действительно до 01.08.2027 / 2207TNI3357 / годен до 07.2027")</f>
        <v>KZ.7700.02.01.00896706 / Действительно до 01.08.2027 / 2207TNI3357 / годен до 07.2027</v>
      </c>
      <c r="H2078" s="1" t="str">
        <f ca="1">IFERROR(__xludf.DUMMYFUNCTION("""COMPUTED_VALUE"""),"DOLPHI Класические №3 Презервативы латексные KZ.7700.02.01.00896706 / Действительно до 01.08.2027 / 2207TNI3357 / годен до 07.2027")</f>
        <v>DOLPHI Класические №3 Презервативы латексные KZ.7700.02.01.00896706 / Действительно до 01.08.2027 / 2207TNI3357 / годен до 07.2027</v>
      </c>
    </row>
    <row r="2079" spans="1:8" ht="12.75" x14ac:dyDescent="0.2">
      <c r="A2079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2079" s="1" t="str">
        <f ca="1">IFERROR(__xludf.DUMMYFUNCTION("""COMPUTED_VALUE"""),"KZ.7700.02.01.00894565")</f>
        <v>KZ.7700.02.01.00894565</v>
      </c>
      <c r="C2079" s="1" t="str">
        <f ca="1">IFERROR(__xludf.DUMMYFUNCTION("""COMPUTED_VALUE"""),"Действительно до 01.08.2027")</f>
        <v>Действительно до 01.08.2027</v>
      </c>
      <c r="D2079" s="8" t="str">
        <f ca="1">IFERROR(__xludf.DUMMYFUNCTION("""COMPUTED_VALUE"""),"2207TNI3357")</f>
        <v>2207TNI3357</v>
      </c>
      <c r="E2079" s="1" t="str">
        <f ca="1">IFERROR(__xludf.DUMMYFUNCTION("""COMPUTED_VALUE"""),"годен до 07.2027")</f>
        <v>годен до 07.2027</v>
      </c>
      <c r="F2079" s="1" t="str">
        <f ca="1">IFERROR(__xludf.DUMMYFUNCTION("""COMPUTED_VALUE"""),"DOLPHI классические, №12 Презервативы латексные - 2207TNI3357")</f>
        <v>DOLPHI классические, №12 Презервативы латексные - 2207TNI3357</v>
      </c>
      <c r="G2079" s="1" t="str">
        <f ca="1">IFERROR(__xludf.DUMMYFUNCTION("""COMPUTED_VALUE"""),"KZ.7700.02.01.00894565 / Действительно до 01.08.2027 / 2207TNI3357 / годен до 07.2027")</f>
        <v>KZ.7700.02.01.00894565 / Действительно до 01.08.2027 / 2207TNI3357 / годен до 07.2027</v>
      </c>
      <c r="H2079" s="1" t="str">
        <f ca="1">IFERROR(__xludf.DUMMYFUNCTION("""COMPUTED_VALUE"""),"DOLPHI классические, №12 Презервативы латексные KZ.7700.02.01.00894565 / Действительно до 01.08.2027 / 2207TNI3357 / годен до 07.2027")</f>
        <v>DOLPHI классические, №12 Презервативы латексные KZ.7700.02.01.00894565 / Действительно до 01.08.2027 / 2207TNI3357 / годен до 07.2027</v>
      </c>
    </row>
    <row r="2080" spans="1:8" ht="12.75" x14ac:dyDescent="0.2">
      <c r="A2080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080" s="1" t="str">
        <f ca="1">IFERROR(__xludf.DUMMYFUNCTION("""COMPUTED_VALUE"""),"KZ.7700.02.01.00897466")</f>
        <v>KZ.7700.02.01.00897466</v>
      </c>
      <c r="C2080" s="1" t="str">
        <f ca="1">IFERROR(__xludf.DUMMYFUNCTION("""COMPUTED_VALUE"""),"Действительно до 01.08.2027")</f>
        <v>Действительно до 01.08.2027</v>
      </c>
      <c r="D2080" s="8" t="str">
        <f ca="1">IFERROR(__xludf.DUMMYFUNCTION("""COMPUTED_VALUE"""),"2207TNI3377")</f>
        <v>2207TNI3377</v>
      </c>
      <c r="E2080" s="1" t="str">
        <f ca="1">IFERROR(__xludf.DUMMYFUNCTION("""COMPUTED_VALUE"""),"годен до 07.2027")</f>
        <v>годен до 07.2027</v>
      </c>
      <c r="F2080" s="1" t="str">
        <f ca="1">IFERROR(__xludf.DUMMYFUNCTION("""COMPUTED_VALUE"""),"DOLPHI ультратонкие №3 Презервативы латескные - 2207TNI3377")</f>
        <v>DOLPHI ультратонкие №3 Презервативы латескные - 2207TNI3377</v>
      </c>
      <c r="G2080" s="1" t="str">
        <f ca="1">IFERROR(__xludf.DUMMYFUNCTION("""COMPUTED_VALUE"""),"KZ.7700.02.01.00897466 / Действительно до 01.08.2027 / 2207TNI3377 / годен до 07.2027")</f>
        <v>KZ.7700.02.01.00897466 / Действительно до 01.08.2027 / 2207TNI3377 / годен до 07.2027</v>
      </c>
      <c r="H2080" s="1" t="str">
        <f ca="1">IFERROR(__xludf.DUMMYFUNCTION("""COMPUTED_VALUE"""),"DOLPHI ультратонкие №3 Презервативы латескные KZ.7700.02.01.00897466 / Действительно до 01.08.2027 / 2207TNI3377 / годен до 07.2027")</f>
        <v>DOLPHI ультратонкие №3 Презервативы латескные KZ.7700.02.01.00897466 / Действительно до 01.08.2027 / 2207TNI3377 / годен до 07.2027</v>
      </c>
    </row>
    <row r="2081" spans="1:8" ht="12.75" x14ac:dyDescent="0.2">
      <c r="A2081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081" s="1" t="str">
        <f ca="1">IFERROR(__xludf.DUMMYFUNCTION("""COMPUTED_VALUE"""),"KZ.7700.02.01.00896363")</f>
        <v>KZ.7700.02.01.00896363</v>
      </c>
      <c r="C2081" s="1" t="str">
        <f ca="1">IFERROR(__xludf.DUMMYFUNCTION("""COMPUTED_VALUE"""),"Действительно до 01.08.2027")</f>
        <v>Действительно до 01.08.2027</v>
      </c>
      <c r="D2081" s="8" t="str">
        <f ca="1">IFERROR(__xludf.DUMMYFUNCTION("""COMPUTED_VALUE"""),"2207TNI3377")</f>
        <v>2207TNI3377</v>
      </c>
      <c r="E2081" s="1" t="str">
        <f ca="1">IFERROR(__xludf.DUMMYFUNCTION("""COMPUTED_VALUE"""),"годен до 07.2027")</f>
        <v>годен до 07.2027</v>
      </c>
      <c r="F2081" s="1" t="str">
        <f ca="1">IFERROR(__xludf.DUMMYFUNCTION("""COMPUTED_VALUE"""),"DOLPHI ультратонкие №12 Презервативы латексные - 2207TNI3377")</f>
        <v>DOLPHI ультратонкие №12 Презервативы латексные - 2207TNI3377</v>
      </c>
      <c r="G2081" s="1" t="str">
        <f ca="1">IFERROR(__xludf.DUMMYFUNCTION("""COMPUTED_VALUE"""),"KZ.7700.02.01.00896363 / Действительно до 01.08.2027 / 2207TNI3377 / годен до 07.2027")</f>
        <v>KZ.7700.02.01.00896363 / Действительно до 01.08.2027 / 2207TNI3377 / годен до 07.2027</v>
      </c>
      <c r="H2081" s="1" t="str">
        <f ca="1">IFERROR(__xludf.DUMMYFUNCTION("""COMPUTED_VALUE"""),"DOLPHI ультратонкие №12 Презервативы латексные KZ.7700.02.01.00896363 / Действительно до 01.08.2027 / 2207TNI3377 / годен до 07.2027")</f>
        <v>DOLPHI ультратонкие №12 Презервативы латексные KZ.7700.02.01.00896363 / Действительно до 01.08.2027 / 2207TNI3377 / годен до 07.2027</v>
      </c>
    </row>
    <row r="2082" spans="1:8" ht="12.75" x14ac:dyDescent="0.2">
      <c r="A2082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2082" s="1" t="str">
        <f ca="1">IFERROR(__xludf.DUMMYFUNCTION("""COMPUTED_VALUE"""),"KZ.7700.02.01.00896314")</f>
        <v>KZ.7700.02.01.00896314</v>
      </c>
      <c r="C2082" s="1" t="str">
        <f ca="1">IFERROR(__xludf.DUMMYFUNCTION("""COMPUTED_VALUE"""),"Действительно до 01.08.2027")</f>
        <v>Действительно до 01.08.2027</v>
      </c>
      <c r="D2082" s="8" t="str">
        <f ca="1">IFERROR(__xludf.DUMMYFUNCTION("""COMPUTED_VALUE"""),"2207TNI3357")</f>
        <v>2207TNI3357</v>
      </c>
      <c r="E2082" s="1" t="str">
        <f ca="1">IFERROR(__xludf.DUMMYFUNCTION("""COMPUTED_VALUE"""),"годен до 07.2027")</f>
        <v>годен до 07.2027</v>
      </c>
      <c r="F2082" s="1" t="str">
        <f ca="1">IFERROR(__xludf.DUMMYFUNCTION("""COMPUTED_VALUE"""),"Mister Ben классические № 3 Презервативы латексные - 2207TNI3357")</f>
        <v>Mister Ben классические № 3 Презервативы латексные - 2207TNI3357</v>
      </c>
      <c r="G2082" s="1" t="str">
        <f ca="1">IFERROR(__xludf.DUMMYFUNCTION("""COMPUTED_VALUE"""),"KZ.7700.02.01.00896314 / Действительно до 01.08.2027 / 2207TNI3357 / годен до 07.2027")</f>
        <v>KZ.7700.02.01.00896314 / Действительно до 01.08.2027 / 2207TNI3357 / годен до 07.2027</v>
      </c>
      <c r="H2082" s="1" t="str">
        <f ca="1">IFERROR(__xludf.DUMMYFUNCTION("""COMPUTED_VALUE"""),"Mister Ben классические № 3 Презервативы латексные KZ.7700.02.01.00896314 / Действительно до 01.08.2027 / 2207TNI3357 / годен до 07.2027")</f>
        <v>Mister Ben классические № 3 Презервативы латексные KZ.7700.02.01.00896314 / Действительно до 01.08.2027 / 2207TNI3357 / годен до 07.2027</v>
      </c>
    </row>
    <row r="2083" spans="1:8" ht="12.75" x14ac:dyDescent="0.2">
      <c r="A2083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2083" s="1" t="str">
        <f ca="1">IFERROR(__xludf.DUMMYFUNCTION("""COMPUTED_VALUE"""),"KZ.7700.02.01.00894620")</f>
        <v>KZ.7700.02.01.00894620</v>
      </c>
      <c r="C2083" s="1" t="str">
        <f ca="1">IFERROR(__xludf.DUMMYFUNCTION("""COMPUTED_VALUE"""),"Действительно до 01.08.2027")</f>
        <v>Действительно до 01.08.2027</v>
      </c>
      <c r="D2083" s="8" t="str">
        <f ca="1">IFERROR(__xludf.DUMMYFUNCTION("""COMPUTED_VALUE"""),"2207TNI3357")</f>
        <v>2207TNI3357</v>
      </c>
      <c r="E2083" s="1" t="str">
        <f ca="1">IFERROR(__xludf.DUMMYFUNCTION("""COMPUTED_VALUE"""),"годен до 07.2027")</f>
        <v>годен до 07.2027</v>
      </c>
      <c r="F2083" s="1" t="str">
        <f ca="1">IFERROR(__xludf.DUMMYFUNCTION("""COMPUTED_VALUE"""),"Sexxxy классические №3 Презервативы латексные - 2207TNI3357")</f>
        <v>Sexxxy классические №3 Презервативы латексные - 2207TNI3357</v>
      </c>
      <c r="G2083" s="1" t="str">
        <f ca="1">IFERROR(__xludf.DUMMYFUNCTION("""COMPUTED_VALUE"""),"KZ.7700.02.01.00894620 / Действительно до 01.08.2027 / 2207TNI3357 / годен до 07.2027")</f>
        <v>KZ.7700.02.01.00894620 / Действительно до 01.08.2027 / 2207TNI3357 / годен до 07.2027</v>
      </c>
      <c r="H2083" s="1" t="str">
        <f ca="1">IFERROR(__xludf.DUMMYFUNCTION("""COMPUTED_VALUE"""),"Sexxxy классические №3 Презервативы латексные KZ.7700.02.01.00894620 / Действительно до 01.08.2027 / 2207TNI3357 / годен до 07.2027")</f>
        <v>Sexxxy классические №3 Презервативы латексные KZ.7700.02.01.00894620 / Действительно до 01.08.2027 / 2207TNI3357 / годен до 07.2027</v>
      </c>
    </row>
    <row r="2084" spans="1:8" ht="12.75" x14ac:dyDescent="0.2">
      <c r="A2084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2084" s="1" t="str">
        <f ca="1">IFERROR(__xludf.DUMMYFUNCTION("""COMPUTED_VALUE"""),"KZ.7700.02.01.00894887")</f>
        <v>KZ.7700.02.01.00894887</v>
      </c>
      <c r="C2084" s="1" t="str">
        <f ca="1">IFERROR(__xludf.DUMMYFUNCTION("""COMPUTED_VALUE"""),"Действительно до 01.08.2027")</f>
        <v>Действительно до 01.08.2027</v>
      </c>
      <c r="D2084" s="8" t="str">
        <f ca="1">IFERROR(__xludf.DUMMYFUNCTION("""COMPUTED_VALUE"""),"2207TNI3377")</f>
        <v>2207TNI3377</v>
      </c>
      <c r="E2084" s="1" t="str">
        <f ca="1">IFERROR(__xludf.DUMMYFUNCTION("""COMPUTED_VALUE"""),"годен до 07.2027")</f>
        <v>годен до 07.2027</v>
      </c>
      <c r="F2084" s="1" t="str">
        <f ca="1">IFERROR(__xludf.DUMMYFUNCTION("""COMPUTED_VALUE"""),"Mister Ben Ультратонкие № 3 Презервативы латексные - 2207TNI3377")</f>
        <v>Mister Ben Ультратонкие № 3 Презервативы латексные - 2207TNI3377</v>
      </c>
      <c r="G2084" s="1" t="str">
        <f ca="1">IFERROR(__xludf.DUMMYFUNCTION("""COMPUTED_VALUE"""),"KZ.7700.02.01.00894887 / Действительно до 01.08.2027 / 2207TNI3377 / годен до 07.2027")</f>
        <v>KZ.7700.02.01.00894887 / Действительно до 01.08.2027 / 2207TNI3377 / годен до 07.2027</v>
      </c>
      <c r="H2084" s="1" t="str">
        <f ca="1">IFERROR(__xludf.DUMMYFUNCTION("""COMPUTED_VALUE"""),"Mister Ben Ультратонкие № 3 Презервативы латексные KZ.7700.02.01.00894887 / Действительно до 01.08.2027 / 2207TNI3377 / годен до 07.2027")</f>
        <v>Mister Ben Ультратонкие № 3 Презервативы латексные KZ.7700.02.01.00894887 / Действительно до 01.08.2027 / 2207TNI3377 / годен до 07.2027</v>
      </c>
    </row>
    <row r="2085" spans="1:8" ht="12.75" x14ac:dyDescent="0.2">
      <c r="A2085" s="1" t="str">
        <f ca="1">IFERROR(__xludf.DUMMYFUNCTION("""COMPUTED_VALUE"""),"DOLPHI 3 в 1 №12 Презервативы латексные")</f>
        <v>DOLPHI 3 в 1 №12 Презервативы латексные</v>
      </c>
      <c r="B2085" s="1" t="str">
        <f ca="1">IFERROR(__xludf.DUMMYFUNCTION("""COMPUTED_VALUE"""),"KZ.7700.02.01.00897460")</f>
        <v>KZ.7700.02.01.00897460</v>
      </c>
      <c r="C2085" s="1" t="str">
        <f ca="1">IFERROR(__xludf.DUMMYFUNCTION("""COMPUTED_VALUE"""),"Действительно до 01.05.2026")</f>
        <v>Действительно до 01.05.2026</v>
      </c>
      <c r="D2085" s="8" t="str">
        <f ca="1">IFERROR(__xludf.DUMMYFUNCTION("""COMPUTED_VALUE"""),"2104TNI2837")</f>
        <v>2104TNI2837</v>
      </c>
      <c r="E2085" s="1" t="str">
        <f ca="1">IFERROR(__xludf.DUMMYFUNCTION("""COMPUTED_VALUE"""),"годен до 04.2026")</f>
        <v>годен до 04.2026</v>
      </c>
      <c r="F2085" s="1" t="str">
        <f ca="1">IFERROR(__xludf.DUMMYFUNCTION("""COMPUTED_VALUE"""),"DOLPHI 3 в 1 №12 Презервативы латексные - 2104TNI2837")</f>
        <v>DOLPHI 3 в 1 №12 Презервативы латексные - 2104TNI2837</v>
      </c>
      <c r="G2085" s="1" t="str">
        <f ca="1">IFERROR(__xludf.DUMMYFUNCTION("""COMPUTED_VALUE"""),"KZ.7700.02.01.00897460 / Действительно до 01.05.2026 / 2104TNI2837 / годен до 04.2026")</f>
        <v>KZ.7700.02.01.00897460 / Действительно до 01.05.2026 / 2104TNI2837 / годен до 04.2026</v>
      </c>
      <c r="H2085" s="1" t="str">
        <f ca="1">IFERROR(__xludf.DUMMYFUNCTION("""COMPUTED_VALUE"""),"DOLPHI 3 в 1 №12 Презервативы латексные KZ.7700.02.01.00897460 / Действительно до 01.05.2026 / 2104TNI2837 / годен до 04.2026")</f>
        <v>DOLPHI 3 в 1 №12 Презервативы латексные KZ.7700.02.01.00897460 / Действительно до 01.05.2026 / 2104TNI2837 / годен до 04.2026</v>
      </c>
    </row>
    <row r="2086" spans="1:8" ht="12.75" x14ac:dyDescent="0.2">
      <c r="A2086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2086" s="1" t="str">
        <f ca="1">IFERROR(__xludf.DUMMYFUNCTION("""COMPUTED_VALUE"""),"KZ.7700.02.01.00897540")</f>
        <v>KZ.7700.02.01.00897540</v>
      </c>
      <c r="C2086" s="1" t="str">
        <f ca="1">IFERROR(__xludf.DUMMYFUNCTION("""COMPUTED_VALUE"""),"Действительно до 09.06.2024")</f>
        <v>Действительно до 09.06.2024</v>
      </c>
      <c r="D2086" s="8" t="str">
        <f ca="1">IFERROR(__xludf.DUMMYFUNCTION("""COMPUTED_VALUE"""),"212260904")</f>
        <v>212260904</v>
      </c>
      <c r="E2086" s="1" t="str">
        <f ca="1">IFERROR(__xludf.DUMMYFUNCTION("""COMPUTED_VALUE"""),"годен до 09.06.2026")</f>
        <v>годен до 09.06.2026</v>
      </c>
      <c r="F2086" s="1" t="str">
        <f ca="1">IFERROR(__xludf.DUMMYFUNCTION("""COMPUTED_VALUE"""),"Тест-полоски для контроля уровня глюкозы в крови Bionime Rightest GS 550 № 50 - 212260904")</f>
        <v>Тест-полоски для контроля уровня глюкозы в крови Bionime Rightest GS 550 № 50 - 212260904</v>
      </c>
      <c r="G2086" s="1" t="str">
        <f ca="1">IFERROR(__xludf.DUMMYFUNCTION("""COMPUTED_VALUE"""),"KZ.7700.02.01.00897540 / Действительно до 09.06.2024 / 212260904 / годен до 09.06.2026")</f>
        <v>KZ.7700.02.01.00897540 / Действительно до 09.06.2024 / 212260904 / годен до 09.06.2026</v>
      </c>
      <c r="H2086" s="1" t="str">
        <f ca="1">IFERROR(__xludf.DUMMYFUNCTION("""COMPUTED_VALUE"""),"Тест-полоски для контроля уровня глюкозы в крови Bionime Rightest GS 550 № 50 KZ.7700.02.01.00897540 / Действительно до 09.06.2024 / 212260904 / годен до 09.06.2026")</f>
        <v>Тест-полоски для контроля уровня глюкозы в крови Bionime Rightest GS 550 № 50 KZ.7700.02.01.00897540 / Действительно до 09.06.2024 / 212260904 / годен до 09.06.2026</v>
      </c>
    </row>
    <row r="2087" spans="1:8" ht="12.75" x14ac:dyDescent="0.2">
      <c r="A2087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2087" s="1" t="str">
        <f ca="1">IFERROR(__xludf.DUMMYFUNCTION("""COMPUTED_VALUE"""),"KZ.7700.02.01.00897797")</f>
        <v>KZ.7700.02.01.00897797</v>
      </c>
      <c r="C2087" s="1" t="str">
        <f ca="1">IFERROR(__xludf.DUMMYFUNCTION("""COMPUTED_VALUE"""),"Действительно до бессрочно")</f>
        <v>Действительно до бессрочно</v>
      </c>
      <c r="D2087" s="8" t="str">
        <f ca="1">IFERROR(__xludf.DUMMYFUNCTION("""COMPUTED_VALUE"""),"PG20220318KM")</f>
        <v>PG20220318KM</v>
      </c>
      <c r="E2087" s="1" t="str">
        <f ca="1">IFERROR(__xludf.DUMMYFUNCTION("""COMPUTED_VALUE"""),"без срока годности")</f>
        <v>без срока годности</v>
      </c>
      <c r="F2087" s="1" t="str">
        <f ca="1">IFERROR(__xludf.DUMMYFUNCTION("""COMPUTED_VALUE"""),"Автоматический измеритель артериального давления ТМ DR.FREI МОДЕЛЬ M-100A - PG20220318KM")</f>
        <v>Автоматический измеритель артериального давления ТМ DR.FREI МОДЕЛЬ M-100A - PG20220318KM</v>
      </c>
      <c r="G2087" s="1" t="str">
        <f ca="1">IFERROR(__xludf.DUMMYFUNCTION("""COMPUTED_VALUE"""),"KZ.7700.02.01.00897797 / Действительно до бессрочно / PG20220318KM / без срока годности")</f>
        <v>KZ.7700.02.01.00897797 / Действительно до бессрочно / PG20220318KM / без срока годности</v>
      </c>
      <c r="H2087" s="1" t="str">
        <f ca="1">IFERROR(__xludf.DUMMYFUNCTION("""COMPUTED_VALUE"""),"Автоматический измеритель артериального давления ТМ DR.FREI МОДЕЛЬ M-100A KZ.7700.02.01.00897797 / Действительно до бессрочно / PG20220318KM / без срока годности")</f>
        <v>Автоматический измеритель артериального давления ТМ DR.FREI МОДЕЛЬ M-100A KZ.7700.02.01.00897797 / Действительно до бессрочно / PG20220318KM / без срока годности</v>
      </c>
    </row>
    <row r="2088" spans="1:8" ht="12.75" x14ac:dyDescent="0.2">
      <c r="A2088" s="1" t="str">
        <f ca="1">IFERROR(__xludf.DUMMYFUNCTION("""COMPUTED_VALUE"""),"Полуавтоматический измеритель артериального давления ТМ DR.FREI МОДЕЛЬ M-150S")</f>
        <v>Полуавтоматический измеритель артериального давления ТМ DR.FREI МОДЕЛЬ M-150S</v>
      </c>
      <c r="B2088" s="1" t="str">
        <f ca="1">IFERROR(__xludf.DUMMYFUNCTION("""COMPUTED_VALUE"""),"KZ.7700.02.01.00898081")</f>
        <v>KZ.7700.02.01.00898081</v>
      </c>
      <c r="C2088" s="1" t="str">
        <f ca="1">IFERROR(__xludf.DUMMYFUNCTION("""COMPUTED_VALUE"""),"Действительно до бессрочно")</f>
        <v>Действительно до бессрочно</v>
      </c>
      <c r="D2088" s="8" t="str">
        <f ca="1">IFERROR(__xludf.DUMMYFUNCTION("""COMPUTED_VALUE"""),"PG20220318KM")</f>
        <v>PG20220318KM</v>
      </c>
      <c r="E2088" s="1" t="str">
        <f ca="1">IFERROR(__xludf.DUMMYFUNCTION("""COMPUTED_VALUE"""),"без срока годности")</f>
        <v>без срока годности</v>
      </c>
      <c r="F2088" s="1" t="str">
        <f ca="1">IFERROR(__xludf.DUMMYFUNCTION("""COMPUTED_VALUE"""),"Полуавтоматический измеритель артериального давления ТМ DR.FREI МОДЕЛЬ M-150S - PG20220318KM")</f>
        <v>Полуавтоматический измеритель артериального давления ТМ DR.FREI МОДЕЛЬ M-150S - PG20220318KM</v>
      </c>
      <c r="G2088" s="1" t="str">
        <f ca="1">IFERROR(__xludf.DUMMYFUNCTION("""COMPUTED_VALUE"""),"KZ.7700.02.01.00898081 / Действительно до бессрочно / PG20220318KM / без срока годности")</f>
        <v>KZ.7700.02.01.00898081 / Действительно до бессрочно / PG20220318KM / без срока годности</v>
      </c>
      <c r="H2088" s="1" t="str">
        <f ca="1">IFERROR(__xludf.DUMMYFUNCTION("""COMPUTED_VALUE"""),"Полуавтоматический измеритель артериального давления ТМ DR.FREI МОДЕЛЬ M-150S KZ.7700.02.01.00898081 / Действительно до бессрочно / PG20220318KM / без срока годности")</f>
        <v>Полуавтоматический измеритель артериального давления ТМ DR.FREI МОДЕЛЬ M-150S KZ.7700.02.01.00898081 / Действительно до бессрочно / PG20220318KM / без срока годности</v>
      </c>
    </row>
    <row r="2089" spans="1:8" ht="12.75" x14ac:dyDescent="0.2">
      <c r="A2089" s="1" t="str">
        <f ca="1">IFERROR(__xludf.DUMMYFUNCTION("""COMPUTED_VALUE"""),"МЕДИЦИНСКИЙ НЕТКАНЫЙ ПЛАСТЫРЬ В РУЛОНЕ (5 м x 1,25cm)")</f>
        <v>МЕДИЦИНСКИЙ НЕТКАНЫЙ ПЛАСТЫРЬ В РУЛОНЕ (5 м x 1,25cm)</v>
      </c>
      <c r="B2089" s="1" t="str">
        <f ca="1">IFERROR(__xludf.DUMMYFUNCTION("""COMPUTED_VALUE"""),"KZ.7700.02.01.00897280")</f>
        <v>KZ.7700.02.01.00897280</v>
      </c>
      <c r="C2089" s="1" t="str">
        <f ca="1">IFERROR(__xludf.DUMMYFUNCTION("""COMPUTED_VALUE"""),"Действительно до 01.03.2027")</f>
        <v>Действительно до 01.03.2027</v>
      </c>
      <c r="D2089" s="8" t="str">
        <f ca="1">IFERROR(__xludf.DUMMYFUNCTION("""COMPUTED_VALUE"""),"2251201-3")</f>
        <v>2251201-3</v>
      </c>
      <c r="E2089" s="1" t="str">
        <f ca="1">IFERROR(__xludf.DUMMYFUNCTION("""COMPUTED_VALUE"""),"годен до 02.2027")</f>
        <v>годен до 02.2027</v>
      </c>
      <c r="F2089" s="1" t="str">
        <f ca="1">IFERROR(__xludf.DUMMYFUNCTION("""COMPUTED_VALUE"""),"МЕДИЦИНСКИЙ НЕТКАНЫЙ ПЛАСТЫРЬ В РУЛОНЕ (5 м x 1,25cm) - 2251201-3")</f>
        <v>МЕДИЦИНСКИЙ НЕТКАНЫЙ ПЛАСТЫРЬ В РУЛОНЕ (5 м x 1,25cm) - 2251201-3</v>
      </c>
      <c r="G2089" s="1" t="str">
        <f ca="1">IFERROR(__xludf.DUMMYFUNCTION("""COMPUTED_VALUE"""),"KZ.7700.02.01.00897280 / Действительно до 01.03.2027 / 2251201-3 / годен до 02.2027")</f>
        <v>KZ.7700.02.01.00897280 / Действительно до 01.03.2027 / 2251201-3 / годен до 02.2027</v>
      </c>
      <c r="H2089" s="1" t="str">
        <f ca="1">IFERROR(__xludf.DUMMYFUNCTION("""COMPUTED_VALUE"""),"МЕДИЦИНСКИЙ НЕТКАНЫЙ ПЛАСТЫРЬ В РУЛОНЕ (5 м x 1,25cm) KZ.7700.02.01.00897280 / Действительно до 01.03.2027 / 2251201-3 / годен до 02.2027")</f>
        <v>МЕДИЦИНСКИЙ НЕТКАНЫЙ ПЛАСТЫРЬ В РУЛОНЕ (5 м x 1,25cm) KZ.7700.02.01.00897280 / Действительно до 01.03.2027 / 2251201-3 / годен до 02.2027</v>
      </c>
    </row>
    <row r="2090" spans="1:8" ht="12.75" x14ac:dyDescent="0.2">
      <c r="A2090" s="1" t="str">
        <f ca="1">IFERROR(__xludf.DUMMYFUNCTION("""COMPUTED_VALUE"""),"МЕДИЦИНСКИЙ НЕТКАНЫЙ ПЛАСТЫРЬ В РУЛОНЕ (5 м x 2,5cm)")</f>
        <v>МЕДИЦИНСКИЙ НЕТКАНЫЙ ПЛАСТЫРЬ В РУЛОНЕ (5 м x 2,5cm)</v>
      </c>
      <c r="B2090" s="1" t="str">
        <f ca="1">IFERROR(__xludf.DUMMYFUNCTION("""COMPUTED_VALUE"""),"KZ.7700.02.01.00896757")</f>
        <v>KZ.7700.02.01.00896757</v>
      </c>
      <c r="C2090" s="1" t="str">
        <f ca="1">IFERROR(__xludf.DUMMYFUNCTION("""COMPUTED_VALUE"""),"Действительно до 01.03.2027")</f>
        <v>Действительно до 01.03.2027</v>
      </c>
      <c r="D2090" s="8" t="str">
        <f ca="1">IFERROR(__xludf.DUMMYFUNCTION("""COMPUTED_VALUE"""),"2253201-3")</f>
        <v>2253201-3</v>
      </c>
      <c r="E2090" s="1" t="str">
        <f ca="1">IFERROR(__xludf.DUMMYFUNCTION("""COMPUTED_VALUE"""),"годен до 02.2027")</f>
        <v>годен до 02.2027</v>
      </c>
      <c r="F2090" s="1" t="str">
        <f ca="1">IFERROR(__xludf.DUMMYFUNCTION("""COMPUTED_VALUE"""),"МЕДИЦИНСКИЙ НЕТКАНЫЙ ПЛАСТЫРЬ В РУЛОНЕ (5 м x 2,5cm) - 2253201-3")</f>
        <v>МЕДИЦИНСКИЙ НЕТКАНЫЙ ПЛАСТЫРЬ В РУЛОНЕ (5 м x 2,5cm) - 2253201-3</v>
      </c>
      <c r="G2090" s="1" t="str">
        <f ca="1">IFERROR(__xludf.DUMMYFUNCTION("""COMPUTED_VALUE"""),"KZ.7700.02.01.00896757 / Действительно до 01.03.2027 / 2253201-3 / годен до 02.2027")</f>
        <v>KZ.7700.02.01.00896757 / Действительно до 01.03.2027 / 2253201-3 / годен до 02.2027</v>
      </c>
      <c r="H2090" s="1" t="str">
        <f ca="1">IFERROR(__xludf.DUMMYFUNCTION("""COMPUTED_VALUE"""),"МЕДИЦИНСКИЙ НЕТКАНЫЙ ПЛАСТЫРЬ В РУЛОНЕ (5 м x 2,5cm) KZ.7700.02.01.00896757 / Действительно до 01.03.2027 / 2253201-3 / годен до 02.2027")</f>
        <v>МЕДИЦИНСКИЙ НЕТКАНЫЙ ПЛАСТЫРЬ В РУЛОНЕ (5 м x 2,5cm) KZ.7700.02.01.00896757 / Действительно до 01.03.2027 / 2253201-3 / годен до 02.2027</v>
      </c>
    </row>
    <row r="2091" spans="1:8" ht="12.75" x14ac:dyDescent="0.2">
      <c r="A2091" s="1" t="str">
        <f ca="1">IFERROR(__xludf.DUMMYFUNCTION("""COMPUTED_VALUE"""),"МЕДИЦИНСКИЙ ХЛОПЧАТОБУМАЖНЫЙ ПЛАСТЫРЬ В РУЛОНЕ (5m x 1,25cm)")</f>
        <v>МЕДИЦИНСКИЙ ХЛОПЧАТОБУМАЖНЫЙ ПЛАСТЫРЬ В РУЛОНЕ (5m x 1,25cm)</v>
      </c>
      <c r="B2091" s="1" t="str">
        <f ca="1">IFERROR(__xludf.DUMMYFUNCTION("""COMPUTED_VALUE"""),"KZ.7700.02.01.00896351")</f>
        <v>KZ.7700.02.01.00896351</v>
      </c>
      <c r="C2091" s="1" t="str">
        <f ca="1">IFERROR(__xludf.DUMMYFUNCTION("""COMPUTED_VALUE"""),"Действительно до 01.03.2027")</f>
        <v>Действительно до 01.03.2027</v>
      </c>
      <c r="D2091" s="8" t="str">
        <f ca="1">IFERROR(__xludf.DUMMYFUNCTION("""COMPUTED_VALUE"""),"227304")</f>
        <v>227304</v>
      </c>
      <c r="E2091" s="1" t="str">
        <f ca="1">IFERROR(__xludf.DUMMYFUNCTION("""COMPUTED_VALUE"""),"годен до 02.2027")</f>
        <v>годен до 02.2027</v>
      </c>
      <c r="F2091" s="1" t="str">
        <f ca="1">IFERROR(__xludf.DUMMYFUNCTION("""COMPUTED_VALUE"""),"МЕДИЦИНСКИЙ ХЛОПЧАТОБУМАЖНЫЙ ПЛАСТЫРЬ В РУЛОНЕ (5m x 1,25cm) - 227304")</f>
        <v>МЕДИЦИНСКИЙ ХЛОПЧАТОБУМАЖНЫЙ ПЛАСТЫРЬ В РУЛОНЕ (5m x 1,25cm) - 227304</v>
      </c>
      <c r="G2091" s="1" t="str">
        <f ca="1">IFERROR(__xludf.DUMMYFUNCTION("""COMPUTED_VALUE"""),"KZ.7700.02.01.00896351 / Действительно до 01.03.2027 / 227304 / годен до 02.2027")</f>
        <v>KZ.7700.02.01.00896351 / Действительно до 01.03.2027 / 227304 / годен до 02.2027</v>
      </c>
      <c r="H2091" s="1" t="str">
        <f ca="1">IFERROR(__xludf.DUMMYFUNCTION("""COMPUTED_VALUE"""),"МЕДИЦИНСКИЙ ХЛОПЧАТОБУМАЖНЫЙ ПЛАСТЫРЬ В РУЛОНЕ (5m x 1,25cm) KZ.7700.02.01.00896351 / Действительно до 01.03.2027 / 227304 / годен до 02.2027")</f>
        <v>МЕДИЦИНСКИЙ ХЛОПЧАТОБУМАЖНЫЙ ПЛАСТЫРЬ В РУЛОНЕ (5m x 1,25cm) KZ.7700.02.01.00896351 / Действительно до 01.03.2027 / 227304 / годен до 02.2027</v>
      </c>
    </row>
    <row r="2092" spans="1:8" ht="12.75" x14ac:dyDescent="0.2">
      <c r="A2092" s="1" t="str">
        <f ca="1">IFERROR(__xludf.DUMMYFUNCTION("""COMPUTED_VALUE"""),"МОЗОЛЬНЫЙ ПЛАСТЫРЬ (19mm х 72mm) №4")</f>
        <v>МОЗОЛЬНЫЙ ПЛАСТЫРЬ (19mm х 72mm) №4</v>
      </c>
      <c r="B2092" s="1" t="str">
        <f ca="1">IFERROR(__xludf.DUMMYFUNCTION("""COMPUTED_VALUE"""),"KZ.7700.02.01.00895901")</f>
        <v>KZ.7700.02.01.00895901</v>
      </c>
      <c r="C2092" s="1" t="str">
        <f ca="1">IFERROR(__xludf.DUMMYFUNCTION("""COMPUTED_VALUE"""),"Действительно до 01.07.2026")</f>
        <v>Действительно до 01.07.2026</v>
      </c>
      <c r="D2092" s="8" t="str">
        <f ca="1">IFERROR(__xludf.DUMMYFUNCTION("""COMPUTED_VALUE"""),"2122406")</f>
        <v>2122406</v>
      </c>
      <c r="E2092" s="1" t="str">
        <f ca="1">IFERROR(__xludf.DUMMYFUNCTION("""COMPUTED_VALUE"""),"годен до 06.2026")</f>
        <v>годен до 06.2026</v>
      </c>
      <c r="F2092" s="1" t="str">
        <f ca="1">IFERROR(__xludf.DUMMYFUNCTION("""COMPUTED_VALUE"""),"МОЗОЛЬНЫЙ ПЛАСТЫРЬ (19mm х 72mm) №4 - 2122406")</f>
        <v>МОЗОЛЬНЫЙ ПЛАСТЫРЬ (19mm х 72mm) №4 - 2122406</v>
      </c>
      <c r="G2092" s="1" t="str">
        <f ca="1">IFERROR(__xludf.DUMMYFUNCTION("""COMPUTED_VALUE"""),"KZ.7700.02.01.00895901 / Действительно до 01.07.2026 / 2122406 / годен до 06.2026")</f>
        <v>KZ.7700.02.01.00895901 / Действительно до 01.07.2026 / 2122406 / годен до 06.2026</v>
      </c>
      <c r="H2092" s="1" t="str">
        <f ca="1">IFERROR(__xludf.DUMMYFUNCTION("""COMPUTED_VALUE"""),"МОЗОЛЬНЫЙ ПЛАСТЫРЬ (19mm х 72mm) №4 KZ.7700.02.01.00895901 / Действительно до 01.07.2026 / 2122406 / годен до 06.2026")</f>
        <v>МОЗОЛЬНЫЙ ПЛАСТЫРЬ (19mm х 72mm) №4 KZ.7700.02.01.00895901 / Действительно до 01.07.2026 / 2122406 / годен до 06.2026</v>
      </c>
    </row>
    <row r="2093" spans="1:8" ht="12.75" x14ac:dyDescent="0.2">
      <c r="A2093" s="1" t="str">
        <f ca="1">IFERROR(__xludf.DUMMYFUNCTION("""COMPUTED_VALUE"""),"ПЛАСТЫРИ ДЛЯ ДЕТЕЙ (19mm х 72mm) №20")</f>
        <v>ПЛАСТЫРИ ДЛЯ ДЕТЕЙ (19mm х 72mm) №20</v>
      </c>
      <c r="B2093" s="1" t="str">
        <f ca="1">IFERROR(__xludf.DUMMYFUNCTION("""COMPUTED_VALUE"""),"KZ.7700.02.01.00897329")</f>
        <v>KZ.7700.02.01.00897329</v>
      </c>
      <c r="C2093" s="1" t="str">
        <f ca="1">IFERROR(__xludf.DUMMYFUNCTION("""COMPUTED_VALUE"""),"Действительно до 01.03.2027")</f>
        <v>Действительно до 01.03.2027</v>
      </c>
      <c r="D2093" s="8" t="str">
        <f ca="1">IFERROR(__xludf.DUMMYFUNCTION("""COMPUTED_VALUE"""),"2221302")</f>
        <v>2221302</v>
      </c>
      <c r="E2093" s="1" t="str">
        <f ca="1">IFERROR(__xludf.DUMMYFUNCTION("""COMPUTED_VALUE"""),"годен до 02.2027")</f>
        <v>годен до 02.2027</v>
      </c>
      <c r="F2093" s="1" t="str">
        <f ca="1">IFERROR(__xludf.DUMMYFUNCTION("""COMPUTED_VALUE"""),"ПЛАСТЫРИ ДЛЯ ДЕТЕЙ (19mm х 72mm) №20 - 2221302")</f>
        <v>ПЛАСТЫРИ ДЛЯ ДЕТЕЙ (19mm х 72mm) №20 - 2221302</v>
      </c>
      <c r="G2093" s="1" t="str">
        <f ca="1">IFERROR(__xludf.DUMMYFUNCTION("""COMPUTED_VALUE"""),"KZ.7700.02.01.00897329 / Действительно до 01.03.2027 / 2221302 / годен до 02.2027")</f>
        <v>KZ.7700.02.01.00897329 / Действительно до 01.03.2027 / 2221302 / годен до 02.2027</v>
      </c>
      <c r="H2093" s="1" t="str">
        <f ca="1">IFERROR(__xludf.DUMMYFUNCTION("""COMPUTED_VALUE"""),"ПЛАСТЫРИ ДЛЯ ДЕТЕЙ (19mm х 72mm) №20 KZ.7700.02.01.00897329 / Действительно до 01.03.2027 / 2221302 / годен до 02.2027")</f>
        <v>ПЛАСТЫРИ ДЛЯ ДЕТЕЙ (19mm х 72mm) №20 KZ.7700.02.01.00897329 / Действительно до 01.03.2027 / 2221302 / годен до 02.2027</v>
      </c>
    </row>
    <row r="2094" spans="1:8" ht="12.75" x14ac:dyDescent="0.2">
      <c r="A2094" s="1" t="str">
        <f ca="1">IFERROR(__xludf.DUMMYFUNCTION("""COMPUTED_VALUE"""),"КОМПЛЕКТ ПЛАСТЫРЕЙ НА ТКАНЕВОЙ ОСНОВЕ №20")</f>
        <v>КОМПЛЕКТ ПЛАСТЫРЕЙ НА ТКАНЕВОЙ ОСНОВЕ №20</v>
      </c>
      <c r="B2094" s="1" t="str">
        <f ca="1">IFERROR(__xludf.DUMMYFUNCTION("""COMPUTED_VALUE"""),"KZ.7700.02.01.00899156")</f>
        <v>KZ.7700.02.01.00899156</v>
      </c>
      <c r="C2094" s="1" t="str">
        <f ca="1">IFERROR(__xludf.DUMMYFUNCTION("""COMPUTED_VALUE"""),"Действительно до 01.03.2027")</f>
        <v>Действительно до 01.03.2027</v>
      </c>
      <c r="D2094" s="8" t="str">
        <f ca="1">IFERROR(__xludf.DUMMYFUNCTION("""COMPUTED_VALUE"""),"2221402")</f>
        <v>2221402</v>
      </c>
      <c r="E2094" s="1" t="str">
        <f ca="1">IFERROR(__xludf.DUMMYFUNCTION("""COMPUTED_VALUE"""),"годен до 02.2027")</f>
        <v>годен до 02.2027</v>
      </c>
      <c r="F2094" s="1" t="str">
        <f ca="1">IFERROR(__xludf.DUMMYFUNCTION("""COMPUTED_VALUE"""),"КОМПЛЕКТ ПЛАСТЫРЕЙ НА ТКАНЕВОЙ ОСНОВЕ №20 - 2221402")</f>
        <v>КОМПЛЕКТ ПЛАСТЫРЕЙ НА ТКАНЕВОЙ ОСНОВЕ №20 - 2221402</v>
      </c>
      <c r="G2094" s="1" t="str">
        <f ca="1">IFERROR(__xludf.DUMMYFUNCTION("""COMPUTED_VALUE"""),"KZ.7700.02.01.00899156 / Действительно до 01.03.2027 / 2221402 / годен до 02.2027")</f>
        <v>KZ.7700.02.01.00899156 / Действительно до 01.03.2027 / 2221402 / годен до 02.2027</v>
      </c>
      <c r="H2094" s="1" t="str">
        <f ca="1">IFERROR(__xludf.DUMMYFUNCTION("""COMPUTED_VALUE"""),"КОМПЛЕКТ ПЛАСТЫРЕЙ НА ТКАНЕВОЙ ОСНОВЕ №20 KZ.7700.02.01.00899156 / Действительно до 01.03.2027 / 2221402 / годен до 02.2027")</f>
        <v>КОМПЛЕКТ ПЛАСТЫРЕЙ НА ТКАНЕВОЙ ОСНОВЕ №20 KZ.7700.02.01.00899156 / Действительно до 01.03.2027 / 2221402 / годен до 02.2027</v>
      </c>
    </row>
    <row r="2095" spans="1:8" ht="12.75" x14ac:dyDescent="0.2">
      <c r="A2095" s="1" t="str">
        <f ca="1">IFERROR(__xludf.DUMMYFUNCTION("""COMPUTED_VALUE"""),"МЕДИЦИНСКИЙ ХЛОПЧАТОБУМАЖНЫЙ ПЛАСТЫРЬ В РУЛОНЕ (5m x 2,5cm)")</f>
        <v>МЕДИЦИНСКИЙ ХЛОПЧАТОБУМАЖНЫЙ ПЛАСТЫРЬ В РУЛОНЕ (5m x 2,5cm)</v>
      </c>
      <c r="B2095" s="1" t="str">
        <f ca="1">IFERROR(__xludf.DUMMYFUNCTION("""COMPUTED_VALUE"""),"KZ.7700.02.01.00899255")</f>
        <v>KZ.7700.02.01.00899255</v>
      </c>
      <c r="C2095" s="1" t="str">
        <f ca="1">IFERROR(__xludf.DUMMYFUNCTION("""COMPUTED_VALUE"""),"Действительно до 01.12.2026")</f>
        <v>Действительно до 01.12.2026</v>
      </c>
      <c r="D2095" s="8" t="str">
        <f ca="1">IFERROR(__xludf.DUMMYFUNCTION("""COMPUTED_VALUE"""),"21128337-3")</f>
        <v>21128337-3</v>
      </c>
      <c r="E2095" s="1" t="str">
        <f ca="1">IFERROR(__xludf.DUMMYFUNCTION("""COMPUTED_VALUE"""),"годен до 11.2026")</f>
        <v>годен до 11.2026</v>
      </c>
      <c r="F2095" s="1" t="str">
        <f ca="1">IFERROR(__xludf.DUMMYFUNCTION("""COMPUTED_VALUE"""),"МЕДИЦИНСКИЙ ХЛОПЧАТОБУМАЖНЫЙ ПЛАСТЫРЬ В РУЛОНЕ (5m x 2,5cm) - 21128337-3")</f>
        <v>МЕДИЦИНСКИЙ ХЛОПЧАТОБУМАЖНЫЙ ПЛАСТЫРЬ В РУЛОНЕ (5m x 2,5cm) - 21128337-3</v>
      </c>
      <c r="G2095" s="1" t="str">
        <f ca="1">IFERROR(__xludf.DUMMYFUNCTION("""COMPUTED_VALUE"""),"KZ.7700.02.01.00899255 / Действительно до 01.12.2026 / 21128337-3 / годен до 11.2026")</f>
        <v>KZ.7700.02.01.00899255 / Действительно до 01.12.2026 / 21128337-3 / годен до 11.2026</v>
      </c>
      <c r="H2095" s="1" t="str">
        <f ca="1">IFERROR(__xludf.DUMMYFUNCTION("""COMPUTED_VALUE"""),"МЕДИЦИНСКИЙ ХЛОПЧАТОБУМАЖНЫЙ ПЛАСТЫРЬ В РУЛОНЕ (5m x 2,5cm) KZ.7700.02.01.00899255 / Действительно до 01.12.2026 / 21128337-3 / годен до 11.2026")</f>
        <v>МЕДИЦИНСКИЙ ХЛОПЧАТОБУМАЖНЫЙ ПЛАСТЫРЬ В РУЛОНЕ (5m x 2,5cm) KZ.7700.02.01.00899255 / Действительно до 01.12.2026 / 21128337-3 / годен до 11.2026</v>
      </c>
    </row>
    <row r="2096" spans="1:8" ht="12.75" x14ac:dyDescent="0.2">
      <c r="A2096" s="1" t="str">
        <f ca="1">IFERROR(__xludf.DUMMYFUNCTION("""COMPUTED_VALUE"""),"Измеритель артериального давления Профессиональный Dr.Frei А-10")</f>
        <v>Измеритель артериального давления Профессиональный Dr.Frei А-10</v>
      </c>
      <c r="B2096" s="1" t="str">
        <f ca="1">IFERROR(__xludf.DUMMYFUNCTION("""COMPUTED_VALUE"""),"KZ.7700.02.01.00898549")</f>
        <v>KZ.7700.02.01.00898549</v>
      </c>
      <c r="C2096" s="1" t="str">
        <f ca="1">IFERROR(__xludf.DUMMYFUNCTION("""COMPUTED_VALUE"""),"Действительно до бессрочно")</f>
        <v>Действительно до бессрочно</v>
      </c>
      <c r="D2096" s="8" t="str">
        <f ca="1">IFERROR(__xludf.DUMMYFUNCTION("""COMPUTED_VALUE"""),"YTC22022")</f>
        <v>YTC22022</v>
      </c>
      <c r="E2096" s="1" t="str">
        <f ca="1">IFERROR(__xludf.DUMMYFUNCTION("""COMPUTED_VALUE"""),"без срока годности")</f>
        <v>без срока годности</v>
      </c>
      <c r="F2096" s="1" t="str">
        <f ca="1">IFERROR(__xludf.DUMMYFUNCTION("""COMPUTED_VALUE"""),"Измеритель артериального давления Профессиональный Dr.Frei А-10 - YTC22022")</f>
        <v>Измеритель артериального давления Профессиональный Dr.Frei А-10 - YTC22022</v>
      </c>
      <c r="G2096" s="1" t="str">
        <f ca="1">IFERROR(__xludf.DUMMYFUNCTION("""COMPUTED_VALUE"""),"KZ.7700.02.01.00898549 / Действительно до бессрочно / YTC22022 / без срока годности")</f>
        <v>KZ.7700.02.01.00898549 / Действительно до бессрочно / YTC22022 / без срока годности</v>
      </c>
      <c r="H2096" s="1" t="str">
        <f ca="1">IFERROR(__xludf.DUMMYFUNCTION("""COMPUTED_VALUE"""),"Измеритель артериального давления Профессиональный Dr.Frei А-10 KZ.7700.02.01.00898549 / Действительно до бессрочно / YTC22022 / без срока годности")</f>
        <v>Измеритель артериального давления Профессиональный Dr.Frei А-10 KZ.7700.02.01.00898549 / Действительно до бессрочно / YTC22022 / без срока годности</v>
      </c>
    </row>
    <row r="2097" spans="1:8" ht="12.75" x14ac:dyDescent="0.2">
      <c r="A2097" s="1" t="str">
        <f ca="1">IFERROR(__xludf.DUMMYFUNCTION("""COMPUTED_VALUE"""),"Тонометр автомат Gamma Control")</f>
        <v>Тонометр автомат Gamma Control</v>
      </c>
      <c r="B2097" s="1" t="str">
        <f ca="1">IFERROR(__xludf.DUMMYFUNCTION("""COMPUTED_VALUE"""),"KZ.7700.02.01.00898567")</f>
        <v>KZ.7700.02.01.00898567</v>
      </c>
      <c r="C2097" s="1" t="str">
        <f ca="1">IFERROR(__xludf.DUMMYFUNCTION("""COMPUTED_VALUE"""),"Действительно до бессрочно")</f>
        <v>Действительно до бессрочно</v>
      </c>
      <c r="D2097" s="8" t="str">
        <f ca="1">IFERROR(__xludf.DUMMYFUNCTION("""COMPUTED_VALUE"""),"PG20220318KM")</f>
        <v>PG20220318KM</v>
      </c>
      <c r="E2097" s="1" t="str">
        <f ca="1">IFERROR(__xludf.DUMMYFUNCTION("""COMPUTED_VALUE"""),"без срока годности")</f>
        <v>без срока годности</v>
      </c>
      <c r="F2097" s="1" t="str">
        <f ca="1">IFERROR(__xludf.DUMMYFUNCTION("""COMPUTED_VALUE"""),"Тонометр автомат Gamma Control - PG20220318KM")</f>
        <v>Тонометр автомат Gamma Control - PG20220318KM</v>
      </c>
      <c r="G2097" s="1" t="str">
        <f ca="1">IFERROR(__xludf.DUMMYFUNCTION("""COMPUTED_VALUE"""),"KZ.7700.02.01.00898567 / Действительно до бессрочно / PG20220318KM / без срока годности")</f>
        <v>KZ.7700.02.01.00898567 / Действительно до бессрочно / PG20220318KM / без срока годности</v>
      </c>
      <c r="H2097" s="1" t="str">
        <f ca="1">IFERROR(__xludf.DUMMYFUNCTION("""COMPUTED_VALUE"""),"Тонометр автомат Gamma Control KZ.7700.02.01.00898567 / Действительно до бессрочно / PG20220318KM / без срока годности")</f>
        <v>Тонометр автомат Gamma Control KZ.7700.02.01.00898567 / Действительно до бессрочно / PG20220318KM / без срока годности</v>
      </c>
    </row>
    <row r="2098" spans="1:8" ht="12.75" x14ac:dyDescent="0.2">
      <c r="A2098" s="1" t="str">
        <f ca="1">IFERROR(__xludf.DUMMYFUNCTION("""COMPUTED_VALUE"""),"Тонометр автомат Gamma Plus")</f>
        <v>Тонометр автомат Gamma Plus</v>
      </c>
      <c r="B2098" s="1" t="str">
        <f ca="1">IFERROR(__xludf.DUMMYFUNCTION("""COMPUTED_VALUE"""),"KZ.7700.02.01.00899105")</f>
        <v>KZ.7700.02.01.00899105</v>
      </c>
      <c r="C2098" s="1" t="str">
        <f ca="1">IFERROR(__xludf.DUMMYFUNCTION("""COMPUTED_VALUE"""),"Действительно до бессрочно")</f>
        <v>Действительно до бессрочно</v>
      </c>
      <c r="D2098" s="8" t="str">
        <f ca="1">IFERROR(__xludf.DUMMYFUNCTION("""COMPUTED_VALUE"""),"PG20220318KM")</f>
        <v>PG20220318KM</v>
      </c>
      <c r="E2098" s="1" t="str">
        <f ca="1">IFERROR(__xludf.DUMMYFUNCTION("""COMPUTED_VALUE"""),"без срока годности")</f>
        <v>без срока годности</v>
      </c>
      <c r="F2098" s="1" t="str">
        <f ca="1">IFERROR(__xludf.DUMMYFUNCTION("""COMPUTED_VALUE"""),"Тонометр автомат Gamma Plus - PG20220318KM")</f>
        <v>Тонометр автомат Gamma Plus - PG20220318KM</v>
      </c>
      <c r="G2098" s="1" t="str">
        <f ca="1">IFERROR(__xludf.DUMMYFUNCTION("""COMPUTED_VALUE"""),"KZ.7700.02.01.00899105 / Действительно до бессрочно / PG20220318KM / без срока годности")</f>
        <v>KZ.7700.02.01.00899105 / Действительно до бессрочно / PG20220318KM / без срока годности</v>
      </c>
      <c r="H2098" s="1" t="str">
        <f ca="1">IFERROR(__xludf.DUMMYFUNCTION("""COMPUTED_VALUE"""),"Тонометр автомат Gamma Plus KZ.7700.02.01.00899105 / Действительно до бессрочно / PG20220318KM / без срока годности")</f>
        <v>Тонометр автомат Gamma Plus KZ.7700.02.01.00899105 / Действительно до бессрочно / PG20220318KM / без срока годности</v>
      </c>
    </row>
    <row r="2099" spans="1:8" ht="12.75" x14ac:dyDescent="0.2">
      <c r="A2099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2099" s="1" t="str">
        <f ca="1">IFERROR(__xludf.DUMMYFUNCTION("""COMPUTED_VALUE"""),"KZ.7700.02.01.00898513")</f>
        <v>KZ.7700.02.01.00898513</v>
      </c>
      <c r="C2099" s="1" t="str">
        <f ca="1">IFERROR(__xludf.DUMMYFUNCTION("""COMPUTED_VALUE"""),"Действительно до 01.08.2025")</f>
        <v>Действительно до 01.08.2025</v>
      </c>
      <c r="D2099" s="8" t="str">
        <f ca="1">IFERROR(__xludf.DUMMYFUNCTION("""COMPUTED_VALUE"""),"20220711HS")</f>
        <v>20220711HS</v>
      </c>
      <c r="E2099" s="1" t="str">
        <f ca="1">IFERROR(__xludf.DUMMYFUNCTION("""COMPUTED_VALUE"""),"годен до 07.2025")</f>
        <v>годен до 07.2025</v>
      </c>
      <c r="F2099" s="1" t="str">
        <f ca="1">IFERROR(__xludf.DUMMYFUNCTION("""COMPUTED_VALUE"""),"Экспресс-Тест (полоска) на беременность 3 мм №1 - 20220711HS")</f>
        <v>Экспресс-Тест (полоска) на беременность 3 мм №1 - 20220711HS</v>
      </c>
      <c r="G2099" s="1" t="str">
        <f ca="1">IFERROR(__xludf.DUMMYFUNCTION("""COMPUTED_VALUE"""),"KZ.7700.02.01.00898513 / Действительно до 01.08.2025 / 20220711HS / годен до 07.2025")</f>
        <v>KZ.7700.02.01.00898513 / Действительно до 01.08.2025 / 20220711HS / годен до 07.2025</v>
      </c>
      <c r="H2099" s="1" t="str">
        <f ca="1">IFERROR(__xludf.DUMMYFUNCTION("""COMPUTED_VALUE"""),"Экспресс-Тест (полоска) на беременность 3 мм №1 KZ.7700.02.01.00898513 / Действительно до 01.08.2025 / 20220711HS / годен до 07.2025")</f>
        <v>Экспресс-Тест (полоска) на беременность 3 мм №1 KZ.7700.02.01.00898513 / Действительно до 01.08.2025 / 20220711HS / годен до 07.2025</v>
      </c>
    </row>
    <row r="2100" spans="1:8" ht="12.75" x14ac:dyDescent="0.2">
      <c r="A2100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2100" s="1" t="str">
        <f ca="1">IFERROR(__xludf.DUMMYFUNCTION("""COMPUTED_VALUE"""),"KZ.7700.02.01.00898383")</f>
        <v>KZ.7700.02.01.00898383</v>
      </c>
      <c r="C2100" s="1" t="str">
        <f ca="1">IFERROR(__xludf.DUMMYFUNCTION("""COMPUTED_VALUE"""),"Действительно до 01.08.2025")</f>
        <v>Действительно до 01.08.2025</v>
      </c>
      <c r="D2100" s="8" t="str">
        <f ca="1">IFERROR(__xludf.DUMMYFUNCTION("""COMPUTED_VALUE"""),"20220711HS2")</f>
        <v>20220711HS2</v>
      </c>
      <c r="E2100" s="1" t="str">
        <f ca="1">IFERROR(__xludf.DUMMYFUNCTION("""COMPUTED_VALUE"""),"годен до 07.2025")</f>
        <v>годен до 07.2025</v>
      </c>
      <c r="F2100" s="1" t="str">
        <f ca="1">IFERROR(__xludf.DUMMYFUNCTION("""COMPUTED_VALUE"""),"Экспресс-Тест (полоска) на беременность 3 мм №2 ПДВ - 20220711HS2")</f>
        <v>Экспресс-Тест (полоска) на беременность 3 мм №2 ПДВ - 20220711HS2</v>
      </c>
      <c r="G2100" s="1" t="str">
        <f ca="1">IFERROR(__xludf.DUMMYFUNCTION("""COMPUTED_VALUE"""),"KZ.7700.02.01.00898383 / Действительно до 01.08.2025 / 20220711HS2 / годен до 07.2025")</f>
        <v>KZ.7700.02.01.00898383 / Действительно до 01.08.2025 / 20220711HS2 / годен до 07.2025</v>
      </c>
      <c r="H2100" s="1" t="str">
        <f ca="1">IFERROR(__xludf.DUMMYFUNCTION("""COMPUTED_VALUE"""),"Экспресс-Тест (полоска) на беременность 3 мм №2 ПДВ KZ.7700.02.01.00898383 / Действительно до 01.08.2025 / 20220711HS2 / годен до 07.2025")</f>
        <v>Экспресс-Тест (полоска) на беременность 3 мм №2 ПДВ KZ.7700.02.01.00898383 / Действительно до 01.08.2025 / 20220711HS2 / годен до 07.2025</v>
      </c>
    </row>
    <row r="2101" spans="1:8" ht="12.75" x14ac:dyDescent="0.2">
      <c r="A2101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2101" s="1" t="str">
        <f ca="1">IFERROR(__xludf.DUMMYFUNCTION("""COMPUTED_VALUE"""),"KZ.7700.02.01.00900463")</f>
        <v>KZ.7700.02.01.00900463</v>
      </c>
      <c r="C2101" s="1" t="str">
        <f ca="1">IFERROR(__xludf.DUMMYFUNCTION("""COMPUTED_VALUE"""),"Действительно до 01.08.2025")</f>
        <v>Действительно до 01.08.2025</v>
      </c>
      <c r="D2101" s="8" t="str">
        <f ca="1">IFERROR(__xludf.DUMMYFUNCTION("""COMPUTED_VALUE"""),"20220711LS")</f>
        <v>20220711LS</v>
      </c>
      <c r="E2101" s="1" t="str">
        <f ca="1">IFERROR(__xludf.DUMMYFUNCTION("""COMPUTED_VALUE"""),"годен до 07.2025")</f>
        <v>годен до 07.2025</v>
      </c>
      <c r="F2101" s="1" t="str">
        <f ca="1">IFERROR(__xludf.DUMMYFUNCTION("""COMPUTED_VALUE"""),"Экспресс-Тест (полоска) на овуляцию №5 + 1 ПДВ - 20220711LS")</f>
        <v>Экспресс-Тест (полоска) на овуляцию №5 + 1 ПДВ - 20220711LS</v>
      </c>
      <c r="G2101" s="1" t="str">
        <f ca="1">IFERROR(__xludf.DUMMYFUNCTION("""COMPUTED_VALUE"""),"KZ.7700.02.01.00900463 / Действительно до 01.08.2025 / 20220711LS / годен до 07.2025")</f>
        <v>KZ.7700.02.01.00900463 / Действительно до 01.08.2025 / 20220711LS / годен до 07.2025</v>
      </c>
      <c r="H2101" s="1" t="str">
        <f ca="1">IFERROR(__xludf.DUMMYFUNCTION("""COMPUTED_VALUE"""),"Экспресс-Тест (полоска) на овуляцию №5 + 1 ПДВ KZ.7700.02.01.00900463 / Действительно до 01.08.2025 / 20220711LS / годен до 07.2025")</f>
        <v>Экспресс-Тест (полоска) на овуляцию №5 + 1 ПДВ KZ.7700.02.01.00900463 / Действительно до 01.08.2025 / 20220711LS / годен до 07.2025</v>
      </c>
    </row>
    <row r="2102" spans="1:8" ht="12.75" x14ac:dyDescent="0.2">
      <c r="A2102" s="1" t="str">
        <f ca="1">IFERROR(__xludf.DUMMYFUNCTION("""COMPUTED_VALUE"""),"Ингалятор компрессорный Gamma модель NEMO")</f>
        <v>Ингалятор компрессорный Gamma модель NEMO</v>
      </c>
      <c r="B2102" s="1" t="str">
        <f ca="1">IFERROR(__xludf.DUMMYFUNCTION("""COMPUTED_VALUE"""),"KZ.7700.02.01.00901129")</f>
        <v>KZ.7700.02.01.00901129</v>
      </c>
      <c r="C2102" s="1" t="str">
        <f ca="1">IFERROR(__xludf.DUMMYFUNCTION("""COMPUTED_VALUE"""),"Действительно до бессрочно")</f>
        <v>Действительно до бессрочно</v>
      </c>
      <c r="D2102" s="8" t="str">
        <f ca="1">IFERROR(__xludf.DUMMYFUNCTION("""COMPUTED_VALUE"""),"JL-MGS-0132")</f>
        <v>JL-MGS-0132</v>
      </c>
      <c r="E2102" s="1" t="str">
        <f ca="1">IFERROR(__xludf.DUMMYFUNCTION("""COMPUTED_VALUE"""),"без срока годности")</f>
        <v>без срока годности</v>
      </c>
      <c r="F2102" s="1" t="str">
        <f ca="1">IFERROR(__xludf.DUMMYFUNCTION("""COMPUTED_VALUE"""),"Ингалятор компрессорный Gamma модель NEMO - JL-MGS-0132")</f>
        <v>Ингалятор компрессорный Gamma модель NEMO - JL-MGS-0132</v>
      </c>
      <c r="G2102" s="1" t="str">
        <f ca="1">IFERROR(__xludf.DUMMYFUNCTION("""COMPUTED_VALUE"""),"KZ.7700.02.01.00901129 / Действительно до бессрочно / JL-MGS-0132 / без срока годности")</f>
        <v>KZ.7700.02.01.00901129 / Действительно до бессрочно / JL-MGS-0132 / без срока годности</v>
      </c>
      <c r="H2102" s="1" t="str">
        <f ca="1">IFERROR(__xludf.DUMMYFUNCTION("""COMPUTED_VALUE"""),"Ингалятор компрессорный Gamma модель NEMO KZ.7700.02.01.00901129 / Действительно до бессрочно / JL-MGS-0132 / без срока годности")</f>
        <v>Ингалятор компрессорный Gamma модель NEMO KZ.7700.02.01.00901129 / Действительно до бессрочно / JL-MGS-0132 / без срока годности</v>
      </c>
    </row>
    <row r="2103" spans="1:8" ht="12.75" x14ac:dyDescent="0.2">
      <c r="A2103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2103" s="1" t="str">
        <f ca="1">IFERROR(__xludf.DUMMYFUNCTION("""COMPUTED_VALUE"""),"KZ.7700.02.01.00902323")</f>
        <v>KZ.7700.02.01.00902323</v>
      </c>
      <c r="C2103" s="1" t="str">
        <f ca="1">IFERROR(__xludf.DUMMYFUNCTION("""COMPUTED_VALUE"""),"Действительно до бессрочно")</f>
        <v>Действительно до бессрочно</v>
      </c>
      <c r="D2103" s="8" t="str">
        <f ca="1">IFERROR(__xludf.DUMMYFUNCTION("""COMPUTED_VALUE"""),"JL-MGS-0132")</f>
        <v>JL-MGS-0132</v>
      </c>
      <c r="E2103" s="1" t="str">
        <f ca="1">IFERROR(__xludf.DUMMYFUNCTION("""COMPUTED_VALUE"""),"без срока годности")</f>
        <v>без срока годности</v>
      </c>
      <c r="F2103" s="1" t="str">
        <f ca="1">IFERROR(__xludf.DUMMYFUNCTION("""COMPUTED_VALUE"""),"Ингалятор компрессорный Gamma модель EFFECT NEW - JL-MGS-0132")</f>
        <v>Ингалятор компрессорный Gamma модель EFFECT NEW - JL-MGS-0132</v>
      </c>
      <c r="G2103" s="1" t="str">
        <f ca="1">IFERROR(__xludf.DUMMYFUNCTION("""COMPUTED_VALUE"""),"KZ.7700.02.01.00902323 / Действительно до бессрочно / JL-MGS-0132 / без срока годности")</f>
        <v>KZ.7700.02.01.00902323 / Действительно до бессрочно / JL-MGS-0132 / без срока годности</v>
      </c>
      <c r="H2103" s="1" t="str">
        <f ca="1">IFERROR(__xludf.DUMMYFUNCTION("""COMPUTED_VALUE"""),"Ингалятор компрессорный Gamma модель EFFECT NEW KZ.7700.02.01.00902323 / Действительно до бессрочно / JL-MGS-0132 / без срока годности")</f>
        <v>Ингалятор компрессорный Gamma модель EFFECT NEW KZ.7700.02.01.00902323 / Действительно до бессрочно / JL-MGS-0132 / без срока годности</v>
      </c>
    </row>
    <row r="2104" spans="1:8" ht="12.75" x14ac:dyDescent="0.2">
      <c r="A2104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2104" s="1" t="str">
        <f ca="1">IFERROR(__xludf.DUMMYFUNCTION("""COMPUTED_VALUE"""),"KZ.7700.02.01.00902145")</f>
        <v>KZ.7700.02.01.00902145</v>
      </c>
      <c r="C2104" s="1" t="str">
        <f ca="1">IFERROR(__xludf.DUMMYFUNCTION("""COMPUTED_VALUE"""),"Действительно до бессрочно")</f>
        <v>Действительно до бессрочно</v>
      </c>
      <c r="D2104" s="8" t="str">
        <f ca="1">IFERROR(__xludf.DUMMYFUNCTION("""COMPUTED_VALUE"""),"YTC22022")</f>
        <v>YTC22022</v>
      </c>
      <c r="E2104" s="1" t="str">
        <f ca="1">IFERROR(__xludf.DUMMYFUNCTION("""COMPUTED_VALUE"""),"без срока годности")</f>
        <v>без срока годности</v>
      </c>
      <c r="F2104" s="1" t="str">
        <f ca="1">IFERROR(__xludf.DUMMYFUNCTION("""COMPUTED_VALUE"""),"Измеритель артериального давления Классик Dr.Frei А-20 - YTC22022")</f>
        <v>Измеритель артериального давления Классик Dr.Frei А-20 - YTC22022</v>
      </c>
      <c r="G2104" s="1" t="str">
        <f ca="1">IFERROR(__xludf.DUMMYFUNCTION("""COMPUTED_VALUE"""),"KZ.7700.02.01.00902145 / Действительно до бессрочно / YTC22022 / без срока годности")</f>
        <v>KZ.7700.02.01.00902145 / Действительно до бессрочно / YTC22022 / без срока годности</v>
      </c>
      <c r="H2104" s="1" t="str">
        <f ca="1">IFERROR(__xludf.DUMMYFUNCTION("""COMPUTED_VALUE"""),"Измеритель артериального давления Классик Dr.Frei А-20 KZ.7700.02.01.00902145 / Действительно до бессрочно / YTC22022 / без срока годности")</f>
        <v>Измеритель артериального давления Классик Dr.Frei А-20 KZ.7700.02.01.00902145 / Действительно до бессрочно / YTC22022 / без срока годности</v>
      </c>
    </row>
    <row r="2105" spans="1:8" ht="12.75" x14ac:dyDescent="0.2">
      <c r="A2105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2105" s="1" t="str">
        <f ca="1">IFERROR(__xludf.DUMMYFUNCTION("""COMPUTED_VALUE"""),"KZ.7700.02.01.00902165")</f>
        <v>KZ.7700.02.01.00902165</v>
      </c>
      <c r="C2105" s="1" t="str">
        <f ca="1">IFERROR(__xludf.DUMMYFUNCTION("""COMPUTED_VALUE"""),"Действительно до бессрочно")</f>
        <v>Действительно до бессрочно</v>
      </c>
      <c r="D2105" s="8" t="str">
        <f ca="1">IFERROR(__xludf.DUMMYFUNCTION("""COMPUTED_VALUE"""),"YTC22022")</f>
        <v>YTC22022</v>
      </c>
      <c r="E2105" s="1" t="str">
        <f ca="1">IFERROR(__xludf.DUMMYFUNCTION("""COMPUTED_VALUE"""),"без срока годности")</f>
        <v>без срока годности</v>
      </c>
      <c r="F2105" s="1" t="str">
        <f ca="1">IFERROR(__xludf.DUMMYFUNCTION("""COMPUTED_VALUE"""),"Измеритель артериального давления Premium Dr.Frei А-30 - YTC22022")</f>
        <v>Измеритель артериального давления Premium Dr.Frei А-30 - YTC22022</v>
      </c>
      <c r="G2105" s="1" t="str">
        <f ca="1">IFERROR(__xludf.DUMMYFUNCTION("""COMPUTED_VALUE"""),"KZ.7700.02.01.00902165 / Действительно до бессрочно / YTC22022 / без срока годности")</f>
        <v>KZ.7700.02.01.00902165 / Действительно до бессрочно / YTC22022 / без срока годности</v>
      </c>
      <c r="H2105" s="1" t="str">
        <f ca="1">IFERROR(__xludf.DUMMYFUNCTION("""COMPUTED_VALUE"""),"Измеритель артериального давления Premium Dr.Frei А-30 KZ.7700.02.01.00902165 / Действительно до бессрочно / YTC22022 / без срока годности")</f>
        <v>Измеритель артериального давления Premium Dr.Frei А-30 KZ.7700.02.01.00902165 / Действительно до бессрочно / YTC22022 / без срока годности</v>
      </c>
    </row>
    <row r="2106" spans="1:8" ht="12.75" x14ac:dyDescent="0.2">
      <c r="A2106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2106" s="1" t="str">
        <f ca="1">IFERROR(__xludf.DUMMYFUNCTION("""COMPUTED_VALUE"""),"KZ.7700.02.01.00901941")</f>
        <v>KZ.7700.02.01.00901941</v>
      </c>
      <c r="C2106" s="1" t="str">
        <f ca="1">IFERROR(__xludf.DUMMYFUNCTION("""COMPUTED_VALUE"""),"Действительно до бессрочно")</f>
        <v>Действительно до бессрочно</v>
      </c>
      <c r="D2106" s="8" t="str">
        <f ca="1">IFERROR(__xludf.DUMMYFUNCTION("""COMPUTED_VALUE"""),"YTC22022")</f>
        <v>YTC22022</v>
      </c>
      <c r="E2106" s="1" t="str">
        <f ca="1">IFERROR(__xludf.DUMMYFUNCTION("""COMPUTED_VALUE"""),"без срока годности")</f>
        <v>без срока годности</v>
      </c>
      <c r="F2106" s="1" t="str">
        <f ca="1">IFERROR(__xludf.DUMMYFUNCTION("""COMPUTED_VALUE"""),"Измеритель артериального давления Комфорт Dr.Frei А-40 - YTC22022")</f>
        <v>Измеритель артериального давления Комфорт Dr.Frei А-40 - YTC22022</v>
      </c>
      <c r="G2106" s="1" t="str">
        <f ca="1">IFERROR(__xludf.DUMMYFUNCTION("""COMPUTED_VALUE"""),"KZ.7700.02.01.00901941 / Действительно до бессрочно / YTC22022 / без срока годности")</f>
        <v>KZ.7700.02.01.00901941 / Действительно до бессрочно / YTC22022 / без срока годности</v>
      </c>
      <c r="H2106" s="1" t="str">
        <f ca="1">IFERROR(__xludf.DUMMYFUNCTION("""COMPUTED_VALUE"""),"Измеритель артериального давления Комфорт Dr.Frei А-40 KZ.7700.02.01.00901941 / Действительно до бессрочно / YTC22022 / без срока годности")</f>
        <v>Измеритель артериального давления Комфорт Dr.Frei А-40 KZ.7700.02.01.00901941 / Действительно до бессрочно / YTC22022 / без срока годности</v>
      </c>
    </row>
    <row r="2107" spans="1:8" ht="12.75" x14ac:dyDescent="0.2">
      <c r="A2107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2107" s="1" t="str">
        <f ca="1">IFERROR(__xludf.DUMMYFUNCTION("""COMPUTED_VALUE"""),"KZ.7700.02.01.00906619")</f>
        <v>KZ.7700.02.01.00906619</v>
      </c>
      <c r="C2107" s="1" t="str">
        <f ca="1">IFERROR(__xludf.DUMMYFUNCTION("""COMPUTED_VALUE"""),"Действительно до бессрочно")</f>
        <v>Действительно до бессрочно</v>
      </c>
      <c r="D2107" s="8" t="str">
        <f ca="1">IFERROR(__xludf.DUMMYFUNCTION("""COMPUTED_VALUE"""),"PG20220630KM")</f>
        <v>PG20220630KM</v>
      </c>
      <c r="E2107" s="1" t="str">
        <f ca="1">IFERROR(__xludf.DUMMYFUNCTION("""COMPUTED_VALUE"""),"без срока годности")</f>
        <v>без срока годности</v>
      </c>
      <c r="F2107" s="1" t="str">
        <f ca="1">IFERROR(__xludf.DUMMYFUNCTION("""COMPUTED_VALUE"""),"Автоматический измеритель артериального давления ТМ DR.FREI МОДЕЛЬ M-100A - PG20220630KM")</f>
        <v>Автоматический измеритель артериального давления ТМ DR.FREI МОДЕЛЬ M-100A - PG20220630KM</v>
      </c>
      <c r="G2107" s="1" t="str">
        <f ca="1">IFERROR(__xludf.DUMMYFUNCTION("""COMPUTED_VALUE"""),"KZ.7700.02.01.00906619 / Действительно до бессрочно / PG20220630KM / без срока годности")</f>
        <v>KZ.7700.02.01.00906619 / Действительно до бессрочно / PG20220630KM / без срока годности</v>
      </c>
      <c r="H2107" s="1" t="str">
        <f ca="1">IFERROR(__xludf.DUMMYFUNCTION("""COMPUTED_VALUE"""),"Автоматический измеритель артериального давления ТМ DR.FREI МОДЕЛЬ M-100A KZ.7700.02.01.00906619 / Действительно до бессрочно / PG20220630KM / без срока годности")</f>
        <v>Автоматический измеритель артериального давления ТМ DR.FREI МОДЕЛЬ M-100A KZ.7700.02.01.00906619 / Действительно до бессрочно / PG20220630KM / без срока годности</v>
      </c>
    </row>
    <row r="2108" spans="1:8" ht="12.75" x14ac:dyDescent="0.2">
      <c r="A2108" s="1" t="str">
        <f ca="1">IFERROR(__xludf.DUMMYFUNCTION("""COMPUTED_VALUE"""),"Тонометр автомат Gamma Plus")</f>
        <v>Тонометр автомат Gamma Plus</v>
      </c>
      <c r="B2108" s="1" t="str">
        <f ca="1">IFERROR(__xludf.DUMMYFUNCTION("""COMPUTED_VALUE"""),"KZ.7700.02.01.00906093")</f>
        <v>KZ.7700.02.01.00906093</v>
      </c>
      <c r="C2108" s="1" t="str">
        <f ca="1">IFERROR(__xludf.DUMMYFUNCTION("""COMPUTED_VALUE"""),"Действительно до бессрочно")</f>
        <v>Действительно до бессрочно</v>
      </c>
      <c r="D2108" s="8" t="str">
        <f ca="1">IFERROR(__xludf.DUMMYFUNCTION("""COMPUTED_VALUE"""),"PG20220630KM")</f>
        <v>PG20220630KM</v>
      </c>
      <c r="E2108" s="1" t="str">
        <f ca="1">IFERROR(__xludf.DUMMYFUNCTION("""COMPUTED_VALUE"""),"без срока годности")</f>
        <v>без срока годности</v>
      </c>
      <c r="F2108" s="1" t="str">
        <f ca="1">IFERROR(__xludf.DUMMYFUNCTION("""COMPUTED_VALUE"""),"Тонометр автомат Gamma Plus - PG20220630KM")</f>
        <v>Тонометр автомат Gamma Plus - PG20220630KM</v>
      </c>
      <c r="G2108" s="1" t="str">
        <f ca="1">IFERROR(__xludf.DUMMYFUNCTION("""COMPUTED_VALUE"""),"KZ.7700.02.01.00906093 / Действительно до бессрочно / PG20220630KM / без срока годности")</f>
        <v>KZ.7700.02.01.00906093 / Действительно до бессрочно / PG20220630KM / без срока годности</v>
      </c>
      <c r="H2108" s="1" t="str">
        <f ca="1">IFERROR(__xludf.DUMMYFUNCTION("""COMPUTED_VALUE"""),"Тонометр автомат Gamma Plus KZ.7700.02.01.00906093 / Действительно до бессрочно / PG20220630KM / без срока годности")</f>
        <v>Тонометр автомат Gamma Plus KZ.7700.02.01.00906093 / Действительно до бессрочно / PG20220630KM / без срока годности</v>
      </c>
    </row>
    <row r="2109" spans="1:8" ht="12.75" x14ac:dyDescent="0.2">
      <c r="A2109" s="1" t="str">
        <f ca="1">IFERROR(__xludf.DUMMYFUNCTION("""COMPUTED_VALUE"""),"Тонометр автомат Gamma Smart")</f>
        <v>Тонометр автомат Gamma Smart</v>
      </c>
      <c r="B2109" s="1" t="str">
        <f ca="1">IFERROR(__xludf.DUMMYFUNCTION("""COMPUTED_VALUE"""),"KZ.7700.02.01.00906272")</f>
        <v>KZ.7700.02.01.00906272</v>
      </c>
      <c r="C2109" s="1" t="str">
        <f ca="1">IFERROR(__xludf.DUMMYFUNCTION("""COMPUTED_VALUE"""),"Действительно до бессрочно")</f>
        <v>Действительно до бессрочно</v>
      </c>
      <c r="D2109" s="8" t="str">
        <f ca="1">IFERROR(__xludf.DUMMYFUNCTION("""COMPUTED_VALUE"""),"PG20220630KM")</f>
        <v>PG20220630KM</v>
      </c>
      <c r="E2109" s="1" t="str">
        <f ca="1">IFERROR(__xludf.DUMMYFUNCTION("""COMPUTED_VALUE"""),"без срока годности")</f>
        <v>без срока годности</v>
      </c>
      <c r="F2109" s="1" t="str">
        <f ca="1">IFERROR(__xludf.DUMMYFUNCTION("""COMPUTED_VALUE"""),"Тонометр автомат Gamma Smart - PG20220630KM")</f>
        <v>Тонометр автомат Gamma Smart - PG20220630KM</v>
      </c>
      <c r="G2109" s="1" t="str">
        <f ca="1">IFERROR(__xludf.DUMMYFUNCTION("""COMPUTED_VALUE"""),"KZ.7700.02.01.00906272 / Действительно до бессрочно / PG20220630KM / без срока годности")</f>
        <v>KZ.7700.02.01.00906272 / Действительно до бессрочно / PG20220630KM / без срока годности</v>
      </c>
      <c r="H2109" s="1" t="str">
        <f ca="1">IFERROR(__xludf.DUMMYFUNCTION("""COMPUTED_VALUE"""),"Тонометр автомат Gamma Smart KZ.7700.02.01.00906272 / Действительно до бессрочно / PG20220630KM / без срока годности")</f>
        <v>Тонометр автомат Gamma Smart KZ.7700.02.01.00906272 / Действительно до бессрочно / PG20220630KM / без срока годности</v>
      </c>
    </row>
    <row r="2110" spans="1:8" ht="12.75" x14ac:dyDescent="0.2">
      <c r="A2110" s="1" t="str">
        <f ca="1">IFERROR(__xludf.DUMMYFUNCTION("""COMPUTED_VALUE"""),"Тест-полоски для контроля уровня глюкозы в крови Bionime Rightest GS 550 № 50")</f>
        <v>Тест-полоски для контроля уровня глюкозы в крови Bionime Rightest GS 550 № 50</v>
      </c>
      <c r="B2110" s="1" t="str">
        <f ca="1">IFERROR(__xludf.DUMMYFUNCTION("""COMPUTED_VALUE"""),"KZ.7700.02.01.00906076")</f>
        <v>KZ.7700.02.01.00906076</v>
      </c>
      <c r="C2110" s="1" t="str">
        <f ca="1">IFERROR(__xludf.DUMMYFUNCTION("""COMPUTED_VALUE"""),"Действительно до бессрочно")</f>
        <v>Действительно до бессрочно</v>
      </c>
      <c r="D2110" s="8" t="str">
        <f ca="1">IFERROR(__xludf.DUMMYFUNCTION("""COMPUTED_VALUE"""),"212272704")</f>
        <v>212272704</v>
      </c>
      <c r="E2110" s="1" t="str">
        <f ca="1">IFERROR(__xludf.DUMMYFUNCTION("""COMPUTED_VALUE"""),"годен до 27.07.2024")</f>
        <v>годен до 27.07.2024</v>
      </c>
      <c r="F2110" s="1" t="str">
        <f ca="1">IFERROR(__xludf.DUMMYFUNCTION("""COMPUTED_VALUE"""),"Тест-полоски для контроля уровня глюкозы в крови Bionime Rightest GS 550 № 50 - 212272704")</f>
        <v>Тест-полоски для контроля уровня глюкозы в крови Bionime Rightest GS 550 № 50 - 212272704</v>
      </c>
      <c r="G2110" s="1" t="str">
        <f ca="1">IFERROR(__xludf.DUMMYFUNCTION("""COMPUTED_VALUE"""),"KZ.7700.02.01.00906076 / Действительно до бессрочно / 212272704 / годен до 27.07.2024")</f>
        <v>KZ.7700.02.01.00906076 / Действительно до бессрочно / 212272704 / годен до 27.07.2024</v>
      </c>
      <c r="H2110" s="1" t="str">
        <f ca="1">IFERROR(__xludf.DUMMYFUNCTION("""COMPUTED_VALUE"""),"Тест-полоски для контроля уровня глюкозы в крови Bionime Rightest GS 550 № 50 KZ.7700.02.01.00906076 / Действительно до бессрочно / 212272704 / годен до 27.07.2024")</f>
        <v>Тест-полоски для контроля уровня глюкозы в крови Bionime Rightest GS 550 № 50 KZ.7700.02.01.00906076 / Действительно до бессрочно / 212272704 / годен до 27.07.2024</v>
      </c>
    </row>
    <row r="2111" spans="1:8" ht="12.75" x14ac:dyDescent="0.2">
      <c r="A2111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2111" s="1" t="str">
        <f ca="1">IFERROR(__xludf.DUMMYFUNCTION("""COMPUTED_VALUE"""),"KZ.7700.02.01.00903555")</f>
        <v>KZ.7700.02.01.00903555</v>
      </c>
      <c r="C2111" s="1" t="str">
        <f ca="1">IFERROR(__xludf.DUMMYFUNCTION("""COMPUTED_VALUE"""),"Действительно до 01.08.2025")</f>
        <v>Действительно до 01.08.2025</v>
      </c>
      <c r="D2111" s="8" t="str">
        <f ca="1">IFERROR(__xludf.DUMMYFUNCTION("""COMPUTED_VALUE"""),"20220711HM")</f>
        <v>20220711HM</v>
      </c>
      <c r="E2111" s="1" t="str">
        <f ca="1">IFERROR(__xludf.DUMMYFUNCTION("""COMPUTED_VALUE"""),"годен до 07.2025")</f>
        <v>годен до 07.2025</v>
      </c>
      <c r="F2111" s="1" t="str">
        <f ca="1">IFERROR(__xludf.DUMMYFUNCTION("""COMPUTED_VALUE"""),"Экспресс-Тест (струйный) на беременность - 20220711HM")</f>
        <v>Экспресс-Тест (струйный) на беременность - 20220711HM</v>
      </c>
      <c r="G2111" s="1" t="str">
        <f ca="1">IFERROR(__xludf.DUMMYFUNCTION("""COMPUTED_VALUE"""),"KZ.7700.02.01.00903555 / Действительно до 01.08.2025 / 20220711HM / годен до 07.2025")</f>
        <v>KZ.7700.02.01.00903555 / Действительно до 01.08.2025 / 20220711HM / годен до 07.2025</v>
      </c>
      <c r="H2111" s="1" t="str">
        <f ca="1">IFERROR(__xludf.DUMMYFUNCTION("""COMPUTED_VALUE"""),"Экспресс-Тест (струйный) на беременность KZ.7700.02.01.00903555 / Действительно до 01.08.2025 / 20220711HM / годен до 07.2025")</f>
        <v>Экспресс-Тест (струйный) на беременность KZ.7700.02.01.00903555 / Действительно до 01.08.2025 / 20220711HM / годен до 07.2025</v>
      </c>
    </row>
    <row r="2112" spans="1:8" ht="12.75" x14ac:dyDescent="0.2">
      <c r="A2112" s="1" t="str">
        <f ca="1">IFERROR(__xludf.DUMMYFUNCTION("""COMPUTED_VALUE"""),"Зубная паста-гель торговой марки DENTISSIMO: Для беременных женщин и молодых мам")</f>
        <v>Зубная паста-гель торговой марки DENTISSIMO: Для беременных женщин и молодых мам</v>
      </c>
      <c r="B2112" s="1" t="str">
        <f ca="1">IFERROR(__xludf.DUMMYFUNCTION("""COMPUTED_VALUE"""),"KZ.7500995.13.12.04941")</f>
        <v>KZ.7500995.13.12.04941</v>
      </c>
      <c r="C2112" s="1" t="str">
        <f ca="1">IFERROR(__xludf.DUMMYFUNCTION("""COMPUTED_VALUE"""),"Действительно до 01.06.2023")</f>
        <v>Действительно до 01.06.2023</v>
      </c>
      <c r="D2112" s="8" t="str">
        <f ca="1">IFERROR(__xludf.DUMMYFUNCTION("""COMPUTED_VALUE"""),"08-2023")</f>
        <v>08-2023</v>
      </c>
      <c r="E2112" s="1" t="str">
        <f ca="1">IFERROR(__xludf.DUMMYFUNCTION("""COMPUTED_VALUE"""),"годен до 01.08.2023")</f>
        <v>годен до 01.08.2023</v>
      </c>
      <c r="F2112" s="1" t="str">
        <f ca="1">IFERROR(__xludf.DUMMYFUNCTION("""COMPUTED_VALUE"""),"Зубная паста-гель торговой марки DENTISSIMO: Для беременных женщин и молодых мам - 08-2023")</f>
        <v>Зубная паста-гель торговой марки DENTISSIMO: Для беременных женщин и молодых мам - 08-2023</v>
      </c>
      <c r="G2112" s="1" t="str">
        <f ca="1">IFERROR(__xludf.DUMMYFUNCTION("""COMPUTED_VALUE"""),"KZ.7500995.13.12.04941 / Действительно до 01.06.2023 / 08-2023 / годен до 01.08.2023")</f>
        <v>KZ.7500995.13.12.04941 / Действительно до 01.06.2023 / 08-2023 / годен до 01.08.2023</v>
      </c>
      <c r="H2112" s="1" t="str">
        <f ca="1">IFERROR(__xludf.DUMMYFUNCTION("""COMPUTED_VALUE"""),"Зубная паста-гель торговой марки DENTISSIMO: Для беременных женщин и молодых мам KZ.7500995.13.12.04941 / Действительно до 01.06.2023 / 08-2023 / годен до 01.08.2023")</f>
        <v>Зубная паста-гель торговой марки DENTISSIMO: Для беременных женщин и молодых мам KZ.7500995.13.12.04941 / Действительно до 01.06.2023 / 08-2023 / годен до 01.08.2023</v>
      </c>
    </row>
    <row r="2113" spans="1:8" ht="12.75" x14ac:dyDescent="0.2">
      <c r="A2113" s="1" t="str">
        <f ca="1">IFERROR(__xludf.DUMMYFUNCTION("""COMPUTED_VALUE"""),"Ополаскиватель для полости рта DENTISSIMO GUM PROTECTION/Защита десен")</f>
        <v>Ополаскиватель для полости рта DENTISSIMO GUM PROTECTION/Защита десен</v>
      </c>
      <c r="B2113" s="1" t="str">
        <f ca="1">IFERROR(__xludf.DUMMYFUNCTION("""COMPUTED_VALUE"""),"KZ.7500995.13.12.04941")</f>
        <v>KZ.7500995.13.12.04941</v>
      </c>
      <c r="C2113" s="1" t="str">
        <f ca="1">IFERROR(__xludf.DUMMYFUNCTION("""COMPUTED_VALUE"""),"Действительно до 01.06.2023")</f>
        <v>Действительно до 01.06.2023</v>
      </c>
      <c r="D2113" s="8" t="str">
        <f ca="1">IFERROR(__xludf.DUMMYFUNCTION("""COMPUTED_VALUE"""),"07-2023")</f>
        <v>07-2023</v>
      </c>
      <c r="E2113" s="1" t="str">
        <f ca="1">IFERROR(__xludf.DUMMYFUNCTION("""COMPUTED_VALUE"""),"годен до 01.07.2023")</f>
        <v>годен до 01.07.2023</v>
      </c>
      <c r="F2113" s="1" t="str">
        <f ca="1">IFERROR(__xludf.DUMMYFUNCTION("""COMPUTED_VALUE"""),"Ополаскиватель для полости рта DENTISSIMO GUM PROTECTION/Защита десен - 07-2023")</f>
        <v>Ополаскиватель для полости рта DENTISSIMO GUM PROTECTION/Защита десен - 07-2023</v>
      </c>
      <c r="G2113" s="1" t="str">
        <f ca="1">IFERROR(__xludf.DUMMYFUNCTION("""COMPUTED_VALUE"""),"KZ.7500995.13.12.04941 / Действительно до 01.06.2023 / 07-2023 / годен до 01.07.2023")</f>
        <v>KZ.7500995.13.12.04941 / Действительно до 01.06.2023 / 07-2023 / годен до 01.07.2023</v>
      </c>
      <c r="H2113" s="1" t="str">
        <f ca="1">IFERROR(__xludf.DUMMYFUNCTION("""COMPUTED_VALUE"""),"Ополаскиватель для полости рта DENTISSIMO GUM PROTECTION/Защита десен KZ.7500995.13.12.04941 / Действительно до 01.06.2023 / 07-2023 / годен до 01.07.2023")</f>
        <v>Ополаскиватель для полости рта DENTISSIMO GUM PROTECTION/Защита десен KZ.7500995.13.12.04941 / Действительно до 01.06.2023 / 07-2023 / годен до 01.07.2023</v>
      </c>
    </row>
    <row r="2114" spans="1:8" ht="12.75" x14ac:dyDescent="0.2">
      <c r="A2114" s="1" t="str">
        <f ca="1">IFERROR(__xludf.DUMMYFUNCTION("""COMPUTED_VALUE"""),"Ополаскиватель для полости рта DENTISSIMO FRESH BREATH/Свежее дыхание")</f>
        <v>Ополаскиватель для полости рта DENTISSIMO FRESH BREATH/Свежее дыхание</v>
      </c>
      <c r="B2114" s="1" t="str">
        <f ca="1">IFERROR(__xludf.DUMMYFUNCTION("""COMPUTED_VALUE"""),"KZ.7500995.13.12.04941")</f>
        <v>KZ.7500995.13.12.04941</v>
      </c>
      <c r="C2114" s="1" t="str">
        <f ca="1">IFERROR(__xludf.DUMMYFUNCTION("""COMPUTED_VALUE"""),"Действительно до 01.06.2023")</f>
        <v>Действительно до 01.06.2023</v>
      </c>
      <c r="D2114" s="8" t="str">
        <f ca="1">IFERROR(__xludf.DUMMYFUNCTION("""COMPUTED_VALUE"""),"06-2023")</f>
        <v>06-2023</v>
      </c>
      <c r="E2114" s="1" t="str">
        <f ca="1">IFERROR(__xludf.DUMMYFUNCTION("""COMPUTED_VALUE"""),"годен до 01.06.2023")</f>
        <v>годен до 01.06.2023</v>
      </c>
      <c r="F2114" s="1" t="str">
        <f ca="1">IFERROR(__xludf.DUMMYFUNCTION("""COMPUTED_VALUE"""),"Ополаскиватель для полости рта DENTISSIMO FRESH BREATH/Свежее дыхание - 06-2023")</f>
        <v>Ополаскиватель для полости рта DENTISSIMO FRESH BREATH/Свежее дыхание - 06-2023</v>
      </c>
      <c r="G2114" s="1" t="str">
        <f ca="1">IFERROR(__xludf.DUMMYFUNCTION("""COMPUTED_VALUE"""),"KZ.7500995.13.12.04941 / Действительно до 01.06.2023 / 06-2023 / годен до 01.06.2023")</f>
        <v>KZ.7500995.13.12.04941 / Действительно до 01.06.2023 / 06-2023 / годен до 01.06.2023</v>
      </c>
      <c r="H2114" s="1" t="str">
        <f ca="1">IFERROR(__xludf.DUMMYFUNCTION("""COMPUTED_VALUE"""),"Ополаскиватель для полости рта DENTISSIMO FRESH BREATH/Свежее дыхание KZ.7500995.13.12.04941 / Действительно до 01.06.2023 / 06-2023 / годен до 01.06.2023")</f>
        <v>Ополаскиватель для полости рта DENTISSIMO FRESH BREATH/Свежее дыхание KZ.7500995.13.12.04941 / Действительно до 01.06.2023 / 06-2023 / годен до 01.06.2023</v>
      </c>
    </row>
    <row r="2115" spans="1:8" ht="12.75" x14ac:dyDescent="0.2">
      <c r="A2115" s="1" t="str">
        <f ca="1">IFERROR(__xludf.DUMMYFUNCTION("""COMPUTED_VALUE"""),"Бандаж на шейный отдел позвоночника мягкой фиксацией 1001 I(S) (Болгария)")</f>
        <v>Бандаж на шейный отдел позвоночника мягкой фиксацией 1001 I(S) (Болгария)</v>
      </c>
      <c r="B2115" s="1" t="str">
        <f ca="1">IFERROR(__xludf.DUMMYFUNCTION("""COMPUTED_VALUE"""),"KZ.7700.02.01.00922795")</f>
        <v>KZ.7700.02.01.00922795</v>
      </c>
      <c r="C2115" s="1" t="str">
        <f ca="1">IFERROR(__xludf.DUMMYFUNCTION("""COMPUTED_VALUE"""),"Действительно до 07.09.2027")</f>
        <v>Действительно до 07.09.2027</v>
      </c>
      <c r="D2115" s="8" t="str">
        <f ca="1">IFERROR(__xludf.DUMMYFUNCTION("""COMPUTED_VALUE"""),"0922026KZ026")</f>
        <v>0922026KZ026</v>
      </c>
      <c r="E2115" s="1" t="str">
        <f ca="1">IFERROR(__xludf.DUMMYFUNCTION("""COMPUTED_VALUE"""),"годен до 07.09.2027")</f>
        <v>годен до 07.09.2027</v>
      </c>
      <c r="F2115" s="1" t="str">
        <f ca="1">IFERROR(__xludf.DUMMYFUNCTION("""COMPUTED_VALUE"""),"Бандаж на шейный отдел позвоночника мягкой фиксацией 1001 I(S) (Болгария) - 0922026KZ026")</f>
        <v>Бандаж на шейный отдел позвоночника мягкой фиксацией 1001 I(S) (Болгария) - 0922026KZ026</v>
      </c>
      <c r="G2115" s="1" t="str">
        <f ca="1">IFERROR(__xludf.DUMMYFUNCTION("""COMPUTED_VALUE"""),"KZ.7700.02.01.00922795 / Действительно до 07.09.2027 / 0922026KZ026 / годен до 07.09.2027")</f>
        <v>KZ.7700.02.01.00922795 / Действительно до 07.09.2027 / 0922026KZ026 / годен до 07.09.2027</v>
      </c>
      <c r="H2115" s="1" t="str">
        <f ca="1">IFERROR(__xludf.DUMMYFUNCTION("""COMPUTED_VALUE"""),"Бандаж на шейный отдел позвоночника мягкой фиксацией 1001 I(S) (Болгария) KZ.7700.02.01.00922795 / Действительно до 07.09.2027 / 0922026KZ026 / годен до 07.09.2027")</f>
        <v>Бандаж на шейный отдел позвоночника мягкой фиксацией 1001 I(S) (Болгария) KZ.7700.02.01.00922795 / Действительно до 07.09.2027 / 0922026KZ026 / годен до 07.09.2027</v>
      </c>
    </row>
    <row r="2116" spans="1:8" ht="12.75" x14ac:dyDescent="0.2">
      <c r="A2116" s="1" t="str">
        <f ca="1">IFERROR(__xludf.DUMMYFUNCTION("""COMPUTED_VALUE"""),"Бандаж на шейный отдел позвоночника мягкой фиксацией 1001 II(M) (Болгария)")</f>
        <v>Бандаж на шейный отдел позвоночника мягкой фиксацией 1001 II(M) (Болгария)</v>
      </c>
      <c r="B2116" s="1" t="str">
        <f ca="1">IFERROR(__xludf.DUMMYFUNCTION("""COMPUTED_VALUE"""),"KZ.7700.02.01.00922795")</f>
        <v>KZ.7700.02.01.00922795</v>
      </c>
      <c r="C2116" s="1" t="str">
        <f ca="1">IFERROR(__xludf.DUMMYFUNCTION("""COMPUTED_VALUE"""),"Действительно до 07.09.2027")</f>
        <v>Действительно до 07.09.2027</v>
      </c>
      <c r="D2116" s="8" t="str">
        <f ca="1">IFERROR(__xludf.DUMMYFUNCTION("""COMPUTED_VALUE"""),"0922026KZ026")</f>
        <v>0922026KZ026</v>
      </c>
      <c r="E2116" s="1" t="str">
        <f ca="1">IFERROR(__xludf.DUMMYFUNCTION("""COMPUTED_VALUE"""),"годен до 07.09.2027")</f>
        <v>годен до 07.09.2027</v>
      </c>
      <c r="F2116" s="1" t="str">
        <f ca="1">IFERROR(__xludf.DUMMYFUNCTION("""COMPUTED_VALUE"""),"Бандаж на шейный отдел позвоночника мягкой фиксацией 1001 II(M) (Болгария) - 0922026KZ026")</f>
        <v>Бандаж на шейный отдел позвоночника мягкой фиксацией 1001 II(M) (Болгария) - 0922026KZ026</v>
      </c>
      <c r="G2116" s="1" t="str">
        <f ca="1">IFERROR(__xludf.DUMMYFUNCTION("""COMPUTED_VALUE"""),"KZ.7700.02.01.00922795 / Действительно до 07.09.2027 / 0922026KZ026 / годен до 07.09.2027")</f>
        <v>KZ.7700.02.01.00922795 / Действительно до 07.09.2027 / 0922026KZ026 / годен до 07.09.2027</v>
      </c>
      <c r="H2116" s="1" t="str">
        <f ca="1">IFERROR(__xludf.DUMMYFUNCTION("""COMPUTED_VALUE"""),"Бандаж на шейный отдел позвоночника мягкой фиксацией 1001 II(M) (Болгария) KZ.7700.02.01.00922795 / Действительно до 07.09.2027 / 0922026KZ026 / годен до 07.09.2027")</f>
        <v>Бандаж на шейный отдел позвоночника мягкой фиксацией 1001 II(M) (Болгария) KZ.7700.02.01.00922795 / Действительно до 07.09.2027 / 0922026KZ026 / годен до 07.09.2027</v>
      </c>
    </row>
    <row r="2117" spans="1:8" ht="12.75" x14ac:dyDescent="0.2">
      <c r="A2117" s="1" t="str">
        <f ca="1">IFERROR(__xludf.DUMMYFUNCTION("""COMPUTED_VALUE"""),"Бандаж на шейный отдел позвоночника мягкой фиксацией 1001 III(L) (Болгария)")</f>
        <v>Бандаж на шейный отдел позвоночника мягкой фиксацией 1001 III(L) (Болгария)</v>
      </c>
      <c r="B2117" s="1" t="str">
        <f ca="1">IFERROR(__xludf.DUMMYFUNCTION("""COMPUTED_VALUE"""),"KZ.7700.02.01.00922795")</f>
        <v>KZ.7700.02.01.00922795</v>
      </c>
      <c r="C2117" s="1" t="str">
        <f ca="1">IFERROR(__xludf.DUMMYFUNCTION("""COMPUTED_VALUE"""),"Действительно до 07.09.2027")</f>
        <v>Действительно до 07.09.2027</v>
      </c>
      <c r="D2117" s="8" t="str">
        <f ca="1">IFERROR(__xludf.DUMMYFUNCTION("""COMPUTED_VALUE"""),"0922026KZ026")</f>
        <v>0922026KZ026</v>
      </c>
      <c r="E2117" s="1" t="str">
        <f ca="1">IFERROR(__xludf.DUMMYFUNCTION("""COMPUTED_VALUE"""),"годен до 07.09.2027")</f>
        <v>годен до 07.09.2027</v>
      </c>
      <c r="F2117" s="1" t="str">
        <f ca="1">IFERROR(__xludf.DUMMYFUNCTION("""COMPUTED_VALUE"""),"Бандаж на шейный отдел позвоночника мягкой фиксацией 1001 III(L) (Болгария) - 0922026KZ026")</f>
        <v>Бандаж на шейный отдел позвоночника мягкой фиксацией 1001 III(L) (Болгария) - 0922026KZ026</v>
      </c>
      <c r="G2117" s="1" t="str">
        <f ca="1">IFERROR(__xludf.DUMMYFUNCTION("""COMPUTED_VALUE"""),"KZ.7700.02.01.00922795 / Действительно до 07.09.2027 / 0922026KZ026 / годен до 07.09.2027")</f>
        <v>KZ.7700.02.01.00922795 / Действительно до 07.09.2027 / 0922026KZ026 / годен до 07.09.2027</v>
      </c>
      <c r="H2117" s="1" t="str">
        <f ca="1">IFERROR(__xludf.DUMMYFUNCTION("""COMPUTED_VALUE"""),"Бандаж на шейный отдел позвоночника мягкой фиксацией 1001 III(L) (Болгария) KZ.7700.02.01.00922795 / Действительно до 07.09.2027 / 0922026KZ026 / годен до 07.09.2027")</f>
        <v>Бандаж на шейный отдел позвоночника мягкой фиксацией 1001 III(L) (Болгария) KZ.7700.02.01.00922795 / Действительно до 07.09.2027 / 0922026KZ026 / годен до 07.09.2027</v>
      </c>
    </row>
    <row r="2118" spans="1:8" ht="12.75" x14ac:dyDescent="0.2">
      <c r="A2118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2118" s="1" t="str">
        <f ca="1">IFERROR(__xludf.DUMMYFUNCTION("""COMPUTED_VALUE"""),"KZ.7700.02.01.00922879")</f>
        <v>KZ.7700.02.01.00922879</v>
      </c>
      <c r="C2118" s="1" t="str">
        <f ca="1">IFERROR(__xludf.DUMMYFUNCTION("""COMPUTED_VALUE"""),"Действительно до 07.09.2027")</f>
        <v>Действительно до 07.09.2027</v>
      </c>
      <c r="D2118" s="8" t="str">
        <f ca="1">IFERROR(__xludf.DUMMYFUNCTION("""COMPUTED_VALUE"""),"0922026KZ026")</f>
        <v>0922026KZ026</v>
      </c>
      <c r="E2118" s="1" t="str">
        <f ca="1">IFERROR(__xludf.DUMMYFUNCTION("""COMPUTED_VALUE"""),"годен до 07.09.2027")</f>
        <v>годен до 07.09.2027</v>
      </c>
      <c r="F2118" s="1" t="str">
        <f ca="1">IFERROR(__xludf.DUMMYFUNCTION("""COMPUTED_VALUE"""),"Бандаж на шейный отдел позвоночника мягкой фиксацией с жесткой вставкой 1005 I(S) - 0922026KZ026")</f>
        <v>Бандаж на шейный отдел позвоночника мягкой фиксацией с жесткой вставкой 1005 I(S) - 0922026KZ026</v>
      </c>
      <c r="G2118" s="1" t="str">
        <f ca="1">IFERROR(__xludf.DUMMYFUNCTION("""COMPUTED_VALUE"""),"KZ.7700.02.01.00922879 / Действительно до 07.09.2027 / 0922026KZ026 / годен до 07.09.2027")</f>
        <v>KZ.7700.02.01.00922879 / Действительно до 07.09.2027 / 0922026KZ026 / годен до 07.09.2027</v>
      </c>
      <c r="H2118" s="1" t="str">
        <f ca="1">IFERROR(__xludf.DUMMYFUNCTION("""COMPUTED_VALUE"""),"Бандаж на шейный отдел позвоночника мягкой фиксацией с жесткой вставкой 1005 I(S) KZ.7700.02.01.00922879 / Действительно до 07.09.2027 / 0922026KZ026 / годен до 07.09.2027")</f>
        <v>Бандаж на шейный отдел позвоночника мягкой фиксацией с жесткой вставкой 1005 I(S) KZ.7700.02.01.00922879 / Действительно до 07.09.2027 / 0922026KZ026 / годен до 07.09.2027</v>
      </c>
    </row>
    <row r="2119" spans="1:8" ht="12.75" x14ac:dyDescent="0.2">
      <c r="A2119" s="1" t="str">
        <f ca="1">IFERROR(__xludf.DUMMYFUNCTION("""COMPUTED_VALUE"""),"Бандаж на шейный отдел позвоночника мягкой фиксацией с жесткой вставкой 1005 II(M)")</f>
        <v>Бандаж на шейный отдел позвоночника мягкой фиксацией с жесткой вставкой 1005 II(M)</v>
      </c>
      <c r="B2119" s="1" t="str">
        <f ca="1">IFERROR(__xludf.DUMMYFUNCTION("""COMPUTED_VALUE"""),"KZ.7700.02.01.00922879")</f>
        <v>KZ.7700.02.01.00922879</v>
      </c>
      <c r="C2119" s="1" t="str">
        <f ca="1">IFERROR(__xludf.DUMMYFUNCTION("""COMPUTED_VALUE"""),"Действительно до 07.09.2027")</f>
        <v>Действительно до 07.09.2027</v>
      </c>
      <c r="D2119" s="8" t="str">
        <f ca="1">IFERROR(__xludf.DUMMYFUNCTION("""COMPUTED_VALUE"""),"0922026KZ026")</f>
        <v>0922026KZ026</v>
      </c>
      <c r="E2119" s="1" t="str">
        <f ca="1">IFERROR(__xludf.DUMMYFUNCTION("""COMPUTED_VALUE"""),"годен до 07.09.2027")</f>
        <v>годен до 07.09.2027</v>
      </c>
      <c r="F2119" s="1" t="str">
        <f ca="1">IFERROR(__xludf.DUMMYFUNCTION("""COMPUTED_VALUE"""),"Бандаж на шейный отдел позвоночника мягкой фиксацией с жесткой вставкой 1005 II(M) - 0922026KZ026")</f>
        <v>Бандаж на шейный отдел позвоночника мягкой фиксацией с жесткой вставкой 1005 II(M) - 0922026KZ026</v>
      </c>
      <c r="G2119" s="1" t="str">
        <f ca="1">IFERROR(__xludf.DUMMYFUNCTION("""COMPUTED_VALUE"""),"KZ.7700.02.01.00922879 / Действительно до 07.09.2027 / 0922026KZ026 / годен до 07.09.2027")</f>
        <v>KZ.7700.02.01.00922879 / Действительно до 07.09.2027 / 0922026KZ026 / годен до 07.09.2027</v>
      </c>
      <c r="H2119" s="1" t="str">
        <f ca="1">IFERROR(__xludf.DUMMYFUNCTION("""COMPUTED_VALUE"""),"Бандаж на шейный отдел позвоночника мягкой фиксацией с жесткой вставкой 1005 II(M) KZ.7700.02.01.00922879 / Действительно до 07.09.2027 / 0922026KZ026 / годен до 07.09.2027")</f>
        <v>Бандаж на шейный отдел позвоночника мягкой фиксацией с жесткой вставкой 1005 II(M) KZ.7700.02.01.00922879 / Действительно до 07.09.2027 / 0922026KZ026 / годен до 07.09.2027</v>
      </c>
    </row>
    <row r="2120" spans="1:8" ht="12.75" x14ac:dyDescent="0.2">
      <c r="A2120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2120" s="1" t="str">
        <f ca="1">IFERROR(__xludf.DUMMYFUNCTION("""COMPUTED_VALUE"""),"KZ.7700.02.01.00922879")</f>
        <v>KZ.7700.02.01.00922879</v>
      </c>
      <c r="C2120" s="1" t="str">
        <f ca="1">IFERROR(__xludf.DUMMYFUNCTION("""COMPUTED_VALUE"""),"Действительно до 07.09.2027")</f>
        <v>Действительно до 07.09.2027</v>
      </c>
      <c r="D2120" s="8" t="str">
        <f ca="1">IFERROR(__xludf.DUMMYFUNCTION("""COMPUTED_VALUE"""),"0922026KZ026")</f>
        <v>0922026KZ026</v>
      </c>
      <c r="E2120" s="1" t="str">
        <f ca="1">IFERROR(__xludf.DUMMYFUNCTION("""COMPUTED_VALUE"""),"годен до 07.09.2027")</f>
        <v>годен до 07.09.2027</v>
      </c>
      <c r="F2120" s="1" t="str">
        <f ca="1">IFERROR(__xludf.DUMMYFUNCTION("""COMPUTED_VALUE"""),"Бандаж на шейный отдел позвоночника мягкой фиксацией с жесткой вставкой 1005 III(L) - 0922026KZ026")</f>
        <v>Бандаж на шейный отдел позвоночника мягкой фиксацией с жесткой вставкой 1005 III(L) - 0922026KZ026</v>
      </c>
      <c r="G2120" s="1" t="str">
        <f ca="1">IFERROR(__xludf.DUMMYFUNCTION("""COMPUTED_VALUE"""),"KZ.7700.02.01.00922879 / Действительно до 07.09.2027 / 0922026KZ026 / годен до 07.09.2027")</f>
        <v>KZ.7700.02.01.00922879 / Действительно до 07.09.2027 / 0922026KZ026 / годен до 07.09.2027</v>
      </c>
      <c r="H2120" s="1" t="str">
        <f ca="1">IFERROR(__xludf.DUMMYFUNCTION("""COMPUTED_VALUE"""),"Бандаж на шейный отдел позвоночника мягкой фиксацией с жесткой вставкой 1005 III(L) KZ.7700.02.01.00922879 / Действительно до 07.09.2027 / 0922026KZ026 / годен до 07.09.2027")</f>
        <v>Бандаж на шейный отдел позвоночника мягкой фиксацией с жесткой вставкой 1005 III(L) KZ.7700.02.01.00922879 / Действительно до 07.09.2027 / 0922026KZ026 / годен до 07.09.2027</v>
      </c>
    </row>
    <row r="2121" spans="1:8" ht="12.75" x14ac:dyDescent="0.2">
      <c r="A2121" s="1" t="str">
        <f ca="1">IFERROR(__xludf.DUMMYFUNCTION("""COMPUTED_VALUE"""),"Реклинатор (корректор осанки) детский 2005 L (Болгария)")</f>
        <v>Реклинатор (корректор осанки) детский 2005 L (Болгария)</v>
      </c>
      <c r="B2121" s="1" t="str">
        <f ca="1">IFERROR(__xludf.DUMMYFUNCTION("""COMPUTED_VALUE"""),"KZ.7700.02.01.00922859")</f>
        <v>KZ.7700.02.01.00922859</v>
      </c>
      <c r="C2121" s="1" t="str">
        <f ca="1">IFERROR(__xludf.DUMMYFUNCTION("""COMPUTED_VALUE"""),"Действительно до 07.09.2027")</f>
        <v>Действительно до 07.09.2027</v>
      </c>
      <c r="D2121" s="8" t="str">
        <f ca="1">IFERROR(__xludf.DUMMYFUNCTION("""COMPUTED_VALUE"""),"0922026KZ026")</f>
        <v>0922026KZ026</v>
      </c>
      <c r="E2121" s="1" t="str">
        <f ca="1">IFERROR(__xludf.DUMMYFUNCTION("""COMPUTED_VALUE"""),"годен до 07.09.2027")</f>
        <v>годен до 07.09.2027</v>
      </c>
      <c r="F2121" s="1" t="str">
        <f ca="1">IFERROR(__xludf.DUMMYFUNCTION("""COMPUTED_VALUE"""),"Реклинатор (корректор осанки) детский 2005 L (Болгария) - 0922026KZ026")</f>
        <v>Реклинатор (корректор осанки) детский 2005 L (Болгария) - 0922026KZ026</v>
      </c>
      <c r="G2121" s="1" t="str">
        <f ca="1">IFERROR(__xludf.DUMMYFUNCTION("""COMPUTED_VALUE"""),"KZ.7700.02.01.00922859 / Действительно до 07.09.2027 / 0922026KZ026 / годен до 07.09.2027")</f>
        <v>KZ.7700.02.01.00922859 / Действительно до 07.09.2027 / 0922026KZ026 / годен до 07.09.2027</v>
      </c>
      <c r="H2121" s="1" t="str">
        <f ca="1">IFERROR(__xludf.DUMMYFUNCTION("""COMPUTED_VALUE"""),"Реклинатор (корректор осанки) детский 2005 L (Болгария) KZ.7700.02.01.00922859 / Действительно до 07.09.2027 / 0922026KZ026 / годен до 07.09.2027")</f>
        <v>Реклинатор (корректор осанки) детский 2005 L (Болгария) KZ.7700.02.01.00922859 / Действительно до 07.09.2027 / 0922026KZ026 / годен до 07.09.2027</v>
      </c>
    </row>
    <row r="2122" spans="1:8" ht="12.75" x14ac:dyDescent="0.2">
      <c r="A2122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2122" s="1" t="str">
        <f ca="1">IFERROR(__xludf.DUMMYFUNCTION("""COMPUTED_VALUE"""),"KZ.7700.02.01.00922518")</f>
        <v>KZ.7700.02.01.00922518</v>
      </c>
      <c r="C2122" s="1" t="str">
        <f ca="1">IFERROR(__xludf.DUMMYFUNCTION("""COMPUTED_VALUE"""),"Действительно до 07.09.2027")</f>
        <v>Действительно до 07.09.2027</v>
      </c>
      <c r="D2122" s="8" t="str">
        <f ca="1">IFERROR(__xludf.DUMMYFUNCTION("""COMPUTED_VALUE"""),"0922026KZ026")</f>
        <v>0922026KZ026</v>
      </c>
      <c r="E2122" s="1" t="str">
        <f ca="1">IFERROR(__xludf.DUMMYFUNCTION("""COMPUTED_VALUE"""),"годен до 07.09.2027")</f>
        <v>годен до 07.09.2027</v>
      </c>
      <c r="F2122" s="1" t="str">
        <f ca="1">IFERROR(__xludf.DUMMYFUNCTION("""COMPUTED_VALUE"""),"Корректор осанки с ребрами жесткости эластичный 2011 M (Болгария) - 0922026KZ026")</f>
        <v>Корректор осанки с ребрами жесткости эластичный 2011 M (Болгария) - 0922026KZ026</v>
      </c>
      <c r="G2122" s="1" t="str">
        <f ca="1">IFERROR(__xludf.DUMMYFUNCTION("""COMPUTED_VALUE"""),"KZ.7700.02.01.00922518 / Действительно до 07.09.2027 / 0922026KZ026 / годен до 07.09.2027")</f>
        <v>KZ.7700.02.01.00922518 / Действительно до 07.09.2027 / 0922026KZ026 / годен до 07.09.2027</v>
      </c>
      <c r="H2122" s="1" t="str">
        <f ca="1">IFERROR(__xludf.DUMMYFUNCTION("""COMPUTED_VALUE"""),"Корректор осанки с ребрами жесткости эластичный 2011 M (Болгария) KZ.7700.02.01.00922518 / Действительно до 07.09.2027 / 0922026KZ026 / годен до 07.09.2027")</f>
        <v>Корректор осанки с ребрами жесткости эластичный 2011 M (Болгария) KZ.7700.02.01.00922518 / Действительно до 07.09.2027 / 0922026KZ026 / годен до 07.09.2027</v>
      </c>
    </row>
    <row r="2123" spans="1:8" ht="12.75" x14ac:dyDescent="0.2">
      <c r="A2123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2123" s="1" t="str">
        <f ca="1">IFERROR(__xludf.DUMMYFUNCTION("""COMPUTED_VALUE"""),"KZ.7700.02.01.00922518")</f>
        <v>KZ.7700.02.01.00922518</v>
      </c>
      <c r="C2123" s="1" t="str">
        <f ca="1">IFERROR(__xludf.DUMMYFUNCTION("""COMPUTED_VALUE"""),"Действительно до 07.09.2027")</f>
        <v>Действительно до 07.09.2027</v>
      </c>
      <c r="D2123" s="8" t="str">
        <f ca="1">IFERROR(__xludf.DUMMYFUNCTION("""COMPUTED_VALUE"""),"0922026KZ026")</f>
        <v>0922026KZ026</v>
      </c>
      <c r="E2123" s="1" t="str">
        <f ca="1">IFERROR(__xludf.DUMMYFUNCTION("""COMPUTED_VALUE"""),"годен до 07.09.2027")</f>
        <v>годен до 07.09.2027</v>
      </c>
      <c r="F2123" s="1" t="str">
        <f ca="1">IFERROR(__xludf.DUMMYFUNCTION("""COMPUTED_VALUE"""),"Корректор осанки с ребрами жесткости эластичный 2011 L (Болгария) - 0922026KZ026")</f>
        <v>Корректор осанки с ребрами жесткости эластичный 2011 L (Болгария) - 0922026KZ026</v>
      </c>
      <c r="G2123" s="1" t="str">
        <f ca="1">IFERROR(__xludf.DUMMYFUNCTION("""COMPUTED_VALUE"""),"KZ.7700.02.01.00922518 / Действительно до 07.09.2027 / 0922026KZ026 / годен до 07.09.2027")</f>
        <v>KZ.7700.02.01.00922518 / Действительно до 07.09.2027 / 0922026KZ026 / годен до 07.09.2027</v>
      </c>
      <c r="H2123" s="1" t="str">
        <f ca="1">IFERROR(__xludf.DUMMYFUNCTION("""COMPUTED_VALUE"""),"Корректор осанки с ребрами жесткости эластичный 2011 L (Болгария) KZ.7700.02.01.00922518 / Действительно до 07.09.2027 / 0922026KZ026 / годен до 07.09.2027")</f>
        <v>Корректор осанки с ребрами жесткости эластичный 2011 L (Болгария) KZ.7700.02.01.00922518 / Действительно до 07.09.2027 / 0922026KZ026 / годен до 07.09.2027</v>
      </c>
    </row>
    <row r="2124" spans="1:8" ht="12.75" x14ac:dyDescent="0.2">
      <c r="A2124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2124" s="1" t="str">
        <f ca="1">IFERROR(__xludf.DUMMYFUNCTION("""COMPUTED_VALUE"""),"KZ.7700.02.01.00922518")</f>
        <v>KZ.7700.02.01.00922518</v>
      </c>
      <c r="C2124" s="1" t="str">
        <f ca="1">IFERROR(__xludf.DUMMYFUNCTION("""COMPUTED_VALUE"""),"Действительно до 07.09.2027")</f>
        <v>Действительно до 07.09.2027</v>
      </c>
      <c r="D2124" s="8" t="str">
        <f ca="1">IFERROR(__xludf.DUMMYFUNCTION("""COMPUTED_VALUE"""),"0922026KZ026")</f>
        <v>0922026KZ026</v>
      </c>
      <c r="E2124" s="1" t="str">
        <f ca="1">IFERROR(__xludf.DUMMYFUNCTION("""COMPUTED_VALUE"""),"годен до 07.09.2027")</f>
        <v>годен до 07.09.2027</v>
      </c>
      <c r="F2124" s="1" t="str">
        <f ca="1">IFERROR(__xludf.DUMMYFUNCTION("""COMPUTED_VALUE"""),"Корректор осанки с ребрами жесткости эластичный 2011 XL (Болгария) - 0922026KZ026")</f>
        <v>Корректор осанки с ребрами жесткости эластичный 2011 XL (Болгария) - 0922026KZ026</v>
      </c>
      <c r="G2124" s="1" t="str">
        <f ca="1">IFERROR(__xludf.DUMMYFUNCTION("""COMPUTED_VALUE"""),"KZ.7700.02.01.00922518 / Действительно до 07.09.2027 / 0922026KZ026 / годен до 07.09.2027")</f>
        <v>KZ.7700.02.01.00922518 / Действительно до 07.09.2027 / 0922026KZ026 / годен до 07.09.2027</v>
      </c>
      <c r="H2124" s="1" t="str">
        <f ca="1">IFERROR(__xludf.DUMMYFUNCTION("""COMPUTED_VALUE"""),"Корректор осанки с ребрами жесткости эластичный 2011 XL (Болгария) KZ.7700.02.01.00922518 / Действительно до 07.09.2027 / 0922026KZ026 / годен до 07.09.2027")</f>
        <v>Корректор осанки с ребрами жесткости эластичный 2011 XL (Болгария) KZ.7700.02.01.00922518 / Действительно до 07.09.2027 / 0922026KZ026 / годен до 07.09.2027</v>
      </c>
    </row>
    <row r="2125" spans="1:8" ht="12.75" x14ac:dyDescent="0.2">
      <c r="A2125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2125" s="1" t="str">
        <f ca="1">IFERROR(__xludf.DUMMYFUNCTION("""COMPUTED_VALUE"""),"KZ.7700.02.01.00922518")</f>
        <v>KZ.7700.02.01.00922518</v>
      </c>
      <c r="C2125" s="1" t="str">
        <f ca="1">IFERROR(__xludf.DUMMYFUNCTION("""COMPUTED_VALUE"""),"Действительно до 07.09.2027")</f>
        <v>Действительно до 07.09.2027</v>
      </c>
      <c r="D2125" s="8" t="str">
        <f ca="1">IFERROR(__xludf.DUMMYFUNCTION("""COMPUTED_VALUE"""),"0922026KZ026")</f>
        <v>0922026KZ026</v>
      </c>
      <c r="E2125" s="1" t="str">
        <f ca="1">IFERROR(__xludf.DUMMYFUNCTION("""COMPUTED_VALUE"""),"годен до 07.09.2027")</f>
        <v>годен до 07.09.2027</v>
      </c>
      <c r="F2125" s="1" t="str">
        <f ca="1">IFERROR(__xludf.DUMMYFUNCTION("""COMPUTED_VALUE"""),"Корректор осанки с ребрами жесткости эластичный 2011 XXL (Болгария) - 0922026KZ026")</f>
        <v>Корректор осанки с ребрами жесткости эластичный 2011 XXL (Болгария) - 0922026KZ026</v>
      </c>
      <c r="G2125" s="1" t="str">
        <f ca="1">IFERROR(__xludf.DUMMYFUNCTION("""COMPUTED_VALUE"""),"KZ.7700.02.01.00922518 / Действительно до 07.09.2027 / 0922026KZ026 / годен до 07.09.2027")</f>
        <v>KZ.7700.02.01.00922518 / Действительно до 07.09.2027 / 0922026KZ026 / годен до 07.09.2027</v>
      </c>
      <c r="H2125" s="1" t="str">
        <f ca="1">IFERROR(__xludf.DUMMYFUNCTION("""COMPUTED_VALUE"""),"Корректор осанки с ребрами жесткости эластичный 2011 XXL (Болгария) KZ.7700.02.01.00922518 / Действительно до 07.09.2027 / 0922026KZ026 / годен до 07.09.2027")</f>
        <v>Корректор осанки с ребрами жесткости эластичный 2011 XXL (Болгария) KZ.7700.02.01.00922518 / Действительно до 07.09.2027 / 0922026KZ026 / годен до 07.09.2027</v>
      </c>
    </row>
    <row r="2126" spans="1:8" ht="12.75" x14ac:dyDescent="0.2">
      <c r="A2126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2126" s="1" t="str">
        <f ca="1">IFERROR(__xludf.DUMMYFUNCTION("""COMPUTED_VALUE"""),"KZ.7700.02.01.00922509")</f>
        <v>KZ.7700.02.01.00922509</v>
      </c>
      <c r="C2126" s="1" t="str">
        <f ca="1">IFERROR(__xludf.DUMMYFUNCTION("""COMPUTED_VALUE"""),"Действительно до 07.09.2027")</f>
        <v>Действительно до 07.09.2027</v>
      </c>
      <c r="D2126" s="8" t="str">
        <f ca="1">IFERROR(__xludf.DUMMYFUNCTION("""COMPUTED_VALUE"""),"0922026KZ026")</f>
        <v>0922026KZ026</v>
      </c>
      <c r="E2126" s="1" t="str">
        <f ca="1">IFERROR(__xludf.DUMMYFUNCTION("""COMPUTED_VALUE"""),"годен до 07.09.2027")</f>
        <v>годен до 07.09.2027</v>
      </c>
      <c r="F2126" s="1" t="str">
        <f ca="1">IFERROR(__xludf.DUMMYFUNCTION("""COMPUTED_VALUE"""),"Корректор лечебно-профилактический (с 4 ребрами жесткости) эластичный 3011 - L - 0922026KZ026")</f>
        <v>Корректор лечебно-профилактический (с 4 ребрами жесткости) эластичный 3011 - L - 0922026KZ026</v>
      </c>
      <c r="G2126" s="1" t="str">
        <f ca="1">IFERROR(__xludf.DUMMYFUNCTION("""COMPUTED_VALUE"""),"KZ.7700.02.01.00922509 / Действительно до 07.09.2027 / 0922026KZ026 / годен до 07.09.2027")</f>
        <v>KZ.7700.02.01.00922509 / Действительно до 07.09.2027 / 0922026KZ026 / годен до 07.09.2027</v>
      </c>
      <c r="H2126" s="1" t="str">
        <f ca="1">IFERROR(__xludf.DUMMYFUNCTION("""COMPUTED_VALUE"""),"Корректор лечебно-профилактический (с 4 ребрами жесткости) эластичный 3011 - L KZ.7700.02.01.00922509 / Действительно до 07.09.2027 / 0922026KZ026 / годен до 07.09.2027")</f>
        <v>Корректор лечебно-профилактический (с 4 ребрами жесткости) эластичный 3011 - L KZ.7700.02.01.00922509 / Действительно до 07.09.2027 / 0922026KZ026 / годен до 07.09.2027</v>
      </c>
    </row>
    <row r="2127" spans="1:8" ht="12.75" x14ac:dyDescent="0.2">
      <c r="A2127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2127" s="1" t="str">
        <f ca="1">IFERROR(__xludf.DUMMYFUNCTION("""COMPUTED_VALUE"""),"KZ.7700.02.01.00922509")</f>
        <v>KZ.7700.02.01.00922509</v>
      </c>
      <c r="C2127" s="1" t="str">
        <f ca="1">IFERROR(__xludf.DUMMYFUNCTION("""COMPUTED_VALUE"""),"Действительно до 07.09.2027")</f>
        <v>Действительно до 07.09.2027</v>
      </c>
      <c r="D2127" s="8" t="str">
        <f ca="1">IFERROR(__xludf.DUMMYFUNCTION("""COMPUTED_VALUE"""),"0922026KZ026")</f>
        <v>0922026KZ026</v>
      </c>
      <c r="E2127" s="1" t="str">
        <f ca="1">IFERROR(__xludf.DUMMYFUNCTION("""COMPUTED_VALUE"""),"годен до 07.09.2027")</f>
        <v>годен до 07.09.2027</v>
      </c>
      <c r="F2127" s="1" t="str">
        <f ca="1">IFERROR(__xludf.DUMMYFUNCTION("""COMPUTED_VALUE"""),"Корректор лечебно-профилактический (с 4 ребрами жесткости) эластичный 3011- XL - 0922026KZ026")</f>
        <v>Корректор лечебно-профилактический (с 4 ребрами жесткости) эластичный 3011- XL - 0922026KZ026</v>
      </c>
      <c r="G2127" s="1" t="str">
        <f ca="1">IFERROR(__xludf.DUMMYFUNCTION("""COMPUTED_VALUE"""),"KZ.7700.02.01.00922509 / Действительно до 07.09.2027 / 0922026KZ026 / годен до 07.09.2027")</f>
        <v>KZ.7700.02.01.00922509 / Действительно до 07.09.2027 / 0922026KZ026 / годен до 07.09.2027</v>
      </c>
      <c r="H2127" s="1" t="str">
        <f ca="1">IFERROR(__xludf.DUMMYFUNCTION("""COMPUTED_VALUE"""),"Корректор лечебно-профилактический (с 4 ребрами жесткости) эластичный 3011- XL KZ.7700.02.01.00922509 / Действительно до 07.09.2027 / 0922026KZ026 / годен до 07.09.2027")</f>
        <v>Корректор лечебно-профилактический (с 4 ребрами жесткости) эластичный 3011- XL KZ.7700.02.01.00922509 / Действительно до 07.09.2027 / 0922026KZ026 / годен до 07.09.2027</v>
      </c>
    </row>
    <row r="2128" spans="1:8" ht="12.75" x14ac:dyDescent="0.2">
      <c r="A2128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2128" s="1" t="str">
        <f ca="1">IFERROR(__xludf.DUMMYFUNCTION("""COMPUTED_VALUE"""),"KZ.7700.02.01.00922509")</f>
        <v>KZ.7700.02.01.00922509</v>
      </c>
      <c r="C2128" s="1" t="str">
        <f ca="1">IFERROR(__xludf.DUMMYFUNCTION("""COMPUTED_VALUE"""),"Действительно до 07.09.2027")</f>
        <v>Действительно до 07.09.2027</v>
      </c>
      <c r="D2128" s="8" t="str">
        <f ca="1">IFERROR(__xludf.DUMMYFUNCTION("""COMPUTED_VALUE"""),"0922026KZ026")</f>
        <v>0922026KZ026</v>
      </c>
      <c r="E2128" s="1" t="str">
        <f ca="1">IFERROR(__xludf.DUMMYFUNCTION("""COMPUTED_VALUE"""),"годен до 07.09.2027")</f>
        <v>годен до 07.09.2027</v>
      </c>
      <c r="F2128" s="1" t="str">
        <f ca="1">IFERROR(__xludf.DUMMYFUNCTION("""COMPUTED_VALUE"""),"Корректор лечебно-профилактический (с 4 ребрами жесткости) эластичный 3011- XXL - 0922026KZ026")</f>
        <v>Корректор лечебно-профилактический (с 4 ребрами жесткости) эластичный 3011- XXL - 0922026KZ026</v>
      </c>
      <c r="G2128" s="1" t="str">
        <f ca="1">IFERROR(__xludf.DUMMYFUNCTION("""COMPUTED_VALUE"""),"KZ.7700.02.01.00922509 / Действительно до 07.09.2027 / 0922026KZ026 / годен до 07.09.2027")</f>
        <v>KZ.7700.02.01.00922509 / Действительно до 07.09.2027 / 0922026KZ026 / годен до 07.09.2027</v>
      </c>
      <c r="H2128" s="1" t="str">
        <f ca="1">IFERROR(__xludf.DUMMYFUNCTION("""COMPUTED_VALUE"""),"Корректор лечебно-профилактический (с 4 ребрами жесткости) эластичный 3011- XXL KZ.7700.02.01.00922509 / Действительно до 07.09.2027 / 0922026KZ026 / годен до 07.09.2027")</f>
        <v>Корректор лечебно-профилактический (с 4 ребрами жесткости) эластичный 3011- XXL KZ.7700.02.01.00922509 / Действительно до 07.09.2027 / 0922026KZ026 / годен до 07.09.2027</v>
      </c>
    </row>
    <row r="2129" spans="1:8" ht="12.75" x14ac:dyDescent="0.2">
      <c r="A2129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2129" s="1" t="str">
        <f ca="1">IFERROR(__xludf.DUMMYFUNCTION("""COMPUTED_VALUE"""),"KZ.7700.02.01.00922509")</f>
        <v>KZ.7700.02.01.00922509</v>
      </c>
      <c r="C2129" s="1" t="str">
        <f ca="1">IFERROR(__xludf.DUMMYFUNCTION("""COMPUTED_VALUE"""),"Действительно до 07.09.2027")</f>
        <v>Действительно до 07.09.2027</v>
      </c>
      <c r="D2129" s="8" t="str">
        <f ca="1">IFERROR(__xludf.DUMMYFUNCTION("""COMPUTED_VALUE"""),"0922026KZ026")</f>
        <v>0922026KZ026</v>
      </c>
      <c r="E2129" s="1" t="str">
        <f ca="1">IFERROR(__xludf.DUMMYFUNCTION("""COMPUTED_VALUE"""),"годен до 07.09.2027")</f>
        <v>годен до 07.09.2027</v>
      </c>
      <c r="F2129" s="1" t="str">
        <f ca="1">IFERROR(__xludf.DUMMYFUNCTION("""COMPUTED_VALUE"""),"Корректор лечебно-профилактический (с 4 ребрами жесткости) эластичный 3011- XXXL - 0922026KZ026")</f>
        <v>Корректор лечебно-профилактический (с 4 ребрами жесткости) эластичный 3011- XXXL - 0922026KZ026</v>
      </c>
      <c r="G2129" s="1" t="str">
        <f ca="1">IFERROR(__xludf.DUMMYFUNCTION("""COMPUTED_VALUE"""),"KZ.7700.02.01.00922509 / Действительно до 07.09.2027 / 0922026KZ026 / годен до 07.09.2027")</f>
        <v>KZ.7700.02.01.00922509 / Действительно до 07.09.2027 / 0922026KZ026 / годен до 07.09.2027</v>
      </c>
      <c r="H2129" s="1" t="str">
        <f ca="1">IFERROR(__xludf.DUMMYFUNCTION("""COMPUTED_VALUE"""),"Корректор лечебно-профилактический (с 4 ребрами жесткости) эластичный 3011- XXXL KZ.7700.02.01.00922509 / Действительно до 07.09.2027 / 0922026KZ026 / годен до 07.09.2027")</f>
        <v>Корректор лечебно-профилактический (с 4 ребрами жесткости) эластичный 3011- XXXL KZ.7700.02.01.00922509 / Действительно до 07.09.2027 / 0922026KZ026 / годен до 07.09.2027</v>
      </c>
    </row>
    <row r="2130" spans="1:8" ht="12.75" x14ac:dyDescent="0.2">
      <c r="A2130" s="1" t="str">
        <f ca="1">IFERROR(__xludf.DUMMYFUNCTION("""COMPUTED_VALUE"""),"Корректор лечебно-профилактический (с 4 ребрами жесткости) эластичный 3011 XXXXL")</f>
        <v>Корректор лечебно-профилактический (с 4 ребрами жесткости) эластичный 3011 XXXXL</v>
      </c>
      <c r="B2130" s="1" t="str">
        <f ca="1">IFERROR(__xludf.DUMMYFUNCTION("""COMPUTED_VALUE"""),"KZ.7700.02.01.00922509")</f>
        <v>KZ.7700.02.01.00922509</v>
      </c>
      <c r="C2130" s="1" t="str">
        <f ca="1">IFERROR(__xludf.DUMMYFUNCTION("""COMPUTED_VALUE"""),"Действительно до 07.09.2027")</f>
        <v>Действительно до 07.09.2027</v>
      </c>
      <c r="D2130" s="8" t="str">
        <f ca="1">IFERROR(__xludf.DUMMYFUNCTION("""COMPUTED_VALUE"""),"0922026KZ026")</f>
        <v>0922026KZ026</v>
      </c>
      <c r="E2130" s="1" t="str">
        <f ca="1">IFERROR(__xludf.DUMMYFUNCTION("""COMPUTED_VALUE"""),"годен до 07.09.2027")</f>
        <v>годен до 07.09.2027</v>
      </c>
      <c r="F2130" s="1" t="str">
        <f ca="1">IFERROR(__xludf.DUMMYFUNCTION("""COMPUTED_VALUE"""),"Корректор лечебно-профилактический (с 4 ребрами жесткости) эластичный 3011 XXXXL - 0922026KZ026")</f>
        <v>Корректор лечебно-профилактический (с 4 ребрами жесткости) эластичный 3011 XXXXL - 0922026KZ026</v>
      </c>
      <c r="G2130" s="1" t="str">
        <f ca="1">IFERROR(__xludf.DUMMYFUNCTION("""COMPUTED_VALUE"""),"KZ.7700.02.01.00922509 / Действительно до 07.09.2027 / 0922026KZ026 / годен до 07.09.2027")</f>
        <v>KZ.7700.02.01.00922509 / Действительно до 07.09.2027 / 0922026KZ026 / годен до 07.09.2027</v>
      </c>
      <c r="H2130" s="1" t="str">
        <f ca="1">IFERROR(__xludf.DUMMYFUNCTION("""COMPUTED_VALUE"""),"Корректор лечебно-профилактический (с 4 ребрами жесткости) эластичный 3011 XXXXL KZ.7700.02.01.00922509 / Действительно до 07.09.2027 / 0922026KZ026 / годен до 07.09.2027")</f>
        <v>Корректор лечебно-профилактический (с 4 ребрами жесткости) эластичный 3011 XXXXL KZ.7700.02.01.00922509 / Действительно до 07.09.2027 / 0922026KZ026 / годен до 07.09.2027</v>
      </c>
    </row>
    <row r="2131" spans="1:8" ht="12.75" x14ac:dyDescent="0.2">
      <c r="A2131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2131" s="1" t="str">
        <f ca="1">IFERROR(__xludf.DUMMYFUNCTION("""COMPUTED_VALUE"""),"KZ.7700.02.01.00922869")</f>
        <v>KZ.7700.02.01.00922869</v>
      </c>
      <c r="C2131" s="1" t="str">
        <f ca="1">IFERROR(__xludf.DUMMYFUNCTION("""COMPUTED_VALUE"""),"Действительно до 07.09.2027")</f>
        <v>Действительно до 07.09.2027</v>
      </c>
      <c r="D2131" s="8" t="str">
        <f ca="1">IFERROR(__xludf.DUMMYFUNCTION("""COMPUTED_VALUE"""),"0922026KZ026")</f>
        <v>0922026KZ026</v>
      </c>
      <c r="E2131" s="1" t="str">
        <f ca="1">IFERROR(__xludf.DUMMYFUNCTION("""COMPUTED_VALUE"""),"годен до 07.09.2027")</f>
        <v>годен до 07.09.2027</v>
      </c>
      <c r="F2131" s="1" t="str">
        <f ca="1">IFERROR(__xludf.DUMMYFUNCTION("""COMPUTED_VALUE"""),"Корсет ортопедический с ребрами жесткости согревающий 3041 XXXL/XXXXL (Болгария) - 0922026KZ026")</f>
        <v>Корсет ортопедический с ребрами жесткости согревающий 3041 XXXL/XXXXL (Болгария) - 0922026KZ026</v>
      </c>
      <c r="G2131" s="1" t="str">
        <f ca="1">IFERROR(__xludf.DUMMYFUNCTION("""COMPUTED_VALUE"""),"KZ.7700.02.01.00922869 / Действительно до 07.09.2027 / 0922026KZ026 / годен до 07.09.2027")</f>
        <v>KZ.7700.02.01.00922869 / Действительно до 07.09.2027 / 0922026KZ026 / годен до 07.09.2027</v>
      </c>
      <c r="H2131" s="1" t="str">
        <f ca="1">IFERROR(__xludf.DUMMYFUNCTION("""COMPUTED_VALUE"""),"Корсет ортопедический с ребрами жесткости согревающий 3041 XXXL/XXXXL (Болгария) KZ.7700.02.01.00922869 / Действительно до 07.09.2027 / 0922026KZ026 / годен до 07.09.2027")</f>
        <v>Корсет ортопедический с ребрами жесткости согревающий 3041 XXXL/XXXXL (Болгария) KZ.7700.02.01.00922869 / Действительно до 07.09.2027 / 0922026KZ026 / годен до 07.09.2027</v>
      </c>
    </row>
    <row r="2132" spans="1:8" ht="12.75" x14ac:dyDescent="0.2">
      <c r="A2132" s="1" t="str">
        <f ca="1">IFERROR(__xludf.DUMMYFUNCTION("""COMPUTED_VALUE"""),"Бандаж лечебно–профилактический (с тремя ребрами жесткости) 4001 S (Болгария)")</f>
        <v>Бандаж лечебно–профилактический (с тремя ребрами жесткости) 4001 S (Болгария)</v>
      </c>
      <c r="B2132" s="1" t="str">
        <f ca="1">IFERROR(__xludf.DUMMYFUNCTION("""COMPUTED_VALUE"""),"KZ.7700.02.01.00922870")</f>
        <v>KZ.7700.02.01.00922870</v>
      </c>
      <c r="C2132" s="1" t="str">
        <f ca="1">IFERROR(__xludf.DUMMYFUNCTION("""COMPUTED_VALUE"""),"Действительно до 07.09.2027")</f>
        <v>Действительно до 07.09.2027</v>
      </c>
      <c r="D2132" s="8" t="str">
        <f ca="1">IFERROR(__xludf.DUMMYFUNCTION("""COMPUTED_VALUE"""),"0922026KZ026")</f>
        <v>0922026KZ026</v>
      </c>
      <c r="E2132" s="1" t="str">
        <f ca="1">IFERROR(__xludf.DUMMYFUNCTION("""COMPUTED_VALUE"""),"годен до 07.09.2027")</f>
        <v>годен до 07.09.2027</v>
      </c>
      <c r="F2132" s="1" t="str">
        <f ca="1">IFERROR(__xludf.DUMMYFUNCTION("""COMPUTED_VALUE"""),"Бандаж лечебно–профилактический (с тремя ребрами жесткости) 4001 S (Болгария) - 0922026KZ026")</f>
        <v>Бандаж лечебно–профилактический (с тремя ребрами жесткости) 4001 S (Болгария) - 0922026KZ026</v>
      </c>
      <c r="G2132" s="1" t="str">
        <f ca="1">IFERROR(__xludf.DUMMYFUNCTION("""COMPUTED_VALUE"""),"KZ.7700.02.01.00922870 / Действительно до 07.09.2027 / 0922026KZ026 / годен до 07.09.2027")</f>
        <v>KZ.7700.02.01.00922870 / Действительно до 07.09.2027 / 0922026KZ026 / годен до 07.09.2027</v>
      </c>
      <c r="H2132" s="1" t="str">
        <f ca="1">IFERROR(__xludf.DUMMYFUNCTION("""COMPUTED_VALUE"""),"Бандаж лечебно–профилактический (с тремя ребрами жесткости) 4001 S (Болгария) KZ.7700.02.01.00922870 / Действительно до 07.09.2027 / 0922026KZ026 / годен до 07.09.2027")</f>
        <v>Бандаж лечебно–профилактический (с тремя ребрами жесткости) 4001 S (Болгария) KZ.7700.02.01.00922870 / Действительно до 07.09.2027 / 0922026KZ026 / годен до 07.09.2027</v>
      </c>
    </row>
    <row r="2133" spans="1:8" ht="12.75" x14ac:dyDescent="0.2">
      <c r="A2133" s="1" t="str">
        <f ca="1">IFERROR(__xludf.DUMMYFUNCTION("""COMPUTED_VALUE"""),"Бандаж лечебно–профилактический (с тремя ребрами жесткости) 4001 M (Болгария)")</f>
        <v>Бандаж лечебно–профилактический (с тремя ребрами жесткости) 4001 M (Болгария)</v>
      </c>
      <c r="B2133" s="1" t="str">
        <f ca="1">IFERROR(__xludf.DUMMYFUNCTION("""COMPUTED_VALUE"""),"KZ.7700.02.01.00922870")</f>
        <v>KZ.7700.02.01.00922870</v>
      </c>
      <c r="C2133" s="1" t="str">
        <f ca="1">IFERROR(__xludf.DUMMYFUNCTION("""COMPUTED_VALUE"""),"Действительно до 07.09.2027")</f>
        <v>Действительно до 07.09.2027</v>
      </c>
      <c r="D2133" s="8" t="str">
        <f ca="1">IFERROR(__xludf.DUMMYFUNCTION("""COMPUTED_VALUE"""),"0922026KZ026")</f>
        <v>0922026KZ026</v>
      </c>
      <c r="E2133" s="1" t="str">
        <f ca="1">IFERROR(__xludf.DUMMYFUNCTION("""COMPUTED_VALUE"""),"годен до 07.09.2027")</f>
        <v>годен до 07.09.2027</v>
      </c>
      <c r="F2133" s="1" t="str">
        <f ca="1">IFERROR(__xludf.DUMMYFUNCTION("""COMPUTED_VALUE"""),"Бандаж лечебно–профилактический (с тремя ребрами жесткости) 4001 M (Болгария) - 0922026KZ026")</f>
        <v>Бандаж лечебно–профилактический (с тремя ребрами жесткости) 4001 M (Болгария) - 0922026KZ026</v>
      </c>
      <c r="G2133" s="1" t="str">
        <f ca="1">IFERROR(__xludf.DUMMYFUNCTION("""COMPUTED_VALUE"""),"KZ.7700.02.01.00922870 / Действительно до 07.09.2027 / 0922026KZ026 / годен до 07.09.2027")</f>
        <v>KZ.7700.02.01.00922870 / Действительно до 07.09.2027 / 0922026KZ026 / годен до 07.09.2027</v>
      </c>
      <c r="H2133" s="1" t="str">
        <f ca="1">IFERROR(__xludf.DUMMYFUNCTION("""COMPUTED_VALUE"""),"Бандаж лечебно–профилактический (с тремя ребрами жесткости) 4001 M (Болгария) KZ.7700.02.01.00922870 / Действительно до 07.09.2027 / 0922026KZ026 / годен до 07.09.2027")</f>
        <v>Бандаж лечебно–профилактический (с тремя ребрами жесткости) 4001 M (Болгария) KZ.7700.02.01.00922870 / Действительно до 07.09.2027 / 0922026KZ026 / годен до 07.09.2027</v>
      </c>
    </row>
    <row r="2134" spans="1:8" ht="12.75" x14ac:dyDescent="0.2">
      <c r="A2134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2134" s="1" t="str">
        <f ca="1">IFERROR(__xludf.DUMMYFUNCTION("""COMPUTED_VALUE"""),"KZ.7700.02.01.00922870")</f>
        <v>KZ.7700.02.01.00922870</v>
      </c>
      <c r="C2134" s="1" t="str">
        <f ca="1">IFERROR(__xludf.DUMMYFUNCTION("""COMPUTED_VALUE"""),"Действительно до 07.09.2027")</f>
        <v>Действительно до 07.09.2027</v>
      </c>
      <c r="D2134" s="8" t="str">
        <f ca="1">IFERROR(__xludf.DUMMYFUNCTION("""COMPUTED_VALUE"""),"0922026KZ026")</f>
        <v>0922026KZ026</v>
      </c>
      <c r="E2134" s="1" t="str">
        <f ca="1">IFERROR(__xludf.DUMMYFUNCTION("""COMPUTED_VALUE"""),"годен до 07.09.2027")</f>
        <v>годен до 07.09.2027</v>
      </c>
      <c r="F2134" s="1" t="str">
        <f ca="1">IFERROR(__xludf.DUMMYFUNCTION("""COMPUTED_VALUE"""),"Бандаж лечебно–профилактический (с тремя ребрами жесткости) 4001 L (Болгария) - 0922026KZ026")</f>
        <v>Бандаж лечебно–профилактический (с тремя ребрами жесткости) 4001 L (Болгария) - 0922026KZ026</v>
      </c>
      <c r="G2134" s="1" t="str">
        <f ca="1">IFERROR(__xludf.DUMMYFUNCTION("""COMPUTED_VALUE"""),"KZ.7700.02.01.00922870 / Действительно до 07.09.2027 / 0922026KZ026 / годен до 07.09.2027")</f>
        <v>KZ.7700.02.01.00922870 / Действительно до 07.09.2027 / 0922026KZ026 / годен до 07.09.2027</v>
      </c>
      <c r="H2134" s="1" t="str">
        <f ca="1">IFERROR(__xludf.DUMMYFUNCTION("""COMPUTED_VALUE"""),"Бандаж лечебно–профилактический (с тремя ребрами жесткости) 4001 L (Болгария) KZ.7700.02.01.00922870 / Действительно до 07.09.2027 / 0922026KZ026 / годен до 07.09.2027")</f>
        <v>Бандаж лечебно–профилактический (с тремя ребрами жесткости) 4001 L (Болгария) KZ.7700.02.01.00922870 / Действительно до 07.09.2027 / 0922026KZ026 / годен до 07.09.2027</v>
      </c>
    </row>
    <row r="2135" spans="1:8" ht="12.75" x14ac:dyDescent="0.2">
      <c r="A2135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2135" s="1" t="str">
        <f ca="1">IFERROR(__xludf.DUMMYFUNCTION("""COMPUTED_VALUE"""),"KZ.7700.02.01.00922870")</f>
        <v>KZ.7700.02.01.00922870</v>
      </c>
      <c r="C2135" s="1" t="str">
        <f ca="1">IFERROR(__xludf.DUMMYFUNCTION("""COMPUTED_VALUE"""),"Действительно до 07.09.2027")</f>
        <v>Действительно до 07.09.2027</v>
      </c>
      <c r="D2135" s="8" t="str">
        <f ca="1">IFERROR(__xludf.DUMMYFUNCTION("""COMPUTED_VALUE"""),"0922026KZ026")</f>
        <v>0922026KZ026</v>
      </c>
      <c r="E2135" s="1" t="str">
        <f ca="1">IFERROR(__xludf.DUMMYFUNCTION("""COMPUTED_VALUE"""),"годен до 07.09.2027")</f>
        <v>годен до 07.09.2027</v>
      </c>
      <c r="F2135" s="1" t="str">
        <f ca="1">IFERROR(__xludf.DUMMYFUNCTION("""COMPUTED_VALUE"""),"Бандаж лечебно–профилактический (с тремя ребрами жесткости) 4001 XL (Болгария) - 0922026KZ026")</f>
        <v>Бандаж лечебно–профилактический (с тремя ребрами жесткости) 4001 XL (Болгария) - 0922026KZ026</v>
      </c>
      <c r="G2135" s="1" t="str">
        <f ca="1">IFERROR(__xludf.DUMMYFUNCTION("""COMPUTED_VALUE"""),"KZ.7700.02.01.00922870 / Действительно до 07.09.2027 / 0922026KZ026 / годен до 07.09.2027")</f>
        <v>KZ.7700.02.01.00922870 / Действительно до 07.09.2027 / 0922026KZ026 / годен до 07.09.2027</v>
      </c>
      <c r="H2135" s="1" t="str">
        <f ca="1">IFERROR(__xludf.DUMMYFUNCTION("""COMPUTED_VALUE"""),"Бандаж лечебно–профилактический (с тремя ребрами жесткости) 4001 XL (Болгария) KZ.7700.02.01.00922870 / Действительно до 07.09.2027 / 0922026KZ026 / годен до 07.09.2027")</f>
        <v>Бандаж лечебно–профилактический (с тремя ребрами жесткости) 4001 XL (Болгария) KZ.7700.02.01.00922870 / Действительно до 07.09.2027 / 0922026KZ026 / годен до 07.09.2027</v>
      </c>
    </row>
    <row r="2136" spans="1:8" ht="12.75" x14ac:dyDescent="0.2">
      <c r="A2136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2136" s="1" t="str">
        <f ca="1">IFERROR(__xludf.DUMMYFUNCTION("""COMPUTED_VALUE"""),"KZ.7700.02.01.00922870")</f>
        <v>KZ.7700.02.01.00922870</v>
      </c>
      <c r="C2136" s="1" t="str">
        <f ca="1">IFERROR(__xludf.DUMMYFUNCTION("""COMPUTED_VALUE"""),"Действительно до 07.09.2027")</f>
        <v>Действительно до 07.09.2027</v>
      </c>
      <c r="D2136" s="8" t="str">
        <f ca="1">IFERROR(__xludf.DUMMYFUNCTION("""COMPUTED_VALUE"""),"0922026KZ026")</f>
        <v>0922026KZ026</v>
      </c>
      <c r="E2136" s="1" t="str">
        <f ca="1">IFERROR(__xludf.DUMMYFUNCTION("""COMPUTED_VALUE"""),"годен до 07.09.2027")</f>
        <v>годен до 07.09.2027</v>
      </c>
      <c r="F2136" s="1" t="str">
        <f ca="1">IFERROR(__xludf.DUMMYFUNCTION("""COMPUTED_VALUE"""),"Бандаж лечебно–профилактический (с тремя ребрами жесткости) 4001 XXL (Болгария) - 0922026KZ026")</f>
        <v>Бандаж лечебно–профилактический (с тремя ребрами жесткости) 4001 XXL (Болгария) - 0922026KZ026</v>
      </c>
      <c r="G2136" s="1" t="str">
        <f ca="1">IFERROR(__xludf.DUMMYFUNCTION("""COMPUTED_VALUE"""),"KZ.7700.02.01.00922870 / Действительно до 07.09.2027 / 0922026KZ026 / годен до 07.09.2027")</f>
        <v>KZ.7700.02.01.00922870 / Действительно до 07.09.2027 / 0922026KZ026 / годен до 07.09.2027</v>
      </c>
      <c r="H2136" s="1" t="str">
        <f ca="1">IFERROR(__xludf.DUMMYFUNCTION("""COMPUTED_VALUE"""),"Бандаж лечебно–профилактический (с тремя ребрами жесткости) 4001 XXL (Болгария) KZ.7700.02.01.00922870 / Действительно до 07.09.2027 / 0922026KZ026 / годен до 07.09.2027")</f>
        <v>Бандаж лечебно–профилактический (с тремя ребрами жесткости) 4001 XXL (Болгария) KZ.7700.02.01.00922870 / Действительно до 07.09.2027 / 0922026KZ026 / годен до 07.09.2027</v>
      </c>
    </row>
    <row r="2137" spans="1:8" ht="12.75" x14ac:dyDescent="0.2">
      <c r="A2137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2137" s="1" t="str">
        <f ca="1">IFERROR(__xludf.DUMMYFUNCTION("""COMPUTED_VALUE"""),"KZ.7700.02.01.00922870")</f>
        <v>KZ.7700.02.01.00922870</v>
      </c>
      <c r="C2137" s="1" t="str">
        <f ca="1">IFERROR(__xludf.DUMMYFUNCTION("""COMPUTED_VALUE"""),"Действительно до 07.09.2027")</f>
        <v>Действительно до 07.09.2027</v>
      </c>
      <c r="D2137" s="8" t="str">
        <f ca="1">IFERROR(__xludf.DUMMYFUNCTION("""COMPUTED_VALUE"""),"0922026KZ026")</f>
        <v>0922026KZ026</v>
      </c>
      <c r="E2137" s="1" t="str">
        <f ca="1">IFERROR(__xludf.DUMMYFUNCTION("""COMPUTED_VALUE"""),"годен до 07.09.2027")</f>
        <v>годен до 07.09.2027</v>
      </c>
      <c r="F2137" s="1" t="str">
        <f ca="1">IFERROR(__xludf.DUMMYFUNCTION("""COMPUTED_VALUE"""),"Бандаж лечебно–профилактический (с тремя ребрами жесткости) 4001 XXXL(Болгария) - 0922026KZ026")</f>
        <v>Бандаж лечебно–профилактический (с тремя ребрами жесткости) 4001 XXXL(Болгария) - 0922026KZ026</v>
      </c>
      <c r="G2137" s="1" t="str">
        <f ca="1">IFERROR(__xludf.DUMMYFUNCTION("""COMPUTED_VALUE"""),"KZ.7700.02.01.00922870 / Действительно до 07.09.2027 / 0922026KZ026 / годен до 07.09.2027")</f>
        <v>KZ.7700.02.01.00922870 / Действительно до 07.09.2027 / 0922026KZ026 / годен до 07.09.2027</v>
      </c>
      <c r="H2137" s="1" t="str">
        <f ca="1">IFERROR(__xludf.DUMMYFUNCTION("""COMPUTED_VALUE"""),"Бандаж лечебно–профилактический (с тремя ребрами жесткости) 4001 XXXL(Болгария) KZ.7700.02.01.00922870 / Действительно до 07.09.2027 / 0922026KZ026 / годен до 07.09.2027")</f>
        <v>Бандаж лечебно–профилактический (с тремя ребрами жесткости) 4001 XXXL(Болгария) KZ.7700.02.01.00922870 / Действительно до 07.09.2027 / 0922026KZ026 / годен до 07.09.2027</v>
      </c>
    </row>
    <row r="2138" spans="1:8" ht="12.75" x14ac:dyDescent="0.2">
      <c r="A2138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2138" s="1" t="str">
        <f ca="1">IFERROR(__xludf.DUMMYFUNCTION("""COMPUTED_VALUE"""),"KZ.7700.02.01.00922870")</f>
        <v>KZ.7700.02.01.00922870</v>
      </c>
      <c r="C2138" s="1" t="str">
        <f ca="1">IFERROR(__xludf.DUMMYFUNCTION("""COMPUTED_VALUE"""),"Действительно до 07.09.2027")</f>
        <v>Действительно до 07.09.2027</v>
      </c>
      <c r="D2138" s="8" t="str">
        <f ca="1">IFERROR(__xludf.DUMMYFUNCTION("""COMPUTED_VALUE"""),"0922026KZ026")</f>
        <v>0922026KZ026</v>
      </c>
      <c r="E2138" s="1" t="str">
        <f ca="1">IFERROR(__xludf.DUMMYFUNCTION("""COMPUTED_VALUE"""),"годен до 07.09.2027")</f>
        <v>годен до 07.09.2027</v>
      </c>
      <c r="F2138" s="1" t="str">
        <f ca="1">IFERROR(__xludf.DUMMYFUNCTION("""COMPUTED_VALUE"""),"Бандаж лечебно–профилактический (с тремя ребрами жесткости) 4001 XXXXL(Болгария) - 0922026KZ026")</f>
        <v>Бандаж лечебно–профилактический (с тремя ребрами жесткости) 4001 XXXXL(Болгария) - 0922026KZ026</v>
      </c>
      <c r="G2138" s="1" t="str">
        <f ca="1">IFERROR(__xludf.DUMMYFUNCTION("""COMPUTED_VALUE"""),"KZ.7700.02.01.00922870 / Действительно до 07.09.2027 / 0922026KZ026 / годен до 07.09.2027")</f>
        <v>KZ.7700.02.01.00922870 / Действительно до 07.09.2027 / 0922026KZ026 / годен до 07.09.2027</v>
      </c>
      <c r="H2138" s="1" t="str">
        <f ca="1">IFERROR(__xludf.DUMMYFUNCTION("""COMPUTED_VALUE"""),"Бандаж лечебно–профилактический (с тремя ребрами жесткости) 4001 XXXXL(Болгария) KZ.7700.02.01.00922870 / Действительно до 07.09.2027 / 0922026KZ026 / годен до 07.09.2027")</f>
        <v>Бандаж лечебно–профилактический (с тремя ребрами жесткости) 4001 XXXXL(Болгария) KZ.7700.02.01.00922870 / Действительно до 07.09.2027 / 0922026KZ026 / годен до 07.09.2027</v>
      </c>
    </row>
    <row r="2139" spans="1:8" ht="12.75" x14ac:dyDescent="0.2">
      <c r="A2139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2139" s="1" t="str">
        <f ca="1">IFERROR(__xludf.DUMMYFUNCTION("""COMPUTED_VALUE"""),"KZ.7700.02.01.00922512")</f>
        <v>KZ.7700.02.01.00922512</v>
      </c>
      <c r="C2139" s="1" t="str">
        <f ca="1">IFERROR(__xludf.DUMMYFUNCTION("""COMPUTED_VALUE"""),"Действительно до 07.09.2027")</f>
        <v>Действительно до 07.09.2027</v>
      </c>
      <c r="D2139" s="8" t="str">
        <f ca="1">IFERROR(__xludf.DUMMYFUNCTION("""COMPUTED_VALUE"""),"0922026KZ026")</f>
        <v>0922026KZ026</v>
      </c>
      <c r="E2139" s="1" t="str">
        <f ca="1">IFERROR(__xludf.DUMMYFUNCTION("""COMPUTED_VALUE"""),"годен до 07.09.2027")</f>
        <v>годен до 07.09.2027</v>
      </c>
      <c r="F2139" s="1" t="str">
        <f ca="1">IFERROR(__xludf.DUMMYFUNCTION("""COMPUTED_VALUE"""),"Бандаж лечебно–профилактический эластичный 4002 M (Болгария) - 0922026KZ026")</f>
        <v>Бандаж лечебно–профилактический эластичный 4002 M (Болгария) - 0922026KZ026</v>
      </c>
      <c r="G2139" s="1" t="str">
        <f ca="1">IFERROR(__xludf.DUMMYFUNCTION("""COMPUTED_VALUE"""),"KZ.7700.02.01.00922512 / Действительно до 07.09.2027 / 0922026KZ026 / годен до 07.09.2027")</f>
        <v>KZ.7700.02.01.00922512 / Действительно до 07.09.2027 / 0922026KZ026 / годен до 07.09.2027</v>
      </c>
      <c r="H2139" s="1" t="str">
        <f ca="1">IFERROR(__xludf.DUMMYFUNCTION("""COMPUTED_VALUE"""),"Бандаж лечебно–профилактический эластичный 4002 M (Болгария) KZ.7700.02.01.00922512 / Действительно до 07.09.2027 / 0922026KZ026 / годен до 07.09.2027")</f>
        <v>Бандаж лечебно–профилактический эластичный 4002 M (Болгария) KZ.7700.02.01.00922512 / Действительно до 07.09.2027 / 0922026KZ026 / годен до 07.09.2027</v>
      </c>
    </row>
    <row r="2140" spans="1:8" ht="12.75" x14ac:dyDescent="0.2">
      <c r="A2140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2140" s="1" t="str">
        <f ca="1">IFERROR(__xludf.DUMMYFUNCTION("""COMPUTED_VALUE"""),"KZ.7700.02.01.00922512")</f>
        <v>KZ.7700.02.01.00922512</v>
      </c>
      <c r="C2140" s="1" t="str">
        <f ca="1">IFERROR(__xludf.DUMMYFUNCTION("""COMPUTED_VALUE"""),"Действительно до 07.09.2027")</f>
        <v>Действительно до 07.09.2027</v>
      </c>
      <c r="D2140" s="8" t="str">
        <f ca="1">IFERROR(__xludf.DUMMYFUNCTION("""COMPUTED_VALUE"""),"0922026KZ026")</f>
        <v>0922026KZ026</v>
      </c>
      <c r="E2140" s="1" t="str">
        <f ca="1">IFERROR(__xludf.DUMMYFUNCTION("""COMPUTED_VALUE"""),"годен до 07.09.2027")</f>
        <v>годен до 07.09.2027</v>
      </c>
      <c r="F2140" s="1" t="str">
        <f ca="1">IFERROR(__xludf.DUMMYFUNCTION("""COMPUTED_VALUE"""),"Бандаж лечебно–профилактический эластичный 4002 L (Болгария) - 0922026KZ026")</f>
        <v>Бандаж лечебно–профилактический эластичный 4002 L (Болгария) - 0922026KZ026</v>
      </c>
      <c r="G2140" s="1" t="str">
        <f ca="1">IFERROR(__xludf.DUMMYFUNCTION("""COMPUTED_VALUE"""),"KZ.7700.02.01.00922512 / Действительно до 07.09.2027 / 0922026KZ026 / годен до 07.09.2027")</f>
        <v>KZ.7700.02.01.00922512 / Действительно до 07.09.2027 / 0922026KZ026 / годен до 07.09.2027</v>
      </c>
      <c r="H2140" s="1" t="str">
        <f ca="1">IFERROR(__xludf.DUMMYFUNCTION("""COMPUTED_VALUE"""),"Бандаж лечебно–профилактический эластичный 4002 L (Болгария) KZ.7700.02.01.00922512 / Действительно до 07.09.2027 / 0922026KZ026 / годен до 07.09.2027")</f>
        <v>Бандаж лечебно–профилактический эластичный 4002 L (Болгария) KZ.7700.02.01.00922512 / Действительно до 07.09.2027 / 0922026KZ026 / годен до 07.09.2027</v>
      </c>
    </row>
    <row r="2141" spans="1:8" ht="12.75" x14ac:dyDescent="0.2">
      <c r="A2141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2141" s="1" t="str">
        <f ca="1">IFERROR(__xludf.DUMMYFUNCTION("""COMPUTED_VALUE"""),"KZ.7700.02.01.00922512")</f>
        <v>KZ.7700.02.01.00922512</v>
      </c>
      <c r="C2141" s="1" t="str">
        <f ca="1">IFERROR(__xludf.DUMMYFUNCTION("""COMPUTED_VALUE"""),"Действительно до 07.09.2027")</f>
        <v>Действительно до 07.09.2027</v>
      </c>
      <c r="D2141" s="8" t="str">
        <f ca="1">IFERROR(__xludf.DUMMYFUNCTION("""COMPUTED_VALUE"""),"0922026KZ026")</f>
        <v>0922026KZ026</v>
      </c>
      <c r="E2141" s="1" t="str">
        <f ca="1">IFERROR(__xludf.DUMMYFUNCTION("""COMPUTED_VALUE"""),"годен до 07.09.2027")</f>
        <v>годен до 07.09.2027</v>
      </c>
      <c r="F2141" s="1" t="str">
        <f ca="1">IFERROR(__xludf.DUMMYFUNCTION("""COMPUTED_VALUE"""),"Бандаж лечебно–профилактический эластичный 4002 XL (Болгария) - 0922026KZ026")</f>
        <v>Бандаж лечебно–профилактический эластичный 4002 XL (Болгария) - 0922026KZ026</v>
      </c>
      <c r="G2141" s="1" t="str">
        <f ca="1">IFERROR(__xludf.DUMMYFUNCTION("""COMPUTED_VALUE"""),"KZ.7700.02.01.00922512 / Действительно до 07.09.2027 / 0922026KZ026 / годен до 07.09.2027")</f>
        <v>KZ.7700.02.01.00922512 / Действительно до 07.09.2027 / 0922026KZ026 / годен до 07.09.2027</v>
      </c>
      <c r="H2141" s="1" t="str">
        <f ca="1">IFERROR(__xludf.DUMMYFUNCTION("""COMPUTED_VALUE"""),"Бандаж лечебно–профилактический эластичный 4002 XL (Болгария) KZ.7700.02.01.00922512 / Действительно до 07.09.2027 / 0922026KZ026 / годен до 07.09.2027")</f>
        <v>Бандаж лечебно–профилактический эластичный 4002 XL (Болгария) KZ.7700.02.01.00922512 / Действительно до 07.09.2027 / 0922026KZ026 / годен до 07.09.2027</v>
      </c>
    </row>
    <row r="2142" spans="1:8" ht="12.75" x14ac:dyDescent="0.2">
      <c r="A2142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2142" s="1" t="str">
        <f ca="1">IFERROR(__xludf.DUMMYFUNCTION("""COMPUTED_VALUE"""),"KZ.7700.02.01.00922512")</f>
        <v>KZ.7700.02.01.00922512</v>
      </c>
      <c r="C2142" s="1" t="str">
        <f ca="1">IFERROR(__xludf.DUMMYFUNCTION("""COMPUTED_VALUE"""),"Действительно до 07.09.2027")</f>
        <v>Действительно до 07.09.2027</v>
      </c>
      <c r="D2142" s="8" t="str">
        <f ca="1">IFERROR(__xludf.DUMMYFUNCTION("""COMPUTED_VALUE"""),"0922026KZ026")</f>
        <v>0922026KZ026</v>
      </c>
      <c r="E2142" s="1" t="str">
        <f ca="1">IFERROR(__xludf.DUMMYFUNCTION("""COMPUTED_VALUE"""),"годен до 07.09.2027")</f>
        <v>годен до 07.09.2027</v>
      </c>
      <c r="F2142" s="1" t="str">
        <f ca="1">IFERROR(__xludf.DUMMYFUNCTION("""COMPUTED_VALUE"""),"Бандаж лечебно–профилактический эластичный 4002 XXL (Болгария) - 0922026KZ026")</f>
        <v>Бандаж лечебно–профилактический эластичный 4002 XXL (Болгария) - 0922026KZ026</v>
      </c>
      <c r="G2142" s="1" t="str">
        <f ca="1">IFERROR(__xludf.DUMMYFUNCTION("""COMPUTED_VALUE"""),"KZ.7700.02.01.00922512 / Действительно до 07.09.2027 / 0922026KZ026 / годен до 07.09.2027")</f>
        <v>KZ.7700.02.01.00922512 / Действительно до 07.09.2027 / 0922026KZ026 / годен до 07.09.2027</v>
      </c>
      <c r="H2142" s="1" t="str">
        <f ca="1">IFERROR(__xludf.DUMMYFUNCTION("""COMPUTED_VALUE"""),"Бандаж лечебно–профилактический эластичный 4002 XXL (Болгария) KZ.7700.02.01.00922512 / Действительно до 07.09.2027 / 0922026KZ026 / годен до 07.09.2027")</f>
        <v>Бандаж лечебно–профилактический эластичный 4002 XXL (Болгария) KZ.7700.02.01.00922512 / Действительно до 07.09.2027 / 0922026KZ026 / годен до 07.09.2027</v>
      </c>
    </row>
    <row r="2143" spans="1:8" ht="12.75" x14ac:dyDescent="0.2">
      <c r="A2143" s="1" t="str">
        <f ca="1">IFERROR(__xludf.DUMMYFUNCTION("""COMPUTED_VALUE"""),"Бандаж лечебно–профилактический эластичный 4002 XXXL (Болгария)")</f>
        <v>Бандаж лечебно–профилактический эластичный 4002 XXXL (Болгария)</v>
      </c>
      <c r="B2143" s="1" t="str">
        <f ca="1">IFERROR(__xludf.DUMMYFUNCTION("""COMPUTED_VALUE"""),"KZ.7700.02.01.00922512")</f>
        <v>KZ.7700.02.01.00922512</v>
      </c>
      <c r="C2143" s="1" t="str">
        <f ca="1">IFERROR(__xludf.DUMMYFUNCTION("""COMPUTED_VALUE"""),"Действительно до 07.09.2027")</f>
        <v>Действительно до 07.09.2027</v>
      </c>
      <c r="D2143" s="8" t="str">
        <f ca="1">IFERROR(__xludf.DUMMYFUNCTION("""COMPUTED_VALUE"""),"0922026KZ026")</f>
        <v>0922026KZ026</v>
      </c>
      <c r="E2143" s="1" t="str">
        <f ca="1">IFERROR(__xludf.DUMMYFUNCTION("""COMPUTED_VALUE"""),"годен до 07.09.2027")</f>
        <v>годен до 07.09.2027</v>
      </c>
      <c r="F2143" s="1" t="str">
        <f ca="1">IFERROR(__xludf.DUMMYFUNCTION("""COMPUTED_VALUE"""),"Бандаж лечебно–профилактический эластичный 4002 XXXL (Болгария) - 0922026KZ026")</f>
        <v>Бандаж лечебно–профилактический эластичный 4002 XXXL (Болгария) - 0922026KZ026</v>
      </c>
      <c r="G2143" s="1" t="str">
        <f ca="1">IFERROR(__xludf.DUMMYFUNCTION("""COMPUTED_VALUE"""),"KZ.7700.02.01.00922512 / Действительно до 07.09.2027 / 0922026KZ026 / годен до 07.09.2027")</f>
        <v>KZ.7700.02.01.00922512 / Действительно до 07.09.2027 / 0922026KZ026 / годен до 07.09.2027</v>
      </c>
      <c r="H2143" s="1" t="str">
        <f ca="1">IFERROR(__xludf.DUMMYFUNCTION("""COMPUTED_VALUE"""),"Бандаж лечебно–профилактический эластичный 4002 XXXL (Болгария) KZ.7700.02.01.00922512 / Действительно до 07.09.2027 / 0922026KZ026 / годен до 07.09.2027")</f>
        <v>Бандаж лечебно–профилактический эластичный 4002 XXXL (Болгария) KZ.7700.02.01.00922512 / Действительно до 07.09.2027 / 0922026KZ026 / годен до 07.09.2027</v>
      </c>
    </row>
    <row r="2144" spans="1:8" ht="12.75" x14ac:dyDescent="0.2">
      <c r="A2144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2144" s="1" t="str">
        <f ca="1">IFERROR(__xludf.DUMMYFUNCTION("""COMPUTED_VALUE"""),"KZ.7700.02.01.00922512")</f>
        <v>KZ.7700.02.01.00922512</v>
      </c>
      <c r="C2144" s="1" t="str">
        <f ca="1">IFERROR(__xludf.DUMMYFUNCTION("""COMPUTED_VALUE"""),"Действительно до 07.09.2027")</f>
        <v>Действительно до 07.09.2027</v>
      </c>
      <c r="D2144" s="8" t="str">
        <f ca="1">IFERROR(__xludf.DUMMYFUNCTION("""COMPUTED_VALUE"""),"0922026KZ026")</f>
        <v>0922026KZ026</v>
      </c>
      <c r="E2144" s="1" t="str">
        <f ca="1">IFERROR(__xludf.DUMMYFUNCTION("""COMPUTED_VALUE"""),"годен до 07.09.2027")</f>
        <v>годен до 07.09.2027</v>
      </c>
      <c r="F2144" s="1" t="str">
        <f ca="1">IFERROR(__xludf.DUMMYFUNCTION("""COMPUTED_VALUE"""),"Бандаж лечебно–профилактический эластичный 4002 XXXXL (Болгария) - 0922026KZ026")</f>
        <v>Бандаж лечебно–профилактический эластичный 4002 XXXXL (Болгария) - 0922026KZ026</v>
      </c>
      <c r="G2144" s="1" t="str">
        <f ca="1">IFERROR(__xludf.DUMMYFUNCTION("""COMPUTED_VALUE"""),"KZ.7700.02.01.00922512 / Действительно до 07.09.2027 / 0922026KZ026 / годен до 07.09.2027")</f>
        <v>KZ.7700.02.01.00922512 / Действительно до 07.09.2027 / 0922026KZ026 / годен до 07.09.2027</v>
      </c>
      <c r="H2144" s="1" t="str">
        <f ca="1">IFERROR(__xludf.DUMMYFUNCTION("""COMPUTED_VALUE"""),"Бандаж лечебно–профилактический эластичный 4002 XXXXL (Болгария) KZ.7700.02.01.00922512 / Действительно до 07.09.2027 / 0922026KZ026 / годен до 07.09.2027")</f>
        <v>Бандаж лечебно–профилактический эластичный 4002 XXXXL (Болгария) KZ.7700.02.01.00922512 / Действительно до 07.09.2027 / 0922026KZ026 / годен до 07.09.2027</v>
      </c>
    </row>
    <row r="2145" spans="1:8" ht="12.75" x14ac:dyDescent="0.2">
      <c r="A2145" s="1" t="str">
        <f ca="1">IFERROR(__xludf.DUMMYFUNCTION("""COMPUTED_VALUE"""),"Бандаж универсальный 4011 M/L (Болгария)")</f>
        <v>Бандаж универсальный 4011 M/L (Болгария)</v>
      </c>
      <c r="B2145" s="1" t="str">
        <f ca="1">IFERROR(__xludf.DUMMYFUNCTION("""COMPUTED_VALUE"""),"KZ.7700.02.01.00922861")</f>
        <v>KZ.7700.02.01.00922861</v>
      </c>
      <c r="C2145" s="1" t="str">
        <f ca="1">IFERROR(__xludf.DUMMYFUNCTION("""COMPUTED_VALUE"""),"Действительно до 07.09.2027")</f>
        <v>Действительно до 07.09.2027</v>
      </c>
      <c r="D2145" s="8" t="str">
        <f ca="1">IFERROR(__xludf.DUMMYFUNCTION("""COMPUTED_VALUE"""),"0922026KZ026")</f>
        <v>0922026KZ026</v>
      </c>
      <c r="E2145" s="1" t="str">
        <f ca="1">IFERROR(__xludf.DUMMYFUNCTION("""COMPUTED_VALUE"""),"годен до 07.09.2027")</f>
        <v>годен до 07.09.2027</v>
      </c>
      <c r="F2145" s="1" t="str">
        <f ca="1">IFERROR(__xludf.DUMMYFUNCTION("""COMPUTED_VALUE"""),"Бандаж универсальный 4011 M/L (Болгария) - 0922026KZ026")</f>
        <v>Бандаж универсальный 4011 M/L (Болгария) - 0922026KZ026</v>
      </c>
      <c r="G2145" s="1" t="str">
        <f ca="1">IFERROR(__xludf.DUMMYFUNCTION("""COMPUTED_VALUE"""),"KZ.7700.02.01.00922861 / Действительно до 07.09.2027 / 0922026KZ026 / годен до 07.09.2027")</f>
        <v>KZ.7700.02.01.00922861 / Действительно до 07.09.2027 / 0922026KZ026 / годен до 07.09.2027</v>
      </c>
      <c r="H2145" s="1" t="str">
        <f ca="1">IFERROR(__xludf.DUMMYFUNCTION("""COMPUTED_VALUE"""),"Бандаж универсальный 4011 M/L (Болгария) KZ.7700.02.01.00922861 / Действительно до 07.09.2027 / 0922026KZ026 / годен до 07.09.2027")</f>
        <v>Бандаж универсальный 4011 M/L (Болгария) KZ.7700.02.01.00922861 / Действительно до 07.09.2027 / 0922026KZ026 / годен до 07.09.2027</v>
      </c>
    </row>
    <row r="2146" spans="1:8" ht="12.75" x14ac:dyDescent="0.2">
      <c r="A2146" s="1" t="str">
        <f ca="1">IFERROR(__xludf.DUMMYFUNCTION("""COMPUTED_VALUE"""),"Бандаж универсальный 4011 XL/XXL (Болгария)")</f>
        <v>Бандаж универсальный 4011 XL/XXL (Болгария)</v>
      </c>
      <c r="B2146" s="1" t="str">
        <f ca="1">IFERROR(__xludf.DUMMYFUNCTION("""COMPUTED_VALUE"""),"KZ.7700.02.01.00922861")</f>
        <v>KZ.7700.02.01.00922861</v>
      </c>
      <c r="C2146" s="1" t="str">
        <f ca="1">IFERROR(__xludf.DUMMYFUNCTION("""COMPUTED_VALUE"""),"Действительно до 07.09.2027")</f>
        <v>Действительно до 07.09.2027</v>
      </c>
      <c r="D2146" s="8" t="str">
        <f ca="1">IFERROR(__xludf.DUMMYFUNCTION("""COMPUTED_VALUE"""),"0922026KZ026")</f>
        <v>0922026KZ026</v>
      </c>
      <c r="E2146" s="1" t="str">
        <f ca="1">IFERROR(__xludf.DUMMYFUNCTION("""COMPUTED_VALUE"""),"годен до 07.09.2027")</f>
        <v>годен до 07.09.2027</v>
      </c>
      <c r="F2146" s="1" t="str">
        <f ca="1">IFERROR(__xludf.DUMMYFUNCTION("""COMPUTED_VALUE"""),"Бандаж универсальный 4011 XL/XXL (Болгария) - 0922026KZ026")</f>
        <v>Бандаж универсальный 4011 XL/XXL (Болгария) - 0922026KZ026</v>
      </c>
      <c r="G2146" s="1" t="str">
        <f ca="1">IFERROR(__xludf.DUMMYFUNCTION("""COMPUTED_VALUE"""),"KZ.7700.02.01.00922861 / Действительно до 07.09.2027 / 0922026KZ026 / годен до 07.09.2027")</f>
        <v>KZ.7700.02.01.00922861 / Действительно до 07.09.2027 / 0922026KZ026 / годен до 07.09.2027</v>
      </c>
      <c r="H2146" s="1" t="str">
        <f ca="1">IFERROR(__xludf.DUMMYFUNCTION("""COMPUTED_VALUE"""),"Бандаж универсальный 4011 XL/XXL (Болгария) KZ.7700.02.01.00922861 / Действительно до 07.09.2027 / 0922026KZ026 / годен до 07.09.2027")</f>
        <v>Бандаж универсальный 4011 XL/XXL (Болгария) KZ.7700.02.01.00922861 / Действительно до 07.09.2027 / 0922026KZ026 / годен до 07.09.2027</v>
      </c>
    </row>
    <row r="2147" spans="1:8" ht="12.75" x14ac:dyDescent="0.2">
      <c r="A2147" s="1" t="str">
        <f ca="1">IFERROR(__xludf.DUMMYFUNCTION("""COMPUTED_VALUE"""),"Бандаж универсальный 4011 XXXL/XXXXL (Болгария)")</f>
        <v>Бандаж универсальный 4011 XXXL/XXXXL (Болгария)</v>
      </c>
      <c r="B2147" s="1" t="str">
        <f ca="1">IFERROR(__xludf.DUMMYFUNCTION("""COMPUTED_VALUE"""),"KZ.7700.02.01.00922861")</f>
        <v>KZ.7700.02.01.00922861</v>
      </c>
      <c r="C2147" s="1" t="str">
        <f ca="1">IFERROR(__xludf.DUMMYFUNCTION("""COMPUTED_VALUE"""),"Действительно до 07.09.2027")</f>
        <v>Действительно до 07.09.2027</v>
      </c>
      <c r="D2147" s="8" t="str">
        <f ca="1">IFERROR(__xludf.DUMMYFUNCTION("""COMPUTED_VALUE"""),"0922026KZ026")</f>
        <v>0922026KZ026</v>
      </c>
      <c r="E2147" s="1" t="str">
        <f ca="1">IFERROR(__xludf.DUMMYFUNCTION("""COMPUTED_VALUE"""),"годен до 07.09.2027")</f>
        <v>годен до 07.09.2027</v>
      </c>
      <c r="F2147" s="1" t="str">
        <f ca="1">IFERROR(__xludf.DUMMYFUNCTION("""COMPUTED_VALUE"""),"Бандаж универсальный 4011 XXXL/XXXXL (Болгария) - 0922026KZ026")</f>
        <v>Бандаж универсальный 4011 XXXL/XXXXL (Болгария) - 0922026KZ026</v>
      </c>
      <c r="G2147" s="1" t="str">
        <f ca="1">IFERROR(__xludf.DUMMYFUNCTION("""COMPUTED_VALUE"""),"KZ.7700.02.01.00922861 / Действительно до 07.09.2027 / 0922026KZ026 / годен до 07.09.2027")</f>
        <v>KZ.7700.02.01.00922861 / Действительно до 07.09.2027 / 0922026KZ026 / годен до 07.09.2027</v>
      </c>
      <c r="H2147" s="1" t="str">
        <f ca="1">IFERROR(__xludf.DUMMYFUNCTION("""COMPUTED_VALUE"""),"Бандаж универсальный 4011 XXXL/XXXXL (Болгария) KZ.7700.02.01.00922861 / Действительно до 07.09.2027 / 0922026KZ026 / годен до 07.09.2027")</f>
        <v>Бандаж универсальный 4011 XXXL/XXXXL (Болгария) KZ.7700.02.01.00922861 / Действительно до 07.09.2027 / 0922026KZ026 / годен до 07.09.2027</v>
      </c>
    </row>
    <row r="2148" spans="1:8" ht="12.75" x14ac:dyDescent="0.2">
      <c r="A2148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2148" s="1" t="str">
        <f ca="1">IFERROR(__xludf.DUMMYFUNCTION("""COMPUTED_VALUE"""),"KZ.7700.02.01.00922514")</f>
        <v>KZ.7700.02.01.00922514</v>
      </c>
      <c r="C2148" s="1" t="str">
        <f ca="1">IFERROR(__xludf.DUMMYFUNCTION("""COMPUTED_VALUE"""),"Действительно до 07.09.2027")</f>
        <v>Действительно до 07.09.2027</v>
      </c>
      <c r="D2148" s="8" t="str">
        <f ca="1">IFERROR(__xludf.DUMMYFUNCTION("""COMPUTED_VALUE"""),"0922026KZ026")</f>
        <v>0922026KZ026</v>
      </c>
      <c r="E2148" s="1" t="str">
        <f ca="1">IFERROR(__xludf.DUMMYFUNCTION("""COMPUTED_VALUE"""),"годен до 07.09.2027")</f>
        <v>годен до 07.09.2027</v>
      </c>
      <c r="F2148" s="1" t="str">
        <f ca="1">IFERROR(__xludf.DUMMYFUNCTION("""COMPUTED_VALUE"""),"Бандаж грыжевой лево-и правосторонний 5001 M/L (Болгария) - 0922026KZ026")</f>
        <v>Бандаж грыжевой лево-и правосторонний 5001 M/L (Болгария) - 0922026KZ026</v>
      </c>
      <c r="G2148" s="1" t="str">
        <f ca="1">IFERROR(__xludf.DUMMYFUNCTION("""COMPUTED_VALUE"""),"KZ.7700.02.01.00922514 / Действительно до 07.09.2027 / 0922026KZ026 / годен до 07.09.2027")</f>
        <v>KZ.7700.02.01.00922514 / Действительно до 07.09.2027 / 0922026KZ026 / годен до 07.09.2027</v>
      </c>
      <c r="H2148" s="1" t="str">
        <f ca="1">IFERROR(__xludf.DUMMYFUNCTION("""COMPUTED_VALUE"""),"Бандаж грыжевой лево-и правосторонний 5001 M/L (Болгария) KZ.7700.02.01.00922514 / Действительно до 07.09.2027 / 0922026KZ026 / годен до 07.09.2027")</f>
        <v>Бандаж грыжевой лево-и правосторонний 5001 M/L (Болгария) KZ.7700.02.01.00922514 / Действительно до 07.09.2027 / 0922026KZ026 / годен до 07.09.2027</v>
      </c>
    </row>
    <row r="2149" spans="1:8" ht="12.75" x14ac:dyDescent="0.2">
      <c r="A2149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2149" s="1" t="str">
        <f ca="1">IFERROR(__xludf.DUMMYFUNCTION("""COMPUTED_VALUE"""),"KZ.7700.02.01.00922514")</f>
        <v>KZ.7700.02.01.00922514</v>
      </c>
      <c r="C2149" s="1" t="str">
        <f ca="1">IFERROR(__xludf.DUMMYFUNCTION("""COMPUTED_VALUE"""),"Действительно до 07.09.2027")</f>
        <v>Действительно до 07.09.2027</v>
      </c>
      <c r="D2149" s="8" t="str">
        <f ca="1">IFERROR(__xludf.DUMMYFUNCTION("""COMPUTED_VALUE"""),"0922026KZ026")</f>
        <v>0922026KZ026</v>
      </c>
      <c r="E2149" s="1" t="str">
        <f ca="1">IFERROR(__xludf.DUMMYFUNCTION("""COMPUTED_VALUE"""),"годен до 07.09.2027")</f>
        <v>годен до 07.09.2027</v>
      </c>
      <c r="F2149" s="1" t="str">
        <f ca="1">IFERROR(__xludf.DUMMYFUNCTION("""COMPUTED_VALUE"""),"Бандаж грыжевой лево-и правосторонний 5001 XL/XXL (Болгария) - 0922026KZ026")</f>
        <v>Бандаж грыжевой лево-и правосторонний 5001 XL/XXL (Болгария) - 0922026KZ026</v>
      </c>
      <c r="G2149" s="1" t="str">
        <f ca="1">IFERROR(__xludf.DUMMYFUNCTION("""COMPUTED_VALUE"""),"KZ.7700.02.01.00922514 / Действительно до 07.09.2027 / 0922026KZ026 / годен до 07.09.2027")</f>
        <v>KZ.7700.02.01.00922514 / Действительно до 07.09.2027 / 0922026KZ026 / годен до 07.09.2027</v>
      </c>
      <c r="H2149" s="1" t="str">
        <f ca="1">IFERROR(__xludf.DUMMYFUNCTION("""COMPUTED_VALUE"""),"Бандаж грыжевой лево-и правосторонний 5001 XL/XXL (Болгария) KZ.7700.02.01.00922514 / Действительно до 07.09.2027 / 0922026KZ026 / годен до 07.09.2027")</f>
        <v>Бандаж грыжевой лево-и правосторонний 5001 XL/XXL (Болгария) KZ.7700.02.01.00922514 / Действительно до 07.09.2027 / 0922026KZ026 / годен до 07.09.2027</v>
      </c>
    </row>
    <row r="2150" spans="1:8" ht="12.75" x14ac:dyDescent="0.2">
      <c r="A2150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2150" s="1" t="str">
        <f ca="1">IFERROR(__xludf.DUMMYFUNCTION("""COMPUTED_VALUE"""),"KZ.7700.02.01.00922891")</f>
        <v>KZ.7700.02.01.00922891</v>
      </c>
      <c r="C2150" s="1" t="str">
        <f ca="1">IFERROR(__xludf.DUMMYFUNCTION("""COMPUTED_VALUE"""),"Действительно до 07.09.2027")</f>
        <v>Действительно до 07.09.2027</v>
      </c>
      <c r="D2150" s="8" t="str">
        <f ca="1">IFERROR(__xludf.DUMMYFUNCTION("""COMPUTED_VALUE"""),"0922026KZ026")</f>
        <v>0922026KZ026</v>
      </c>
      <c r="E2150" s="1" t="str">
        <f ca="1">IFERROR(__xludf.DUMMYFUNCTION("""COMPUTED_VALUE"""),"годен до 07.09.2027")</f>
        <v>годен до 07.09.2027</v>
      </c>
      <c r="F2150" s="1" t="str">
        <f ca="1">IFERROR(__xludf.DUMMYFUNCTION("""COMPUTED_VALUE"""),"Бандаж при пупочной грыже 5051 M/L (Болгария) - 0922026KZ026")</f>
        <v>Бандаж при пупочной грыже 5051 M/L (Болгария) - 0922026KZ026</v>
      </c>
      <c r="G2150" s="1" t="str">
        <f ca="1">IFERROR(__xludf.DUMMYFUNCTION("""COMPUTED_VALUE"""),"KZ.7700.02.01.00922891 / Действительно до 07.09.2027 / 0922026KZ026 / годен до 07.09.2027")</f>
        <v>KZ.7700.02.01.00922891 / Действительно до 07.09.2027 / 0922026KZ026 / годен до 07.09.2027</v>
      </c>
      <c r="H2150" s="1" t="str">
        <f ca="1">IFERROR(__xludf.DUMMYFUNCTION("""COMPUTED_VALUE"""),"Бандаж при пупочной грыже 5051 M/L (Болгария) KZ.7700.02.01.00922891 / Действительно до 07.09.2027 / 0922026KZ026 / годен до 07.09.2027")</f>
        <v>Бандаж при пупочной грыже 5051 M/L (Болгария) KZ.7700.02.01.00922891 / Действительно до 07.09.2027 / 0922026KZ026 / годен до 07.09.2027</v>
      </c>
    </row>
    <row r="2151" spans="1:8" ht="12.75" x14ac:dyDescent="0.2">
      <c r="A2151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2151" s="1" t="str">
        <f ca="1">IFERROR(__xludf.DUMMYFUNCTION("""COMPUTED_VALUE"""),"KZ.7700.02.01.00922891")</f>
        <v>KZ.7700.02.01.00922891</v>
      </c>
      <c r="C2151" s="1" t="str">
        <f ca="1">IFERROR(__xludf.DUMMYFUNCTION("""COMPUTED_VALUE"""),"Действительно до 07.09.2027")</f>
        <v>Действительно до 07.09.2027</v>
      </c>
      <c r="D2151" s="8" t="str">
        <f ca="1">IFERROR(__xludf.DUMMYFUNCTION("""COMPUTED_VALUE"""),"0922026KZ026")</f>
        <v>0922026KZ026</v>
      </c>
      <c r="E2151" s="1" t="str">
        <f ca="1">IFERROR(__xludf.DUMMYFUNCTION("""COMPUTED_VALUE"""),"годен до 07.09.2027")</f>
        <v>годен до 07.09.2027</v>
      </c>
      <c r="F2151" s="1" t="str">
        <f ca="1">IFERROR(__xludf.DUMMYFUNCTION("""COMPUTED_VALUE"""),"Бандаж при пупочной грыже 5051 XL/XXL (Болгария) - 0922026KZ026")</f>
        <v>Бандаж при пупочной грыже 5051 XL/XXL (Болгария) - 0922026KZ026</v>
      </c>
      <c r="G2151" s="1" t="str">
        <f ca="1">IFERROR(__xludf.DUMMYFUNCTION("""COMPUTED_VALUE"""),"KZ.7700.02.01.00922891 / Действительно до 07.09.2027 / 0922026KZ026 / годен до 07.09.2027")</f>
        <v>KZ.7700.02.01.00922891 / Действительно до 07.09.2027 / 0922026KZ026 / годен до 07.09.2027</v>
      </c>
      <c r="H2151" s="1" t="str">
        <f ca="1">IFERROR(__xludf.DUMMYFUNCTION("""COMPUTED_VALUE"""),"Бандаж при пупочной грыже 5051 XL/XXL (Болгария) KZ.7700.02.01.00922891 / Действительно до 07.09.2027 / 0922026KZ026 / годен до 07.09.2027")</f>
        <v>Бандаж при пупочной грыже 5051 XL/XXL (Болгария) KZ.7700.02.01.00922891 / Действительно до 07.09.2027 / 0922026KZ026 / годен до 07.09.2027</v>
      </c>
    </row>
    <row r="2152" spans="1:8" ht="12.75" x14ac:dyDescent="0.2">
      <c r="A2152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2152" s="1" t="str">
        <f ca="1">IFERROR(__xludf.DUMMYFUNCTION("""COMPUTED_VALUE"""),"KZ.7700.02.01.00922891")</f>
        <v>KZ.7700.02.01.00922891</v>
      </c>
      <c r="C2152" s="1" t="str">
        <f ca="1">IFERROR(__xludf.DUMMYFUNCTION("""COMPUTED_VALUE"""),"Действительно до 07.09.2027")</f>
        <v>Действительно до 07.09.2027</v>
      </c>
      <c r="D2152" s="8" t="str">
        <f ca="1">IFERROR(__xludf.DUMMYFUNCTION("""COMPUTED_VALUE"""),"0922026KZ026")</f>
        <v>0922026KZ026</v>
      </c>
      <c r="E2152" s="1" t="str">
        <f ca="1">IFERROR(__xludf.DUMMYFUNCTION("""COMPUTED_VALUE"""),"годен до 07.09.2027")</f>
        <v>годен до 07.09.2027</v>
      </c>
      <c r="F2152" s="1" t="str">
        <f ca="1">IFERROR(__xludf.DUMMYFUNCTION("""COMPUTED_VALUE"""),"Бандаж при пупочной грыже 5051 XXXL/XXXXL (Болгария) - 0922026KZ026")</f>
        <v>Бандаж при пупочной грыже 5051 XXXL/XXXXL (Болгария) - 0922026KZ026</v>
      </c>
      <c r="G2152" s="1" t="str">
        <f ca="1">IFERROR(__xludf.DUMMYFUNCTION("""COMPUTED_VALUE"""),"KZ.7700.02.01.00922891 / Действительно до 07.09.2027 / 0922026KZ026 / годен до 07.09.2027")</f>
        <v>KZ.7700.02.01.00922891 / Действительно до 07.09.2027 / 0922026KZ026 / годен до 07.09.2027</v>
      </c>
      <c r="H2152" s="1" t="str">
        <f ca="1">IFERROR(__xludf.DUMMYFUNCTION("""COMPUTED_VALUE"""),"Бандаж при пупочной грыже 5051 XXXL/XXXXL (Болгария) KZ.7700.02.01.00922891 / Действительно до 07.09.2027 / 0922026KZ026 / годен до 07.09.2027")</f>
        <v>Бандаж при пупочной грыже 5051 XXXL/XXXXL (Болгария) KZ.7700.02.01.00922891 / Действительно до 07.09.2027 / 0922026KZ026 / годен до 07.09.2027</v>
      </c>
    </row>
    <row r="2153" spans="1:8" ht="12.75" x14ac:dyDescent="0.2">
      <c r="A2153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2153" s="1" t="str">
        <f ca="1">IFERROR(__xludf.DUMMYFUNCTION("""COMPUTED_VALUE"""),"KZ.7700.02.01.00922856")</f>
        <v>KZ.7700.02.01.00922856</v>
      </c>
      <c r="C2153" s="1" t="str">
        <f ca="1">IFERROR(__xludf.DUMMYFUNCTION("""COMPUTED_VALUE"""),"Действительно до 07.09.2027")</f>
        <v>Действительно до 07.09.2027</v>
      </c>
      <c r="D2153" s="8" t="str">
        <f ca="1">IFERROR(__xludf.DUMMYFUNCTION("""COMPUTED_VALUE"""),"0922026KZ026")</f>
        <v>0922026KZ026</v>
      </c>
      <c r="E2153" s="1" t="str">
        <f ca="1">IFERROR(__xludf.DUMMYFUNCTION("""COMPUTED_VALUE"""),"годен до 07.09.2027")</f>
        <v>годен до 07.09.2027</v>
      </c>
      <c r="F2153" s="1" t="str">
        <f ca="1">IFERROR(__xludf.DUMMYFUNCTION("""COMPUTED_VALUE"""),"Бандаж на коленный сустав эластичный 6040 S (Болгария) - 0922026KZ026")</f>
        <v>Бандаж на коленный сустав эластичный 6040 S (Болгария) - 0922026KZ026</v>
      </c>
      <c r="G2153" s="1" t="str">
        <f ca="1">IFERROR(__xludf.DUMMYFUNCTION("""COMPUTED_VALUE"""),"KZ.7700.02.01.00922856 / Действительно до 07.09.2027 / 0922026KZ026 / годен до 07.09.2027")</f>
        <v>KZ.7700.02.01.00922856 / Действительно до 07.09.2027 / 0922026KZ026 / годен до 07.09.2027</v>
      </c>
      <c r="H2153" s="1" t="str">
        <f ca="1">IFERROR(__xludf.DUMMYFUNCTION("""COMPUTED_VALUE"""),"Бандаж на коленный сустав эластичный 6040 S (Болгария) KZ.7700.02.01.00922856 / Действительно до 07.09.2027 / 0922026KZ026 / годен до 07.09.2027")</f>
        <v>Бандаж на коленный сустав эластичный 6040 S (Болгария) KZ.7700.02.01.00922856 / Действительно до 07.09.2027 / 0922026KZ026 / годен до 07.09.2027</v>
      </c>
    </row>
    <row r="2154" spans="1:8" ht="12.75" x14ac:dyDescent="0.2">
      <c r="A2154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2154" s="1" t="str">
        <f ca="1">IFERROR(__xludf.DUMMYFUNCTION("""COMPUTED_VALUE"""),"KZ.7700.02.01.00922856")</f>
        <v>KZ.7700.02.01.00922856</v>
      </c>
      <c r="C2154" s="1" t="str">
        <f ca="1">IFERROR(__xludf.DUMMYFUNCTION("""COMPUTED_VALUE"""),"Действительно до 07.09.2027")</f>
        <v>Действительно до 07.09.2027</v>
      </c>
      <c r="D2154" s="8" t="str">
        <f ca="1">IFERROR(__xludf.DUMMYFUNCTION("""COMPUTED_VALUE"""),"0922026KZ026")</f>
        <v>0922026KZ026</v>
      </c>
      <c r="E2154" s="1" t="str">
        <f ca="1">IFERROR(__xludf.DUMMYFUNCTION("""COMPUTED_VALUE"""),"годен до 07.09.2027")</f>
        <v>годен до 07.09.2027</v>
      </c>
      <c r="F2154" s="1" t="str">
        <f ca="1">IFERROR(__xludf.DUMMYFUNCTION("""COMPUTED_VALUE"""),"Бандаж на коленный сустав эластичный 6040 M (Болгария) - 0922026KZ026")</f>
        <v>Бандаж на коленный сустав эластичный 6040 M (Болгария) - 0922026KZ026</v>
      </c>
      <c r="G2154" s="1" t="str">
        <f ca="1">IFERROR(__xludf.DUMMYFUNCTION("""COMPUTED_VALUE"""),"KZ.7700.02.01.00922856 / Действительно до 07.09.2027 / 0922026KZ026 / годен до 07.09.2027")</f>
        <v>KZ.7700.02.01.00922856 / Действительно до 07.09.2027 / 0922026KZ026 / годен до 07.09.2027</v>
      </c>
      <c r="H2154" s="1" t="str">
        <f ca="1">IFERROR(__xludf.DUMMYFUNCTION("""COMPUTED_VALUE"""),"Бандаж на коленный сустав эластичный 6040 M (Болгария) KZ.7700.02.01.00922856 / Действительно до 07.09.2027 / 0922026KZ026 / годен до 07.09.2027")</f>
        <v>Бандаж на коленный сустав эластичный 6040 M (Болгария) KZ.7700.02.01.00922856 / Действительно до 07.09.2027 / 0922026KZ026 / годен до 07.09.2027</v>
      </c>
    </row>
    <row r="2155" spans="1:8" ht="12.75" x14ac:dyDescent="0.2">
      <c r="A2155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2155" s="1" t="str">
        <f ca="1">IFERROR(__xludf.DUMMYFUNCTION("""COMPUTED_VALUE"""),"KZ.7700.02.01.00922856")</f>
        <v>KZ.7700.02.01.00922856</v>
      </c>
      <c r="C2155" s="1" t="str">
        <f ca="1">IFERROR(__xludf.DUMMYFUNCTION("""COMPUTED_VALUE"""),"Действительно до 07.09.2027")</f>
        <v>Действительно до 07.09.2027</v>
      </c>
      <c r="D2155" s="8" t="str">
        <f ca="1">IFERROR(__xludf.DUMMYFUNCTION("""COMPUTED_VALUE"""),"0922026KZ026")</f>
        <v>0922026KZ026</v>
      </c>
      <c r="E2155" s="1" t="str">
        <f ca="1">IFERROR(__xludf.DUMMYFUNCTION("""COMPUTED_VALUE"""),"годен до 07.09.2027")</f>
        <v>годен до 07.09.2027</v>
      </c>
      <c r="F2155" s="1" t="str">
        <f ca="1">IFERROR(__xludf.DUMMYFUNCTION("""COMPUTED_VALUE"""),"Бандаж на коленный сустав эластичный 6040 L (Болгария) - 0922026KZ026")</f>
        <v>Бандаж на коленный сустав эластичный 6040 L (Болгария) - 0922026KZ026</v>
      </c>
      <c r="G2155" s="1" t="str">
        <f ca="1">IFERROR(__xludf.DUMMYFUNCTION("""COMPUTED_VALUE"""),"KZ.7700.02.01.00922856 / Действительно до 07.09.2027 / 0922026KZ026 / годен до 07.09.2027")</f>
        <v>KZ.7700.02.01.00922856 / Действительно до 07.09.2027 / 0922026KZ026 / годен до 07.09.2027</v>
      </c>
      <c r="H2155" s="1" t="str">
        <f ca="1">IFERROR(__xludf.DUMMYFUNCTION("""COMPUTED_VALUE"""),"Бандаж на коленный сустав эластичный 6040 L (Болгария) KZ.7700.02.01.00922856 / Действительно до 07.09.2027 / 0922026KZ026 / годен до 07.09.2027")</f>
        <v>Бандаж на коленный сустав эластичный 6040 L (Болгария) KZ.7700.02.01.00922856 / Действительно до 07.09.2027 / 0922026KZ026 / годен до 07.09.2027</v>
      </c>
    </row>
    <row r="2156" spans="1:8" ht="12.75" x14ac:dyDescent="0.2">
      <c r="A2156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2156" s="1" t="str">
        <f ca="1">IFERROR(__xludf.DUMMYFUNCTION("""COMPUTED_VALUE"""),"KZ.7700.02.01.00922856")</f>
        <v>KZ.7700.02.01.00922856</v>
      </c>
      <c r="C2156" s="1" t="str">
        <f ca="1">IFERROR(__xludf.DUMMYFUNCTION("""COMPUTED_VALUE"""),"Действительно до 07.09.2027")</f>
        <v>Действительно до 07.09.2027</v>
      </c>
      <c r="D2156" s="8" t="str">
        <f ca="1">IFERROR(__xludf.DUMMYFUNCTION("""COMPUTED_VALUE"""),"0922026KZ026")</f>
        <v>0922026KZ026</v>
      </c>
      <c r="E2156" s="1" t="str">
        <f ca="1">IFERROR(__xludf.DUMMYFUNCTION("""COMPUTED_VALUE"""),"годен до 07.09.2027")</f>
        <v>годен до 07.09.2027</v>
      </c>
      <c r="F2156" s="1" t="str">
        <f ca="1">IFERROR(__xludf.DUMMYFUNCTION("""COMPUTED_VALUE"""),"Бандаж на коленный сустав эластичный 6040 XL (Болгария) - 0922026KZ026")</f>
        <v>Бандаж на коленный сустав эластичный 6040 XL (Болгария) - 0922026KZ026</v>
      </c>
      <c r="G2156" s="1" t="str">
        <f ca="1">IFERROR(__xludf.DUMMYFUNCTION("""COMPUTED_VALUE"""),"KZ.7700.02.01.00922856 / Действительно до 07.09.2027 / 0922026KZ026 / годен до 07.09.2027")</f>
        <v>KZ.7700.02.01.00922856 / Действительно до 07.09.2027 / 0922026KZ026 / годен до 07.09.2027</v>
      </c>
      <c r="H2156" s="1" t="str">
        <f ca="1">IFERROR(__xludf.DUMMYFUNCTION("""COMPUTED_VALUE"""),"Бандаж на коленный сустав эластичный 6040 XL (Болгария) KZ.7700.02.01.00922856 / Действительно до 07.09.2027 / 0922026KZ026 / годен до 07.09.2027")</f>
        <v>Бандаж на коленный сустав эластичный 6040 XL (Болгария) KZ.7700.02.01.00922856 / Действительно до 07.09.2027 / 0922026KZ026 / годен до 07.09.2027</v>
      </c>
    </row>
    <row r="2157" spans="1:8" ht="12.75" x14ac:dyDescent="0.2">
      <c r="A2157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2157" s="1" t="str">
        <f ca="1">IFERROR(__xludf.DUMMYFUNCTION("""COMPUTED_VALUE"""),"KZ.7700.02.01.00922867")</f>
        <v>KZ.7700.02.01.00922867</v>
      </c>
      <c r="C2157" s="1" t="str">
        <f ca="1">IFERROR(__xludf.DUMMYFUNCTION("""COMPUTED_VALUE"""),"Действительно до 07.09.2027")</f>
        <v>Действительно до 07.09.2027</v>
      </c>
      <c r="D2157" s="8" t="str">
        <f ca="1">IFERROR(__xludf.DUMMYFUNCTION("""COMPUTED_VALUE"""),"0922026KZ026")</f>
        <v>0922026KZ026</v>
      </c>
      <c r="E2157" s="1" t="str">
        <f ca="1">IFERROR(__xludf.DUMMYFUNCTION("""COMPUTED_VALUE"""),"годен до 07.09.2027")</f>
        <v>годен до 07.09.2027</v>
      </c>
      <c r="F2157" s="1" t="str">
        <f ca="1">IFERROR(__xludf.DUMMYFUNCTION("""COMPUTED_VALUE"""),"Бандаж на коленный сустав разъемный 6058 S\M (Болгария) - 0922026KZ026")</f>
        <v>Бандаж на коленный сустав разъемный 6058 S\M (Болгария) - 0922026KZ026</v>
      </c>
      <c r="G2157" s="1" t="str">
        <f ca="1">IFERROR(__xludf.DUMMYFUNCTION("""COMPUTED_VALUE"""),"KZ.7700.02.01.00922867 / Действительно до 07.09.2027 / 0922026KZ026 / годен до 07.09.2027")</f>
        <v>KZ.7700.02.01.00922867 / Действительно до 07.09.2027 / 0922026KZ026 / годен до 07.09.2027</v>
      </c>
      <c r="H2157" s="1" t="str">
        <f ca="1">IFERROR(__xludf.DUMMYFUNCTION("""COMPUTED_VALUE"""),"Бандаж на коленный сустав разъемный 6058 S\M (Болгария) KZ.7700.02.01.00922867 / Действительно до 07.09.2027 / 0922026KZ026 / годен до 07.09.2027")</f>
        <v>Бандаж на коленный сустав разъемный 6058 S\M (Болгария) KZ.7700.02.01.00922867 / Действительно до 07.09.2027 / 0922026KZ026 / годен до 07.09.2027</v>
      </c>
    </row>
    <row r="2158" spans="1:8" ht="12.75" x14ac:dyDescent="0.2">
      <c r="A2158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2158" s="1" t="str">
        <f ca="1">IFERROR(__xludf.DUMMYFUNCTION("""COMPUTED_VALUE"""),"KZ.7700.02.01.00922867")</f>
        <v>KZ.7700.02.01.00922867</v>
      </c>
      <c r="C2158" s="1" t="str">
        <f ca="1">IFERROR(__xludf.DUMMYFUNCTION("""COMPUTED_VALUE"""),"Действительно до 07.09.2027")</f>
        <v>Действительно до 07.09.2027</v>
      </c>
      <c r="D2158" s="8" t="str">
        <f ca="1">IFERROR(__xludf.DUMMYFUNCTION("""COMPUTED_VALUE"""),"0922026KZ026")</f>
        <v>0922026KZ026</v>
      </c>
      <c r="E2158" s="1" t="str">
        <f ca="1">IFERROR(__xludf.DUMMYFUNCTION("""COMPUTED_VALUE"""),"годен до 07.09.2027")</f>
        <v>годен до 07.09.2027</v>
      </c>
      <c r="F2158" s="1" t="str">
        <f ca="1">IFERROR(__xludf.DUMMYFUNCTION("""COMPUTED_VALUE"""),"Бандаж на коленный сустав разъемный 6058 L\XL (Болгария) - 0922026KZ026")</f>
        <v>Бандаж на коленный сустав разъемный 6058 L\XL (Болгария) - 0922026KZ026</v>
      </c>
      <c r="G2158" s="1" t="str">
        <f ca="1">IFERROR(__xludf.DUMMYFUNCTION("""COMPUTED_VALUE"""),"KZ.7700.02.01.00922867 / Действительно до 07.09.2027 / 0922026KZ026 / годен до 07.09.2027")</f>
        <v>KZ.7700.02.01.00922867 / Действительно до 07.09.2027 / 0922026KZ026 / годен до 07.09.2027</v>
      </c>
      <c r="H2158" s="1" t="str">
        <f ca="1">IFERROR(__xludf.DUMMYFUNCTION("""COMPUTED_VALUE"""),"Бандаж на коленный сустав разъемный 6058 L\XL (Болгария) KZ.7700.02.01.00922867 / Действительно до 07.09.2027 / 0922026KZ026 / годен до 07.09.2027")</f>
        <v>Бандаж на коленный сустав разъемный 6058 L\XL (Болгария) KZ.7700.02.01.00922867 / Действительно до 07.09.2027 / 0922026KZ026 / годен до 07.09.2027</v>
      </c>
    </row>
    <row r="2159" spans="1:8" ht="12.75" x14ac:dyDescent="0.2">
      <c r="A2159" s="1" t="str">
        <f ca="1">IFERROR(__xludf.DUMMYFUNCTION("""COMPUTED_VALUE"""),"Бандаж на коленный сустав разъемный 6058 XXL (Болгария)")</f>
        <v>Бандаж на коленный сустав разъемный 6058 XXL (Болгария)</v>
      </c>
      <c r="B2159" s="1" t="str">
        <f ca="1">IFERROR(__xludf.DUMMYFUNCTION("""COMPUTED_VALUE"""),"KZ.7700.02.01.00922867")</f>
        <v>KZ.7700.02.01.00922867</v>
      </c>
      <c r="C2159" s="1" t="str">
        <f ca="1">IFERROR(__xludf.DUMMYFUNCTION("""COMPUTED_VALUE"""),"Действительно до 07.09.2027")</f>
        <v>Действительно до 07.09.2027</v>
      </c>
      <c r="D2159" s="8" t="str">
        <f ca="1">IFERROR(__xludf.DUMMYFUNCTION("""COMPUTED_VALUE"""),"0922026KZ026")</f>
        <v>0922026KZ026</v>
      </c>
      <c r="E2159" s="1" t="str">
        <f ca="1">IFERROR(__xludf.DUMMYFUNCTION("""COMPUTED_VALUE"""),"годен до 07.09.2027")</f>
        <v>годен до 07.09.2027</v>
      </c>
      <c r="F2159" s="1" t="str">
        <f ca="1">IFERROR(__xludf.DUMMYFUNCTION("""COMPUTED_VALUE"""),"Бандаж на коленный сустав разъемный 6058 XXL (Болгария) - 0922026KZ026")</f>
        <v>Бандаж на коленный сустав разъемный 6058 XXL (Болгария) - 0922026KZ026</v>
      </c>
      <c r="G2159" s="1" t="str">
        <f ca="1">IFERROR(__xludf.DUMMYFUNCTION("""COMPUTED_VALUE"""),"KZ.7700.02.01.00922867 / Действительно до 07.09.2027 / 0922026KZ026 / годен до 07.09.2027")</f>
        <v>KZ.7700.02.01.00922867 / Действительно до 07.09.2027 / 0922026KZ026 / годен до 07.09.2027</v>
      </c>
      <c r="H2159" s="1" t="str">
        <f ca="1">IFERROR(__xludf.DUMMYFUNCTION("""COMPUTED_VALUE"""),"Бандаж на коленный сустав разъемный 6058 XXL (Болгария) KZ.7700.02.01.00922867 / Действительно до 07.09.2027 / 0922026KZ026 / годен до 07.09.2027")</f>
        <v>Бандаж на коленный сустав разъемный 6058 XXL (Болгария) KZ.7700.02.01.00922867 / Действительно до 07.09.2027 / 0922026KZ026 / годен до 07.09.2027</v>
      </c>
    </row>
    <row r="2160" spans="1:8" ht="12.75" x14ac:dyDescent="0.2">
      <c r="A2160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2160" s="1" t="str">
        <f ca="1">IFERROR(__xludf.DUMMYFUNCTION("""COMPUTED_VALUE"""),"KZ.7700.02.01.00922855")</f>
        <v>KZ.7700.02.01.00922855</v>
      </c>
      <c r="C2160" s="1" t="str">
        <f ca="1">IFERROR(__xludf.DUMMYFUNCTION("""COMPUTED_VALUE"""),"Действительно до 07.09.2027")</f>
        <v>Действительно до 07.09.2027</v>
      </c>
      <c r="D2160" s="8" t="str">
        <f ca="1">IFERROR(__xludf.DUMMYFUNCTION("""COMPUTED_VALUE"""),"0922026KZ026")</f>
        <v>0922026KZ026</v>
      </c>
      <c r="E2160" s="1" t="str">
        <f ca="1">IFERROR(__xludf.DUMMYFUNCTION("""COMPUTED_VALUE"""),"годен до 07.09.2027")</f>
        <v>годен до 07.09.2027</v>
      </c>
      <c r="F2160" s="1" t="str">
        <f ca="1">IFERROR(__xludf.DUMMYFUNCTION("""COMPUTED_VALUE"""),"Бандаж на голеностопный сустав легкой фиксации 7034 M (бежевый) (Болгария) - 0922026KZ026")</f>
        <v>Бандаж на голеностопный сустав легкой фиксации 7034 M (бежевый) (Болгария) - 0922026KZ026</v>
      </c>
      <c r="G2160" s="1" t="str">
        <f ca="1">IFERROR(__xludf.DUMMYFUNCTION("""COMPUTED_VALUE"""),"KZ.7700.02.01.00922855 / Действительно до 07.09.2027 / 0922026KZ026 / годен до 07.09.2027")</f>
        <v>KZ.7700.02.01.00922855 / Действительно до 07.09.2027 / 0922026KZ026 / годен до 07.09.2027</v>
      </c>
      <c r="H2160" s="1" t="str">
        <f ca="1">IFERROR(__xludf.DUMMYFUNCTION("""COMPUTED_VALUE"""),"Бандаж на голеностопный сустав легкой фиксации 7034 M (бежевый) (Болгария) KZ.7700.02.01.00922855 / Действительно до 07.09.2027 / 0922026KZ026 / годен до 07.09.2027")</f>
        <v>Бандаж на голеностопный сустав легкой фиксации 7034 M (бежевый) (Болгария) KZ.7700.02.01.00922855 / Действительно до 07.09.2027 / 0922026KZ026 / годен до 07.09.2027</v>
      </c>
    </row>
    <row r="2161" spans="1:8" ht="12.75" x14ac:dyDescent="0.2">
      <c r="A2161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2161" s="1" t="str">
        <f ca="1">IFERROR(__xludf.DUMMYFUNCTION("""COMPUTED_VALUE"""),"KZ.7700.02.01.00922855")</f>
        <v>KZ.7700.02.01.00922855</v>
      </c>
      <c r="C2161" s="1" t="str">
        <f ca="1">IFERROR(__xludf.DUMMYFUNCTION("""COMPUTED_VALUE"""),"Действительно до 07.09.2027")</f>
        <v>Действительно до 07.09.2027</v>
      </c>
      <c r="D2161" s="8" t="str">
        <f ca="1">IFERROR(__xludf.DUMMYFUNCTION("""COMPUTED_VALUE"""),"0922026KZ026")</f>
        <v>0922026KZ026</v>
      </c>
      <c r="E2161" s="1" t="str">
        <f ca="1">IFERROR(__xludf.DUMMYFUNCTION("""COMPUTED_VALUE"""),"годен до 07.09.2027")</f>
        <v>годен до 07.09.2027</v>
      </c>
      <c r="F2161" s="1" t="str">
        <f ca="1">IFERROR(__xludf.DUMMYFUNCTION("""COMPUTED_VALUE"""),"Бандаж на голеностопный сустав легкой фиксации 7034 L (бежевый) (Болгария) - 0922026KZ026")</f>
        <v>Бандаж на голеностопный сустав легкой фиксации 7034 L (бежевый) (Болгария) - 0922026KZ026</v>
      </c>
      <c r="G2161" s="1" t="str">
        <f ca="1">IFERROR(__xludf.DUMMYFUNCTION("""COMPUTED_VALUE"""),"KZ.7700.02.01.00922855 / Действительно до 07.09.2027 / 0922026KZ026 / годен до 07.09.2027")</f>
        <v>KZ.7700.02.01.00922855 / Действительно до 07.09.2027 / 0922026KZ026 / годен до 07.09.2027</v>
      </c>
      <c r="H2161" s="1" t="str">
        <f ca="1">IFERROR(__xludf.DUMMYFUNCTION("""COMPUTED_VALUE"""),"Бандаж на голеностопный сустав легкой фиксации 7034 L (бежевый) (Болгария) KZ.7700.02.01.00922855 / Действительно до 07.09.2027 / 0922026KZ026 / годен до 07.09.2027")</f>
        <v>Бандаж на голеностопный сустав легкой фиксации 7034 L (бежевый) (Болгария) KZ.7700.02.01.00922855 / Действительно до 07.09.2027 / 0922026KZ026 / годен до 07.09.2027</v>
      </c>
    </row>
    <row r="2162" spans="1:8" ht="12.75" x14ac:dyDescent="0.2">
      <c r="A2162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2162" s="1" t="str">
        <f ca="1">IFERROR(__xludf.DUMMYFUNCTION("""COMPUTED_VALUE"""),"KZ.7700.02.01.00922855")</f>
        <v>KZ.7700.02.01.00922855</v>
      </c>
      <c r="C2162" s="1" t="str">
        <f ca="1">IFERROR(__xludf.DUMMYFUNCTION("""COMPUTED_VALUE"""),"Действительно до 07.09.2027")</f>
        <v>Действительно до 07.09.2027</v>
      </c>
      <c r="D2162" s="8" t="str">
        <f ca="1">IFERROR(__xludf.DUMMYFUNCTION("""COMPUTED_VALUE"""),"0922026KZ026")</f>
        <v>0922026KZ026</v>
      </c>
      <c r="E2162" s="1" t="str">
        <f ca="1">IFERROR(__xludf.DUMMYFUNCTION("""COMPUTED_VALUE"""),"годен до 07.09.2027")</f>
        <v>годен до 07.09.2027</v>
      </c>
      <c r="F2162" s="1" t="str">
        <f ca="1">IFERROR(__xludf.DUMMYFUNCTION("""COMPUTED_VALUE"""),"Бандаж на голеностопный сустав легкой фиксации 7034 XL (бежевый) (Болгария) - 0922026KZ026")</f>
        <v>Бандаж на голеностопный сустав легкой фиксации 7034 XL (бежевый) (Болгария) - 0922026KZ026</v>
      </c>
      <c r="G2162" s="1" t="str">
        <f ca="1">IFERROR(__xludf.DUMMYFUNCTION("""COMPUTED_VALUE"""),"KZ.7700.02.01.00922855 / Действительно до 07.09.2027 / 0922026KZ026 / годен до 07.09.2027")</f>
        <v>KZ.7700.02.01.00922855 / Действительно до 07.09.2027 / 0922026KZ026 / годен до 07.09.2027</v>
      </c>
      <c r="H2162" s="1" t="str">
        <f ca="1">IFERROR(__xludf.DUMMYFUNCTION("""COMPUTED_VALUE"""),"Бандаж на голеностопный сустав легкой фиксации 7034 XL (бежевый) (Болгария) KZ.7700.02.01.00922855 / Действительно до 07.09.2027 / 0922026KZ026 / годен до 07.09.2027")</f>
        <v>Бандаж на голеностопный сустав легкой фиксации 7034 XL (бежевый) (Болгария) KZ.7700.02.01.00922855 / Действительно до 07.09.2027 / 0922026KZ026 / годен до 07.09.2027</v>
      </c>
    </row>
    <row r="2163" spans="1:8" ht="12.75" x14ac:dyDescent="0.2">
      <c r="A2163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2163" s="1" t="str">
        <f ca="1">IFERROR(__xludf.DUMMYFUNCTION("""COMPUTED_VALUE"""),"KZ.7700.02.01.00922874")</f>
        <v>KZ.7700.02.01.00922874</v>
      </c>
      <c r="C2163" s="1" t="str">
        <f ca="1">IFERROR(__xludf.DUMMYFUNCTION("""COMPUTED_VALUE"""),"Действительно до 07.09.2027")</f>
        <v>Действительно до 07.09.2027</v>
      </c>
      <c r="D2163" s="8" t="str">
        <f ca="1">IFERROR(__xludf.DUMMYFUNCTION("""COMPUTED_VALUE"""),"0922026KZ026")</f>
        <v>0922026KZ026</v>
      </c>
      <c r="E2163" s="1" t="str">
        <f ca="1">IFERROR(__xludf.DUMMYFUNCTION("""COMPUTED_VALUE"""),"годен до 07.09.2027")</f>
        <v>годен до 07.09.2027</v>
      </c>
      <c r="F2163" s="1" t="str">
        <f ca="1">IFERROR(__xludf.DUMMYFUNCTION("""COMPUTED_VALUE"""),"Бандаж на голеностопный сустав эластичный 7035 S (Болгария) - 0922026KZ026")</f>
        <v>Бандаж на голеностопный сустав эластичный 7035 S (Болгария) - 0922026KZ026</v>
      </c>
      <c r="G2163" s="1" t="str">
        <f ca="1">IFERROR(__xludf.DUMMYFUNCTION("""COMPUTED_VALUE"""),"KZ.7700.02.01.00922874 / Действительно до 07.09.2027 / 0922026KZ026 / годен до 07.09.2027")</f>
        <v>KZ.7700.02.01.00922874 / Действительно до 07.09.2027 / 0922026KZ026 / годен до 07.09.2027</v>
      </c>
      <c r="H2163" s="1" t="str">
        <f ca="1">IFERROR(__xludf.DUMMYFUNCTION("""COMPUTED_VALUE"""),"Бандаж на голеностопный сустав эластичный 7035 S (Болгария) KZ.7700.02.01.00922874 / Действительно до 07.09.2027 / 0922026KZ026 / годен до 07.09.2027")</f>
        <v>Бандаж на голеностопный сустав эластичный 7035 S (Болгария) KZ.7700.02.01.00922874 / Действительно до 07.09.2027 / 0922026KZ026 / годен до 07.09.2027</v>
      </c>
    </row>
    <row r="2164" spans="1:8" ht="12.75" x14ac:dyDescent="0.2">
      <c r="A2164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2164" s="1" t="str">
        <f ca="1">IFERROR(__xludf.DUMMYFUNCTION("""COMPUTED_VALUE"""),"KZ.7700.02.01.00922874")</f>
        <v>KZ.7700.02.01.00922874</v>
      </c>
      <c r="C2164" s="1" t="str">
        <f ca="1">IFERROR(__xludf.DUMMYFUNCTION("""COMPUTED_VALUE"""),"Действительно до 07.09.2027")</f>
        <v>Действительно до 07.09.2027</v>
      </c>
      <c r="D2164" s="8" t="str">
        <f ca="1">IFERROR(__xludf.DUMMYFUNCTION("""COMPUTED_VALUE"""),"0922026KZ026")</f>
        <v>0922026KZ026</v>
      </c>
      <c r="E2164" s="1" t="str">
        <f ca="1">IFERROR(__xludf.DUMMYFUNCTION("""COMPUTED_VALUE"""),"годен до 07.09.2027")</f>
        <v>годен до 07.09.2027</v>
      </c>
      <c r="F2164" s="1" t="str">
        <f ca="1">IFERROR(__xludf.DUMMYFUNCTION("""COMPUTED_VALUE"""),"Бандаж на голеностопный сустав эластичный 7035 M (Болгария) - 0922026KZ026")</f>
        <v>Бандаж на голеностопный сустав эластичный 7035 M (Болгария) - 0922026KZ026</v>
      </c>
      <c r="G2164" s="1" t="str">
        <f ca="1">IFERROR(__xludf.DUMMYFUNCTION("""COMPUTED_VALUE"""),"KZ.7700.02.01.00922874 / Действительно до 07.09.2027 / 0922026KZ026 / годен до 07.09.2027")</f>
        <v>KZ.7700.02.01.00922874 / Действительно до 07.09.2027 / 0922026KZ026 / годен до 07.09.2027</v>
      </c>
      <c r="H2164" s="1" t="str">
        <f ca="1">IFERROR(__xludf.DUMMYFUNCTION("""COMPUTED_VALUE"""),"Бандаж на голеностопный сустав эластичный 7035 M (Болгария) KZ.7700.02.01.00922874 / Действительно до 07.09.2027 / 0922026KZ026 / годен до 07.09.2027")</f>
        <v>Бандаж на голеностопный сустав эластичный 7035 M (Болгария) KZ.7700.02.01.00922874 / Действительно до 07.09.2027 / 0922026KZ026 / годен до 07.09.2027</v>
      </c>
    </row>
    <row r="2165" spans="1:8" ht="12.75" x14ac:dyDescent="0.2">
      <c r="A2165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2165" s="1" t="str">
        <f ca="1">IFERROR(__xludf.DUMMYFUNCTION("""COMPUTED_VALUE"""),"KZ.7700.02.01.00922874")</f>
        <v>KZ.7700.02.01.00922874</v>
      </c>
      <c r="C2165" s="1" t="str">
        <f ca="1">IFERROR(__xludf.DUMMYFUNCTION("""COMPUTED_VALUE"""),"Действительно до 07.09.2027")</f>
        <v>Действительно до 07.09.2027</v>
      </c>
      <c r="D2165" s="8" t="str">
        <f ca="1">IFERROR(__xludf.DUMMYFUNCTION("""COMPUTED_VALUE"""),"0922026KZ026")</f>
        <v>0922026KZ026</v>
      </c>
      <c r="E2165" s="1" t="str">
        <f ca="1">IFERROR(__xludf.DUMMYFUNCTION("""COMPUTED_VALUE"""),"годен до 07.09.2027")</f>
        <v>годен до 07.09.2027</v>
      </c>
      <c r="F2165" s="1" t="str">
        <f ca="1">IFERROR(__xludf.DUMMYFUNCTION("""COMPUTED_VALUE"""),"Бандаж на голеностопный сустав эластичный 7035 L (Болгария) - 0922026KZ026")</f>
        <v>Бандаж на голеностопный сустав эластичный 7035 L (Болгария) - 0922026KZ026</v>
      </c>
      <c r="G2165" s="1" t="str">
        <f ca="1">IFERROR(__xludf.DUMMYFUNCTION("""COMPUTED_VALUE"""),"KZ.7700.02.01.00922874 / Действительно до 07.09.2027 / 0922026KZ026 / годен до 07.09.2027")</f>
        <v>KZ.7700.02.01.00922874 / Действительно до 07.09.2027 / 0922026KZ026 / годен до 07.09.2027</v>
      </c>
      <c r="H2165" s="1" t="str">
        <f ca="1">IFERROR(__xludf.DUMMYFUNCTION("""COMPUTED_VALUE"""),"Бандаж на голеностопный сустав эластичный 7035 L (Болгария) KZ.7700.02.01.00922874 / Действительно до 07.09.2027 / 0922026KZ026 / годен до 07.09.2027")</f>
        <v>Бандаж на голеностопный сустав эластичный 7035 L (Болгария) KZ.7700.02.01.00922874 / Действительно до 07.09.2027 / 0922026KZ026 / годен до 07.09.2027</v>
      </c>
    </row>
    <row r="2166" spans="1:8" ht="12.75" x14ac:dyDescent="0.2">
      <c r="A2166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2166" s="1" t="str">
        <f ca="1">IFERROR(__xludf.DUMMYFUNCTION("""COMPUTED_VALUE"""),"KZ.7700.02.01.00922874")</f>
        <v>KZ.7700.02.01.00922874</v>
      </c>
      <c r="C2166" s="1" t="str">
        <f ca="1">IFERROR(__xludf.DUMMYFUNCTION("""COMPUTED_VALUE"""),"Действительно до 07.09.2027")</f>
        <v>Действительно до 07.09.2027</v>
      </c>
      <c r="D2166" s="8" t="str">
        <f ca="1">IFERROR(__xludf.DUMMYFUNCTION("""COMPUTED_VALUE"""),"0922026KZ026")</f>
        <v>0922026KZ026</v>
      </c>
      <c r="E2166" s="1" t="str">
        <f ca="1">IFERROR(__xludf.DUMMYFUNCTION("""COMPUTED_VALUE"""),"годен до 07.09.2027")</f>
        <v>годен до 07.09.2027</v>
      </c>
      <c r="F2166" s="1" t="str">
        <f ca="1">IFERROR(__xludf.DUMMYFUNCTION("""COMPUTED_VALUE"""),"Бандаж на голеностопный сустав эластичный 7035 XL (Болгария) - 0922026KZ026")</f>
        <v>Бандаж на голеностопный сустав эластичный 7035 XL (Болгария) - 0922026KZ026</v>
      </c>
      <c r="G2166" s="1" t="str">
        <f ca="1">IFERROR(__xludf.DUMMYFUNCTION("""COMPUTED_VALUE"""),"KZ.7700.02.01.00922874 / Действительно до 07.09.2027 / 0922026KZ026 / годен до 07.09.2027")</f>
        <v>KZ.7700.02.01.00922874 / Действительно до 07.09.2027 / 0922026KZ026 / годен до 07.09.2027</v>
      </c>
      <c r="H2166" s="1" t="str">
        <f ca="1">IFERROR(__xludf.DUMMYFUNCTION("""COMPUTED_VALUE"""),"Бандаж на голеностопный сустав эластичный 7035 XL (Болгария) KZ.7700.02.01.00922874 / Действительно до 07.09.2027 / 0922026KZ026 / годен до 07.09.2027")</f>
        <v>Бандаж на голеностопный сустав эластичный 7035 XL (Болгария) KZ.7700.02.01.00922874 / Действительно до 07.09.2027 / 0922026KZ026 / годен до 07.09.2027</v>
      </c>
    </row>
    <row r="2167" spans="1:8" ht="12.75" x14ac:dyDescent="0.2">
      <c r="A2167" s="1" t="str">
        <f ca="1">IFERROR(__xludf.DUMMYFUNCTION("""COMPUTED_VALUE"""),"Бандаж на локтевой сустав эластичный 8317 S (Болгария)")</f>
        <v>Бандаж на локтевой сустав эластичный 8317 S (Болгария)</v>
      </c>
      <c r="B2167" s="1" t="str">
        <f ca="1">IFERROR(__xludf.DUMMYFUNCTION("""COMPUTED_VALUE"""),"KZ.7700.02.01.00922796")</f>
        <v>KZ.7700.02.01.00922796</v>
      </c>
      <c r="C2167" s="1" t="str">
        <f ca="1">IFERROR(__xludf.DUMMYFUNCTION("""COMPUTED_VALUE"""),"Действительно до 07.09.2027")</f>
        <v>Действительно до 07.09.2027</v>
      </c>
      <c r="D2167" s="8" t="str">
        <f ca="1">IFERROR(__xludf.DUMMYFUNCTION("""COMPUTED_VALUE"""),"0922026KZ026")</f>
        <v>0922026KZ026</v>
      </c>
      <c r="E2167" s="1" t="str">
        <f ca="1">IFERROR(__xludf.DUMMYFUNCTION("""COMPUTED_VALUE"""),"годен до 07.09.2027")</f>
        <v>годен до 07.09.2027</v>
      </c>
      <c r="F2167" s="1" t="str">
        <f ca="1">IFERROR(__xludf.DUMMYFUNCTION("""COMPUTED_VALUE"""),"Бандаж на локтевой сустав эластичный 8317 S (Болгария) - 0922026KZ026")</f>
        <v>Бандаж на локтевой сустав эластичный 8317 S (Болгария) - 0922026KZ026</v>
      </c>
      <c r="G2167" s="1" t="str">
        <f ca="1">IFERROR(__xludf.DUMMYFUNCTION("""COMPUTED_VALUE"""),"KZ.7700.02.01.00922796 / Действительно до 07.09.2027 / 0922026KZ026 / годен до 07.09.2027")</f>
        <v>KZ.7700.02.01.00922796 / Действительно до 07.09.2027 / 0922026KZ026 / годен до 07.09.2027</v>
      </c>
      <c r="H2167" s="1" t="str">
        <f ca="1">IFERROR(__xludf.DUMMYFUNCTION("""COMPUTED_VALUE"""),"Бандаж на локтевой сустав эластичный 8317 S (Болгария) KZ.7700.02.01.00922796 / Действительно до 07.09.2027 / 0922026KZ026 / годен до 07.09.2027")</f>
        <v>Бандаж на локтевой сустав эластичный 8317 S (Болгария) KZ.7700.02.01.00922796 / Действительно до 07.09.2027 / 0922026KZ026 / годен до 07.09.2027</v>
      </c>
    </row>
    <row r="2168" spans="1:8" ht="12.75" x14ac:dyDescent="0.2">
      <c r="A2168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2168" s="1" t="str">
        <f ca="1">IFERROR(__xludf.DUMMYFUNCTION("""COMPUTED_VALUE"""),"KZ.7700.02.01.00922796")</f>
        <v>KZ.7700.02.01.00922796</v>
      </c>
      <c r="C2168" s="1" t="str">
        <f ca="1">IFERROR(__xludf.DUMMYFUNCTION("""COMPUTED_VALUE"""),"Действительно до 07.09.2027")</f>
        <v>Действительно до 07.09.2027</v>
      </c>
      <c r="D2168" s="8" t="str">
        <f ca="1">IFERROR(__xludf.DUMMYFUNCTION("""COMPUTED_VALUE"""),"0922026KZ026")</f>
        <v>0922026KZ026</v>
      </c>
      <c r="E2168" s="1" t="str">
        <f ca="1">IFERROR(__xludf.DUMMYFUNCTION("""COMPUTED_VALUE"""),"годен до 07.09.2027")</f>
        <v>годен до 07.09.2027</v>
      </c>
      <c r="F2168" s="1" t="str">
        <f ca="1">IFERROR(__xludf.DUMMYFUNCTION("""COMPUTED_VALUE"""),"Бандаж на локтевой сустав эластичный 8317 M (Болгария) - 0922026KZ026")</f>
        <v>Бандаж на локтевой сустав эластичный 8317 M (Болгария) - 0922026KZ026</v>
      </c>
      <c r="G2168" s="1" t="str">
        <f ca="1">IFERROR(__xludf.DUMMYFUNCTION("""COMPUTED_VALUE"""),"KZ.7700.02.01.00922796 / Действительно до 07.09.2027 / 0922026KZ026 / годен до 07.09.2027")</f>
        <v>KZ.7700.02.01.00922796 / Действительно до 07.09.2027 / 0922026KZ026 / годен до 07.09.2027</v>
      </c>
      <c r="H2168" s="1" t="str">
        <f ca="1">IFERROR(__xludf.DUMMYFUNCTION("""COMPUTED_VALUE"""),"Бандаж на локтевой сустав эластичный 8317 M (Болгария) KZ.7700.02.01.00922796 / Действительно до 07.09.2027 / 0922026KZ026 / годен до 07.09.2027")</f>
        <v>Бандаж на локтевой сустав эластичный 8317 M (Болгария) KZ.7700.02.01.00922796 / Действительно до 07.09.2027 / 0922026KZ026 / годен до 07.09.2027</v>
      </c>
    </row>
    <row r="2169" spans="1:8" ht="12.75" x14ac:dyDescent="0.2">
      <c r="A2169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2169" s="1" t="str">
        <f ca="1">IFERROR(__xludf.DUMMYFUNCTION("""COMPUTED_VALUE"""),"KZ.7700.02.01.00922796")</f>
        <v>KZ.7700.02.01.00922796</v>
      </c>
      <c r="C2169" s="1" t="str">
        <f ca="1">IFERROR(__xludf.DUMMYFUNCTION("""COMPUTED_VALUE"""),"Действительно до 07.09.2027")</f>
        <v>Действительно до 07.09.2027</v>
      </c>
      <c r="D2169" s="8" t="str">
        <f ca="1">IFERROR(__xludf.DUMMYFUNCTION("""COMPUTED_VALUE"""),"0922026KZ026")</f>
        <v>0922026KZ026</v>
      </c>
      <c r="E2169" s="1" t="str">
        <f ca="1">IFERROR(__xludf.DUMMYFUNCTION("""COMPUTED_VALUE"""),"годен до 07.09.2027")</f>
        <v>годен до 07.09.2027</v>
      </c>
      <c r="F2169" s="1" t="str">
        <f ca="1">IFERROR(__xludf.DUMMYFUNCTION("""COMPUTED_VALUE"""),"Бандаж на локтевой сустав эластичный 8317 L (Болгария) - 0922026KZ026")</f>
        <v>Бандаж на локтевой сустав эластичный 8317 L (Болгария) - 0922026KZ026</v>
      </c>
      <c r="G2169" s="1" t="str">
        <f ca="1">IFERROR(__xludf.DUMMYFUNCTION("""COMPUTED_VALUE"""),"KZ.7700.02.01.00922796 / Действительно до 07.09.2027 / 0922026KZ026 / годен до 07.09.2027")</f>
        <v>KZ.7700.02.01.00922796 / Действительно до 07.09.2027 / 0922026KZ026 / годен до 07.09.2027</v>
      </c>
      <c r="H2169" s="1" t="str">
        <f ca="1">IFERROR(__xludf.DUMMYFUNCTION("""COMPUTED_VALUE"""),"Бандаж на локтевой сустав эластичный 8317 L (Болгария) KZ.7700.02.01.00922796 / Действительно до 07.09.2027 / 0922026KZ026 / годен до 07.09.2027")</f>
        <v>Бандаж на локтевой сустав эластичный 8317 L (Болгария) KZ.7700.02.01.00922796 / Действительно до 07.09.2027 / 0922026KZ026 / годен до 07.09.2027</v>
      </c>
    </row>
    <row r="2170" spans="1:8" ht="12.75" x14ac:dyDescent="0.2">
      <c r="A2170" s="1" t="str">
        <f ca="1">IFERROR(__xludf.DUMMYFUNCTION("""COMPUTED_VALUE"""),"Бандаж на локтевой сустав эластичный 8317 XL (Болгария)")</f>
        <v>Бандаж на локтевой сустав эластичный 8317 XL (Болгария)</v>
      </c>
      <c r="B2170" s="1" t="str">
        <f ca="1">IFERROR(__xludf.DUMMYFUNCTION("""COMPUTED_VALUE"""),"KZ.7700.02.01.00922796")</f>
        <v>KZ.7700.02.01.00922796</v>
      </c>
      <c r="C2170" s="1" t="str">
        <f ca="1">IFERROR(__xludf.DUMMYFUNCTION("""COMPUTED_VALUE"""),"Действительно до 07.09.2027")</f>
        <v>Действительно до 07.09.2027</v>
      </c>
      <c r="D2170" s="8" t="str">
        <f ca="1">IFERROR(__xludf.DUMMYFUNCTION("""COMPUTED_VALUE"""),"0922026KZ026")</f>
        <v>0922026KZ026</v>
      </c>
      <c r="E2170" s="1" t="str">
        <f ca="1">IFERROR(__xludf.DUMMYFUNCTION("""COMPUTED_VALUE"""),"годен до 07.09.2027")</f>
        <v>годен до 07.09.2027</v>
      </c>
      <c r="F2170" s="1" t="str">
        <f ca="1">IFERROR(__xludf.DUMMYFUNCTION("""COMPUTED_VALUE"""),"Бандаж на локтевой сустав эластичный 8317 XL (Болгария) - 0922026KZ026")</f>
        <v>Бандаж на локтевой сустав эластичный 8317 XL (Болгария) - 0922026KZ026</v>
      </c>
      <c r="G2170" s="1" t="str">
        <f ca="1">IFERROR(__xludf.DUMMYFUNCTION("""COMPUTED_VALUE"""),"KZ.7700.02.01.00922796 / Действительно до 07.09.2027 / 0922026KZ026 / годен до 07.09.2027")</f>
        <v>KZ.7700.02.01.00922796 / Действительно до 07.09.2027 / 0922026KZ026 / годен до 07.09.2027</v>
      </c>
      <c r="H2170" s="1" t="str">
        <f ca="1">IFERROR(__xludf.DUMMYFUNCTION("""COMPUTED_VALUE"""),"Бандаж на локтевой сустав эластичный 8317 XL (Болгария) KZ.7700.02.01.00922796 / Действительно до 07.09.2027 / 0922026KZ026 / годен до 07.09.2027")</f>
        <v>Бандаж на локтевой сустав эластичный 8317 XL (Болгария) KZ.7700.02.01.00922796 / Действительно до 07.09.2027 / 0922026KZ026 / годен до 07.09.2027</v>
      </c>
    </row>
    <row r="2171" spans="1:8" ht="12.75" x14ac:dyDescent="0.2">
      <c r="A2171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2171" s="1" t="str">
        <f ca="1">IFERROR(__xludf.DUMMYFUNCTION("""COMPUTED_VALUE"""),"KZ.7700.02.01.00922877")</f>
        <v>KZ.7700.02.01.00922877</v>
      </c>
      <c r="C2171" s="1" t="str">
        <f ca="1">IFERROR(__xludf.DUMMYFUNCTION("""COMPUTED_VALUE"""),"Действительно до 07.09.2027")</f>
        <v>Действительно до 07.09.2027</v>
      </c>
      <c r="D2171" s="8" t="str">
        <f ca="1">IFERROR(__xludf.DUMMYFUNCTION("""COMPUTED_VALUE"""),"0922026KZ026")</f>
        <v>0922026KZ026</v>
      </c>
      <c r="E2171" s="1" t="str">
        <f ca="1">IFERROR(__xludf.DUMMYFUNCTION("""COMPUTED_VALUE"""),"годен до 07.09.2027")</f>
        <v>годен до 07.09.2027</v>
      </c>
      <c r="F2171" s="1" t="str">
        <f ca="1">IFERROR(__xludf.DUMMYFUNCTION("""COMPUTED_VALUE"""),"Бандаж на лучезапястный сустав эластичный 8503 S (Болгария) - 0922026KZ026")</f>
        <v>Бандаж на лучезапястный сустав эластичный 8503 S (Болгария) - 0922026KZ026</v>
      </c>
      <c r="G2171" s="1" t="str">
        <f ca="1">IFERROR(__xludf.DUMMYFUNCTION("""COMPUTED_VALUE"""),"KZ.7700.02.01.00922877 / Действительно до 07.09.2027 / 0922026KZ026 / годен до 07.09.2027")</f>
        <v>KZ.7700.02.01.00922877 / Действительно до 07.09.2027 / 0922026KZ026 / годен до 07.09.2027</v>
      </c>
      <c r="H2171" s="1" t="str">
        <f ca="1">IFERROR(__xludf.DUMMYFUNCTION("""COMPUTED_VALUE"""),"Бандаж на лучезапястный сустав эластичный 8503 S (Болгария) KZ.7700.02.01.00922877 / Действительно до 07.09.2027 / 0922026KZ026 / годен до 07.09.2027")</f>
        <v>Бандаж на лучезапястный сустав эластичный 8503 S (Болгария) KZ.7700.02.01.00922877 / Действительно до 07.09.2027 / 0922026KZ026 / годен до 07.09.2027</v>
      </c>
    </row>
    <row r="2172" spans="1:8" ht="12.75" x14ac:dyDescent="0.2">
      <c r="A2172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2172" s="1" t="str">
        <f ca="1">IFERROR(__xludf.DUMMYFUNCTION("""COMPUTED_VALUE"""),"KZ.7700.02.01.00922877")</f>
        <v>KZ.7700.02.01.00922877</v>
      </c>
      <c r="C2172" s="1" t="str">
        <f ca="1">IFERROR(__xludf.DUMMYFUNCTION("""COMPUTED_VALUE"""),"Действительно до 07.09.2027")</f>
        <v>Действительно до 07.09.2027</v>
      </c>
      <c r="D2172" s="8" t="str">
        <f ca="1">IFERROR(__xludf.DUMMYFUNCTION("""COMPUTED_VALUE"""),"0922026KZ026")</f>
        <v>0922026KZ026</v>
      </c>
      <c r="E2172" s="1" t="str">
        <f ca="1">IFERROR(__xludf.DUMMYFUNCTION("""COMPUTED_VALUE"""),"годен до 07.09.2027")</f>
        <v>годен до 07.09.2027</v>
      </c>
      <c r="F2172" s="1" t="str">
        <f ca="1">IFERROR(__xludf.DUMMYFUNCTION("""COMPUTED_VALUE"""),"Бандаж на лучезапястный сустав эластичный 8503 M (Болгария) - 0922026KZ026")</f>
        <v>Бандаж на лучезапястный сустав эластичный 8503 M (Болгария) - 0922026KZ026</v>
      </c>
      <c r="G2172" s="1" t="str">
        <f ca="1">IFERROR(__xludf.DUMMYFUNCTION("""COMPUTED_VALUE"""),"KZ.7700.02.01.00922877 / Действительно до 07.09.2027 / 0922026KZ026 / годен до 07.09.2027")</f>
        <v>KZ.7700.02.01.00922877 / Действительно до 07.09.2027 / 0922026KZ026 / годен до 07.09.2027</v>
      </c>
      <c r="H2172" s="1" t="str">
        <f ca="1">IFERROR(__xludf.DUMMYFUNCTION("""COMPUTED_VALUE"""),"Бандаж на лучезапястный сустав эластичный 8503 M (Болгария) KZ.7700.02.01.00922877 / Действительно до 07.09.2027 / 0922026KZ026 / годен до 07.09.2027")</f>
        <v>Бандаж на лучезапястный сустав эластичный 8503 M (Болгария) KZ.7700.02.01.00922877 / Действительно до 07.09.2027 / 0922026KZ026 / годен до 07.09.2027</v>
      </c>
    </row>
    <row r="2173" spans="1:8" ht="12.75" x14ac:dyDescent="0.2">
      <c r="A2173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2173" s="1" t="str">
        <f ca="1">IFERROR(__xludf.DUMMYFUNCTION("""COMPUTED_VALUE"""),"KZ.7700.02.01.00922877")</f>
        <v>KZ.7700.02.01.00922877</v>
      </c>
      <c r="C2173" s="1" t="str">
        <f ca="1">IFERROR(__xludf.DUMMYFUNCTION("""COMPUTED_VALUE"""),"Действительно до 07.09.2027")</f>
        <v>Действительно до 07.09.2027</v>
      </c>
      <c r="D2173" s="8" t="str">
        <f ca="1">IFERROR(__xludf.DUMMYFUNCTION("""COMPUTED_VALUE"""),"0922026KZ026")</f>
        <v>0922026KZ026</v>
      </c>
      <c r="E2173" s="1" t="str">
        <f ca="1">IFERROR(__xludf.DUMMYFUNCTION("""COMPUTED_VALUE"""),"годен до 07.09.2027")</f>
        <v>годен до 07.09.2027</v>
      </c>
      <c r="F2173" s="1" t="str">
        <f ca="1">IFERROR(__xludf.DUMMYFUNCTION("""COMPUTED_VALUE"""),"Бандаж на лучезапястный сустав эластичный 8503 L (Болгария) - 0922026KZ026")</f>
        <v>Бандаж на лучезапястный сустав эластичный 8503 L (Болгария) - 0922026KZ026</v>
      </c>
      <c r="G2173" s="1" t="str">
        <f ca="1">IFERROR(__xludf.DUMMYFUNCTION("""COMPUTED_VALUE"""),"KZ.7700.02.01.00922877 / Действительно до 07.09.2027 / 0922026KZ026 / годен до 07.09.2027")</f>
        <v>KZ.7700.02.01.00922877 / Действительно до 07.09.2027 / 0922026KZ026 / годен до 07.09.2027</v>
      </c>
      <c r="H2173" s="1" t="str">
        <f ca="1">IFERROR(__xludf.DUMMYFUNCTION("""COMPUTED_VALUE"""),"Бандаж на лучезапястный сустав эластичный 8503 L (Болгария) KZ.7700.02.01.00922877 / Действительно до 07.09.2027 / 0922026KZ026 / годен до 07.09.2027")</f>
        <v>Бандаж на лучезапястный сустав эластичный 8503 L (Болгария) KZ.7700.02.01.00922877 / Действительно до 07.09.2027 / 0922026KZ026 / годен до 07.09.2027</v>
      </c>
    </row>
    <row r="2174" spans="1:8" ht="12.75" x14ac:dyDescent="0.2">
      <c r="A2174" s="1" t="str">
        <f ca="1">IFERROR(__xludf.DUMMYFUNCTION("""COMPUTED_VALUE"""),"Бандаж на лучезапястный сустав легкой фиксации 8505 S/M (Бежевый) (Болгария)")</f>
        <v>Бандаж на лучезапястный сустав легкой фиксации 8505 S/M (Бежевый) (Болгария)</v>
      </c>
      <c r="B2174" s="1" t="str">
        <f ca="1">IFERROR(__xludf.DUMMYFUNCTION("""COMPUTED_VALUE"""),"KZ.7700.02.01.00922511")</f>
        <v>KZ.7700.02.01.00922511</v>
      </c>
      <c r="C2174" s="1" t="str">
        <f ca="1">IFERROR(__xludf.DUMMYFUNCTION("""COMPUTED_VALUE"""),"Действительно до 07.09.2027")</f>
        <v>Действительно до 07.09.2027</v>
      </c>
      <c r="D2174" s="8" t="str">
        <f ca="1">IFERROR(__xludf.DUMMYFUNCTION("""COMPUTED_VALUE"""),"0922026KZ026")</f>
        <v>0922026KZ026</v>
      </c>
      <c r="E2174" s="1" t="str">
        <f ca="1">IFERROR(__xludf.DUMMYFUNCTION("""COMPUTED_VALUE"""),"годен до 07.09.2027")</f>
        <v>годен до 07.09.2027</v>
      </c>
      <c r="F2174" s="1" t="str">
        <f ca="1">IFERROR(__xludf.DUMMYFUNCTION("""COMPUTED_VALUE"""),"Бандаж на лучезапястный сустав легкой фиксации 8505 S/M (Бежевый) (Болгария) - 0922026KZ026")</f>
        <v>Бандаж на лучезапястный сустав легкой фиксации 8505 S/M (Бежевый) (Болгария) - 0922026KZ026</v>
      </c>
      <c r="G2174" s="1" t="str">
        <f ca="1">IFERROR(__xludf.DUMMYFUNCTION("""COMPUTED_VALUE"""),"KZ.7700.02.01.00922511 / Действительно до 07.09.2027 / 0922026KZ026 / годен до 07.09.2027")</f>
        <v>KZ.7700.02.01.00922511 / Действительно до 07.09.2027 / 0922026KZ026 / годен до 07.09.2027</v>
      </c>
      <c r="H2174" s="1" t="str">
        <f ca="1">IFERROR(__xludf.DUMMYFUNCTION("""COMPUTED_VALUE"""),"Бандаж на лучезапястный сустав легкой фиксации 8505 S/M (Бежевый) (Болгария) KZ.7700.02.01.00922511 / Действительно до 07.09.2027 / 0922026KZ026 / годен до 07.09.2027")</f>
        <v>Бандаж на лучезапястный сустав легкой фиксации 8505 S/M (Бежевый) (Болгария) KZ.7700.02.01.00922511 / Действительно до 07.09.2027 / 0922026KZ026 / годен до 07.09.2027</v>
      </c>
    </row>
    <row r="2175" spans="1:8" ht="12.75" x14ac:dyDescent="0.2">
      <c r="A2175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2175" s="1" t="str">
        <f ca="1">IFERROR(__xludf.DUMMYFUNCTION("""COMPUTED_VALUE"""),"KZ.7700.02.01.00922511")</f>
        <v>KZ.7700.02.01.00922511</v>
      </c>
      <c r="C2175" s="1" t="str">
        <f ca="1">IFERROR(__xludf.DUMMYFUNCTION("""COMPUTED_VALUE"""),"Действительно до 07.09.2027")</f>
        <v>Действительно до 07.09.2027</v>
      </c>
      <c r="D2175" s="8" t="str">
        <f ca="1">IFERROR(__xludf.DUMMYFUNCTION("""COMPUTED_VALUE"""),"0922026KZ026")</f>
        <v>0922026KZ026</v>
      </c>
      <c r="E2175" s="1" t="str">
        <f ca="1">IFERROR(__xludf.DUMMYFUNCTION("""COMPUTED_VALUE"""),"годен до 07.09.2027")</f>
        <v>годен до 07.09.2027</v>
      </c>
      <c r="F2175" s="1" t="str">
        <f ca="1">IFERROR(__xludf.DUMMYFUNCTION("""COMPUTED_VALUE"""),"Бандаж на лучезапястный сустав легкой фиксации 8505 L/XL (Бежевый) (Болгария) - 0922026KZ026")</f>
        <v>Бандаж на лучезапястный сустав легкой фиксации 8505 L/XL (Бежевый) (Болгария) - 0922026KZ026</v>
      </c>
      <c r="G2175" s="1" t="str">
        <f ca="1">IFERROR(__xludf.DUMMYFUNCTION("""COMPUTED_VALUE"""),"KZ.7700.02.01.00922511 / Действительно до 07.09.2027 / 0922026KZ026 / годен до 07.09.2027")</f>
        <v>KZ.7700.02.01.00922511 / Действительно до 07.09.2027 / 0922026KZ026 / годен до 07.09.2027</v>
      </c>
      <c r="H2175" s="1" t="str">
        <f ca="1">IFERROR(__xludf.DUMMYFUNCTION("""COMPUTED_VALUE"""),"Бандаж на лучезапястный сустав легкой фиксации 8505 L/XL (Бежевый) (Болгария) KZ.7700.02.01.00922511 / Действительно до 07.09.2027 / 0922026KZ026 / годен до 07.09.2027")</f>
        <v>Бандаж на лучезапястный сустав легкой фиксации 8505 L/XL (Бежевый) (Болгария) KZ.7700.02.01.00922511 / Действительно до 07.09.2027 / 0922026KZ026 / годен до 07.09.2027</v>
      </c>
    </row>
    <row r="2176" spans="1:8" ht="12.75" x14ac:dyDescent="0.2">
      <c r="A2176" s="1" t="str">
        <f ca="1">IFERROR(__xludf.DUMMYFUNCTION("""COMPUTED_VALUE"""),"Бандаж на лучезапястный сустав с фиксацией пальца 8552 S\M (Болгария)")</f>
        <v>Бандаж на лучезапястный сустав с фиксацией пальца 8552 S\M (Болгария)</v>
      </c>
      <c r="B2176" s="1" t="str">
        <f ca="1">IFERROR(__xludf.DUMMYFUNCTION("""COMPUTED_VALUE"""),"KZ.7700.02.01.00922865")</f>
        <v>KZ.7700.02.01.00922865</v>
      </c>
      <c r="C2176" s="1" t="str">
        <f ca="1">IFERROR(__xludf.DUMMYFUNCTION("""COMPUTED_VALUE"""),"Действительно до 07.09.2027")</f>
        <v>Действительно до 07.09.2027</v>
      </c>
      <c r="D2176" s="8" t="str">
        <f ca="1">IFERROR(__xludf.DUMMYFUNCTION("""COMPUTED_VALUE"""),"0922026KZ026")</f>
        <v>0922026KZ026</v>
      </c>
      <c r="E2176" s="1" t="str">
        <f ca="1">IFERROR(__xludf.DUMMYFUNCTION("""COMPUTED_VALUE"""),"годен до 07.09.2027")</f>
        <v>годен до 07.09.2027</v>
      </c>
      <c r="F2176" s="1" t="str">
        <f ca="1">IFERROR(__xludf.DUMMYFUNCTION("""COMPUTED_VALUE"""),"Бандаж на лучезапястный сустав с фиксацией пальца 8552 S\M (Болгария) - 0922026KZ026")</f>
        <v>Бандаж на лучезапястный сустав с фиксацией пальца 8552 S\M (Болгария) - 0922026KZ026</v>
      </c>
      <c r="G2176" s="1" t="str">
        <f ca="1">IFERROR(__xludf.DUMMYFUNCTION("""COMPUTED_VALUE"""),"KZ.7700.02.01.00922865 / Действительно до 07.09.2027 / 0922026KZ026 / годен до 07.09.2027")</f>
        <v>KZ.7700.02.01.00922865 / Действительно до 07.09.2027 / 0922026KZ026 / годен до 07.09.2027</v>
      </c>
      <c r="H2176" s="1" t="str">
        <f ca="1">IFERROR(__xludf.DUMMYFUNCTION("""COMPUTED_VALUE"""),"Бандаж на лучезапястный сустав с фиксацией пальца 8552 S\M (Болгария) KZ.7700.02.01.00922865 / Действительно до 07.09.2027 / 0922026KZ026 / годен до 07.09.2027")</f>
        <v>Бандаж на лучезапястный сустав с фиксацией пальца 8552 S\M (Болгария) KZ.7700.02.01.00922865 / Действительно до 07.09.2027 / 0922026KZ026 / годен до 07.09.2027</v>
      </c>
    </row>
    <row r="2177" spans="1:8" ht="12.75" x14ac:dyDescent="0.2">
      <c r="A2177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2177" s="1" t="str">
        <f ca="1">IFERROR(__xludf.DUMMYFUNCTION("""COMPUTED_VALUE"""),"KZ.7700.02.01.00922865")</f>
        <v>KZ.7700.02.01.00922865</v>
      </c>
      <c r="C2177" s="1" t="str">
        <f ca="1">IFERROR(__xludf.DUMMYFUNCTION("""COMPUTED_VALUE"""),"Действительно до 07.09.2027")</f>
        <v>Действительно до 07.09.2027</v>
      </c>
      <c r="D2177" s="8" t="str">
        <f ca="1">IFERROR(__xludf.DUMMYFUNCTION("""COMPUTED_VALUE"""),"0922026KZ026")</f>
        <v>0922026KZ026</v>
      </c>
      <c r="E2177" s="1" t="str">
        <f ca="1">IFERROR(__xludf.DUMMYFUNCTION("""COMPUTED_VALUE"""),"годен до 07.09.2027")</f>
        <v>годен до 07.09.2027</v>
      </c>
      <c r="F2177" s="1" t="str">
        <f ca="1">IFERROR(__xludf.DUMMYFUNCTION("""COMPUTED_VALUE"""),"Бандаж на лучезапястный сустав с фиксацией пальца 8552 L\XL (Болгария) - 0922026KZ026")</f>
        <v>Бандаж на лучезапястный сустав с фиксацией пальца 8552 L\XL (Болгария) - 0922026KZ026</v>
      </c>
      <c r="G2177" s="1" t="str">
        <f ca="1">IFERROR(__xludf.DUMMYFUNCTION("""COMPUTED_VALUE"""),"KZ.7700.02.01.00922865 / Действительно до 07.09.2027 / 0922026KZ026 / годен до 07.09.2027")</f>
        <v>KZ.7700.02.01.00922865 / Действительно до 07.09.2027 / 0922026KZ026 / годен до 07.09.2027</v>
      </c>
      <c r="H2177" s="1" t="str">
        <f ca="1">IFERROR(__xludf.DUMMYFUNCTION("""COMPUTED_VALUE"""),"Бандаж на лучезапястный сустав с фиксацией пальца 8552 L\XL (Болгария) KZ.7700.02.01.00922865 / Действительно до 07.09.2027 / 0922026KZ026 / годен до 07.09.2027")</f>
        <v>Бандаж на лучезапястный сустав с фиксацией пальца 8552 L\XL (Болгария) KZ.7700.02.01.00922865 / Действительно до 07.09.2027 / 0922026KZ026 / годен до 07.09.2027</v>
      </c>
    </row>
    <row r="2178" spans="1:8" ht="12.75" x14ac:dyDescent="0.2">
      <c r="A2178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2178" s="1" t="str">
        <f ca="1">IFERROR(__xludf.DUMMYFUNCTION("""COMPUTED_VALUE"""),"KZ.7700.02.01.00922799")</f>
        <v>KZ.7700.02.01.00922799</v>
      </c>
      <c r="C2178" s="1" t="str">
        <f ca="1">IFERROR(__xludf.DUMMYFUNCTION("""COMPUTED_VALUE"""),"Действительно до 07.09.2027")</f>
        <v>Действительно до 07.09.2027</v>
      </c>
      <c r="D2178" s="8" t="str">
        <f ca="1">IFERROR(__xludf.DUMMYFUNCTION("""COMPUTED_VALUE"""),"0922026KZ026")</f>
        <v>0922026KZ026</v>
      </c>
      <c r="E2178" s="1" t="str">
        <f ca="1">IFERROR(__xludf.DUMMYFUNCTION("""COMPUTED_VALUE"""),"годен до 07.09.2027")</f>
        <v>годен до 07.09.2027</v>
      </c>
      <c r="F2178" s="1" t="str">
        <f ca="1">IFERROR(__xludf.DUMMYFUNCTION("""COMPUTED_VALUE"""),"Бандаж для руки поддерживающий облегченный (косынка) 9912 M (черный) (Болгария) - 0922026KZ026")</f>
        <v>Бандаж для руки поддерживающий облегченный (косынка) 9912 M (черный) (Болгария) - 0922026KZ026</v>
      </c>
      <c r="G2178" s="1" t="str">
        <f ca="1">IFERROR(__xludf.DUMMYFUNCTION("""COMPUTED_VALUE"""),"KZ.7700.02.01.00922799 / Действительно до 07.09.2027 / 0922026KZ026 / годен до 07.09.2027")</f>
        <v>KZ.7700.02.01.00922799 / Действительно до 07.09.2027 / 0922026KZ026 / годен до 07.09.2027</v>
      </c>
      <c r="H2178" s="1" t="str">
        <f ca="1">IFERROR(__xludf.DUMMYFUNCTION("""COMPUTED_VALUE"""),"Бандаж для руки поддерживающий облегченный (косынка) 9912 M (черный) (Болгария) KZ.7700.02.01.00922799 / Действительно до 07.09.2027 / 0922026KZ026 / годен до 07.09.2027")</f>
        <v>Бандаж для руки поддерживающий облегченный (косынка) 9912 M (черный) (Болгария) KZ.7700.02.01.00922799 / Действительно до 07.09.2027 / 0922026KZ026 / годен до 07.09.2027</v>
      </c>
    </row>
    <row r="2179" spans="1:8" ht="12.75" x14ac:dyDescent="0.2">
      <c r="A2179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2179" s="1" t="str">
        <f ca="1">IFERROR(__xludf.DUMMYFUNCTION("""COMPUTED_VALUE"""),"KZ.7700.02.01.00922799")</f>
        <v>KZ.7700.02.01.00922799</v>
      </c>
      <c r="C2179" s="1" t="str">
        <f ca="1">IFERROR(__xludf.DUMMYFUNCTION("""COMPUTED_VALUE"""),"Действительно до 07.09.2027")</f>
        <v>Действительно до 07.09.2027</v>
      </c>
      <c r="D2179" s="8" t="str">
        <f ca="1">IFERROR(__xludf.DUMMYFUNCTION("""COMPUTED_VALUE"""),"0922026KZ026")</f>
        <v>0922026KZ026</v>
      </c>
      <c r="E2179" s="1" t="str">
        <f ca="1">IFERROR(__xludf.DUMMYFUNCTION("""COMPUTED_VALUE"""),"годен до 07.09.2027")</f>
        <v>годен до 07.09.2027</v>
      </c>
      <c r="F2179" s="1" t="str">
        <f ca="1">IFERROR(__xludf.DUMMYFUNCTION("""COMPUTED_VALUE"""),"Бандаж для руки поддерживающий облегченный (косынка) 9912 L (черный) (Болгария) - 0922026KZ026")</f>
        <v>Бандаж для руки поддерживающий облегченный (косынка) 9912 L (черный) (Болгария) - 0922026KZ026</v>
      </c>
      <c r="G2179" s="1" t="str">
        <f ca="1">IFERROR(__xludf.DUMMYFUNCTION("""COMPUTED_VALUE"""),"KZ.7700.02.01.00922799 / Действительно до 07.09.2027 / 0922026KZ026 / годен до 07.09.2027")</f>
        <v>KZ.7700.02.01.00922799 / Действительно до 07.09.2027 / 0922026KZ026 / годен до 07.09.2027</v>
      </c>
      <c r="H2179" s="1" t="str">
        <f ca="1">IFERROR(__xludf.DUMMYFUNCTION("""COMPUTED_VALUE"""),"Бандаж для руки поддерживающий облегченный (косынка) 9912 L (черный) (Болгария) KZ.7700.02.01.00922799 / Действительно до 07.09.2027 / 0922026KZ026 / годен до 07.09.2027")</f>
        <v>Бандаж для руки поддерживающий облегченный (косынка) 9912 L (черный) (Болгария) KZ.7700.02.01.00922799 / Действительно до 07.09.2027 / 0922026KZ026 / годен до 07.09.2027</v>
      </c>
    </row>
    <row r="2180" spans="1:8" ht="12.75" x14ac:dyDescent="0.2">
      <c r="A2180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2180" s="1" t="str">
        <f ca="1">IFERROR(__xludf.DUMMYFUNCTION("""COMPUTED_VALUE"""),"KZ.7700.02.01.00922799")</f>
        <v>KZ.7700.02.01.00922799</v>
      </c>
      <c r="C2180" s="1" t="str">
        <f ca="1">IFERROR(__xludf.DUMMYFUNCTION("""COMPUTED_VALUE"""),"Действительно до 07.09.2027")</f>
        <v>Действительно до 07.09.2027</v>
      </c>
      <c r="D2180" s="8" t="str">
        <f ca="1">IFERROR(__xludf.DUMMYFUNCTION("""COMPUTED_VALUE"""),"0922026KZ026")</f>
        <v>0922026KZ026</v>
      </c>
      <c r="E2180" s="1" t="str">
        <f ca="1">IFERROR(__xludf.DUMMYFUNCTION("""COMPUTED_VALUE"""),"годен до 07.09.2027")</f>
        <v>годен до 07.09.2027</v>
      </c>
      <c r="F2180" s="1" t="str">
        <f ca="1">IFERROR(__xludf.DUMMYFUNCTION("""COMPUTED_VALUE"""),"Бандаж для руки поддерживающий облегченный (косынка) 9912 XL (черный) (Болгария) - 0922026KZ026")</f>
        <v>Бандаж для руки поддерживающий облегченный (косынка) 9912 XL (черный) (Болгария) - 0922026KZ026</v>
      </c>
      <c r="G2180" s="1" t="str">
        <f ca="1">IFERROR(__xludf.DUMMYFUNCTION("""COMPUTED_VALUE"""),"KZ.7700.02.01.00922799 / Действительно до 07.09.2027 / 0922026KZ026 / годен до 07.09.2027")</f>
        <v>KZ.7700.02.01.00922799 / Действительно до 07.09.2027 / 0922026KZ026 / годен до 07.09.2027</v>
      </c>
      <c r="H2180" s="1" t="str">
        <f ca="1">IFERROR(__xludf.DUMMYFUNCTION("""COMPUTED_VALUE"""),"Бандаж для руки поддерживающий облегченный (косынка) 9912 XL (черный) (Болгария) KZ.7700.02.01.00922799 / Действительно до 07.09.2027 / 0922026KZ026 / годен до 07.09.2027")</f>
        <v>Бандаж для руки поддерживающий облегченный (косынка) 9912 XL (черный) (Болгария) KZ.7700.02.01.00922799 / Действительно до 07.09.2027 / 0922026KZ026 / годен до 07.09.2027</v>
      </c>
    </row>
    <row r="2181" spans="1:8" ht="12.75" x14ac:dyDescent="0.2">
      <c r="A2181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B2181" s="1" t="str">
        <f ca="1">IFERROR(__xludf.DUMMYFUNCTION("""COMPUTED_VALUE"""),"KZ.7700.02.01.00922801")</f>
        <v>KZ.7700.02.01.00922801</v>
      </c>
      <c r="C2181" s="1" t="str">
        <f ca="1">IFERROR(__xludf.DUMMYFUNCTION("""COMPUTED_VALUE"""),"Действительно до 07.09.2027")</f>
        <v>Действительно до 07.09.2027</v>
      </c>
      <c r="D2181" s="8" t="str">
        <f ca="1">IFERROR(__xludf.DUMMYFUNCTION("""COMPUTED_VALUE"""),"0922026KZ026")</f>
        <v>0922026KZ026</v>
      </c>
      <c r="E2181" s="1" t="str">
        <f ca="1">IFERROR(__xludf.DUMMYFUNCTION("""COMPUTED_VALUE"""),"годен до 07.09.2027")</f>
        <v>годен до 07.09.2027</v>
      </c>
      <c r="F2181" s="1" t="str">
        <f ca="1">IFERROR(__xludf.DUMMYFUNCTION("""COMPUTED_VALUE"""),"Бандаж для руки поддерживающий облегченный (косынка) 9912 S (белый) (Болгария) - 0922026KZ026")</f>
        <v>Бандаж для руки поддерживающий облегченный (косынка) 9912 S (белый) (Болгария) - 0922026KZ026</v>
      </c>
      <c r="G2181" s="1" t="str">
        <f ca="1">IFERROR(__xludf.DUMMYFUNCTION("""COMPUTED_VALUE"""),"KZ.7700.02.01.00922801 / Действительно до 07.09.2027 / 0922026KZ026 / годен до 07.09.2027")</f>
        <v>KZ.7700.02.01.00922801 / Действительно до 07.09.2027 / 0922026KZ026 / годен до 07.09.2027</v>
      </c>
      <c r="H2181" s="1" t="str">
        <f ca="1">IFERROR(__xludf.DUMMYFUNCTION("""COMPUTED_VALUE"""),"Бандаж для руки поддерживающий облегченный (косынка) 9912 S (белый) (Болгария) KZ.7700.02.01.00922801 / Действительно до 07.09.2027 / 0922026KZ026 / годен до 07.09.2027")</f>
        <v>Бандаж для руки поддерживающий облегченный (косынка) 9912 S (белый) (Болгария) KZ.7700.02.01.00922801 / Действительно до 07.09.2027 / 0922026KZ026 / годен до 07.09.2027</v>
      </c>
    </row>
    <row r="2182" spans="1:8" ht="12.75" x14ac:dyDescent="0.2">
      <c r="A2182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2182" s="1" t="str">
        <f ca="1">IFERROR(__xludf.DUMMYFUNCTION("""COMPUTED_VALUE"""),"KZ.7700.02.01.00922801")</f>
        <v>KZ.7700.02.01.00922801</v>
      </c>
      <c r="C2182" s="1" t="str">
        <f ca="1">IFERROR(__xludf.DUMMYFUNCTION("""COMPUTED_VALUE"""),"Действительно до 07.09.2027")</f>
        <v>Действительно до 07.09.2027</v>
      </c>
      <c r="D2182" s="8" t="str">
        <f ca="1">IFERROR(__xludf.DUMMYFUNCTION("""COMPUTED_VALUE"""),"0922026KZ026")</f>
        <v>0922026KZ026</v>
      </c>
      <c r="E2182" s="1" t="str">
        <f ca="1">IFERROR(__xludf.DUMMYFUNCTION("""COMPUTED_VALUE"""),"годен до 07.09.2027")</f>
        <v>годен до 07.09.2027</v>
      </c>
      <c r="F2182" s="1" t="str">
        <f ca="1">IFERROR(__xludf.DUMMYFUNCTION("""COMPUTED_VALUE"""),"Бандаж для руки поддерживающий облегченный (косынка) 9912 L (белый) (Болгария) - 0922026KZ026")</f>
        <v>Бандаж для руки поддерживающий облегченный (косынка) 9912 L (белый) (Болгария) - 0922026KZ026</v>
      </c>
      <c r="G2182" s="1" t="str">
        <f ca="1">IFERROR(__xludf.DUMMYFUNCTION("""COMPUTED_VALUE"""),"KZ.7700.02.01.00922801 / Действительно до 07.09.2027 / 0922026KZ026 / годен до 07.09.2027")</f>
        <v>KZ.7700.02.01.00922801 / Действительно до 07.09.2027 / 0922026KZ026 / годен до 07.09.2027</v>
      </c>
      <c r="H2182" s="1" t="str">
        <f ca="1">IFERROR(__xludf.DUMMYFUNCTION("""COMPUTED_VALUE"""),"Бандаж для руки поддерживающий облегченный (косынка) 9912 L (белый) (Болгария) KZ.7700.02.01.00922801 / Действительно до 07.09.2027 / 0922026KZ026 / годен до 07.09.2027")</f>
        <v>Бандаж для руки поддерживающий облегченный (косынка) 9912 L (белый) (Болгария) KZ.7700.02.01.00922801 / Действительно до 07.09.2027 / 0922026KZ026 / годен до 07.09.2027</v>
      </c>
    </row>
    <row r="2183" spans="1:8" ht="12.75" x14ac:dyDescent="0.2">
      <c r="A2183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2183" s="1" t="str">
        <f ca="1">IFERROR(__xludf.DUMMYFUNCTION("""COMPUTED_VALUE"""),"KZ.7700.02.01.00922864")</f>
        <v>KZ.7700.02.01.00922864</v>
      </c>
      <c r="C2183" s="1" t="str">
        <f ca="1">IFERROR(__xludf.DUMMYFUNCTION("""COMPUTED_VALUE"""),"Действительно до 07.09.2027")</f>
        <v>Действительно до 07.09.2027</v>
      </c>
      <c r="D2183" s="8" t="str">
        <f ca="1">IFERROR(__xludf.DUMMYFUNCTION("""COMPUTED_VALUE"""),"0922026KZ026")</f>
        <v>0922026KZ026</v>
      </c>
      <c r="E2183" s="1" t="str">
        <f ca="1">IFERROR(__xludf.DUMMYFUNCTION("""COMPUTED_VALUE"""),"годен до 07.09.2027")</f>
        <v>годен до 07.09.2027</v>
      </c>
      <c r="F2183" s="1" t="str">
        <f ca="1">IFERROR(__xludf.DUMMYFUNCTION("""COMPUTED_VALUE"""),"Бинт эластичный медицинский средней растяжимости (ширина 80 мм) 02х80х1 - 0922026KZ026")</f>
        <v>Бинт эластичный медицинский средней растяжимости (ширина 80 мм) 02х80х1 - 0922026KZ026</v>
      </c>
      <c r="G2183" s="1" t="str">
        <f ca="1">IFERROR(__xludf.DUMMYFUNCTION("""COMPUTED_VALUE"""),"KZ.7700.02.01.00922864 / Действительно до 07.09.2027 / 0922026KZ026 / годен до 07.09.2027")</f>
        <v>KZ.7700.02.01.00922864 / Действительно до 07.09.2027 / 0922026KZ026 / годен до 07.09.2027</v>
      </c>
      <c r="H2183" s="1" t="str">
        <f ca="1">IFERROR(__xludf.DUMMYFUNCTION("""COMPUTED_VALUE"""),"Бинт эластичный медицинский средней растяжимости (ширина 80 мм) 02х80х1 KZ.7700.02.01.00922864 / Действительно до 07.09.2027 / 0922026KZ026 / годен до 07.09.2027")</f>
        <v>Бинт эластичный медицинский средней растяжимости (ширина 80 мм) 02х80х1 KZ.7700.02.01.00922864 / Действительно до 07.09.2027 / 0922026KZ026 / годен до 07.09.2027</v>
      </c>
    </row>
    <row r="2184" spans="1:8" ht="12.75" x14ac:dyDescent="0.2">
      <c r="A2184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2184" s="1" t="str">
        <f ca="1">IFERROR(__xludf.DUMMYFUNCTION("""COMPUTED_VALUE"""),"KZ.7700.02.01.00922863")</f>
        <v>KZ.7700.02.01.00922863</v>
      </c>
      <c r="C2184" s="1" t="str">
        <f ca="1">IFERROR(__xludf.DUMMYFUNCTION("""COMPUTED_VALUE"""),"Действительно до 07.09.2027")</f>
        <v>Действительно до 07.09.2027</v>
      </c>
      <c r="D2184" s="8" t="str">
        <f ca="1">IFERROR(__xludf.DUMMYFUNCTION("""COMPUTED_VALUE"""),"0922026KZ026")</f>
        <v>0922026KZ026</v>
      </c>
      <c r="E2184" s="1" t="str">
        <f ca="1">IFERROR(__xludf.DUMMYFUNCTION("""COMPUTED_VALUE"""),"годен до 07.09.2027")</f>
        <v>годен до 07.09.2027</v>
      </c>
      <c r="F2184" s="1" t="str">
        <f ca="1">IFERROR(__xludf.DUMMYFUNCTION("""COMPUTED_VALUE"""),"Бинт эластичный медицинский средней растяжимости (ширина 80 мм) 02х80х1.5 - 0922026KZ026")</f>
        <v>Бинт эластичный медицинский средней растяжимости (ширина 80 мм) 02х80х1.5 - 0922026KZ026</v>
      </c>
      <c r="G2184" s="1" t="str">
        <f ca="1">IFERROR(__xludf.DUMMYFUNCTION("""COMPUTED_VALUE"""),"KZ.7700.02.01.00922863 / Действительно до 07.09.2027 / 0922026KZ026 / годен до 07.09.2027")</f>
        <v>KZ.7700.02.01.00922863 / Действительно до 07.09.2027 / 0922026KZ026 / годен до 07.09.2027</v>
      </c>
      <c r="H2184" s="1" t="str">
        <f ca="1">IFERROR(__xludf.DUMMYFUNCTION("""COMPUTED_VALUE"""),"Бинт эластичный медицинский средней растяжимости (ширина 80 мм) 02х80х1.5 KZ.7700.02.01.00922863 / Действительно до 07.09.2027 / 0922026KZ026 / годен до 07.09.2027")</f>
        <v>Бинт эластичный медицинский средней растяжимости (ширина 80 мм) 02х80х1.5 KZ.7700.02.01.00922863 / Действительно до 07.09.2027 / 0922026KZ026 / годен до 07.09.2027</v>
      </c>
    </row>
    <row r="2185" spans="1:8" ht="12.75" x14ac:dyDescent="0.2">
      <c r="A2185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2185" s="1" t="str">
        <f ca="1">IFERROR(__xludf.DUMMYFUNCTION("""COMPUTED_VALUE"""),"KZ.7700.02.01.00922853")</f>
        <v>KZ.7700.02.01.00922853</v>
      </c>
      <c r="C2185" s="1" t="str">
        <f ca="1">IFERROR(__xludf.DUMMYFUNCTION("""COMPUTED_VALUE"""),"Действительно до 07.09.2027")</f>
        <v>Действительно до 07.09.2027</v>
      </c>
      <c r="D2185" s="8" t="str">
        <f ca="1">IFERROR(__xludf.DUMMYFUNCTION("""COMPUTED_VALUE"""),"0922026KZ026")</f>
        <v>0922026KZ026</v>
      </c>
      <c r="E2185" s="1" t="str">
        <f ca="1">IFERROR(__xludf.DUMMYFUNCTION("""COMPUTED_VALUE"""),"годен до 07.09.2027")</f>
        <v>годен до 07.09.2027</v>
      </c>
      <c r="F2185" s="1" t="str">
        <f ca="1">IFERROR(__xludf.DUMMYFUNCTION("""COMPUTED_VALUE"""),"Бинт эластичный медицинский средней растяжимости (ширина 80 мм) 02х80х2 - 0922026KZ026")</f>
        <v>Бинт эластичный медицинский средней растяжимости (ширина 80 мм) 02х80х2 - 0922026KZ026</v>
      </c>
      <c r="G2185" s="1" t="str">
        <f ca="1">IFERROR(__xludf.DUMMYFUNCTION("""COMPUTED_VALUE"""),"KZ.7700.02.01.00922853 / Действительно до 07.09.2027 / 0922026KZ026 / годен до 07.09.2027")</f>
        <v>KZ.7700.02.01.00922853 / Действительно до 07.09.2027 / 0922026KZ026 / годен до 07.09.2027</v>
      </c>
      <c r="H2185" s="1" t="str">
        <f ca="1">IFERROR(__xludf.DUMMYFUNCTION("""COMPUTED_VALUE"""),"Бинт эластичный медицинский средней растяжимости (ширина 80 мм) 02х80х2 KZ.7700.02.01.00922853 / Действительно до 07.09.2027 / 0922026KZ026 / годен до 07.09.2027")</f>
        <v>Бинт эластичный медицинский средней растяжимости (ширина 80 мм) 02х80х2 KZ.7700.02.01.00922853 / Действительно до 07.09.2027 / 0922026KZ026 / годен до 07.09.2027</v>
      </c>
    </row>
    <row r="2186" spans="1:8" ht="12.75" x14ac:dyDescent="0.2">
      <c r="A2186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2186" s="1" t="str">
        <f ca="1">IFERROR(__xludf.DUMMYFUNCTION("""COMPUTED_VALUE"""),"KZ.7700.02.01.00922894")</f>
        <v>KZ.7700.02.01.00922894</v>
      </c>
      <c r="C2186" s="1" t="str">
        <f ca="1">IFERROR(__xludf.DUMMYFUNCTION("""COMPUTED_VALUE"""),"Действительно до 07.09.2027")</f>
        <v>Действительно до 07.09.2027</v>
      </c>
      <c r="D2186" s="8" t="str">
        <f ca="1">IFERROR(__xludf.DUMMYFUNCTION("""COMPUTED_VALUE"""),"0922026KZ026")</f>
        <v>0922026KZ026</v>
      </c>
      <c r="E2186" s="1" t="str">
        <f ca="1">IFERROR(__xludf.DUMMYFUNCTION("""COMPUTED_VALUE"""),"годен до 07.09.2027")</f>
        <v>годен до 07.09.2027</v>
      </c>
      <c r="F2186" s="1" t="str">
        <f ca="1">IFERROR(__xludf.DUMMYFUNCTION("""COMPUTED_VALUE"""),"Бинт эластичный медицинский средней растяжимости (ширина 80 мм) 02х80х2.5 - 0922026KZ026")</f>
        <v>Бинт эластичный медицинский средней растяжимости (ширина 80 мм) 02х80х2.5 - 0922026KZ026</v>
      </c>
      <c r="G2186" s="1" t="str">
        <f ca="1">IFERROR(__xludf.DUMMYFUNCTION("""COMPUTED_VALUE"""),"KZ.7700.02.01.00922894 / Действительно до 07.09.2027 / 0922026KZ026 / годен до 07.09.2027")</f>
        <v>KZ.7700.02.01.00922894 / Действительно до 07.09.2027 / 0922026KZ026 / годен до 07.09.2027</v>
      </c>
      <c r="H2186" s="1" t="str">
        <f ca="1">IFERROR(__xludf.DUMMYFUNCTION("""COMPUTED_VALUE"""),"Бинт эластичный медицинский средней растяжимости (ширина 80 мм) 02х80х2.5 KZ.7700.02.01.00922894 / Действительно до 07.09.2027 / 0922026KZ026 / годен до 07.09.2027")</f>
        <v>Бинт эластичный медицинский средней растяжимости (ширина 80 мм) 02х80х2.5 KZ.7700.02.01.00922894 / Действительно до 07.09.2027 / 0922026KZ026 / годен до 07.09.2027</v>
      </c>
    </row>
    <row r="2187" spans="1:8" ht="12.75" x14ac:dyDescent="0.2">
      <c r="A2187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2187" s="1" t="str">
        <f ca="1">IFERROR(__xludf.DUMMYFUNCTION("""COMPUTED_VALUE"""),"KZ.7700.02.01.00922866")</f>
        <v>KZ.7700.02.01.00922866</v>
      </c>
      <c r="C2187" s="1" t="str">
        <f ca="1">IFERROR(__xludf.DUMMYFUNCTION("""COMPUTED_VALUE"""),"Действительно до 07.09.2027")</f>
        <v>Действительно до 07.09.2027</v>
      </c>
      <c r="D2187" s="8" t="str">
        <f ca="1">IFERROR(__xludf.DUMMYFUNCTION("""COMPUTED_VALUE"""),"0922026KZ026")</f>
        <v>0922026KZ026</v>
      </c>
      <c r="E2187" s="1" t="str">
        <f ca="1">IFERROR(__xludf.DUMMYFUNCTION("""COMPUTED_VALUE"""),"годен до 07.09.2027")</f>
        <v>годен до 07.09.2027</v>
      </c>
      <c r="F2187" s="1" t="str">
        <f ca="1">IFERROR(__xludf.DUMMYFUNCTION("""COMPUTED_VALUE"""),"Бинт эластичный медицинский средней растяжимости (ширина 80 мм) 02х80х5 - 0922026KZ026")</f>
        <v>Бинт эластичный медицинский средней растяжимости (ширина 80 мм) 02х80х5 - 0922026KZ026</v>
      </c>
      <c r="G2187" s="1" t="str">
        <f ca="1">IFERROR(__xludf.DUMMYFUNCTION("""COMPUTED_VALUE"""),"KZ.7700.02.01.00922866 / Действительно до 07.09.2027 / 0922026KZ026 / годен до 07.09.2027")</f>
        <v>KZ.7700.02.01.00922866 / Действительно до 07.09.2027 / 0922026KZ026 / годен до 07.09.2027</v>
      </c>
      <c r="H2187" s="1" t="str">
        <f ca="1">IFERROR(__xludf.DUMMYFUNCTION("""COMPUTED_VALUE"""),"Бинт эластичный медицинский средней растяжимости (ширина 80 мм) 02х80х5 KZ.7700.02.01.00922866 / Действительно до 07.09.2027 / 0922026KZ026 / годен до 07.09.2027")</f>
        <v>Бинт эластичный медицинский средней растяжимости (ширина 80 мм) 02х80х5 KZ.7700.02.01.00922866 / Действительно до 07.09.2027 / 0922026KZ026 / годен до 07.09.2027</v>
      </c>
    </row>
    <row r="2188" spans="1:8" ht="12.75" x14ac:dyDescent="0.2">
      <c r="A2188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2188" s="1" t="str">
        <f ca="1">IFERROR(__xludf.DUMMYFUNCTION("""COMPUTED_VALUE"""),"KZ.7700.02.01.00922860")</f>
        <v>KZ.7700.02.01.00922860</v>
      </c>
      <c r="C2188" s="1" t="str">
        <f ca="1">IFERROR(__xludf.DUMMYFUNCTION("""COMPUTED_VALUE"""),"Действительно до 07.09.2027")</f>
        <v>Действительно до 07.09.2027</v>
      </c>
      <c r="D2188" s="8" t="str">
        <f ca="1">IFERROR(__xludf.DUMMYFUNCTION("""COMPUTED_VALUE"""),"0922026KZ026")</f>
        <v>0922026KZ026</v>
      </c>
      <c r="E2188" s="1" t="str">
        <f ca="1">IFERROR(__xludf.DUMMYFUNCTION("""COMPUTED_VALUE"""),"годен до 07.09.2027")</f>
        <v>годен до 07.09.2027</v>
      </c>
      <c r="F2188" s="1" t="str">
        <f ca="1">IFERROR(__xludf.DUMMYFUNCTION("""COMPUTED_VALUE"""),"Бинт эластичный медицинский средней растяжимости (ширина 80 мм) 02х80х3 - 0922026KZ026")</f>
        <v>Бинт эластичный медицинский средней растяжимости (ширина 80 мм) 02х80х3 - 0922026KZ026</v>
      </c>
      <c r="G2188" s="1" t="str">
        <f ca="1">IFERROR(__xludf.DUMMYFUNCTION("""COMPUTED_VALUE"""),"KZ.7700.02.01.00922860 / Действительно до 07.09.2027 / 0922026KZ026 / годен до 07.09.2027")</f>
        <v>KZ.7700.02.01.00922860 / Действительно до 07.09.2027 / 0922026KZ026 / годен до 07.09.2027</v>
      </c>
      <c r="H2188" s="1" t="str">
        <f ca="1">IFERROR(__xludf.DUMMYFUNCTION("""COMPUTED_VALUE"""),"Бинт эластичный медицинский средней растяжимости (ширина 80 мм) 02х80х3 KZ.7700.02.01.00922860 / Действительно до 07.09.2027 / 0922026KZ026 / годен до 07.09.2027")</f>
        <v>Бинт эластичный медицинский средней растяжимости (ширина 80 мм) 02х80х3 KZ.7700.02.01.00922860 / Действительно до 07.09.2027 / 0922026KZ026 / годен до 07.09.2027</v>
      </c>
    </row>
    <row r="2189" spans="1:8" ht="12.75" x14ac:dyDescent="0.2">
      <c r="A2189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2189" s="1" t="str">
        <f ca="1">IFERROR(__xludf.DUMMYFUNCTION("""COMPUTED_VALUE"""),"KZ.7700.02.01.00922890")</f>
        <v>KZ.7700.02.01.00922890</v>
      </c>
      <c r="C2189" s="1" t="str">
        <f ca="1">IFERROR(__xludf.DUMMYFUNCTION("""COMPUTED_VALUE"""),"Действительно до 07.09.2027")</f>
        <v>Действительно до 07.09.2027</v>
      </c>
      <c r="D2189" s="8" t="str">
        <f ca="1">IFERROR(__xludf.DUMMYFUNCTION("""COMPUTED_VALUE"""),"0922026KZ026")</f>
        <v>0922026KZ026</v>
      </c>
      <c r="E2189" s="1" t="str">
        <f ca="1">IFERROR(__xludf.DUMMYFUNCTION("""COMPUTED_VALUE"""),"годен до 07.09.2027")</f>
        <v>годен до 07.09.2027</v>
      </c>
      <c r="F2189" s="1" t="str">
        <f ca="1">IFERROR(__xludf.DUMMYFUNCTION("""COMPUTED_VALUE"""),"Бинт эластичный медицинский средней растяжимости (ширина 80 мм) 02х80х3.5 - 0922026KZ026")</f>
        <v>Бинт эластичный медицинский средней растяжимости (ширина 80 мм) 02х80х3.5 - 0922026KZ026</v>
      </c>
      <c r="G2189" s="1" t="str">
        <f ca="1">IFERROR(__xludf.DUMMYFUNCTION("""COMPUTED_VALUE"""),"KZ.7700.02.01.00922890 / Действительно до 07.09.2027 / 0922026KZ026 / годен до 07.09.2027")</f>
        <v>KZ.7700.02.01.00922890 / Действительно до 07.09.2027 / 0922026KZ026 / годен до 07.09.2027</v>
      </c>
      <c r="H2189" s="1" t="str">
        <f ca="1">IFERROR(__xludf.DUMMYFUNCTION("""COMPUTED_VALUE"""),"Бинт эластичный медицинский средней растяжимости (ширина 80 мм) 02х80х3.5 KZ.7700.02.01.00922890 / Действительно до 07.09.2027 / 0922026KZ026 / годен до 07.09.2027")</f>
        <v>Бинт эластичный медицинский средней растяжимости (ширина 80 мм) 02х80х3.5 KZ.7700.02.01.00922890 / Действительно до 07.09.2027 / 0922026KZ026 / годен до 07.09.2027</v>
      </c>
    </row>
    <row r="2190" spans="1:8" ht="12.75" x14ac:dyDescent="0.2">
      <c r="A2190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2190" s="1" t="str">
        <f ca="1">IFERROR(__xludf.DUMMYFUNCTION("""COMPUTED_VALUE"""),"KZ.7700.02.01.00922510")</f>
        <v>KZ.7700.02.01.00922510</v>
      </c>
      <c r="C2190" s="1" t="str">
        <f ca="1">IFERROR(__xludf.DUMMYFUNCTION("""COMPUTED_VALUE"""),"Действительно до 07.09.2027")</f>
        <v>Действительно до 07.09.2027</v>
      </c>
      <c r="D2190" s="8" t="str">
        <f ca="1">IFERROR(__xludf.DUMMYFUNCTION("""COMPUTED_VALUE"""),"0922026KZ026")</f>
        <v>0922026KZ026</v>
      </c>
      <c r="E2190" s="1" t="str">
        <f ca="1">IFERROR(__xludf.DUMMYFUNCTION("""COMPUTED_VALUE"""),"годен до 07.09.2027")</f>
        <v>годен до 07.09.2027</v>
      </c>
      <c r="F2190" s="1" t="str">
        <f ca="1">IFERROR(__xludf.DUMMYFUNCTION("""COMPUTED_VALUE"""),"Бинт эластичный медицинский средней растяжимости (ширина 80 мм) 02х80х4 - 0922026KZ026")</f>
        <v>Бинт эластичный медицинский средней растяжимости (ширина 80 мм) 02х80х4 - 0922026KZ026</v>
      </c>
      <c r="G2190" s="1" t="str">
        <f ca="1">IFERROR(__xludf.DUMMYFUNCTION("""COMPUTED_VALUE"""),"KZ.7700.02.01.00922510 / Действительно до 07.09.2027 / 0922026KZ026 / годен до 07.09.2027")</f>
        <v>KZ.7700.02.01.00922510 / Действительно до 07.09.2027 / 0922026KZ026 / годен до 07.09.2027</v>
      </c>
      <c r="H2190" s="1" t="str">
        <f ca="1">IFERROR(__xludf.DUMMYFUNCTION("""COMPUTED_VALUE"""),"Бинт эластичный медицинский средней растяжимости (ширина 80 мм) 02х80х4 KZ.7700.02.01.00922510 / Действительно до 07.09.2027 / 0922026KZ026 / годен до 07.09.2027")</f>
        <v>Бинт эластичный медицинский средней растяжимости (ширина 80 мм) 02х80х4 KZ.7700.02.01.00922510 / Действительно до 07.09.2027 / 0922026KZ026 / годен до 07.09.2027</v>
      </c>
    </row>
    <row r="2191" spans="1:8" ht="12.75" x14ac:dyDescent="0.2">
      <c r="A2191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2191" s="1" t="str">
        <f ca="1">IFERROR(__xludf.DUMMYFUNCTION("""COMPUTED_VALUE"""),"KZ.7700.02.01.0093909")</f>
        <v>KZ.7700.02.01.0093909</v>
      </c>
      <c r="C2191" s="1" t="str">
        <f ca="1">IFERROR(__xludf.DUMMYFUNCTION("""COMPUTED_VALUE"""),"Действительно до бессрочно")</f>
        <v>Действительно до бессрочно</v>
      </c>
      <c r="D2191" s="8" t="str">
        <f ca="1">IFERROR(__xludf.DUMMYFUNCTION("""COMPUTED_VALUE"""),"JL-MGS-0136")</f>
        <v>JL-MGS-0136</v>
      </c>
      <c r="E2191" s="1" t="str">
        <f ca="1">IFERROR(__xludf.DUMMYFUNCTION("""COMPUTED_VALUE"""),"без срока годности")</f>
        <v>без срока годности</v>
      </c>
      <c r="F2191" s="1" t="str">
        <f ca="1">IFERROR(__xludf.DUMMYFUNCTION("""COMPUTED_VALUE"""),"Ингалятор компрессорный Gamma модель EFFECT NEW - JL-MGS-0136")</f>
        <v>Ингалятор компрессорный Gamma модель EFFECT NEW - JL-MGS-0136</v>
      </c>
      <c r="G2191" s="1" t="str">
        <f ca="1">IFERROR(__xludf.DUMMYFUNCTION("""COMPUTED_VALUE"""),"KZ.7700.02.01.0093909 / Действительно до бессрочно / JL-MGS-0136 / без срока годности")</f>
        <v>KZ.7700.02.01.0093909 / Действительно до бессрочно / JL-MGS-0136 / без срока годности</v>
      </c>
      <c r="H2191" s="1" t="str">
        <f ca="1">IFERROR(__xludf.DUMMYFUNCTION("""COMPUTED_VALUE"""),"Ингалятор компрессорный Gamma модель EFFECT NEW KZ.7700.02.01.0093909 / Действительно до бессрочно / JL-MGS-0136 / без срока годности")</f>
        <v>Ингалятор компрессорный Gamma модель EFFECT NEW KZ.7700.02.01.0093909 / Действительно до бессрочно / JL-MGS-0136 / без срока годности</v>
      </c>
    </row>
    <row r="2192" spans="1:8" ht="12.75" x14ac:dyDescent="0.2">
      <c r="A2192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2192" s="1" t="str">
        <f ca="1">IFERROR(__xludf.DUMMYFUNCTION("""COMPUTED_VALUE"""),"KZ.7700.02.01.00924836")</f>
        <v>KZ.7700.02.01.00924836</v>
      </c>
      <c r="C2192" s="1" t="str">
        <f ca="1">IFERROR(__xludf.DUMMYFUNCTION("""COMPUTED_VALUE"""),"Действительно до бессрочно")</f>
        <v>Действительно до бессрочно</v>
      </c>
      <c r="D2192" s="8" t="str">
        <f ca="1">IFERROR(__xludf.DUMMYFUNCTION("""COMPUTED_VALUE"""),"PG20220707KM")</f>
        <v>PG20220707KM</v>
      </c>
      <c r="E2192" s="1" t="str">
        <f ca="1">IFERROR(__xludf.DUMMYFUNCTION("""COMPUTED_VALUE"""),"без срока годности")</f>
        <v>без срока годности</v>
      </c>
      <c r="F2192" s="1" t="str">
        <f ca="1">IFERROR(__xludf.DUMMYFUNCTION("""COMPUTED_VALUE"""),"Автоматический измеритель артериального давления ТМ DR.FREI МОДЕЛЬ M-100A - PG20220707KM")</f>
        <v>Автоматический измеритель артериального давления ТМ DR.FREI МОДЕЛЬ M-100A - PG20220707KM</v>
      </c>
      <c r="G2192" s="1" t="str">
        <f ca="1">IFERROR(__xludf.DUMMYFUNCTION("""COMPUTED_VALUE"""),"KZ.7700.02.01.00924836 / Действительно до бессрочно / PG20220707KM / без срока годности")</f>
        <v>KZ.7700.02.01.00924836 / Действительно до бессрочно / PG20220707KM / без срока годности</v>
      </c>
      <c r="H2192" s="1" t="str">
        <f ca="1">IFERROR(__xludf.DUMMYFUNCTION("""COMPUTED_VALUE"""),"Автоматический измеритель артериального давления ТМ DR.FREI МОДЕЛЬ M-100A KZ.7700.02.01.00924836 / Действительно до бессрочно / PG20220707KM / без срока годности")</f>
        <v>Автоматический измеритель артериального давления ТМ DR.FREI МОДЕЛЬ M-100A KZ.7700.02.01.00924836 / Действительно до бессрочно / PG20220707KM / без срока годности</v>
      </c>
    </row>
    <row r="2193" spans="1:8" ht="12.75" x14ac:dyDescent="0.2">
      <c r="A2193" s="1" t="str">
        <f ca="1">IFERROR(__xludf.DUMMYFUNCTION("""COMPUTED_VALUE"""),"Тонометр автомат Gamma Plus")</f>
        <v>Тонометр автомат Gamma Plus</v>
      </c>
      <c r="B2193" s="1" t="str">
        <f ca="1">IFERROR(__xludf.DUMMYFUNCTION("""COMPUTED_VALUE"""),"KZ.7700.02.01.00924517")</f>
        <v>KZ.7700.02.01.00924517</v>
      </c>
      <c r="C2193" s="1" t="str">
        <f ca="1">IFERROR(__xludf.DUMMYFUNCTION("""COMPUTED_VALUE"""),"Действительно до бессрочно")</f>
        <v>Действительно до бессрочно</v>
      </c>
      <c r="D2193" s="8" t="str">
        <f ca="1">IFERROR(__xludf.DUMMYFUNCTION("""COMPUTED_VALUE"""),"PG20220707KM")</f>
        <v>PG20220707KM</v>
      </c>
      <c r="E2193" s="1" t="str">
        <f ca="1">IFERROR(__xludf.DUMMYFUNCTION("""COMPUTED_VALUE"""),"без срока годности")</f>
        <v>без срока годности</v>
      </c>
      <c r="F2193" s="1" t="str">
        <f ca="1">IFERROR(__xludf.DUMMYFUNCTION("""COMPUTED_VALUE"""),"Тонометр автомат Gamma Plus - PG20220707KM")</f>
        <v>Тонометр автомат Gamma Plus - PG20220707KM</v>
      </c>
      <c r="G2193" s="1" t="str">
        <f ca="1">IFERROR(__xludf.DUMMYFUNCTION("""COMPUTED_VALUE"""),"KZ.7700.02.01.00924517 / Действительно до бессрочно / PG20220707KM / без срока годности")</f>
        <v>KZ.7700.02.01.00924517 / Действительно до бессрочно / PG20220707KM / без срока годности</v>
      </c>
      <c r="H2193" s="1" t="str">
        <f ca="1">IFERROR(__xludf.DUMMYFUNCTION("""COMPUTED_VALUE"""),"Тонометр автомат Gamma Plus KZ.7700.02.01.00924517 / Действительно до бессрочно / PG20220707KM / без срока годности")</f>
        <v>Тонометр автомат Gamma Plus KZ.7700.02.01.00924517 / Действительно до бессрочно / PG20220707KM / без срока годности</v>
      </c>
    </row>
    <row r="2194" spans="1:8" ht="12.75" x14ac:dyDescent="0.2">
      <c r="A2194" s="1" t="str">
        <f ca="1">IFERROR(__xludf.DUMMYFUNCTION("""COMPUTED_VALUE"""),"Тонометр автомат Gamma Smart")</f>
        <v>Тонометр автомат Gamma Smart</v>
      </c>
      <c r="B2194" s="1" t="str">
        <f ca="1">IFERROR(__xludf.DUMMYFUNCTION("""COMPUTED_VALUE"""),"KZ.7700.02.01.00924509")</f>
        <v>KZ.7700.02.01.00924509</v>
      </c>
      <c r="C2194" s="1" t="str">
        <f ca="1">IFERROR(__xludf.DUMMYFUNCTION("""COMPUTED_VALUE"""),"Действительно до бессрочно")</f>
        <v>Действительно до бессрочно</v>
      </c>
      <c r="D2194" s="8" t="str">
        <f ca="1">IFERROR(__xludf.DUMMYFUNCTION("""COMPUTED_VALUE"""),"PG20220707KM")</f>
        <v>PG20220707KM</v>
      </c>
      <c r="E2194" s="1" t="str">
        <f ca="1">IFERROR(__xludf.DUMMYFUNCTION("""COMPUTED_VALUE"""),"без срока годности")</f>
        <v>без срока годности</v>
      </c>
      <c r="F2194" s="1" t="str">
        <f ca="1">IFERROR(__xludf.DUMMYFUNCTION("""COMPUTED_VALUE"""),"Тонометр автомат Gamma Smart - PG20220707KM")</f>
        <v>Тонометр автомат Gamma Smart - PG20220707KM</v>
      </c>
      <c r="G2194" s="1" t="str">
        <f ca="1">IFERROR(__xludf.DUMMYFUNCTION("""COMPUTED_VALUE"""),"KZ.7700.02.01.00924509 / Действительно до бессрочно / PG20220707KM / без срока годности")</f>
        <v>KZ.7700.02.01.00924509 / Действительно до бессрочно / PG20220707KM / без срока годности</v>
      </c>
      <c r="H2194" s="1" t="str">
        <f ca="1">IFERROR(__xludf.DUMMYFUNCTION("""COMPUTED_VALUE"""),"Тонометр автомат Gamma Smart KZ.7700.02.01.00924509 / Действительно до бессрочно / PG20220707KM / без срока годности")</f>
        <v>Тонометр автомат Gamma Smart KZ.7700.02.01.00924509 / Действительно до бессрочно / PG20220707KM / без срока годности</v>
      </c>
    </row>
    <row r="2195" spans="1:8" ht="12.75" x14ac:dyDescent="0.2">
      <c r="A2195" s="1" t="str">
        <f ca="1">IFERROR(__xludf.DUMMYFUNCTION("""COMPUTED_VALUE"""),"Профессиональный стетоскоп с односторонней головкой Dr.Frei Модель S-10")</f>
        <v>Профессиональный стетоскоп с односторонней головкой Dr.Frei Модель S-10</v>
      </c>
      <c r="B2195" s="1" t="str">
        <f ca="1">IFERROR(__xludf.DUMMYFUNCTION("""COMPUTED_VALUE"""),"KZ.7700.02.01.00926153")</f>
        <v>KZ.7700.02.01.00926153</v>
      </c>
      <c r="C2195" s="1" t="str">
        <f ca="1">IFERROR(__xludf.DUMMYFUNCTION("""COMPUTED_VALUE"""),"Действительно до бессрочно")</f>
        <v>Действительно до бессрочно</v>
      </c>
      <c r="D2195" s="8" t="str">
        <f ca="1">IFERROR(__xludf.DUMMYFUNCTION("""COMPUTED_VALUE"""),"YTC22048")</f>
        <v>YTC22048</v>
      </c>
      <c r="E2195" s="1" t="str">
        <f ca="1">IFERROR(__xludf.DUMMYFUNCTION("""COMPUTED_VALUE"""),"без срока годности")</f>
        <v>без срока годности</v>
      </c>
      <c r="F2195" s="1" t="str">
        <f ca="1">IFERROR(__xludf.DUMMYFUNCTION("""COMPUTED_VALUE"""),"Профессиональный стетоскоп с односторонней головкой Dr.Frei Модель S-10 - YTC22048")</f>
        <v>Профессиональный стетоскоп с односторонней головкой Dr.Frei Модель S-10 - YTC22048</v>
      </c>
      <c r="G2195" s="1" t="str">
        <f ca="1">IFERROR(__xludf.DUMMYFUNCTION("""COMPUTED_VALUE"""),"KZ.7700.02.01.00926153 / Действительно до бессрочно / YTC22048 / без срока годности")</f>
        <v>KZ.7700.02.01.00926153 / Действительно до бессрочно / YTC22048 / без срока годности</v>
      </c>
      <c r="H2195" s="1" t="str">
        <f ca="1">IFERROR(__xludf.DUMMYFUNCTION("""COMPUTED_VALUE"""),"Профессиональный стетоскоп с односторонней головкой Dr.Frei Модель S-10 KZ.7700.02.01.00926153 / Действительно до бессрочно / YTC22048 / без срока годности")</f>
        <v>Профессиональный стетоскоп с односторонней головкой Dr.Frei Модель S-10 KZ.7700.02.01.00926153 / Действительно до бессрочно / YTC22048 / без срока годности</v>
      </c>
    </row>
    <row r="2196" spans="1:8" ht="12.75" x14ac:dyDescent="0.2">
      <c r="A2196" s="1" t="str">
        <f ca="1">IFERROR(__xludf.DUMMYFUNCTION("""COMPUTED_VALUE"""),"Профессиональный стетоскоп с двусторонней головкой Dr.Frei Модель S-20")</f>
        <v>Профессиональный стетоскоп с двусторонней головкой Dr.Frei Модель S-20</v>
      </c>
      <c r="B2196" s="1" t="str">
        <f ca="1">IFERROR(__xludf.DUMMYFUNCTION("""COMPUTED_VALUE"""),"KZ.7700.02.01.00926156")</f>
        <v>KZ.7700.02.01.00926156</v>
      </c>
      <c r="C2196" s="1" t="str">
        <f ca="1">IFERROR(__xludf.DUMMYFUNCTION("""COMPUTED_VALUE"""),"Действительно до бессрочно")</f>
        <v>Действительно до бессрочно</v>
      </c>
      <c r="D2196" s="8" t="str">
        <f ca="1">IFERROR(__xludf.DUMMYFUNCTION("""COMPUTED_VALUE"""),"YTC22048")</f>
        <v>YTC22048</v>
      </c>
      <c r="E2196" s="1" t="str">
        <f ca="1">IFERROR(__xludf.DUMMYFUNCTION("""COMPUTED_VALUE"""),"без срока годности")</f>
        <v>без срока годности</v>
      </c>
      <c r="F2196" s="1" t="str">
        <f ca="1">IFERROR(__xludf.DUMMYFUNCTION("""COMPUTED_VALUE"""),"Профессиональный стетоскоп с двусторонней головкой Dr.Frei Модель S-20 - YTC22048")</f>
        <v>Профессиональный стетоскоп с двусторонней головкой Dr.Frei Модель S-20 - YTC22048</v>
      </c>
      <c r="G2196" s="1" t="str">
        <f ca="1">IFERROR(__xludf.DUMMYFUNCTION("""COMPUTED_VALUE"""),"KZ.7700.02.01.00926156 / Действительно до бессрочно / YTC22048 / без срока годности")</f>
        <v>KZ.7700.02.01.00926156 / Действительно до бессрочно / YTC22048 / без срока годности</v>
      </c>
      <c r="H2196" s="1" t="str">
        <f ca="1">IFERROR(__xludf.DUMMYFUNCTION("""COMPUTED_VALUE"""),"Профессиональный стетоскоп с двусторонней головкой Dr.Frei Модель S-20 KZ.7700.02.01.00926156 / Действительно до бессрочно / YTC22048 / без срока годности")</f>
        <v>Профессиональный стетоскоп с двусторонней головкой Dr.Frei Модель S-20 KZ.7700.02.01.00926156 / Действительно до бессрочно / YTC22048 / без срока годности</v>
      </c>
    </row>
    <row r="2197" spans="1:8" ht="12.75" x14ac:dyDescent="0.2">
      <c r="A2197" s="1" t="str">
        <f ca="1">IFERROR(__xludf.DUMMYFUNCTION("""COMPUTED_VALUE"""),"Стетофонендоскоп Раппопорт Dr.Frei S-30")</f>
        <v>Стетофонендоскоп Раппопорт Dr.Frei S-30</v>
      </c>
      <c r="B2197" s="1" t="str">
        <f ca="1">IFERROR(__xludf.DUMMYFUNCTION("""COMPUTED_VALUE"""),"KZ.7700.02.01.00926314")</f>
        <v>KZ.7700.02.01.00926314</v>
      </c>
      <c r="C2197" s="1" t="str">
        <f ca="1">IFERROR(__xludf.DUMMYFUNCTION("""COMPUTED_VALUE"""),"Действительно до бессрочно")</f>
        <v>Действительно до бессрочно</v>
      </c>
      <c r="D2197" s="8" t="str">
        <f ca="1">IFERROR(__xludf.DUMMYFUNCTION("""COMPUTED_VALUE"""),"YTC22048")</f>
        <v>YTC22048</v>
      </c>
      <c r="E2197" s="1" t="str">
        <f ca="1">IFERROR(__xludf.DUMMYFUNCTION("""COMPUTED_VALUE"""),"без срока годности")</f>
        <v>без срока годности</v>
      </c>
      <c r="F2197" s="1" t="str">
        <f ca="1">IFERROR(__xludf.DUMMYFUNCTION("""COMPUTED_VALUE"""),"Стетофонендоскоп Раппопорт Dr.Frei S-30 - YTC22048")</f>
        <v>Стетофонендоскоп Раппопорт Dr.Frei S-30 - YTC22048</v>
      </c>
      <c r="G2197" s="1" t="str">
        <f ca="1">IFERROR(__xludf.DUMMYFUNCTION("""COMPUTED_VALUE"""),"KZ.7700.02.01.00926314 / Действительно до бессрочно / YTC22048 / без срока годности")</f>
        <v>KZ.7700.02.01.00926314 / Действительно до бессрочно / YTC22048 / без срока годности</v>
      </c>
      <c r="H2197" s="1" t="str">
        <f ca="1">IFERROR(__xludf.DUMMYFUNCTION("""COMPUTED_VALUE"""),"Стетофонендоскоп Раппопорт Dr.Frei S-30 KZ.7700.02.01.00926314 / Действительно до бессрочно / YTC22048 / без срока годности")</f>
        <v>Стетофонендоскоп Раппопорт Dr.Frei S-30 KZ.7700.02.01.00926314 / Действительно до бессрочно / YTC22048 / без срока годности</v>
      </c>
    </row>
    <row r="2198" spans="1:8" ht="12.75" x14ac:dyDescent="0.2">
      <c r="A2198" s="1" t="str">
        <f ca="1">IFERROR(__xludf.DUMMYFUNCTION("""COMPUTED_VALUE"""),"Детские зубные щетки торговой марки DENTISSIMO : KIDS SOFT 2-6")</f>
        <v>Детские зубные щетки торговой марки DENTISSIMO : KIDS SOFT 2-6</v>
      </c>
      <c r="B2198" s="1" t="str">
        <f ca="1">IFERROR(__xludf.DUMMYFUNCTION("""COMPUTED_VALUE"""),"KZ.7700317.13.12.02657")</f>
        <v>KZ.7700317.13.12.02657</v>
      </c>
      <c r="C2198" s="1" t="str">
        <f ca="1">IFERROR(__xludf.DUMMYFUNCTION("""COMPUTED_VALUE"""),"Действительно до 14.12.2023")</f>
        <v>Действительно до 14.12.2023</v>
      </c>
      <c r="D2198" s="1"/>
      <c r="E2198" s="1" t="str">
        <f ca="1">IFERROR(__xludf.DUMMYFUNCTION("""COMPUTED_VALUE"""),"без срока годности")</f>
        <v>без срока годности</v>
      </c>
      <c r="F2198" s="1" t="str">
        <f ca="1">IFERROR(__xludf.DUMMYFUNCTION("""COMPUTED_VALUE"""),"Детские зубные щетки торговой марки DENTISSIMO : KIDS SOFT 2-6 - ")</f>
        <v xml:space="preserve">Детские зубные щетки торговой марки DENTISSIMO : KIDS SOFT 2-6 - </v>
      </c>
      <c r="G2198" s="1" t="str">
        <f ca="1">IFERROR(__xludf.DUMMYFUNCTION("""COMPUTED_VALUE"""),"KZ.7700317.13.12.02657 / Действительно до 14.12.2023 /  / без срока годности")</f>
        <v>KZ.7700317.13.12.02657 / Действительно до 14.12.2023 /  / без срока годности</v>
      </c>
      <c r="H2198" s="1" t="str">
        <f ca="1">IFERROR(__xludf.DUMMYFUNCTION("""COMPUTED_VALUE"""),"Детские зубные щетки торговой марки DENTISSIMO : KIDS SOFT 2-6 KZ.7700317.13.12.02657 / Действительно до 14.12.2023 /  / без срока годности")</f>
        <v>Детские зубные щетки торговой марки DENTISSIMO : KIDS SOFT 2-6 KZ.7700317.13.12.02657 / Действительно до 14.12.2023 /  / без срока годности</v>
      </c>
    </row>
    <row r="2199" spans="1:8" ht="12.75" x14ac:dyDescent="0.2">
      <c r="A2199" s="1" t="str">
        <f ca="1">IFERROR(__xludf.DUMMYFUNCTION("""COMPUTED_VALUE"""),"Зубная паста торговой марки DENTISSIMO: BIO-NATURAL WITH HERBS TOOTHPASTE")</f>
        <v>Зубная паста торговой марки DENTISSIMO: BIO-NATURAL WITH HERBS TOOTHPASTE</v>
      </c>
      <c r="B2199" s="1" t="str">
        <f ca="1">IFERROR(__xludf.DUMMYFUNCTION("""COMPUTED_VALUE"""),"KZ.7700317.13.12.02656")</f>
        <v>KZ.7700317.13.12.02656</v>
      </c>
      <c r="C2199" s="1" t="str">
        <f ca="1">IFERROR(__xludf.DUMMYFUNCTION("""COMPUTED_VALUE"""),"Действительно до 14.12.2023")</f>
        <v>Действительно до 14.12.2023</v>
      </c>
      <c r="D2199" s="1"/>
      <c r="E2199" s="1" t="str">
        <f ca="1">IFERROR(__xludf.DUMMYFUNCTION("""COMPUTED_VALUE"""),"годен до 07.2024")</f>
        <v>годен до 07.2024</v>
      </c>
      <c r="F2199" s="1" t="str">
        <f ca="1">IFERROR(__xludf.DUMMYFUNCTION("""COMPUTED_VALUE"""),"Зубная паста торговой марки DENTISSIMO: BIO-NATURAL WITH HERBS TOOTHPASTE - ")</f>
        <v xml:space="preserve">Зубная паста торговой марки DENTISSIMO: BIO-NATURAL WITH HERBS TOOTHPASTE - </v>
      </c>
      <c r="G2199" s="1" t="str">
        <f ca="1">IFERROR(__xludf.DUMMYFUNCTION("""COMPUTED_VALUE"""),"KZ.7700317.13.12.02656 / Действительно до 14.12.2023 /  / годен до 07.2024")</f>
        <v>KZ.7700317.13.12.02656 / Действительно до 14.12.2023 /  / годен до 07.2024</v>
      </c>
      <c r="H2199" s="1" t="str">
        <f ca="1">IFERROR(__xludf.DUMMYFUNCTION("""COMPUTED_VALUE"""),"Зубная паста торговой марки DENTISSIMO: BIO-NATURAL WITH HERBS TOOTHPASTE KZ.7700317.13.12.02656 / Действительно до 14.12.2023 /  / годен до 07.2024")</f>
        <v>Зубная паста торговой марки DENTISSIMO: BIO-NATURAL WITH HERBS TOOTHPASTE KZ.7700317.13.12.02656 / Действительно до 14.12.2023 /  / годен до 07.2024</v>
      </c>
    </row>
    <row r="2200" spans="1:8" ht="12.75" x14ac:dyDescent="0.2">
      <c r="A2200" s="1" t="str">
        <f ca="1">IFERROR(__xludf.DUMMYFUNCTION("""COMPUTED_VALUE"""),"Экспресс-Тест (полоска) на овуляцию №5 + 1 ПДВ")</f>
        <v>Экспресс-Тест (полоска) на овуляцию №5 + 1 ПДВ</v>
      </c>
      <c r="B2200" s="1" t="str">
        <f ca="1">IFERROR(__xludf.DUMMYFUNCTION("""COMPUTED_VALUE"""),"KZ.7700.02.01.00932007")</f>
        <v>KZ.7700.02.01.00932007</v>
      </c>
      <c r="C2200" s="1" t="str">
        <f ca="1">IFERROR(__xludf.DUMMYFUNCTION("""COMPUTED_VALUE"""),"Действительно до 01.11.2025")</f>
        <v>Действительно до 01.11.2025</v>
      </c>
      <c r="D2200" s="8" t="str">
        <f ca="1">IFERROR(__xludf.DUMMYFUNCTION("""COMPUTED_VALUE"""),"20221012LS")</f>
        <v>20221012LS</v>
      </c>
      <c r="E2200" s="1" t="str">
        <f ca="1">IFERROR(__xludf.DUMMYFUNCTION("""COMPUTED_VALUE"""),"годен до 10.2025")</f>
        <v>годен до 10.2025</v>
      </c>
      <c r="F2200" s="1" t="str">
        <f ca="1">IFERROR(__xludf.DUMMYFUNCTION("""COMPUTED_VALUE"""),"Экспресс-Тест (полоска) на овуляцию №5 + 1 ПДВ - 20221012LS")</f>
        <v>Экспресс-Тест (полоска) на овуляцию №5 + 1 ПДВ - 20221012LS</v>
      </c>
      <c r="G2200" s="1" t="str">
        <f ca="1">IFERROR(__xludf.DUMMYFUNCTION("""COMPUTED_VALUE"""),"KZ.7700.02.01.00932007 / Действительно до 01.11.2025 / 20221012LS / годен до 10.2025")</f>
        <v>KZ.7700.02.01.00932007 / Действительно до 01.11.2025 / 20221012LS / годен до 10.2025</v>
      </c>
      <c r="H2200" s="1" t="str">
        <f ca="1">IFERROR(__xludf.DUMMYFUNCTION("""COMPUTED_VALUE"""),"Экспресс-Тест (полоска) на овуляцию №5 + 1 ПДВ KZ.7700.02.01.00932007 / Действительно до 01.11.2025 / 20221012LS / годен до 10.2025")</f>
        <v>Экспресс-Тест (полоска) на овуляцию №5 + 1 ПДВ KZ.7700.02.01.00932007 / Действительно до 01.11.2025 / 20221012LS / годен до 10.2025</v>
      </c>
    </row>
    <row r="2201" spans="1:8" ht="12.75" x14ac:dyDescent="0.2">
      <c r="A2201" s="1" t="str">
        <f ca="1">IFERROR(__xludf.DUMMYFUNCTION("""COMPUTED_VALUE"""),"Экспресс-Тест (полоска) на беременность 3 мм №1")</f>
        <v>Экспресс-Тест (полоска) на беременность 3 мм №1</v>
      </c>
      <c r="B2201" s="1" t="str">
        <f ca="1">IFERROR(__xludf.DUMMYFUNCTION("""COMPUTED_VALUE"""),"KZ.7700.02.01.00932009")</f>
        <v>KZ.7700.02.01.00932009</v>
      </c>
      <c r="C2201" s="1" t="str">
        <f ca="1">IFERROR(__xludf.DUMMYFUNCTION("""COMPUTED_VALUE"""),"Действительно до 01.11.2025")</f>
        <v>Действительно до 01.11.2025</v>
      </c>
      <c r="D2201" s="8" t="str">
        <f ca="1">IFERROR(__xludf.DUMMYFUNCTION("""COMPUTED_VALUE"""),"20221012HS")</f>
        <v>20221012HS</v>
      </c>
      <c r="E2201" s="1" t="str">
        <f ca="1">IFERROR(__xludf.DUMMYFUNCTION("""COMPUTED_VALUE"""),"годен до 10.2025")</f>
        <v>годен до 10.2025</v>
      </c>
      <c r="F2201" s="1" t="str">
        <f ca="1">IFERROR(__xludf.DUMMYFUNCTION("""COMPUTED_VALUE"""),"Экспресс-Тест (полоска) на беременность 3 мм №1 - 20221012HS")</f>
        <v>Экспресс-Тест (полоска) на беременность 3 мм №1 - 20221012HS</v>
      </c>
      <c r="G2201" s="1" t="str">
        <f ca="1">IFERROR(__xludf.DUMMYFUNCTION("""COMPUTED_VALUE"""),"KZ.7700.02.01.00932009 / Действительно до 01.11.2025 / 20221012HS / годен до 10.2025")</f>
        <v>KZ.7700.02.01.00932009 / Действительно до 01.11.2025 / 20221012HS / годен до 10.2025</v>
      </c>
      <c r="H2201" s="1" t="str">
        <f ca="1">IFERROR(__xludf.DUMMYFUNCTION("""COMPUTED_VALUE"""),"Экспресс-Тест (полоска) на беременность 3 мм №1 KZ.7700.02.01.00932009 / Действительно до 01.11.2025 / 20221012HS / годен до 10.2025")</f>
        <v>Экспресс-Тест (полоска) на беременность 3 мм №1 KZ.7700.02.01.00932009 / Действительно до 01.11.2025 / 20221012HS / годен до 10.2025</v>
      </c>
    </row>
    <row r="2202" spans="1:8" ht="12.75" x14ac:dyDescent="0.2">
      <c r="A2202" s="1" t="str">
        <f ca="1">IFERROR(__xludf.DUMMYFUNCTION("""COMPUTED_VALUE"""),"Экспресс-Тест (полоска) на беременность 3 мм №2 ПДВ")</f>
        <v>Экспресс-Тест (полоска) на беременность 3 мм №2 ПДВ</v>
      </c>
      <c r="B2202" s="1" t="str">
        <f ca="1">IFERROR(__xludf.DUMMYFUNCTION("""COMPUTED_VALUE"""),"KZ.7700.02.01.00932129")</f>
        <v>KZ.7700.02.01.00932129</v>
      </c>
      <c r="C2202" s="1" t="str">
        <f ca="1">IFERROR(__xludf.DUMMYFUNCTION("""COMPUTED_VALUE"""),"Действительно до 01.11.2025")</f>
        <v>Действительно до 01.11.2025</v>
      </c>
      <c r="D2202" s="8" t="str">
        <f ca="1">IFERROR(__xludf.DUMMYFUNCTION("""COMPUTED_VALUE"""),"20221012HS2")</f>
        <v>20221012HS2</v>
      </c>
      <c r="E2202" s="1" t="str">
        <f ca="1">IFERROR(__xludf.DUMMYFUNCTION("""COMPUTED_VALUE"""),"годен до 10.2025")</f>
        <v>годен до 10.2025</v>
      </c>
      <c r="F2202" s="1" t="str">
        <f ca="1">IFERROR(__xludf.DUMMYFUNCTION("""COMPUTED_VALUE"""),"Экспресс-Тест (полоска) на беременность 3 мм №2 ПДВ - 20221012HS2")</f>
        <v>Экспресс-Тест (полоска) на беременность 3 мм №2 ПДВ - 20221012HS2</v>
      </c>
      <c r="G2202" s="1" t="str">
        <f ca="1">IFERROR(__xludf.DUMMYFUNCTION("""COMPUTED_VALUE"""),"KZ.7700.02.01.00932129 / Действительно до 01.11.2025 / 20221012HS2 / годен до 10.2025")</f>
        <v>KZ.7700.02.01.00932129 / Действительно до 01.11.2025 / 20221012HS2 / годен до 10.2025</v>
      </c>
      <c r="H2202" s="1" t="str">
        <f ca="1">IFERROR(__xludf.DUMMYFUNCTION("""COMPUTED_VALUE"""),"Экспресс-Тест (полоска) на беременность 3 мм №2 ПДВ KZ.7700.02.01.00932129 / Действительно до 01.11.2025 / 20221012HS2 / годен до 10.2025")</f>
        <v>Экспресс-Тест (полоска) на беременность 3 мм №2 ПДВ KZ.7700.02.01.00932129 / Действительно до 01.11.2025 / 20221012HS2 / годен до 10.2025</v>
      </c>
    </row>
    <row r="2203" spans="1:8" ht="12.75" x14ac:dyDescent="0.2">
      <c r="A2203" s="1" t="str">
        <f ca="1">IFERROR(__xludf.DUMMYFUNCTION("""COMPUTED_VALUE"""),"Экспресс-Тест (струйный) на беременность")</f>
        <v>Экспресс-Тест (струйный) на беременность</v>
      </c>
      <c r="B2203" s="1" t="str">
        <f ca="1">IFERROR(__xludf.DUMMYFUNCTION("""COMPUTED_VALUE"""),"KZ.7700.02.01.00932010")</f>
        <v>KZ.7700.02.01.00932010</v>
      </c>
      <c r="C2203" s="1" t="str">
        <f ca="1">IFERROR(__xludf.DUMMYFUNCTION("""COMPUTED_VALUE"""),"Действительно до 01.11.2025")</f>
        <v>Действительно до 01.11.2025</v>
      </c>
      <c r="D2203" s="8" t="str">
        <f ca="1">IFERROR(__xludf.DUMMYFUNCTION("""COMPUTED_VALUE"""),"20221012HM")</f>
        <v>20221012HM</v>
      </c>
      <c r="E2203" s="1" t="str">
        <f ca="1">IFERROR(__xludf.DUMMYFUNCTION("""COMPUTED_VALUE"""),"годен до 10.2025")</f>
        <v>годен до 10.2025</v>
      </c>
      <c r="F2203" s="1" t="str">
        <f ca="1">IFERROR(__xludf.DUMMYFUNCTION("""COMPUTED_VALUE"""),"Экспресс-Тест (струйный) на беременность - 20221012HM")</f>
        <v>Экспресс-Тест (струйный) на беременность - 20221012HM</v>
      </c>
      <c r="G2203" s="1" t="str">
        <f ca="1">IFERROR(__xludf.DUMMYFUNCTION("""COMPUTED_VALUE"""),"KZ.7700.02.01.00932010 / Действительно до 01.11.2025 / 20221012HM / годен до 10.2025")</f>
        <v>KZ.7700.02.01.00932010 / Действительно до 01.11.2025 / 20221012HM / годен до 10.2025</v>
      </c>
      <c r="H2203" s="1" t="str">
        <f ca="1">IFERROR(__xludf.DUMMYFUNCTION("""COMPUTED_VALUE"""),"Экспресс-Тест (струйный) на беременность KZ.7700.02.01.00932010 / Действительно до 01.11.2025 / 20221012HM / годен до 10.2025")</f>
        <v>Экспресс-Тест (струйный) на беременность KZ.7700.02.01.00932010 / Действительно до 01.11.2025 / 20221012HM / годен до 10.2025</v>
      </c>
    </row>
    <row r="2204" spans="1:8" ht="12.75" x14ac:dyDescent="0.2">
      <c r="A2204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2204" s="1" t="str">
        <f ca="1">IFERROR(__xludf.DUMMYFUNCTION("""COMPUTED_VALUE"""),"KZ.7700.02.01.00908041")</f>
        <v>KZ.7700.02.01.00908041</v>
      </c>
      <c r="C2204" s="1" t="str">
        <f ca="1">IFERROR(__xludf.DUMMYFUNCTION("""COMPUTED_VALUE"""),"Действительно до 07.09.2027")</f>
        <v>Действительно до 07.09.2027</v>
      </c>
      <c r="D2204" s="8" t="str">
        <f ca="1">IFERROR(__xludf.DUMMYFUNCTION("""COMPUTED_VALUE"""),"0922026KZ026")</f>
        <v>0922026KZ026</v>
      </c>
      <c r="E2204" s="1" t="str">
        <f ca="1">IFERROR(__xludf.DUMMYFUNCTION("""COMPUTED_VALUE"""),"годен до 07.09.2027")</f>
        <v>годен до 07.09.2027</v>
      </c>
      <c r="F2204" s="1" t="str">
        <f ca="1">IFERROR(__xludf.DUMMYFUNCTION("""COMPUTED_VALUE"""),"Бандаж для беременных эластичный 4505 - S (Болгария) - 0922026KZ026")</f>
        <v>Бандаж для беременных эластичный 4505 - S (Болгария) - 0922026KZ026</v>
      </c>
      <c r="G2204" s="1" t="str">
        <f ca="1">IFERROR(__xludf.DUMMYFUNCTION("""COMPUTED_VALUE"""),"KZ.7700.02.01.00908041 / Действительно до 07.09.2027 / 0922026KZ026 / годен до 07.09.2027")</f>
        <v>KZ.7700.02.01.00908041 / Действительно до 07.09.2027 / 0922026KZ026 / годен до 07.09.2027</v>
      </c>
      <c r="H2204" s="1" t="str">
        <f ca="1">IFERROR(__xludf.DUMMYFUNCTION("""COMPUTED_VALUE"""),"Бандаж для беременных эластичный 4505 - S (Болгария) KZ.7700.02.01.00908041 / Действительно до 07.09.2027 / 0922026KZ026 / годен до 07.09.2027")</f>
        <v>Бандаж для беременных эластичный 4505 - S (Болгария) KZ.7700.02.01.00908041 / Действительно до 07.09.2027 / 0922026KZ026 / годен до 07.09.2027</v>
      </c>
    </row>
    <row r="2205" spans="1:8" ht="12.75" x14ac:dyDescent="0.2">
      <c r="A2205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2205" s="1" t="str">
        <f ca="1">IFERROR(__xludf.DUMMYFUNCTION("""COMPUTED_VALUE"""),"KZ.7700.02.01.00908041")</f>
        <v>KZ.7700.02.01.00908041</v>
      </c>
      <c r="C2205" s="1" t="str">
        <f ca="1">IFERROR(__xludf.DUMMYFUNCTION("""COMPUTED_VALUE"""),"Действительно до 07.09.2027")</f>
        <v>Действительно до 07.09.2027</v>
      </c>
      <c r="D2205" s="8" t="str">
        <f ca="1">IFERROR(__xludf.DUMMYFUNCTION("""COMPUTED_VALUE"""),"0922026KZ026")</f>
        <v>0922026KZ026</v>
      </c>
      <c r="E2205" s="1" t="str">
        <f ca="1">IFERROR(__xludf.DUMMYFUNCTION("""COMPUTED_VALUE"""),"годен до 07.09.2027")</f>
        <v>годен до 07.09.2027</v>
      </c>
      <c r="F2205" s="1" t="str">
        <f ca="1">IFERROR(__xludf.DUMMYFUNCTION("""COMPUTED_VALUE"""),"Бандаж для беременных эластичный 4505 - М (Болгария) - 0922026KZ026")</f>
        <v>Бандаж для беременных эластичный 4505 - М (Болгария) - 0922026KZ026</v>
      </c>
      <c r="G2205" s="1" t="str">
        <f ca="1">IFERROR(__xludf.DUMMYFUNCTION("""COMPUTED_VALUE"""),"KZ.7700.02.01.00908041 / Действительно до 07.09.2027 / 0922026KZ026 / годен до 07.09.2027")</f>
        <v>KZ.7700.02.01.00908041 / Действительно до 07.09.2027 / 0922026KZ026 / годен до 07.09.2027</v>
      </c>
      <c r="H2205" s="1" t="str">
        <f ca="1">IFERROR(__xludf.DUMMYFUNCTION("""COMPUTED_VALUE"""),"Бандаж для беременных эластичный 4505 - М (Болгария) KZ.7700.02.01.00908041 / Действительно до 07.09.2027 / 0922026KZ026 / годен до 07.09.2027")</f>
        <v>Бандаж для беременных эластичный 4505 - М (Болгария) KZ.7700.02.01.00908041 / Действительно до 07.09.2027 / 0922026KZ026 / годен до 07.09.2027</v>
      </c>
    </row>
    <row r="2206" spans="1:8" ht="12.75" x14ac:dyDescent="0.2">
      <c r="A2206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2206" s="1" t="str">
        <f ca="1">IFERROR(__xludf.DUMMYFUNCTION("""COMPUTED_VALUE"""),"KZ.7700.02.01.00908041")</f>
        <v>KZ.7700.02.01.00908041</v>
      </c>
      <c r="C2206" s="1" t="str">
        <f ca="1">IFERROR(__xludf.DUMMYFUNCTION("""COMPUTED_VALUE"""),"Действительно до 07.09.2027")</f>
        <v>Действительно до 07.09.2027</v>
      </c>
      <c r="D2206" s="8" t="str">
        <f ca="1">IFERROR(__xludf.DUMMYFUNCTION("""COMPUTED_VALUE"""),"0922026KZ026")</f>
        <v>0922026KZ026</v>
      </c>
      <c r="E2206" s="1" t="str">
        <f ca="1">IFERROR(__xludf.DUMMYFUNCTION("""COMPUTED_VALUE"""),"годен до 07.09.2027")</f>
        <v>годен до 07.09.2027</v>
      </c>
      <c r="F2206" s="1" t="str">
        <f ca="1">IFERROR(__xludf.DUMMYFUNCTION("""COMPUTED_VALUE"""),"Бандаж для беременных эластичный 4505 - L (Болгария) - 0922026KZ026")</f>
        <v>Бандаж для беременных эластичный 4505 - L (Болгария) - 0922026KZ026</v>
      </c>
      <c r="G2206" s="1" t="str">
        <f ca="1">IFERROR(__xludf.DUMMYFUNCTION("""COMPUTED_VALUE"""),"KZ.7700.02.01.00908041 / Действительно до 07.09.2027 / 0922026KZ026 / годен до 07.09.2027")</f>
        <v>KZ.7700.02.01.00908041 / Действительно до 07.09.2027 / 0922026KZ026 / годен до 07.09.2027</v>
      </c>
      <c r="H2206" s="1" t="str">
        <f ca="1">IFERROR(__xludf.DUMMYFUNCTION("""COMPUTED_VALUE"""),"Бандаж для беременных эластичный 4505 - L (Болгария) KZ.7700.02.01.00908041 / Действительно до 07.09.2027 / 0922026KZ026 / годен до 07.09.2027")</f>
        <v>Бандаж для беременных эластичный 4505 - L (Болгария) KZ.7700.02.01.00908041 / Действительно до 07.09.2027 / 0922026KZ026 / годен до 07.09.2027</v>
      </c>
    </row>
    <row r="2207" spans="1:8" ht="12.75" x14ac:dyDescent="0.2">
      <c r="A2207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2207" s="1" t="str">
        <f ca="1">IFERROR(__xludf.DUMMYFUNCTION("""COMPUTED_VALUE"""),"KZ.7700.02.01.00908041")</f>
        <v>KZ.7700.02.01.00908041</v>
      </c>
      <c r="C2207" s="1" t="str">
        <f ca="1">IFERROR(__xludf.DUMMYFUNCTION("""COMPUTED_VALUE"""),"Действительно до 07.09.2027")</f>
        <v>Действительно до 07.09.2027</v>
      </c>
      <c r="D2207" s="8" t="str">
        <f ca="1">IFERROR(__xludf.DUMMYFUNCTION("""COMPUTED_VALUE"""),"0922026KZ026")</f>
        <v>0922026KZ026</v>
      </c>
      <c r="E2207" s="1" t="str">
        <f ca="1">IFERROR(__xludf.DUMMYFUNCTION("""COMPUTED_VALUE"""),"годен до 07.09.2027")</f>
        <v>годен до 07.09.2027</v>
      </c>
      <c r="F2207" s="1" t="str">
        <f ca="1">IFERROR(__xludf.DUMMYFUNCTION("""COMPUTED_VALUE"""),"Бандаж для беременных эластичный 4505 - XL (Болгария) - 0922026KZ026")</f>
        <v>Бандаж для беременных эластичный 4505 - XL (Болгария) - 0922026KZ026</v>
      </c>
      <c r="G2207" s="1" t="str">
        <f ca="1">IFERROR(__xludf.DUMMYFUNCTION("""COMPUTED_VALUE"""),"KZ.7700.02.01.00908041 / Действительно до 07.09.2027 / 0922026KZ026 / годен до 07.09.2027")</f>
        <v>KZ.7700.02.01.00908041 / Действительно до 07.09.2027 / 0922026KZ026 / годен до 07.09.2027</v>
      </c>
      <c r="H2207" s="1" t="str">
        <f ca="1">IFERROR(__xludf.DUMMYFUNCTION("""COMPUTED_VALUE"""),"Бандаж для беременных эластичный 4505 - XL (Болгария) KZ.7700.02.01.00908041 / Действительно до 07.09.2027 / 0922026KZ026 / годен до 07.09.2027")</f>
        <v>Бандаж для беременных эластичный 4505 - XL (Болгария) KZ.7700.02.01.00908041 / Действительно до 07.09.2027 / 0922026KZ026 / годен до 07.09.2027</v>
      </c>
    </row>
    <row r="2208" spans="1:8" ht="12.75" x14ac:dyDescent="0.2">
      <c r="A2208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2208" s="1" t="str">
        <f ca="1">IFERROR(__xludf.DUMMYFUNCTION("""COMPUTED_VALUE"""),"KZ.7700.02.01.00908041")</f>
        <v>KZ.7700.02.01.00908041</v>
      </c>
      <c r="C2208" s="1" t="str">
        <f ca="1">IFERROR(__xludf.DUMMYFUNCTION("""COMPUTED_VALUE"""),"Действительно до 07.09.2027")</f>
        <v>Действительно до 07.09.2027</v>
      </c>
      <c r="D2208" s="8" t="str">
        <f ca="1">IFERROR(__xludf.DUMMYFUNCTION("""COMPUTED_VALUE"""),"0922026KZ026")</f>
        <v>0922026KZ026</v>
      </c>
      <c r="E2208" s="1" t="str">
        <f ca="1">IFERROR(__xludf.DUMMYFUNCTION("""COMPUTED_VALUE"""),"годен до 07.09.2027")</f>
        <v>годен до 07.09.2027</v>
      </c>
      <c r="F2208" s="1" t="str">
        <f ca="1">IFERROR(__xludf.DUMMYFUNCTION("""COMPUTED_VALUE"""),"Бандаж для беременных эластичный 4505 - XXL (Болгария) - 0922026KZ026")</f>
        <v>Бандаж для беременных эластичный 4505 - XXL (Болгария) - 0922026KZ026</v>
      </c>
      <c r="G2208" s="1" t="str">
        <f ca="1">IFERROR(__xludf.DUMMYFUNCTION("""COMPUTED_VALUE"""),"KZ.7700.02.01.00908041 / Действительно до 07.09.2027 / 0922026KZ026 / годен до 07.09.2027")</f>
        <v>KZ.7700.02.01.00908041 / Действительно до 07.09.2027 / 0922026KZ026 / годен до 07.09.2027</v>
      </c>
      <c r="H2208" s="1" t="str">
        <f ca="1">IFERROR(__xludf.DUMMYFUNCTION("""COMPUTED_VALUE"""),"Бандаж для беременных эластичный 4505 - XXL (Болгария) KZ.7700.02.01.00908041 / Действительно до 07.09.2027 / 0922026KZ026 / годен до 07.09.2027")</f>
        <v>Бандаж для беременных эластичный 4505 - XXL (Болгария) KZ.7700.02.01.00908041 / Действительно до 07.09.2027 / 0922026KZ026 / годен до 07.09.2027</v>
      </c>
    </row>
    <row r="2209" spans="1:8" ht="12.75" x14ac:dyDescent="0.2">
      <c r="A2209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2209" s="1" t="str">
        <f ca="1">IFERROR(__xludf.DUMMYFUNCTION("""COMPUTED_VALUE"""),"KZ.7700.02.01.00908041")</f>
        <v>KZ.7700.02.01.00908041</v>
      </c>
      <c r="C2209" s="1" t="str">
        <f ca="1">IFERROR(__xludf.DUMMYFUNCTION("""COMPUTED_VALUE"""),"Действительно до 07.09.2027")</f>
        <v>Действительно до 07.09.2027</v>
      </c>
      <c r="D2209" s="8" t="str">
        <f ca="1">IFERROR(__xludf.DUMMYFUNCTION("""COMPUTED_VALUE"""),"0922026KZ026")</f>
        <v>0922026KZ026</v>
      </c>
      <c r="E2209" s="1" t="str">
        <f ca="1">IFERROR(__xludf.DUMMYFUNCTION("""COMPUTED_VALUE"""),"годен до 07.09.2027")</f>
        <v>годен до 07.09.2027</v>
      </c>
      <c r="F2209" s="1" t="str">
        <f ca="1">IFERROR(__xludf.DUMMYFUNCTION("""COMPUTED_VALUE"""),"Бандаж для беременных эластичный 4505 - XXXL (Болгария) - 0922026KZ026")</f>
        <v>Бандаж для беременных эластичный 4505 - XXXL (Болгария) - 0922026KZ026</v>
      </c>
      <c r="G2209" s="1" t="str">
        <f ca="1">IFERROR(__xludf.DUMMYFUNCTION("""COMPUTED_VALUE"""),"KZ.7700.02.01.00908041 / Действительно до 07.09.2027 / 0922026KZ026 / годен до 07.09.2027")</f>
        <v>KZ.7700.02.01.00908041 / Действительно до 07.09.2027 / 0922026KZ026 / годен до 07.09.2027</v>
      </c>
      <c r="H2209" s="1" t="str">
        <f ca="1">IFERROR(__xludf.DUMMYFUNCTION("""COMPUTED_VALUE"""),"Бандаж для беременных эластичный 4505 - XXXL (Болгария) KZ.7700.02.01.00908041 / Действительно до 07.09.2027 / 0922026KZ026 / годен до 07.09.2027")</f>
        <v>Бандаж для беременных эластичный 4505 - XXXL (Болгария) KZ.7700.02.01.00908041 / Действительно до 07.09.2027 / 0922026KZ026 / годен до 07.09.2027</v>
      </c>
    </row>
    <row r="2210" spans="1:8" ht="12.75" x14ac:dyDescent="0.2">
      <c r="A2210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2210" s="1" t="str">
        <f ca="1">IFERROR(__xludf.DUMMYFUNCTION("""COMPUTED_VALUE"""),"KZ.7700.02.01.00903407")</f>
        <v>KZ.7700.02.01.00903407</v>
      </c>
      <c r="C2210" s="1" t="str">
        <f ca="1">IFERROR(__xludf.DUMMYFUNCTION("""COMPUTED_VALUE"""),"Действительно до бессрочно")</f>
        <v>Действительно до бессрочно</v>
      </c>
      <c r="D2210" s="8" t="str">
        <f ca="1">IFERROR(__xludf.DUMMYFUNCTION("""COMPUTED_VALUE"""),"PG20220318KM")</f>
        <v>PG20220318KM</v>
      </c>
      <c r="E2210" s="1" t="str">
        <f ca="1">IFERROR(__xludf.DUMMYFUNCTION("""COMPUTED_VALUE"""),"без срока годности")</f>
        <v>без срока годности</v>
      </c>
      <c r="F2210" s="1" t="str">
        <f ca="1">IFERROR(__xludf.DUMMYFUNCTION("""COMPUTED_VALUE"""),"Автоматический измеритель артериального давления ТМ DR.FREI МОДЕЛЬ M-200A - PG20220318KM")</f>
        <v>Автоматический измеритель артериального давления ТМ DR.FREI МОДЕЛЬ M-200A - PG20220318KM</v>
      </c>
      <c r="G2210" s="1" t="str">
        <f ca="1">IFERROR(__xludf.DUMMYFUNCTION("""COMPUTED_VALUE"""),"KZ.7700.02.01.00903407 / Действительно до бессрочно / PG20220318KM / без срока годности")</f>
        <v>KZ.7700.02.01.00903407 / Действительно до бессрочно / PG20220318KM / без срока годности</v>
      </c>
      <c r="H2210" s="1" t="str">
        <f ca="1">IFERROR(__xludf.DUMMYFUNCTION("""COMPUTED_VALUE"""),"Автоматический измеритель артериального давления ТМ DR.FREI МОДЕЛЬ M-200A KZ.7700.02.01.00903407 / Действительно до бессрочно / PG20220318KM / без срока годности")</f>
        <v>Автоматический измеритель артериального давления ТМ DR.FREI МОДЕЛЬ M-200A KZ.7700.02.01.00903407 / Действительно до бессрочно / PG20220318KM / без срока годности</v>
      </c>
    </row>
    <row r="2211" spans="1:8" ht="12.75" x14ac:dyDescent="0.2">
      <c r="A2211" s="1" t="str">
        <f ca="1">IFERROR(__xludf.DUMMYFUNCTION("""COMPUTED_VALUE"""),"DOLPHI 3 в 1 №3 Презервативы латексные")</f>
        <v>DOLPHI 3 в 1 №3 Презервативы латексные</v>
      </c>
      <c r="B2211" s="1" t="str">
        <f ca="1">IFERROR(__xludf.DUMMYFUNCTION("""COMPUTED_VALUE"""),"KZ.7700.02.01.00940781")</f>
        <v>KZ.7700.02.01.00940781</v>
      </c>
      <c r="C2211" s="1" t="str">
        <f ca="1">IFERROR(__xludf.DUMMYFUNCTION("""COMPUTED_VALUE"""),"Действительно до 01.10.2027")</f>
        <v>Действительно до 01.10.2027</v>
      </c>
      <c r="D2211" s="8" t="str">
        <f ca="1">IFERROR(__xludf.DUMMYFUNCTION("""COMPUTED_VALUE"""),"2209TNI3143")</f>
        <v>2209TNI3143</v>
      </c>
      <c r="E2211" s="1" t="str">
        <f ca="1">IFERROR(__xludf.DUMMYFUNCTION("""COMPUTED_VALUE"""),"годен до 09.2027 ")</f>
        <v xml:space="preserve">годен до 09.2027 </v>
      </c>
      <c r="F2211" s="1" t="str">
        <f ca="1">IFERROR(__xludf.DUMMYFUNCTION("""COMPUTED_VALUE"""),"DOLPHI 3 в 1 №3 Презервативы латексные - 2209TNI3143")</f>
        <v>DOLPHI 3 в 1 №3 Презервативы латексные - 2209TNI3143</v>
      </c>
      <c r="G2211" s="1" t="str">
        <f ca="1">IFERROR(__xludf.DUMMYFUNCTION("""COMPUTED_VALUE"""),"KZ.7700.02.01.00940781 / Действительно до 01.10.2027 / 2209TNI3143 / годен до 09.2027 ")</f>
        <v xml:space="preserve">KZ.7700.02.01.00940781 / Действительно до 01.10.2027 / 2209TNI3143 / годен до 09.2027 </v>
      </c>
      <c r="H2211" s="1" t="str">
        <f ca="1">IFERROR(__xludf.DUMMYFUNCTION("""COMPUTED_VALUE"""),"DOLPHI 3 в 1 №3 Презервативы латексные KZ.7700.02.01.00940781 / Действительно до 01.10.2027 / 2209TNI3143 / годен до 09.2027 ")</f>
        <v xml:space="preserve">DOLPHI 3 в 1 №3 Презервативы латексные KZ.7700.02.01.00940781 / Действительно до 01.10.2027 / 2209TNI3143 / годен до 09.2027 </v>
      </c>
    </row>
    <row r="2212" spans="1:8" ht="12.75" x14ac:dyDescent="0.2">
      <c r="A2212" s="1" t="str">
        <f ca="1">IFERROR(__xludf.DUMMYFUNCTION("""COMPUTED_VALUE"""),"DOLPHI 3 в 1 №12 Презервативы латексные")</f>
        <v>DOLPHI 3 в 1 №12 Презервативы латексные</v>
      </c>
      <c r="B2212" s="1" t="str">
        <f ca="1">IFERROR(__xludf.DUMMYFUNCTION("""COMPUTED_VALUE"""),"KZ.7700.02.01.00940821")</f>
        <v>KZ.7700.02.01.00940821</v>
      </c>
      <c r="C2212" s="1" t="str">
        <f ca="1">IFERROR(__xludf.DUMMYFUNCTION("""COMPUTED_VALUE"""),"Действительно до 01.10.2027")</f>
        <v>Действительно до 01.10.2027</v>
      </c>
      <c r="D2212" s="8" t="str">
        <f ca="1">IFERROR(__xludf.DUMMYFUNCTION("""COMPUTED_VALUE"""),"2209TNI3143")</f>
        <v>2209TNI3143</v>
      </c>
      <c r="E2212" s="1" t="str">
        <f ca="1">IFERROR(__xludf.DUMMYFUNCTION("""COMPUTED_VALUE"""),"годен до 09.2027 ")</f>
        <v xml:space="preserve">годен до 09.2027 </v>
      </c>
      <c r="F2212" s="1" t="str">
        <f ca="1">IFERROR(__xludf.DUMMYFUNCTION("""COMPUTED_VALUE"""),"DOLPHI 3 в 1 №12 Презервативы латексные - 2209TNI3143")</f>
        <v>DOLPHI 3 в 1 №12 Презервативы латексные - 2209TNI3143</v>
      </c>
      <c r="G2212" s="1" t="str">
        <f ca="1">IFERROR(__xludf.DUMMYFUNCTION("""COMPUTED_VALUE"""),"KZ.7700.02.01.00940821 / Действительно до 01.10.2027 / 2209TNI3143 / годен до 09.2027 ")</f>
        <v xml:space="preserve">KZ.7700.02.01.00940821 / Действительно до 01.10.2027 / 2209TNI3143 / годен до 09.2027 </v>
      </c>
      <c r="H2212" s="1" t="str">
        <f ca="1">IFERROR(__xludf.DUMMYFUNCTION("""COMPUTED_VALUE"""),"DOLPHI 3 в 1 №12 Презервативы латексные KZ.7700.02.01.00940821 / Действительно до 01.10.2027 / 2209TNI3143 / годен до 09.2027 ")</f>
        <v xml:space="preserve">DOLPHI 3 в 1 №12 Презервативы латексные KZ.7700.02.01.00940821 / Действительно до 01.10.2027 / 2209TNI3143 / годен до 09.2027 </v>
      </c>
    </row>
    <row r="2213" spans="1:8" ht="12.75" x14ac:dyDescent="0.2">
      <c r="A2213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213" s="1" t="str">
        <f ca="1">IFERROR(__xludf.DUMMYFUNCTION("""COMPUTED_VALUE"""),"KZ.7700.02.01.00940816")</f>
        <v>KZ.7700.02.01.00940816</v>
      </c>
      <c r="C2213" s="1" t="str">
        <f ca="1">IFERROR(__xludf.DUMMYFUNCTION("""COMPUTED_VALUE"""),"Действительно до 01.01.2027")</f>
        <v>Действительно до 01.01.2027</v>
      </c>
      <c r="D2213" s="8" t="str">
        <f ca="1">IFERROR(__xludf.DUMMYFUNCTION("""COMPUTED_VALUE"""),"2112TNI3141")</f>
        <v>2112TNI3141</v>
      </c>
      <c r="E2213" s="1" t="str">
        <f ca="1">IFERROR(__xludf.DUMMYFUNCTION("""COMPUTED_VALUE"""),"годен до 12.2026")</f>
        <v>годен до 12.2026</v>
      </c>
      <c r="F2213" s="1" t="str">
        <f ca="1">IFERROR(__xludf.DUMMYFUNCTION("""COMPUTED_VALUE"""),"DOLPHI анатомические ультратонкие Презервативы латексные, № 3 - 2112TNI3141")</f>
        <v>DOLPHI анатомические ультратонкие Презервативы латексные, № 3 - 2112TNI3141</v>
      </c>
      <c r="G2213" s="1" t="str">
        <f ca="1">IFERROR(__xludf.DUMMYFUNCTION("""COMPUTED_VALUE"""),"KZ.7700.02.01.00940816 / Действительно до 01.01.2027 / 2112TNI3141 / годен до 12.2026")</f>
        <v>KZ.7700.02.01.00940816 / Действительно до 01.01.2027 / 2112TNI3141 / годен до 12.2026</v>
      </c>
      <c r="H2213" s="1" t="str">
        <f ca="1">IFERROR(__xludf.DUMMYFUNCTION("""COMPUTED_VALUE"""),"DOLPHI анатомические ультратонкие Презервативы латексные, № 3 KZ.7700.02.01.00940816 / Действительно до 01.01.2027 / 2112TNI3141 / годен до 12.2026")</f>
        <v>DOLPHI анатомические ультратонкие Презервативы латексные, № 3 KZ.7700.02.01.00940816 / Действительно до 01.01.2027 / 2112TNI3141 / годен до 12.2026</v>
      </c>
    </row>
    <row r="2214" spans="1:8" ht="12.75" x14ac:dyDescent="0.2">
      <c r="A2214" s="1" t="str">
        <f ca="1">IFERROR(__xludf.DUMMYFUNCTION("""COMPUTED_VALUE"""),"DOLPHI анатомические ультратонкие, №12 Презервативы латексные")</f>
        <v>DOLPHI анатомические ультратонкие, №12 Презервативы латексные</v>
      </c>
      <c r="B2214" s="1" t="str">
        <f ca="1">IFERROR(__xludf.DUMMYFUNCTION("""COMPUTED_VALUE"""),"KZ.7700.02.01.00940780")</f>
        <v>KZ.7700.02.01.00940780</v>
      </c>
      <c r="C2214" s="1" t="str">
        <f ca="1">IFERROR(__xludf.DUMMYFUNCTION("""COMPUTED_VALUE"""),"Действительно до 01.11.2027")</f>
        <v>Действительно до 01.11.2027</v>
      </c>
      <c r="D2214" s="8" t="str">
        <f ca="1">IFERROR(__xludf.DUMMYFUNCTION("""COMPUTED_VALUE"""),"2210TNI3366")</f>
        <v>2210TNI3366</v>
      </c>
      <c r="E2214" s="1" t="str">
        <f ca="1">IFERROR(__xludf.DUMMYFUNCTION("""COMPUTED_VALUE"""),"годен до 10.2027")</f>
        <v>годен до 10.2027</v>
      </c>
      <c r="F2214" s="1" t="str">
        <f ca="1">IFERROR(__xludf.DUMMYFUNCTION("""COMPUTED_VALUE"""),"DOLPHI анатомические ультратонкие, №12 Презервативы латексные - 2210TNI3366")</f>
        <v>DOLPHI анатомические ультратонкие, №12 Презервативы латексные - 2210TNI3366</v>
      </c>
      <c r="G2214" s="1" t="str">
        <f ca="1">IFERROR(__xludf.DUMMYFUNCTION("""COMPUTED_VALUE"""),"KZ.7700.02.01.00940780 / Действительно до 01.11.2027 / 2210TNI3366 / годен до 10.2027")</f>
        <v>KZ.7700.02.01.00940780 / Действительно до 01.11.2027 / 2210TNI3366 / годен до 10.2027</v>
      </c>
      <c r="H2214" s="1" t="str">
        <f ca="1">IFERROR(__xludf.DUMMYFUNCTION("""COMPUTED_VALUE"""),"DOLPHI анатомические ультратонкие, №12 Презервативы латексные KZ.7700.02.01.00940780 / Действительно до 01.11.2027 / 2210TNI3366 / годен до 10.2027")</f>
        <v>DOLPHI анатомические ультратонкие, №12 Презервативы латексные KZ.7700.02.01.00940780 / Действительно до 01.11.2027 / 2210TNI3366 / годен до 10.2027</v>
      </c>
    </row>
    <row r="2215" spans="1:8" ht="12.75" x14ac:dyDescent="0.2">
      <c r="A2215" s="1" t="str">
        <f ca="1">IFERROR(__xludf.DUMMYFUNCTION("""COMPUTED_VALUE"""),"DOLPHI анатомические ультратонкие Презервативы латексные, № 3")</f>
        <v>DOLPHI анатомические ультратонкие Презервативы латексные, № 3</v>
      </c>
      <c r="B2215" s="1" t="str">
        <f ca="1">IFERROR(__xludf.DUMMYFUNCTION("""COMPUTED_VALUE"""),"KZ.7700.02.01.00940778")</f>
        <v>KZ.7700.02.01.00940778</v>
      </c>
      <c r="C2215" s="1" t="str">
        <f ca="1">IFERROR(__xludf.DUMMYFUNCTION("""COMPUTED_VALUE"""),"Действительно до 01.11.2027")</f>
        <v>Действительно до 01.11.2027</v>
      </c>
      <c r="D2215" s="8" t="str">
        <f ca="1">IFERROR(__xludf.DUMMYFUNCTION("""COMPUTED_VALUE"""),"2210TNI3366")</f>
        <v>2210TNI3366</v>
      </c>
      <c r="E2215" s="1" t="str">
        <f ca="1">IFERROR(__xludf.DUMMYFUNCTION("""COMPUTED_VALUE"""),"годен до 10.2027")</f>
        <v>годен до 10.2027</v>
      </c>
      <c r="F2215" s="1" t="str">
        <f ca="1">IFERROR(__xludf.DUMMYFUNCTION("""COMPUTED_VALUE"""),"DOLPHI анатомические ультратонкие Презервативы латексные, № 3 - 2210TNI3366")</f>
        <v>DOLPHI анатомические ультратонкие Презервативы латексные, № 3 - 2210TNI3366</v>
      </c>
      <c r="G2215" s="1" t="str">
        <f ca="1">IFERROR(__xludf.DUMMYFUNCTION("""COMPUTED_VALUE"""),"KZ.7700.02.01.00940778 / Действительно до 01.11.2027 / 2210TNI3366 / годен до 10.2027")</f>
        <v>KZ.7700.02.01.00940778 / Действительно до 01.11.2027 / 2210TNI3366 / годен до 10.2027</v>
      </c>
      <c r="H2215" s="1" t="str">
        <f ca="1">IFERROR(__xludf.DUMMYFUNCTION("""COMPUTED_VALUE"""),"DOLPHI анатомические ультратонкие Презервативы латексные, № 3 KZ.7700.02.01.00940778 / Действительно до 01.11.2027 / 2210TNI3366 / годен до 10.2027")</f>
        <v>DOLPHI анатомические ультратонкие Презервативы латексные, № 3 KZ.7700.02.01.00940778 / Действительно до 01.11.2027 / 2210TNI3366 / годен до 10.2027</v>
      </c>
    </row>
    <row r="2216" spans="1:8" ht="12.75" x14ac:dyDescent="0.2">
      <c r="A2216" s="1" t="str">
        <f ca="1">IFERROR(__xludf.DUMMYFUNCTION("""COMPUTED_VALUE"""),"DOLPHI Класические №3 Презервативы латексные")</f>
        <v>DOLPHI Класические №3 Презервативы латексные</v>
      </c>
      <c r="B2216" s="1" t="str">
        <f ca="1">IFERROR(__xludf.DUMMYFUNCTION("""COMPUTED_VALUE"""),"KZ.7700.02.01.00940775")</f>
        <v>KZ.7700.02.01.00940775</v>
      </c>
      <c r="C2216" s="1" t="str">
        <f ca="1">IFERROR(__xludf.DUMMYFUNCTION("""COMPUTED_VALUE"""),"Действительно до 01.11.2027")</f>
        <v>Действительно до 01.11.2027</v>
      </c>
      <c r="D2216" s="8" t="str">
        <f ca="1">IFERROR(__xludf.DUMMYFUNCTION("""COMPUTED_VALUE"""),"2210TNI3360")</f>
        <v>2210TNI3360</v>
      </c>
      <c r="E2216" s="1" t="str">
        <f ca="1">IFERROR(__xludf.DUMMYFUNCTION("""COMPUTED_VALUE"""),"годен до 10.2027")</f>
        <v>годен до 10.2027</v>
      </c>
      <c r="F2216" s="1" t="str">
        <f ca="1">IFERROR(__xludf.DUMMYFUNCTION("""COMPUTED_VALUE"""),"DOLPHI Класические №3 Презервативы латексные - 2210TNI3360")</f>
        <v>DOLPHI Класические №3 Презервативы латексные - 2210TNI3360</v>
      </c>
      <c r="G2216" s="1" t="str">
        <f ca="1">IFERROR(__xludf.DUMMYFUNCTION("""COMPUTED_VALUE"""),"KZ.7700.02.01.00940775 / Действительно до 01.11.2027 / 2210TNI3360 / годен до 10.2027")</f>
        <v>KZ.7700.02.01.00940775 / Действительно до 01.11.2027 / 2210TNI3360 / годен до 10.2027</v>
      </c>
      <c r="H2216" s="1" t="str">
        <f ca="1">IFERROR(__xludf.DUMMYFUNCTION("""COMPUTED_VALUE"""),"DOLPHI Класические №3 Презервативы латексные KZ.7700.02.01.00940775 / Действительно до 01.11.2027 / 2210TNI3360 / годен до 10.2027")</f>
        <v>DOLPHI Класические №3 Презервативы латексные KZ.7700.02.01.00940775 / Действительно до 01.11.2027 / 2210TNI3360 / годен до 10.2027</v>
      </c>
    </row>
    <row r="2217" spans="1:8" ht="12.75" x14ac:dyDescent="0.2">
      <c r="A2217" s="1" t="str">
        <f ca="1">IFERROR(__xludf.DUMMYFUNCTION("""COMPUTED_VALUE"""),"DOLPHI классические, №12 Презервативы латексные")</f>
        <v>DOLPHI классические, №12 Презервативы латексные</v>
      </c>
      <c r="B2217" s="1" t="str">
        <f ca="1">IFERROR(__xludf.DUMMYFUNCTION("""COMPUTED_VALUE"""),"KZ.7700.02.01.00940822")</f>
        <v>KZ.7700.02.01.00940822</v>
      </c>
      <c r="C2217" s="1" t="str">
        <f ca="1">IFERROR(__xludf.DUMMYFUNCTION("""COMPUTED_VALUE"""),"Действительно до 01.11.2027")</f>
        <v>Действительно до 01.11.2027</v>
      </c>
      <c r="D2217" s="8" t="str">
        <f ca="1">IFERROR(__xludf.DUMMYFUNCTION("""COMPUTED_VALUE"""),"2210TNI3360")</f>
        <v>2210TNI3360</v>
      </c>
      <c r="E2217" s="1" t="str">
        <f ca="1">IFERROR(__xludf.DUMMYFUNCTION("""COMPUTED_VALUE"""),"годен до 10.2027")</f>
        <v>годен до 10.2027</v>
      </c>
      <c r="F2217" s="1" t="str">
        <f ca="1">IFERROR(__xludf.DUMMYFUNCTION("""COMPUTED_VALUE"""),"DOLPHI классические, №12 Презервативы латексные - 2210TNI3360")</f>
        <v>DOLPHI классические, №12 Презервативы латексные - 2210TNI3360</v>
      </c>
      <c r="G2217" s="1" t="str">
        <f ca="1">IFERROR(__xludf.DUMMYFUNCTION("""COMPUTED_VALUE"""),"KZ.7700.02.01.00940822 / Действительно до 01.11.2027 / 2210TNI3360 / годен до 10.2027")</f>
        <v>KZ.7700.02.01.00940822 / Действительно до 01.11.2027 / 2210TNI3360 / годен до 10.2027</v>
      </c>
      <c r="H2217" s="1" t="str">
        <f ca="1">IFERROR(__xludf.DUMMYFUNCTION("""COMPUTED_VALUE"""),"DOLPHI классические, №12 Презервативы латексные KZ.7700.02.01.00940822 / Действительно до 01.11.2027 / 2210TNI3360 / годен до 10.2027")</f>
        <v>DOLPHI классические, №12 Презервативы латексные KZ.7700.02.01.00940822 / Действительно до 01.11.2027 / 2210TNI3360 / годен до 10.2027</v>
      </c>
    </row>
    <row r="2218" spans="1:8" ht="12.75" x14ac:dyDescent="0.2">
      <c r="A2218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218" s="1" t="str">
        <f ca="1">IFERROR(__xludf.DUMMYFUNCTION("""COMPUTED_VALUE"""),"KZ.7700.02.01.00940825")</f>
        <v>KZ.7700.02.01.00940825</v>
      </c>
      <c r="C2218" s="1" t="str">
        <f ca="1">IFERROR(__xludf.DUMMYFUNCTION("""COMPUTED_VALUE"""),"Действительно до 01.10.2027")</f>
        <v>Действительно до 01.10.2027</v>
      </c>
      <c r="D2218" s="8" t="str">
        <f ca="1">IFERROR(__xludf.DUMMYFUNCTION("""COMPUTED_VALUE"""),"2209TNI3380")</f>
        <v>2209TNI3380</v>
      </c>
      <c r="E2218" s="1" t="str">
        <f ca="1">IFERROR(__xludf.DUMMYFUNCTION("""COMPUTED_VALUE"""),"годен до 09.2027")</f>
        <v>годен до 09.2027</v>
      </c>
      <c r="F2218" s="1" t="str">
        <f ca="1">IFERROR(__xludf.DUMMYFUNCTION("""COMPUTED_VALUE"""),"DOLPHI ультратонкие №3 Презервативы латескные - 2209TNI3380")</f>
        <v>DOLPHI ультратонкие №3 Презервативы латескные - 2209TNI3380</v>
      </c>
      <c r="G2218" s="1" t="str">
        <f ca="1">IFERROR(__xludf.DUMMYFUNCTION("""COMPUTED_VALUE"""),"KZ.7700.02.01.00940825 / Действительно до 01.10.2027 / 2209TNI3380 / годен до 09.2027")</f>
        <v>KZ.7700.02.01.00940825 / Действительно до 01.10.2027 / 2209TNI3380 / годен до 09.2027</v>
      </c>
      <c r="H2218" s="1" t="str">
        <f ca="1">IFERROR(__xludf.DUMMYFUNCTION("""COMPUTED_VALUE"""),"DOLPHI ультратонкие №3 Презервативы латескные KZ.7700.02.01.00940825 / Действительно до 01.10.2027 / 2209TNI3380 / годен до 09.2027")</f>
        <v>DOLPHI ультратонкие №3 Презервативы латескные KZ.7700.02.01.00940825 / Действительно до 01.10.2027 / 2209TNI3380 / годен до 09.2027</v>
      </c>
    </row>
    <row r="2219" spans="1:8" ht="12.75" x14ac:dyDescent="0.2">
      <c r="A2219" s="1" t="str">
        <f ca="1">IFERROR(__xludf.DUMMYFUNCTION("""COMPUTED_VALUE"""),"DOLPHI ультратонкие №3 Презервативы латескные")</f>
        <v>DOLPHI ультратонкие №3 Презервативы латескные</v>
      </c>
      <c r="B2219" s="1" t="str">
        <f ca="1">IFERROR(__xludf.DUMMYFUNCTION("""COMPUTED_VALUE"""),"KZ.7700.02.01.00940812")</f>
        <v>KZ.7700.02.01.00940812</v>
      </c>
      <c r="C2219" s="1" t="str">
        <f ca="1">IFERROR(__xludf.DUMMYFUNCTION("""COMPUTED_VALUE"""),"Действительно до 01.11.2027")</f>
        <v>Действительно до 01.11.2027</v>
      </c>
      <c r="D2219" s="8" t="str">
        <f ca="1">IFERROR(__xludf.DUMMYFUNCTION("""COMPUTED_VALUE"""),"2210TNI3381")</f>
        <v>2210TNI3381</v>
      </c>
      <c r="E2219" s="1" t="str">
        <f ca="1">IFERROR(__xludf.DUMMYFUNCTION("""COMPUTED_VALUE"""),"годен до 10.2027")</f>
        <v>годен до 10.2027</v>
      </c>
      <c r="F2219" s="1" t="str">
        <f ca="1">IFERROR(__xludf.DUMMYFUNCTION("""COMPUTED_VALUE"""),"DOLPHI ультратонкие №3 Презервативы латескные - 2210TNI3381")</f>
        <v>DOLPHI ультратонкие №3 Презервативы латескные - 2210TNI3381</v>
      </c>
      <c r="G2219" s="1" t="str">
        <f ca="1">IFERROR(__xludf.DUMMYFUNCTION("""COMPUTED_VALUE"""),"KZ.7700.02.01.00940812 / Действительно до 01.11.2027 / 2210TNI3381 / годен до 10.2027")</f>
        <v>KZ.7700.02.01.00940812 / Действительно до 01.11.2027 / 2210TNI3381 / годен до 10.2027</v>
      </c>
      <c r="H2219" s="1" t="str">
        <f ca="1">IFERROR(__xludf.DUMMYFUNCTION("""COMPUTED_VALUE"""),"DOLPHI ультратонкие №3 Презервативы латескные KZ.7700.02.01.00940812 / Действительно до 01.11.2027 / 2210TNI3381 / годен до 10.2027")</f>
        <v>DOLPHI ультратонкие №3 Презервативы латескные KZ.7700.02.01.00940812 / Действительно до 01.11.2027 / 2210TNI3381 / годен до 10.2027</v>
      </c>
    </row>
    <row r="2220" spans="1:8" ht="12.75" x14ac:dyDescent="0.2">
      <c r="A2220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220" s="1" t="str">
        <f ca="1">IFERROR(__xludf.DUMMYFUNCTION("""COMPUTED_VALUE"""),"KZ.7700.02.01.00940819")</f>
        <v>KZ.7700.02.01.00940819</v>
      </c>
      <c r="C2220" s="1" t="str">
        <f ca="1">IFERROR(__xludf.DUMMYFUNCTION("""COMPUTED_VALUE"""),"Действительно до 01.10.2027")</f>
        <v>Действительно до 01.10.2027</v>
      </c>
      <c r="D2220" s="8" t="str">
        <f ca="1">IFERROR(__xludf.DUMMYFUNCTION("""COMPUTED_VALUE"""),"2209TNI3380")</f>
        <v>2209TNI3380</v>
      </c>
      <c r="E2220" s="1" t="str">
        <f ca="1">IFERROR(__xludf.DUMMYFUNCTION("""COMPUTED_VALUE"""),"годен до 09.2027")</f>
        <v>годен до 09.2027</v>
      </c>
      <c r="F2220" s="1" t="str">
        <f ca="1">IFERROR(__xludf.DUMMYFUNCTION("""COMPUTED_VALUE"""),"DOLPHI ультратонкие №12 Презервативы латексные - 2209TNI3380")</f>
        <v>DOLPHI ультратонкие №12 Презервативы латексные - 2209TNI3380</v>
      </c>
      <c r="G2220" s="1" t="str">
        <f ca="1">IFERROR(__xludf.DUMMYFUNCTION("""COMPUTED_VALUE"""),"KZ.7700.02.01.00940819 / Действительно до 01.10.2027 / 2209TNI3380 / годен до 09.2027")</f>
        <v>KZ.7700.02.01.00940819 / Действительно до 01.10.2027 / 2209TNI3380 / годен до 09.2027</v>
      </c>
      <c r="H2220" s="1" t="str">
        <f ca="1">IFERROR(__xludf.DUMMYFUNCTION("""COMPUTED_VALUE"""),"DOLPHI ультратонкие №12 Презервативы латексные KZ.7700.02.01.00940819 / Действительно до 01.10.2027 / 2209TNI3380 / годен до 09.2027")</f>
        <v>DOLPHI ультратонкие №12 Презервативы латексные KZ.7700.02.01.00940819 / Действительно до 01.10.2027 / 2209TNI3380 / годен до 09.2027</v>
      </c>
    </row>
    <row r="2221" spans="1:8" ht="12.75" x14ac:dyDescent="0.2">
      <c r="A2221" s="1" t="str">
        <f ca="1">IFERROR(__xludf.DUMMYFUNCTION("""COMPUTED_VALUE"""),"DOLPHI ультратонкие №12 Презервативы латексные")</f>
        <v>DOLPHI ультратонкие №12 Презервативы латексные</v>
      </c>
      <c r="B2221" s="1" t="str">
        <f ca="1">IFERROR(__xludf.DUMMYFUNCTION("""COMPUTED_VALUE"""),"KZ.7700.02.01.00940814")</f>
        <v>KZ.7700.02.01.00940814</v>
      </c>
      <c r="C2221" s="1" t="str">
        <f ca="1">IFERROR(__xludf.DUMMYFUNCTION("""COMPUTED_VALUE"""),"Действительно до 01.11.2027")</f>
        <v>Действительно до 01.11.2027</v>
      </c>
      <c r="D2221" s="8" t="str">
        <f ca="1">IFERROR(__xludf.DUMMYFUNCTION("""COMPUTED_VALUE"""),"2210TNI3381")</f>
        <v>2210TNI3381</v>
      </c>
      <c r="E2221" s="1" t="str">
        <f ca="1">IFERROR(__xludf.DUMMYFUNCTION("""COMPUTED_VALUE"""),"годен до 10.2027")</f>
        <v>годен до 10.2027</v>
      </c>
      <c r="F2221" s="1" t="str">
        <f ca="1">IFERROR(__xludf.DUMMYFUNCTION("""COMPUTED_VALUE"""),"DOLPHI ультратонкие №12 Презервативы латексные - 2210TNI3381")</f>
        <v>DOLPHI ультратонкие №12 Презервативы латексные - 2210TNI3381</v>
      </c>
      <c r="G2221" s="1" t="str">
        <f ca="1">IFERROR(__xludf.DUMMYFUNCTION("""COMPUTED_VALUE"""),"KZ.7700.02.01.00940814 / Действительно до 01.11.2027 / 2210TNI3381 / годен до 10.2027")</f>
        <v>KZ.7700.02.01.00940814 / Действительно до 01.11.2027 / 2210TNI3381 / годен до 10.2027</v>
      </c>
      <c r="H2221" s="1" t="str">
        <f ca="1">IFERROR(__xludf.DUMMYFUNCTION("""COMPUTED_VALUE"""),"DOLPHI ультратонкие №12 Презервативы латексные KZ.7700.02.01.00940814 / Действительно до 01.11.2027 / 2210TNI3381 / годен до 10.2027")</f>
        <v>DOLPHI ультратонкие №12 Презервативы латексные KZ.7700.02.01.00940814 / Действительно до 01.11.2027 / 2210TNI3381 / годен до 10.2027</v>
      </c>
    </row>
    <row r="2222" spans="1:8" ht="12.75" x14ac:dyDescent="0.2">
      <c r="A2222" s="1" t="str">
        <f ca="1">IFERROR(__xludf.DUMMYFUNCTION("""COMPUTED_VALUE"""),"Mister Ben Ребристые № 3 Презервативы латексные")</f>
        <v>Mister Ben Ребристые № 3 Презервативы латексные</v>
      </c>
      <c r="B2222" s="1" t="str">
        <f ca="1">IFERROR(__xludf.DUMMYFUNCTION("""COMPUTED_VALUE"""),"KZ.7700.02.01.00940784")</f>
        <v>KZ.7700.02.01.00940784</v>
      </c>
      <c r="C2222" s="1" t="str">
        <f ca="1">IFERROR(__xludf.DUMMYFUNCTION("""COMPUTED_VALUE"""),"Действительно до 01.01.2027")</f>
        <v>Действительно до 01.01.2027</v>
      </c>
      <c r="D2222" s="8" t="str">
        <f ca="1">IFERROR(__xludf.DUMMYFUNCTION("""COMPUTED_VALUE"""),"2112TNI2679")</f>
        <v>2112TNI2679</v>
      </c>
      <c r="E2222" s="1" t="str">
        <f ca="1">IFERROR(__xludf.DUMMYFUNCTION("""COMPUTED_VALUE"""),"годен до 12.2026")</f>
        <v>годен до 12.2026</v>
      </c>
      <c r="F2222" s="1" t="str">
        <f ca="1">IFERROR(__xludf.DUMMYFUNCTION("""COMPUTED_VALUE"""),"Mister Ben Ребристые № 3 Презервативы латексные - 2112TNI2679")</f>
        <v>Mister Ben Ребристые № 3 Презервативы латексные - 2112TNI2679</v>
      </c>
      <c r="G2222" s="1" t="str">
        <f ca="1">IFERROR(__xludf.DUMMYFUNCTION("""COMPUTED_VALUE"""),"KZ.7700.02.01.00940784 / Действительно до 01.01.2027 / 2112TNI2679 / годен до 12.2026")</f>
        <v>KZ.7700.02.01.00940784 / Действительно до 01.01.2027 / 2112TNI2679 / годен до 12.2026</v>
      </c>
      <c r="H2222" s="1" t="str">
        <f ca="1">IFERROR(__xludf.DUMMYFUNCTION("""COMPUTED_VALUE"""),"Mister Ben Ребристые № 3 Презервативы латексные KZ.7700.02.01.00940784 / Действительно до 01.01.2027 / 2112TNI2679 / годен до 12.2026")</f>
        <v>Mister Ben Ребристые № 3 Презервативы латексные KZ.7700.02.01.00940784 / Действительно до 01.01.2027 / 2112TNI2679 / годен до 12.2026</v>
      </c>
    </row>
    <row r="2223" spans="1:8" ht="12.75" x14ac:dyDescent="0.2">
      <c r="A2223" s="1" t="str">
        <f ca="1">IFERROR(__xludf.DUMMYFUNCTION("""COMPUTED_VALUE"""),"Mister Ben С точечной структурой № 3 Презервативы латексные")</f>
        <v>Mister Ben С точечной структурой № 3 Презервативы латексные</v>
      </c>
      <c r="B2223" s="1" t="str">
        <f ca="1">IFERROR(__xludf.DUMMYFUNCTION("""COMPUTED_VALUE"""),"KZ.7700.02.01.00940783")</f>
        <v>KZ.7700.02.01.00940783</v>
      </c>
      <c r="C2223" s="1" t="str">
        <f ca="1">IFERROR(__xludf.DUMMYFUNCTION("""COMPUTED_VALUE"""),"Действительно до 01.01.2027")</f>
        <v>Действительно до 01.01.2027</v>
      </c>
      <c r="D2223" s="8" t="str">
        <f ca="1">IFERROR(__xludf.DUMMYFUNCTION("""COMPUTED_VALUE"""),"2112TNI2678")</f>
        <v>2112TNI2678</v>
      </c>
      <c r="E2223" s="1" t="str">
        <f ca="1">IFERROR(__xludf.DUMMYFUNCTION("""COMPUTED_VALUE"""),"годен до 12.2026")</f>
        <v>годен до 12.2026</v>
      </c>
      <c r="F2223" s="1" t="str">
        <f ca="1">IFERROR(__xludf.DUMMYFUNCTION("""COMPUTED_VALUE"""),"Mister Ben С точечной структурой № 3 Презервативы латексные - 2112TNI2678")</f>
        <v>Mister Ben С точечной структурой № 3 Презервативы латексные - 2112TNI2678</v>
      </c>
      <c r="G2223" s="1" t="str">
        <f ca="1">IFERROR(__xludf.DUMMYFUNCTION("""COMPUTED_VALUE"""),"KZ.7700.02.01.00940783 / Действительно до 01.01.2027 / 2112TNI2678 / годен до 12.2026")</f>
        <v>KZ.7700.02.01.00940783 / Действительно до 01.01.2027 / 2112TNI2678 / годен до 12.2026</v>
      </c>
      <c r="H2223" s="1" t="str">
        <f ca="1">IFERROR(__xludf.DUMMYFUNCTION("""COMPUTED_VALUE"""),"Mister Ben С точечной структурой № 3 Презервативы латексные KZ.7700.02.01.00940783 / Действительно до 01.01.2027 / 2112TNI2678 / годен до 12.2026")</f>
        <v>Mister Ben С точечной структурой № 3 Презервативы латексные KZ.7700.02.01.00940783 / Действительно до 01.01.2027 / 2112TNI2678 / годен до 12.2026</v>
      </c>
    </row>
    <row r="2224" spans="1:8" ht="12.75" x14ac:dyDescent="0.2">
      <c r="A2224" s="1" t="str">
        <f ca="1">IFERROR(__xludf.DUMMYFUNCTION("""COMPUTED_VALUE"""),"Mister Ben Ультратонкие № 3 Презервативы латексные")</f>
        <v>Mister Ben Ультратонкие № 3 Презервативы латексные</v>
      </c>
      <c r="B2224" s="1" t="str">
        <f ca="1">IFERROR(__xludf.DUMMYFUNCTION("""COMPUTED_VALUE"""),"KZ.7700.02.01.009407779")</f>
        <v>KZ.7700.02.01.009407779</v>
      </c>
      <c r="C2224" s="1" t="str">
        <f ca="1">IFERROR(__xludf.DUMMYFUNCTION("""COMPUTED_VALUE"""),"Действительно до 01.10.2027")</f>
        <v>Действительно до 01.10.2027</v>
      </c>
      <c r="D2224" s="8" t="str">
        <f ca="1">IFERROR(__xludf.DUMMYFUNCTION("""COMPUTED_VALUE"""),"2209TNI3380")</f>
        <v>2209TNI3380</v>
      </c>
      <c r="E2224" s="1" t="str">
        <f ca="1">IFERROR(__xludf.DUMMYFUNCTION("""COMPUTED_VALUE"""),"годен до 09.2027")</f>
        <v>годен до 09.2027</v>
      </c>
      <c r="F2224" s="1" t="str">
        <f ca="1">IFERROR(__xludf.DUMMYFUNCTION("""COMPUTED_VALUE"""),"Mister Ben Ультратонкие № 3 Презервативы латексные - 2209TNI3380")</f>
        <v>Mister Ben Ультратонкие № 3 Презервативы латексные - 2209TNI3380</v>
      </c>
      <c r="G2224" s="1" t="str">
        <f ca="1">IFERROR(__xludf.DUMMYFUNCTION("""COMPUTED_VALUE"""),"KZ.7700.02.01.009407779 / Действительно до 01.10.2027 / 2209TNI3380 / годен до 09.2027")</f>
        <v>KZ.7700.02.01.009407779 / Действительно до 01.10.2027 / 2209TNI3380 / годен до 09.2027</v>
      </c>
      <c r="H2224" s="1" t="str">
        <f ca="1">IFERROR(__xludf.DUMMYFUNCTION("""COMPUTED_VALUE"""),"Mister Ben Ультратонкие № 3 Презервативы латексные KZ.7700.02.01.009407779 / Действительно до 01.10.2027 / 2209TNI3380 / годен до 09.2027")</f>
        <v>Mister Ben Ультратонкие № 3 Презервативы латексные KZ.7700.02.01.009407779 / Действительно до 01.10.2027 / 2209TNI3380 / годен до 09.2027</v>
      </c>
    </row>
    <row r="2225" spans="1:8" ht="12.75" x14ac:dyDescent="0.2">
      <c r="A2225" s="1" t="str">
        <f ca="1">IFERROR(__xludf.DUMMYFUNCTION("""COMPUTED_VALUE"""),"Mister Ben классические № 3 Презервативы латексные")</f>
        <v>Mister Ben классические № 3 Презервативы латексные</v>
      </c>
      <c r="B2225" s="1" t="str">
        <f ca="1">IFERROR(__xludf.DUMMYFUNCTION("""COMPUTED_VALUE"""),"KZ.7700.02.01.009400818")</f>
        <v>KZ.7700.02.01.009400818</v>
      </c>
      <c r="C2225" s="1" t="str">
        <f ca="1">IFERROR(__xludf.DUMMYFUNCTION("""COMPUTED_VALUE"""),"Действительно до 01.11.2027")</f>
        <v>Действительно до 01.11.2027</v>
      </c>
      <c r="D2225" s="8" t="str">
        <f ca="1">IFERROR(__xludf.DUMMYFUNCTION("""COMPUTED_VALUE"""),"2210TNI3360")</f>
        <v>2210TNI3360</v>
      </c>
      <c r="E2225" s="1" t="str">
        <f ca="1">IFERROR(__xludf.DUMMYFUNCTION("""COMPUTED_VALUE"""),"годен до 10.2027")</f>
        <v>годен до 10.2027</v>
      </c>
      <c r="F2225" s="1" t="str">
        <f ca="1">IFERROR(__xludf.DUMMYFUNCTION("""COMPUTED_VALUE"""),"Mister Ben классические № 3 Презервативы латексные - 2210TNI3360")</f>
        <v>Mister Ben классические № 3 Презервативы латексные - 2210TNI3360</v>
      </c>
      <c r="G2225" s="1" t="str">
        <f ca="1">IFERROR(__xludf.DUMMYFUNCTION("""COMPUTED_VALUE"""),"KZ.7700.02.01.009400818 / Действительно до 01.11.2027 / 2210TNI3360 / годен до 10.2027")</f>
        <v>KZ.7700.02.01.009400818 / Действительно до 01.11.2027 / 2210TNI3360 / годен до 10.2027</v>
      </c>
      <c r="H2225" s="1" t="str">
        <f ca="1">IFERROR(__xludf.DUMMYFUNCTION("""COMPUTED_VALUE"""),"Mister Ben классические № 3 Презервативы латексные KZ.7700.02.01.009400818 / Действительно до 01.11.2027 / 2210TNI3360 / годен до 10.2027")</f>
        <v>Mister Ben классические № 3 Презервативы латексные KZ.7700.02.01.009400818 / Действительно до 01.11.2027 / 2210TNI3360 / годен до 10.2027</v>
      </c>
    </row>
    <row r="2226" spans="1:8" ht="12.75" x14ac:dyDescent="0.2">
      <c r="A2226" s="1" t="str">
        <f ca="1">IFERROR(__xludf.DUMMYFUNCTION("""COMPUTED_VALUE"""),"Sexxxy классические №3 Презервативы латексные")</f>
        <v>Sexxxy классические №3 Презервативы латексные</v>
      </c>
      <c r="B2226" s="1" t="str">
        <f ca="1">IFERROR(__xludf.DUMMYFUNCTION("""COMPUTED_VALUE"""),"KZ.7700.02.01.009400820")</f>
        <v>KZ.7700.02.01.009400820</v>
      </c>
      <c r="C2226" s="1" t="str">
        <f ca="1">IFERROR(__xludf.DUMMYFUNCTION("""COMPUTED_VALUE"""),"Действительно до 01.10.2027")</f>
        <v>Действительно до 01.10.2027</v>
      </c>
      <c r="D2226" s="8" t="str">
        <f ca="1">IFERROR(__xludf.DUMMYFUNCTION("""COMPUTED_VALUE"""),"2209TNI3359")</f>
        <v>2209TNI3359</v>
      </c>
      <c r="E2226" s="1" t="str">
        <f ca="1">IFERROR(__xludf.DUMMYFUNCTION("""COMPUTED_VALUE"""),"годен до 09.2027")</f>
        <v>годен до 09.2027</v>
      </c>
      <c r="F2226" s="1" t="str">
        <f ca="1">IFERROR(__xludf.DUMMYFUNCTION("""COMPUTED_VALUE"""),"Sexxxy классические №3 Презервативы латексные - 2209TNI3359")</f>
        <v>Sexxxy классические №3 Презервативы латексные - 2209TNI3359</v>
      </c>
      <c r="G2226" s="1" t="str">
        <f ca="1">IFERROR(__xludf.DUMMYFUNCTION("""COMPUTED_VALUE"""),"KZ.7700.02.01.009400820 / Действительно до 01.10.2027 / 2209TNI3359 / годен до 09.2027")</f>
        <v>KZ.7700.02.01.009400820 / Действительно до 01.10.2027 / 2209TNI3359 / годен до 09.2027</v>
      </c>
      <c r="H2226" s="1" t="str">
        <f ca="1">IFERROR(__xludf.DUMMYFUNCTION("""COMPUTED_VALUE"""),"Sexxxy классические №3 Презервативы латексные KZ.7700.02.01.009400820 / Действительно до 01.10.2027 / 2209TNI3359 / годен до 09.2027")</f>
        <v>Sexxxy классические №3 Презервативы латексные KZ.7700.02.01.009400820 / Действительно до 01.10.2027 / 2209TNI3359 / годен до 09.2027</v>
      </c>
    </row>
    <row r="2227" spans="1:8" ht="12.75" x14ac:dyDescent="0.2">
      <c r="A2227" s="1" t="str">
        <f ca="1">IFERROR(__xludf.DUMMYFUNCTION("""COMPUTED_VALUE"""),"Зубная паста торговой марки DENTISSIMO: BIO-NATURAL WITH HERBS TOOTHPASTE")</f>
        <v>Зубная паста торговой марки DENTISSIMO: BIO-NATURAL WITH HERBS TOOTHPASTE</v>
      </c>
      <c r="B2227" s="1" t="str">
        <f ca="1">IFERROR(__xludf.DUMMYFUNCTION("""COMPUTED_VALUE"""),"KZ.7700317.13.12.02808")</f>
        <v>KZ.7700317.13.12.02808</v>
      </c>
      <c r="C2227" s="1" t="str">
        <f ca="1">IFERROR(__xludf.DUMMYFUNCTION("""COMPUTED_VALUE"""),"Действительно до 17.01.2024")</f>
        <v>Действительно до 17.01.2024</v>
      </c>
      <c r="D2227" s="1"/>
      <c r="E2227" s="1"/>
      <c r="F2227" s="1" t="str">
        <f ca="1">IFERROR(__xludf.DUMMYFUNCTION("""COMPUTED_VALUE"""),"Зубная паста торговой марки DENTISSIMO: BIO-NATURAL WITH HERBS TOOTHPASTE - ")</f>
        <v xml:space="preserve">Зубная паста торговой марки DENTISSIMO: BIO-NATURAL WITH HERBS TOOTHPASTE - </v>
      </c>
      <c r="G2227" s="1" t="str">
        <f ca="1">IFERROR(__xludf.DUMMYFUNCTION("""COMPUTED_VALUE"""),"KZ.7700317.13.12.02808 / Действительно до 17.01.2024 /  / ")</f>
        <v xml:space="preserve">KZ.7700317.13.12.02808 / Действительно до 17.01.2024 /  / </v>
      </c>
      <c r="H2227" s="1" t="str">
        <f ca="1">IFERROR(__xludf.DUMMYFUNCTION("""COMPUTED_VALUE"""),"Зубная паста торговой марки DENTISSIMO: BIO-NATURAL WITH HERBS TOOTHPASTE KZ.7700317.13.12.02808 / Действительно до 17.01.2024 /  / ")</f>
        <v xml:space="preserve">Зубная паста торговой марки DENTISSIMO: BIO-NATURAL WITH HERBS TOOTHPASTE KZ.7700317.13.12.02808 / Действительно до 17.01.2024 /  / </v>
      </c>
    </row>
    <row r="2228" spans="1:8" ht="12.75" x14ac:dyDescent="0.2">
      <c r="A2228" s="1" t="str">
        <f ca="1">IFERROR(__xludf.DUMMYFUNCTION("""COMPUTED_VALUE"""),"Бинт эластичный медицинский средней растяжимости (ширина 80 мм) 02х80х1")</f>
        <v>Бинт эластичный медицинский средней растяжимости (ширина 80 мм) 02х80х1</v>
      </c>
      <c r="B2228" s="1" t="str">
        <f ca="1">IFERROR(__xludf.DUMMYFUNCTION("""COMPUTED_VALUE"""),"KZ.7700.02.01.00941171")</f>
        <v>KZ.7700.02.01.00941171</v>
      </c>
      <c r="C2228" s="1" t="str">
        <f ca="1">IFERROR(__xludf.DUMMYFUNCTION("""COMPUTED_VALUE"""),"Действительно до 28.01.2027")</f>
        <v>Действительно до 28.01.2027</v>
      </c>
      <c r="D2228" s="8" t="str">
        <f ca="1">IFERROR(__xludf.DUMMYFUNCTION("""COMPUTED_VALUE"""),"1122036KZ036")</f>
        <v>1122036KZ036</v>
      </c>
      <c r="E2228" s="1" t="str">
        <f ca="1">IFERROR(__xludf.DUMMYFUNCTION("""COMPUTED_VALUE"""),"годен до 28.11.2027")</f>
        <v>годен до 28.11.2027</v>
      </c>
      <c r="F2228" s="1" t="str">
        <f ca="1">IFERROR(__xludf.DUMMYFUNCTION("""COMPUTED_VALUE"""),"Бинт эластичный медицинский средней растяжимости (ширина 80 мм) 02х80х1 - 1122036KZ036")</f>
        <v>Бинт эластичный медицинский средней растяжимости (ширина 80 мм) 02х80х1 - 1122036KZ036</v>
      </c>
      <c r="G2228" s="1" t="str">
        <f ca="1">IFERROR(__xludf.DUMMYFUNCTION("""COMPUTED_VALUE"""),"KZ.7700.02.01.00941171 / Действительно до 28.01.2027 / 1122036KZ036 / годен до 28.11.2027")</f>
        <v>KZ.7700.02.01.00941171 / Действительно до 28.01.2027 / 1122036KZ036 / годен до 28.11.2027</v>
      </c>
      <c r="H2228" s="1" t="str">
        <f ca="1">IFERROR(__xludf.DUMMYFUNCTION("""COMPUTED_VALUE"""),"Бинт эластичный медицинский средней растяжимости (ширина 80 мм) 02х80х1 KZ.7700.02.01.00941171 / Действительно до 28.01.2027 / 1122036KZ036 / годен до 28.11.2027")</f>
        <v>Бинт эластичный медицинский средней растяжимости (ширина 80 мм) 02х80х1 KZ.7700.02.01.00941171 / Действительно до 28.01.2027 / 1122036KZ036 / годен до 28.11.2027</v>
      </c>
    </row>
    <row r="2229" spans="1:8" ht="12.75" x14ac:dyDescent="0.2">
      <c r="A2229" s="1" t="str">
        <f ca="1">IFERROR(__xludf.DUMMYFUNCTION("""COMPUTED_VALUE"""),"Бинт эластичный медицинский средней растяжимости (ширина 80 мм) 02х80х1.5")</f>
        <v>Бинт эластичный медицинский средней растяжимости (ширина 80 мм) 02х80х1.5</v>
      </c>
      <c r="B2229" s="1" t="str">
        <f ca="1">IFERROR(__xludf.DUMMYFUNCTION("""COMPUTED_VALUE"""),"KZ.7700.02.01.00941197")</f>
        <v>KZ.7700.02.01.00941197</v>
      </c>
      <c r="C2229" s="1" t="str">
        <f ca="1">IFERROR(__xludf.DUMMYFUNCTION("""COMPUTED_VALUE"""),"Действительно до 28.01.2027")</f>
        <v>Действительно до 28.01.2027</v>
      </c>
      <c r="D2229" s="8" t="str">
        <f ca="1">IFERROR(__xludf.DUMMYFUNCTION("""COMPUTED_VALUE"""),"1122036KZ036")</f>
        <v>1122036KZ036</v>
      </c>
      <c r="E2229" s="1" t="str">
        <f ca="1">IFERROR(__xludf.DUMMYFUNCTION("""COMPUTED_VALUE"""),"годен до 28.11.2027")</f>
        <v>годен до 28.11.2027</v>
      </c>
      <c r="F2229" s="1" t="str">
        <f ca="1">IFERROR(__xludf.DUMMYFUNCTION("""COMPUTED_VALUE"""),"Бинт эластичный медицинский средней растяжимости (ширина 80 мм) 02х80х1.5 - 1122036KZ036")</f>
        <v>Бинт эластичный медицинский средней растяжимости (ширина 80 мм) 02х80х1.5 - 1122036KZ036</v>
      </c>
      <c r="G2229" s="1" t="str">
        <f ca="1">IFERROR(__xludf.DUMMYFUNCTION("""COMPUTED_VALUE"""),"KZ.7700.02.01.00941197 / Действительно до 28.01.2027 / 1122036KZ036 / годен до 28.11.2027")</f>
        <v>KZ.7700.02.01.00941197 / Действительно до 28.01.2027 / 1122036KZ036 / годен до 28.11.2027</v>
      </c>
      <c r="H2229" s="1" t="str">
        <f ca="1">IFERROR(__xludf.DUMMYFUNCTION("""COMPUTED_VALUE"""),"Бинт эластичный медицинский средней растяжимости (ширина 80 мм) 02х80х1.5 KZ.7700.02.01.00941197 / Действительно до 28.01.2027 / 1122036KZ036 / годен до 28.11.2027")</f>
        <v>Бинт эластичный медицинский средней растяжимости (ширина 80 мм) 02х80х1.5 KZ.7700.02.01.00941197 / Действительно до 28.01.2027 / 1122036KZ036 / годен до 28.11.2027</v>
      </c>
    </row>
    <row r="2230" spans="1:8" ht="12.75" x14ac:dyDescent="0.2">
      <c r="A2230" s="1" t="str">
        <f ca="1">IFERROR(__xludf.DUMMYFUNCTION("""COMPUTED_VALUE"""),"Бинт эластичный медицинский средней растяжимости (ширина 80 мм) 02х80х2")</f>
        <v>Бинт эластичный медицинский средней растяжимости (ширина 80 мм) 02х80х2</v>
      </c>
      <c r="B2230" s="1" t="str">
        <f ca="1">IFERROR(__xludf.DUMMYFUNCTION("""COMPUTED_VALUE"""),"KZ.7700.02.01.00941178")</f>
        <v>KZ.7700.02.01.00941178</v>
      </c>
      <c r="C2230" s="1" t="str">
        <f ca="1">IFERROR(__xludf.DUMMYFUNCTION("""COMPUTED_VALUE"""),"Действительно до 28.01.2027")</f>
        <v>Действительно до 28.01.2027</v>
      </c>
      <c r="D2230" s="8" t="str">
        <f ca="1">IFERROR(__xludf.DUMMYFUNCTION("""COMPUTED_VALUE"""),"1122036KZ036")</f>
        <v>1122036KZ036</v>
      </c>
      <c r="E2230" s="1" t="str">
        <f ca="1">IFERROR(__xludf.DUMMYFUNCTION("""COMPUTED_VALUE"""),"годен до 28.11.2027")</f>
        <v>годен до 28.11.2027</v>
      </c>
      <c r="F2230" s="1" t="str">
        <f ca="1">IFERROR(__xludf.DUMMYFUNCTION("""COMPUTED_VALUE"""),"Бинт эластичный медицинский средней растяжимости (ширина 80 мм) 02х80х2 - 1122036KZ036")</f>
        <v>Бинт эластичный медицинский средней растяжимости (ширина 80 мм) 02х80х2 - 1122036KZ036</v>
      </c>
      <c r="G2230" s="1" t="str">
        <f ca="1">IFERROR(__xludf.DUMMYFUNCTION("""COMPUTED_VALUE"""),"KZ.7700.02.01.00941178 / Действительно до 28.01.2027 / 1122036KZ036 / годен до 28.11.2027")</f>
        <v>KZ.7700.02.01.00941178 / Действительно до 28.01.2027 / 1122036KZ036 / годен до 28.11.2027</v>
      </c>
      <c r="H2230" s="1" t="str">
        <f ca="1">IFERROR(__xludf.DUMMYFUNCTION("""COMPUTED_VALUE"""),"Бинт эластичный медицинский средней растяжимости (ширина 80 мм) 02х80х2 KZ.7700.02.01.00941178 / Действительно до 28.01.2027 / 1122036KZ036 / годен до 28.11.2027")</f>
        <v>Бинт эластичный медицинский средней растяжимости (ширина 80 мм) 02х80х2 KZ.7700.02.01.00941178 / Действительно до 28.01.2027 / 1122036KZ036 / годен до 28.11.2027</v>
      </c>
    </row>
    <row r="2231" spans="1:8" ht="12.75" x14ac:dyDescent="0.2">
      <c r="A2231" s="1" t="str">
        <f ca="1">IFERROR(__xludf.DUMMYFUNCTION("""COMPUTED_VALUE"""),"Бинт эластичный медицинский средней растяжимости (ширина 80 мм) 02х80х2.5")</f>
        <v>Бинт эластичный медицинский средней растяжимости (ширина 80 мм) 02х80х2.5</v>
      </c>
      <c r="B2231" s="1" t="str">
        <f ca="1">IFERROR(__xludf.DUMMYFUNCTION("""COMPUTED_VALUE"""),"KZ.7700.02.01.00941176")</f>
        <v>KZ.7700.02.01.00941176</v>
      </c>
      <c r="C2231" s="1" t="str">
        <f ca="1">IFERROR(__xludf.DUMMYFUNCTION("""COMPUTED_VALUE"""),"Действительно до 28.01.2027")</f>
        <v>Действительно до 28.01.2027</v>
      </c>
      <c r="D2231" s="8" t="str">
        <f ca="1">IFERROR(__xludf.DUMMYFUNCTION("""COMPUTED_VALUE"""),"1122036KZ036")</f>
        <v>1122036KZ036</v>
      </c>
      <c r="E2231" s="1" t="str">
        <f ca="1">IFERROR(__xludf.DUMMYFUNCTION("""COMPUTED_VALUE"""),"годен до 28.11.2027")</f>
        <v>годен до 28.11.2027</v>
      </c>
      <c r="F2231" s="1" t="str">
        <f ca="1">IFERROR(__xludf.DUMMYFUNCTION("""COMPUTED_VALUE"""),"Бинт эластичный медицинский средней растяжимости (ширина 80 мм) 02х80х2.5 - 1122036KZ036")</f>
        <v>Бинт эластичный медицинский средней растяжимости (ширина 80 мм) 02х80х2.5 - 1122036KZ036</v>
      </c>
      <c r="G2231" s="1" t="str">
        <f ca="1">IFERROR(__xludf.DUMMYFUNCTION("""COMPUTED_VALUE"""),"KZ.7700.02.01.00941176 / Действительно до 28.01.2027 / 1122036KZ036 / годен до 28.11.2027")</f>
        <v>KZ.7700.02.01.00941176 / Действительно до 28.01.2027 / 1122036KZ036 / годен до 28.11.2027</v>
      </c>
      <c r="H2231" s="1" t="str">
        <f ca="1">IFERROR(__xludf.DUMMYFUNCTION("""COMPUTED_VALUE"""),"Бинт эластичный медицинский средней растяжимости (ширина 80 мм) 02х80х2.5 KZ.7700.02.01.00941176 / Действительно до 28.01.2027 / 1122036KZ036 / годен до 28.11.2027")</f>
        <v>Бинт эластичный медицинский средней растяжимости (ширина 80 мм) 02х80х2.5 KZ.7700.02.01.00941176 / Действительно до 28.01.2027 / 1122036KZ036 / годен до 28.11.2027</v>
      </c>
    </row>
    <row r="2232" spans="1:8" ht="12.75" x14ac:dyDescent="0.2">
      <c r="A2232" s="1" t="str">
        <f ca="1">IFERROR(__xludf.DUMMYFUNCTION("""COMPUTED_VALUE"""),"Бинт эластичный медицинский средней растяжимости (ширина 80 мм) 02х80х3")</f>
        <v>Бинт эластичный медицинский средней растяжимости (ширина 80 мм) 02х80х3</v>
      </c>
      <c r="B2232" s="1" t="str">
        <f ca="1">IFERROR(__xludf.DUMMYFUNCTION("""COMPUTED_VALUE"""),"KZ.7700.02.01.00941173")</f>
        <v>KZ.7700.02.01.00941173</v>
      </c>
      <c r="C2232" s="1" t="str">
        <f ca="1">IFERROR(__xludf.DUMMYFUNCTION("""COMPUTED_VALUE"""),"Действительно до 28.01.2027")</f>
        <v>Действительно до 28.01.2027</v>
      </c>
      <c r="D2232" s="8" t="str">
        <f ca="1">IFERROR(__xludf.DUMMYFUNCTION("""COMPUTED_VALUE"""),"1122036KZ036")</f>
        <v>1122036KZ036</v>
      </c>
      <c r="E2232" s="1" t="str">
        <f ca="1">IFERROR(__xludf.DUMMYFUNCTION("""COMPUTED_VALUE"""),"годен до 28.11.2027")</f>
        <v>годен до 28.11.2027</v>
      </c>
      <c r="F2232" s="1" t="str">
        <f ca="1">IFERROR(__xludf.DUMMYFUNCTION("""COMPUTED_VALUE"""),"Бинт эластичный медицинский средней растяжимости (ширина 80 мм) 02х80х3 - 1122036KZ036")</f>
        <v>Бинт эластичный медицинский средней растяжимости (ширина 80 мм) 02х80х3 - 1122036KZ036</v>
      </c>
      <c r="G2232" s="1" t="str">
        <f ca="1">IFERROR(__xludf.DUMMYFUNCTION("""COMPUTED_VALUE"""),"KZ.7700.02.01.00941173 / Действительно до 28.01.2027 / 1122036KZ036 / годен до 28.11.2027")</f>
        <v>KZ.7700.02.01.00941173 / Действительно до 28.01.2027 / 1122036KZ036 / годен до 28.11.2027</v>
      </c>
      <c r="H2232" s="1" t="str">
        <f ca="1">IFERROR(__xludf.DUMMYFUNCTION("""COMPUTED_VALUE"""),"Бинт эластичный медицинский средней растяжимости (ширина 80 мм) 02х80х3 KZ.7700.02.01.00941173 / Действительно до 28.01.2027 / 1122036KZ036 / годен до 28.11.2027")</f>
        <v>Бинт эластичный медицинский средней растяжимости (ширина 80 мм) 02х80х3 KZ.7700.02.01.00941173 / Действительно до 28.01.2027 / 1122036KZ036 / годен до 28.11.2027</v>
      </c>
    </row>
    <row r="2233" spans="1:8" ht="12.75" x14ac:dyDescent="0.2">
      <c r="A2233" s="1" t="str">
        <f ca="1">IFERROR(__xludf.DUMMYFUNCTION("""COMPUTED_VALUE"""),"Бинт эластичный медицинский средней растяжимости (ширина 80 мм) 02х80х3.5")</f>
        <v>Бинт эластичный медицинский средней растяжимости (ширина 80 мм) 02х80х3.5</v>
      </c>
      <c r="B2233" s="1" t="str">
        <f ca="1">IFERROR(__xludf.DUMMYFUNCTION("""COMPUTED_VALUE"""),"KZ.7700.02.01.00941198")</f>
        <v>KZ.7700.02.01.00941198</v>
      </c>
      <c r="C2233" s="1" t="str">
        <f ca="1">IFERROR(__xludf.DUMMYFUNCTION("""COMPUTED_VALUE"""),"Действительно до 28.01.2027")</f>
        <v>Действительно до 28.01.2027</v>
      </c>
      <c r="D2233" s="8" t="str">
        <f ca="1">IFERROR(__xludf.DUMMYFUNCTION("""COMPUTED_VALUE"""),"1122036KZ036")</f>
        <v>1122036KZ036</v>
      </c>
      <c r="E2233" s="1" t="str">
        <f ca="1">IFERROR(__xludf.DUMMYFUNCTION("""COMPUTED_VALUE"""),"годен до 28.11.2027")</f>
        <v>годен до 28.11.2027</v>
      </c>
      <c r="F2233" s="1" t="str">
        <f ca="1">IFERROR(__xludf.DUMMYFUNCTION("""COMPUTED_VALUE"""),"Бинт эластичный медицинский средней растяжимости (ширина 80 мм) 02х80х3.5 - 1122036KZ036")</f>
        <v>Бинт эластичный медицинский средней растяжимости (ширина 80 мм) 02х80х3.5 - 1122036KZ036</v>
      </c>
      <c r="G2233" s="1" t="str">
        <f ca="1">IFERROR(__xludf.DUMMYFUNCTION("""COMPUTED_VALUE"""),"KZ.7700.02.01.00941198 / Действительно до 28.01.2027 / 1122036KZ036 / годен до 28.11.2027")</f>
        <v>KZ.7700.02.01.00941198 / Действительно до 28.01.2027 / 1122036KZ036 / годен до 28.11.2027</v>
      </c>
      <c r="H2233" s="1" t="str">
        <f ca="1">IFERROR(__xludf.DUMMYFUNCTION("""COMPUTED_VALUE"""),"Бинт эластичный медицинский средней растяжимости (ширина 80 мм) 02х80х3.5 KZ.7700.02.01.00941198 / Действительно до 28.01.2027 / 1122036KZ036 / годен до 28.11.2027")</f>
        <v>Бинт эластичный медицинский средней растяжимости (ширина 80 мм) 02х80х3.5 KZ.7700.02.01.00941198 / Действительно до 28.01.2027 / 1122036KZ036 / годен до 28.11.2027</v>
      </c>
    </row>
    <row r="2234" spans="1:8" ht="12.75" x14ac:dyDescent="0.2">
      <c r="A2234" s="1" t="str">
        <f ca="1">IFERROR(__xludf.DUMMYFUNCTION("""COMPUTED_VALUE"""),"Бинт эластичный медицинский средней растяжимости (ширина 80 мм) 02х80х4")</f>
        <v>Бинт эластичный медицинский средней растяжимости (ширина 80 мм) 02х80х4</v>
      </c>
      <c r="B2234" s="1" t="str">
        <f ca="1">IFERROR(__xludf.DUMMYFUNCTION("""COMPUTED_VALUE"""),"KZ.7700.02.01.00941203")</f>
        <v>KZ.7700.02.01.00941203</v>
      </c>
      <c r="C2234" s="1" t="str">
        <f ca="1">IFERROR(__xludf.DUMMYFUNCTION("""COMPUTED_VALUE"""),"Действительно до 28.01.2027")</f>
        <v>Действительно до 28.01.2027</v>
      </c>
      <c r="D2234" s="8" t="str">
        <f ca="1">IFERROR(__xludf.DUMMYFUNCTION("""COMPUTED_VALUE"""),"1122036KZ036")</f>
        <v>1122036KZ036</v>
      </c>
      <c r="E2234" s="1" t="str">
        <f ca="1">IFERROR(__xludf.DUMMYFUNCTION("""COMPUTED_VALUE"""),"годен до 28.11.2027")</f>
        <v>годен до 28.11.2027</v>
      </c>
      <c r="F2234" s="1" t="str">
        <f ca="1">IFERROR(__xludf.DUMMYFUNCTION("""COMPUTED_VALUE"""),"Бинт эластичный медицинский средней растяжимости (ширина 80 мм) 02х80х4 - 1122036KZ036")</f>
        <v>Бинт эластичный медицинский средней растяжимости (ширина 80 мм) 02х80х4 - 1122036KZ036</v>
      </c>
      <c r="G2234" s="1" t="str">
        <f ca="1">IFERROR(__xludf.DUMMYFUNCTION("""COMPUTED_VALUE"""),"KZ.7700.02.01.00941203 / Действительно до 28.01.2027 / 1122036KZ036 / годен до 28.11.2027")</f>
        <v>KZ.7700.02.01.00941203 / Действительно до 28.01.2027 / 1122036KZ036 / годен до 28.11.2027</v>
      </c>
      <c r="H2234" s="1" t="str">
        <f ca="1">IFERROR(__xludf.DUMMYFUNCTION("""COMPUTED_VALUE"""),"Бинт эластичный медицинский средней растяжимости (ширина 80 мм) 02х80х4 KZ.7700.02.01.00941203 / Действительно до 28.01.2027 / 1122036KZ036 / годен до 28.11.2027")</f>
        <v>Бинт эластичный медицинский средней растяжимости (ширина 80 мм) 02х80х4 KZ.7700.02.01.00941203 / Действительно до 28.01.2027 / 1122036KZ036 / годен до 28.11.2027</v>
      </c>
    </row>
    <row r="2235" spans="1:8" ht="12.75" x14ac:dyDescent="0.2">
      <c r="A2235" s="1" t="str">
        <f ca="1">IFERROR(__xludf.DUMMYFUNCTION("""COMPUTED_VALUE"""),"Бинт эластичный медицинский средней растяжимости (ширина 80 мм) 02х80х5")</f>
        <v>Бинт эластичный медицинский средней растяжимости (ширина 80 мм) 02х80х5</v>
      </c>
      <c r="B2235" s="1" t="str">
        <f ca="1">IFERROR(__xludf.DUMMYFUNCTION("""COMPUTED_VALUE"""),"KZ.7700.02.01.00941206")</f>
        <v>KZ.7700.02.01.00941206</v>
      </c>
      <c r="C2235" s="1" t="str">
        <f ca="1">IFERROR(__xludf.DUMMYFUNCTION("""COMPUTED_VALUE"""),"Действительно до 28.01.2027")</f>
        <v>Действительно до 28.01.2027</v>
      </c>
      <c r="D2235" s="8" t="str">
        <f ca="1">IFERROR(__xludf.DUMMYFUNCTION("""COMPUTED_VALUE"""),"1122036KZ036")</f>
        <v>1122036KZ036</v>
      </c>
      <c r="E2235" s="1" t="str">
        <f ca="1">IFERROR(__xludf.DUMMYFUNCTION("""COMPUTED_VALUE"""),"годен до 28.11.2027")</f>
        <v>годен до 28.11.2027</v>
      </c>
      <c r="F2235" s="1" t="str">
        <f ca="1">IFERROR(__xludf.DUMMYFUNCTION("""COMPUTED_VALUE"""),"Бинт эластичный медицинский средней растяжимости (ширина 80 мм) 02х80х5 - 1122036KZ036")</f>
        <v>Бинт эластичный медицинский средней растяжимости (ширина 80 мм) 02х80х5 - 1122036KZ036</v>
      </c>
      <c r="G2235" s="1" t="str">
        <f ca="1">IFERROR(__xludf.DUMMYFUNCTION("""COMPUTED_VALUE"""),"KZ.7700.02.01.00941206 / Действительно до 28.01.2027 / 1122036KZ036 / годен до 28.11.2027")</f>
        <v>KZ.7700.02.01.00941206 / Действительно до 28.01.2027 / 1122036KZ036 / годен до 28.11.2027</v>
      </c>
      <c r="H2235" s="1" t="str">
        <f ca="1">IFERROR(__xludf.DUMMYFUNCTION("""COMPUTED_VALUE"""),"Бинт эластичный медицинский средней растяжимости (ширина 80 мм) 02х80х5 KZ.7700.02.01.00941206 / Действительно до 28.01.2027 / 1122036KZ036 / годен до 28.11.2027")</f>
        <v>Бинт эластичный медицинский средней растяжимости (ширина 80 мм) 02х80х5 KZ.7700.02.01.00941206 / Действительно до 28.01.2027 / 1122036KZ036 / годен до 28.11.2027</v>
      </c>
    </row>
    <row r="2236" spans="1:8" ht="12.75" x14ac:dyDescent="0.2">
      <c r="A2236" s="1" t="str">
        <f ca="1">IFERROR(__xludf.DUMMYFUNCTION("""COMPUTED_VALUE"""),"Бандаж на шейный отдел позвоночника мягкой фиксацией с жесткой вставкой 1005 I(S)")</f>
        <v>Бандаж на шейный отдел позвоночника мягкой фиксацией с жесткой вставкой 1005 I(S)</v>
      </c>
      <c r="B2236" s="1" t="str">
        <f ca="1">IFERROR(__xludf.DUMMYFUNCTION("""COMPUTED_VALUE"""),"KZ.7700.02.01.00941168")</f>
        <v>KZ.7700.02.01.00941168</v>
      </c>
      <c r="C2236" s="1" t="str">
        <f ca="1">IFERROR(__xludf.DUMMYFUNCTION("""COMPUTED_VALUE"""),"Действительно до 28.01.2027")</f>
        <v>Действительно до 28.01.2027</v>
      </c>
      <c r="D2236" s="8" t="str">
        <f ca="1">IFERROR(__xludf.DUMMYFUNCTION("""COMPUTED_VALUE"""),"1122036KZ036")</f>
        <v>1122036KZ036</v>
      </c>
      <c r="E2236" s="1" t="str">
        <f ca="1">IFERROR(__xludf.DUMMYFUNCTION("""COMPUTED_VALUE"""),"годен до 28.11.2027")</f>
        <v>годен до 28.11.2027</v>
      </c>
      <c r="F2236" s="1" t="str">
        <f ca="1">IFERROR(__xludf.DUMMYFUNCTION("""COMPUTED_VALUE"""),"Бандаж на шейный отдел позвоночника мягкой фиксацией с жесткой вставкой 1005 I(S) - 1122036KZ036")</f>
        <v>Бандаж на шейный отдел позвоночника мягкой фиксацией с жесткой вставкой 1005 I(S) - 1122036KZ036</v>
      </c>
      <c r="G2236" s="1" t="str">
        <f ca="1">IFERROR(__xludf.DUMMYFUNCTION("""COMPUTED_VALUE"""),"KZ.7700.02.01.00941168 / Действительно до 28.01.2027 / 1122036KZ036 / годен до 28.11.2027")</f>
        <v>KZ.7700.02.01.00941168 / Действительно до 28.01.2027 / 1122036KZ036 / годен до 28.11.2027</v>
      </c>
      <c r="H2236" s="1" t="str">
        <f ca="1">IFERROR(__xludf.DUMMYFUNCTION("""COMPUTED_VALUE"""),"Бандаж на шейный отдел позвоночника мягкой фиксацией с жесткой вставкой 1005 I(S) KZ.7700.02.01.00941168 / Действительно до 28.01.2027 / 1122036KZ036 / годен до 28.11.2027")</f>
        <v>Бандаж на шейный отдел позвоночника мягкой фиксацией с жесткой вставкой 1005 I(S) KZ.7700.02.01.00941168 / Действительно до 28.01.2027 / 1122036KZ036 / годен до 28.11.2027</v>
      </c>
    </row>
    <row r="2237" spans="1:8" ht="12.75" x14ac:dyDescent="0.2">
      <c r="A2237" s="1" t="str">
        <f ca="1">IFERROR(__xludf.DUMMYFUNCTION("""COMPUTED_VALUE"""),"Бандаж на шейный отдел позвоночника мягкой фиксацией с жесткой вставкой 1005 III(L)")</f>
        <v>Бандаж на шейный отдел позвоночника мягкой фиксацией с жесткой вставкой 1005 III(L)</v>
      </c>
      <c r="B2237" s="1" t="str">
        <f ca="1">IFERROR(__xludf.DUMMYFUNCTION("""COMPUTED_VALUE"""),"KZ.7700.02.01.00941168")</f>
        <v>KZ.7700.02.01.00941168</v>
      </c>
      <c r="C2237" s="1" t="str">
        <f ca="1">IFERROR(__xludf.DUMMYFUNCTION("""COMPUTED_VALUE"""),"Действительно до 28.01.2027")</f>
        <v>Действительно до 28.01.2027</v>
      </c>
      <c r="D2237" s="8" t="str">
        <f ca="1">IFERROR(__xludf.DUMMYFUNCTION("""COMPUTED_VALUE"""),"1122036KZ036")</f>
        <v>1122036KZ036</v>
      </c>
      <c r="E2237" s="1" t="str">
        <f ca="1">IFERROR(__xludf.DUMMYFUNCTION("""COMPUTED_VALUE"""),"годен до 28.11.2027")</f>
        <v>годен до 28.11.2027</v>
      </c>
      <c r="F2237" s="1" t="str">
        <f ca="1">IFERROR(__xludf.DUMMYFUNCTION("""COMPUTED_VALUE"""),"Бандаж на шейный отдел позвоночника мягкой фиксацией с жесткой вставкой 1005 III(L) - 1122036KZ036")</f>
        <v>Бандаж на шейный отдел позвоночника мягкой фиксацией с жесткой вставкой 1005 III(L) - 1122036KZ036</v>
      </c>
      <c r="G2237" s="1" t="str">
        <f ca="1">IFERROR(__xludf.DUMMYFUNCTION("""COMPUTED_VALUE"""),"KZ.7700.02.01.00941168 / Действительно до 28.01.2027 / 1122036KZ036 / годен до 28.11.2027")</f>
        <v>KZ.7700.02.01.00941168 / Действительно до 28.01.2027 / 1122036KZ036 / годен до 28.11.2027</v>
      </c>
      <c r="H2237" s="1" t="str">
        <f ca="1">IFERROR(__xludf.DUMMYFUNCTION("""COMPUTED_VALUE"""),"Бандаж на шейный отдел позвоночника мягкой фиксацией с жесткой вставкой 1005 III(L) KZ.7700.02.01.00941168 / Действительно до 28.01.2027 / 1122036KZ036 / годен до 28.11.2027")</f>
        <v>Бандаж на шейный отдел позвоночника мягкой фиксацией с жесткой вставкой 1005 III(L) KZ.7700.02.01.00941168 / Действительно до 28.01.2027 / 1122036KZ036 / годен до 28.11.2027</v>
      </c>
    </row>
    <row r="2238" spans="1:8" ht="12.75" x14ac:dyDescent="0.2">
      <c r="A2238" s="1" t="str">
        <f ca="1">IFERROR(__xludf.DUMMYFUNCTION("""COMPUTED_VALUE"""),"Реклинатор (корректор осанки) детский 2005 M (Болгария)")</f>
        <v>Реклинатор (корректор осанки) детский 2005 M (Болгария)</v>
      </c>
      <c r="B2238" s="1" t="str">
        <f ca="1">IFERROR(__xludf.DUMMYFUNCTION("""COMPUTED_VALUE"""),"KZ.7700.02.01.00941204")</f>
        <v>KZ.7700.02.01.00941204</v>
      </c>
      <c r="C2238" s="1" t="str">
        <f ca="1">IFERROR(__xludf.DUMMYFUNCTION("""COMPUTED_VALUE"""),"Действительно до 28.01.2027")</f>
        <v>Действительно до 28.01.2027</v>
      </c>
      <c r="D2238" s="8" t="str">
        <f ca="1">IFERROR(__xludf.DUMMYFUNCTION("""COMPUTED_VALUE"""),"1122036KZ036")</f>
        <v>1122036KZ036</v>
      </c>
      <c r="E2238" s="1" t="str">
        <f ca="1">IFERROR(__xludf.DUMMYFUNCTION("""COMPUTED_VALUE"""),"годен до 28.11.2027")</f>
        <v>годен до 28.11.2027</v>
      </c>
      <c r="F2238" s="1" t="str">
        <f ca="1">IFERROR(__xludf.DUMMYFUNCTION("""COMPUTED_VALUE"""),"Реклинатор (корректор осанки) детский 2005 M (Болгария) - 1122036KZ036")</f>
        <v>Реклинатор (корректор осанки) детский 2005 M (Болгария) - 1122036KZ036</v>
      </c>
      <c r="G2238" s="1" t="str">
        <f ca="1">IFERROR(__xludf.DUMMYFUNCTION("""COMPUTED_VALUE"""),"KZ.7700.02.01.00941204 / Действительно до 28.01.2027 / 1122036KZ036 / годен до 28.11.2027")</f>
        <v>KZ.7700.02.01.00941204 / Действительно до 28.01.2027 / 1122036KZ036 / годен до 28.11.2027</v>
      </c>
      <c r="H2238" s="1" t="str">
        <f ca="1">IFERROR(__xludf.DUMMYFUNCTION("""COMPUTED_VALUE"""),"Реклинатор (корректор осанки) детский 2005 M (Болгария) KZ.7700.02.01.00941204 / Действительно до 28.01.2027 / 1122036KZ036 / годен до 28.11.2027")</f>
        <v>Реклинатор (корректор осанки) детский 2005 M (Болгария) KZ.7700.02.01.00941204 / Действительно до 28.01.2027 / 1122036KZ036 / годен до 28.11.2027</v>
      </c>
    </row>
    <row r="2239" spans="1:8" ht="12.75" x14ac:dyDescent="0.2">
      <c r="A2239" s="1" t="str">
        <f ca="1">IFERROR(__xludf.DUMMYFUNCTION("""COMPUTED_VALUE"""),"Корректор осанки с ребрами жесткости эластичный 2011 S (Болгария)")</f>
        <v>Корректор осанки с ребрами жесткости эластичный 2011 S (Болгария)</v>
      </c>
      <c r="B2239" s="1" t="str">
        <f ca="1">IFERROR(__xludf.DUMMYFUNCTION("""COMPUTED_VALUE"""),"KZ.7700.02.01.00941175")</f>
        <v>KZ.7700.02.01.00941175</v>
      </c>
      <c r="C2239" s="1" t="str">
        <f ca="1">IFERROR(__xludf.DUMMYFUNCTION("""COMPUTED_VALUE"""),"Действительно до 28.01.2027")</f>
        <v>Действительно до 28.01.2027</v>
      </c>
      <c r="D2239" s="8" t="str">
        <f ca="1">IFERROR(__xludf.DUMMYFUNCTION("""COMPUTED_VALUE"""),"1122036KZ036")</f>
        <v>1122036KZ036</v>
      </c>
      <c r="E2239" s="1" t="str">
        <f ca="1">IFERROR(__xludf.DUMMYFUNCTION("""COMPUTED_VALUE"""),"годен до 28.11.2027")</f>
        <v>годен до 28.11.2027</v>
      </c>
      <c r="F2239" s="1" t="str">
        <f ca="1">IFERROR(__xludf.DUMMYFUNCTION("""COMPUTED_VALUE"""),"Корректор осанки с ребрами жесткости эластичный 2011 S (Болгария) - 1122036KZ036")</f>
        <v>Корректор осанки с ребрами жесткости эластичный 2011 S (Болгария) - 1122036KZ036</v>
      </c>
      <c r="G2239" s="1" t="str">
        <f ca="1">IFERROR(__xludf.DUMMYFUNCTION("""COMPUTED_VALUE"""),"KZ.7700.02.01.00941175 / Действительно до 28.01.2027 / 1122036KZ036 / годен до 28.11.2027")</f>
        <v>KZ.7700.02.01.00941175 / Действительно до 28.01.2027 / 1122036KZ036 / годен до 28.11.2027</v>
      </c>
      <c r="H2239" s="1" t="str">
        <f ca="1">IFERROR(__xludf.DUMMYFUNCTION("""COMPUTED_VALUE"""),"Корректор осанки с ребрами жесткости эластичный 2011 S (Болгария) KZ.7700.02.01.00941175 / Действительно до 28.01.2027 / 1122036KZ036 / годен до 28.11.2027")</f>
        <v>Корректор осанки с ребрами жесткости эластичный 2011 S (Болгария) KZ.7700.02.01.00941175 / Действительно до 28.01.2027 / 1122036KZ036 / годен до 28.11.2027</v>
      </c>
    </row>
    <row r="2240" spans="1:8" ht="12.75" x14ac:dyDescent="0.2">
      <c r="A2240" s="1" t="str">
        <f ca="1">IFERROR(__xludf.DUMMYFUNCTION("""COMPUTED_VALUE"""),"Корректор осанки с ребрами жесткости эластичный 2011 M (Болгария)")</f>
        <v>Корректор осанки с ребрами жесткости эластичный 2011 M (Болгария)</v>
      </c>
      <c r="B2240" s="1" t="str">
        <f ca="1">IFERROR(__xludf.DUMMYFUNCTION("""COMPUTED_VALUE"""),"KZ.7700.02.01.00941175")</f>
        <v>KZ.7700.02.01.00941175</v>
      </c>
      <c r="C2240" s="1" t="str">
        <f ca="1">IFERROR(__xludf.DUMMYFUNCTION("""COMPUTED_VALUE"""),"Действительно до 28.01.2027")</f>
        <v>Действительно до 28.01.2027</v>
      </c>
      <c r="D2240" s="8" t="str">
        <f ca="1">IFERROR(__xludf.DUMMYFUNCTION("""COMPUTED_VALUE"""),"1122036KZ036")</f>
        <v>1122036KZ036</v>
      </c>
      <c r="E2240" s="1" t="str">
        <f ca="1">IFERROR(__xludf.DUMMYFUNCTION("""COMPUTED_VALUE"""),"годен до 28.11.2027")</f>
        <v>годен до 28.11.2027</v>
      </c>
      <c r="F2240" s="1" t="str">
        <f ca="1">IFERROR(__xludf.DUMMYFUNCTION("""COMPUTED_VALUE"""),"Корректор осанки с ребрами жесткости эластичный 2011 M (Болгария) - 1122036KZ036")</f>
        <v>Корректор осанки с ребрами жесткости эластичный 2011 M (Болгария) - 1122036KZ036</v>
      </c>
      <c r="G2240" s="1" t="str">
        <f ca="1">IFERROR(__xludf.DUMMYFUNCTION("""COMPUTED_VALUE"""),"KZ.7700.02.01.00941175 / Действительно до 28.01.2027 / 1122036KZ036 / годен до 28.11.2027")</f>
        <v>KZ.7700.02.01.00941175 / Действительно до 28.01.2027 / 1122036KZ036 / годен до 28.11.2027</v>
      </c>
      <c r="H2240" s="1" t="str">
        <f ca="1">IFERROR(__xludf.DUMMYFUNCTION("""COMPUTED_VALUE"""),"Корректор осанки с ребрами жесткости эластичный 2011 M (Болгария) KZ.7700.02.01.00941175 / Действительно до 28.01.2027 / 1122036KZ036 / годен до 28.11.2027")</f>
        <v>Корректор осанки с ребрами жесткости эластичный 2011 M (Болгария) KZ.7700.02.01.00941175 / Действительно до 28.01.2027 / 1122036KZ036 / годен до 28.11.2027</v>
      </c>
    </row>
    <row r="2241" spans="1:8" ht="12.75" x14ac:dyDescent="0.2">
      <c r="A2241" s="1" t="str">
        <f ca="1">IFERROR(__xludf.DUMMYFUNCTION("""COMPUTED_VALUE"""),"Корректор осанки с ребрами жесткости эластичный 2011 L (Болгария)")</f>
        <v>Корректор осанки с ребрами жесткости эластичный 2011 L (Болгария)</v>
      </c>
      <c r="B2241" s="1" t="str">
        <f ca="1">IFERROR(__xludf.DUMMYFUNCTION("""COMPUTED_VALUE"""),"KZ.7700.02.01.00941175")</f>
        <v>KZ.7700.02.01.00941175</v>
      </c>
      <c r="C2241" s="1" t="str">
        <f ca="1">IFERROR(__xludf.DUMMYFUNCTION("""COMPUTED_VALUE"""),"Действительно до 28.01.2027")</f>
        <v>Действительно до 28.01.2027</v>
      </c>
      <c r="D2241" s="8" t="str">
        <f ca="1">IFERROR(__xludf.DUMMYFUNCTION("""COMPUTED_VALUE"""),"1122036KZ036")</f>
        <v>1122036KZ036</v>
      </c>
      <c r="E2241" s="1" t="str">
        <f ca="1">IFERROR(__xludf.DUMMYFUNCTION("""COMPUTED_VALUE"""),"годен до 28.11.2027")</f>
        <v>годен до 28.11.2027</v>
      </c>
      <c r="F2241" s="1" t="str">
        <f ca="1">IFERROR(__xludf.DUMMYFUNCTION("""COMPUTED_VALUE"""),"Корректор осанки с ребрами жесткости эластичный 2011 L (Болгария) - 1122036KZ036")</f>
        <v>Корректор осанки с ребрами жесткости эластичный 2011 L (Болгария) - 1122036KZ036</v>
      </c>
      <c r="G2241" s="1" t="str">
        <f ca="1">IFERROR(__xludf.DUMMYFUNCTION("""COMPUTED_VALUE"""),"KZ.7700.02.01.00941175 / Действительно до 28.01.2027 / 1122036KZ036 / годен до 28.11.2027")</f>
        <v>KZ.7700.02.01.00941175 / Действительно до 28.01.2027 / 1122036KZ036 / годен до 28.11.2027</v>
      </c>
      <c r="H2241" s="1" t="str">
        <f ca="1">IFERROR(__xludf.DUMMYFUNCTION("""COMPUTED_VALUE"""),"Корректор осанки с ребрами жесткости эластичный 2011 L (Болгария) KZ.7700.02.01.00941175 / Действительно до 28.01.2027 / 1122036KZ036 / годен до 28.11.2027")</f>
        <v>Корректор осанки с ребрами жесткости эластичный 2011 L (Болгария) KZ.7700.02.01.00941175 / Действительно до 28.01.2027 / 1122036KZ036 / годен до 28.11.2027</v>
      </c>
    </row>
    <row r="2242" spans="1:8" ht="12.75" x14ac:dyDescent="0.2">
      <c r="A2242" s="1" t="str">
        <f ca="1">IFERROR(__xludf.DUMMYFUNCTION("""COMPUTED_VALUE"""),"Корректор осанки с ребрами жесткости эластичный 2011 XL (Болгария)")</f>
        <v>Корректор осанки с ребрами жесткости эластичный 2011 XL (Болгария)</v>
      </c>
      <c r="B2242" s="1" t="str">
        <f ca="1">IFERROR(__xludf.DUMMYFUNCTION("""COMPUTED_VALUE"""),"KZ.7700.02.01.00941175")</f>
        <v>KZ.7700.02.01.00941175</v>
      </c>
      <c r="C2242" s="1" t="str">
        <f ca="1">IFERROR(__xludf.DUMMYFUNCTION("""COMPUTED_VALUE"""),"Действительно до 28.01.2027")</f>
        <v>Действительно до 28.01.2027</v>
      </c>
      <c r="D2242" s="8" t="str">
        <f ca="1">IFERROR(__xludf.DUMMYFUNCTION("""COMPUTED_VALUE"""),"1122036KZ036")</f>
        <v>1122036KZ036</v>
      </c>
      <c r="E2242" s="1" t="str">
        <f ca="1">IFERROR(__xludf.DUMMYFUNCTION("""COMPUTED_VALUE"""),"годен до 28.11.2027")</f>
        <v>годен до 28.11.2027</v>
      </c>
      <c r="F2242" s="1" t="str">
        <f ca="1">IFERROR(__xludf.DUMMYFUNCTION("""COMPUTED_VALUE"""),"Корректор осанки с ребрами жесткости эластичный 2011 XL (Болгария) - 1122036KZ036")</f>
        <v>Корректор осанки с ребрами жесткости эластичный 2011 XL (Болгария) - 1122036KZ036</v>
      </c>
      <c r="G2242" s="1" t="str">
        <f ca="1">IFERROR(__xludf.DUMMYFUNCTION("""COMPUTED_VALUE"""),"KZ.7700.02.01.00941175 / Действительно до 28.01.2027 / 1122036KZ036 / годен до 28.11.2027")</f>
        <v>KZ.7700.02.01.00941175 / Действительно до 28.01.2027 / 1122036KZ036 / годен до 28.11.2027</v>
      </c>
      <c r="H2242" s="1" t="str">
        <f ca="1">IFERROR(__xludf.DUMMYFUNCTION("""COMPUTED_VALUE"""),"Корректор осанки с ребрами жесткости эластичный 2011 XL (Болгария) KZ.7700.02.01.00941175 / Действительно до 28.01.2027 / 1122036KZ036 / годен до 28.11.2027")</f>
        <v>Корректор осанки с ребрами жесткости эластичный 2011 XL (Болгария) KZ.7700.02.01.00941175 / Действительно до 28.01.2027 / 1122036KZ036 / годен до 28.11.2027</v>
      </c>
    </row>
    <row r="2243" spans="1:8" ht="12.75" x14ac:dyDescent="0.2">
      <c r="A2243" s="1" t="str">
        <f ca="1">IFERROR(__xludf.DUMMYFUNCTION("""COMPUTED_VALUE"""),"Корректор осанки с ребрами жесткости эластичный 2011 XXL (Болгария)")</f>
        <v>Корректор осанки с ребрами жесткости эластичный 2011 XXL (Болгария)</v>
      </c>
      <c r="B2243" s="1" t="str">
        <f ca="1">IFERROR(__xludf.DUMMYFUNCTION("""COMPUTED_VALUE"""),"KZ.7700.02.01.00941175")</f>
        <v>KZ.7700.02.01.00941175</v>
      </c>
      <c r="C2243" s="1" t="str">
        <f ca="1">IFERROR(__xludf.DUMMYFUNCTION("""COMPUTED_VALUE"""),"Действительно до 28.01.2027")</f>
        <v>Действительно до 28.01.2027</v>
      </c>
      <c r="D2243" s="8" t="str">
        <f ca="1">IFERROR(__xludf.DUMMYFUNCTION("""COMPUTED_VALUE"""),"1122036KZ036")</f>
        <v>1122036KZ036</v>
      </c>
      <c r="E2243" s="1" t="str">
        <f ca="1">IFERROR(__xludf.DUMMYFUNCTION("""COMPUTED_VALUE"""),"годен до 28.11.2027")</f>
        <v>годен до 28.11.2027</v>
      </c>
      <c r="F2243" s="1" t="str">
        <f ca="1">IFERROR(__xludf.DUMMYFUNCTION("""COMPUTED_VALUE"""),"Корректор осанки с ребрами жесткости эластичный 2011 XXL (Болгария) - 1122036KZ036")</f>
        <v>Корректор осанки с ребрами жесткости эластичный 2011 XXL (Болгария) - 1122036KZ036</v>
      </c>
      <c r="G2243" s="1" t="str">
        <f ca="1">IFERROR(__xludf.DUMMYFUNCTION("""COMPUTED_VALUE"""),"KZ.7700.02.01.00941175 / Действительно до 28.01.2027 / 1122036KZ036 / годен до 28.11.2027")</f>
        <v>KZ.7700.02.01.00941175 / Действительно до 28.01.2027 / 1122036KZ036 / годен до 28.11.2027</v>
      </c>
      <c r="H2243" s="1" t="str">
        <f ca="1">IFERROR(__xludf.DUMMYFUNCTION("""COMPUTED_VALUE"""),"Корректор осанки с ребрами жесткости эластичный 2011 XXL (Болгария) KZ.7700.02.01.00941175 / Действительно до 28.01.2027 / 1122036KZ036 / годен до 28.11.2027")</f>
        <v>Корректор осанки с ребрами жесткости эластичный 2011 XXL (Болгария) KZ.7700.02.01.00941175 / Действительно до 28.01.2027 / 1122036KZ036 / годен до 28.11.2027</v>
      </c>
    </row>
    <row r="2244" spans="1:8" ht="12.75" x14ac:dyDescent="0.2">
      <c r="A2244" s="1" t="str">
        <f ca="1">IFERROR(__xludf.DUMMYFUNCTION("""COMPUTED_VALUE"""),"Корректор лечебно-профилактический (с 4 ребрами жесткости) эластичный 3011 - М")</f>
        <v>Корректор лечебно-профилактический (с 4 ребрами жесткости) эластичный 3011 - М</v>
      </c>
      <c r="B2244" s="1" t="str">
        <f ca="1">IFERROR(__xludf.DUMMYFUNCTION("""COMPUTED_VALUE"""),"KZ.7700.02.01.00941164")</f>
        <v>KZ.7700.02.01.00941164</v>
      </c>
      <c r="C2244" s="1" t="str">
        <f ca="1">IFERROR(__xludf.DUMMYFUNCTION("""COMPUTED_VALUE"""),"Действительно до 28.01.2027")</f>
        <v>Действительно до 28.01.2027</v>
      </c>
      <c r="D2244" s="8" t="str">
        <f ca="1">IFERROR(__xludf.DUMMYFUNCTION("""COMPUTED_VALUE"""),"1122036KZ036")</f>
        <v>1122036KZ036</v>
      </c>
      <c r="E2244" s="1" t="str">
        <f ca="1">IFERROR(__xludf.DUMMYFUNCTION("""COMPUTED_VALUE"""),"годен до 28.11.2027")</f>
        <v>годен до 28.11.2027</v>
      </c>
      <c r="F2244" s="1" t="str">
        <f ca="1">IFERROR(__xludf.DUMMYFUNCTION("""COMPUTED_VALUE"""),"Корректор лечебно-профилактический (с 4 ребрами жесткости) эластичный 3011 - М - 1122036KZ036")</f>
        <v>Корректор лечебно-профилактический (с 4 ребрами жесткости) эластичный 3011 - М - 1122036KZ036</v>
      </c>
      <c r="G2244" s="1" t="str">
        <f ca="1">IFERROR(__xludf.DUMMYFUNCTION("""COMPUTED_VALUE"""),"KZ.7700.02.01.00941164 / Действительно до 28.01.2027 / 1122036KZ036 / годен до 28.11.2027")</f>
        <v>KZ.7700.02.01.00941164 / Действительно до 28.01.2027 / 1122036KZ036 / годен до 28.11.2027</v>
      </c>
      <c r="H2244" s="1" t="str">
        <f ca="1">IFERROR(__xludf.DUMMYFUNCTION("""COMPUTED_VALUE"""),"Корректор лечебно-профилактический (с 4 ребрами жесткости) эластичный 3011 - М KZ.7700.02.01.00941164 / Действительно до 28.01.2027 / 1122036KZ036 / годен до 28.11.2027")</f>
        <v>Корректор лечебно-профилактический (с 4 ребрами жесткости) эластичный 3011 - М KZ.7700.02.01.00941164 / Действительно до 28.01.2027 / 1122036KZ036 / годен до 28.11.2027</v>
      </c>
    </row>
    <row r="2245" spans="1:8" ht="12.75" x14ac:dyDescent="0.2">
      <c r="A2245" s="1" t="str">
        <f ca="1">IFERROR(__xludf.DUMMYFUNCTION("""COMPUTED_VALUE"""),"Корректор лечебно-профилактический (с 4 ребрами жесткости) эластичный 3011 - L")</f>
        <v>Корректор лечебно-профилактический (с 4 ребрами жесткости) эластичный 3011 - L</v>
      </c>
      <c r="B2245" s="1" t="str">
        <f ca="1">IFERROR(__xludf.DUMMYFUNCTION("""COMPUTED_VALUE"""),"KZ.7700.02.01.00941164")</f>
        <v>KZ.7700.02.01.00941164</v>
      </c>
      <c r="C2245" s="1" t="str">
        <f ca="1">IFERROR(__xludf.DUMMYFUNCTION("""COMPUTED_VALUE"""),"Действительно до 28.01.2027")</f>
        <v>Действительно до 28.01.2027</v>
      </c>
      <c r="D2245" s="8" t="str">
        <f ca="1">IFERROR(__xludf.DUMMYFUNCTION("""COMPUTED_VALUE"""),"1122036KZ036")</f>
        <v>1122036KZ036</v>
      </c>
      <c r="E2245" s="1" t="str">
        <f ca="1">IFERROR(__xludf.DUMMYFUNCTION("""COMPUTED_VALUE"""),"годен до 28.11.2027")</f>
        <v>годен до 28.11.2027</v>
      </c>
      <c r="F2245" s="1" t="str">
        <f ca="1">IFERROR(__xludf.DUMMYFUNCTION("""COMPUTED_VALUE"""),"Корректор лечебно-профилактический (с 4 ребрами жесткости) эластичный 3011 - L - 1122036KZ036")</f>
        <v>Корректор лечебно-профилактический (с 4 ребрами жесткости) эластичный 3011 - L - 1122036KZ036</v>
      </c>
      <c r="G2245" s="1" t="str">
        <f ca="1">IFERROR(__xludf.DUMMYFUNCTION("""COMPUTED_VALUE"""),"KZ.7700.02.01.00941164 / Действительно до 28.01.2027 / 1122036KZ036 / годен до 28.11.2027")</f>
        <v>KZ.7700.02.01.00941164 / Действительно до 28.01.2027 / 1122036KZ036 / годен до 28.11.2027</v>
      </c>
      <c r="H2245" s="1" t="str">
        <f ca="1">IFERROR(__xludf.DUMMYFUNCTION("""COMPUTED_VALUE"""),"Корректор лечебно-профилактический (с 4 ребрами жесткости) эластичный 3011 - L KZ.7700.02.01.00941164 / Действительно до 28.01.2027 / 1122036KZ036 / годен до 28.11.2027")</f>
        <v>Корректор лечебно-профилактический (с 4 ребрами жесткости) эластичный 3011 - L KZ.7700.02.01.00941164 / Действительно до 28.01.2027 / 1122036KZ036 / годен до 28.11.2027</v>
      </c>
    </row>
    <row r="2246" spans="1:8" ht="12.75" x14ac:dyDescent="0.2">
      <c r="A2246" s="1" t="str">
        <f ca="1">IFERROR(__xludf.DUMMYFUNCTION("""COMPUTED_VALUE"""),"Корректор лечебно-профилактический (с 4 ребрами жесткости) эластичный 3011- XL")</f>
        <v>Корректор лечебно-профилактический (с 4 ребрами жесткости) эластичный 3011- XL</v>
      </c>
      <c r="B2246" s="1" t="str">
        <f ca="1">IFERROR(__xludf.DUMMYFUNCTION("""COMPUTED_VALUE"""),"KZ.7700.02.01.00941164")</f>
        <v>KZ.7700.02.01.00941164</v>
      </c>
      <c r="C2246" s="1" t="str">
        <f ca="1">IFERROR(__xludf.DUMMYFUNCTION("""COMPUTED_VALUE"""),"Действительно до 28.01.2027")</f>
        <v>Действительно до 28.01.2027</v>
      </c>
      <c r="D2246" s="8" t="str">
        <f ca="1">IFERROR(__xludf.DUMMYFUNCTION("""COMPUTED_VALUE"""),"1122036KZ036")</f>
        <v>1122036KZ036</v>
      </c>
      <c r="E2246" s="1" t="str">
        <f ca="1">IFERROR(__xludf.DUMMYFUNCTION("""COMPUTED_VALUE"""),"годен до 28.11.2027")</f>
        <v>годен до 28.11.2027</v>
      </c>
      <c r="F2246" s="1" t="str">
        <f ca="1">IFERROR(__xludf.DUMMYFUNCTION("""COMPUTED_VALUE"""),"Корректор лечебно-профилактический (с 4 ребрами жесткости) эластичный 3011- XL - 1122036KZ036")</f>
        <v>Корректор лечебно-профилактический (с 4 ребрами жесткости) эластичный 3011- XL - 1122036KZ036</v>
      </c>
      <c r="G2246" s="1" t="str">
        <f ca="1">IFERROR(__xludf.DUMMYFUNCTION("""COMPUTED_VALUE"""),"KZ.7700.02.01.00941164 / Действительно до 28.01.2027 / 1122036KZ036 / годен до 28.11.2027")</f>
        <v>KZ.7700.02.01.00941164 / Действительно до 28.01.2027 / 1122036KZ036 / годен до 28.11.2027</v>
      </c>
      <c r="H2246" s="1" t="str">
        <f ca="1">IFERROR(__xludf.DUMMYFUNCTION("""COMPUTED_VALUE"""),"Корректор лечебно-профилактический (с 4 ребрами жесткости) эластичный 3011- XL KZ.7700.02.01.00941164 / Действительно до 28.01.2027 / 1122036KZ036 / годен до 28.11.2027")</f>
        <v>Корректор лечебно-профилактический (с 4 ребрами жесткости) эластичный 3011- XL KZ.7700.02.01.00941164 / Действительно до 28.01.2027 / 1122036KZ036 / годен до 28.11.2027</v>
      </c>
    </row>
    <row r="2247" spans="1:8" ht="12.75" x14ac:dyDescent="0.2">
      <c r="A2247" s="1" t="str">
        <f ca="1">IFERROR(__xludf.DUMMYFUNCTION("""COMPUTED_VALUE"""),"Корректор лечебно-профилактический (с 4 ребрами жесткости) эластичный 3011- XXL")</f>
        <v>Корректор лечебно-профилактический (с 4 ребрами жесткости) эластичный 3011- XXL</v>
      </c>
      <c r="B2247" s="1" t="str">
        <f ca="1">IFERROR(__xludf.DUMMYFUNCTION("""COMPUTED_VALUE"""),"KZ.7700.02.01.00941164")</f>
        <v>KZ.7700.02.01.00941164</v>
      </c>
      <c r="C2247" s="1" t="str">
        <f ca="1">IFERROR(__xludf.DUMMYFUNCTION("""COMPUTED_VALUE"""),"Действительно до 28.01.2027")</f>
        <v>Действительно до 28.01.2027</v>
      </c>
      <c r="D2247" s="8" t="str">
        <f ca="1">IFERROR(__xludf.DUMMYFUNCTION("""COMPUTED_VALUE"""),"1122036KZ036")</f>
        <v>1122036KZ036</v>
      </c>
      <c r="E2247" s="1" t="str">
        <f ca="1">IFERROR(__xludf.DUMMYFUNCTION("""COMPUTED_VALUE"""),"годен до 28.11.2027")</f>
        <v>годен до 28.11.2027</v>
      </c>
      <c r="F2247" s="1" t="str">
        <f ca="1">IFERROR(__xludf.DUMMYFUNCTION("""COMPUTED_VALUE"""),"Корректор лечебно-профилактический (с 4 ребрами жесткости) эластичный 3011- XXL - 1122036KZ036")</f>
        <v>Корректор лечебно-профилактический (с 4 ребрами жесткости) эластичный 3011- XXL - 1122036KZ036</v>
      </c>
      <c r="G2247" s="1" t="str">
        <f ca="1">IFERROR(__xludf.DUMMYFUNCTION("""COMPUTED_VALUE"""),"KZ.7700.02.01.00941164 / Действительно до 28.01.2027 / 1122036KZ036 / годен до 28.11.2027")</f>
        <v>KZ.7700.02.01.00941164 / Действительно до 28.01.2027 / 1122036KZ036 / годен до 28.11.2027</v>
      </c>
      <c r="H2247" s="1" t="str">
        <f ca="1">IFERROR(__xludf.DUMMYFUNCTION("""COMPUTED_VALUE"""),"Корректор лечебно-профилактический (с 4 ребрами жесткости) эластичный 3011- XXL KZ.7700.02.01.00941164 / Действительно до 28.01.2027 / 1122036KZ036 / годен до 28.11.2027")</f>
        <v>Корректор лечебно-профилактический (с 4 ребрами жесткости) эластичный 3011- XXL KZ.7700.02.01.00941164 / Действительно до 28.01.2027 / 1122036KZ036 / годен до 28.11.2027</v>
      </c>
    </row>
    <row r="2248" spans="1:8" ht="12.75" x14ac:dyDescent="0.2">
      <c r="A2248" s="1" t="str">
        <f ca="1">IFERROR(__xludf.DUMMYFUNCTION("""COMPUTED_VALUE"""),"Корректор лечебно-профилактический (с 4 ребрами жесткости) эластичный 3011- XXXL")</f>
        <v>Корректор лечебно-профилактический (с 4 ребрами жесткости) эластичный 3011- XXXL</v>
      </c>
      <c r="B2248" s="1" t="str">
        <f ca="1">IFERROR(__xludf.DUMMYFUNCTION("""COMPUTED_VALUE"""),"KZ.7700.02.01.00941164")</f>
        <v>KZ.7700.02.01.00941164</v>
      </c>
      <c r="C2248" s="1" t="str">
        <f ca="1">IFERROR(__xludf.DUMMYFUNCTION("""COMPUTED_VALUE"""),"Действительно до 28.01.2027")</f>
        <v>Действительно до 28.01.2027</v>
      </c>
      <c r="D2248" s="8" t="str">
        <f ca="1">IFERROR(__xludf.DUMMYFUNCTION("""COMPUTED_VALUE"""),"1122036KZ036")</f>
        <v>1122036KZ036</v>
      </c>
      <c r="E2248" s="1" t="str">
        <f ca="1">IFERROR(__xludf.DUMMYFUNCTION("""COMPUTED_VALUE"""),"годен до 28.11.2027")</f>
        <v>годен до 28.11.2027</v>
      </c>
      <c r="F2248" s="1" t="str">
        <f ca="1">IFERROR(__xludf.DUMMYFUNCTION("""COMPUTED_VALUE"""),"Корректор лечебно-профилактический (с 4 ребрами жесткости) эластичный 3011- XXXL - 1122036KZ036")</f>
        <v>Корректор лечебно-профилактический (с 4 ребрами жесткости) эластичный 3011- XXXL - 1122036KZ036</v>
      </c>
      <c r="G2248" s="1" t="str">
        <f ca="1">IFERROR(__xludf.DUMMYFUNCTION("""COMPUTED_VALUE"""),"KZ.7700.02.01.00941164 / Действительно до 28.01.2027 / 1122036KZ036 / годен до 28.11.2027")</f>
        <v>KZ.7700.02.01.00941164 / Действительно до 28.01.2027 / 1122036KZ036 / годен до 28.11.2027</v>
      </c>
      <c r="H2248" s="1" t="str">
        <f ca="1">IFERROR(__xludf.DUMMYFUNCTION("""COMPUTED_VALUE"""),"Корректор лечебно-профилактический (с 4 ребрами жесткости) эластичный 3011- XXXL KZ.7700.02.01.00941164 / Действительно до 28.01.2027 / 1122036KZ036 / годен до 28.11.2027")</f>
        <v>Корректор лечебно-профилактический (с 4 ребрами жесткости) эластичный 3011- XXXL KZ.7700.02.01.00941164 / Действительно до 28.01.2027 / 1122036KZ036 / годен до 28.11.2027</v>
      </c>
    </row>
    <row r="2249" spans="1:8" ht="12.75" x14ac:dyDescent="0.2">
      <c r="A2249" s="1" t="str">
        <f ca="1">IFERROR(__xludf.DUMMYFUNCTION("""COMPUTED_VALUE"""),"Корсет ортопедический с ребрами жесткости согревающий 3041 XL/XXL (Болгария)")</f>
        <v>Корсет ортопедический с ребрами жесткости согревающий 3041 XL/XXL (Болгария)</v>
      </c>
      <c r="B2249" s="1" t="str">
        <f ca="1">IFERROR(__xludf.DUMMYFUNCTION("""COMPUTED_VALUE"""),"KZ.7700.02.01.00941174")</f>
        <v>KZ.7700.02.01.00941174</v>
      </c>
      <c r="C2249" s="1" t="str">
        <f ca="1">IFERROR(__xludf.DUMMYFUNCTION("""COMPUTED_VALUE"""),"Действительно до 28.01.2027")</f>
        <v>Действительно до 28.01.2027</v>
      </c>
      <c r="D2249" s="8" t="str">
        <f ca="1">IFERROR(__xludf.DUMMYFUNCTION("""COMPUTED_VALUE"""),"1122036KZ036")</f>
        <v>1122036KZ036</v>
      </c>
      <c r="E2249" s="1" t="str">
        <f ca="1">IFERROR(__xludf.DUMMYFUNCTION("""COMPUTED_VALUE"""),"годен до 28.11.2027")</f>
        <v>годен до 28.11.2027</v>
      </c>
      <c r="F2249" s="1" t="str">
        <f ca="1">IFERROR(__xludf.DUMMYFUNCTION("""COMPUTED_VALUE"""),"Корсет ортопедический с ребрами жесткости согревающий 3041 XL/XXL (Болгария) - 1122036KZ036")</f>
        <v>Корсет ортопедический с ребрами жесткости согревающий 3041 XL/XXL (Болгария) - 1122036KZ036</v>
      </c>
      <c r="G2249" s="1" t="str">
        <f ca="1">IFERROR(__xludf.DUMMYFUNCTION("""COMPUTED_VALUE"""),"KZ.7700.02.01.00941174 / Действительно до 28.01.2027 / 1122036KZ036 / годен до 28.11.2027")</f>
        <v>KZ.7700.02.01.00941174 / Действительно до 28.01.2027 / 1122036KZ036 / годен до 28.11.2027</v>
      </c>
      <c r="H2249" s="1" t="str">
        <f ca="1">IFERROR(__xludf.DUMMYFUNCTION("""COMPUTED_VALUE"""),"Корсет ортопедический с ребрами жесткости согревающий 3041 XL/XXL (Болгария) KZ.7700.02.01.00941174 / Действительно до 28.01.2027 / 1122036KZ036 / годен до 28.11.2027")</f>
        <v>Корсет ортопедический с ребрами жесткости согревающий 3041 XL/XXL (Болгария) KZ.7700.02.01.00941174 / Действительно до 28.01.2027 / 1122036KZ036 / годен до 28.11.2027</v>
      </c>
    </row>
    <row r="2250" spans="1:8" ht="12.75" x14ac:dyDescent="0.2">
      <c r="A2250" s="1" t="str">
        <f ca="1">IFERROR(__xludf.DUMMYFUNCTION("""COMPUTED_VALUE"""),"Корсет ортопедический с ребрами жесткости согревающий 3041 XXXL/XXXXL (Болгария)")</f>
        <v>Корсет ортопедический с ребрами жесткости согревающий 3041 XXXL/XXXXL (Болгария)</v>
      </c>
      <c r="B2250" s="1" t="str">
        <f ca="1">IFERROR(__xludf.DUMMYFUNCTION("""COMPUTED_VALUE"""),"KZ.7700.02.01.00941174")</f>
        <v>KZ.7700.02.01.00941174</v>
      </c>
      <c r="C2250" s="1" t="str">
        <f ca="1">IFERROR(__xludf.DUMMYFUNCTION("""COMPUTED_VALUE"""),"Действительно до 28.01.2027")</f>
        <v>Действительно до 28.01.2027</v>
      </c>
      <c r="D2250" s="8" t="str">
        <f ca="1">IFERROR(__xludf.DUMMYFUNCTION("""COMPUTED_VALUE"""),"1122036KZ036")</f>
        <v>1122036KZ036</v>
      </c>
      <c r="E2250" s="1" t="str">
        <f ca="1">IFERROR(__xludf.DUMMYFUNCTION("""COMPUTED_VALUE"""),"годен до 28.11.2027")</f>
        <v>годен до 28.11.2027</v>
      </c>
      <c r="F2250" s="1" t="str">
        <f ca="1">IFERROR(__xludf.DUMMYFUNCTION("""COMPUTED_VALUE"""),"Корсет ортопедический с ребрами жесткости согревающий 3041 XXXL/XXXXL (Болгария) - 1122036KZ036")</f>
        <v>Корсет ортопедический с ребрами жесткости согревающий 3041 XXXL/XXXXL (Болгария) - 1122036KZ036</v>
      </c>
      <c r="G2250" s="1" t="str">
        <f ca="1">IFERROR(__xludf.DUMMYFUNCTION("""COMPUTED_VALUE"""),"KZ.7700.02.01.00941174 / Действительно до 28.01.2027 / 1122036KZ036 / годен до 28.11.2027")</f>
        <v>KZ.7700.02.01.00941174 / Действительно до 28.01.2027 / 1122036KZ036 / годен до 28.11.2027</v>
      </c>
      <c r="H2250" s="1" t="str">
        <f ca="1">IFERROR(__xludf.DUMMYFUNCTION("""COMPUTED_VALUE"""),"Корсет ортопедический с ребрами жесткости согревающий 3041 XXXL/XXXXL (Болгария) KZ.7700.02.01.00941174 / Действительно до 28.01.2027 / 1122036KZ036 / годен до 28.11.2027")</f>
        <v>Корсет ортопедический с ребрами жесткости согревающий 3041 XXXL/XXXXL (Болгария) KZ.7700.02.01.00941174 / Действительно до 28.01.2027 / 1122036KZ036 / годен до 28.11.2027</v>
      </c>
    </row>
    <row r="2251" spans="1:8" ht="12.75" x14ac:dyDescent="0.2">
      <c r="A2251" s="1" t="str">
        <f ca="1">IFERROR(__xludf.DUMMYFUNCTION("""COMPUTED_VALUE"""),"Бандаж лечебно–профилактический (с тремя ребрами жесткости) 4001 L (Болгария)")</f>
        <v>Бандаж лечебно–профилактический (с тремя ребрами жесткости) 4001 L (Болгария)</v>
      </c>
      <c r="B2251" s="1" t="str">
        <f ca="1">IFERROR(__xludf.DUMMYFUNCTION("""COMPUTED_VALUE"""),"KZ.7700.02.01.00941205")</f>
        <v>KZ.7700.02.01.00941205</v>
      </c>
      <c r="C2251" s="1" t="str">
        <f ca="1">IFERROR(__xludf.DUMMYFUNCTION("""COMPUTED_VALUE"""),"Действительно до 28.01.2027")</f>
        <v>Действительно до 28.01.2027</v>
      </c>
      <c r="D2251" s="8" t="str">
        <f ca="1">IFERROR(__xludf.DUMMYFUNCTION("""COMPUTED_VALUE"""),"1122036KZ036")</f>
        <v>1122036KZ036</v>
      </c>
      <c r="E2251" s="1" t="str">
        <f ca="1">IFERROR(__xludf.DUMMYFUNCTION("""COMPUTED_VALUE"""),"годен до 28.11.2027")</f>
        <v>годен до 28.11.2027</v>
      </c>
      <c r="F2251" s="1" t="str">
        <f ca="1">IFERROR(__xludf.DUMMYFUNCTION("""COMPUTED_VALUE"""),"Бандаж лечебно–профилактический (с тремя ребрами жесткости) 4001 L (Болгария) - 1122036KZ036")</f>
        <v>Бандаж лечебно–профилактический (с тремя ребрами жесткости) 4001 L (Болгария) - 1122036KZ036</v>
      </c>
      <c r="G2251" s="1" t="str">
        <f ca="1">IFERROR(__xludf.DUMMYFUNCTION("""COMPUTED_VALUE"""),"KZ.7700.02.01.00941205 / Действительно до 28.01.2027 / 1122036KZ036 / годен до 28.11.2027")</f>
        <v>KZ.7700.02.01.00941205 / Действительно до 28.01.2027 / 1122036KZ036 / годен до 28.11.2027</v>
      </c>
      <c r="H2251" s="1" t="str">
        <f ca="1">IFERROR(__xludf.DUMMYFUNCTION("""COMPUTED_VALUE"""),"Бандаж лечебно–профилактический (с тремя ребрами жесткости) 4001 L (Болгария) KZ.7700.02.01.00941205 / Действительно до 28.01.2027 / 1122036KZ036 / годен до 28.11.2027")</f>
        <v>Бандаж лечебно–профилактический (с тремя ребрами жесткости) 4001 L (Болгария) KZ.7700.02.01.00941205 / Действительно до 28.01.2027 / 1122036KZ036 / годен до 28.11.2027</v>
      </c>
    </row>
    <row r="2252" spans="1:8" ht="12.75" x14ac:dyDescent="0.2">
      <c r="A2252" s="1" t="str">
        <f ca="1">IFERROR(__xludf.DUMMYFUNCTION("""COMPUTED_VALUE"""),"Бандаж лечебно–профилактический (с тремя ребрами жесткости) 4001 XL (Болгария)")</f>
        <v>Бандаж лечебно–профилактический (с тремя ребрами жесткости) 4001 XL (Болгария)</v>
      </c>
      <c r="B2252" s="1" t="str">
        <f ca="1">IFERROR(__xludf.DUMMYFUNCTION("""COMPUTED_VALUE"""),"KZ.7700.02.01.00941205")</f>
        <v>KZ.7700.02.01.00941205</v>
      </c>
      <c r="C2252" s="1" t="str">
        <f ca="1">IFERROR(__xludf.DUMMYFUNCTION("""COMPUTED_VALUE"""),"Действительно до 28.01.2027")</f>
        <v>Действительно до 28.01.2027</v>
      </c>
      <c r="D2252" s="8" t="str">
        <f ca="1">IFERROR(__xludf.DUMMYFUNCTION("""COMPUTED_VALUE"""),"1122036KZ036")</f>
        <v>1122036KZ036</v>
      </c>
      <c r="E2252" s="1" t="str">
        <f ca="1">IFERROR(__xludf.DUMMYFUNCTION("""COMPUTED_VALUE"""),"годен до 28.11.2027")</f>
        <v>годен до 28.11.2027</v>
      </c>
      <c r="F2252" s="1" t="str">
        <f ca="1">IFERROR(__xludf.DUMMYFUNCTION("""COMPUTED_VALUE"""),"Бандаж лечебно–профилактический (с тремя ребрами жесткости) 4001 XL (Болгария) - 1122036KZ036")</f>
        <v>Бандаж лечебно–профилактический (с тремя ребрами жесткости) 4001 XL (Болгария) - 1122036KZ036</v>
      </c>
      <c r="G2252" s="1" t="str">
        <f ca="1">IFERROR(__xludf.DUMMYFUNCTION("""COMPUTED_VALUE"""),"KZ.7700.02.01.00941205 / Действительно до 28.01.2027 / 1122036KZ036 / годен до 28.11.2027")</f>
        <v>KZ.7700.02.01.00941205 / Действительно до 28.01.2027 / 1122036KZ036 / годен до 28.11.2027</v>
      </c>
      <c r="H2252" s="1" t="str">
        <f ca="1">IFERROR(__xludf.DUMMYFUNCTION("""COMPUTED_VALUE"""),"Бандаж лечебно–профилактический (с тремя ребрами жесткости) 4001 XL (Болгария) KZ.7700.02.01.00941205 / Действительно до 28.01.2027 / 1122036KZ036 / годен до 28.11.2027")</f>
        <v>Бандаж лечебно–профилактический (с тремя ребрами жесткости) 4001 XL (Болгария) KZ.7700.02.01.00941205 / Действительно до 28.01.2027 / 1122036KZ036 / годен до 28.11.2027</v>
      </c>
    </row>
    <row r="2253" spans="1:8" ht="12.75" x14ac:dyDescent="0.2">
      <c r="A2253" s="1" t="str">
        <f ca="1">IFERROR(__xludf.DUMMYFUNCTION("""COMPUTED_VALUE"""),"Бандаж лечебно–профилактический (с тремя ребрами жесткости) 4001 XXL (Болгария)")</f>
        <v>Бандаж лечебно–профилактический (с тремя ребрами жесткости) 4001 XXL (Болгария)</v>
      </c>
      <c r="B2253" s="1" t="str">
        <f ca="1">IFERROR(__xludf.DUMMYFUNCTION("""COMPUTED_VALUE"""),"KZ.7700.02.01.00941205")</f>
        <v>KZ.7700.02.01.00941205</v>
      </c>
      <c r="C2253" s="1" t="str">
        <f ca="1">IFERROR(__xludf.DUMMYFUNCTION("""COMPUTED_VALUE"""),"Действительно до 28.01.2027")</f>
        <v>Действительно до 28.01.2027</v>
      </c>
      <c r="D2253" s="8" t="str">
        <f ca="1">IFERROR(__xludf.DUMMYFUNCTION("""COMPUTED_VALUE"""),"1122036KZ036")</f>
        <v>1122036KZ036</v>
      </c>
      <c r="E2253" s="1" t="str">
        <f ca="1">IFERROR(__xludf.DUMMYFUNCTION("""COMPUTED_VALUE"""),"годен до 28.11.2027")</f>
        <v>годен до 28.11.2027</v>
      </c>
      <c r="F2253" s="1" t="str">
        <f ca="1">IFERROR(__xludf.DUMMYFUNCTION("""COMPUTED_VALUE"""),"Бандаж лечебно–профилактический (с тремя ребрами жесткости) 4001 XXL (Болгария) - 1122036KZ036")</f>
        <v>Бандаж лечебно–профилактический (с тремя ребрами жесткости) 4001 XXL (Болгария) - 1122036KZ036</v>
      </c>
      <c r="G2253" s="1" t="str">
        <f ca="1">IFERROR(__xludf.DUMMYFUNCTION("""COMPUTED_VALUE"""),"KZ.7700.02.01.00941205 / Действительно до 28.01.2027 / 1122036KZ036 / годен до 28.11.2027")</f>
        <v>KZ.7700.02.01.00941205 / Действительно до 28.01.2027 / 1122036KZ036 / годен до 28.11.2027</v>
      </c>
      <c r="H2253" s="1" t="str">
        <f ca="1">IFERROR(__xludf.DUMMYFUNCTION("""COMPUTED_VALUE"""),"Бандаж лечебно–профилактический (с тремя ребрами жесткости) 4001 XXL (Болгария) KZ.7700.02.01.00941205 / Действительно до 28.01.2027 / 1122036KZ036 / годен до 28.11.2027")</f>
        <v>Бандаж лечебно–профилактический (с тремя ребрами жесткости) 4001 XXL (Болгария) KZ.7700.02.01.00941205 / Действительно до 28.01.2027 / 1122036KZ036 / годен до 28.11.2027</v>
      </c>
    </row>
    <row r="2254" spans="1:8" ht="12.75" x14ac:dyDescent="0.2">
      <c r="A2254" s="1" t="str">
        <f ca="1">IFERROR(__xludf.DUMMYFUNCTION("""COMPUTED_VALUE"""),"Бандаж лечебно–профилактический (с тремя ребрами жесткости) 4001 XXXL(Болгария)")</f>
        <v>Бандаж лечебно–профилактический (с тремя ребрами жесткости) 4001 XXXL(Болгария)</v>
      </c>
      <c r="B2254" s="1" t="str">
        <f ca="1">IFERROR(__xludf.DUMMYFUNCTION("""COMPUTED_VALUE"""),"KZ.7700.02.01.00941205")</f>
        <v>KZ.7700.02.01.00941205</v>
      </c>
      <c r="C2254" s="1" t="str">
        <f ca="1">IFERROR(__xludf.DUMMYFUNCTION("""COMPUTED_VALUE"""),"Действительно до 28.01.2027")</f>
        <v>Действительно до 28.01.2027</v>
      </c>
      <c r="D2254" s="8" t="str">
        <f ca="1">IFERROR(__xludf.DUMMYFUNCTION("""COMPUTED_VALUE"""),"1122036KZ036")</f>
        <v>1122036KZ036</v>
      </c>
      <c r="E2254" s="1" t="str">
        <f ca="1">IFERROR(__xludf.DUMMYFUNCTION("""COMPUTED_VALUE"""),"годен до 28.11.2027")</f>
        <v>годен до 28.11.2027</v>
      </c>
      <c r="F2254" s="1" t="str">
        <f ca="1">IFERROR(__xludf.DUMMYFUNCTION("""COMPUTED_VALUE"""),"Бандаж лечебно–профилактический (с тремя ребрами жесткости) 4001 XXXL(Болгария) - 1122036KZ036")</f>
        <v>Бандаж лечебно–профилактический (с тремя ребрами жесткости) 4001 XXXL(Болгария) - 1122036KZ036</v>
      </c>
      <c r="G2254" s="1" t="str">
        <f ca="1">IFERROR(__xludf.DUMMYFUNCTION("""COMPUTED_VALUE"""),"KZ.7700.02.01.00941205 / Действительно до 28.01.2027 / 1122036KZ036 / годен до 28.11.2027")</f>
        <v>KZ.7700.02.01.00941205 / Действительно до 28.01.2027 / 1122036KZ036 / годен до 28.11.2027</v>
      </c>
      <c r="H2254" s="1" t="str">
        <f ca="1">IFERROR(__xludf.DUMMYFUNCTION("""COMPUTED_VALUE"""),"Бандаж лечебно–профилактический (с тремя ребрами жесткости) 4001 XXXL(Болгария) KZ.7700.02.01.00941205 / Действительно до 28.01.2027 / 1122036KZ036 / годен до 28.11.2027")</f>
        <v>Бандаж лечебно–профилактический (с тремя ребрами жесткости) 4001 XXXL(Болгария) KZ.7700.02.01.00941205 / Действительно до 28.01.2027 / 1122036KZ036 / годен до 28.11.2027</v>
      </c>
    </row>
    <row r="2255" spans="1:8" ht="12.75" x14ac:dyDescent="0.2">
      <c r="A2255" s="1" t="str">
        <f ca="1">IFERROR(__xludf.DUMMYFUNCTION("""COMPUTED_VALUE"""),"Бандаж лечебно–профилактический (с тремя ребрами жесткости) 4001 XXXXL(Болгария)")</f>
        <v>Бандаж лечебно–профилактический (с тремя ребрами жесткости) 4001 XXXXL(Болгария)</v>
      </c>
      <c r="B2255" s="1" t="str">
        <f ca="1">IFERROR(__xludf.DUMMYFUNCTION("""COMPUTED_VALUE"""),"KZ.7700.02.01.00941205")</f>
        <v>KZ.7700.02.01.00941205</v>
      </c>
      <c r="C2255" s="1" t="str">
        <f ca="1">IFERROR(__xludf.DUMMYFUNCTION("""COMPUTED_VALUE"""),"Действительно до 28.01.2027")</f>
        <v>Действительно до 28.01.2027</v>
      </c>
      <c r="D2255" s="8" t="str">
        <f ca="1">IFERROR(__xludf.DUMMYFUNCTION("""COMPUTED_VALUE"""),"1122036KZ036")</f>
        <v>1122036KZ036</v>
      </c>
      <c r="E2255" s="1" t="str">
        <f ca="1">IFERROR(__xludf.DUMMYFUNCTION("""COMPUTED_VALUE"""),"годен до 28.11.2027")</f>
        <v>годен до 28.11.2027</v>
      </c>
      <c r="F2255" s="1" t="str">
        <f ca="1">IFERROR(__xludf.DUMMYFUNCTION("""COMPUTED_VALUE"""),"Бандаж лечебно–профилактический (с тремя ребрами жесткости) 4001 XXXXL(Болгария) - 1122036KZ036")</f>
        <v>Бандаж лечебно–профилактический (с тремя ребрами жесткости) 4001 XXXXL(Болгария) - 1122036KZ036</v>
      </c>
      <c r="G2255" s="1" t="str">
        <f ca="1">IFERROR(__xludf.DUMMYFUNCTION("""COMPUTED_VALUE"""),"KZ.7700.02.01.00941205 / Действительно до 28.01.2027 / 1122036KZ036 / годен до 28.11.2027")</f>
        <v>KZ.7700.02.01.00941205 / Действительно до 28.01.2027 / 1122036KZ036 / годен до 28.11.2027</v>
      </c>
      <c r="H2255" s="1" t="str">
        <f ca="1">IFERROR(__xludf.DUMMYFUNCTION("""COMPUTED_VALUE"""),"Бандаж лечебно–профилактический (с тремя ребрами жесткости) 4001 XXXXL(Болгария) KZ.7700.02.01.00941205 / Действительно до 28.01.2027 / 1122036KZ036 / годен до 28.11.2027")</f>
        <v>Бандаж лечебно–профилактический (с тремя ребрами жесткости) 4001 XXXXL(Болгария) KZ.7700.02.01.00941205 / Действительно до 28.01.2027 / 1122036KZ036 / годен до 28.11.2027</v>
      </c>
    </row>
    <row r="2256" spans="1:8" ht="12.75" x14ac:dyDescent="0.2">
      <c r="A2256" s="1" t="str">
        <f ca="1">IFERROR(__xludf.DUMMYFUNCTION("""COMPUTED_VALUE"""),"Бандаж лечебно–профилактический эластичный 4002 XXXXL (Болгария)")</f>
        <v>Бандаж лечебно–профилактический эластичный 4002 XXXXL (Болгария)</v>
      </c>
      <c r="B2256" s="1" t="str">
        <f ca="1">IFERROR(__xludf.DUMMYFUNCTION("""COMPUTED_VALUE"""),"KZ.7700.02.01.00941211")</f>
        <v>KZ.7700.02.01.00941211</v>
      </c>
      <c r="C2256" s="1" t="str">
        <f ca="1">IFERROR(__xludf.DUMMYFUNCTION("""COMPUTED_VALUE"""),"Действительно до 28.01.2027")</f>
        <v>Действительно до 28.01.2027</v>
      </c>
      <c r="D2256" s="8" t="str">
        <f ca="1">IFERROR(__xludf.DUMMYFUNCTION("""COMPUTED_VALUE"""),"1122036KZ036")</f>
        <v>1122036KZ036</v>
      </c>
      <c r="E2256" s="1" t="str">
        <f ca="1">IFERROR(__xludf.DUMMYFUNCTION("""COMPUTED_VALUE"""),"годен до 28.11.2027")</f>
        <v>годен до 28.11.2027</v>
      </c>
      <c r="F2256" s="1" t="str">
        <f ca="1">IFERROR(__xludf.DUMMYFUNCTION("""COMPUTED_VALUE"""),"Бандаж лечебно–профилактический эластичный 4002 XXXXL (Болгария) - 1122036KZ036")</f>
        <v>Бандаж лечебно–профилактический эластичный 4002 XXXXL (Болгария) - 1122036KZ036</v>
      </c>
      <c r="G2256" s="1" t="str">
        <f ca="1">IFERROR(__xludf.DUMMYFUNCTION("""COMPUTED_VALUE"""),"KZ.7700.02.01.00941211 / Действительно до 28.01.2027 / 1122036KZ036 / годен до 28.11.2027")</f>
        <v>KZ.7700.02.01.00941211 / Действительно до 28.01.2027 / 1122036KZ036 / годен до 28.11.2027</v>
      </c>
      <c r="H2256" s="1" t="str">
        <f ca="1">IFERROR(__xludf.DUMMYFUNCTION("""COMPUTED_VALUE"""),"Бандаж лечебно–профилактический эластичный 4002 XXXXL (Болгария) KZ.7700.02.01.00941211 / Действительно до 28.01.2027 / 1122036KZ036 / годен до 28.11.2027")</f>
        <v>Бандаж лечебно–профилактический эластичный 4002 XXXXL (Болгария) KZ.7700.02.01.00941211 / Действительно до 28.01.2027 / 1122036KZ036 / годен до 28.11.2027</v>
      </c>
    </row>
    <row r="2257" spans="1:8" ht="12.75" x14ac:dyDescent="0.2">
      <c r="A2257" s="1" t="str">
        <f ca="1">IFERROR(__xludf.DUMMYFUNCTION("""COMPUTED_VALUE"""),"Бандаж лечебно–профилактический эластичный 4002 M (Болгария)")</f>
        <v>Бандаж лечебно–профилактический эластичный 4002 M (Болгария)</v>
      </c>
      <c r="B2257" s="1" t="str">
        <f ca="1">IFERROR(__xludf.DUMMYFUNCTION("""COMPUTED_VALUE"""),"KZ.7700.02.01.00941211")</f>
        <v>KZ.7700.02.01.00941211</v>
      </c>
      <c r="C2257" s="1" t="str">
        <f ca="1">IFERROR(__xludf.DUMMYFUNCTION("""COMPUTED_VALUE"""),"Действительно до 28.01.2027")</f>
        <v>Действительно до 28.01.2027</v>
      </c>
      <c r="D2257" s="8" t="str">
        <f ca="1">IFERROR(__xludf.DUMMYFUNCTION("""COMPUTED_VALUE"""),"1122036KZ036")</f>
        <v>1122036KZ036</v>
      </c>
      <c r="E2257" s="1" t="str">
        <f ca="1">IFERROR(__xludf.DUMMYFUNCTION("""COMPUTED_VALUE"""),"годен до 28.11.2027")</f>
        <v>годен до 28.11.2027</v>
      </c>
      <c r="F2257" s="1" t="str">
        <f ca="1">IFERROR(__xludf.DUMMYFUNCTION("""COMPUTED_VALUE"""),"Бандаж лечебно–профилактический эластичный 4002 M (Болгария) - 1122036KZ036")</f>
        <v>Бандаж лечебно–профилактический эластичный 4002 M (Болгария) - 1122036KZ036</v>
      </c>
      <c r="G2257" s="1" t="str">
        <f ca="1">IFERROR(__xludf.DUMMYFUNCTION("""COMPUTED_VALUE"""),"KZ.7700.02.01.00941211 / Действительно до 28.01.2027 / 1122036KZ036 / годен до 28.11.2027")</f>
        <v>KZ.7700.02.01.00941211 / Действительно до 28.01.2027 / 1122036KZ036 / годен до 28.11.2027</v>
      </c>
      <c r="H2257" s="1" t="str">
        <f ca="1">IFERROR(__xludf.DUMMYFUNCTION("""COMPUTED_VALUE"""),"Бандаж лечебно–профилактический эластичный 4002 M (Болгария) KZ.7700.02.01.00941211 / Действительно до 28.01.2027 / 1122036KZ036 / годен до 28.11.2027")</f>
        <v>Бандаж лечебно–профилактический эластичный 4002 M (Болгария) KZ.7700.02.01.00941211 / Действительно до 28.01.2027 / 1122036KZ036 / годен до 28.11.2027</v>
      </c>
    </row>
    <row r="2258" spans="1:8" ht="12.75" x14ac:dyDescent="0.2">
      <c r="A2258" s="1" t="str">
        <f ca="1">IFERROR(__xludf.DUMMYFUNCTION("""COMPUTED_VALUE"""),"Бандаж лечебно–профилактический эластичный 4002 XL (Болгария)")</f>
        <v>Бандаж лечебно–профилактический эластичный 4002 XL (Болгария)</v>
      </c>
      <c r="B2258" s="1" t="str">
        <f ca="1">IFERROR(__xludf.DUMMYFUNCTION("""COMPUTED_VALUE"""),"KZ.7700.02.01.00941211")</f>
        <v>KZ.7700.02.01.00941211</v>
      </c>
      <c r="C2258" s="1" t="str">
        <f ca="1">IFERROR(__xludf.DUMMYFUNCTION("""COMPUTED_VALUE"""),"Действительно до 28.01.2027")</f>
        <v>Действительно до 28.01.2027</v>
      </c>
      <c r="D2258" s="8" t="str">
        <f ca="1">IFERROR(__xludf.DUMMYFUNCTION("""COMPUTED_VALUE"""),"1122036KZ036")</f>
        <v>1122036KZ036</v>
      </c>
      <c r="E2258" s="1" t="str">
        <f ca="1">IFERROR(__xludf.DUMMYFUNCTION("""COMPUTED_VALUE"""),"годен до 28.11.2027")</f>
        <v>годен до 28.11.2027</v>
      </c>
      <c r="F2258" s="1" t="str">
        <f ca="1">IFERROR(__xludf.DUMMYFUNCTION("""COMPUTED_VALUE"""),"Бандаж лечебно–профилактический эластичный 4002 XL (Болгария) - 1122036KZ036")</f>
        <v>Бандаж лечебно–профилактический эластичный 4002 XL (Болгария) - 1122036KZ036</v>
      </c>
      <c r="G2258" s="1" t="str">
        <f ca="1">IFERROR(__xludf.DUMMYFUNCTION("""COMPUTED_VALUE"""),"KZ.7700.02.01.00941211 / Действительно до 28.01.2027 / 1122036KZ036 / годен до 28.11.2027")</f>
        <v>KZ.7700.02.01.00941211 / Действительно до 28.01.2027 / 1122036KZ036 / годен до 28.11.2027</v>
      </c>
      <c r="H2258" s="1" t="str">
        <f ca="1">IFERROR(__xludf.DUMMYFUNCTION("""COMPUTED_VALUE"""),"Бандаж лечебно–профилактический эластичный 4002 XL (Болгария) KZ.7700.02.01.00941211 / Действительно до 28.01.2027 / 1122036KZ036 / годен до 28.11.2027")</f>
        <v>Бандаж лечебно–профилактический эластичный 4002 XL (Болгария) KZ.7700.02.01.00941211 / Действительно до 28.01.2027 / 1122036KZ036 / годен до 28.11.2027</v>
      </c>
    </row>
    <row r="2259" spans="1:8" ht="12.75" x14ac:dyDescent="0.2">
      <c r="A2259" s="1" t="str">
        <f ca="1">IFERROR(__xludf.DUMMYFUNCTION("""COMPUTED_VALUE"""),"Бандаж лечебно–профилактический эластичный 4002 XXL (Болгария)")</f>
        <v>Бандаж лечебно–профилактический эластичный 4002 XXL (Болгария)</v>
      </c>
      <c r="B2259" s="1" t="str">
        <f ca="1">IFERROR(__xludf.DUMMYFUNCTION("""COMPUTED_VALUE"""),"KZ.7700.02.01.00941211")</f>
        <v>KZ.7700.02.01.00941211</v>
      </c>
      <c r="C2259" s="1" t="str">
        <f ca="1">IFERROR(__xludf.DUMMYFUNCTION("""COMPUTED_VALUE"""),"Действительно до 28.01.2027")</f>
        <v>Действительно до 28.01.2027</v>
      </c>
      <c r="D2259" s="8" t="str">
        <f ca="1">IFERROR(__xludf.DUMMYFUNCTION("""COMPUTED_VALUE"""),"1122036KZ036")</f>
        <v>1122036KZ036</v>
      </c>
      <c r="E2259" s="1" t="str">
        <f ca="1">IFERROR(__xludf.DUMMYFUNCTION("""COMPUTED_VALUE"""),"годен до 28.11.2027")</f>
        <v>годен до 28.11.2027</v>
      </c>
      <c r="F2259" s="1" t="str">
        <f ca="1">IFERROR(__xludf.DUMMYFUNCTION("""COMPUTED_VALUE"""),"Бандаж лечебно–профилактический эластичный 4002 XXL (Болгария) - 1122036KZ036")</f>
        <v>Бандаж лечебно–профилактический эластичный 4002 XXL (Болгария) - 1122036KZ036</v>
      </c>
      <c r="G2259" s="1" t="str">
        <f ca="1">IFERROR(__xludf.DUMMYFUNCTION("""COMPUTED_VALUE"""),"KZ.7700.02.01.00941211 / Действительно до 28.01.2027 / 1122036KZ036 / годен до 28.11.2027")</f>
        <v>KZ.7700.02.01.00941211 / Действительно до 28.01.2027 / 1122036KZ036 / годен до 28.11.2027</v>
      </c>
      <c r="H2259" s="1" t="str">
        <f ca="1">IFERROR(__xludf.DUMMYFUNCTION("""COMPUTED_VALUE"""),"Бандаж лечебно–профилактический эластичный 4002 XXL (Болгария) KZ.7700.02.01.00941211 / Действительно до 28.01.2027 / 1122036KZ036 / годен до 28.11.2027")</f>
        <v>Бандаж лечебно–профилактический эластичный 4002 XXL (Болгария) KZ.7700.02.01.00941211 / Действительно до 28.01.2027 / 1122036KZ036 / годен до 28.11.2027</v>
      </c>
    </row>
    <row r="2260" spans="1:8" ht="12.75" x14ac:dyDescent="0.2">
      <c r="A2260" s="1" t="str">
        <f ca="1">IFERROR(__xludf.DUMMYFUNCTION("""COMPUTED_VALUE"""),"Бандаж лечебно–профилактический эластичный 4002 L (Болгария)")</f>
        <v>Бандаж лечебно–профилактический эластичный 4002 L (Болгария)</v>
      </c>
      <c r="B2260" s="1" t="str">
        <f ca="1">IFERROR(__xludf.DUMMYFUNCTION("""COMPUTED_VALUE"""),"KZ.7700.02.01.00941211")</f>
        <v>KZ.7700.02.01.00941211</v>
      </c>
      <c r="C2260" s="1" t="str">
        <f ca="1">IFERROR(__xludf.DUMMYFUNCTION("""COMPUTED_VALUE"""),"Действительно до 28.01.2027")</f>
        <v>Действительно до 28.01.2027</v>
      </c>
      <c r="D2260" s="8" t="str">
        <f ca="1">IFERROR(__xludf.DUMMYFUNCTION("""COMPUTED_VALUE"""),"1122036KZ036")</f>
        <v>1122036KZ036</v>
      </c>
      <c r="E2260" s="1" t="str">
        <f ca="1">IFERROR(__xludf.DUMMYFUNCTION("""COMPUTED_VALUE"""),"годен до 28.11.2027")</f>
        <v>годен до 28.11.2027</v>
      </c>
      <c r="F2260" s="1" t="str">
        <f ca="1">IFERROR(__xludf.DUMMYFUNCTION("""COMPUTED_VALUE"""),"Бандаж лечебно–профилактический эластичный 4002 L (Болгария) - 1122036KZ036")</f>
        <v>Бандаж лечебно–профилактический эластичный 4002 L (Болгария) - 1122036KZ036</v>
      </c>
      <c r="G2260" s="1" t="str">
        <f ca="1">IFERROR(__xludf.DUMMYFUNCTION("""COMPUTED_VALUE"""),"KZ.7700.02.01.00941211 / Действительно до 28.01.2027 / 1122036KZ036 / годен до 28.11.2027")</f>
        <v>KZ.7700.02.01.00941211 / Действительно до 28.01.2027 / 1122036KZ036 / годен до 28.11.2027</v>
      </c>
      <c r="H2260" s="1" t="str">
        <f ca="1">IFERROR(__xludf.DUMMYFUNCTION("""COMPUTED_VALUE"""),"Бандаж лечебно–профилактический эластичный 4002 L (Болгария) KZ.7700.02.01.00941211 / Действительно до 28.01.2027 / 1122036KZ036 / годен до 28.11.2027")</f>
        <v>Бандаж лечебно–профилактический эластичный 4002 L (Болгария) KZ.7700.02.01.00941211 / Действительно до 28.01.2027 / 1122036KZ036 / годен до 28.11.2027</v>
      </c>
    </row>
    <row r="2261" spans="1:8" ht="12.75" x14ac:dyDescent="0.2">
      <c r="A2261" s="1" t="str">
        <f ca="1">IFERROR(__xludf.DUMMYFUNCTION("""COMPUTED_VALUE"""),"Бандаж универсальный 4011 XS/S (Болгария)")</f>
        <v>Бандаж универсальный 4011 XS/S (Болгария)</v>
      </c>
      <c r="B2261" s="1" t="str">
        <f ca="1">IFERROR(__xludf.DUMMYFUNCTION("""COMPUTED_VALUE"""),"KZ.7700.02.01.00941167")</f>
        <v>KZ.7700.02.01.00941167</v>
      </c>
      <c r="C2261" s="1" t="str">
        <f ca="1">IFERROR(__xludf.DUMMYFUNCTION("""COMPUTED_VALUE"""),"Действительно до 28.01.2027")</f>
        <v>Действительно до 28.01.2027</v>
      </c>
      <c r="D2261" s="8" t="str">
        <f ca="1">IFERROR(__xludf.DUMMYFUNCTION("""COMPUTED_VALUE"""),"1122036KZ036")</f>
        <v>1122036KZ036</v>
      </c>
      <c r="E2261" s="1" t="str">
        <f ca="1">IFERROR(__xludf.DUMMYFUNCTION("""COMPUTED_VALUE"""),"годен до 28.11.2027")</f>
        <v>годен до 28.11.2027</v>
      </c>
      <c r="F2261" s="1" t="str">
        <f ca="1">IFERROR(__xludf.DUMMYFUNCTION("""COMPUTED_VALUE"""),"Бандаж универсальный 4011 XS/S (Болгария) - 1122036KZ036")</f>
        <v>Бандаж универсальный 4011 XS/S (Болгария) - 1122036KZ036</v>
      </c>
      <c r="G2261" s="1" t="str">
        <f ca="1">IFERROR(__xludf.DUMMYFUNCTION("""COMPUTED_VALUE"""),"KZ.7700.02.01.00941167 / Действительно до 28.01.2027 / 1122036KZ036 / годен до 28.11.2027")</f>
        <v>KZ.7700.02.01.00941167 / Действительно до 28.01.2027 / 1122036KZ036 / годен до 28.11.2027</v>
      </c>
      <c r="H2261" s="1" t="str">
        <f ca="1">IFERROR(__xludf.DUMMYFUNCTION("""COMPUTED_VALUE"""),"Бандаж универсальный 4011 XS/S (Болгария) KZ.7700.02.01.00941167 / Действительно до 28.01.2027 / 1122036KZ036 / годен до 28.11.2027")</f>
        <v>Бандаж универсальный 4011 XS/S (Болгария) KZ.7700.02.01.00941167 / Действительно до 28.01.2027 / 1122036KZ036 / годен до 28.11.2027</v>
      </c>
    </row>
    <row r="2262" spans="1:8" ht="12.75" x14ac:dyDescent="0.2">
      <c r="A2262" s="1" t="str">
        <f ca="1">IFERROR(__xludf.DUMMYFUNCTION("""COMPUTED_VALUE"""),"Бандаж универсальный 4011 M/L (Болгария)")</f>
        <v>Бандаж универсальный 4011 M/L (Болгария)</v>
      </c>
      <c r="B2262" s="1" t="str">
        <f ca="1">IFERROR(__xludf.DUMMYFUNCTION("""COMPUTED_VALUE"""),"KZ.7700.02.01.00941167")</f>
        <v>KZ.7700.02.01.00941167</v>
      </c>
      <c r="C2262" s="1" t="str">
        <f ca="1">IFERROR(__xludf.DUMMYFUNCTION("""COMPUTED_VALUE"""),"Действительно до 28.01.2027")</f>
        <v>Действительно до 28.01.2027</v>
      </c>
      <c r="D2262" s="8" t="str">
        <f ca="1">IFERROR(__xludf.DUMMYFUNCTION("""COMPUTED_VALUE"""),"1122036KZ036")</f>
        <v>1122036KZ036</v>
      </c>
      <c r="E2262" s="1" t="str">
        <f ca="1">IFERROR(__xludf.DUMMYFUNCTION("""COMPUTED_VALUE"""),"годен до 28.11.2027")</f>
        <v>годен до 28.11.2027</v>
      </c>
      <c r="F2262" s="1" t="str">
        <f ca="1">IFERROR(__xludf.DUMMYFUNCTION("""COMPUTED_VALUE"""),"Бандаж универсальный 4011 M/L (Болгария) - 1122036KZ036")</f>
        <v>Бандаж универсальный 4011 M/L (Болгария) - 1122036KZ036</v>
      </c>
      <c r="G2262" s="1" t="str">
        <f ca="1">IFERROR(__xludf.DUMMYFUNCTION("""COMPUTED_VALUE"""),"KZ.7700.02.01.00941167 / Действительно до 28.01.2027 / 1122036KZ036 / годен до 28.11.2027")</f>
        <v>KZ.7700.02.01.00941167 / Действительно до 28.01.2027 / 1122036KZ036 / годен до 28.11.2027</v>
      </c>
      <c r="H2262" s="1" t="str">
        <f ca="1">IFERROR(__xludf.DUMMYFUNCTION("""COMPUTED_VALUE"""),"Бандаж универсальный 4011 M/L (Болгария) KZ.7700.02.01.00941167 / Действительно до 28.01.2027 / 1122036KZ036 / годен до 28.11.2027")</f>
        <v>Бандаж универсальный 4011 M/L (Болгария) KZ.7700.02.01.00941167 / Действительно до 28.01.2027 / 1122036KZ036 / годен до 28.11.2027</v>
      </c>
    </row>
    <row r="2263" spans="1:8" ht="12.75" x14ac:dyDescent="0.2">
      <c r="A2263" s="1" t="str">
        <f ca="1">IFERROR(__xludf.DUMMYFUNCTION("""COMPUTED_VALUE"""),"Бандаж грыжевой лево-и правосторонний 5001 XS/S (Болгария)")</f>
        <v>Бандаж грыжевой лево-и правосторонний 5001 XS/S (Болгария)</v>
      </c>
      <c r="B2263" s="1" t="str">
        <f ca="1">IFERROR(__xludf.DUMMYFUNCTION("""COMPUTED_VALUE"""),"KZ.7700.02.01.00941170")</f>
        <v>KZ.7700.02.01.00941170</v>
      </c>
      <c r="C2263" s="1" t="str">
        <f ca="1">IFERROR(__xludf.DUMMYFUNCTION("""COMPUTED_VALUE"""),"Действительно до 28.01.2027")</f>
        <v>Действительно до 28.01.2027</v>
      </c>
      <c r="D2263" s="8" t="str">
        <f ca="1">IFERROR(__xludf.DUMMYFUNCTION("""COMPUTED_VALUE"""),"1122036KZ036")</f>
        <v>1122036KZ036</v>
      </c>
      <c r="E2263" s="1" t="str">
        <f ca="1">IFERROR(__xludf.DUMMYFUNCTION("""COMPUTED_VALUE"""),"годен до 28.11.2027")</f>
        <v>годен до 28.11.2027</v>
      </c>
      <c r="F2263" s="1" t="str">
        <f ca="1">IFERROR(__xludf.DUMMYFUNCTION("""COMPUTED_VALUE"""),"Бандаж грыжевой лево-и правосторонний 5001 XS/S (Болгария) - 1122036KZ036")</f>
        <v>Бандаж грыжевой лево-и правосторонний 5001 XS/S (Болгария) - 1122036KZ036</v>
      </c>
      <c r="G2263" s="1" t="str">
        <f ca="1">IFERROR(__xludf.DUMMYFUNCTION("""COMPUTED_VALUE"""),"KZ.7700.02.01.00941170 / Действительно до 28.01.2027 / 1122036KZ036 / годен до 28.11.2027")</f>
        <v>KZ.7700.02.01.00941170 / Действительно до 28.01.2027 / 1122036KZ036 / годен до 28.11.2027</v>
      </c>
      <c r="H2263" s="1" t="str">
        <f ca="1">IFERROR(__xludf.DUMMYFUNCTION("""COMPUTED_VALUE"""),"Бандаж грыжевой лево-и правосторонний 5001 XS/S (Болгария) KZ.7700.02.01.00941170 / Действительно до 28.01.2027 / 1122036KZ036 / годен до 28.11.2027")</f>
        <v>Бандаж грыжевой лево-и правосторонний 5001 XS/S (Болгария) KZ.7700.02.01.00941170 / Действительно до 28.01.2027 / 1122036KZ036 / годен до 28.11.2027</v>
      </c>
    </row>
    <row r="2264" spans="1:8" ht="12.75" x14ac:dyDescent="0.2">
      <c r="A2264" s="1" t="str">
        <f ca="1">IFERROR(__xludf.DUMMYFUNCTION("""COMPUTED_VALUE"""),"Бандаж грыжевой лево-и правосторонний 5001 M/L (Болгария)")</f>
        <v>Бандаж грыжевой лево-и правосторонний 5001 M/L (Болгария)</v>
      </c>
      <c r="B2264" s="1" t="str">
        <f ca="1">IFERROR(__xludf.DUMMYFUNCTION("""COMPUTED_VALUE"""),"KZ.7700.02.01.00941170")</f>
        <v>KZ.7700.02.01.00941170</v>
      </c>
      <c r="C2264" s="1" t="str">
        <f ca="1">IFERROR(__xludf.DUMMYFUNCTION("""COMPUTED_VALUE"""),"Действительно до 28.01.2027")</f>
        <v>Действительно до 28.01.2027</v>
      </c>
      <c r="D2264" s="8" t="str">
        <f ca="1">IFERROR(__xludf.DUMMYFUNCTION("""COMPUTED_VALUE"""),"1122036KZ036")</f>
        <v>1122036KZ036</v>
      </c>
      <c r="E2264" s="1" t="str">
        <f ca="1">IFERROR(__xludf.DUMMYFUNCTION("""COMPUTED_VALUE"""),"годен до 28.11.2027")</f>
        <v>годен до 28.11.2027</v>
      </c>
      <c r="F2264" s="1" t="str">
        <f ca="1">IFERROR(__xludf.DUMMYFUNCTION("""COMPUTED_VALUE"""),"Бандаж грыжевой лево-и правосторонний 5001 M/L (Болгария) - 1122036KZ036")</f>
        <v>Бандаж грыжевой лево-и правосторонний 5001 M/L (Болгария) - 1122036KZ036</v>
      </c>
      <c r="G2264" s="1" t="str">
        <f ca="1">IFERROR(__xludf.DUMMYFUNCTION("""COMPUTED_VALUE"""),"KZ.7700.02.01.00941170 / Действительно до 28.01.2027 / 1122036KZ036 / годен до 28.11.2027")</f>
        <v>KZ.7700.02.01.00941170 / Действительно до 28.01.2027 / 1122036KZ036 / годен до 28.11.2027</v>
      </c>
      <c r="H2264" s="1" t="str">
        <f ca="1">IFERROR(__xludf.DUMMYFUNCTION("""COMPUTED_VALUE"""),"Бандаж грыжевой лево-и правосторонний 5001 M/L (Болгария) KZ.7700.02.01.00941170 / Действительно до 28.01.2027 / 1122036KZ036 / годен до 28.11.2027")</f>
        <v>Бандаж грыжевой лево-и правосторонний 5001 M/L (Болгария) KZ.7700.02.01.00941170 / Действительно до 28.01.2027 / 1122036KZ036 / годен до 28.11.2027</v>
      </c>
    </row>
    <row r="2265" spans="1:8" ht="12.75" x14ac:dyDescent="0.2">
      <c r="A2265" s="1" t="str">
        <f ca="1">IFERROR(__xludf.DUMMYFUNCTION("""COMPUTED_VALUE"""),"Бандаж грыжевой лево-и правосторонний 5001 XL/XXL (Болгария)")</f>
        <v>Бандаж грыжевой лево-и правосторонний 5001 XL/XXL (Болгария)</v>
      </c>
      <c r="B2265" s="1" t="str">
        <f ca="1">IFERROR(__xludf.DUMMYFUNCTION("""COMPUTED_VALUE"""),"KZ.7700.02.01.00941170")</f>
        <v>KZ.7700.02.01.00941170</v>
      </c>
      <c r="C2265" s="1" t="str">
        <f ca="1">IFERROR(__xludf.DUMMYFUNCTION("""COMPUTED_VALUE"""),"Действительно до 28.01.2027")</f>
        <v>Действительно до 28.01.2027</v>
      </c>
      <c r="D2265" s="8" t="str">
        <f ca="1">IFERROR(__xludf.DUMMYFUNCTION("""COMPUTED_VALUE"""),"1122036KZ036")</f>
        <v>1122036KZ036</v>
      </c>
      <c r="E2265" s="1" t="str">
        <f ca="1">IFERROR(__xludf.DUMMYFUNCTION("""COMPUTED_VALUE"""),"годен до 28.11.2027")</f>
        <v>годен до 28.11.2027</v>
      </c>
      <c r="F2265" s="1" t="str">
        <f ca="1">IFERROR(__xludf.DUMMYFUNCTION("""COMPUTED_VALUE"""),"Бандаж грыжевой лево-и правосторонний 5001 XL/XXL (Болгария) - 1122036KZ036")</f>
        <v>Бандаж грыжевой лево-и правосторонний 5001 XL/XXL (Болгария) - 1122036KZ036</v>
      </c>
      <c r="G2265" s="1" t="str">
        <f ca="1">IFERROR(__xludf.DUMMYFUNCTION("""COMPUTED_VALUE"""),"KZ.7700.02.01.00941170 / Действительно до 28.01.2027 / 1122036KZ036 / годен до 28.11.2027")</f>
        <v>KZ.7700.02.01.00941170 / Действительно до 28.01.2027 / 1122036KZ036 / годен до 28.11.2027</v>
      </c>
      <c r="H2265" s="1" t="str">
        <f ca="1">IFERROR(__xludf.DUMMYFUNCTION("""COMPUTED_VALUE"""),"Бандаж грыжевой лево-и правосторонний 5001 XL/XXL (Болгария) KZ.7700.02.01.00941170 / Действительно до 28.01.2027 / 1122036KZ036 / годен до 28.11.2027")</f>
        <v>Бандаж грыжевой лево-и правосторонний 5001 XL/XXL (Болгария) KZ.7700.02.01.00941170 / Действительно до 28.01.2027 / 1122036KZ036 / годен до 28.11.2027</v>
      </c>
    </row>
    <row r="2266" spans="1:8" ht="12.75" x14ac:dyDescent="0.2">
      <c r="A2266" s="1" t="str">
        <f ca="1">IFERROR(__xludf.DUMMYFUNCTION("""COMPUTED_VALUE"""),"Бандаж при пупочной грыже 5051 M/L (Болгария)")</f>
        <v>Бандаж при пупочной грыже 5051 M/L (Болгария)</v>
      </c>
      <c r="B2266" s="1" t="str">
        <f ca="1">IFERROR(__xludf.DUMMYFUNCTION("""COMPUTED_VALUE"""),"KZ.7700.02.01.00941162")</f>
        <v>KZ.7700.02.01.00941162</v>
      </c>
      <c r="C2266" s="1" t="str">
        <f ca="1">IFERROR(__xludf.DUMMYFUNCTION("""COMPUTED_VALUE"""),"Действительно до 28.01.2027")</f>
        <v>Действительно до 28.01.2027</v>
      </c>
      <c r="D2266" s="8" t="str">
        <f ca="1">IFERROR(__xludf.DUMMYFUNCTION("""COMPUTED_VALUE"""),"1122036KZ036")</f>
        <v>1122036KZ036</v>
      </c>
      <c r="E2266" s="1" t="str">
        <f ca="1">IFERROR(__xludf.DUMMYFUNCTION("""COMPUTED_VALUE"""),"годен до 28.11.2027")</f>
        <v>годен до 28.11.2027</v>
      </c>
      <c r="F2266" s="1" t="str">
        <f ca="1">IFERROR(__xludf.DUMMYFUNCTION("""COMPUTED_VALUE"""),"Бандаж при пупочной грыже 5051 M/L (Болгария) - 1122036KZ036")</f>
        <v>Бандаж при пупочной грыже 5051 M/L (Болгария) - 1122036KZ036</v>
      </c>
      <c r="G2266" s="1" t="str">
        <f ca="1">IFERROR(__xludf.DUMMYFUNCTION("""COMPUTED_VALUE"""),"KZ.7700.02.01.00941162 / Действительно до 28.01.2027 / 1122036KZ036 / годен до 28.11.2027")</f>
        <v>KZ.7700.02.01.00941162 / Действительно до 28.01.2027 / 1122036KZ036 / годен до 28.11.2027</v>
      </c>
      <c r="H2266" s="1" t="str">
        <f ca="1">IFERROR(__xludf.DUMMYFUNCTION("""COMPUTED_VALUE"""),"Бандаж при пупочной грыже 5051 M/L (Болгария) KZ.7700.02.01.00941162 / Действительно до 28.01.2027 / 1122036KZ036 / годен до 28.11.2027")</f>
        <v>Бандаж при пупочной грыже 5051 M/L (Болгария) KZ.7700.02.01.00941162 / Действительно до 28.01.2027 / 1122036KZ036 / годен до 28.11.2027</v>
      </c>
    </row>
    <row r="2267" spans="1:8" ht="12.75" x14ac:dyDescent="0.2">
      <c r="A2267" s="1" t="str">
        <f ca="1">IFERROR(__xludf.DUMMYFUNCTION("""COMPUTED_VALUE"""),"Бандаж при пупочной грыже 5051 XL/XXL (Болгария)")</f>
        <v>Бандаж при пупочной грыже 5051 XL/XXL (Болгария)</v>
      </c>
      <c r="B2267" s="1" t="str">
        <f ca="1">IFERROR(__xludf.DUMMYFUNCTION("""COMPUTED_VALUE"""),"KZ.7700.02.01.00941162")</f>
        <v>KZ.7700.02.01.00941162</v>
      </c>
      <c r="C2267" s="1" t="str">
        <f ca="1">IFERROR(__xludf.DUMMYFUNCTION("""COMPUTED_VALUE"""),"Действительно до 28.01.2027")</f>
        <v>Действительно до 28.01.2027</v>
      </c>
      <c r="D2267" s="8" t="str">
        <f ca="1">IFERROR(__xludf.DUMMYFUNCTION("""COMPUTED_VALUE"""),"1122036KZ036")</f>
        <v>1122036KZ036</v>
      </c>
      <c r="E2267" s="1" t="str">
        <f ca="1">IFERROR(__xludf.DUMMYFUNCTION("""COMPUTED_VALUE"""),"годен до 28.11.2027")</f>
        <v>годен до 28.11.2027</v>
      </c>
      <c r="F2267" s="1" t="str">
        <f ca="1">IFERROR(__xludf.DUMMYFUNCTION("""COMPUTED_VALUE"""),"Бандаж при пупочной грыже 5051 XL/XXL (Болгария) - 1122036KZ036")</f>
        <v>Бандаж при пупочной грыже 5051 XL/XXL (Болгария) - 1122036KZ036</v>
      </c>
      <c r="G2267" s="1" t="str">
        <f ca="1">IFERROR(__xludf.DUMMYFUNCTION("""COMPUTED_VALUE"""),"KZ.7700.02.01.00941162 / Действительно до 28.01.2027 / 1122036KZ036 / годен до 28.11.2027")</f>
        <v>KZ.7700.02.01.00941162 / Действительно до 28.01.2027 / 1122036KZ036 / годен до 28.11.2027</v>
      </c>
      <c r="H2267" s="1" t="str">
        <f ca="1">IFERROR(__xludf.DUMMYFUNCTION("""COMPUTED_VALUE"""),"Бандаж при пупочной грыже 5051 XL/XXL (Болгария) KZ.7700.02.01.00941162 / Действительно до 28.01.2027 / 1122036KZ036 / годен до 28.11.2027")</f>
        <v>Бандаж при пупочной грыже 5051 XL/XXL (Болгария) KZ.7700.02.01.00941162 / Действительно до 28.01.2027 / 1122036KZ036 / годен до 28.11.2027</v>
      </c>
    </row>
    <row r="2268" spans="1:8" ht="12.75" x14ac:dyDescent="0.2">
      <c r="A2268" s="1" t="str">
        <f ca="1">IFERROR(__xludf.DUMMYFUNCTION("""COMPUTED_VALUE"""),"Бандаж при пупочной грыже 5051 XXXL/XXXXL (Болгария)")</f>
        <v>Бандаж при пупочной грыже 5051 XXXL/XXXXL (Болгария)</v>
      </c>
      <c r="B2268" s="1" t="str">
        <f ca="1">IFERROR(__xludf.DUMMYFUNCTION("""COMPUTED_VALUE"""),"KZ.7700.02.01.00941162")</f>
        <v>KZ.7700.02.01.00941162</v>
      </c>
      <c r="C2268" s="1" t="str">
        <f ca="1">IFERROR(__xludf.DUMMYFUNCTION("""COMPUTED_VALUE"""),"Действительно до 28.01.2027")</f>
        <v>Действительно до 28.01.2027</v>
      </c>
      <c r="D2268" s="8" t="str">
        <f ca="1">IFERROR(__xludf.DUMMYFUNCTION("""COMPUTED_VALUE"""),"1122036KZ036")</f>
        <v>1122036KZ036</v>
      </c>
      <c r="E2268" s="1" t="str">
        <f ca="1">IFERROR(__xludf.DUMMYFUNCTION("""COMPUTED_VALUE"""),"годен до 28.11.2027")</f>
        <v>годен до 28.11.2027</v>
      </c>
      <c r="F2268" s="1" t="str">
        <f ca="1">IFERROR(__xludf.DUMMYFUNCTION("""COMPUTED_VALUE"""),"Бандаж при пупочной грыже 5051 XXXL/XXXXL (Болгария) - 1122036KZ036")</f>
        <v>Бандаж при пупочной грыже 5051 XXXL/XXXXL (Болгария) - 1122036KZ036</v>
      </c>
      <c r="G2268" s="1" t="str">
        <f ca="1">IFERROR(__xludf.DUMMYFUNCTION("""COMPUTED_VALUE"""),"KZ.7700.02.01.00941162 / Действительно до 28.01.2027 / 1122036KZ036 / годен до 28.11.2027")</f>
        <v>KZ.7700.02.01.00941162 / Действительно до 28.01.2027 / 1122036KZ036 / годен до 28.11.2027</v>
      </c>
      <c r="H2268" s="1" t="str">
        <f ca="1">IFERROR(__xludf.DUMMYFUNCTION("""COMPUTED_VALUE"""),"Бандаж при пупочной грыже 5051 XXXL/XXXXL (Болгария) KZ.7700.02.01.00941162 / Действительно до 28.01.2027 / 1122036KZ036 / годен до 28.11.2027")</f>
        <v>Бандаж при пупочной грыже 5051 XXXL/XXXXL (Болгария) KZ.7700.02.01.00941162 / Действительно до 28.01.2027 / 1122036KZ036 / годен до 28.11.2027</v>
      </c>
    </row>
    <row r="2269" spans="1:8" ht="12.75" x14ac:dyDescent="0.2">
      <c r="A2269" s="1" t="str">
        <f ca="1">IFERROR(__xludf.DUMMYFUNCTION("""COMPUTED_VALUE"""),"Бандаж на коленный сустав эластичный 6040 S (Болгария)")</f>
        <v>Бандаж на коленный сустав эластичный 6040 S (Болгария)</v>
      </c>
      <c r="B2269" s="1" t="str">
        <f ca="1">IFERROR(__xludf.DUMMYFUNCTION("""COMPUTED_VALUE"""),"KZ.7700.02.01.00941172")</f>
        <v>KZ.7700.02.01.00941172</v>
      </c>
      <c r="C2269" s="1" t="str">
        <f ca="1">IFERROR(__xludf.DUMMYFUNCTION("""COMPUTED_VALUE"""),"Действительно до 28.01.2027")</f>
        <v>Действительно до 28.01.2027</v>
      </c>
      <c r="D2269" s="8" t="str">
        <f ca="1">IFERROR(__xludf.DUMMYFUNCTION("""COMPUTED_VALUE"""),"1122036KZ036")</f>
        <v>1122036KZ036</v>
      </c>
      <c r="E2269" s="1" t="str">
        <f ca="1">IFERROR(__xludf.DUMMYFUNCTION("""COMPUTED_VALUE"""),"годен до 28.11.2027")</f>
        <v>годен до 28.11.2027</v>
      </c>
      <c r="F2269" s="1" t="str">
        <f ca="1">IFERROR(__xludf.DUMMYFUNCTION("""COMPUTED_VALUE"""),"Бандаж на коленный сустав эластичный 6040 S (Болгария) - 1122036KZ036")</f>
        <v>Бандаж на коленный сустав эластичный 6040 S (Болгария) - 1122036KZ036</v>
      </c>
      <c r="G2269" s="1" t="str">
        <f ca="1">IFERROR(__xludf.DUMMYFUNCTION("""COMPUTED_VALUE"""),"KZ.7700.02.01.00941172 / Действительно до 28.01.2027 / 1122036KZ036 / годен до 28.11.2027")</f>
        <v>KZ.7700.02.01.00941172 / Действительно до 28.01.2027 / 1122036KZ036 / годен до 28.11.2027</v>
      </c>
      <c r="H2269" s="1" t="str">
        <f ca="1">IFERROR(__xludf.DUMMYFUNCTION("""COMPUTED_VALUE"""),"Бандаж на коленный сустав эластичный 6040 S (Болгария) KZ.7700.02.01.00941172 / Действительно до 28.01.2027 / 1122036KZ036 / годен до 28.11.2027")</f>
        <v>Бандаж на коленный сустав эластичный 6040 S (Болгария) KZ.7700.02.01.00941172 / Действительно до 28.01.2027 / 1122036KZ036 / годен до 28.11.2027</v>
      </c>
    </row>
    <row r="2270" spans="1:8" ht="12.75" x14ac:dyDescent="0.2">
      <c r="A2270" s="1" t="str">
        <f ca="1">IFERROR(__xludf.DUMMYFUNCTION("""COMPUTED_VALUE"""),"Бандаж на коленный сустав эластичный 6040 M (Болгария)")</f>
        <v>Бандаж на коленный сустав эластичный 6040 M (Болгария)</v>
      </c>
      <c r="B2270" s="1" t="str">
        <f ca="1">IFERROR(__xludf.DUMMYFUNCTION("""COMPUTED_VALUE"""),"KZ.7700.02.01.00941172")</f>
        <v>KZ.7700.02.01.00941172</v>
      </c>
      <c r="C2270" s="1" t="str">
        <f ca="1">IFERROR(__xludf.DUMMYFUNCTION("""COMPUTED_VALUE"""),"Действительно до 28.01.2027")</f>
        <v>Действительно до 28.01.2027</v>
      </c>
      <c r="D2270" s="8" t="str">
        <f ca="1">IFERROR(__xludf.DUMMYFUNCTION("""COMPUTED_VALUE"""),"1122036KZ036")</f>
        <v>1122036KZ036</v>
      </c>
      <c r="E2270" s="1" t="str">
        <f ca="1">IFERROR(__xludf.DUMMYFUNCTION("""COMPUTED_VALUE"""),"годен до 28.11.2027")</f>
        <v>годен до 28.11.2027</v>
      </c>
      <c r="F2270" s="1" t="str">
        <f ca="1">IFERROR(__xludf.DUMMYFUNCTION("""COMPUTED_VALUE"""),"Бандаж на коленный сустав эластичный 6040 M (Болгария) - 1122036KZ036")</f>
        <v>Бандаж на коленный сустав эластичный 6040 M (Болгария) - 1122036KZ036</v>
      </c>
      <c r="G2270" s="1" t="str">
        <f ca="1">IFERROR(__xludf.DUMMYFUNCTION("""COMPUTED_VALUE"""),"KZ.7700.02.01.00941172 / Действительно до 28.01.2027 / 1122036KZ036 / годен до 28.11.2027")</f>
        <v>KZ.7700.02.01.00941172 / Действительно до 28.01.2027 / 1122036KZ036 / годен до 28.11.2027</v>
      </c>
      <c r="H2270" s="1" t="str">
        <f ca="1">IFERROR(__xludf.DUMMYFUNCTION("""COMPUTED_VALUE"""),"Бандаж на коленный сустав эластичный 6040 M (Болгария) KZ.7700.02.01.00941172 / Действительно до 28.01.2027 / 1122036KZ036 / годен до 28.11.2027")</f>
        <v>Бандаж на коленный сустав эластичный 6040 M (Болгария) KZ.7700.02.01.00941172 / Действительно до 28.01.2027 / 1122036KZ036 / годен до 28.11.2027</v>
      </c>
    </row>
    <row r="2271" spans="1:8" ht="12.75" x14ac:dyDescent="0.2">
      <c r="A2271" s="1" t="str">
        <f ca="1">IFERROR(__xludf.DUMMYFUNCTION("""COMPUTED_VALUE"""),"Бандаж на коленный сустав эластичный 6040 L (Болгария)")</f>
        <v>Бандаж на коленный сустав эластичный 6040 L (Болгария)</v>
      </c>
      <c r="B2271" s="1" t="str">
        <f ca="1">IFERROR(__xludf.DUMMYFUNCTION("""COMPUTED_VALUE"""),"KZ.7700.02.01.00941172")</f>
        <v>KZ.7700.02.01.00941172</v>
      </c>
      <c r="C2271" s="1" t="str">
        <f ca="1">IFERROR(__xludf.DUMMYFUNCTION("""COMPUTED_VALUE"""),"Действительно до 28.01.2027")</f>
        <v>Действительно до 28.01.2027</v>
      </c>
      <c r="D2271" s="8" t="str">
        <f ca="1">IFERROR(__xludf.DUMMYFUNCTION("""COMPUTED_VALUE"""),"1122036KZ036")</f>
        <v>1122036KZ036</v>
      </c>
      <c r="E2271" s="1" t="str">
        <f ca="1">IFERROR(__xludf.DUMMYFUNCTION("""COMPUTED_VALUE"""),"годен до 28.11.2027")</f>
        <v>годен до 28.11.2027</v>
      </c>
      <c r="F2271" s="1" t="str">
        <f ca="1">IFERROR(__xludf.DUMMYFUNCTION("""COMPUTED_VALUE"""),"Бандаж на коленный сустав эластичный 6040 L (Болгария) - 1122036KZ036")</f>
        <v>Бандаж на коленный сустав эластичный 6040 L (Болгария) - 1122036KZ036</v>
      </c>
      <c r="G2271" s="1" t="str">
        <f ca="1">IFERROR(__xludf.DUMMYFUNCTION("""COMPUTED_VALUE"""),"KZ.7700.02.01.00941172 / Действительно до 28.01.2027 / 1122036KZ036 / годен до 28.11.2027")</f>
        <v>KZ.7700.02.01.00941172 / Действительно до 28.01.2027 / 1122036KZ036 / годен до 28.11.2027</v>
      </c>
      <c r="H2271" s="1" t="str">
        <f ca="1">IFERROR(__xludf.DUMMYFUNCTION("""COMPUTED_VALUE"""),"Бандаж на коленный сустав эластичный 6040 L (Болгария) KZ.7700.02.01.00941172 / Действительно до 28.01.2027 / 1122036KZ036 / годен до 28.11.2027")</f>
        <v>Бандаж на коленный сустав эластичный 6040 L (Болгария) KZ.7700.02.01.00941172 / Действительно до 28.01.2027 / 1122036KZ036 / годен до 28.11.2027</v>
      </c>
    </row>
    <row r="2272" spans="1:8" ht="12.75" x14ac:dyDescent="0.2">
      <c r="A2272" s="1" t="str">
        <f ca="1">IFERROR(__xludf.DUMMYFUNCTION("""COMPUTED_VALUE"""),"Бандаж на коленный сустав эластичный 6040 XL (Болгария)")</f>
        <v>Бандаж на коленный сустав эластичный 6040 XL (Болгария)</v>
      </c>
      <c r="B2272" s="1" t="str">
        <f ca="1">IFERROR(__xludf.DUMMYFUNCTION("""COMPUTED_VALUE"""),"KZ.7700.02.01.00941172")</f>
        <v>KZ.7700.02.01.00941172</v>
      </c>
      <c r="C2272" s="1" t="str">
        <f ca="1">IFERROR(__xludf.DUMMYFUNCTION("""COMPUTED_VALUE"""),"Действительно до 28.01.2027")</f>
        <v>Действительно до 28.01.2027</v>
      </c>
      <c r="D2272" s="8" t="str">
        <f ca="1">IFERROR(__xludf.DUMMYFUNCTION("""COMPUTED_VALUE"""),"1122036KZ036")</f>
        <v>1122036KZ036</v>
      </c>
      <c r="E2272" s="1" t="str">
        <f ca="1">IFERROR(__xludf.DUMMYFUNCTION("""COMPUTED_VALUE"""),"годен до 28.11.2027")</f>
        <v>годен до 28.11.2027</v>
      </c>
      <c r="F2272" s="1" t="str">
        <f ca="1">IFERROR(__xludf.DUMMYFUNCTION("""COMPUTED_VALUE"""),"Бандаж на коленный сустав эластичный 6040 XL (Болгария) - 1122036KZ036")</f>
        <v>Бандаж на коленный сустав эластичный 6040 XL (Болгария) - 1122036KZ036</v>
      </c>
      <c r="G2272" s="1" t="str">
        <f ca="1">IFERROR(__xludf.DUMMYFUNCTION("""COMPUTED_VALUE"""),"KZ.7700.02.01.00941172 / Действительно до 28.01.2027 / 1122036KZ036 / годен до 28.11.2027")</f>
        <v>KZ.7700.02.01.00941172 / Действительно до 28.01.2027 / 1122036KZ036 / годен до 28.11.2027</v>
      </c>
      <c r="H2272" s="1" t="str">
        <f ca="1">IFERROR(__xludf.DUMMYFUNCTION("""COMPUTED_VALUE"""),"Бандаж на коленный сустав эластичный 6040 XL (Болгария) KZ.7700.02.01.00941172 / Действительно до 28.01.2027 / 1122036KZ036 / годен до 28.11.2027")</f>
        <v>Бандаж на коленный сустав эластичный 6040 XL (Болгария) KZ.7700.02.01.00941172 / Действительно до 28.01.2027 / 1122036KZ036 / годен до 28.11.2027</v>
      </c>
    </row>
    <row r="2273" spans="1:8" ht="12.75" x14ac:dyDescent="0.2">
      <c r="A2273" s="1" t="str">
        <f ca="1">IFERROR(__xludf.DUMMYFUNCTION("""COMPUTED_VALUE"""),"Бандаж на коленный сустав разъемный 6058 S\M (Болгария)")</f>
        <v>Бандаж на коленный сустав разъемный 6058 S\M (Болгария)</v>
      </c>
      <c r="B2273" s="1" t="str">
        <f ca="1">IFERROR(__xludf.DUMMYFUNCTION("""COMPUTED_VALUE"""),"KZ.7700.02.01.00941161")</f>
        <v>KZ.7700.02.01.00941161</v>
      </c>
      <c r="C2273" s="1" t="str">
        <f ca="1">IFERROR(__xludf.DUMMYFUNCTION("""COMPUTED_VALUE"""),"Действительно до 28.01.2027")</f>
        <v>Действительно до 28.01.2027</v>
      </c>
      <c r="D2273" s="8" t="str">
        <f ca="1">IFERROR(__xludf.DUMMYFUNCTION("""COMPUTED_VALUE"""),"1122036KZ036")</f>
        <v>1122036KZ036</v>
      </c>
      <c r="E2273" s="1" t="str">
        <f ca="1">IFERROR(__xludf.DUMMYFUNCTION("""COMPUTED_VALUE"""),"годен до 28.11.2027")</f>
        <v>годен до 28.11.2027</v>
      </c>
      <c r="F2273" s="1" t="str">
        <f ca="1">IFERROR(__xludf.DUMMYFUNCTION("""COMPUTED_VALUE"""),"Бандаж на коленный сустав разъемный 6058 S\M (Болгария) - 1122036KZ036")</f>
        <v>Бандаж на коленный сустав разъемный 6058 S\M (Болгария) - 1122036KZ036</v>
      </c>
      <c r="G2273" s="1" t="str">
        <f ca="1">IFERROR(__xludf.DUMMYFUNCTION("""COMPUTED_VALUE"""),"KZ.7700.02.01.00941161 / Действительно до 28.01.2027 / 1122036KZ036 / годен до 28.11.2027")</f>
        <v>KZ.7700.02.01.00941161 / Действительно до 28.01.2027 / 1122036KZ036 / годен до 28.11.2027</v>
      </c>
      <c r="H2273" s="1" t="str">
        <f ca="1">IFERROR(__xludf.DUMMYFUNCTION("""COMPUTED_VALUE"""),"Бандаж на коленный сустав разъемный 6058 S\M (Болгария) KZ.7700.02.01.00941161 / Действительно до 28.01.2027 / 1122036KZ036 / годен до 28.11.2027")</f>
        <v>Бандаж на коленный сустав разъемный 6058 S\M (Болгария) KZ.7700.02.01.00941161 / Действительно до 28.01.2027 / 1122036KZ036 / годен до 28.11.2027</v>
      </c>
    </row>
    <row r="2274" spans="1:8" ht="12.75" x14ac:dyDescent="0.2">
      <c r="A2274" s="1" t="str">
        <f ca="1">IFERROR(__xludf.DUMMYFUNCTION("""COMPUTED_VALUE"""),"Бандаж на коленный сустав разъемный 6058 L\XL (Болгария)")</f>
        <v>Бандаж на коленный сустав разъемный 6058 L\XL (Болгария)</v>
      </c>
      <c r="B2274" s="1" t="str">
        <f ca="1">IFERROR(__xludf.DUMMYFUNCTION("""COMPUTED_VALUE"""),"KZ.7700.02.01.00941161")</f>
        <v>KZ.7700.02.01.00941161</v>
      </c>
      <c r="C2274" s="1" t="str">
        <f ca="1">IFERROR(__xludf.DUMMYFUNCTION("""COMPUTED_VALUE"""),"Действительно до 28.01.2027")</f>
        <v>Действительно до 28.01.2027</v>
      </c>
      <c r="D2274" s="8" t="str">
        <f ca="1">IFERROR(__xludf.DUMMYFUNCTION("""COMPUTED_VALUE"""),"1122036KZ036")</f>
        <v>1122036KZ036</v>
      </c>
      <c r="E2274" s="1" t="str">
        <f ca="1">IFERROR(__xludf.DUMMYFUNCTION("""COMPUTED_VALUE"""),"годен до 28.11.2027")</f>
        <v>годен до 28.11.2027</v>
      </c>
      <c r="F2274" s="1" t="str">
        <f ca="1">IFERROR(__xludf.DUMMYFUNCTION("""COMPUTED_VALUE"""),"Бандаж на коленный сустав разъемный 6058 L\XL (Болгария) - 1122036KZ036")</f>
        <v>Бандаж на коленный сустав разъемный 6058 L\XL (Болгария) - 1122036KZ036</v>
      </c>
      <c r="G2274" s="1" t="str">
        <f ca="1">IFERROR(__xludf.DUMMYFUNCTION("""COMPUTED_VALUE"""),"KZ.7700.02.01.00941161 / Действительно до 28.01.2027 / 1122036KZ036 / годен до 28.11.2027")</f>
        <v>KZ.7700.02.01.00941161 / Действительно до 28.01.2027 / 1122036KZ036 / годен до 28.11.2027</v>
      </c>
      <c r="H2274" s="1" t="str">
        <f ca="1">IFERROR(__xludf.DUMMYFUNCTION("""COMPUTED_VALUE"""),"Бандаж на коленный сустав разъемный 6058 L\XL (Болгария) KZ.7700.02.01.00941161 / Действительно до 28.01.2027 / 1122036KZ036 / годен до 28.11.2027")</f>
        <v>Бандаж на коленный сустав разъемный 6058 L\XL (Болгария) KZ.7700.02.01.00941161 / Действительно до 28.01.2027 / 1122036KZ036 / годен до 28.11.2027</v>
      </c>
    </row>
    <row r="2275" spans="1:8" ht="12.75" x14ac:dyDescent="0.2">
      <c r="A2275" s="1" t="str">
        <f ca="1">IFERROR(__xludf.DUMMYFUNCTION("""COMPUTED_VALUE"""),"Бандаж на голеностопный сустав легкой фиксации 7034 M (бежевый) (Болгария)")</f>
        <v>Бандаж на голеностопный сустав легкой фиксации 7034 M (бежевый) (Болгария)</v>
      </c>
      <c r="B2275" s="1" t="str">
        <f ca="1">IFERROR(__xludf.DUMMYFUNCTION("""COMPUTED_VALUE"""),"KZ.7700.02.01.00941216")</f>
        <v>KZ.7700.02.01.00941216</v>
      </c>
      <c r="C2275" s="1" t="str">
        <f ca="1">IFERROR(__xludf.DUMMYFUNCTION("""COMPUTED_VALUE"""),"Действительно до 28.01.2027")</f>
        <v>Действительно до 28.01.2027</v>
      </c>
      <c r="D2275" s="8" t="str">
        <f ca="1">IFERROR(__xludf.DUMMYFUNCTION("""COMPUTED_VALUE"""),"1122036KZ036")</f>
        <v>1122036KZ036</v>
      </c>
      <c r="E2275" s="1" t="str">
        <f ca="1">IFERROR(__xludf.DUMMYFUNCTION("""COMPUTED_VALUE"""),"годен до 28.11.2027")</f>
        <v>годен до 28.11.2027</v>
      </c>
      <c r="F2275" s="1" t="str">
        <f ca="1">IFERROR(__xludf.DUMMYFUNCTION("""COMPUTED_VALUE"""),"Бандаж на голеностопный сустав легкой фиксации 7034 M (бежевый) (Болгария) - 1122036KZ036")</f>
        <v>Бандаж на голеностопный сустав легкой фиксации 7034 M (бежевый) (Болгария) - 1122036KZ036</v>
      </c>
      <c r="G2275" s="1" t="str">
        <f ca="1">IFERROR(__xludf.DUMMYFUNCTION("""COMPUTED_VALUE"""),"KZ.7700.02.01.00941216 / Действительно до 28.01.2027 / 1122036KZ036 / годен до 28.11.2027")</f>
        <v>KZ.7700.02.01.00941216 / Действительно до 28.01.2027 / 1122036KZ036 / годен до 28.11.2027</v>
      </c>
      <c r="H2275" s="1" t="str">
        <f ca="1">IFERROR(__xludf.DUMMYFUNCTION("""COMPUTED_VALUE"""),"Бандаж на голеностопный сустав легкой фиксации 7034 M (бежевый) (Болгария) KZ.7700.02.01.00941216 / Действительно до 28.01.2027 / 1122036KZ036 / годен до 28.11.2027")</f>
        <v>Бандаж на голеностопный сустав легкой фиксации 7034 M (бежевый) (Болгария) KZ.7700.02.01.00941216 / Действительно до 28.01.2027 / 1122036KZ036 / годен до 28.11.2027</v>
      </c>
    </row>
    <row r="2276" spans="1:8" ht="12.75" x14ac:dyDescent="0.2">
      <c r="A2276" s="1" t="str">
        <f ca="1">IFERROR(__xludf.DUMMYFUNCTION("""COMPUTED_VALUE"""),"Бандаж на голеностопный сустав легкой фиксации 7034 L (бежевый) (Болгария)")</f>
        <v>Бандаж на голеностопный сустав легкой фиксации 7034 L (бежевый) (Болгария)</v>
      </c>
      <c r="B2276" s="1" t="str">
        <f ca="1">IFERROR(__xludf.DUMMYFUNCTION("""COMPUTED_VALUE"""),"KZ.7700.02.01.00941216")</f>
        <v>KZ.7700.02.01.00941216</v>
      </c>
      <c r="C2276" s="1" t="str">
        <f ca="1">IFERROR(__xludf.DUMMYFUNCTION("""COMPUTED_VALUE"""),"Действительно до 28.01.2027")</f>
        <v>Действительно до 28.01.2027</v>
      </c>
      <c r="D2276" s="8" t="str">
        <f ca="1">IFERROR(__xludf.DUMMYFUNCTION("""COMPUTED_VALUE"""),"1122036KZ036")</f>
        <v>1122036KZ036</v>
      </c>
      <c r="E2276" s="1" t="str">
        <f ca="1">IFERROR(__xludf.DUMMYFUNCTION("""COMPUTED_VALUE"""),"годен до 28.11.2027")</f>
        <v>годен до 28.11.2027</v>
      </c>
      <c r="F2276" s="1" t="str">
        <f ca="1">IFERROR(__xludf.DUMMYFUNCTION("""COMPUTED_VALUE"""),"Бандаж на голеностопный сустав легкой фиксации 7034 L (бежевый) (Болгария) - 1122036KZ036")</f>
        <v>Бандаж на голеностопный сустав легкой фиксации 7034 L (бежевый) (Болгария) - 1122036KZ036</v>
      </c>
      <c r="G2276" s="1" t="str">
        <f ca="1">IFERROR(__xludf.DUMMYFUNCTION("""COMPUTED_VALUE"""),"KZ.7700.02.01.00941216 / Действительно до 28.01.2027 / 1122036KZ036 / годен до 28.11.2027")</f>
        <v>KZ.7700.02.01.00941216 / Действительно до 28.01.2027 / 1122036KZ036 / годен до 28.11.2027</v>
      </c>
      <c r="H2276" s="1" t="str">
        <f ca="1">IFERROR(__xludf.DUMMYFUNCTION("""COMPUTED_VALUE"""),"Бандаж на голеностопный сустав легкой фиксации 7034 L (бежевый) (Болгария) KZ.7700.02.01.00941216 / Действительно до 28.01.2027 / 1122036KZ036 / годен до 28.11.2027")</f>
        <v>Бандаж на голеностопный сустав легкой фиксации 7034 L (бежевый) (Болгария) KZ.7700.02.01.00941216 / Действительно до 28.01.2027 / 1122036KZ036 / годен до 28.11.2027</v>
      </c>
    </row>
    <row r="2277" spans="1:8" ht="12.75" x14ac:dyDescent="0.2">
      <c r="A2277" s="1" t="str">
        <f ca="1">IFERROR(__xludf.DUMMYFUNCTION("""COMPUTED_VALUE"""),"Бандаж на голеностопный сустав легкой фиксации 7034 XL (бежевый) (Болгария)")</f>
        <v>Бандаж на голеностопный сустав легкой фиксации 7034 XL (бежевый) (Болгария)</v>
      </c>
      <c r="B2277" s="1" t="str">
        <f ca="1">IFERROR(__xludf.DUMMYFUNCTION("""COMPUTED_VALUE"""),"KZ.7700.02.01.00941216")</f>
        <v>KZ.7700.02.01.00941216</v>
      </c>
      <c r="C2277" s="1" t="str">
        <f ca="1">IFERROR(__xludf.DUMMYFUNCTION("""COMPUTED_VALUE"""),"Действительно до 28.01.2027")</f>
        <v>Действительно до 28.01.2027</v>
      </c>
      <c r="D2277" s="8" t="str">
        <f ca="1">IFERROR(__xludf.DUMMYFUNCTION("""COMPUTED_VALUE"""),"1122036KZ036")</f>
        <v>1122036KZ036</v>
      </c>
      <c r="E2277" s="1" t="str">
        <f ca="1">IFERROR(__xludf.DUMMYFUNCTION("""COMPUTED_VALUE"""),"годен до 28.11.2027")</f>
        <v>годен до 28.11.2027</v>
      </c>
      <c r="F2277" s="1" t="str">
        <f ca="1">IFERROR(__xludf.DUMMYFUNCTION("""COMPUTED_VALUE"""),"Бандаж на голеностопный сустав легкой фиксации 7034 XL (бежевый) (Болгария) - 1122036KZ036")</f>
        <v>Бандаж на голеностопный сустав легкой фиксации 7034 XL (бежевый) (Болгария) - 1122036KZ036</v>
      </c>
      <c r="G2277" s="1" t="str">
        <f ca="1">IFERROR(__xludf.DUMMYFUNCTION("""COMPUTED_VALUE"""),"KZ.7700.02.01.00941216 / Действительно до 28.01.2027 / 1122036KZ036 / годен до 28.11.2027")</f>
        <v>KZ.7700.02.01.00941216 / Действительно до 28.01.2027 / 1122036KZ036 / годен до 28.11.2027</v>
      </c>
      <c r="H2277" s="1" t="str">
        <f ca="1">IFERROR(__xludf.DUMMYFUNCTION("""COMPUTED_VALUE"""),"Бандаж на голеностопный сустав легкой фиксации 7034 XL (бежевый) (Болгария) KZ.7700.02.01.00941216 / Действительно до 28.01.2027 / 1122036KZ036 / годен до 28.11.2027")</f>
        <v>Бандаж на голеностопный сустав легкой фиксации 7034 XL (бежевый) (Болгария) KZ.7700.02.01.00941216 / Действительно до 28.01.2027 / 1122036KZ036 / годен до 28.11.2027</v>
      </c>
    </row>
    <row r="2278" spans="1:8" ht="12.75" x14ac:dyDescent="0.2">
      <c r="A2278" s="1" t="str">
        <f ca="1">IFERROR(__xludf.DUMMYFUNCTION("""COMPUTED_VALUE"""),"Бандаж на голеностопный сустав эластичный 7035 S (Болгария)")</f>
        <v>Бандаж на голеностопный сустав эластичный 7035 S (Болгария)</v>
      </c>
      <c r="B2278" s="1" t="str">
        <f ca="1">IFERROR(__xludf.DUMMYFUNCTION("""COMPUTED_VALUE"""),"KZ.7700.02.01.00941201")</f>
        <v>KZ.7700.02.01.00941201</v>
      </c>
      <c r="C2278" s="1" t="str">
        <f ca="1">IFERROR(__xludf.DUMMYFUNCTION("""COMPUTED_VALUE"""),"Действительно до 28.01.2027")</f>
        <v>Действительно до 28.01.2027</v>
      </c>
      <c r="D2278" s="8" t="str">
        <f ca="1">IFERROR(__xludf.DUMMYFUNCTION("""COMPUTED_VALUE"""),"1122036KZ036")</f>
        <v>1122036KZ036</v>
      </c>
      <c r="E2278" s="1" t="str">
        <f ca="1">IFERROR(__xludf.DUMMYFUNCTION("""COMPUTED_VALUE"""),"годен до 28.11.2027")</f>
        <v>годен до 28.11.2027</v>
      </c>
      <c r="F2278" s="1" t="str">
        <f ca="1">IFERROR(__xludf.DUMMYFUNCTION("""COMPUTED_VALUE"""),"Бандаж на голеностопный сустав эластичный 7035 S (Болгария) - 1122036KZ036")</f>
        <v>Бандаж на голеностопный сустав эластичный 7035 S (Болгария) - 1122036KZ036</v>
      </c>
      <c r="G2278" s="1" t="str">
        <f ca="1">IFERROR(__xludf.DUMMYFUNCTION("""COMPUTED_VALUE"""),"KZ.7700.02.01.00941201 / Действительно до 28.01.2027 / 1122036KZ036 / годен до 28.11.2027")</f>
        <v>KZ.7700.02.01.00941201 / Действительно до 28.01.2027 / 1122036KZ036 / годен до 28.11.2027</v>
      </c>
      <c r="H2278" s="1" t="str">
        <f ca="1">IFERROR(__xludf.DUMMYFUNCTION("""COMPUTED_VALUE"""),"Бандаж на голеностопный сустав эластичный 7035 S (Болгария) KZ.7700.02.01.00941201 / Действительно до 28.01.2027 / 1122036KZ036 / годен до 28.11.2027")</f>
        <v>Бандаж на голеностопный сустав эластичный 7035 S (Болгария) KZ.7700.02.01.00941201 / Действительно до 28.01.2027 / 1122036KZ036 / годен до 28.11.2027</v>
      </c>
    </row>
    <row r="2279" spans="1:8" ht="12.75" x14ac:dyDescent="0.2">
      <c r="A2279" s="1" t="str">
        <f ca="1">IFERROR(__xludf.DUMMYFUNCTION("""COMPUTED_VALUE"""),"Бандаж на голеностопный сустав эластичный 7035 M (Болгария)")</f>
        <v>Бандаж на голеностопный сустав эластичный 7035 M (Болгария)</v>
      </c>
      <c r="B2279" s="1" t="str">
        <f ca="1">IFERROR(__xludf.DUMMYFUNCTION("""COMPUTED_VALUE"""),"KZ.7700.02.01.00941201")</f>
        <v>KZ.7700.02.01.00941201</v>
      </c>
      <c r="C2279" s="1" t="str">
        <f ca="1">IFERROR(__xludf.DUMMYFUNCTION("""COMPUTED_VALUE"""),"Действительно до 28.01.2027")</f>
        <v>Действительно до 28.01.2027</v>
      </c>
      <c r="D2279" s="8" t="str">
        <f ca="1">IFERROR(__xludf.DUMMYFUNCTION("""COMPUTED_VALUE"""),"1122036KZ036")</f>
        <v>1122036KZ036</v>
      </c>
      <c r="E2279" s="1" t="str">
        <f ca="1">IFERROR(__xludf.DUMMYFUNCTION("""COMPUTED_VALUE"""),"годен до 28.11.2027")</f>
        <v>годен до 28.11.2027</v>
      </c>
      <c r="F2279" s="1" t="str">
        <f ca="1">IFERROR(__xludf.DUMMYFUNCTION("""COMPUTED_VALUE"""),"Бандаж на голеностопный сустав эластичный 7035 M (Болгария) - 1122036KZ036")</f>
        <v>Бандаж на голеностопный сустав эластичный 7035 M (Болгария) - 1122036KZ036</v>
      </c>
      <c r="G2279" s="1" t="str">
        <f ca="1">IFERROR(__xludf.DUMMYFUNCTION("""COMPUTED_VALUE"""),"KZ.7700.02.01.00941201 / Действительно до 28.01.2027 / 1122036KZ036 / годен до 28.11.2027")</f>
        <v>KZ.7700.02.01.00941201 / Действительно до 28.01.2027 / 1122036KZ036 / годен до 28.11.2027</v>
      </c>
      <c r="H2279" s="1" t="str">
        <f ca="1">IFERROR(__xludf.DUMMYFUNCTION("""COMPUTED_VALUE"""),"Бандаж на голеностопный сустав эластичный 7035 M (Болгария) KZ.7700.02.01.00941201 / Действительно до 28.01.2027 / 1122036KZ036 / годен до 28.11.2027")</f>
        <v>Бандаж на голеностопный сустав эластичный 7035 M (Болгария) KZ.7700.02.01.00941201 / Действительно до 28.01.2027 / 1122036KZ036 / годен до 28.11.2027</v>
      </c>
    </row>
    <row r="2280" spans="1:8" ht="12.75" x14ac:dyDescent="0.2">
      <c r="A2280" s="1" t="str">
        <f ca="1">IFERROR(__xludf.DUMMYFUNCTION("""COMPUTED_VALUE"""),"Бандаж на голеностопный сустав эластичный 7035 L (Болгария)")</f>
        <v>Бандаж на голеностопный сустав эластичный 7035 L (Болгария)</v>
      </c>
      <c r="B2280" s="1" t="str">
        <f ca="1">IFERROR(__xludf.DUMMYFUNCTION("""COMPUTED_VALUE"""),"KZ.7700.02.01.00941201")</f>
        <v>KZ.7700.02.01.00941201</v>
      </c>
      <c r="C2280" s="1" t="str">
        <f ca="1">IFERROR(__xludf.DUMMYFUNCTION("""COMPUTED_VALUE"""),"Действительно до 28.01.2027")</f>
        <v>Действительно до 28.01.2027</v>
      </c>
      <c r="D2280" s="8" t="str">
        <f ca="1">IFERROR(__xludf.DUMMYFUNCTION("""COMPUTED_VALUE"""),"1122036KZ036")</f>
        <v>1122036KZ036</v>
      </c>
      <c r="E2280" s="1" t="str">
        <f ca="1">IFERROR(__xludf.DUMMYFUNCTION("""COMPUTED_VALUE"""),"годен до 28.11.2027")</f>
        <v>годен до 28.11.2027</v>
      </c>
      <c r="F2280" s="1" t="str">
        <f ca="1">IFERROR(__xludf.DUMMYFUNCTION("""COMPUTED_VALUE"""),"Бандаж на голеностопный сустав эластичный 7035 L (Болгария) - 1122036KZ036")</f>
        <v>Бандаж на голеностопный сустав эластичный 7035 L (Болгария) - 1122036KZ036</v>
      </c>
      <c r="G2280" s="1" t="str">
        <f ca="1">IFERROR(__xludf.DUMMYFUNCTION("""COMPUTED_VALUE"""),"KZ.7700.02.01.00941201 / Действительно до 28.01.2027 / 1122036KZ036 / годен до 28.11.2027")</f>
        <v>KZ.7700.02.01.00941201 / Действительно до 28.01.2027 / 1122036KZ036 / годен до 28.11.2027</v>
      </c>
      <c r="H2280" s="1" t="str">
        <f ca="1">IFERROR(__xludf.DUMMYFUNCTION("""COMPUTED_VALUE"""),"Бандаж на голеностопный сустав эластичный 7035 L (Болгария) KZ.7700.02.01.00941201 / Действительно до 28.01.2027 / 1122036KZ036 / годен до 28.11.2027")</f>
        <v>Бандаж на голеностопный сустав эластичный 7035 L (Болгария) KZ.7700.02.01.00941201 / Действительно до 28.01.2027 / 1122036KZ036 / годен до 28.11.2027</v>
      </c>
    </row>
    <row r="2281" spans="1:8" ht="12.75" x14ac:dyDescent="0.2">
      <c r="A2281" s="1" t="str">
        <f ca="1">IFERROR(__xludf.DUMMYFUNCTION("""COMPUTED_VALUE"""),"Бандаж на голеностопный сустав эластичный 7035 XL (Болгария)")</f>
        <v>Бандаж на голеностопный сустав эластичный 7035 XL (Болгария)</v>
      </c>
      <c r="B2281" s="1" t="str">
        <f ca="1">IFERROR(__xludf.DUMMYFUNCTION("""COMPUTED_VALUE"""),"KZ.7700.02.01.00941201")</f>
        <v>KZ.7700.02.01.00941201</v>
      </c>
      <c r="C2281" s="1" t="str">
        <f ca="1">IFERROR(__xludf.DUMMYFUNCTION("""COMPUTED_VALUE"""),"Действительно до 28.01.2027")</f>
        <v>Действительно до 28.01.2027</v>
      </c>
      <c r="D2281" s="8" t="str">
        <f ca="1">IFERROR(__xludf.DUMMYFUNCTION("""COMPUTED_VALUE"""),"1122036KZ036")</f>
        <v>1122036KZ036</v>
      </c>
      <c r="E2281" s="1" t="str">
        <f ca="1">IFERROR(__xludf.DUMMYFUNCTION("""COMPUTED_VALUE"""),"годен до 28.11.2027")</f>
        <v>годен до 28.11.2027</v>
      </c>
      <c r="F2281" s="1" t="str">
        <f ca="1">IFERROR(__xludf.DUMMYFUNCTION("""COMPUTED_VALUE"""),"Бандаж на голеностопный сустав эластичный 7035 XL (Болгария) - 1122036KZ036")</f>
        <v>Бандаж на голеностопный сустав эластичный 7035 XL (Болгария) - 1122036KZ036</v>
      </c>
      <c r="G2281" s="1" t="str">
        <f ca="1">IFERROR(__xludf.DUMMYFUNCTION("""COMPUTED_VALUE"""),"KZ.7700.02.01.00941201 / Действительно до 28.01.2027 / 1122036KZ036 / годен до 28.11.2027")</f>
        <v>KZ.7700.02.01.00941201 / Действительно до 28.01.2027 / 1122036KZ036 / годен до 28.11.2027</v>
      </c>
      <c r="H2281" s="1" t="str">
        <f ca="1">IFERROR(__xludf.DUMMYFUNCTION("""COMPUTED_VALUE"""),"Бандаж на голеностопный сустав эластичный 7035 XL (Болгария) KZ.7700.02.01.00941201 / Действительно до 28.01.2027 / 1122036KZ036 / годен до 28.11.2027")</f>
        <v>Бандаж на голеностопный сустав эластичный 7035 XL (Болгария) KZ.7700.02.01.00941201 / Действительно до 28.01.2027 / 1122036KZ036 / годен до 28.11.2027</v>
      </c>
    </row>
    <row r="2282" spans="1:8" ht="12.75" x14ac:dyDescent="0.2">
      <c r="A2282" s="1" t="str">
        <f ca="1">IFERROR(__xludf.DUMMYFUNCTION("""COMPUTED_VALUE"""),"Бандаж на локтевой сустав эластичный 8317 M (Болгария)")</f>
        <v>Бандаж на локтевой сустав эластичный 8317 M (Болгария)</v>
      </c>
      <c r="B2282" s="1" t="str">
        <f ca="1">IFERROR(__xludf.DUMMYFUNCTION("""COMPUTED_VALUE"""),"KZ.7700.02.01.00941177")</f>
        <v>KZ.7700.02.01.00941177</v>
      </c>
      <c r="C2282" s="1" t="str">
        <f ca="1">IFERROR(__xludf.DUMMYFUNCTION("""COMPUTED_VALUE"""),"Действительно до 28.01.2027")</f>
        <v>Действительно до 28.01.2027</v>
      </c>
      <c r="D2282" s="8" t="str">
        <f ca="1">IFERROR(__xludf.DUMMYFUNCTION("""COMPUTED_VALUE"""),"1122036KZ036")</f>
        <v>1122036KZ036</v>
      </c>
      <c r="E2282" s="1" t="str">
        <f ca="1">IFERROR(__xludf.DUMMYFUNCTION("""COMPUTED_VALUE"""),"годен до 28.11.2027")</f>
        <v>годен до 28.11.2027</v>
      </c>
      <c r="F2282" s="1" t="str">
        <f ca="1">IFERROR(__xludf.DUMMYFUNCTION("""COMPUTED_VALUE"""),"Бандаж на локтевой сустав эластичный 8317 M (Болгария) - 1122036KZ036")</f>
        <v>Бандаж на локтевой сустав эластичный 8317 M (Болгария) - 1122036KZ036</v>
      </c>
      <c r="G2282" s="1" t="str">
        <f ca="1">IFERROR(__xludf.DUMMYFUNCTION("""COMPUTED_VALUE"""),"KZ.7700.02.01.00941177 / Действительно до 28.01.2027 / 1122036KZ036 / годен до 28.11.2027")</f>
        <v>KZ.7700.02.01.00941177 / Действительно до 28.01.2027 / 1122036KZ036 / годен до 28.11.2027</v>
      </c>
      <c r="H2282" s="1" t="str">
        <f ca="1">IFERROR(__xludf.DUMMYFUNCTION("""COMPUTED_VALUE"""),"Бандаж на локтевой сустав эластичный 8317 M (Болгария) KZ.7700.02.01.00941177 / Действительно до 28.01.2027 / 1122036KZ036 / годен до 28.11.2027")</f>
        <v>Бандаж на локтевой сустав эластичный 8317 M (Болгария) KZ.7700.02.01.00941177 / Действительно до 28.01.2027 / 1122036KZ036 / годен до 28.11.2027</v>
      </c>
    </row>
    <row r="2283" spans="1:8" ht="12.75" x14ac:dyDescent="0.2">
      <c r="A2283" s="1" t="str">
        <f ca="1">IFERROR(__xludf.DUMMYFUNCTION("""COMPUTED_VALUE"""),"Бандаж на локтевой сустав эластичный 8317 L (Болгария)")</f>
        <v>Бандаж на локтевой сустав эластичный 8317 L (Болгария)</v>
      </c>
      <c r="B2283" s="1" t="str">
        <f ca="1">IFERROR(__xludf.DUMMYFUNCTION("""COMPUTED_VALUE"""),"KZ.7700.02.01.00941177")</f>
        <v>KZ.7700.02.01.00941177</v>
      </c>
      <c r="C2283" s="1" t="str">
        <f ca="1">IFERROR(__xludf.DUMMYFUNCTION("""COMPUTED_VALUE"""),"Действительно до 28.01.2027")</f>
        <v>Действительно до 28.01.2027</v>
      </c>
      <c r="D2283" s="8" t="str">
        <f ca="1">IFERROR(__xludf.DUMMYFUNCTION("""COMPUTED_VALUE"""),"1122036KZ036")</f>
        <v>1122036KZ036</v>
      </c>
      <c r="E2283" s="1" t="str">
        <f ca="1">IFERROR(__xludf.DUMMYFUNCTION("""COMPUTED_VALUE"""),"годен до 28.11.2027")</f>
        <v>годен до 28.11.2027</v>
      </c>
      <c r="F2283" s="1" t="str">
        <f ca="1">IFERROR(__xludf.DUMMYFUNCTION("""COMPUTED_VALUE"""),"Бандаж на локтевой сустав эластичный 8317 L (Болгария) - 1122036KZ036")</f>
        <v>Бандаж на локтевой сустав эластичный 8317 L (Болгария) - 1122036KZ036</v>
      </c>
      <c r="G2283" s="1" t="str">
        <f ca="1">IFERROR(__xludf.DUMMYFUNCTION("""COMPUTED_VALUE"""),"KZ.7700.02.01.00941177 / Действительно до 28.01.2027 / 1122036KZ036 / годен до 28.11.2027")</f>
        <v>KZ.7700.02.01.00941177 / Действительно до 28.01.2027 / 1122036KZ036 / годен до 28.11.2027</v>
      </c>
      <c r="H2283" s="1" t="str">
        <f ca="1">IFERROR(__xludf.DUMMYFUNCTION("""COMPUTED_VALUE"""),"Бандаж на локтевой сустав эластичный 8317 L (Болгария) KZ.7700.02.01.00941177 / Действительно до 28.01.2027 / 1122036KZ036 / годен до 28.11.2027")</f>
        <v>Бандаж на локтевой сустав эластичный 8317 L (Болгария) KZ.7700.02.01.00941177 / Действительно до 28.01.2027 / 1122036KZ036 / годен до 28.11.2027</v>
      </c>
    </row>
    <row r="2284" spans="1:8" ht="12.75" x14ac:dyDescent="0.2">
      <c r="A2284" s="1" t="str">
        <f ca="1">IFERROR(__xludf.DUMMYFUNCTION("""COMPUTED_VALUE"""),"Бандаж на локтевой сустав эластичный 8317 XL (Болгария)")</f>
        <v>Бандаж на локтевой сустав эластичный 8317 XL (Болгария)</v>
      </c>
      <c r="B2284" s="1" t="str">
        <f ca="1">IFERROR(__xludf.DUMMYFUNCTION("""COMPUTED_VALUE"""),"KZ.7700.02.01.00941177")</f>
        <v>KZ.7700.02.01.00941177</v>
      </c>
      <c r="C2284" s="1" t="str">
        <f ca="1">IFERROR(__xludf.DUMMYFUNCTION("""COMPUTED_VALUE"""),"Действительно до 28.01.2027")</f>
        <v>Действительно до 28.01.2027</v>
      </c>
      <c r="D2284" s="8" t="str">
        <f ca="1">IFERROR(__xludf.DUMMYFUNCTION("""COMPUTED_VALUE"""),"1122036KZ036")</f>
        <v>1122036KZ036</v>
      </c>
      <c r="E2284" s="1" t="str">
        <f ca="1">IFERROR(__xludf.DUMMYFUNCTION("""COMPUTED_VALUE"""),"годен до 28.11.2027")</f>
        <v>годен до 28.11.2027</v>
      </c>
      <c r="F2284" s="1" t="str">
        <f ca="1">IFERROR(__xludf.DUMMYFUNCTION("""COMPUTED_VALUE"""),"Бандаж на локтевой сустав эластичный 8317 XL (Болгария) - 1122036KZ036")</f>
        <v>Бандаж на локтевой сустав эластичный 8317 XL (Болгария) - 1122036KZ036</v>
      </c>
      <c r="G2284" s="1" t="str">
        <f ca="1">IFERROR(__xludf.DUMMYFUNCTION("""COMPUTED_VALUE"""),"KZ.7700.02.01.00941177 / Действительно до 28.01.2027 / 1122036KZ036 / годен до 28.11.2027")</f>
        <v>KZ.7700.02.01.00941177 / Действительно до 28.01.2027 / 1122036KZ036 / годен до 28.11.2027</v>
      </c>
      <c r="H2284" s="1" t="str">
        <f ca="1">IFERROR(__xludf.DUMMYFUNCTION("""COMPUTED_VALUE"""),"Бандаж на локтевой сустав эластичный 8317 XL (Болгария) KZ.7700.02.01.00941177 / Действительно до 28.01.2027 / 1122036KZ036 / годен до 28.11.2027")</f>
        <v>Бандаж на локтевой сустав эластичный 8317 XL (Болгария) KZ.7700.02.01.00941177 / Действительно до 28.01.2027 / 1122036KZ036 / годен до 28.11.2027</v>
      </c>
    </row>
    <row r="2285" spans="1:8" ht="12.75" x14ac:dyDescent="0.2">
      <c r="A2285" s="1" t="str">
        <f ca="1">IFERROR(__xludf.DUMMYFUNCTION("""COMPUTED_VALUE"""),"Бандаж на лучезапястный сустав эластичный 8503 S (Болгария)")</f>
        <v>Бандаж на лучезапястный сустав эластичный 8503 S (Болгария)</v>
      </c>
      <c r="B2285" s="1" t="str">
        <f ca="1">IFERROR(__xludf.DUMMYFUNCTION("""COMPUTED_VALUE"""),"KZ.7700.02.01.00941179")</f>
        <v>KZ.7700.02.01.00941179</v>
      </c>
      <c r="C2285" s="1" t="str">
        <f ca="1">IFERROR(__xludf.DUMMYFUNCTION("""COMPUTED_VALUE"""),"Действительно до 28.01.2027")</f>
        <v>Действительно до 28.01.2027</v>
      </c>
      <c r="D2285" s="8" t="str">
        <f ca="1">IFERROR(__xludf.DUMMYFUNCTION("""COMPUTED_VALUE"""),"1122036KZ036")</f>
        <v>1122036KZ036</v>
      </c>
      <c r="E2285" s="1" t="str">
        <f ca="1">IFERROR(__xludf.DUMMYFUNCTION("""COMPUTED_VALUE"""),"годен до 28.11.2027")</f>
        <v>годен до 28.11.2027</v>
      </c>
      <c r="F2285" s="1" t="str">
        <f ca="1">IFERROR(__xludf.DUMMYFUNCTION("""COMPUTED_VALUE"""),"Бандаж на лучезапястный сустав эластичный 8503 S (Болгария) - 1122036KZ036")</f>
        <v>Бандаж на лучезапястный сустав эластичный 8503 S (Болгария) - 1122036KZ036</v>
      </c>
      <c r="G2285" s="1" t="str">
        <f ca="1">IFERROR(__xludf.DUMMYFUNCTION("""COMPUTED_VALUE"""),"KZ.7700.02.01.00941179 / Действительно до 28.01.2027 / 1122036KZ036 / годен до 28.11.2027")</f>
        <v>KZ.7700.02.01.00941179 / Действительно до 28.01.2027 / 1122036KZ036 / годен до 28.11.2027</v>
      </c>
      <c r="H2285" s="1" t="str">
        <f ca="1">IFERROR(__xludf.DUMMYFUNCTION("""COMPUTED_VALUE"""),"Бандаж на лучезапястный сустав эластичный 8503 S (Болгария) KZ.7700.02.01.00941179 / Действительно до 28.01.2027 / 1122036KZ036 / годен до 28.11.2027")</f>
        <v>Бандаж на лучезапястный сустав эластичный 8503 S (Болгария) KZ.7700.02.01.00941179 / Действительно до 28.01.2027 / 1122036KZ036 / годен до 28.11.2027</v>
      </c>
    </row>
    <row r="2286" spans="1:8" ht="12.75" x14ac:dyDescent="0.2">
      <c r="A2286" s="1" t="str">
        <f ca="1">IFERROR(__xludf.DUMMYFUNCTION("""COMPUTED_VALUE"""),"Бандаж на лучезапястный сустав эластичный 8503 M (Болгария)")</f>
        <v>Бандаж на лучезапястный сустав эластичный 8503 M (Болгария)</v>
      </c>
      <c r="B2286" s="1" t="str">
        <f ca="1">IFERROR(__xludf.DUMMYFUNCTION("""COMPUTED_VALUE"""),"KZ.7700.02.01.00941179")</f>
        <v>KZ.7700.02.01.00941179</v>
      </c>
      <c r="C2286" s="1" t="str">
        <f ca="1">IFERROR(__xludf.DUMMYFUNCTION("""COMPUTED_VALUE"""),"Действительно до 28.01.2027")</f>
        <v>Действительно до 28.01.2027</v>
      </c>
      <c r="D2286" s="8" t="str">
        <f ca="1">IFERROR(__xludf.DUMMYFUNCTION("""COMPUTED_VALUE"""),"1122036KZ036")</f>
        <v>1122036KZ036</v>
      </c>
      <c r="E2286" s="1" t="str">
        <f ca="1">IFERROR(__xludf.DUMMYFUNCTION("""COMPUTED_VALUE"""),"годен до 28.11.2027")</f>
        <v>годен до 28.11.2027</v>
      </c>
      <c r="F2286" s="1" t="str">
        <f ca="1">IFERROR(__xludf.DUMMYFUNCTION("""COMPUTED_VALUE"""),"Бандаж на лучезапястный сустав эластичный 8503 M (Болгария) - 1122036KZ036")</f>
        <v>Бандаж на лучезапястный сустав эластичный 8503 M (Болгария) - 1122036KZ036</v>
      </c>
      <c r="G2286" s="1" t="str">
        <f ca="1">IFERROR(__xludf.DUMMYFUNCTION("""COMPUTED_VALUE"""),"KZ.7700.02.01.00941179 / Действительно до 28.01.2027 / 1122036KZ036 / годен до 28.11.2027")</f>
        <v>KZ.7700.02.01.00941179 / Действительно до 28.01.2027 / 1122036KZ036 / годен до 28.11.2027</v>
      </c>
      <c r="H2286" s="1" t="str">
        <f ca="1">IFERROR(__xludf.DUMMYFUNCTION("""COMPUTED_VALUE"""),"Бандаж на лучезапястный сустав эластичный 8503 M (Болгария) KZ.7700.02.01.00941179 / Действительно до 28.01.2027 / 1122036KZ036 / годен до 28.11.2027")</f>
        <v>Бандаж на лучезапястный сустав эластичный 8503 M (Болгария) KZ.7700.02.01.00941179 / Действительно до 28.01.2027 / 1122036KZ036 / годен до 28.11.2027</v>
      </c>
    </row>
    <row r="2287" spans="1:8" ht="12.75" x14ac:dyDescent="0.2">
      <c r="A2287" s="1" t="str">
        <f ca="1">IFERROR(__xludf.DUMMYFUNCTION("""COMPUTED_VALUE"""),"Бандаж на лучезапястный сустав эластичный 8503 L (Болгария)")</f>
        <v>Бандаж на лучезапястный сустав эластичный 8503 L (Болгария)</v>
      </c>
      <c r="B2287" s="1" t="str">
        <f ca="1">IFERROR(__xludf.DUMMYFUNCTION("""COMPUTED_VALUE"""),"KZ.7700.02.01.00941179")</f>
        <v>KZ.7700.02.01.00941179</v>
      </c>
      <c r="C2287" s="1" t="str">
        <f ca="1">IFERROR(__xludf.DUMMYFUNCTION("""COMPUTED_VALUE"""),"Действительно до 28.01.2027")</f>
        <v>Действительно до 28.01.2027</v>
      </c>
      <c r="D2287" s="8" t="str">
        <f ca="1">IFERROR(__xludf.DUMMYFUNCTION("""COMPUTED_VALUE"""),"1122036KZ036")</f>
        <v>1122036KZ036</v>
      </c>
      <c r="E2287" s="1" t="str">
        <f ca="1">IFERROR(__xludf.DUMMYFUNCTION("""COMPUTED_VALUE"""),"годен до 28.11.2027")</f>
        <v>годен до 28.11.2027</v>
      </c>
      <c r="F2287" s="1" t="str">
        <f ca="1">IFERROR(__xludf.DUMMYFUNCTION("""COMPUTED_VALUE"""),"Бандаж на лучезапястный сустав эластичный 8503 L (Болгария) - 1122036KZ036")</f>
        <v>Бандаж на лучезапястный сустав эластичный 8503 L (Болгария) - 1122036KZ036</v>
      </c>
      <c r="G2287" s="1" t="str">
        <f ca="1">IFERROR(__xludf.DUMMYFUNCTION("""COMPUTED_VALUE"""),"KZ.7700.02.01.00941179 / Действительно до 28.01.2027 / 1122036KZ036 / годен до 28.11.2027")</f>
        <v>KZ.7700.02.01.00941179 / Действительно до 28.01.2027 / 1122036KZ036 / годен до 28.11.2027</v>
      </c>
      <c r="H2287" s="1" t="str">
        <f ca="1">IFERROR(__xludf.DUMMYFUNCTION("""COMPUTED_VALUE"""),"Бандаж на лучезапястный сустав эластичный 8503 L (Болгария) KZ.7700.02.01.00941179 / Действительно до 28.01.2027 / 1122036KZ036 / годен до 28.11.2027")</f>
        <v>Бандаж на лучезапястный сустав эластичный 8503 L (Болгария) KZ.7700.02.01.00941179 / Действительно до 28.01.2027 / 1122036KZ036 / годен до 28.11.2027</v>
      </c>
    </row>
    <row r="2288" spans="1:8" ht="12.75" x14ac:dyDescent="0.2">
      <c r="A2288" s="1" t="str">
        <f ca="1">IFERROR(__xludf.DUMMYFUNCTION("""COMPUTED_VALUE"""),"Бандаж на лучезапястный сустав эластичный 8503 XL (Болгария)")</f>
        <v>Бандаж на лучезапястный сустав эластичный 8503 XL (Болгария)</v>
      </c>
      <c r="B2288" s="1" t="str">
        <f ca="1">IFERROR(__xludf.DUMMYFUNCTION("""COMPUTED_VALUE"""),"KZ.7700.02.01.00941179")</f>
        <v>KZ.7700.02.01.00941179</v>
      </c>
      <c r="C2288" s="1" t="str">
        <f ca="1">IFERROR(__xludf.DUMMYFUNCTION("""COMPUTED_VALUE"""),"Действительно до 28.01.2027")</f>
        <v>Действительно до 28.01.2027</v>
      </c>
      <c r="D2288" s="8" t="str">
        <f ca="1">IFERROR(__xludf.DUMMYFUNCTION("""COMPUTED_VALUE"""),"1122036KZ036")</f>
        <v>1122036KZ036</v>
      </c>
      <c r="E2288" s="1" t="str">
        <f ca="1">IFERROR(__xludf.DUMMYFUNCTION("""COMPUTED_VALUE"""),"годен до 28.11.2027")</f>
        <v>годен до 28.11.2027</v>
      </c>
      <c r="F2288" s="1" t="str">
        <f ca="1">IFERROR(__xludf.DUMMYFUNCTION("""COMPUTED_VALUE"""),"Бандаж на лучезапястный сустав эластичный 8503 XL (Болгария) - 1122036KZ036")</f>
        <v>Бандаж на лучезапястный сустав эластичный 8503 XL (Болгария) - 1122036KZ036</v>
      </c>
      <c r="G2288" s="1" t="str">
        <f ca="1">IFERROR(__xludf.DUMMYFUNCTION("""COMPUTED_VALUE"""),"KZ.7700.02.01.00941179 / Действительно до 28.01.2027 / 1122036KZ036 / годен до 28.11.2027")</f>
        <v>KZ.7700.02.01.00941179 / Действительно до 28.01.2027 / 1122036KZ036 / годен до 28.11.2027</v>
      </c>
      <c r="H2288" s="1" t="str">
        <f ca="1">IFERROR(__xludf.DUMMYFUNCTION("""COMPUTED_VALUE"""),"Бандаж на лучезапястный сустав эластичный 8503 XL (Болгария) KZ.7700.02.01.00941179 / Действительно до 28.01.2027 / 1122036KZ036 / годен до 28.11.2027")</f>
        <v>Бандаж на лучезапястный сустав эластичный 8503 XL (Болгария) KZ.7700.02.01.00941179 / Действительно до 28.01.2027 / 1122036KZ036 / годен до 28.11.2027</v>
      </c>
    </row>
    <row r="2289" spans="1:8" ht="12.75" x14ac:dyDescent="0.2">
      <c r="A2289" s="1" t="str">
        <f ca="1">IFERROR(__xludf.DUMMYFUNCTION("""COMPUTED_VALUE"""),"Бандаж на лучезапястный сустав легкой фиксации 8505 L/XL (Бежевый) (Болгария)")</f>
        <v>Бандаж на лучезапястный сустав легкой фиксации 8505 L/XL (Бежевый) (Болгария)</v>
      </c>
      <c r="B2289" s="1" t="str">
        <f ca="1">IFERROR(__xludf.DUMMYFUNCTION("""COMPUTED_VALUE"""),"KZ.7700.02.01.00941200")</f>
        <v>KZ.7700.02.01.00941200</v>
      </c>
      <c r="C2289" s="1" t="str">
        <f ca="1">IFERROR(__xludf.DUMMYFUNCTION("""COMPUTED_VALUE"""),"Действительно до 28.01.2027")</f>
        <v>Действительно до 28.01.2027</v>
      </c>
      <c r="D2289" s="8" t="str">
        <f ca="1">IFERROR(__xludf.DUMMYFUNCTION("""COMPUTED_VALUE"""),"1122036KZ036")</f>
        <v>1122036KZ036</v>
      </c>
      <c r="E2289" s="1" t="str">
        <f ca="1">IFERROR(__xludf.DUMMYFUNCTION("""COMPUTED_VALUE"""),"годен до 28.11.2027")</f>
        <v>годен до 28.11.2027</v>
      </c>
      <c r="F2289" s="1" t="str">
        <f ca="1">IFERROR(__xludf.DUMMYFUNCTION("""COMPUTED_VALUE"""),"Бандаж на лучезапястный сустав легкой фиксации 8505 L/XL (Бежевый) (Болгария) - 1122036KZ036")</f>
        <v>Бандаж на лучезапястный сустав легкой фиксации 8505 L/XL (Бежевый) (Болгария) - 1122036KZ036</v>
      </c>
      <c r="G2289" s="1" t="str">
        <f ca="1">IFERROR(__xludf.DUMMYFUNCTION("""COMPUTED_VALUE"""),"KZ.7700.02.01.00941200 / Действительно до 28.01.2027 / 1122036KZ036 / годен до 28.11.2027")</f>
        <v>KZ.7700.02.01.00941200 / Действительно до 28.01.2027 / 1122036KZ036 / годен до 28.11.2027</v>
      </c>
      <c r="H2289" s="1" t="str">
        <f ca="1">IFERROR(__xludf.DUMMYFUNCTION("""COMPUTED_VALUE"""),"Бандаж на лучезапястный сустав легкой фиксации 8505 L/XL (Бежевый) (Болгария) KZ.7700.02.01.00941200 / Действительно до 28.01.2027 / 1122036KZ036 / годен до 28.11.2027")</f>
        <v>Бандаж на лучезапястный сустав легкой фиксации 8505 L/XL (Бежевый) (Болгария) KZ.7700.02.01.00941200 / Действительно до 28.01.2027 / 1122036KZ036 / годен до 28.11.2027</v>
      </c>
    </row>
    <row r="2290" spans="1:8" ht="12.75" x14ac:dyDescent="0.2">
      <c r="A2290" s="1" t="str">
        <f ca="1">IFERROR(__xludf.DUMMYFUNCTION("""COMPUTED_VALUE"""),"Бандаж на лучезапястный сустав с фиксацией пальца 8552 L\XL (Болгария)")</f>
        <v>Бандаж на лучезапястный сустав с фиксацией пальца 8552 L\XL (Болгария)</v>
      </c>
      <c r="B2290" s="1" t="str">
        <f ca="1">IFERROR(__xludf.DUMMYFUNCTION("""COMPUTED_VALUE"""),"KZ.7700.02.01.00941202")</f>
        <v>KZ.7700.02.01.00941202</v>
      </c>
      <c r="C2290" s="1" t="str">
        <f ca="1">IFERROR(__xludf.DUMMYFUNCTION("""COMPUTED_VALUE"""),"Действительно до 28.01.2027")</f>
        <v>Действительно до 28.01.2027</v>
      </c>
      <c r="D2290" s="8" t="str">
        <f ca="1">IFERROR(__xludf.DUMMYFUNCTION("""COMPUTED_VALUE"""),"1122036KZ036")</f>
        <v>1122036KZ036</v>
      </c>
      <c r="E2290" s="1" t="str">
        <f ca="1">IFERROR(__xludf.DUMMYFUNCTION("""COMPUTED_VALUE"""),"годен до 28.11.2027")</f>
        <v>годен до 28.11.2027</v>
      </c>
      <c r="F2290" s="1" t="str">
        <f ca="1">IFERROR(__xludf.DUMMYFUNCTION("""COMPUTED_VALUE"""),"Бандаж на лучезапястный сустав с фиксацией пальца 8552 L\XL (Болгария) - 1122036KZ036")</f>
        <v>Бандаж на лучезапястный сустав с фиксацией пальца 8552 L\XL (Болгария) - 1122036KZ036</v>
      </c>
      <c r="G2290" s="1" t="str">
        <f ca="1">IFERROR(__xludf.DUMMYFUNCTION("""COMPUTED_VALUE"""),"KZ.7700.02.01.00941202 / Действительно до 28.01.2027 / 1122036KZ036 / годен до 28.11.2027")</f>
        <v>KZ.7700.02.01.00941202 / Действительно до 28.01.2027 / 1122036KZ036 / годен до 28.11.2027</v>
      </c>
      <c r="H2290" s="1" t="str">
        <f ca="1">IFERROR(__xludf.DUMMYFUNCTION("""COMPUTED_VALUE"""),"Бандаж на лучезапястный сустав с фиксацией пальца 8552 L\XL (Болгария) KZ.7700.02.01.00941202 / Действительно до 28.01.2027 / 1122036KZ036 / годен до 28.11.2027")</f>
        <v>Бандаж на лучезапястный сустав с фиксацией пальца 8552 L\XL (Болгария) KZ.7700.02.01.00941202 / Действительно до 28.01.2027 / 1122036KZ036 / годен до 28.11.2027</v>
      </c>
    </row>
    <row r="2291" spans="1:8" ht="12.75" x14ac:dyDescent="0.2">
      <c r="A2291" s="1" t="str">
        <f ca="1">IFERROR(__xludf.DUMMYFUNCTION("""COMPUTED_VALUE"""),"Бандаж для руки поддерживающий облегченный (косынка) 9912 S (белый) (Болгария)")</f>
        <v>Бандаж для руки поддерживающий облегченный (косынка) 9912 S (белый) (Болгария)</v>
      </c>
      <c r="B2291" s="1" t="str">
        <f ca="1">IFERROR(__xludf.DUMMYFUNCTION("""COMPUTED_VALUE"""),"KZ.7700.02.01.00941165")</f>
        <v>KZ.7700.02.01.00941165</v>
      </c>
      <c r="C2291" s="1" t="str">
        <f ca="1">IFERROR(__xludf.DUMMYFUNCTION("""COMPUTED_VALUE"""),"Действительно до 28.01.2027")</f>
        <v>Действительно до 28.01.2027</v>
      </c>
      <c r="D2291" s="8" t="str">
        <f ca="1">IFERROR(__xludf.DUMMYFUNCTION("""COMPUTED_VALUE"""),"1122036KZ036")</f>
        <v>1122036KZ036</v>
      </c>
      <c r="E2291" s="1" t="str">
        <f ca="1">IFERROR(__xludf.DUMMYFUNCTION("""COMPUTED_VALUE"""),"годен до 28.11.2027")</f>
        <v>годен до 28.11.2027</v>
      </c>
      <c r="F2291" s="1" t="str">
        <f ca="1">IFERROR(__xludf.DUMMYFUNCTION("""COMPUTED_VALUE"""),"Бандаж для руки поддерживающий облегченный (косынка) 9912 S (белый) (Болгария) - 1122036KZ036")</f>
        <v>Бандаж для руки поддерживающий облегченный (косынка) 9912 S (белый) (Болгария) - 1122036KZ036</v>
      </c>
      <c r="G2291" s="1" t="str">
        <f ca="1">IFERROR(__xludf.DUMMYFUNCTION("""COMPUTED_VALUE"""),"KZ.7700.02.01.00941165 / Действительно до 28.01.2027 / 1122036KZ036 / годен до 28.11.2027")</f>
        <v>KZ.7700.02.01.00941165 / Действительно до 28.01.2027 / 1122036KZ036 / годен до 28.11.2027</v>
      </c>
      <c r="H2291" s="1" t="str">
        <f ca="1">IFERROR(__xludf.DUMMYFUNCTION("""COMPUTED_VALUE"""),"Бандаж для руки поддерживающий облегченный (косынка) 9912 S (белый) (Болгария) KZ.7700.02.01.00941165 / Действительно до 28.01.2027 / 1122036KZ036 / годен до 28.11.2027")</f>
        <v>Бандаж для руки поддерживающий облегченный (косынка) 9912 S (белый) (Болгария) KZ.7700.02.01.00941165 / Действительно до 28.01.2027 / 1122036KZ036 / годен до 28.11.2027</v>
      </c>
    </row>
    <row r="2292" spans="1:8" ht="12.75" x14ac:dyDescent="0.2">
      <c r="A2292" s="1" t="str">
        <f ca="1">IFERROR(__xludf.DUMMYFUNCTION("""COMPUTED_VALUE"""),"Бандаж для руки поддерживающий облегченный (косынка) 9912 M (белый) (Болгария)")</f>
        <v>Бандаж для руки поддерживающий облегченный (косынка) 9912 M (белый) (Болгария)</v>
      </c>
      <c r="B2292" s="1" t="str">
        <f ca="1">IFERROR(__xludf.DUMMYFUNCTION("""COMPUTED_VALUE"""),"KZ.7700.02.01.00941165")</f>
        <v>KZ.7700.02.01.00941165</v>
      </c>
      <c r="C2292" s="1" t="str">
        <f ca="1">IFERROR(__xludf.DUMMYFUNCTION("""COMPUTED_VALUE"""),"Действительно до 28.01.2027")</f>
        <v>Действительно до 28.01.2027</v>
      </c>
      <c r="D2292" s="8" t="str">
        <f ca="1">IFERROR(__xludf.DUMMYFUNCTION("""COMPUTED_VALUE"""),"1122036KZ036")</f>
        <v>1122036KZ036</v>
      </c>
      <c r="E2292" s="1" t="str">
        <f ca="1">IFERROR(__xludf.DUMMYFUNCTION("""COMPUTED_VALUE"""),"годен до 28.11.2027")</f>
        <v>годен до 28.11.2027</v>
      </c>
      <c r="F2292" s="1" t="str">
        <f ca="1">IFERROR(__xludf.DUMMYFUNCTION("""COMPUTED_VALUE"""),"Бандаж для руки поддерживающий облегченный (косынка) 9912 M (белый) (Болгария) - 1122036KZ036")</f>
        <v>Бандаж для руки поддерживающий облегченный (косынка) 9912 M (белый) (Болгария) - 1122036KZ036</v>
      </c>
      <c r="G2292" s="1" t="str">
        <f ca="1">IFERROR(__xludf.DUMMYFUNCTION("""COMPUTED_VALUE"""),"KZ.7700.02.01.00941165 / Действительно до 28.01.2027 / 1122036KZ036 / годен до 28.11.2027")</f>
        <v>KZ.7700.02.01.00941165 / Действительно до 28.01.2027 / 1122036KZ036 / годен до 28.11.2027</v>
      </c>
      <c r="H2292" s="1" t="str">
        <f ca="1">IFERROR(__xludf.DUMMYFUNCTION("""COMPUTED_VALUE"""),"Бандаж для руки поддерживающий облегченный (косынка) 9912 M (белый) (Болгария) KZ.7700.02.01.00941165 / Действительно до 28.01.2027 / 1122036KZ036 / годен до 28.11.2027")</f>
        <v>Бандаж для руки поддерживающий облегченный (косынка) 9912 M (белый) (Болгария) KZ.7700.02.01.00941165 / Действительно до 28.01.2027 / 1122036KZ036 / годен до 28.11.2027</v>
      </c>
    </row>
    <row r="2293" spans="1:8" ht="12.75" x14ac:dyDescent="0.2">
      <c r="A2293" s="1" t="str">
        <f ca="1">IFERROR(__xludf.DUMMYFUNCTION("""COMPUTED_VALUE"""),"Бандаж для руки поддерживающий облегченный (косынка) 9912 L (белый) (Болгария)")</f>
        <v>Бандаж для руки поддерживающий облегченный (косынка) 9912 L (белый) (Болгария)</v>
      </c>
      <c r="B2293" s="1" t="str">
        <f ca="1">IFERROR(__xludf.DUMMYFUNCTION("""COMPUTED_VALUE"""),"KZ.7700.02.01.00941165")</f>
        <v>KZ.7700.02.01.00941165</v>
      </c>
      <c r="C2293" s="1" t="str">
        <f ca="1">IFERROR(__xludf.DUMMYFUNCTION("""COMPUTED_VALUE"""),"Действительно до 28.01.2027")</f>
        <v>Действительно до 28.01.2027</v>
      </c>
      <c r="D2293" s="8" t="str">
        <f ca="1">IFERROR(__xludf.DUMMYFUNCTION("""COMPUTED_VALUE"""),"1122036KZ036")</f>
        <v>1122036KZ036</v>
      </c>
      <c r="E2293" s="1" t="str">
        <f ca="1">IFERROR(__xludf.DUMMYFUNCTION("""COMPUTED_VALUE"""),"годен до 28.11.2027")</f>
        <v>годен до 28.11.2027</v>
      </c>
      <c r="F2293" s="1" t="str">
        <f ca="1">IFERROR(__xludf.DUMMYFUNCTION("""COMPUTED_VALUE"""),"Бандаж для руки поддерживающий облегченный (косынка) 9912 L (белый) (Болгария) - 1122036KZ036")</f>
        <v>Бандаж для руки поддерживающий облегченный (косынка) 9912 L (белый) (Болгария) - 1122036KZ036</v>
      </c>
      <c r="G2293" s="1" t="str">
        <f ca="1">IFERROR(__xludf.DUMMYFUNCTION("""COMPUTED_VALUE"""),"KZ.7700.02.01.00941165 / Действительно до 28.01.2027 / 1122036KZ036 / годен до 28.11.2027")</f>
        <v>KZ.7700.02.01.00941165 / Действительно до 28.01.2027 / 1122036KZ036 / годен до 28.11.2027</v>
      </c>
      <c r="H2293" s="1" t="str">
        <f ca="1">IFERROR(__xludf.DUMMYFUNCTION("""COMPUTED_VALUE"""),"Бандаж для руки поддерживающий облегченный (косынка) 9912 L (белый) (Болгария) KZ.7700.02.01.00941165 / Действительно до 28.01.2027 / 1122036KZ036 / годен до 28.11.2027")</f>
        <v>Бандаж для руки поддерживающий облегченный (косынка) 9912 L (белый) (Болгария) KZ.7700.02.01.00941165 / Действительно до 28.01.2027 / 1122036KZ036 / годен до 28.11.2027</v>
      </c>
    </row>
    <row r="2294" spans="1:8" ht="12.75" x14ac:dyDescent="0.2">
      <c r="A2294" s="1" t="str">
        <f ca="1">IFERROR(__xludf.DUMMYFUNCTION("""COMPUTED_VALUE"""),"Бандаж для руки поддерживающий облегченный (косынка) 9912 S (черный) (Болгария)")</f>
        <v>Бандаж для руки поддерживающий облегченный (косынка) 9912 S (черный) (Болгария)</v>
      </c>
      <c r="B2294" s="1" t="str">
        <f ca="1">IFERROR(__xludf.DUMMYFUNCTION("""COMPUTED_VALUE"""),"KZ.7700.02.01.00941160")</f>
        <v>KZ.7700.02.01.00941160</v>
      </c>
      <c r="C2294" s="1" t="str">
        <f ca="1">IFERROR(__xludf.DUMMYFUNCTION("""COMPUTED_VALUE"""),"Действительно до 28.01.2027")</f>
        <v>Действительно до 28.01.2027</v>
      </c>
      <c r="D2294" s="8" t="str">
        <f ca="1">IFERROR(__xludf.DUMMYFUNCTION("""COMPUTED_VALUE"""),"1122036KZ036")</f>
        <v>1122036KZ036</v>
      </c>
      <c r="E2294" s="1" t="str">
        <f ca="1">IFERROR(__xludf.DUMMYFUNCTION("""COMPUTED_VALUE"""),"годен до 28.11.2027")</f>
        <v>годен до 28.11.2027</v>
      </c>
      <c r="F2294" s="1" t="str">
        <f ca="1">IFERROR(__xludf.DUMMYFUNCTION("""COMPUTED_VALUE"""),"Бандаж для руки поддерживающий облегченный (косынка) 9912 S (черный) (Болгария) - 1122036KZ036")</f>
        <v>Бандаж для руки поддерживающий облегченный (косынка) 9912 S (черный) (Болгария) - 1122036KZ036</v>
      </c>
      <c r="G2294" s="1" t="str">
        <f ca="1">IFERROR(__xludf.DUMMYFUNCTION("""COMPUTED_VALUE"""),"KZ.7700.02.01.00941160 / Действительно до 28.01.2027 / 1122036KZ036 / годен до 28.11.2027")</f>
        <v>KZ.7700.02.01.00941160 / Действительно до 28.01.2027 / 1122036KZ036 / годен до 28.11.2027</v>
      </c>
      <c r="H2294" s="1" t="str">
        <f ca="1">IFERROR(__xludf.DUMMYFUNCTION("""COMPUTED_VALUE"""),"Бандаж для руки поддерживающий облегченный (косынка) 9912 S (черный) (Болгария) KZ.7700.02.01.00941160 / Действительно до 28.01.2027 / 1122036KZ036 / годен до 28.11.2027")</f>
        <v>Бандаж для руки поддерживающий облегченный (косынка) 9912 S (черный) (Болгария) KZ.7700.02.01.00941160 / Действительно до 28.01.2027 / 1122036KZ036 / годен до 28.11.2027</v>
      </c>
    </row>
    <row r="2295" spans="1:8" ht="12.75" x14ac:dyDescent="0.2">
      <c r="A2295" s="1" t="str">
        <f ca="1">IFERROR(__xludf.DUMMYFUNCTION("""COMPUTED_VALUE"""),"Бандаж для руки поддерживающий облегченный (косынка) 9912 M (черный) (Болгария)")</f>
        <v>Бандаж для руки поддерживающий облегченный (косынка) 9912 M (черный) (Болгария)</v>
      </c>
      <c r="B2295" s="1" t="str">
        <f ca="1">IFERROR(__xludf.DUMMYFUNCTION("""COMPUTED_VALUE"""),"KZ.7700.02.01.00941160")</f>
        <v>KZ.7700.02.01.00941160</v>
      </c>
      <c r="C2295" s="1" t="str">
        <f ca="1">IFERROR(__xludf.DUMMYFUNCTION("""COMPUTED_VALUE"""),"Действительно до 28.01.2027")</f>
        <v>Действительно до 28.01.2027</v>
      </c>
      <c r="D2295" s="8" t="str">
        <f ca="1">IFERROR(__xludf.DUMMYFUNCTION("""COMPUTED_VALUE"""),"1122036KZ036")</f>
        <v>1122036KZ036</v>
      </c>
      <c r="E2295" s="1" t="str">
        <f ca="1">IFERROR(__xludf.DUMMYFUNCTION("""COMPUTED_VALUE"""),"годен до 28.11.2027")</f>
        <v>годен до 28.11.2027</v>
      </c>
      <c r="F2295" s="1" t="str">
        <f ca="1">IFERROR(__xludf.DUMMYFUNCTION("""COMPUTED_VALUE"""),"Бандаж для руки поддерживающий облегченный (косынка) 9912 M (черный) (Болгария) - 1122036KZ036")</f>
        <v>Бандаж для руки поддерживающий облегченный (косынка) 9912 M (черный) (Болгария) - 1122036KZ036</v>
      </c>
      <c r="G2295" s="1" t="str">
        <f ca="1">IFERROR(__xludf.DUMMYFUNCTION("""COMPUTED_VALUE"""),"KZ.7700.02.01.00941160 / Действительно до 28.01.2027 / 1122036KZ036 / годен до 28.11.2027")</f>
        <v>KZ.7700.02.01.00941160 / Действительно до 28.01.2027 / 1122036KZ036 / годен до 28.11.2027</v>
      </c>
      <c r="H2295" s="1" t="str">
        <f ca="1">IFERROR(__xludf.DUMMYFUNCTION("""COMPUTED_VALUE"""),"Бандаж для руки поддерживающий облегченный (косынка) 9912 M (черный) (Болгария) KZ.7700.02.01.00941160 / Действительно до 28.01.2027 / 1122036KZ036 / годен до 28.11.2027")</f>
        <v>Бандаж для руки поддерживающий облегченный (косынка) 9912 M (черный) (Болгария) KZ.7700.02.01.00941160 / Действительно до 28.01.2027 / 1122036KZ036 / годен до 28.11.2027</v>
      </c>
    </row>
    <row r="2296" spans="1:8" ht="12.75" x14ac:dyDescent="0.2">
      <c r="A2296" s="1" t="str">
        <f ca="1">IFERROR(__xludf.DUMMYFUNCTION("""COMPUTED_VALUE"""),"Бандаж для руки поддерживающий облегченный (косынка) 9912 L (черный) (Болгария)")</f>
        <v>Бандаж для руки поддерживающий облегченный (косынка) 9912 L (черный) (Болгария)</v>
      </c>
      <c r="B2296" s="1" t="str">
        <f ca="1">IFERROR(__xludf.DUMMYFUNCTION("""COMPUTED_VALUE"""),"KZ.7700.02.01.00941160")</f>
        <v>KZ.7700.02.01.00941160</v>
      </c>
      <c r="C2296" s="1" t="str">
        <f ca="1">IFERROR(__xludf.DUMMYFUNCTION("""COMPUTED_VALUE"""),"Действительно до 28.01.2027")</f>
        <v>Действительно до 28.01.2027</v>
      </c>
      <c r="D2296" s="8" t="str">
        <f ca="1">IFERROR(__xludf.DUMMYFUNCTION("""COMPUTED_VALUE"""),"1122036KZ036")</f>
        <v>1122036KZ036</v>
      </c>
      <c r="E2296" s="1" t="str">
        <f ca="1">IFERROR(__xludf.DUMMYFUNCTION("""COMPUTED_VALUE"""),"годен до 28.11.2027")</f>
        <v>годен до 28.11.2027</v>
      </c>
      <c r="F2296" s="1" t="str">
        <f ca="1">IFERROR(__xludf.DUMMYFUNCTION("""COMPUTED_VALUE"""),"Бандаж для руки поддерживающий облегченный (косынка) 9912 L (черный) (Болгария) - 1122036KZ036")</f>
        <v>Бандаж для руки поддерживающий облегченный (косынка) 9912 L (черный) (Болгария) - 1122036KZ036</v>
      </c>
      <c r="G2296" s="1" t="str">
        <f ca="1">IFERROR(__xludf.DUMMYFUNCTION("""COMPUTED_VALUE"""),"KZ.7700.02.01.00941160 / Действительно до 28.01.2027 / 1122036KZ036 / годен до 28.11.2027")</f>
        <v>KZ.7700.02.01.00941160 / Действительно до 28.01.2027 / 1122036KZ036 / годен до 28.11.2027</v>
      </c>
      <c r="H2296" s="1" t="str">
        <f ca="1">IFERROR(__xludf.DUMMYFUNCTION("""COMPUTED_VALUE"""),"Бандаж для руки поддерживающий облегченный (косынка) 9912 L (черный) (Болгария) KZ.7700.02.01.00941160 / Действительно до 28.01.2027 / 1122036KZ036 / годен до 28.11.2027")</f>
        <v>Бандаж для руки поддерживающий облегченный (косынка) 9912 L (черный) (Болгария) KZ.7700.02.01.00941160 / Действительно до 28.01.2027 / 1122036KZ036 / годен до 28.11.2027</v>
      </c>
    </row>
    <row r="2297" spans="1:8" ht="12.75" x14ac:dyDescent="0.2">
      <c r="A2297" s="1" t="str">
        <f ca="1">IFERROR(__xludf.DUMMYFUNCTION("""COMPUTED_VALUE"""),"Бандаж для руки поддерживающий облегченный (косынка) 9912 XL (черный) (Болгария)")</f>
        <v>Бандаж для руки поддерживающий облегченный (косынка) 9912 XL (черный) (Болгария)</v>
      </c>
      <c r="B2297" s="1" t="str">
        <f ca="1">IFERROR(__xludf.DUMMYFUNCTION("""COMPUTED_VALUE"""),"KZ.7700.02.01.00941160")</f>
        <v>KZ.7700.02.01.00941160</v>
      </c>
      <c r="C2297" s="1" t="str">
        <f ca="1">IFERROR(__xludf.DUMMYFUNCTION("""COMPUTED_VALUE"""),"Действительно до 28.01.2027")</f>
        <v>Действительно до 28.01.2027</v>
      </c>
      <c r="D2297" s="8" t="str">
        <f ca="1">IFERROR(__xludf.DUMMYFUNCTION("""COMPUTED_VALUE"""),"1122036KZ036")</f>
        <v>1122036KZ036</v>
      </c>
      <c r="E2297" s="1" t="str">
        <f ca="1">IFERROR(__xludf.DUMMYFUNCTION("""COMPUTED_VALUE"""),"годен до 28.11.2027")</f>
        <v>годен до 28.11.2027</v>
      </c>
      <c r="F2297" s="1" t="str">
        <f ca="1">IFERROR(__xludf.DUMMYFUNCTION("""COMPUTED_VALUE"""),"Бандаж для руки поддерживающий облегченный (косынка) 9912 XL (черный) (Болгария) - 1122036KZ036")</f>
        <v>Бандаж для руки поддерживающий облегченный (косынка) 9912 XL (черный) (Болгария) - 1122036KZ036</v>
      </c>
      <c r="G2297" s="1" t="str">
        <f ca="1">IFERROR(__xludf.DUMMYFUNCTION("""COMPUTED_VALUE"""),"KZ.7700.02.01.00941160 / Действительно до 28.01.2027 / 1122036KZ036 / годен до 28.11.2027")</f>
        <v>KZ.7700.02.01.00941160 / Действительно до 28.01.2027 / 1122036KZ036 / годен до 28.11.2027</v>
      </c>
      <c r="H2297" s="1" t="str">
        <f ca="1">IFERROR(__xludf.DUMMYFUNCTION("""COMPUTED_VALUE"""),"Бандаж для руки поддерживающий облегченный (косынка) 9912 XL (черный) (Болгария) KZ.7700.02.01.00941160 / Действительно до 28.01.2027 / 1122036KZ036 / годен до 28.11.2027")</f>
        <v>Бандаж для руки поддерживающий облегченный (косынка) 9912 XL (черный) (Болгария) KZ.7700.02.01.00941160 / Действительно до 28.01.2027 / 1122036KZ036 / годен до 28.11.2027</v>
      </c>
    </row>
    <row r="2298" spans="1:8" ht="12.75" x14ac:dyDescent="0.2">
      <c r="A2298" s="1" t="str">
        <f ca="1">IFERROR(__xludf.DUMMYFUNCTION("""COMPUTED_VALUE"""),"Корректор лечебно-профилактический (с 4 ребрами жесткости) эластичный 3011 - S")</f>
        <v>Корректор лечебно-профилактический (с 4 ребрами жесткости) эластичный 3011 - S</v>
      </c>
      <c r="B2298" s="1" t="str">
        <f ca="1">IFERROR(__xludf.DUMMYFUNCTION("""COMPUTED_VALUE"""),"KZ.7700.02.01.00941164")</f>
        <v>KZ.7700.02.01.00941164</v>
      </c>
      <c r="C2298" s="1" t="str">
        <f ca="1">IFERROR(__xludf.DUMMYFUNCTION("""COMPUTED_VALUE"""),"Действительно до 28.01.2027")</f>
        <v>Действительно до 28.01.2027</v>
      </c>
      <c r="D2298" s="8" t="str">
        <f ca="1">IFERROR(__xludf.DUMMYFUNCTION("""COMPUTED_VALUE"""),"1122036KZ036")</f>
        <v>1122036KZ036</v>
      </c>
      <c r="E2298" s="1" t="str">
        <f ca="1">IFERROR(__xludf.DUMMYFUNCTION("""COMPUTED_VALUE"""),"годен до 28.11.2027")</f>
        <v>годен до 28.11.2027</v>
      </c>
      <c r="F2298" s="1" t="str">
        <f ca="1">IFERROR(__xludf.DUMMYFUNCTION("""COMPUTED_VALUE"""),"Корректор лечебно-профилактический (с 4 ребрами жесткости) эластичный 3011 - S - 1122036KZ036")</f>
        <v>Корректор лечебно-профилактический (с 4 ребрами жесткости) эластичный 3011 - S - 1122036KZ036</v>
      </c>
      <c r="G2298" s="1" t="str">
        <f ca="1">IFERROR(__xludf.DUMMYFUNCTION("""COMPUTED_VALUE"""),"KZ.7700.02.01.00941164 / Действительно до 28.01.2027 / 1122036KZ036 / годен до 28.11.2027")</f>
        <v>KZ.7700.02.01.00941164 / Действительно до 28.01.2027 / 1122036KZ036 / годен до 28.11.2027</v>
      </c>
      <c r="H2298" s="1" t="str">
        <f ca="1">IFERROR(__xludf.DUMMYFUNCTION("""COMPUTED_VALUE"""),"Корректор лечебно-профилактический (с 4 ребрами жесткости) эластичный 3011 - S KZ.7700.02.01.00941164 / Действительно до 28.01.2027 / 1122036KZ036 / годен до 28.11.2027")</f>
        <v>Корректор лечебно-профилактический (с 4 ребрами жесткости) эластичный 3011 - S KZ.7700.02.01.00941164 / Действительно до 28.01.2027 / 1122036KZ036 / годен до 28.11.2027</v>
      </c>
    </row>
    <row r="2299" spans="1:8" ht="12.75" x14ac:dyDescent="0.2">
      <c r="A2299" s="1" t="str">
        <f ca="1">IFERROR(__xludf.DUMMYFUNCTION("""COMPUTED_VALUE"""),"Ингалятор компрессорный Gamma модель EFFECT NEW")</f>
        <v>Ингалятор компрессорный Gamma модель EFFECT NEW</v>
      </c>
      <c r="B2299" s="1" t="str">
        <f ca="1">IFERROR(__xludf.DUMMYFUNCTION("""COMPUTED_VALUE"""),"KZ.7700.02.01.00941669")</f>
        <v>KZ.7700.02.01.00941669</v>
      </c>
      <c r="C2299" s="1" t="str">
        <f ca="1">IFERROR(__xludf.DUMMYFUNCTION("""COMPUTED_VALUE"""),"Действительно до бессрочно")</f>
        <v>Действительно до бессрочно</v>
      </c>
      <c r="D2299" s="8" t="str">
        <f ca="1">IFERROR(__xludf.DUMMYFUNCTION("""COMPUTED_VALUE"""),"JL-MGS-0135")</f>
        <v>JL-MGS-0135</v>
      </c>
      <c r="E2299" s="1" t="str">
        <f ca="1">IFERROR(__xludf.DUMMYFUNCTION("""COMPUTED_VALUE"""),"без срока годности")</f>
        <v>без срока годности</v>
      </c>
      <c r="F2299" s="1" t="str">
        <f ca="1">IFERROR(__xludf.DUMMYFUNCTION("""COMPUTED_VALUE"""),"Ингалятор компрессорный Gamma модель EFFECT NEW - JL-MGS-0135")</f>
        <v>Ингалятор компрессорный Gamma модель EFFECT NEW - JL-MGS-0135</v>
      </c>
      <c r="G2299" s="1" t="str">
        <f ca="1">IFERROR(__xludf.DUMMYFUNCTION("""COMPUTED_VALUE"""),"KZ.7700.02.01.00941669 / Действительно до бессрочно / JL-MGS-0135 / без срока годности")</f>
        <v>KZ.7700.02.01.00941669 / Действительно до бессрочно / JL-MGS-0135 / без срока годности</v>
      </c>
      <c r="H2299" s="1" t="str">
        <f ca="1">IFERROR(__xludf.DUMMYFUNCTION("""COMPUTED_VALUE"""),"Ингалятор компрессорный Gamma модель EFFECT NEW KZ.7700.02.01.00941669 / Действительно до бессрочно / JL-MGS-0135 / без срока годности")</f>
        <v>Ингалятор компрессорный Gamma модель EFFECT NEW KZ.7700.02.01.00941669 / Действительно до бессрочно / JL-MGS-0135 / без срока годности</v>
      </c>
    </row>
    <row r="2300" spans="1:8" ht="12.75" x14ac:dyDescent="0.2">
      <c r="A2300" s="1" t="str">
        <f ca="1">IFERROR(__xludf.DUMMYFUNCTION("""COMPUTED_VALUE"""),"Измеритель артериального давления Профессиональный Dr.Frei А-10")</f>
        <v>Измеритель артериального давления Профессиональный Dr.Frei А-10</v>
      </c>
      <c r="B2300" s="1" t="str">
        <f ca="1">IFERROR(__xludf.DUMMYFUNCTION("""COMPUTED_VALUE"""),"KZ.7700.02.01.00942431")</f>
        <v>KZ.7700.02.01.00942431</v>
      </c>
      <c r="C2300" s="1" t="str">
        <f ca="1">IFERROR(__xludf.DUMMYFUNCTION("""COMPUTED_VALUE"""),"Действительно до бессрочно")</f>
        <v>Действительно до бессрочно</v>
      </c>
      <c r="D2300" s="8" t="str">
        <f ca="1">IFERROR(__xludf.DUMMYFUNCTION("""COMPUTED_VALUE"""),"YTC22065")</f>
        <v>YTC22065</v>
      </c>
      <c r="E2300" s="1" t="str">
        <f ca="1">IFERROR(__xludf.DUMMYFUNCTION("""COMPUTED_VALUE"""),"без срока годности")</f>
        <v>без срока годности</v>
      </c>
      <c r="F2300" s="1" t="str">
        <f ca="1">IFERROR(__xludf.DUMMYFUNCTION("""COMPUTED_VALUE"""),"Измеритель артериального давления Профессиональный Dr.Frei А-10 - YTC22065")</f>
        <v>Измеритель артериального давления Профессиональный Dr.Frei А-10 - YTC22065</v>
      </c>
      <c r="G2300" s="1" t="str">
        <f ca="1">IFERROR(__xludf.DUMMYFUNCTION("""COMPUTED_VALUE"""),"KZ.7700.02.01.00942431 / Действительно до бессрочно / YTC22065 / без срока годности")</f>
        <v>KZ.7700.02.01.00942431 / Действительно до бессрочно / YTC22065 / без срока годности</v>
      </c>
      <c r="H2300" s="1" t="str">
        <f ca="1">IFERROR(__xludf.DUMMYFUNCTION("""COMPUTED_VALUE"""),"Измеритель артериального давления Профессиональный Dr.Frei А-10 KZ.7700.02.01.00942431 / Действительно до бессрочно / YTC22065 / без срока годности")</f>
        <v>Измеритель артериального давления Профессиональный Dr.Frei А-10 KZ.7700.02.01.00942431 / Действительно до бессрочно / YTC22065 / без срока годности</v>
      </c>
    </row>
    <row r="2301" spans="1:8" ht="12.75" x14ac:dyDescent="0.2">
      <c r="A2301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2301" s="1" t="str">
        <f ca="1">IFERROR(__xludf.DUMMYFUNCTION("""COMPUTED_VALUE"""),"KZ.7700.02.01.00942318")</f>
        <v>KZ.7700.02.01.00942318</v>
      </c>
      <c r="C2301" s="1" t="str">
        <f ca="1">IFERROR(__xludf.DUMMYFUNCTION("""COMPUTED_VALUE"""),"Действительно до бессрочно")</f>
        <v>Действительно до бессрочно</v>
      </c>
      <c r="D2301" s="8" t="str">
        <f ca="1">IFERROR(__xludf.DUMMYFUNCTION("""COMPUTED_VALUE"""),"YTC22065")</f>
        <v>YTC22065</v>
      </c>
      <c r="E2301" s="1" t="str">
        <f ca="1">IFERROR(__xludf.DUMMYFUNCTION("""COMPUTED_VALUE"""),"без срока годности")</f>
        <v>без срока годности</v>
      </c>
      <c r="F2301" s="1" t="str">
        <f ca="1">IFERROR(__xludf.DUMMYFUNCTION("""COMPUTED_VALUE"""),"Измеритель артериального давления Классик Dr.Frei А-20 - YTC22065")</f>
        <v>Измеритель артериального давления Классик Dr.Frei А-20 - YTC22065</v>
      </c>
      <c r="G2301" s="1" t="str">
        <f ca="1">IFERROR(__xludf.DUMMYFUNCTION("""COMPUTED_VALUE"""),"KZ.7700.02.01.00942318 / Действительно до бессрочно / YTC22065 / без срока годности")</f>
        <v>KZ.7700.02.01.00942318 / Действительно до бессрочно / YTC22065 / без срока годности</v>
      </c>
      <c r="H2301" s="1" t="str">
        <f ca="1">IFERROR(__xludf.DUMMYFUNCTION("""COMPUTED_VALUE"""),"Измеритель артериального давления Классик Dr.Frei А-20 KZ.7700.02.01.00942318 / Действительно до бессрочно / YTC22065 / без срока годности")</f>
        <v>Измеритель артериального давления Классик Dr.Frei А-20 KZ.7700.02.01.00942318 / Действительно до бессрочно / YTC22065 / без срока годности</v>
      </c>
    </row>
    <row r="2302" spans="1:8" ht="12.75" x14ac:dyDescent="0.2">
      <c r="A2302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2302" s="1" t="str">
        <f ca="1">IFERROR(__xludf.DUMMYFUNCTION("""COMPUTED_VALUE"""),"KZ.7700.02.01.00942312")</f>
        <v>KZ.7700.02.01.00942312</v>
      </c>
      <c r="C2302" s="1" t="str">
        <f ca="1">IFERROR(__xludf.DUMMYFUNCTION("""COMPUTED_VALUE"""),"Действительно до бессрочно")</f>
        <v>Действительно до бессрочно</v>
      </c>
      <c r="D2302" s="8" t="str">
        <f ca="1">IFERROR(__xludf.DUMMYFUNCTION("""COMPUTED_VALUE"""),"YTC22065")</f>
        <v>YTC22065</v>
      </c>
      <c r="E2302" s="1" t="str">
        <f ca="1">IFERROR(__xludf.DUMMYFUNCTION("""COMPUTED_VALUE"""),"без срока годности")</f>
        <v>без срока годности</v>
      </c>
      <c r="F2302" s="1" t="str">
        <f ca="1">IFERROR(__xludf.DUMMYFUNCTION("""COMPUTED_VALUE"""),"Измеритель артериального давления Premium Dr.Frei А-30 - YTC22065")</f>
        <v>Измеритель артериального давления Premium Dr.Frei А-30 - YTC22065</v>
      </c>
      <c r="G2302" s="1" t="str">
        <f ca="1">IFERROR(__xludf.DUMMYFUNCTION("""COMPUTED_VALUE"""),"KZ.7700.02.01.00942312 / Действительно до бессрочно / YTC22065 / без срока годности")</f>
        <v>KZ.7700.02.01.00942312 / Действительно до бессрочно / YTC22065 / без срока годности</v>
      </c>
      <c r="H2302" s="1" t="str">
        <f ca="1">IFERROR(__xludf.DUMMYFUNCTION("""COMPUTED_VALUE"""),"Измеритель артериального давления Premium Dr.Frei А-30 KZ.7700.02.01.00942312 / Действительно до бессрочно / YTC22065 / без срока годности")</f>
        <v>Измеритель артериального давления Premium Dr.Frei А-30 KZ.7700.02.01.00942312 / Действительно до бессрочно / YTC22065 / без срока годности</v>
      </c>
    </row>
    <row r="2303" spans="1:8" ht="12.75" x14ac:dyDescent="0.2">
      <c r="A2303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2303" s="1" t="str">
        <f ca="1">IFERROR(__xludf.DUMMYFUNCTION("""COMPUTED_VALUE"""),"KZ.7700.02.01.00942316")</f>
        <v>KZ.7700.02.01.00942316</v>
      </c>
      <c r="C2303" s="1" t="str">
        <f ca="1">IFERROR(__xludf.DUMMYFUNCTION("""COMPUTED_VALUE"""),"Действительно до бессрочно")</f>
        <v>Действительно до бессрочно</v>
      </c>
      <c r="D2303" s="8" t="str">
        <f ca="1">IFERROR(__xludf.DUMMYFUNCTION("""COMPUTED_VALUE"""),"YTC22065")</f>
        <v>YTC22065</v>
      </c>
      <c r="E2303" s="1" t="str">
        <f ca="1">IFERROR(__xludf.DUMMYFUNCTION("""COMPUTED_VALUE"""),"без срока годности")</f>
        <v>без срока годности</v>
      </c>
      <c r="F2303" s="1" t="str">
        <f ca="1">IFERROR(__xludf.DUMMYFUNCTION("""COMPUTED_VALUE"""),"Измеритель артериального давления Комфорт Dr.Frei А-40 - YTC22065")</f>
        <v>Измеритель артериального давления Комфорт Dr.Frei А-40 - YTC22065</v>
      </c>
      <c r="G2303" s="1" t="str">
        <f ca="1">IFERROR(__xludf.DUMMYFUNCTION("""COMPUTED_VALUE"""),"KZ.7700.02.01.00942316 / Действительно до бессрочно / YTC22065 / без срока годности")</f>
        <v>KZ.7700.02.01.00942316 / Действительно до бессрочно / YTC22065 / без срока годности</v>
      </c>
      <c r="H2303" s="1" t="str">
        <f ca="1">IFERROR(__xludf.DUMMYFUNCTION("""COMPUTED_VALUE"""),"Измеритель артериального давления Комфорт Dr.Frei А-40 KZ.7700.02.01.00942316 / Действительно до бессрочно / YTC22065 / без срока годности")</f>
        <v>Измеритель артериального давления Комфорт Dr.Frei А-40 KZ.7700.02.01.00942316 / Действительно до бессрочно / YTC22065 / без срока годности</v>
      </c>
    </row>
    <row r="2304" spans="1:8" ht="12.75" x14ac:dyDescent="0.2">
      <c r="A2304" s="1" t="str">
        <f ca="1">IFERROR(__xludf.DUMMYFUNCTION("""COMPUTED_VALUE"""),"Стетофонендоскоп Раппопорт Dr.Frei S-30")</f>
        <v>Стетофонендоскоп Раппопорт Dr.Frei S-30</v>
      </c>
      <c r="B2304" s="1" t="str">
        <f ca="1">IFERROR(__xludf.DUMMYFUNCTION("""COMPUTED_VALUE"""),"KZ.7700.02.01.00942424")</f>
        <v>KZ.7700.02.01.00942424</v>
      </c>
      <c r="C2304" s="1" t="str">
        <f ca="1">IFERROR(__xludf.DUMMYFUNCTION("""COMPUTED_VALUE"""),"Действительно до бессрочно")</f>
        <v>Действительно до бессрочно</v>
      </c>
      <c r="D2304" s="8" t="str">
        <f ca="1">IFERROR(__xludf.DUMMYFUNCTION("""COMPUTED_VALUE"""),"YTC22065")</f>
        <v>YTC22065</v>
      </c>
      <c r="E2304" s="1" t="str">
        <f ca="1">IFERROR(__xludf.DUMMYFUNCTION("""COMPUTED_VALUE"""),"без срока годности")</f>
        <v>без срока годности</v>
      </c>
      <c r="F2304" s="1" t="str">
        <f ca="1">IFERROR(__xludf.DUMMYFUNCTION("""COMPUTED_VALUE"""),"Стетофонендоскоп Раппопорт Dr.Frei S-30 - YTC22065")</f>
        <v>Стетофонендоскоп Раппопорт Dr.Frei S-30 - YTC22065</v>
      </c>
      <c r="G2304" s="1" t="str">
        <f ca="1">IFERROR(__xludf.DUMMYFUNCTION("""COMPUTED_VALUE"""),"KZ.7700.02.01.00942424 / Действительно до бессрочно / YTC22065 / без срока годности")</f>
        <v>KZ.7700.02.01.00942424 / Действительно до бессрочно / YTC22065 / без срока годности</v>
      </c>
      <c r="H2304" s="1" t="str">
        <f ca="1">IFERROR(__xludf.DUMMYFUNCTION("""COMPUTED_VALUE"""),"Стетофонендоскоп Раппопорт Dr.Frei S-30 KZ.7700.02.01.00942424 / Действительно до бессрочно / YTC22065 / без срока годности")</f>
        <v>Стетофонендоскоп Раппопорт Dr.Frei S-30 KZ.7700.02.01.00942424 / Действительно до бессрочно / YTC22065 / без срока годности</v>
      </c>
    </row>
    <row r="2305" spans="1:8" ht="12.75" x14ac:dyDescent="0.2">
      <c r="A2305" s="1" t="str">
        <f ca="1">IFERROR(__xludf.DUMMYFUNCTION("""COMPUTED_VALUE"""),"Тонометр на запястие автомат Gamma Active")</f>
        <v>Тонометр на запястие автомат Gamma Active</v>
      </c>
      <c r="B2305" s="1" t="str">
        <f ca="1">IFERROR(__xludf.DUMMYFUNCTION("""COMPUTED_VALUE"""),"KZ.7700.02.01.00947010")</f>
        <v>KZ.7700.02.01.00947010</v>
      </c>
      <c r="C2305" s="1" t="str">
        <f ca="1">IFERROR(__xludf.DUMMYFUNCTION("""COMPUTED_VALUE"""),"Действительно до бессрочно")</f>
        <v>Действительно до бессрочно</v>
      </c>
      <c r="D2305" s="8" t="str">
        <f ca="1">IFERROR(__xludf.DUMMYFUNCTION("""COMPUTED_VALUE"""),"PG20221008KM")</f>
        <v>PG20221008KM</v>
      </c>
      <c r="E2305" s="1" t="str">
        <f ca="1">IFERROR(__xludf.DUMMYFUNCTION("""COMPUTED_VALUE"""),"без срока годности")</f>
        <v>без срока годности</v>
      </c>
      <c r="F2305" s="1" t="str">
        <f ca="1">IFERROR(__xludf.DUMMYFUNCTION("""COMPUTED_VALUE"""),"Тонометр на запястие автомат Gamma Active - PG20221008KM")</f>
        <v>Тонометр на запястие автомат Gamma Active - PG20221008KM</v>
      </c>
      <c r="G2305" s="1" t="str">
        <f ca="1">IFERROR(__xludf.DUMMYFUNCTION("""COMPUTED_VALUE"""),"KZ.7700.02.01.00947010 / Действительно до бессрочно / PG20221008KM / без срока годности")</f>
        <v>KZ.7700.02.01.00947010 / Действительно до бессрочно / PG20221008KM / без срока годности</v>
      </c>
      <c r="H2305" s="1" t="str">
        <f ca="1">IFERROR(__xludf.DUMMYFUNCTION("""COMPUTED_VALUE"""),"Тонометр на запястие автомат Gamma Active KZ.7700.02.01.00947010 / Действительно до бессрочно / PG20221008KM / без срока годности")</f>
        <v>Тонометр на запястие автомат Gamma Active KZ.7700.02.01.00947010 / Действительно до бессрочно / PG20221008KM / без срока годности</v>
      </c>
    </row>
    <row r="2306" spans="1:8" ht="12.75" x14ac:dyDescent="0.2">
      <c r="A2306" s="1" t="str">
        <f ca="1">IFERROR(__xludf.DUMMYFUNCTION("""COMPUTED_VALUE"""),"Тонометр автомат Gamma Control")</f>
        <v>Тонометр автомат Gamma Control</v>
      </c>
      <c r="B2306" s="1" t="str">
        <f ca="1">IFERROR(__xludf.DUMMYFUNCTION("""COMPUTED_VALUE"""),"KZ.7700.02.01.00947018")</f>
        <v>KZ.7700.02.01.00947018</v>
      </c>
      <c r="C2306" s="1" t="str">
        <f ca="1">IFERROR(__xludf.DUMMYFUNCTION("""COMPUTED_VALUE"""),"Действительно до бессрочно")</f>
        <v>Действительно до бессрочно</v>
      </c>
      <c r="D2306" s="8" t="str">
        <f ca="1">IFERROR(__xludf.DUMMYFUNCTION("""COMPUTED_VALUE"""),"PG20221008KM")</f>
        <v>PG20221008KM</v>
      </c>
      <c r="E2306" s="1" t="str">
        <f ca="1">IFERROR(__xludf.DUMMYFUNCTION("""COMPUTED_VALUE"""),"без срока годности")</f>
        <v>без срока годности</v>
      </c>
      <c r="F2306" s="1" t="str">
        <f ca="1">IFERROR(__xludf.DUMMYFUNCTION("""COMPUTED_VALUE"""),"Тонометр автомат Gamma Control - PG20221008KM")</f>
        <v>Тонометр автомат Gamma Control - PG20221008KM</v>
      </c>
      <c r="G2306" s="1" t="str">
        <f ca="1">IFERROR(__xludf.DUMMYFUNCTION("""COMPUTED_VALUE"""),"KZ.7700.02.01.00947018 / Действительно до бессрочно / PG20221008KM / без срока годности")</f>
        <v>KZ.7700.02.01.00947018 / Действительно до бессрочно / PG20221008KM / без срока годности</v>
      </c>
      <c r="H2306" s="1" t="str">
        <f ca="1">IFERROR(__xludf.DUMMYFUNCTION("""COMPUTED_VALUE"""),"Тонометр автомат Gamma Control KZ.7700.02.01.00947018 / Действительно до бессрочно / PG20221008KM / без срока годности")</f>
        <v>Тонометр автомат Gamma Control KZ.7700.02.01.00947018 / Действительно до бессрочно / PG20221008KM / без срока годности</v>
      </c>
    </row>
    <row r="2307" spans="1:8" ht="12.75" x14ac:dyDescent="0.2">
      <c r="A2307" s="1" t="str">
        <f ca="1">IFERROR(__xludf.DUMMYFUNCTION("""COMPUTED_VALUE"""),"Автоматический измеритель артериального давления ТМ DR.FREI МОДЕЛЬ M-100A")</f>
        <v>Автоматический измеритель артериального давления ТМ DR.FREI МОДЕЛЬ M-100A</v>
      </c>
      <c r="B2307" s="1" t="str">
        <f ca="1">IFERROR(__xludf.DUMMYFUNCTION("""COMPUTED_VALUE"""),"KZ.7700.02.01.00947011")</f>
        <v>KZ.7700.02.01.00947011</v>
      </c>
      <c r="C2307" s="1" t="str">
        <f ca="1">IFERROR(__xludf.DUMMYFUNCTION("""COMPUTED_VALUE"""),"Действительно до бессрочно")</f>
        <v>Действительно до бессрочно</v>
      </c>
      <c r="D2307" s="8" t="str">
        <f ca="1">IFERROR(__xludf.DUMMYFUNCTION("""COMPUTED_VALUE"""),"PG20221008KM")</f>
        <v>PG20221008KM</v>
      </c>
      <c r="E2307" s="1" t="str">
        <f ca="1">IFERROR(__xludf.DUMMYFUNCTION("""COMPUTED_VALUE"""),"без срока годности")</f>
        <v>без срока годности</v>
      </c>
      <c r="F2307" s="1" t="str">
        <f ca="1">IFERROR(__xludf.DUMMYFUNCTION("""COMPUTED_VALUE"""),"Автоматический измеритель артериального давления ТМ DR.FREI МОДЕЛЬ M-100A - PG20221008KM")</f>
        <v>Автоматический измеритель артериального давления ТМ DR.FREI МОДЕЛЬ M-100A - PG20221008KM</v>
      </c>
      <c r="G2307" s="1" t="str">
        <f ca="1">IFERROR(__xludf.DUMMYFUNCTION("""COMPUTED_VALUE"""),"KZ.7700.02.01.00947011 / Действительно до бессрочно / PG20221008KM / без срока годности")</f>
        <v>KZ.7700.02.01.00947011 / Действительно до бессрочно / PG20221008KM / без срока годности</v>
      </c>
      <c r="H2307" s="1" t="str">
        <f ca="1">IFERROR(__xludf.DUMMYFUNCTION("""COMPUTED_VALUE"""),"Автоматический измеритель артериального давления ТМ DR.FREI МОДЕЛЬ M-100A KZ.7700.02.01.00947011 / Действительно до бессрочно / PG20221008KM / без срока годности")</f>
        <v>Автоматический измеритель артериального давления ТМ DR.FREI МОДЕЛЬ M-100A KZ.7700.02.01.00947011 / Действительно до бессрочно / PG20221008KM / без срока годности</v>
      </c>
    </row>
    <row r="2308" spans="1:8" ht="12.75" x14ac:dyDescent="0.2">
      <c r="A2308" s="1" t="str">
        <f ca="1">IFERROR(__xludf.DUMMYFUNCTION("""COMPUTED_VALUE"""),"Автоматический измеритель артериального давления ТМ DR.FREI МОДЕЛЬ M-200A")</f>
        <v>Автоматический измеритель артериального давления ТМ DR.FREI МОДЕЛЬ M-200A</v>
      </c>
      <c r="B2308" s="1" t="str">
        <f ca="1">IFERROR(__xludf.DUMMYFUNCTION("""COMPUTED_VALUE"""),"KZ.7700.02.01.00947012")</f>
        <v>KZ.7700.02.01.00947012</v>
      </c>
      <c r="C2308" s="1" t="str">
        <f ca="1">IFERROR(__xludf.DUMMYFUNCTION("""COMPUTED_VALUE"""),"Действительно до бессрочно")</f>
        <v>Действительно до бессрочно</v>
      </c>
      <c r="D2308" s="8" t="str">
        <f ca="1">IFERROR(__xludf.DUMMYFUNCTION("""COMPUTED_VALUE"""),"PG20221008KM")</f>
        <v>PG20221008KM</v>
      </c>
      <c r="E2308" s="1" t="str">
        <f ca="1">IFERROR(__xludf.DUMMYFUNCTION("""COMPUTED_VALUE"""),"без срока годности")</f>
        <v>без срока годности</v>
      </c>
      <c r="F2308" s="1" t="str">
        <f ca="1">IFERROR(__xludf.DUMMYFUNCTION("""COMPUTED_VALUE"""),"Автоматический измеритель артериального давления ТМ DR.FREI МОДЕЛЬ M-200A - PG20221008KM")</f>
        <v>Автоматический измеритель артериального давления ТМ DR.FREI МОДЕЛЬ M-200A - PG20221008KM</v>
      </c>
      <c r="G2308" s="1" t="str">
        <f ca="1">IFERROR(__xludf.DUMMYFUNCTION("""COMPUTED_VALUE"""),"KZ.7700.02.01.00947012 / Действительно до бессрочно / PG20221008KM / без срока годности")</f>
        <v>KZ.7700.02.01.00947012 / Действительно до бессрочно / PG20221008KM / без срока годности</v>
      </c>
      <c r="H2308" s="1" t="str">
        <f ca="1">IFERROR(__xludf.DUMMYFUNCTION("""COMPUTED_VALUE"""),"Автоматический измеритель артериального давления ТМ DR.FREI МОДЕЛЬ M-200A KZ.7700.02.01.00947012 / Действительно до бессрочно / PG20221008KM / без срока годности")</f>
        <v>Автоматический измеритель артериального давления ТМ DR.FREI МОДЕЛЬ M-200A KZ.7700.02.01.00947012 / Действительно до бессрочно / PG20221008KM / без срока годности</v>
      </c>
    </row>
    <row r="2309" spans="1:8" ht="12.75" x14ac:dyDescent="0.2">
      <c r="A2309" s="1" t="str">
        <f ca="1">IFERROR(__xludf.DUMMYFUNCTION("""COMPUTED_VALUE"""),"Тонометр автомат Gamma Plus")</f>
        <v>Тонометр автомат Gamma Plus</v>
      </c>
      <c r="B2309" s="1" t="str">
        <f ca="1">IFERROR(__xludf.DUMMYFUNCTION("""COMPUTED_VALUE"""),"KZ.7700.02.01.00947019")</f>
        <v>KZ.7700.02.01.00947019</v>
      </c>
      <c r="C2309" s="1" t="str">
        <f ca="1">IFERROR(__xludf.DUMMYFUNCTION("""COMPUTED_VALUE"""),"Действительно до бессрочно")</f>
        <v>Действительно до бессрочно</v>
      </c>
      <c r="D2309" s="8" t="str">
        <f ca="1">IFERROR(__xludf.DUMMYFUNCTION("""COMPUTED_VALUE"""),"PG20221008KM")</f>
        <v>PG20221008KM</v>
      </c>
      <c r="E2309" s="1" t="str">
        <f ca="1">IFERROR(__xludf.DUMMYFUNCTION("""COMPUTED_VALUE"""),"без срока годности")</f>
        <v>без срока годности</v>
      </c>
      <c r="F2309" s="1" t="str">
        <f ca="1">IFERROR(__xludf.DUMMYFUNCTION("""COMPUTED_VALUE"""),"Тонометр автомат Gamma Plus - PG20221008KM")</f>
        <v>Тонометр автомат Gamma Plus - PG20221008KM</v>
      </c>
      <c r="G2309" s="1" t="str">
        <f ca="1">IFERROR(__xludf.DUMMYFUNCTION("""COMPUTED_VALUE"""),"KZ.7700.02.01.00947019 / Действительно до бессрочно / PG20221008KM / без срока годности")</f>
        <v>KZ.7700.02.01.00947019 / Действительно до бессрочно / PG20221008KM / без срока годности</v>
      </c>
      <c r="H2309" s="1" t="str">
        <f ca="1">IFERROR(__xludf.DUMMYFUNCTION("""COMPUTED_VALUE"""),"Тонометр автомат Gamma Plus KZ.7700.02.01.00947019 / Действительно до бессрочно / PG20221008KM / без срока годности")</f>
        <v>Тонометр автомат Gamma Plus KZ.7700.02.01.00947019 / Действительно до бессрочно / PG20221008KM / без срока годности</v>
      </c>
    </row>
    <row r="2310" spans="1:8" ht="12.75" x14ac:dyDescent="0.2">
      <c r="A2310" s="1" t="str">
        <f ca="1">IFERROR(__xludf.DUMMYFUNCTION("""COMPUTED_VALUE"""),"Тонометр автомат Gamma Smart")</f>
        <v>Тонометр автомат Gamma Smart</v>
      </c>
      <c r="B2310" s="1" t="str">
        <f ca="1">IFERROR(__xludf.DUMMYFUNCTION("""COMPUTED_VALUE"""),"KZ.7700.02.01.00947013")</f>
        <v>KZ.7700.02.01.00947013</v>
      </c>
      <c r="C2310" s="1" t="str">
        <f ca="1">IFERROR(__xludf.DUMMYFUNCTION("""COMPUTED_VALUE"""),"Действительно до бессрочно")</f>
        <v>Действительно до бессрочно</v>
      </c>
      <c r="D2310" s="8" t="str">
        <f ca="1">IFERROR(__xludf.DUMMYFUNCTION("""COMPUTED_VALUE"""),"PG20221008KM")</f>
        <v>PG20221008KM</v>
      </c>
      <c r="E2310" s="1" t="str">
        <f ca="1">IFERROR(__xludf.DUMMYFUNCTION("""COMPUTED_VALUE"""),"без срока годности")</f>
        <v>без срока годности</v>
      </c>
      <c r="F2310" s="1" t="str">
        <f ca="1">IFERROR(__xludf.DUMMYFUNCTION("""COMPUTED_VALUE"""),"Тонометр автомат Gamma Smart - PG20221008KM")</f>
        <v>Тонометр автомат Gamma Smart - PG20221008KM</v>
      </c>
      <c r="G2310" s="1" t="str">
        <f ca="1">IFERROR(__xludf.DUMMYFUNCTION("""COMPUTED_VALUE"""),"KZ.7700.02.01.00947013 / Действительно до бессрочно / PG20221008KM / без срока годности")</f>
        <v>KZ.7700.02.01.00947013 / Действительно до бессрочно / PG20221008KM / без срока годности</v>
      </c>
      <c r="H2310" s="1" t="str">
        <f ca="1">IFERROR(__xludf.DUMMYFUNCTION("""COMPUTED_VALUE"""),"Тонометр автомат Gamma Smart KZ.7700.02.01.00947013 / Действительно до бессрочно / PG20221008KM / без срока годности")</f>
        <v>Тонометр автомат Gamma Smart KZ.7700.02.01.00947013 / Действительно до бессрочно / PG20221008KM / без срока годности</v>
      </c>
    </row>
    <row r="2311" spans="1:8" ht="12.75" x14ac:dyDescent="0.2">
      <c r="A2311" s="1" t="str">
        <f ca="1">IFERROR(__xludf.DUMMYFUNCTION("""COMPUTED_VALUE"""),"Бандаж для беременных эластичный 4505 - S (Болгария)")</f>
        <v>Бандаж для беременных эластичный 4505 - S (Болгария)</v>
      </c>
      <c r="B2311" s="1" t="str">
        <f ca="1">IFERROR(__xludf.DUMMYFUNCTION("""COMPUTED_VALUE"""),"KZ.7700.02.01.00933988")</f>
        <v>KZ.7700.02.01.00933988</v>
      </c>
      <c r="C2311" s="1" t="str">
        <f ca="1">IFERROR(__xludf.DUMMYFUNCTION("""COMPUTED_VALUE"""),"Действительно до 28.11.2027")</f>
        <v>Действительно до 28.11.2027</v>
      </c>
      <c r="D2311" s="8" t="str">
        <f ca="1">IFERROR(__xludf.DUMMYFUNCTION("""COMPUTED_VALUE"""),"1122036KZ036")</f>
        <v>1122036KZ036</v>
      </c>
      <c r="E2311" s="1" t="str">
        <f ca="1">IFERROR(__xludf.DUMMYFUNCTION("""COMPUTED_VALUE"""),"годен до 28.11.2027")</f>
        <v>годен до 28.11.2027</v>
      </c>
      <c r="F2311" s="1" t="str">
        <f ca="1">IFERROR(__xludf.DUMMYFUNCTION("""COMPUTED_VALUE"""),"Бандаж для беременных эластичный 4505 - S (Болгария) - 1122036KZ036")</f>
        <v>Бандаж для беременных эластичный 4505 - S (Болгария) - 1122036KZ036</v>
      </c>
      <c r="G2311" s="1" t="str">
        <f ca="1">IFERROR(__xludf.DUMMYFUNCTION("""COMPUTED_VALUE"""),"KZ.7700.02.01.00933988 / Действительно до 28.11.2027 / 1122036KZ036 / годен до 28.11.2027")</f>
        <v>KZ.7700.02.01.00933988 / Действительно до 28.11.2027 / 1122036KZ036 / годен до 28.11.2027</v>
      </c>
      <c r="H2311" s="1" t="str">
        <f ca="1">IFERROR(__xludf.DUMMYFUNCTION("""COMPUTED_VALUE"""),"Бандаж для беременных эластичный 4505 - S (Болгария) KZ.7700.02.01.00933988 / Действительно до 28.11.2027 / 1122036KZ036 / годен до 28.11.2027")</f>
        <v>Бандаж для беременных эластичный 4505 - S (Болгария) KZ.7700.02.01.00933988 / Действительно до 28.11.2027 / 1122036KZ036 / годен до 28.11.2027</v>
      </c>
    </row>
    <row r="2312" spans="1:8" ht="12.75" x14ac:dyDescent="0.2">
      <c r="A2312" s="1" t="str">
        <f ca="1">IFERROR(__xludf.DUMMYFUNCTION("""COMPUTED_VALUE"""),"Бандаж для беременных эластичный 4505 - М (Болгария)")</f>
        <v>Бандаж для беременных эластичный 4505 - М (Болгария)</v>
      </c>
      <c r="B2312" s="1" t="str">
        <f ca="1">IFERROR(__xludf.DUMMYFUNCTION("""COMPUTED_VALUE"""),"KZ.7700.02.01.00933988")</f>
        <v>KZ.7700.02.01.00933988</v>
      </c>
      <c r="C2312" s="1" t="str">
        <f ca="1">IFERROR(__xludf.DUMMYFUNCTION("""COMPUTED_VALUE"""),"Действительно до 28.11.2027")</f>
        <v>Действительно до 28.11.2027</v>
      </c>
      <c r="D2312" s="8" t="str">
        <f ca="1">IFERROR(__xludf.DUMMYFUNCTION("""COMPUTED_VALUE"""),"1122036KZ036")</f>
        <v>1122036KZ036</v>
      </c>
      <c r="E2312" s="1" t="str">
        <f ca="1">IFERROR(__xludf.DUMMYFUNCTION("""COMPUTED_VALUE"""),"годен до 28.11.2027")</f>
        <v>годен до 28.11.2027</v>
      </c>
      <c r="F2312" s="1" t="str">
        <f ca="1">IFERROR(__xludf.DUMMYFUNCTION("""COMPUTED_VALUE"""),"Бандаж для беременных эластичный 4505 - М (Болгария) - 1122036KZ036")</f>
        <v>Бандаж для беременных эластичный 4505 - М (Болгария) - 1122036KZ036</v>
      </c>
      <c r="G2312" s="1" t="str">
        <f ca="1">IFERROR(__xludf.DUMMYFUNCTION("""COMPUTED_VALUE"""),"KZ.7700.02.01.00933988 / Действительно до 28.11.2027 / 1122036KZ036 / годен до 28.11.2027")</f>
        <v>KZ.7700.02.01.00933988 / Действительно до 28.11.2027 / 1122036KZ036 / годен до 28.11.2027</v>
      </c>
      <c r="H2312" s="1" t="str">
        <f ca="1">IFERROR(__xludf.DUMMYFUNCTION("""COMPUTED_VALUE"""),"Бандаж для беременных эластичный 4505 - М (Болгария) KZ.7700.02.01.00933988 / Действительно до 28.11.2027 / 1122036KZ036 / годен до 28.11.2027")</f>
        <v>Бандаж для беременных эластичный 4505 - М (Болгария) KZ.7700.02.01.00933988 / Действительно до 28.11.2027 / 1122036KZ036 / годен до 28.11.2027</v>
      </c>
    </row>
    <row r="2313" spans="1:8" ht="12.75" x14ac:dyDescent="0.2">
      <c r="A2313" s="1" t="str">
        <f ca="1">IFERROR(__xludf.DUMMYFUNCTION("""COMPUTED_VALUE"""),"Бандаж для беременных эластичный 4505 - L (Болгария)")</f>
        <v>Бандаж для беременных эластичный 4505 - L (Болгария)</v>
      </c>
      <c r="B2313" s="1" t="str">
        <f ca="1">IFERROR(__xludf.DUMMYFUNCTION("""COMPUTED_VALUE"""),"KZ.7700.02.01.00933988")</f>
        <v>KZ.7700.02.01.00933988</v>
      </c>
      <c r="C2313" s="1" t="str">
        <f ca="1">IFERROR(__xludf.DUMMYFUNCTION("""COMPUTED_VALUE"""),"Действительно до 28.11.2027")</f>
        <v>Действительно до 28.11.2027</v>
      </c>
      <c r="D2313" s="8" t="str">
        <f ca="1">IFERROR(__xludf.DUMMYFUNCTION("""COMPUTED_VALUE"""),"1122036KZ036")</f>
        <v>1122036KZ036</v>
      </c>
      <c r="E2313" s="1" t="str">
        <f ca="1">IFERROR(__xludf.DUMMYFUNCTION("""COMPUTED_VALUE"""),"годен до 28.11.2027")</f>
        <v>годен до 28.11.2027</v>
      </c>
      <c r="F2313" s="1" t="str">
        <f ca="1">IFERROR(__xludf.DUMMYFUNCTION("""COMPUTED_VALUE"""),"Бандаж для беременных эластичный 4505 - L (Болгария) - 1122036KZ036")</f>
        <v>Бандаж для беременных эластичный 4505 - L (Болгария) - 1122036KZ036</v>
      </c>
      <c r="G2313" s="1" t="str">
        <f ca="1">IFERROR(__xludf.DUMMYFUNCTION("""COMPUTED_VALUE"""),"KZ.7700.02.01.00933988 / Действительно до 28.11.2027 / 1122036KZ036 / годен до 28.11.2027")</f>
        <v>KZ.7700.02.01.00933988 / Действительно до 28.11.2027 / 1122036KZ036 / годен до 28.11.2027</v>
      </c>
      <c r="H2313" s="1" t="str">
        <f ca="1">IFERROR(__xludf.DUMMYFUNCTION("""COMPUTED_VALUE"""),"Бандаж для беременных эластичный 4505 - L (Болгария) KZ.7700.02.01.00933988 / Действительно до 28.11.2027 / 1122036KZ036 / годен до 28.11.2027")</f>
        <v>Бандаж для беременных эластичный 4505 - L (Болгария) KZ.7700.02.01.00933988 / Действительно до 28.11.2027 / 1122036KZ036 / годен до 28.11.2027</v>
      </c>
    </row>
    <row r="2314" spans="1:8" ht="12.75" x14ac:dyDescent="0.2">
      <c r="A2314" s="1" t="str">
        <f ca="1">IFERROR(__xludf.DUMMYFUNCTION("""COMPUTED_VALUE"""),"Бандаж для беременных эластичный 4505 - XL (Болгария)")</f>
        <v>Бандаж для беременных эластичный 4505 - XL (Болгария)</v>
      </c>
      <c r="B2314" s="1" t="str">
        <f ca="1">IFERROR(__xludf.DUMMYFUNCTION("""COMPUTED_VALUE"""),"KZ.7700.02.01.00933988")</f>
        <v>KZ.7700.02.01.00933988</v>
      </c>
      <c r="C2314" s="1" t="str">
        <f ca="1">IFERROR(__xludf.DUMMYFUNCTION("""COMPUTED_VALUE"""),"Действительно до 28.11.2027")</f>
        <v>Действительно до 28.11.2027</v>
      </c>
      <c r="D2314" s="8" t="str">
        <f ca="1">IFERROR(__xludf.DUMMYFUNCTION("""COMPUTED_VALUE"""),"1122036KZ036")</f>
        <v>1122036KZ036</v>
      </c>
      <c r="E2314" s="1" t="str">
        <f ca="1">IFERROR(__xludf.DUMMYFUNCTION("""COMPUTED_VALUE"""),"годен до 28.11.2027")</f>
        <v>годен до 28.11.2027</v>
      </c>
      <c r="F2314" s="1" t="str">
        <f ca="1">IFERROR(__xludf.DUMMYFUNCTION("""COMPUTED_VALUE"""),"Бандаж для беременных эластичный 4505 - XL (Болгария) - 1122036KZ036")</f>
        <v>Бандаж для беременных эластичный 4505 - XL (Болгария) - 1122036KZ036</v>
      </c>
      <c r="G2314" s="1" t="str">
        <f ca="1">IFERROR(__xludf.DUMMYFUNCTION("""COMPUTED_VALUE"""),"KZ.7700.02.01.00933988 / Действительно до 28.11.2027 / 1122036KZ036 / годен до 28.11.2027")</f>
        <v>KZ.7700.02.01.00933988 / Действительно до 28.11.2027 / 1122036KZ036 / годен до 28.11.2027</v>
      </c>
      <c r="H2314" s="1" t="str">
        <f ca="1">IFERROR(__xludf.DUMMYFUNCTION("""COMPUTED_VALUE"""),"Бандаж для беременных эластичный 4505 - XL (Болгария) KZ.7700.02.01.00933988 / Действительно до 28.11.2027 / 1122036KZ036 / годен до 28.11.2027")</f>
        <v>Бандаж для беременных эластичный 4505 - XL (Болгария) KZ.7700.02.01.00933988 / Действительно до 28.11.2027 / 1122036KZ036 / годен до 28.11.2027</v>
      </c>
    </row>
    <row r="2315" spans="1:8" ht="12.75" x14ac:dyDescent="0.2">
      <c r="A2315" s="1" t="str">
        <f ca="1">IFERROR(__xludf.DUMMYFUNCTION("""COMPUTED_VALUE"""),"Бандаж для беременных эластичный 4505 - XXL (Болгария)")</f>
        <v>Бандаж для беременных эластичный 4505 - XXL (Болгария)</v>
      </c>
      <c r="B2315" s="1" t="str">
        <f ca="1">IFERROR(__xludf.DUMMYFUNCTION("""COMPUTED_VALUE"""),"KZ.7700.02.01.00933988")</f>
        <v>KZ.7700.02.01.00933988</v>
      </c>
      <c r="C2315" s="1" t="str">
        <f ca="1">IFERROR(__xludf.DUMMYFUNCTION("""COMPUTED_VALUE"""),"Действительно до 28.11.2027")</f>
        <v>Действительно до 28.11.2027</v>
      </c>
      <c r="D2315" s="8" t="str">
        <f ca="1">IFERROR(__xludf.DUMMYFUNCTION("""COMPUTED_VALUE"""),"1122036KZ036")</f>
        <v>1122036KZ036</v>
      </c>
      <c r="E2315" s="1" t="str">
        <f ca="1">IFERROR(__xludf.DUMMYFUNCTION("""COMPUTED_VALUE"""),"годен до 28.11.2027")</f>
        <v>годен до 28.11.2027</v>
      </c>
      <c r="F2315" s="1" t="str">
        <f ca="1">IFERROR(__xludf.DUMMYFUNCTION("""COMPUTED_VALUE"""),"Бандаж для беременных эластичный 4505 - XXL (Болгария) - 1122036KZ036")</f>
        <v>Бандаж для беременных эластичный 4505 - XXL (Болгария) - 1122036KZ036</v>
      </c>
      <c r="G2315" s="1" t="str">
        <f ca="1">IFERROR(__xludf.DUMMYFUNCTION("""COMPUTED_VALUE"""),"KZ.7700.02.01.00933988 / Действительно до 28.11.2027 / 1122036KZ036 / годен до 28.11.2027")</f>
        <v>KZ.7700.02.01.00933988 / Действительно до 28.11.2027 / 1122036KZ036 / годен до 28.11.2027</v>
      </c>
      <c r="H2315" s="1" t="str">
        <f ca="1">IFERROR(__xludf.DUMMYFUNCTION("""COMPUTED_VALUE"""),"Бандаж для беременных эластичный 4505 - XXL (Болгария) KZ.7700.02.01.00933988 / Действительно до 28.11.2027 / 1122036KZ036 / годен до 28.11.2027")</f>
        <v>Бандаж для беременных эластичный 4505 - XXL (Болгария) KZ.7700.02.01.00933988 / Действительно до 28.11.2027 / 1122036KZ036 / годен до 28.11.2027</v>
      </c>
    </row>
    <row r="2316" spans="1:8" ht="12.75" x14ac:dyDescent="0.2">
      <c r="A2316" s="1" t="str">
        <f ca="1">IFERROR(__xludf.DUMMYFUNCTION("""COMPUTED_VALUE"""),"Бандаж для беременных эластичный 4505 - XXXL (Болгария)")</f>
        <v>Бандаж для беременных эластичный 4505 - XXXL (Болгария)</v>
      </c>
      <c r="B2316" s="1" t="str">
        <f ca="1">IFERROR(__xludf.DUMMYFUNCTION("""COMPUTED_VALUE"""),"KZ.7700.02.01.00933988")</f>
        <v>KZ.7700.02.01.00933988</v>
      </c>
      <c r="C2316" s="1" t="str">
        <f ca="1">IFERROR(__xludf.DUMMYFUNCTION("""COMPUTED_VALUE"""),"Действительно до 28.11.2027")</f>
        <v>Действительно до 28.11.2027</v>
      </c>
      <c r="D2316" s="8" t="str">
        <f ca="1">IFERROR(__xludf.DUMMYFUNCTION("""COMPUTED_VALUE"""),"1122036KZ036")</f>
        <v>1122036KZ036</v>
      </c>
      <c r="E2316" s="1" t="str">
        <f ca="1">IFERROR(__xludf.DUMMYFUNCTION("""COMPUTED_VALUE"""),"годен до 28.11.2027")</f>
        <v>годен до 28.11.2027</v>
      </c>
      <c r="F2316" s="1" t="str">
        <f ca="1">IFERROR(__xludf.DUMMYFUNCTION("""COMPUTED_VALUE"""),"Бандаж для беременных эластичный 4505 - XXXL (Болгария) - 1122036KZ036")</f>
        <v>Бандаж для беременных эластичный 4505 - XXXL (Болгария) - 1122036KZ036</v>
      </c>
      <c r="G2316" s="1" t="str">
        <f ca="1">IFERROR(__xludf.DUMMYFUNCTION("""COMPUTED_VALUE"""),"KZ.7700.02.01.00933988 / Действительно до 28.11.2027 / 1122036KZ036 / годен до 28.11.2027")</f>
        <v>KZ.7700.02.01.00933988 / Действительно до 28.11.2027 / 1122036KZ036 / годен до 28.11.2027</v>
      </c>
      <c r="H2316" s="1" t="str">
        <f ca="1">IFERROR(__xludf.DUMMYFUNCTION("""COMPUTED_VALUE"""),"Бандаж для беременных эластичный 4505 - XXXL (Болгария) KZ.7700.02.01.00933988 / Действительно до 28.11.2027 / 1122036KZ036 / годен до 28.11.2027")</f>
        <v>Бандаж для беременных эластичный 4505 - XXXL (Болгария) KZ.7700.02.01.00933988 / Действительно до 28.11.2027 / 1122036KZ036 / годен до 28.11.2027</v>
      </c>
    </row>
    <row r="2317" spans="1:8" ht="12.75" x14ac:dyDescent="0.2">
      <c r="A2317" s="1" t="str">
        <f ca="1">IFERROR(__xludf.DUMMYFUNCTION("""COMPUTED_VALUE"""),"Измеритель артериального давления Профессиональный Dr.Frei А-10")</f>
        <v>Измеритель артериального давления Профессиональный Dr.Frei А-10</v>
      </c>
      <c r="B2317" s="1" t="str">
        <f ca="1">IFERROR(__xludf.DUMMYFUNCTION("""COMPUTED_VALUE"""),"KZ.7700.02.01.00957108")</f>
        <v>KZ.7700.02.01.00957108</v>
      </c>
      <c r="C2317" s="1" t="str">
        <f ca="1">IFERROR(__xludf.DUMMYFUNCTION("""COMPUTED_VALUE"""),"Действительно до бессрочно")</f>
        <v>Действительно до бессрочно</v>
      </c>
      <c r="D2317" s="8" t="str">
        <f ca="1">IFERROR(__xludf.DUMMYFUNCTION("""COMPUTED_VALUE"""),"YTC22116")</f>
        <v>YTC22116</v>
      </c>
      <c r="E2317" s="1" t="str">
        <f ca="1">IFERROR(__xludf.DUMMYFUNCTION("""COMPUTED_VALUE"""),"без срока годности")</f>
        <v>без срока годности</v>
      </c>
      <c r="F2317" s="1" t="str">
        <f ca="1">IFERROR(__xludf.DUMMYFUNCTION("""COMPUTED_VALUE"""),"Измеритель артериального давления Профессиональный Dr.Frei А-10 - YTC22116")</f>
        <v>Измеритель артериального давления Профессиональный Dr.Frei А-10 - YTC22116</v>
      </c>
      <c r="G2317" s="1" t="str">
        <f ca="1">IFERROR(__xludf.DUMMYFUNCTION("""COMPUTED_VALUE"""),"KZ.7700.02.01.00957108 / Действительно до бессрочно / YTC22116 / без срока годности")</f>
        <v>KZ.7700.02.01.00957108 / Действительно до бессрочно / YTC22116 / без срока годности</v>
      </c>
      <c r="H2317" s="1" t="str">
        <f ca="1">IFERROR(__xludf.DUMMYFUNCTION("""COMPUTED_VALUE"""),"Измеритель артериального давления Профессиональный Dr.Frei А-10 KZ.7700.02.01.00957108 / Действительно до бессрочно / YTC22116 / без срока годности")</f>
        <v>Измеритель артериального давления Профессиональный Dr.Frei А-10 KZ.7700.02.01.00957108 / Действительно до бессрочно / YTC22116 / без срока годности</v>
      </c>
    </row>
    <row r="2318" spans="1:8" ht="12.75" x14ac:dyDescent="0.2">
      <c r="A2318" s="1" t="str">
        <f ca="1">IFERROR(__xludf.DUMMYFUNCTION("""COMPUTED_VALUE"""),"Измеритель артериального давления Классик Dr.Frei А-20")</f>
        <v>Измеритель артериального давления Классик Dr.Frei А-20</v>
      </c>
      <c r="B2318" s="1" t="str">
        <f ca="1">IFERROR(__xludf.DUMMYFUNCTION("""COMPUTED_VALUE"""),"KZ.7700.02.01.00956971")</f>
        <v>KZ.7700.02.01.00956971</v>
      </c>
      <c r="C2318" s="1" t="str">
        <f ca="1">IFERROR(__xludf.DUMMYFUNCTION("""COMPUTED_VALUE"""),"Действительно до бессрочно")</f>
        <v>Действительно до бессрочно</v>
      </c>
      <c r="D2318" s="8" t="str">
        <f ca="1">IFERROR(__xludf.DUMMYFUNCTION("""COMPUTED_VALUE"""),"YTC22116")</f>
        <v>YTC22116</v>
      </c>
      <c r="E2318" s="1" t="str">
        <f ca="1">IFERROR(__xludf.DUMMYFUNCTION("""COMPUTED_VALUE"""),"без срока годности")</f>
        <v>без срока годности</v>
      </c>
      <c r="F2318" s="1" t="str">
        <f ca="1">IFERROR(__xludf.DUMMYFUNCTION("""COMPUTED_VALUE"""),"Измеритель артериального давления Классик Dr.Frei А-20 - YTC22116")</f>
        <v>Измеритель артериального давления Классик Dr.Frei А-20 - YTC22116</v>
      </c>
      <c r="G2318" s="1" t="str">
        <f ca="1">IFERROR(__xludf.DUMMYFUNCTION("""COMPUTED_VALUE"""),"KZ.7700.02.01.00956971 / Действительно до бессрочно / YTC22116 / без срока годности")</f>
        <v>KZ.7700.02.01.00956971 / Действительно до бессрочно / YTC22116 / без срока годности</v>
      </c>
      <c r="H2318" s="1" t="str">
        <f ca="1">IFERROR(__xludf.DUMMYFUNCTION("""COMPUTED_VALUE"""),"Измеритель артериального давления Классик Dr.Frei А-20 KZ.7700.02.01.00956971 / Действительно до бессрочно / YTC22116 / без срока годности")</f>
        <v>Измеритель артериального давления Классик Dr.Frei А-20 KZ.7700.02.01.00956971 / Действительно до бессрочно / YTC22116 / без срока годности</v>
      </c>
    </row>
    <row r="2319" spans="1:8" ht="12.75" x14ac:dyDescent="0.2">
      <c r="A2319" s="1" t="str">
        <f ca="1">IFERROR(__xludf.DUMMYFUNCTION("""COMPUTED_VALUE"""),"Измеритель артериального давления Premium Dr.Frei А-30")</f>
        <v>Измеритель артериального давления Premium Dr.Frei А-30</v>
      </c>
      <c r="B2319" s="1" t="str">
        <f ca="1">IFERROR(__xludf.DUMMYFUNCTION("""COMPUTED_VALUE"""),"KZ.7700.02.01.00957035")</f>
        <v>KZ.7700.02.01.00957035</v>
      </c>
      <c r="C2319" s="1" t="str">
        <f ca="1">IFERROR(__xludf.DUMMYFUNCTION("""COMPUTED_VALUE"""),"Действительно до бессрочно")</f>
        <v>Действительно до бессрочно</v>
      </c>
      <c r="D2319" s="8" t="str">
        <f ca="1">IFERROR(__xludf.DUMMYFUNCTION("""COMPUTED_VALUE"""),"YTC22116")</f>
        <v>YTC22116</v>
      </c>
      <c r="E2319" s="1" t="str">
        <f ca="1">IFERROR(__xludf.DUMMYFUNCTION("""COMPUTED_VALUE"""),"без срока годности")</f>
        <v>без срока годности</v>
      </c>
      <c r="F2319" s="1" t="str">
        <f ca="1">IFERROR(__xludf.DUMMYFUNCTION("""COMPUTED_VALUE"""),"Измеритель артериального давления Premium Dr.Frei А-30 - YTC22116")</f>
        <v>Измеритель артериального давления Premium Dr.Frei А-30 - YTC22116</v>
      </c>
      <c r="G2319" s="1" t="str">
        <f ca="1">IFERROR(__xludf.DUMMYFUNCTION("""COMPUTED_VALUE"""),"KZ.7700.02.01.00957035 / Действительно до бессрочно / YTC22116 / без срока годности")</f>
        <v>KZ.7700.02.01.00957035 / Действительно до бессрочно / YTC22116 / без срока годности</v>
      </c>
      <c r="H2319" s="1" t="str">
        <f ca="1">IFERROR(__xludf.DUMMYFUNCTION("""COMPUTED_VALUE"""),"Измеритель артериального давления Premium Dr.Frei А-30 KZ.7700.02.01.00957035 / Действительно до бессрочно / YTC22116 / без срока годности")</f>
        <v>Измеритель артериального давления Premium Dr.Frei А-30 KZ.7700.02.01.00957035 / Действительно до бессрочно / YTC22116 / без срока годности</v>
      </c>
    </row>
    <row r="2320" spans="1:8" ht="12.75" x14ac:dyDescent="0.2">
      <c r="A2320" s="1" t="str">
        <f ca="1">IFERROR(__xludf.DUMMYFUNCTION("""COMPUTED_VALUE"""),"Измеритель артериального давления Комфорт Dr.Frei А-40")</f>
        <v>Измеритель артериального давления Комфорт Dr.Frei А-40</v>
      </c>
      <c r="B2320" s="1" t="str">
        <f ca="1">IFERROR(__xludf.DUMMYFUNCTION("""COMPUTED_VALUE"""),"KZ.7700.02.01.00956957")</f>
        <v>KZ.7700.02.01.00956957</v>
      </c>
      <c r="C2320" s="1" t="str">
        <f ca="1">IFERROR(__xludf.DUMMYFUNCTION("""COMPUTED_VALUE"""),"Действительно до бессрочно")</f>
        <v>Действительно до бессрочно</v>
      </c>
      <c r="D2320" s="8" t="str">
        <f ca="1">IFERROR(__xludf.DUMMYFUNCTION("""COMPUTED_VALUE"""),"YTC22116")</f>
        <v>YTC22116</v>
      </c>
      <c r="E2320" s="1" t="str">
        <f ca="1">IFERROR(__xludf.DUMMYFUNCTION("""COMPUTED_VALUE"""),"без срока годности")</f>
        <v>без срока годности</v>
      </c>
      <c r="F2320" s="1" t="str">
        <f ca="1">IFERROR(__xludf.DUMMYFUNCTION("""COMPUTED_VALUE"""),"Измеритель артериального давления Комфорт Dr.Frei А-40 - YTC22116")</f>
        <v>Измеритель артериального давления Комфорт Dr.Frei А-40 - YTC22116</v>
      </c>
      <c r="G2320" s="1" t="str">
        <f ca="1">IFERROR(__xludf.DUMMYFUNCTION("""COMPUTED_VALUE"""),"KZ.7700.02.01.00956957 / Действительно до бессрочно / YTC22116 / без срока годности")</f>
        <v>KZ.7700.02.01.00956957 / Действительно до бессрочно / YTC22116 / без срока годности</v>
      </c>
      <c r="H2320" s="1" t="str">
        <f ca="1">IFERROR(__xludf.DUMMYFUNCTION("""COMPUTED_VALUE"""),"Измеритель артериального давления Комфорт Dr.Frei А-40 KZ.7700.02.01.00956957 / Действительно до бессрочно / YTC22116 / без срока годности")</f>
        <v>Измеритель артериального давления Комфорт Dr.Frei А-40 KZ.7700.02.01.00956957 / Действительно до бессрочно / YTC22116 / без срока годности</v>
      </c>
    </row>
    <row r="2321" spans="1:8" ht="12.75" x14ac:dyDescent="0.2">
      <c r="A2321" s="1"/>
      <c r="B2321" s="1"/>
      <c r="C2321" s="1"/>
      <c r="D2321" s="1"/>
      <c r="E2321" s="1"/>
      <c r="F2321" s="1" t="str">
        <f ca="1">IFERROR(__xludf.DUMMYFUNCTION("""COMPUTED_VALUE""")," - ")</f>
        <v xml:space="preserve"> - </v>
      </c>
      <c r="G2321" s="1" t="str">
        <f ca="1">IFERROR(__xludf.DUMMYFUNCTION("""COMPUTED_VALUE""")," /  /  / ")</f>
        <v xml:space="preserve"> /  /  / </v>
      </c>
      <c r="H2321" s="1" t="str">
        <f ca="1">IFERROR(__xludf.DUMMYFUNCTION("""COMPUTED_VALUE"""),"  /  /  / ")</f>
        <v xml:space="preserve">  /  /  / </v>
      </c>
    </row>
    <row r="2322" spans="1:8" ht="12.75" x14ac:dyDescent="0.2">
      <c r="A2322" s="1"/>
      <c r="B2322" s="1"/>
      <c r="C2322" s="1"/>
      <c r="D2322" s="1"/>
      <c r="E2322" s="1"/>
      <c r="F2322" s="1" t="str">
        <f ca="1">IFERROR(__xludf.DUMMYFUNCTION("""COMPUTED_VALUE""")," - ")</f>
        <v xml:space="preserve"> - </v>
      </c>
      <c r="G2322" s="1" t="str">
        <f ca="1">IFERROR(__xludf.DUMMYFUNCTION("""COMPUTED_VALUE""")," /  /  / ")</f>
        <v xml:space="preserve"> /  /  / </v>
      </c>
      <c r="H2322" s="1" t="str">
        <f ca="1">IFERROR(__xludf.DUMMYFUNCTION("""COMPUTED_VALUE"""),"  /  /  / ")</f>
        <v xml:space="preserve">  /  /  / </v>
      </c>
    </row>
    <row r="2323" spans="1:8" ht="12.75" x14ac:dyDescent="0.2">
      <c r="A2323" s="1"/>
      <c r="B2323" s="1"/>
      <c r="C2323" s="1"/>
      <c r="D2323" s="1"/>
      <c r="E2323" s="1"/>
      <c r="F2323" s="1" t="str">
        <f ca="1">IFERROR(__xludf.DUMMYFUNCTION("""COMPUTED_VALUE""")," - ")</f>
        <v xml:space="preserve"> - </v>
      </c>
      <c r="G2323" s="1" t="str">
        <f ca="1">IFERROR(__xludf.DUMMYFUNCTION("""COMPUTED_VALUE""")," /  /  / ")</f>
        <v xml:space="preserve"> /  /  / </v>
      </c>
      <c r="H2323" s="1" t="str">
        <f ca="1">IFERROR(__xludf.DUMMYFUNCTION("""COMPUTED_VALUE"""),"  /  /  / ")</f>
        <v xml:space="preserve">  /  /  / </v>
      </c>
    </row>
    <row r="2324" spans="1:8" ht="12.75" x14ac:dyDescent="0.2">
      <c r="A2324" s="1"/>
      <c r="B2324" s="1"/>
      <c r="C2324" s="1"/>
      <c r="D2324" s="1"/>
      <c r="E2324" s="1"/>
      <c r="F2324" s="1" t="str">
        <f ca="1">IFERROR(__xludf.DUMMYFUNCTION("""COMPUTED_VALUE""")," - ")</f>
        <v xml:space="preserve"> - </v>
      </c>
      <c r="G2324" s="1" t="str">
        <f ca="1">IFERROR(__xludf.DUMMYFUNCTION("""COMPUTED_VALUE""")," /  /  / ")</f>
        <v xml:space="preserve"> /  /  / </v>
      </c>
      <c r="H2324" s="1" t="str">
        <f ca="1">IFERROR(__xludf.DUMMYFUNCTION("""COMPUTED_VALUE"""),"  /  /  / ")</f>
        <v xml:space="preserve">  /  /  / </v>
      </c>
    </row>
    <row r="2325" spans="1:8" ht="12.75" x14ac:dyDescent="0.2">
      <c r="A2325" s="1"/>
      <c r="B2325" s="1"/>
      <c r="C2325" s="1"/>
      <c r="D2325" s="1"/>
      <c r="E2325" s="1"/>
      <c r="F2325" s="1" t="str">
        <f ca="1">IFERROR(__xludf.DUMMYFUNCTION("""COMPUTED_VALUE""")," - ")</f>
        <v xml:space="preserve"> - </v>
      </c>
      <c r="G2325" s="1" t="str">
        <f ca="1">IFERROR(__xludf.DUMMYFUNCTION("""COMPUTED_VALUE""")," /  /  / ")</f>
        <v xml:space="preserve"> /  /  / </v>
      </c>
      <c r="H2325" s="1" t="str">
        <f ca="1">IFERROR(__xludf.DUMMYFUNCTION("""COMPUTED_VALUE"""),"  /  /  / ")</f>
        <v xml:space="preserve">  /  /  / </v>
      </c>
    </row>
    <row r="2326" spans="1:8" ht="12.75" x14ac:dyDescent="0.2">
      <c r="A2326" s="1"/>
      <c r="B2326" s="1"/>
      <c r="C2326" s="1"/>
      <c r="D2326" s="1"/>
      <c r="E2326" s="1"/>
      <c r="F2326" s="1" t="str">
        <f ca="1">IFERROR(__xludf.DUMMYFUNCTION("""COMPUTED_VALUE""")," - ")</f>
        <v xml:space="preserve"> - </v>
      </c>
      <c r="G2326" s="1" t="str">
        <f ca="1">IFERROR(__xludf.DUMMYFUNCTION("""COMPUTED_VALUE""")," /  /  / ")</f>
        <v xml:space="preserve"> /  /  / </v>
      </c>
      <c r="H2326" s="1" t="str">
        <f ca="1">IFERROR(__xludf.DUMMYFUNCTION("""COMPUTED_VALUE"""),"  /  /  / ")</f>
        <v xml:space="preserve">  /  /  / </v>
      </c>
    </row>
    <row r="2327" spans="1:8" ht="12.75" x14ac:dyDescent="0.2">
      <c r="A2327" s="1"/>
      <c r="B2327" s="1"/>
      <c r="C2327" s="1"/>
      <c r="D2327" s="1"/>
      <c r="E2327" s="1"/>
      <c r="F2327" s="1" t="str">
        <f ca="1">IFERROR(__xludf.DUMMYFUNCTION("""COMPUTED_VALUE""")," - ")</f>
        <v xml:space="preserve"> - </v>
      </c>
      <c r="G2327" s="1" t="str">
        <f ca="1">IFERROR(__xludf.DUMMYFUNCTION("""COMPUTED_VALUE""")," /  /  / ")</f>
        <v xml:space="preserve"> /  /  / </v>
      </c>
      <c r="H2327" s="1" t="str">
        <f ca="1">IFERROR(__xludf.DUMMYFUNCTION("""COMPUTED_VALUE"""),"  /  /  / ")</f>
        <v xml:space="preserve">  /  /  / </v>
      </c>
    </row>
    <row r="2328" spans="1:8" ht="12.75" x14ac:dyDescent="0.2">
      <c r="A2328" s="1"/>
      <c r="B2328" s="1"/>
      <c r="C2328" s="1"/>
      <c r="D2328" s="1"/>
      <c r="E2328" s="1"/>
      <c r="F2328" s="1" t="str">
        <f ca="1">IFERROR(__xludf.DUMMYFUNCTION("""COMPUTED_VALUE""")," - ")</f>
        <v xml:space="preserve"> - </v>
      </c>
      <c r="G2328" s="1" t="str">
        <f ca="1">IFERROR(__xludf.DUMMYFUNCTION("""COMPUTED_VALUE""")," /  /  / ")</f>
        <v xml:space="preserve"> /  /  / </v>
      </c>
      <c r="H2328" s="1" t="str">
        <f ca="1">IFERROR(__xludf.DUMMYFUNCTION("""COMPUTED_VALUE"""),"  /  /  / ")</f>
        <v xml:space="preserve">  /  /  / </v>
      </c>
    </row>
    <row r="2329" spans="1:8" ht="12.75" x14ac:dyDescent="0.2">
      <c r="A2329" s="1"/>
      <c r="B2329" s="1"/>
      <c r="C2329" s="1"/>
      <c r="D2329" s="1"/>
      <c r="E2329" s="1"/>
      <c r="F2329" s="1" t="str">
        <f ca="1">IFERROR(__xludf.DUMMYFUNCTION("""COMPUTED_VALUE""")," - ")</f>
        <v xml:space="preserve"> - </v>
      </c>
      <c r="G2329" s="1" t="str">
        <f ca="1">IFERROR(__xludf.DUMMYFUNCTION("""COMPUTED_VALUE""")," /  /  / ")</f>
        <v xml:space="preserve"> /  /  / </v>
      </c>
      <c r="H2329" s="1" t="str">
        <f ca="1">IFERROR(__xludf.DUMMYFUNCTION("""COMPUTED_VALUE"""),"  /  /  / ")</f>
        <v xml:space="preserve">  /  /  / </v>
      </c>
    </row>
    <row r="2330" spans="1:8" ht="12.75" x14ac:dyDescent="0.2">
      <c r="A2330" s="1"/>
      <c r="B2330" s="1"/>
      <c r="C2330" s="1"/>
      <c r="D2330" s="1"/>
      <c r="E2330" s="1"/>
      <c r="F2330" s="1" t="str">
        <f ca="1">IFERROR(__xludf.DUMMYFUNCTION("""COMPUTED_VALUE""")," - ")</f>
        <v xml:space="preserve"> - </v>
      </c>
      <c r="G2330" s="1" t="str">
        <f ca="1">IFERROR(__xludf.DUMMYFUNCTION("""COMPUTED_VALUE""")," /  /  / ")</f>
        <v xml:space="preserve"> /  /  / </v>
      </c>
      <c r="H2330" s="1" t="str">
        <f ca="1">IFERROR(__xludf.DUMMYFUNCTION("""COMPUTED_VALUE"""),"  /  /  / ")</f>
        <v xml:space="preserve">  /  /  / </v>
      </c>
    </row>
    <row r="2331" spans="1:8" ht="12.75" x14ac:dyDescent="0.2">
      <c r="A2331" s="1"/>
      <c r="B2331" s="1"/>
      <c r="C2331" s="1"/>
      <c r="D2331" s="1"/>
      <c r="E2331" s="1"/>
      <c r="F2331" s="1" t="str">
        <f ca="1">IFERROR(__xludf.DUMMYFUNCTION("""COMPUTED_VALUE""")," - ")</f>
        <v xml:space="preserve"> - </v>
      </c>
      <c r="G2331" s="1" t="str">
        <f ca="1">IFERROR(__xludf.DUMMYFUNCTION("""COMPUTED_VALUE""")," /  /  / ")</f>
        <v xml:space="preserve"> /  /  / </v>
      </c>
      <c r="H2331" s="1" t="str">
        <f ca="1">IFERROR(__xludf.DUMMYFUNCTION("""COMPUTED_VALUE"""),"  /  /  / ")</f>
        <v xml:space="preserve">  /  /  / </v>
      </c>
    </row>
    <row r="2332" spans="1:8" ht="12.75" x14ac:dyDescent="0.2">
      <c r="A2332" s="1"/>
      <c r="B2332" s="1"/>
      <c r="C2332" s="1"/>
      <c r="D2332" s="1"/>
      <c r="E2332" s="1"/>
      <c r="F2332" s="1" t="str">
        <f ca="1">IFERROR(__xludf.DUMMYFUNCTION("""COMPUTED_VALUE""")," - ")</f>
        <v xml:space="preserve"> - </v>
      </c>
      <c r="G2332" s="1" t="str">
        <f ca="1">IFERROR(__xludf.DUMMYFUNCTION("""COMPUTED_VALUE""")," /  /  / ")</f>
        <v xml:space="preserve"> /  /  / </v>
      </c>
      <c r="H2332" s="1" t="str">
        <f ca="1">IFERROR(__xludf.DUMMYFUNCTION("""COMPUTED_VALUE"""),"  /  /  / ")</f>
        <v xml:space="preserve">  /  /  / </v>
      </c>
    </row>
    <row r="2333" spans="1:8" ht="12.75" x14ac:dyDescent="0.2">
      <c r="A2333" s="1"/>
      <c r="B2333" s="1"/>
      <c r="C2333" s="1"/>
      <c r="D2333" s="1"/>
      <c r="E2333" s="1"/>
      <c r="F2333" s="1" t="str">
        <f ca="1">IFERROR(__xludf.DUMMYFUNCTION("""COMPUTED_VALUE""")," - ")</f>
        <v xml:space="preserve"> - </v>
      </c>
      <c r="G2333" s="1" t="str">
        <f ca="1">IFERROR(__xludf.DUMMYFUNCTION("""COMPUTED_VALUE""")," /  /  / ")</f>
        <v xml:space="preserve"> /  /  / </v>
      </c>
      <c r="H2333" s="1" t="str">
        <f ca="1">IFERROR(__xludf.DUMMYFUNCTION("""COMPUTED_VALUE"""),"  /  /  / ")</f>
        <v xml:space="preserve">  /  /  / </v>
      </c>
    </row>
    <row r="2334" spans="1:8" ht="12.75" x14ac:dyDescent="0.2">
      <c r="A2334" s="1"/>
      <c r="B2334" s="1"/>
      <c r="C2334" s="1"/>
      <c r="D2334" s="1"/>
      <c r="E2334" s="1"/>
      <c r="F2334" s="1" t="str">
        <f ca="1">IFERROR(__xludf.DUMMYFUNCTION("""COMPUTED_VALUE""")," - ")</f>
        <v xml:space="preserve"> - </v>
      </c>
      <c r="G2334" s="1" t="str">
        <f ca="1">IFERROR(__xludf.DUMMYFUNCTION("""COMPUTED_VALUE""")," /  /  / ")</f>
        <v xml:space="preserve"> /  /  / </v>
      </c>
      <c r="H2334" s="1" t="str">
        <f ca="1">IFERROR(__xludf.DUMMYFUNCTION("""COMPUTED_VALUE"""),"  /  /  / ")</f>
        <v xml:space="preserve">  /  /  / </v>
      </c>
    </row>
    <row r="2335" spans="1:8" ht="12.75" x14ac:dyDescent="0.2">
      <c r="A2335" s="1"/>
      <c r="B2335" s="1"/>
      <c r="C2335" s="1"/>
      <c r="D2335" s="1"/>
      <c r="E2335" s="1"/>
      <c r="F2335" s="1" t="str">
        <f ca="1">IFERROR(__xludf.DUMMYFUNCTION("""COMPUTED_VALUE""")," - ")</f>
        <v xml:space="preserve"> - </v>
      </c>
      <c r="G2335" s="1" t="str">
        <f ca="1">IFERROR(__xludf.DUMMYFUNCTION("""COMPUTED_VALUE""")," /  /  / ")</f>
        <v xml:space="preserve"> /  /  / </v>
      </c>
      <c r="H2335" s="1" t="str">
        <f ca="1">IFERROR(__xludf.DUMMYFUNCTION("""COMPUTED_VALUE"""),"  /  /  / ")</f>
        <v xml:space="preserve">  /  /  / </v>
      </c>
    </row>
    <row r="2336" spans="1:8" ht="12.75" x14ac:dyDescent="0.2">
      <c r="A2336" s="1"/>
      <c r="B2336" s="1"/>
      <c r="C2336" s="1"/>
      <c r="D2336" s="1"/>
      <c r="E2336" s="1"/>
      <c r="F2336" s="1" t="str">
        <f ca="1">IFERROR(__xludf.DUMMYFUNCTION("""COMPUTED_VALUE""")," - ")</f>
        <v xml:space="preserve"> - </v>
      </c>
      <c r="G2336" s="1" t="str">
        <f ca="1">IFERROR(__xludf.DUMMYFUNCTION("""COMPUTED_VALUE""")," /  /  / ")</f>
        <v xml:space="preserve"> /  /  / </v>
      </c>
      <c r="H2336" s="1" t="str">
        <f ca="1">IFERROR(__xludf.DUMMYFUNCTION("""COMPUTED_VALUE"""),"  /  /  / ")</f>
        <v xml:space="preserve">  /  /  / </v>
      </c>
    </row>
    <row r="2337" spans="1:8" ht="12.75" x14ac:dyDescent="0.2">
      <c r="A2337" s="1"/>
      <c r="B2337" s="1"/>
      <c r="C2337" s="1"/>
      <c r="D2337" s="1"/>
      <c r="E2337" s="1"/>
      <c r="F2337" s="1" t="str">
        <f ca="1">IFERROR(__xludf.DUMMYFUNCTION("""COMPUTED_VALUE""")," - ")</f>
        <v xml:space="preserve"> - </v>
      </c>
      <c r="G2337" s="1" t="str">
        <f ca="1">IFERROR(__xludf.DUMMYFUNCTION("""COMPUTED_VALUE""")," /  /  / ")</f>
        <v xml:space="preserve"> /  /  / </v>
      </c>
      <c r="H2337" s="1" t="str">
        <f ca="1">IFERROR(__xludf.DUMMYFUNCTION("""COMPUTED_VALUE"""),"  /  /  / ")</f>
        <v xml:space="preserve">  /  /  / </v>
      </c>
    </row>
    <row r="2338" spans="1:8" ht="12.75" x14ac:dyDescent="0.2">
      <c r="A2338" s="1"/>
      <c r="B2338" s="1"/>
      <c r="C2338" s="1"/>
      <c r="D2338" s="1"/>
      <c r="E2338" s="1"/>
      <c r="F2338" s="1" t="str">
        <f ca="1">IFERROR(__xludf.DUMMYFUNCTION("""COMPUTED_VALUE""")," - ")</f>
        <v xml:space="preserve"> - </v>
      </c>
      <c r="G2338" s="1" t="str">
        <f ca="1">IFERROR(__xludf.DUMMYFUNCTION("""COMPUTED_VALUE""")," /  /  / ")</f>
        <v xml:space="preserve"> /  /  / </v>
      </c>
      <c r="H2338" s="1" t="str">
        <f ca="1">IFERROR(__xludf.DUMMYFUNCTION("""COMPUTED_VALUE"""),"  /  /  / ")</f>
        <v xml:space="preserve">  /  /  / </v>
      </c>
    </row>
    <row r="2339" spans="1:8" ht="12.75" x14ac:dyDescent="0.2">
      <c r="A2339" s="1"/>
      <c r="B2339" s="1"/>
      <c r="C2339" s="1"/>
      <c r="D2339" s="1"/>
      <c r="E2339" s="1"/>
      <c r="F2339" s="1" t="str">
        <f ca="1">IFERROR(__xludf.DUMMYFUNCTION("""COMPUTED_VALUE""")," - ")</f>
        <v xml:space="preserve"> - </v>
      </c>
      <c r="G2339" s="1" t="str">
        <f ca="1">IFERROR(__xludf.DUMMYFUNCTION("""COMPUTED_VALUE""")," /  /  / ")</f>
        <v xml:space="preserve"> /  /  / </v>
      </c>
      <c r="H2339" s="1" t="str">
        <f ca="1">IFERROR(__xludf.DUMMYFUNCTION("""COMPUTED_VALUE"""),"  /  /  / ")</f>
        <v xml:space="preserve">  /  /  / </v>
      </c>
    </row>
    <row r="2340" spans="1:8" ht="12.75" x14ac:dyDescent="0.2">
      <c r="A2340" s="1"/>
      <c r="B2340" s="1"/>
      <c r="C2340" s="1"/>
      <c r="D2340" s="1"/>
      <c r="E2340" s="1"/>
      <c r="F2340" s="1" t="str">
        <f ca="1">IFERROR(__xludf.DUMMYFUNCTION("""COMPUTED_VALUE""")," - ")</f>
        <v xml:space="preserve"> - </v>
      </c>
      <c r="G2340" s="1" t="str">
        <f ca="1">IFERROR(__xludf.DUMMYFUNCTION("""COMPUTED_VALUE""")," /  /  / ")</f>
        <v xml:space="preserve"> /  /  / </v>
      </c>
      <c r="H2340" s="1" t="str">
        <f ca="1">IFERROR(__xludf.DUMMYFUNCTION("""COMPUTED_VALUE"""),"  /  /  / ")</f>
        <v xml:space="preserve">  /  /  / </v>
      </c>
    </row>
    <row r="2341" spans="1:8" ht="12.75" x14ac:dyDescent="0.2">
      <c r="A2341" s="1"/>
      <c r="B2341" s="1"/>
      <c r="C2341" s="1"/>
      <c r="D2341" s="1"/>
      <c r="E2341" s="1"/>
      <c r="F2341" s="1" t="str">
        <f ca="1">IFERROR(__xludf.DUMMYFUNCTION("""COMPUTED_VALUE""")," - ")</f>
        <v xml:space="preserve"> - </v>
      </c>
      <c r="G2341" s="1" t="str">
        <f ca="1">IFERROR(__xludf.DUMMYFUNCTION("""COMPUTED_VALUE""")," /  /  / ")</f>
        <v xml:space="preserve"> /  /  / </v>
      </c>
      <c r="H2341" s="1" t="str">
        <f ca="1">IFERROR(__xludf.DUMMYFUNCTION("""COMPUTED_VALUE"""),"  /  /  / ")</f>
        <v xml:space="preserve">  /  /  / </v>
      </c>
    </row>
    <row r="2342" spans="1:8" ht="12.75" x14ac:dyDescent="0.2">
      <c r="A2342" s="1"/>
      <c r="B2342" s="1"/>
      <c r="C2342" s="1"/>
      <c r="D2342" s="1"/>
      <c r="E2342" s="1"/>
      <c r="F2342" s="1" t="str">
        <f ca="1">IFERROR(__xludf.DUMMYFUNCTION("""COMPUTED_VALUE""")," - ")</f>
        <v xml:space="preserve"> - </v>
      </c>
      <c r="G2342" s="1" t="str">
        <f ca="1">IFERROR(__xludf.DUMMYFUNCTION("""COMPUTED_VALUE""")," /  /  / ")</f>
        <v xml:space="preserve"> /  /  / </v>
      </c>
      <c r="H2342" s="1" t="str">
        <f ca="1">IFERROR(__xludf.DUMMYFUNCTION("""COMPUTED_VALUE"""),"  /  /  / ")</f>
        <v xml:space="preserve">  /  /  / </v>
      </c>
    </row>
    <row r="2343" spans="1:8" ht="12.75" x14ac:dyDescent="0.2">
      <c r="A2343" s="1"/>
      <c r="B2343" s="1"/>
      <c r="C2343" s="1"/>
      <c r="D2343" s="1"/>
      <c r="E2343" s="1"/>
      <c r="F2343" s="1" t="str">
        <f ca="1">IFERROR(__xludf.DUMMYFUNCTION("""COMPUTED_VALUE""")," - ")</f>
        <v xml:space="preserve"> - </v>
      </c>
      <c r="G2343" s="1" t="str">
        <f ca="1">IFERROR(__xludf.DUMMYFUNCTION("""COMPUTED_VALUE""")," /  /  / ")</f>
        <v xml:space="preserve"> /  /  / </v>
      </c>
      <c r="H2343" s="1" t="str">
        <f ca="1">IFERROR(__xludf.DUMMYFUNCTION("""COMPUTED_VALUE"""),"  /  /  / ")</f>
        <v xml:space="preserve">  /  /  / </v>
      </c>
    </row>
    <row r="2344" spans="1:8" ht="12.75" x14ac:dyDescent="0.2">
      <c r="A2344" s="1"/>
      <c r="B2344" s="1"/>
      <c r="C2344" s="1"/>
      <c r="D2344" s="1"/>
      <c r="E2344" s="1"/>
      <c r="F2344" s="1" t="str">
        <f ca="1">IFERROR(__xludf.DUMMYFUNCTION("""COMPUTED_VALUE""")," - ")</f>
        <v xml:space="preserve"> - </v>
      </c>
      <c r="G2344" s="1" t="str">
        <f ca="1">IFERROR(__xludf.DUMMYFUNCTION("""COMPUTED_VALUE""")," /  /  / ")</f>
        <v xml:space="preserve"> /  /  / </v>
      </c>
      <c r="H2344" s="1" t="str">
        <f ca="1">IFERROR(__xludf.DUMMYFUNCTION("""COMPUTED_VALUE"""),"  /  /  / ")</f>
        <v xml:space="preserve">  /  /  / </v>
      </c>
    </row>
    <row r="2345" spans="1:8" ht="12.75" x14ac:dyDescent="0.2">
      <c r="A2345" s="1"/>
      <c r="B2345" s="1"/>
      <c r="C2345" s="1"/>
      <c r="D2345" s="1"/>
      <c r="E2345" s="1"/>
      <c r="F2345" s="1" t="str">
        <f ca="1">IFERROR(__xludf.DUMMYFUNCTION("""COMPUTED_VALUE""")," - ")</f>
        <v xml:space="preserve"> - </v>
      </c>
      <c r="G2345" s="1" t="str">
        <f ca="1">IFERROR(__xludf.DUMMYFUNCTION("""COMPUTED_VALUE""")," /  /  / ")</f>
        <v xml:space="preserve"> /  /  / </v>
      </c>
      <c r="H2345" s="1" t="str">
        <f ca="1">IFERROR(__xludf.DUMMYFUNCTION("""COMPUTED_VALUE"""),"  /  /  / ")</f>
        <v xml:space="preserve">  /  /  / </v>
      </c>
    </row>
    <row r="2346" spans="1:8" ht="12.75" x14ac:dyDescent="0.2">
      <c r="A2346" s="1"/>
      <c r="B2346" s="1"/>
      <c r="C2346" s="1"/>
      <c r="D2346" s="1"/>
      <c r="E2346" s="1"/>
      <c r="F2346" s="1" t="str">
        <f ca="1">IFERROR(__xludf.DUMMYFUNCTION("""COMPUTED_VALUE""")," - ")</f>
        <v xml:space="preserve"> - </v>
      </c>
      <c r="G2346" s="1" t="str">
        <f ca="1">IFERROR(__xludf.DUMMYFUNCTION("""COMPUTED_VALUE""")," /  /  / ")</f>
        <v xml:space="preserve"> /  /  / </v>
      </c>
      <c r="H2346" s="1" t="str">
        <f ca="1">IFERROR(__xludf.DUMMYFUNCTION("""COMPUTED_VALUE"""),"  /  /  / ")</f>
        <v xml:space="preserve">  /  /  / </v>
      </c>
    </row>
    <row r="2347" spans="1:8" ht="12.75" x14ac:dyDescent="0.2">
      <c r="A2347" s="1"/>
      <c r="B2347" s="1"/>
      <c r="C2347" s="1"/>
      <c r="D2347" s="1"/>
      <c r="E2347" s="1"/>
      <c r="F2347" s="1" t="str">
        <f ca="1">IFERROR(__xludf.DUMMYFUNCTION("""COMPUTED_VALUE""")," - ")</f>
        <v xml:space="preserve"> - </v>
      </c>
      <c r="G2347" s="1" t="str">
        <f ca="1">IFERROR(__xludf.DUMMYFUNCTION("""COMPUTED_VALUE""")," /  /  / ")</f>
        <v xml:space="preserve"> /  /  / </v>
      </c>
      <c r="H2347" s="1" t="str">
        <f ca="1">IFERROR(__xludf.DUMMYFUNCTION("""COMPUTED_VALUE"""),"  /  /  / ")</f>
        <v xml:space="preserve">  /  /  / </v>
      </c>
    </row>
    <row r="2348" spans="1:8" ht="12.75" x14ac:dyDescent="0.2">
      <c r="A2348" s="1"/>
      <c r="B2348" s="1"/>
      <c r="C2348" s="1"/>
      <c r="D2348" s="1"/>
      <c r="E2348" s="1"/>
      <c r="F2348" s="1" t="str">
        <f ca="1">IFERROR(__xludf.DUMMYFUNCTION("""COMPUTED_VALUE""")," - ")</f>
        <v xml:space="preserve"> - </v>
      </c>
      <c r="G2348" s="1" t="str">
        <f ca="1">IFERROR(__xludf.DUMMYFUNCTION("""COMPUTED_VALUE""")," /  /  / ")</f>
        <v xml:space="preserve"> /  /  / </v>
      </c>
      <c r="H2348" s="1" t="str">
        <f ca="1">IFERROR(__xludf.DUMMYFUNCTION("""COMPUTED_VALUE"""),"  /  /  / ")</f>
        <v xml:space="preserve">  /  /  / </v>
      </c>
    </row>
    <row r="2349" spans="1:8" ht="12.75" x14ac:dyDescent="0.2">
      <c r="A2349" s="1"/>
      <c r="B2349" s="1"/>
      <c r="C2349" s="1"/>
      <c r="D2349" s="1"/>
      <c r="E2349" s="1"/>
      <c r="F2349" s="1" t="str">
        <f ca="1">IFERROR(__xludf.DUMMYFUNCTION("""COMPUTED_VALUE""")," - ")</f>
        <v xml:space="preserve"> - </v>
      </c>
      <c r="G2349" s="1" t="str">
        <f ca="1">IFERROR(__xludf.DUMMYFUNCTION("""COMPUTED_VALUE""")," /  /  / ")</f>
        <v xml:space="preserve"> /  /  / </v>
      </c>
      <c r="H2349" s="1" t="str">
        <f ca="1">IFERROR(__xludf.DUMMYFUNCTION("""COMPUTED_VALUE"""),"  /  /  / ")</f>
        <v xml:space="preserve">  /  /  / </v>
      </c>
    </row>
    <row r="2350" spans="1:8" ht="12.75" x14ac:dyDescent="0.2">
      <c r="A2350" s="1"/>
      <c r="B2350" s="1"/>
      <c r="C2350" s="1"/>
      <c r="D2350" s="1"/>
      <c r="E2350" s="1"/>
      <c r="F2350" s="1" t="str">
        <f ca="1">IFERROR(__xludf.DUMMYFUNCTION("""COMPUTED_VALUE""")," - ")</f>
        <v xml:space="preserve"> - </v>
      </c>
      <c r="G2350" s="1" t="str">
        <f ca="1">IFERROR(__xludf.DUMMYFUNCTION("""COMPUTED_VALUE""")," /  /  / ")</f>
        <v xml:space="preserve"> /  /  / </v>
      </c>
      <c r="H2350" s="1" t="str">
        <f ca="1">IFERROR(__xludf.DUMMYFUNCTION("""COMPUTED_VALUE"""),"  /  /  / ")</f>
        <v xml:space="preserve">  /  /  / </v>
      </c>
    </row>
    <row r="2351" spans="1:8" ht="12.75" x14ac:dyDescent="0.2">
      <c r="A2351" s="1"/>
      <c r="B2351" s="1"/>
      <c r="C2351" s="1"/>
      <c r="D2351" s="1"/>
      <c r="E2351" s="1"/>
      <c r="F2351" s="1" t="str">
        <f ca="1">IFERROR(__xludf.DUMMYFUNCTION("""COMPUTED_VALUE""")," - ")</f>
        <v xml:space="preserve"> - </v>
      </c>
      <c r="G2351" s="1" t="str">
        <f ca="1">IFERROR(__xludf.DUMMYFUNCTION("""COMPUTED_VALUE""")," /  /  / ")</f>
        <v xml:space="preserve"> /  /  / </v>
      </c>
      <c r="H2351" s="1" t="str">
        <f ca="1">IFERROR(__xludf.DUMMYFUNCTION("""COMPUTED_VALUE"""),"  /  /  / ")</f>
        <v xml:space="preserve">  /  /  / </v>
      </c>
    </row>
    <row r="2352" spans="1:8" ht="12.75" x14ac:dyDescent="0.2">
      <c r="A2352" s="1"/>
      <c r="B2352" s="1"/>
      <c r="C2352" s="1"/>
      <c r="D2352" s="1"/>
      <c r="E2352" s="1"/>
      <c r="F2352" s="1" t="str">
        <f ca="1">IFERROR(__xludf.DUMMYFUNCTION("""COMPUTED_VALUE""")," - ")</f>
        <v xml:space="preserve"> - </v>
      </c>
      <c r="G2352" s="1" t="str">
        <f ca="1">IFERROR(__xludf.DUMMYFUNCTION("""COMPUTED_VALUE""")," /  /  / ")</f>
        <v xml:space="preserve"> /  /  / </v>
      </c>
      <c r="H2352" s="1" t="str">
        <f ca="1">IFERROR(__xludf.DUMMYFUNCTION("""COMPUTED_VALUE"""),"  /  /  / ")</f>
        <v xml:space="preserve">  /  /  / </v>
      </c>
    </row>
    <row r="2353" spans="1:8" ht="12.75" x14ac:dyDescent="0.2">
      <c r="A2353" s="1"/>
      <c r="B2353" s="1"/>
      <c r="C2353" s="1"/>
      <c r="D2353" s="1"/>
      <c r="E2353" s="1"/>
      <c r="F2353" s="1" t="str">
        <f ca="1">IFERROR(__xludf.DUMMYFUNCTION("""COMPUTED_VALUE""")," - ")</f>
        <v xml:space="preserve"> - </v>
      </c>
      <c r="G2353" s="1" t="str">
        <f ca="1">IFERROR(__xludf.DUMMYFUNCTION("""COMPUTED_VALUE""")," /  /  / ")</f>
        <v xml:space="preserve"> /  /  / </v>
      </c>
      <c r="H2353" s="1" t="str">
        <f ca="1">IFERROR(__xludf.DUMMYFUNCTION("""COMPUTED_VALUE"""),"  /  /  / ")</f>
        <v xml:space="preserve">  /  /  / </v>
      </c>
    </row>
    <row r="2354" spans="1:8" ht="12.75" x14ac:dyDescent="0.2">
      <c r="A2354" s="1"/>
      <c r="B2354" s="1"/>
      <c r="C2354" s="1"/>
      <c r="D2354" s="1"/>
      <c r="E2354" s="1"/>
      <c r="F2354" s="1" t="str">
        <f ca="1">IFERROR(__xludf.DUMMYFUNCTION("""COMPUTED_VALUE""")," - ")</f>
        <v xml:space="preserve"> - </v>
      </c>
      <c r="G2354" s="1" t="str">
        <f ca="1">IFERROR(__xludf.DUMMYFUNCTION("""COMPUTED_VALUE""")," /  /  / ")</f>
        <v xml:space="preserve"> /  /  / </v>
      </c>
      <c r="H2354" s="1" t="str">
        <f ca="1">IFERROR(__xludf.DUMMYFUNCTION("""COMPUTED_VALUE"""),"  /  /  / ")</f>
        <v xml:space="preserve">  /  /  / </v>
      </c>
    </row>
    <row r="2355" spans="1:8" ht="12.75" x14ac:dyDescent="0.2">
      <c r="A2355" s="1"/>
      <c r="B2355" s="1"/>
      <c r="C2355" s="1"/>
      <c r="D2355" s="1"/>
      <c r="E2355" s="1"/>
      <c r="F2355" s="1" t="str">
        <f ca="1">IFERROR(__xludf.DUMMYFUNCTION("""COMPUTED_VALUE""")," - ")</f>
        <v xml:space="preserve"> - </v>
      </c>
      <c r="G2355" s="1" t="str">
        <f ca="1">IFERROR(__xludf.DUMMYFUNCTION("""COMPUTED_VALUE""")," /  /  / ")</f>
        <v xml:space="preserve"> /  /  / </v>
      </c>
      <c r="H2355" s="1" t="str">
        <f ca="1">IFERROR(__xludf.DUMMYFUNCTION("""COMPUTED_VALUE"""),"  /  /  / ")</f>
        <v xml:space="preserve">  /  /  / </v>
      </c>
    </row>
    <row r="2356" spans="1:8" ht="12.75" x14ac:dyDescent="0.2">
      <c r="A2356" s="1"/>
      <c r="B2356" s="1"/>
      <c r="C2356" s="1"/>
      <c r="D2356" s="1"/>
      <c r="E2356" s="1"/>
      <c r="F2356" s="1" t="str">
        <f ca="1">IFERROR(__xludf.DUMMYFUNCTION("""COMPUTED_VALUE""")," - ")</f>
        <v xml:space="preserve"> - </v>
      </c>
      <c r="G2356" s="1" t="str">
        <f ca="1">IFERROR(__xludf.DUMMYFUNCTION("""COMPUTED_VALUE""")," /  /  / ")</f>
        <v xml:space="preserve"> /  /  / </v>
      </c>
      <c r="H2356" s="1" t="str">
        <f ca="1">IFERROR(__xludf.DUMMYFUNCTION("""COMPUTED_VALUE"""),"  /  /  / ")</f>
        <v xml:space="preserve">  /  /  / </v>
      </c>
    </row>
    <row r="2357" spans="1:8" ht="12.75" x14ac:dyDescent="0.2">
      <c r="A2357" s="1"/>
      <c r="B2357" s="1"/>
      <c r="C2357" s="1"/>
      <c r="D2357" s="1"/>
      <c r="E2357" s="1"/>
      <c r="F2357" s="1" t="str">
        <f ca="1">IFERROR(__xludf.DUMMYFUNCTION("""COMPUTED_VALUE""")," - ")</f>
        <v xml:space="preserve"> - </v>
      </c>
      <c r="G2357" s="1" t="str">
        <f ca="1">IFERROR(__xludf.DUMMYFUNCTION("""COMPUTED_VALUE""")," /  /  / ")</f>
        <v xml:space="preserve"> /  /  / </v>
      </c>
      <c r="H2357" s="1" t="str">
        <f ca="1">IFERROR(__xludf.DUMMYFUNCTION("""COMPUTED_VALUE"""),"  /  /  / ")</f>
        <v xml:space="preserve">  /  /  / </v>
      </c>
    </row>
    <row r="2358" spans="1:8" ht="12.75" x14ac:dyDescent="0.2">
      <c r="A2358" s="1"/>
      <c r="B2358" s="1"/>
      <c r="C2358" s="1"/>
      <c r="D2358" s="1"/>
      <c r="E2358" s="1"/>
      <c r="F2358" s="1" t="str">
        <f ca="1">IFERROR(__xludf.DUMMYFUNCTION("""COMPUTED_VALUE""")," - ")</f>
        <v xml:space="preserve"> - </v>
      </c>
      <c r="G2358" s="1" t="str">
        <f ca="1">IFERROR(__xludf.DUMMYFUNCTION("""COMPUTED_VALUE""")," /  /  / ")</f>
        <v xml:space="preserve"> /  /  / </v>
      </c>
      <c r="H2358" s="1" t="str">
        <f ca="1">IFERROR(__xludf.DUMMYFUNCTION("""COMPUTED_VALUE"""),"  /  /  / ")</f>
        <v xml:space="preserve">  /  /  / </v>
      </c>
    </row>
    <row r="2359" spans="1:8" ht="12.75" x14ac:dyDescent="0.2">
      <c r="A2359" s="1"/>
      <c r="B2359" s="1"/>
      <c r="C2359" s="1"/>
      <c r="D2359" s="1"/>
      <c r="E2359" s="1"/>
      <c r="F2359" s="1" t="str">
        <f ca="1">IFERROR(__xludf.DUMMYFUNCTION("""COMPUTED_VALUE""")," - ")</f>
        <v xml:space="preserve"> - </v>
      </c>
      <c r="G2359" s="1" t="str">
        <f ca="1">IFERROR(__xludf.DUMMYFUNCTION("""COMPUTED_VALUE""")," /  /  / ")</f>
        <v xml:space="preserve"> /  /  / </v>
      </c>
      <c r="H2359" s="1" t="str">
        <f ca="1">IFERROR(__xludf.DUMMYFUNCTION("""COMPUTED_VALUE"""),"  /  /  / ")</f>
        <v xml:space="preserve">  /  /  / </v>
      </c>
    </row>
    <row r="2360" spans="1:8" ht="12.75" x14ac:dyDescent="0.2">
      <c r="A2360" s="1"/>
      <c r="B2360" s="1"/>
      <c r="C2360" s="1"/>
      <c r="D2360" s="1"/>
      <c r="E2360" s="1"/>
      <c r="F2360" s="1" t="str">
        <f ca="1">IFERROR(__xludf.DUMMYFUNCTION("""COMPUTED_VALUE""")," - ")</f>
        <v xml:space="preserve"> - </v>
      </c>
      <c r="G2360" s="1" t="str">
        <f ca="1">IFERROR(__xludf.DUMMYFUNCTION("""COMPUTED_VALUE""")," /  /  / ")</f>
        <v xml:space="preserve"> /  /  / </v>
      </c>
      <c r="H2360" s="1" t="str">
        <f ca="1">IFERROR(__xludf.DUMMYFUNCTION("""COMPUTED_VALUE"""),"  /  /  / ")</f>
        <v xml:space="preserve">  /  /  / </v>
      </c>
    </row>
    <row r="2361" spans="1:8" ht="12.75" x14ac:dyDescent="0.2">
      <c r="A2361" s="1"/>
      <c r="B2361" s="1"/>
      <c r="C2361" s="1"/>
      <c r="D2361" s="1"/>
      <c r="E2361" s="1"/>
      <c r="F2361" s="1" t="str">
        <f ca="1">IFERROR(__xludf.DUMMYFUNCTION("""COMPUTED_VALUE""")," - ")</f>
        <v xml:space="preserve"> - </v>
      </c>
      <c r="G2361" s="1" t="str">
        <f ca="1">IFERROR(__xludf.DUMMYFUNCTION("""COMPUTED_VALUE""")," /  /  / ")</f>
        <v xml:space="preserve"> /  /  / </v>
      </c>
      <c r="H2361" s="1" t="str">
        <f ca="1">IFERROR(__xludf.DUMMYFUNCTION("""COMPUTED_VALUE"""),"  /  /  / ")</f>
        <v xml:space="preserve">  /  /  / </v>
      </c>
    </row>
    <row r="2362" spans="1:8" ht="12.75" x14ac:dyDescent="0.2">
      <c r="A2362" s="1"/>
      <c r="B2362" s="1"/>
      <c r="C2362" s="1"/>
      <c r="D2362" s="1"/>
      <c r="E2362" s="1"/>
      <c r="F2362" s="1" t="str">
        <f ca="1">IFERROR(__xludf.DUMMYFUNCTION("""COMPUTED_VALUE""")," - ")</f>
        <v xml:space="preserve"> - </v>
      </c>
      <c r="G2362" s="1" t="str">
        <f ca="1">IFERROR(__xludf.DUMMYFUNCTION("""COMPUTED_VALUE""")," /  /  / ")</f>
        <v xml:space="preserve"> /  /  / </v>
      </c>
      <c r="H2362" s="1" t="str">
        <f ca="1">IFERROR(__xludf.DUMMYFUNCTION("""COMPUTED_VALUE"""),"  /  /  / ")</f>
        <v xml:space="preserve">  /  /  / </v>
      </c>
    </row>
    <row r="2363" spans="1:8" ht="12.75" x14ac:dyDescent="0.2">
      <c r="A2363" s="1"/>
      <c r="B2363" s="1"/>
      <c r="C2363" s="1"/>
      <c r="D2363" s="1"/>
      <c r="E2363" s="1"/>
      <c r="F2363" s="1" t="str">
        <f ca="1">IFERROR(__xludf.DUMMYFUNCTION("""COMPUTED_VALUE""")," - ")</f>
        <v xml:space="preserve"> - </v>
      </c>
      <c r="G2363" s="1" t="str">
        <f ca="1">IFERROR(__xludf.DUMMYFUNCTION("""COMPUTED_VALUE""")," /  /  / ")</f>
        <v xml:space="preserve"> /  /  / </v>
      </c>
      <c r="H2363" s="1" t="str">
        <f ca="1">IFERROR(__xludf.DUMMYFUNCTION("""COMPUTED_VALUE"""),"  /  /  / ")</f>
        <v xml:space="preserve">  /  /  / </v>
      </c>
    </row>
    <row r="2364" spans="1:8" ht="12.75" x14ac:dyDescent="0.2">
      <c r="A2364" s="1"/>
      <c r="B2364" s="1"/>
      <c r="C2364" s="1"/>
      <c r="D2364" s="1"/>
      <c r="E2364" s="1"/>
      <c r="F2364" s="1" t="str">
        <f ca="1">IFERROR(__xludf.DUMMYFUNCTION("""COMPUTED_VALUE""")," - ")</f>
        <v xml:space="preserve"> - </v>
      </c>
      <c r="G2364" s="1" t="str">
        <f ca="1">IFERROR(__xludf.DUMMYFUNCTION("""COMPUTED_VALUE""")," /  /  / ")</f>
        <v xml:space="preserve"> /  /  / </v>
      </c>
      <c r="H2364" s="1" t="str">
        <f ca="1">IFERROR(__xludf.DUMMYFUNCTION("""COMPUTED_VALUE"""),"  /  /  / ")</f>
        <v xml:space="preserve">  /  /  / </v>
      </c>
    </row>
    <row r="2365" spans="1:8" ht="12.75" x14ac:dyDescent="0.2">
      <c r="A2365" s="1"/>
      <c r="B2365" s="1"/>
      <c r="C2365" s="1"/>
      <c r="D2365" s="1"/>
      <c r="E2365" s="1"/>
      <c r="F2365" s="1" t="str">
        <f ca="1">IFERROR(__xludf.DUMMYFUNCTION("""COMPUTED_VALUE""")," - ")</f>
        <v xml:space="preserve"> - </v>
      </c>
      <c r="G2365" s="1" t="str">
        <f ca="1">IFERROR(__xludf.DUMMYFUNCTION("""COMPUTED_VALUE""")," /  /  / ")</f>
        <v xml:space="preserve"> /  /  / </v>
      </c>
      <c r="H2365" s="1" t="str">
        <f ca="1">IFERROR(__xludf.DUMMYFUNCTION("""COMPUTED_VALUE"""),"  /  /  / ")</f>
        <v xml:space="preserve">  /  /  / </v>
      </c>
    </row>
    <row r="2366" spans="1:8" ht="12.75" x14ac:dyDescent="0.2">
      <c r="A2366" s="1"/>
      <c r="B2366" s="1"/>
      <c r="C2366" s="1"/>
      <c r="D2366" s="1"/>
      <c r="E2366" s="1"/>
      <c r="F2366" s="1" t="str">
        <f ca="1">IFERROR(__xludf.DUMMYFUNCTION("""COMPUTED_VALUE""")," - ")</f>
        <v xml:space="preserve"> - </v>
      </c>
      <c r="G2366" s="1" t="str">
        <f ca="1">IFERROR(__xludf.DUMMYFUNCTION("""COMPUTED_VALUE""")," /  /  / ")</f>
        <v xml:space="preserve"> /  /  / </v>
      </c>
      <c r="H2366" s="1" t="str">
        <f ca="1">IFERROR(__xludf.DUMMYFUNCTION("""COMPUTED_VALUE"""),"  /  /  / ")</f>
        <v xml:space="preserve">  /  /  / </v>
      </c>
    </row>
    <row r="2367" spans="1:8" ht="12.75" x14ac:dyDescent="0.2">
      <c r="A2367" s="1"/>
      <c r="B2367" s="1"/>
      <c r="C2367" s="1"/>
      <c r="D2367" s="1"/>
      <c r="E2367" s="1"/>
      <c r="F2367" s="1" t="str">
        <f ca="1">IFERROR(__xludf.DUMMYFUNCTION("""COMPUTED_VALUE""")," - ")</f>
        <v xml:space="preserve"> - </v>
      </c>
      <c r="G2367" s="1" t="str">
        <f ca="1">IFERROR(__xludf.DUMMYFUNCTION("""COMPUTED_VALUE""")," /  /  / ")</f>
        <v xml:space="preserve"> /  /  / </v>
      </c>
      <c r="H2367" s="1" t="str">
        <f ca="1">IFERROR(__xludf.DUMMYFUNCTION("""COMPUTED_VALUE"""),"  /  /  / ")</f>
        <v xml:space="preserve">  /  /  / </v>
      </c>
    </row>
    <row r="2368" spans="1:8" ht="12.75" x14ac:dyDescent="0.2">
      <c r="A2368" s="1"/>
      <c r="B2368" s="1"/>
      <c r="C2368" s="1"/>
      <c r="D2368" s="1"/>
      <c r="E2368" s="1"/>
      <c r="F2368" s="1" t="str">
        <f ca="1">IFERROR(__xludf.DUMMYFUNCTION("""COMPUTED_VALUE""")," - ")</f>
        <v xml:space="preserve"> - </v>
      </c>
      <c r="G2368" s="1" t="str">
        <f ca="1">IFERROR(__xludf.DUMMYFUNCTION("""COMPUTED_VALUE""")," /  /  / ")</f>
        <v xml:space="preserve"> /  /  / </v>
      </c>
      <c r="H2368" s="1" t="str">
        <f ca="1">IFERROR(__xludf.DUMMYFUNCTION("""COMPUTED_VALUE"""),"  /  /  / ")</f>
        <v xml:space="preserve">  /  /  / </v>
      </c>
    </row>
    <row r="2369" spans="1:8" ht="12.75" x14ac:dyDescent="0.2">
      <c r="A2369" s="1"/>
      <c r="B2369" s="1"/>
      <c r="C2369" s="1"/>
      <c r="D2369" s="1"/>
      <c r="E2369" s="1"/>
      <c r="F2369" s="1" t="str">
        <f ca="1">IFERROR(__xludf.DUMMYFUNCTION("""COMPUTED_VALUE""")," - ")</f>
        <v xml:space="preserve"> - </v>
      </c>
      <c r="G2369" s="1" t="str">
        <f ca="1">IFERROR(__xludf.DUMMYFUNCTION("""COMPUTED_VALUE""")," /  /  / ")</f>
        <v xml:space="preserve"> /  /  / </v>
      </c>
      <c r="H2369" s="1" t="str">
        <f ca="1">IFERROR(__xludf.DUMMYFUNCTION("""COMPUTED_VALUE"""),"  /  /  / ")</f>
        <v xml:space="preserve">  /  /  / </v>
      </c>
    </row>
    <row r="2370" spans="1:8" ht="12.75" x14ac:dyDescent="0.2">
      <c r="A2370" s="1"/>
      <c r="B2370" s="1"/>
      <c r="C2370" s="1"/>
      <c r="D2370" s="1"/>
      <c r="E2370" s="1"/>
      <c r="F2370" s="1" t="str">
        <f ca="1">IFERROR(__xludf.DUMMYFUNCTION("""COMPUTED_VALUE""")," - ")</f>
        <v xml:space="preserve"> - </v>
      </c>
      <c r="G2370" s="1" t="str">
        <f ca="1">IFERROR(__xludf.DUMMYFUNCTION("""COMPUTED_VALUE""")," /  /  / ")</f>
        <v xml:space="preserve"> /  /  / </v>
      </c>
      <c r="H2370" s="1" t="str">
        <f ca="1">IFERROR(__xludf.DUMMYFUNCTION("""COMPUTED_VALUE"""),"  /  /  / ")</f>
        <v xml:space="preserve">  /  /  / </v>
      </c>
    </row>
    <row r="2371" spans="1:8" ht="12.75" x14ac:dyDescent="0.2">
      <c r="A2371" s="1"/>
      <c r="B2371" s="1"/>
      <c r="C2371" s="1"/>
      <c r="D2371" s="1"/>
      <c r="E2371" s="1"/>
      <c r="F2371" s="1" t="str">
        <f ca="1">IFERROR(__xludf.DUMMYFUNCTION("""COMPUTED_VALUE""")," - ")</f>
        <v xml:space="preserve"> - </v>
      </c>
      <c r="G2371" s="1" t="str">
        <f ca="1">IFERROR(__xludf.DUMMYFUNCTION("""COMPUTED_VALUE""")," /  /  / ")</f>
        <v xml:space="preserve"> /  /  / </v>
      </c>
      <c r="H2371" s="1" t="str">
        <f ca="1">IFERROR(__xludf.DUMMYFUNCTION("""COMPUTED_VALUE"""),"  /  /  / ")</f>
        <v xml:space="preserve">  /  /  / </v>
      </c>
    </row>
    <row r="2372" spans="1:8" ht="12.75" x14ac:dyDescent="0.2">
      <c r="A2372" s="1"/>
      <c r="B2372" s="1"/>
      <c r="C2372" s="1"/>
      <c r="D2372" s="1"/>
      <c r="E2372" s="1"/>
      <c r="F2372" s="1" t="str">
        <f ca="1">IFERROR(__xludf.DUMMYFUNCTION("""COMPUTED_VALUE""")," - ")</f>
        <v xml:space="preserve"> - </v>
      </c>
      <c r="G2372" s="1" t="str">
        <f ca="1">IFERROR(__xludf.DUMMYFUNCTION("""COMPUTED_VALUE""")," /  /  / ")</f>
        <v xml:space="preserve"> /  /  / </v>
      </c>
      <c r="H2372" s="1" t="str">
        <f ca="1">IFERROR(__xludf.DUMMYFUNCTION("""COMPUTED_VALUE"""),"  /  /  / ")</f>
        <v xml:space="preserve">  /  /  / </v>
      </c>
    </row>
    <row r="2373" spans="1:8" ht="12.75" x14ac:dyDescent="0.2">
      <c r="A2373" s="1"/>
      <c r="B2373" s="1"/>
      <c r="C2373" s="1"/>
      <c r="D2373" s="1"/>
      <c r="E2373" s="1"/>
      <c r="F2373" s="1" t="str">
        <f ca="1">IFERROR(__xludf.DUMMYFUNCTION("""COMPUTED_VALUE""")," - ")</f>
        <v xml:space="preserve"> - </v>
      </c>
      <c r="G2373" s="1" t="str">
        <f ca="1">IFERROR(__xludf.DUMMYFUNCTION("""COMPUTED_VALUE""")," /  /  / ")</f>
        <v xml:space="preserve"> /  /  / </v>
      </c>
      <c r="H2373" s="1" t="str">
        <f ca="1">IFERROR(__xludf.DUMMYFUNCTION("""COMPUTED_VALUE"""),"  /  /  / ")</f>
        <v xml:space="preserve">  /  /  / </v>
      </c>
    </row>
    <row r="2374" spans="1:8" ht="12.75" x14ac:dyDescent="0.2">
      <c r="A2374" s="1"/>
      <c r="B2374" s="1"/>
      <c r="C2374" s="1"/>
      <c r="D2374" s="1"/>
      <c r="E2374" s="1"/>
      <c r="F2374" s="1" t="str">
        <f ca="1">IFERROR(__xludf.DUMMYFUNCTION("""COMPUTED_VALUE""")," - ")</f>
        <v xml:space="preserve"> - </v>
      </c>
      <c r="G2374" s="1" t="str">
        <f ca="1">IFERROR(__xludf.DUMMYFUNCTION("""COMPUTED_VALUE""")," /  /  / ")</f>
        <v xml:space="preserve"> /  /  / </v>
      </c>
      <c r="H2374" s="1" t="str">
        <f ca="1">IFERROR(__xludf.DUMMYFUNCTION("""COMPUTED_VALUE"""),"  /  /  / ")</f>
        <v xml:space="preserve">  /  /  / </v>
      </c>
    </row>
    <row r="2375" spans="1:8" ht="12.75" x14ac:dyDescent="0.2">
      <c r="A2375" s="1"/>
      <c r="B2375" s="1"/>
      <c r="C2375" s="1"/>
      <c r="D2375" s="1"/>
      <c r="E2375" s="1"/>
      <c r="F2375" s="1" t="str">
        <f ca="1">IFERROR(__xludf.DUMMYFUNCTION("""COMPUTED_VALUE""")," - ")</f>
        <v xml:space="preserve"> - </v>
      </c>
      <c r="G2375" s="1" t="str">
        <f ca="1">IFERROR(__xludf.DUMMYFUNCTION("""COMPUTED_VALUE""")," /  /  / ")</f>
        <v xml:space="preserve"> /  /  / </v>
      </c>
      <c r="H2375" s="1" t="str">
        <f ca="1">IFERROR(__xludf.DUMMYFUNCTION("""COMPUTED_VALUE"""),"  /  /  / ")</f>
        <v xml:space="preserve">  /  /  / </v>
      </c>
    </row>
    <row r="2376" spans="1:8" ht="12.75" x14ac:dyDescent="0.2">
      <c r="A2376" s="1"/>
      <c r="B2376" s="1"/>
      <c r="C2376" s="1"/>
      <c r="D2376" s="1"/>
      <c r="E2376" s="1"/>
      <c r="F2376" s="1" t="str">
        <f ca="1">IFERROR(__xludf.DUMMYFUNCTION("""COMPUTED_VALUE""")," - ")</f>
        <v xml:space="preserve"> - </v>
      </c>
      <c r="G2376" s="1" t="str">
        <f ca="1">IFERROR(__xludf.DUMMYFUNCTION("""COMPUTED_VALUE""")," /  /  / ")</f>
        <v xml:space="preserve"> /  /  / </v>
      </c>
      <c r="H2376" s="1" t="str">
        <f ca="1">IFERROR(__xludf.DUMMYFUNCTION("""COMPUTED_VALUE"""),"  /  /  / ")</f>
        <v xml:space="preserve">  /  /  / </v>
      </c>
    </row>
    <row r="2377" spans="1:8" ht="12.75" x14ac:dyDescent="0.2">
      <c r="A2377" s="1"/>
      <c r="B2377" s="1"/>
      <c r="C2377" s="1"/>
      <c r="D2377" s="1"/>
      <c r="E2377" s="1"/>
      <c r="F2377" s="1" t="str">
        <f ca="1">IFERROR(__xludf.DUMMYFUNCTION("""COMPUTED_VALUE""")," - ")</f>
        <v xml:space="preserve"> - </v>
      </c>
      <c r="G2377" s="1" t="str">
        <f ca="1">IFERROR(__xludf.DUMMYFUNCTION("""COMPUTED_VALUE""")," /  /  / ")</f>
        <v xml:space="preserve"> /  /  / </v>
      </c>
      <c r="H2377" s="1" t="str">
        <f ca="1">IFERROR(__xludf.DUMMYFUNCTION("""COMPUTED_VALUE"""),"  /  /  / ")</f>
        <v xml:space="preserve">  /  /  / </v>
      </c>
    </row>
    <row r="2378" spans="1:8" ht="12.75" x14ac:dyDescent="0.2">
      <c r="A2378" s="1"/>
      <c r="B2378" s="1"/>
      <c r="C2378" s="1"/>
      <c r="D2378" s="1"/>
      <c r="E2378" s="1"/>
      <c r="F2378" s="1" t="str">
        <f ca="1">IFERROR(__xludf.DUMMYFUNCTION("""COMPUTED_VALUE""")," - ")</f>
        <v xml:space="preserve"> - </v>
      </c>
      <c r="G2378" s="1" t="str">
        <f ca="1">IFERROR(__xludf.DUMMYFUNCTION("""COMPUTED_VALUE""")," /  /  / ")</f>
        <v xml:space="preserve"> /  /  / </v>
      </c>
      <c r="H2378" s="1" t="str">
        <f ca="1">IFERROR(__xludf.DUMMYFUNCTION("""COMPUTED_VALUE"""),"  /  /  / ")</f>
        <v xml:space="preserve">  /  /  / </v>
      </c>
    </row>
    <row r="2379" spans="1:8" ht="12.75" x14ac:dyDescent="0.2">
      <c r="A2379" s="1"/>
      <c r="B2379" s="1"/>
      <c r="C2379" s="1"/>
      <c r="D2379" s="1"/>
      <c r="E2379" s="1"/>
      <c r="F2379" s="1" t="str">
        <f ca="1">IFERROR(__xludf.DUMMYFUNCTION("""COMPUTED_VALUE""")," - ")</f>
        <v xml:space="preserve"> - </v>
      </c>
      <c r="G2379" s="1" t="str">
        <f ca="1">IFERROR(__xludf.DUMMYFUNCTION("""COMPUTED_VALUE""")," /  /  / ")</f>
        <v xml:space="preserve"> /  /  / </v>
      </c>
      <c r="H2379" s="1" t="str">
        <f ca="1">IFERROR(__xludf.DUMMYFUNCTION("""COMPUTED_VALUE"""),"  /  /  / ")</f>
        <v xml:space="preserve">  /  /  / </v>
      </c>
    </row>
    <row r="2380" spans="1:8" ht="12.75" x14ac:dyDescent="0.2">
      <c r="A2380" s="1"/>
      <c r="B2380" s="1"/>
      <c r="C2380" s="1"/>
      <c r="D2380" s="1"/>
      <c r="E2380" s="1"/>
      <c r="F2380" s="1" t="str">
        <f ca="1">IFERROR(__xludf.DUMMYFUNCTION("""COMPUTED_VALUE""")," - ")</f>
        <v xml:space="preserve"> - </v>
      </c>
      <c r="G2380" s="1" t="str">
        <f ca="1">IFERROR(__xludf.DUMMYFUNCTION("""COMPUTED_VALUE""")," /  /  / ")</f>
        <v xml:space="preserve"> /  /  / </v>
      </c>
      <c r="H2380" s="1" t="str">
        <f ca="1">IFERROR(__xludf.DUMMYFUNCTION("""COMPUTED_VALUE"""),"  /  /  / ")</f>
        <v xml:space="preserve">  /  /  / </v>
      </c>
    </row>
    <row r="2381" spans="1:8" ht="12.75" x14ac:dyDescent="0.2">
      <c r="A2381" s="1"/>
      <c r="B2381" s="1"/>
      <c r="C2381" s="1"/>
      <c r="D2381" s="1"/>
      <c r="E2381" s="1"/>
      <c r="F2381" s="1" t="str">
        <f ca="1">IFERROR(__xludf.DUMMYFUNCTION("""COMPUTED_VALUE""")," - ")</f>
        <v xml:space="preserve"> - </v>
      </c>
      <c r="G2381" s="1" t="str">
        <f ca="1">IFERROR(__xludf.DUMMYFUNCTION("""COMPUTED_VALUE""")," /  /  / ")</f>
        <v xml:space="preserve"> /  /  / </v>
      </c>
      <c r="H2381" s="1" t="str">
        <f ca="1">IFERROR(__xludf.DUMMYFUNCTION("""COMPUTED_VALUE"""),"  /  /  / ")</f>
        <v xml:space="preserve">  /  /  / </v>
      </c>
    </row>
    <row r="2382" spans="1:8" ht="12.75" x14ac:dyDescent="0.2">
      <c r="A2382" s="1"/>
      <c r="B2382" s="1"/>
      <c r="C2382" s="1"/>
      <c r="D2382" s="1"/>
      <c r="E2382" s="1"/>
      <c r="F2382" s="1" t="str">
        <f ca="1">IFERROR(__xludf.DUMMYFUNCTION("""COMPUTED_VALUE""")," - ")</f>
        <v xml:space="preserve"> - </v>
      </c>
      <c r="G2382" s="1" t="str">
        <f ca="1">IFERROR(__xludf.DUMMYFUNCTION("""COMPUTED_VALUE""")," /  /  / ")</f>
        <v xml:space="preserve"> /  /  / </v>
      </c>
      <c r="H2382" s="1" t="str">
        <f ca="1">IFERROR(__xludf.DUMMYFUNCTION("""COMPUTED_VALUE"""),"  /  /  / ")</f>
        <v xml:space="preserve">  /  /  / </v>
      </c>
    </row>
    <row r="2383" spans="1:8" ht="12.75" x14ac:dyDescent="0.2">
      <c r="A2383" s="1"/>
      <c r="B2383" s="1"/>
      <c r="C2383" s="1"/>
      <c r="D2383" s="1"/>
      <c r="E2383" s="1"/>
      <c r="F2383" s="1" t="str">
        <f ca="1">IFERROR(__xludf.DUMMYFUNCTION("""COMPUTED_VALUE""")," - ")</f>
        <v xml:space="preserve"> - </v>
      </c>
      <c r="G2383" s="1" t="str">
        <f ca="1">IFERROR(__xludf.DUMMYFUNCTION("""COMPUTED_VALUE""")," /  /  / ")</f>
        <v xml:space="preserve"> /  /  / </v>
      </c>
      <c r="H2383" s="1" t="str">
        <f ca="1">IFERROR(__xludf.DUMMYFUNCTION("""COMPUTED_VALUE"""),"  /  /  / ")</f>
        <v xml:space="preserve">  /  /  / </v>
      </c>
    </row>
    <row r="2384" spans="1:8" ht="12.75" x14ac:dyDescent="0.2">
      <c r="A2384" s="1"/>
      <c r="B2384" s="1"/>
      <c r="C2384" s="1"/>
      <c r="D2384" s="1"/>
      <c r="E2384" s="1"/>
      <c r="F2384" s="1" t="str">
        <f ca="1">IFERROR(__xludf.DUMMYFUNCTION("""COMPUTED_VALUE""")," - ")</f>
        <v xml:space="preserve"> - </v>
      </c>
      <c r="G2384" s="1" t="str">
        <f ca="1">IFERROR(__xludf.DUMMYFUNCTION("""COMPUTED_VALUE""")," /  /  / ")</f>
        <v xml:space="preserve"> /  /  / </v>
      </c>
      <c r="H2384" s="1" t="str">
        <f ca="1">IFERROR(__xludf.DUMMYFUNCTION("""COMPUTED_VALUE"""),"  /  /  / ")</f>
        <v xml:space="preserve">  /  /  / </v>
      </c>
    </row>
    <row r="2385" spans="1:8" ht="12.75" x14ac:dyDescent="0.2">
      <c r="A2385" s="1"/>
      <c r="B2385" s="1"/>
      <c r="C2385" s="1"/>
      <c r="D2385" s="1"/>
      <c r="E2385" s="1"/>
      <c r="F2385" s="1" t="str">
        <f ca="1">IFERROR(__xludf.DUMMYFUNCTION("""COMPUTED_VALUE""")," - ")</f>
        <v xml:space="preserve"> - </v>
      </c>
      <c r="G2385" s="1" t="str">
        <f ca="1">IFERROR(__xludf.DUMMYFUNCTION("""COMPUTED_VALUE""")," /  /  / ")</f>
        <v xml:space="preserve"> /  /  / </v>
      </c>
      <c r="H2385" s="1" t="str">
        <f ca="1">IFERROR(__xludf.DUMMYFUNCTION("""COMPUTED_VALUE"""),"  /  /  / ")</f>
        <v xml:space="preserve">  /  /  / </v>
      </c>
    </row>
    <row r="2386" spans="1:8" ht="12.75" x14ac:dyDescent="0.2">
      <c r="A2386" s="1"/>
      <c r="B2386" s="1"/>
      <c r="C2386" s="1"/>
      <c r="D2386" s="1"/>
      <c r="E2386" s="1"/>
      <c r="F2386" s="1" t="str">
        <f ca="1">IFERROR(__xludf.DUMMYFUNCTION("""COMPUTED_VALUE""")," - ")</f>
        <v xml:space="preserve"> - </v>
      </c>
      <c r="G2386" s="1" t="str">
        <f ca="1">IFERROR(__xludf.DUMMYFUNCTION("""COMPUTED_VALUE""")," /  /  / ")</f>
        <v xml:space="preserve"> /  /  / </v>
      </c>
      <c r="H2386" s="1" t="str">
        <f ca="1">IFERROR(__xludf.DUMMYFUNCTION("""COMPUTED_VALUE"""),"  /  /  / ")</f>
        <v xml:space="preserve">  /  /  / </v>
      </c>
    </row>
    <row r="2387" spans="1:8" ht="12.75" x14ac:dyDescent="0.2">
      <c r="A2387" s="1"/>
      <c r="B2387" s="1"/>
      <c r="C2387" s="1"/>
      <c r="D2387" s="1"/>
      <c r="E2387" s="1"/>
      <c r="F2387" s="1" t="str">
        <f ca="1">IFERROR(__xludf.DUMMYFUNCTION("""COMPUTED_VALUE""")," - ")</f>
        <v xml:space="preserve"> - </v>
      </c>
      <c r="G2387" s="1" t="str">
        <f ca="1">IFERROR(__xludf.DUMMYFUNCTION("""COMPUTED_VALUE""")," /  /  / ")</f>
        <v xml:space="preserve"> /  /  / </v>
      </c>
      <c r="H2387" s="1" t="str">
        <f ca="1">IFERROR(__xludf.DUMMYFUNCTION("""COMPUTED_VALUE"""),"  /  /  / ")</f>
        <v xml:space="preserve">  /  /  / </v>
      </c>
    </row>
    <row r="2388" spans="1:8" ht="12.75" x14ac:dyDescent="0.2">
      <c r="A2388" s="1"/>
      <c r="B2388" s="1"/>
      <c r="C2388" s="1"/>
      <c r="D2388" s="1"/>
      <c r="E2388" s="1"/>
      <c r="F2388" s="1" t="str">
        <f ca="1">IFERROR(__xludf.DUMMYFUNCTION("""COMPUTED_VALUE""")," - ")</f>
        <v xml:space="preserve"> - </v>
      </c>
      <c r="G2388" s="1" t="str">
        <f ca="1">IFERROR(__xludf.DUMMYFUNCTION("""COMPUTED_VALUE""")," /  /  / ")</f>
        <v xml:space="preserve"> /  /  / </v>
      </c>
      <c r="H2388" s="1" t="str">
        <f ca="1">IFERROR(__xludf.DUMMYFUNCTION("""COMPUTED_VALUE"""),"  /  /  / ")</f>
        <v xml:space="preserve">  /  /  / </v>
      </c>
    </row>
    <row r="2389" spans="1:8" ht="12.75" x14ac:dyDescent="0.2">
      <c r="A2389" s="1"/>
      <c r="B2389" s="1"/>
      <c r="C2389" s="1"/>
      <c r="D2389" s="1"/>
      <c r="E2389" s="1"/>
      <c r="F2389" s="1" t="str">
        <f ca="1">IFERROR(__xludf.DUMMYFUNCTION("""COMPUTED_VALUE""")," - ")</f>
        <v xml:space="preserve"> - </v>
      </c>
      <c r="G2389" s="1" t="str">
        <f ca="1">IFERROR(__xludf.DUMMYFUNCTION("""COMPUTED_VALUE""")," /  /  / ")</f>
        <v xml:space="preserve"> /  /  / </v>
      </c>
      <c r="H2389" s="1" t="str">
        <f ca="1">IFERROR(__xludf.DUMMYFUNCTION("""COMPUTED_VALUE"""),"  /  /  / ")</f>
        <v xml:space="preserve">  /  /  / </v>
      </c>
    </row>
    <row r="2390" spans="1:8" ht="12.75" x14ac:dyDescent="0.2">
      <c r="A2390" s="1"/>
      <c r="B2390" s="1"/>
      <c r="C2390" s="1"/>
      <c r="D2390" s="1"/>
      <c r="E2390" s="1"/>
      <c r="F2390" s="1" t="str">
        <f ca="1">IFERROR(__xludf.DUMMYFUNCTION("""COMPUTED_VALUE""")," - ")</f>
        <v xml:space="preserve"> - </v>
      </c>
      <c r="G2390" s="1" t="str">
        <f ca="1">IFERROR(__xludf.DUMMYFUNCTION("""COMPUTED_VALUE""")," /  /  / ")</f>
        <v xml:space="preserve"> /  /  / </v>
      </c>
      <c r="H2390" s="1" t="str">
        <f ca="1">IFERROR(__xludf.DUMMYFUNCTION("""COMPUTED_VALUE"""),"  /  /  / ")</f>
        <v xml:space="preserve">  /  /  / </v>
      </c>
    </row>
    <row r="2391" spans="1:8" ht="12.75" x14ac:dyDescent="0.2">
      <c r="A2391" s="1"/>
      <c r="B2391" s="1"/>
      <c r="C2391" s="1"/>
      <c r="D2391" s="1"/>
      <c r="E2391" s="1"/>
      <c r="F2391" s="1" t="str">
        <f ca="1">IFERROR(__xludf.DUMMYFUNCTION("""COMPUTED_VALUE""")," - ")</f>
        <v xml:space="preserve"> - </v>
      </c>
      <c r="G2391" s="1" t="str">
        <f ca="1">IFERROR(__xludf.DUMMYFUNCTION("""COMPUTED_VALUE""")," /  /  / ")</f>
        <v xml:space="preserve"> /  /  / </v>
      </c>
      <c r="H2391" s="1" t="str">
        <f ca="1">IFERROR(__xludf.DUMMYFUNCTION("""COMPUTED_VALUE"""),"  /  /  / ")</f>
        <v xml:space="preserve">  /  /  / </v>
      </c>
    </row>
    <row r="2392" spans="1:8" ht="12.75" x14ac:dyDescent="0.2">
      <c r="A2392" s="1"/>
      <c r="B2392" s="1"/>
      <c r="C2392" s="1"/>
      <c r="D2392" s="1"/>
      <c r="E2392" s="1"/>
      <c r="F2392" s="1" t="str">
        <f ca="1">IFERROR(__xludf.DUMMYFUNCTION("""COMPUTED_VALUE""")," - ")</f>
        <v xml:space="preserve"> - </v>
      </c>
      <c r="G2392" s="1" t="str">
        <f ca="1">IFERROR(__xludf.DUMMYFUNCTION("""COMPUTED_VALUE""")," /  /  / ")</f>
        <v xml:space="preserve"> /  /  / </v>
      </c>
      <c r="H2392" s="1" t="str">
        <f ca="1">IFERROR(__xludf.DUMMYFUNCTION("""COMPUTED_VALUE"""),"  /  /  / ")</f>
        <v xml:space="preserve">  /  /  / </v>
      </c>
    </row>
    <row r="2393" spans="1:8" ht="12.75" x14ac:dyDescent="0.2">
      <c r="A2393" s="1"/>
      <c r="B2393" s="1"/>
      <c r="C2393" s="1"/>
      <c r="D2393" s="1"/>
      <c r="E2393" s="1"/>
      <c r="F2393" s="1" t="str">
        <f ca="1">IFERROR(__xludf.DUMMYFUNCTION("""COMPUTED_VALUE""")," - ")</f>
        <v xml:space="preserve"> - </v>
      </c>
      <c r="G2393" s="1" t="str">
        <f ca="1">IFERROR(__xludf.DUMMYFUNCTION("""COMPUTED_VALUE""")," /  /  / ")</f>
        <v xml:space="preserve"> /  /  / </v>
      </c>
      <c r="H2393" s="1" t="str">
        <f ca="1">IFERROR(__xludf.DUMMYFUNCTION("""COMPUTED_VALUE"""),"  /  /  / ")</f>
        <v xml:space="preserve">  /  /  / </v>
      </c>
    </row>
    <row r="2394" spans="1:8" ht="12.75" x14ac:dyDescent="0.2">
      <c r="A2394" s="1"/>
      <c r="B2394" s="1"/>
      <c r="C2394" s="1"/>
      <c r="D2394" s="1"/>
      <c r="E2394" s="1"/>
      <c r="F2394" s="1" t="str">
        <f ca="1">IFERROR(__xludf.DUMMYFUNCTION("""COMPUTED_VALUE""")," - ")</f>
        <v xml:space="preserve"> - </v>
      </c>
      <c r="G2394" s="1" t="str">
        <f ca="1">IFERROR(__xludf.DUMMYFUNCTION("""COMPUTED_VALUE""")," /  /  / ")</f>
        <v xml:space="preserve"> /  /  / </v>
      </c>
      <c r="H2394" s="1" t="str">
        <f ca="1">IFERROR(__xludf.DUMMYFUNCTION("""COMPUTED_VALUE"""),"  /  /  / ")</f>
        <v xml:space="preserve">  /  /  / </v>
      </c>
    </row>
    <row r="2395" spans="1:8" ht="12.75" x14ac:dyDescent="0.2">
      <c r="A2395" s="1"/>
      <c r="B2395" s="1"/>
      <c r="C2395" s="1"/>
      <c r="D2395" s="1"/>
      <c r="E2395" s="1"/>
      <c r="F2395" s="1" t="str">
        <f ca="1">IFERROR(__xludf.DUMMYFUNCTION("""COMPUTED_VALUE""")," - ")</f>
        <v xml:space="preserve"> - </v>
      </c>
      <c r="G2395" s="1" t="str">
        <f ca="1">IFERROR(__xludf.DUMMYFUNCTION("""COMPUTED_VALUE""")," /  /  / ")</f>
        <v xml:space="preserve"> /  /  / </v>
      </c>
      <c r="H2395" s="1" t="str">
        <f ca="1">IFERROR(__xludf.DUMMYFUNCTION("""COMPUTED_VALUE"""),"  /  /  / ")</f>
        <v xml:space="preserve">  /  /  / </v>
      </c>
    </row>
    <row r="2396" spans="1:8" ht="12.75" x14ac:dyDescent="0.2">
      <c r="A2396" s="1"/>
      <c r="B2396" s="1"/>
      <c r="C2396" s="1"/>
      <c r="D2396" s="1"/>
      <c r="E2396" s="1"/>
      <c r="F2396" s="1" t="str">
        <f ca="1">IFERROR(__xludf.DUMMYFUNCTION("""COMPUTED_VALUE""")," - ")</f>
        <v xml:space="preserve"> - </v>
      </c>
      <c r="G2396" s="1" t="str">
        <f ca="1">IFERROR(__xludf.DUMMYFUNCTION("""COMPUTED_VALUE""")," /  /  / ")</f>
        <v xml:space="preserve"> /  /  / </v>
      </c>
      <c r="H2396" s="1" t="str">
        <f ca="1">IFERROR(__xludf.DUMMYFUNCTION("""COMPUTED_VALUE"""),"  /  /  / ")</f>
        <v xml:space="preserve">  /  /  / </v>
      </c>
    </row>
    <row r="2397" spans="1:8" ht="12.75" x14ac:dyDescent="0.2">
      <c r="A2397" s="1"/>
      <c r="B2397" s="1"/>
      <c r="C2397" s="1"/>
      <c r="D2397" s="1"/>
      <c r="E2397" s="1"/>
      <c r="F2397" s="1" t="str">
        <f ca="1">IFERROR(__xludf.DUMMYFUNCTION("""COMPUTED_VALUE""")," - ")</f>
        <v xml:space="preserve"> - </v>
      </c>
      <c r="G2397" s="1" t="str">
        <f ca="1">IFERROR(__xludf.DUMMYFUNCTION("""COMPUTED_VALUE""")," /  /  / ")</f>
        <v xml:space="preserve"> /  /  / </v>
      </c>
      <c r="H2397" s="1" t="str">
        <f ca="1">IFERROR(__xludf.DUMMYFUNCTION("""COMPUTED_VALUE"""),"  /  /  / ")</f>
        <v xml:space="preserve">  /  /  / </v>
      </c>
    </row>
    <row r="2398" spans="1:8" ht="12.75" x14ac:dyDescent="0.2">
      <c r="A2398" s="1"/>
      <c r="B2398" s="1"/>
      <c r="C2398" s="1"/>
      <c r="D2398" s="1"/>
      <c r="E2398" s="1"/>
      <c r="F2398" s="1" t="str">
        <f ca="1">IFERROR(__xludf.DUMMYFUNCTION("""COMPUTED_VALUE""")," - ")</f>
        <v xml:space="preserve"> - </v>
      </c>
      <c r="G2398" s="1" t="str">
        <f ca="1">IFERROR(__xludf.DUMMYFUNCTION("""COMPUTED_VALUE""")," /  /  / ")</f>
        <v xml:space="preserve"> /  /  / </v>
      </c>
      <c r="H2398" s="1" t="str">
        <f ca="1">IFERROR(__xludf.DUMMYFUNCTION("""COMPUTED_VALUE"""),"  /  /  / ")</f>
        <v xml:space="preserve">  /  /  / </v>
      </c>
    </row>
    <row r="2399" spans="1:8" ht="12.75" x14ac:dyDescent="0.2">
      <c r="A2399" s="1"/>
      <c r="B2399" s="1"/>
      <c r="C2399" s="1"/>
      <c r="D2399" s="1"/>
      <c r="E2399" s="1"/>
      <c r="F2399" s="1" t="str">
        <f ca="1">IFERROR(__xludf.DUMMYFUNCTION("""COMPUTED_VALUE""")," - ")</f>
        <v xml:space="preserve"> - </v>
      </c>
      <c r="G2399" s="1" t="str">
        <f ca="1">IFERROR(__xludf.DUMMYFUNCTION("""COMPUTED_VALUE""")," /  /  / ")</f>
        <v xml:space="preserve"> /  /  / </v>
      </c>
      <c r="H2399" s="1" t="str">
        <f ca="1">IFERROR(__xludf.DUMMYFUNCTION("""COMPUTED_VALUE"""),"  /  /  / ")</f>
        <v xml:space="preserve">  /  /  / </v>
      </c>
    </row>
    <row r="2400" spans="1:8" ht="12.75" x14ac:dyDescent="0.2">
      <c r="A2400" s="1"/>
      <c r="B2400" s="1"/>
      <c r="C2400" s="1"/>
      <c r="D2400" s="1"/>
      <c r="E2400" s="1"/>
      <c r="F2400" s="1" t="str">
        <f ca="1">IFERROR(__xludf.DUMMYFUNCTION("""COMPUTED_VALUE""")," - ")</f>
        <v xml:space="preserve"> - </v>
      </c>
      <c r="G2400" s="1" t="str">
        <f ca="1">IFERROR(__xludf.DUMMYFUNCTION("""COMPUTED_VALUE""")," /  /  / ")</f>
        <v xml:space="preserve"> /  /  / </v>
      </c>
      <c r="H2400" s="1" t="str">
        <f ca="1">IFERROR(__xludf.DUMMYFUNCTION("""COMPUTED_VALUE"""),"  /  /  / ")</f>
        <v xml:space="preserve">  /  /  / </v>
      </c>
    </row>
    <row r="2401" spans="1:8" ht="12.75" x14ac:dyDescent="0.2">
      <c r="A2401" s="1"/>
      <c r="B2401" s="1"/>
      <c r="C2401" s="1"/>
      <c r="D2401" s="1"/>
      <c r="E2401" s="1"/>
      <c r="F2401" s="1" t="str">
        <f ca="1">IFERROR(__xludf.DUMMYFUNCTION("""COMPUTED_VALUE""")," - ")</f>
        <v xml:space="preserve"> - </v>
      </c>
      <c r="G2401" s="1" t="str">
        <f ca="1">IFERROR(__xludf.DUMMYFUNCTION("""COMPUTED_VALUE""")," /  /  / ")</f>
        <v xml:space="preserve"> /  /  / </v>
      </c>
      <c r="H2401" s="1" t="str">
        <f ca="1">IFERROR(__xludf.DUMMYFUNCTION("""COMPUTED_VALUE"""),"  /  /  / ")</f>
        <v xml:space="preserve">  /  /  / </v>
      </c>
    </row>
    <row r="2402" spans="1:8" ht="12.75" x14ac:dyDescent="0.2">
      <c r="A2402" s="1"/>
      <c r="B2402" s="1"/>
      <c r="C2402" s="1"/>
      <c r="D2402" s="1"/>
      <c r="E2402" s="1"/>
      <c r="F2402" s="1" t="str">
        <f ca="1">IFERROR(__xludf.DUMMYFUNCTION("""COMPUTED_VALUE""")," - ")</f>
        <v xml:space="preserve"> - </v>
      </c>
      <c r="G2402" s="1" t="str">
        <f ca="1">IFERROR(__xludf.DUMMYFUNCTION("""COMPUTED_VALUE""")," /  /  / ")</f>
        <v xml:space="preserve"> /  /  / </v>
      </c>
      <c r="H2402" s="1" t="str">
        <f ca="1">IFERROR(__xludf.DUMMYFUNCTION("""COMPUTED_VALUE"""),"  /  /  / ")</f>
        <v xml:space="preserve">  /  /  / </v>
      </c>
    </row>
    <row r="2403" spans="1:8" ht="12.75" x14ac:dyDescent="0.2">
      <c r="A2403" s="1"/>
      <c r="B2403" s="1"/>
      <c r="C2403" s="1"/>
      <c r="D2403" s="1"/>
      <c r="E2403" s="1"/>
      <c r="F2403" s="1" t="str">
        <f ca="1">IFERROR(__xludf.DUMMYFUNCTION("""COMPUTED_VALUE""")," - ")</f>
        <v xml:space="preserve"> - </v>
      </c>
      <c r="G2403" s="1" t="str">
        <f ca="1">IFERROR(__xludf.DUMMYFUNCTION("""COMPUTED_VALUE""")," /  /  / ")</f>
        <v xml:space="preserve"> /  /  / </v>
      </c>
      <c r="H2403" s="1" t="str">
        <f ca="1">IFERROR(__xludf.DUMMYFUNCTION("""COMPUTED_VALUE"""),"  /  /  / ")</f>
        <v xml:space="preserve">  /  /  / </v>
      </c>
    </row>
    <row r="2404" spans="1:8" ht="12.75" x14ac:dyDescent="0.2">
      <c r="A2404" s="1"/>
      <c r="B2404" s="1"/>
      <c r="C2404" s="1"/>
      <c r="D2404" s="1"/>
      <c r="E2404" s="1"/>
      <c r="F2404" s="1" t="str">
        <f ca="1">IFERROR(__xludf.DUMMYFUNCTION("""COMPUTED_VALUE""")," - ")</f>
        <v xml:space="preserve"> - </v>
      </c>
      <c r="G2404" s="1" t="str">
        <f ca="1">IFERROR(__xludf.DUMMYFUNCTION("""COMPUTED_VALUE""")," /  /  / ")</f>
        <v xml:space="preserve"> /  /  / </v>
      </c>
      <c r="H2404" s="1" t="str">
        <f ca="1">IFERROR(__xludf.DUMMYFUNCTION("""COMPUTED_VALUE"""),"  /  /  / ")</f>
        <v xml:space="preserve">  /  /  / </v>
      </c>
    </row>
    <row r="2405" spans="1:8" ht="12.75" x14ac:dyDescent="0.2">
      <c r="A2405" s="1"/>
      <c r="B2405" s="1"/>
      <c r="C2405" s="1"/>
      <c r="D2405" s="1"/>
      <c r="E2405" s="1"/>
      <c r="F2405" s="1" t="str">
        <f ca="1">IFERROR(__xludf.DUMMYFUNCTION("""COMPUTED_VALUE""")," - ")</f>
        <v xml:space="preserve"> - </v>
      </c>
      <c r="G2405" s="1" t="str">
        <f ca="1">IFERROR(__xludf.DUMMYFUNCTION("""COMPUTED_VALUE""")," /  /  / ")</f>
        <v xml:space="preserve"> /  /  / </v>
      </c>
      <c r="H2405" s="1" t="str">
        <f ca="1">IFERROR(__xludf.DUMMYFUNCTION("""COMPUTED_VALUE"""),"  /  /  / ")</f>
        <v xml:space="preserve">  /  /  / </v>
      </c>
    </row>
    <row r="2406" spans="1:8" ht="12.75" x14ac:dyDescent="0.2">
      <c r="A2406" s="1"/>
      <c r="B2406" s="1"/>
      <c r="C2406" s="1"/>
      <c r="D2406" s="1"/>
      <c r="E2406" s="1"/>
      <c r="F2406" s="1" t="str">
        <f ca="1">IFERROR(__xludf.DUMMYFUNCTION("""COMPUTED_VALUE""")," - ")</f>
        <v xml:space="preserve"> - </v>
      </c>
      <c r="G2406" s="1" t="str">
        <f ca="1">IFERROR(__xludf.DUMMYFUNCTION("""COMPUTED_VALUE""")," /  /  / ")</f>
        <v xml:space="preserve"> /  /  / </v>
      </c>
      <c r="H2406" s="1" t="str">
        <f ca="1">IFERROR(__xludf.DUMMYFUNCTION("""COMPUTED_VALUE"""),"  /  /  / ")</f>
        <v xml:space="preserve">  /  /  / </v>
      </c>
    </row>
    <row r="2407" spans="1:8" ht="12.75" x14ac:dyDescent="0.2">
      <c r="A2407" s="1"/>
      <c r="B2407" s="1"/>
      <c r="C2407" s="1"/>
      <c r="D2407" s="1"/>
      <c r="E2407" s="1"/>
      <c r="F2407" s="1" t="str">
        <f ca="1">IFERROR(__xludf.DUMMYFUNCTION("""COMPUTED_VALUE""")," - ")</f>
        <v xml:space="preserve"> - </v>
      </c>
      <c r="G2407" s="1" t="str">
        <f ca="1">IFERROR(__xludf.DUMMYFUNCTION("""COMPUTED_VALUE""")," /  /  / ")</f>
        <v xml:space="preserve"> /  /  / </v>
      </c>
      <c r="H2407" s="1" t="str">
        <f ca="1">IFERROR(__xludf.DUMMYFUNCTION("""COMPUTED_VALUE"""),"  /  /  / ")</f>
        <v xml:space="preserve">  /  /  / </v>
      </c>
    </row>
    <row r="2408" spans="1:8" ht="12.75" x14ac:dyDescent="0.2">
      <c r="A2408" s="1"/>
      <c r="B2408" s="1"/>
      <c r="C2408" s="1"/>
      <c r="D2408" s="1"/>
      <c r="E2408" s="1"/>
      <c r="F2408" s="1" t="str">
        <f ca="1">IFERROR(__xludf.DUMMYFUNCTION("""COMPUTED_VALUE""")," - ")</f>
        <v xml:space="preserve"> - </v>
      </c>
      <c r="G2408" s="1" t="str">
        <f ca="1">IFERROR(__xludf.DUMMYFUNCTION("""COMPUTED_VALUE""")," /  /  / ")</f>
        <v xml:space="preserve"> /  /  / </v>
      </c>
      <c r="H2408" s="1" t="str">
        <f ca="1">IFERROR(__xludf.DUMMYFUNCTION("""COMPUTED_VALUE"""),"  /  /  / ")</f>
        <v xml:space="preserve">  /  /  / </v>
      </c>
    </row>
    <row r="2409" spans="1:8" ht="12.75" x14ac:dyDescent="0.2">
      <c r="A2409" s="1"/>
      <c r="B2409" s="1"/>
      <c r="C2409" s="1"/>
      <c r="D2409" s="1"/>
      <c r="E2409" s="1"/>
      <c r="F2409" s="1" t="str">
        <f ca="1">IFERROR(__xludf.DUMMYFUNCTION("""COMPUTED_VALUE""")," - ")</f>
        <v xml:space="preserve"> - </v>
      </c>
      <c r="G2409" s="1" t="str">
        <f ca="1">IFERROR(__xludf.DUMMYFUNCTION("""COMPUTED_VALUE""")," /  /  / ")</f>
        <v xml:space="preserve"> /  /  / </v>
      </c>
      <c r="H2409" s="1" t="str">
        <f ca="1">IFERROR(__xludf.DUMMYFUNCTION("""COMPUTED_VALUE"""),"  /  /  / ")</f>
        <v xml:space="preserve">  /  /  / </v>
      </c>
    </row>
    <row r="2410" spans="1:8" ht="12.75" x14ac:dyDescent="0.2">
      <c r="A2410" s="1"/>
      <c r="B2410" s="1"/>
      <c r="C2410" s="1"/>
      <c r="D2410" s="1"/>
      <c r="E2410" s="1"/>
      <c r="F2410" s="1" t="str">
        <f ca="1">IFERROR(__xludf.DUMMYFUNCTION("""COMPUTED_VALUE""")," - ")</f>
        <v xml:space="preserve"> - </v>
      </c>
      <c r="G2410" s="1" t="str">
        <f ca="1">IFERROR(__xludf.DUMMYFUNCTION("""COMPUTED_VALUE""")," /  /  / ")</f>
        <v xml:space="preserve"> /  /  / </v>
      </c>
      <c r="H2410" s="1" t="str">
        <f ca="1">IFERROR(__xludf.DUMMYFUNCTION("""COMPUTED_VALUE"""),"  /  /  / ")</f>
        <v xml:space="preserve">  /  /  / </v>
      </c>
    </row>
    <row r="2411" spans="1:8" ht="12.75" x14ac:dyDescent="0.2">
      <c r="A2411" s="1"/>
      <c r="B2411" s="1"/>
      <c r="C2411" s="1"/>
      <c r="D2411" s="1"/>
      <c r="E2411" s="1"/>
      <c r="F2411" s="1" t="str">
        <f ca="1">IFERROR(__xludf.DUMMYFUNCTION("""COMPUTED_VALUE""")," - ")</f>
        <v xml:space="preserve"> - </v>
      </c>
      <c r="G2411" s="1" t="str">
        <f ca="1">IFERROR(__xludf.DUMMYFUNCTION("""COMPUTED_VALUE""")," /  /  / ")</f>
        <v xml:space="preserve"> /  /  / </v>
      </c>
      <c r="H2411" s="1" t="str">
        <f ca="1">IFERROR(__xludf.DUMMYFUNCTION("""COMPUTED_VALUE"""),"  /  /  / ")</f>
        <v xml:space="preserve">  /  /  / </v>
      </c>
    </row>
    <row r="2412" spans="1:8" ht="12.75" x14ac:dyDescent="0.2">
      <c r="A2412" s="1"/>
      <c r="B2412" s="1"/>
      <c r="C2412" s="1"/>
      <c r="D2412" s="1"/>
      <c r="E2412" s="1"/>
      <c r="F2412" s="1" t="str">
        <f ca="1">IFERROR(__xludf.DUMMYFUNCTION("""COMPUTED_VALUE""")," - ")</f>
        <v xml:space="preserve"> - </v>
      </c>
      <c r="G2412" s="1" t="str">
        <f ca="1">IFERROR(__xludf.DUMMYFUNCTION("""COMPUTED_VALUE""")," /  /  / ")</f>
        <v xml:space="preserve"> /  /  / </v>
      </c>
      <c r="H2412" s="1" t="str">
        <f ca="1">IFERROR(__xludf.DUMMYFUNCTION("""COMPUTED_VALUE"""),"  /  /  / ")</f>
        <v xml:space="preserve">  /  /  / </v>
      </c>
    </row>
    <row r="2413" spans="1:8" ht="12.75" x14ac:dyDescent="0.2">
      <c r="A2413" s="1"/>
      <c r="B2413" s="1"/>
      <c r="C2413" s="1"/>
      <c r="D2413" s="1"/>
      <c r="E2413" s="1"/>
      <c r="F2413" s="1" t="str">
        <f ca="1">IFERROR(__xludf.DUMMYFUNCTION("""COMPUTED_VALUE""")," - ")</f>
        <v xml:space="preserve"> - </v>
      </c>
      <c r="G2413" s="1" t="str">
        <f ca="1">IFERROR(__xludf.DUMMYFUNCTION("""COMPUTED_VALUE""")," /  /  / ")</f>
        <v xml:space="preserve"> /  /  / </v>
      </c>
      <c r="H2413" s="1" t="str">
        <f ca="1">IFERROR(__xludf.DUMMYFUNCTION("""COMPUTED_VALUE"""),"  /  /  / ")</f>
        <v xml:space="preserve">  /  /  / </v>
      </c>
    </row>
    <row r="2414" spans="1:8" ht="12.75" x14ac:dyDescent="0.2">
      <c r="A2414" s="1"/>
      <c r="B2414" s="1"/>
      <c r="C2414" s="1"/>
      <c r="D2414" s="1"/>
      <c r="E2414" s="1"/>
      <c r="F2414" s="1" t="str">
        <f ca="1">IFERROR(__xludf.DUMMYFUNCTION("""COMPUTED_VALUE""")," - ")</f>
        <v xml:space="preserve"> - </v>
      </c>
      <c r="G2414" s="1" t="str">
        <f ca="1">IFERROR(__xludf.DUMMYFUNCTION("""COMPUTED_VALUE""")," /  /  / ")</f>
        <v xml:space="preserve"> /  /  / </v>
      </c>
      <c r="H2414" s="1" t="str">
        <f ca="1">IFERROR(__xludf.DUMMYFUNCTION("""COMPUTED_VALUE"""),"  /  /  / ")</f>
        <v xml:space="preserve">  /  /  / </v>
      </c>
    </row>
    <row r="2415" spans="1:8" ht="12.75" x14ac:dyDescent="0.2">
      <c r="A2415" s="1"/>
      <c r="B2415" s="1"/>
      <c r="C2415" s="1"/>
      <c r="D2415" s="1"/>
      <c r="E2415" s="1"/>
      <c r="F2415" s="1" t="str">
        <f ca="1">IFERROR(__xludf.DUMMYFUNCTION("""COMPUTED_VALUE""")," - ")</f>
        <v xml:space="preserve"> - </v>
      </c>
      <c r="G2415" s="1" t="str">
        <f ca="1">IFERROR(__xludf.DUMMYFUNCTION("""COMPUTED_VALUE""")," /  /  / ")</f>
        <v xml:space="preserve"> /  /  / </v>
      </c>
      <c r="H2415" s="1" t="str">
        <f ca="1">IFERROR(__xludf.DUMMYFUNCTION("""COMPUTED_VALUE"""),"  /  /  / ")</f>
        <v xml:space="preserve">  /  /  / </v>
      </c>
    </row>
    <row r="2416" spans="1:8" ht="12.75" x14ac:dyDescent="0.2">
      <c r="A2416" s="1"/>
      <c r="B2416" s="1"/>
      <c r="C2416" s="1"/>
      <c r="D2416" s="1"/>
      <c r="E2416" s="1"/>
      <c r="F2416" s="1" t="str">
        <f ca="1">IFERROR(__xludf.DUMMYFUNCTION("""COMPUTED_VALUE""")," - ")</f>
        <v xml:space="preserve"> - </v>
      </c>
      <c r="G2416" s="1" t="str">
        <f ca="1">IFERROR(__xludf.DUMMYFUNCTION("""COMPUTED_VALUE""")," /  /  / ")</f>
        <v xml:space="preserve"> /  /  / </v>
      </c>
      <c r="H2416" s="1" t="str">
        <f ca="1">IFERROR(__xludf.DUMMYFUNCTION("""COMPUTED_VALUE"""),"  /  /  / ")</f>
        <v xml:space="preserve">  /  /  / </v>
      </c>
    </row>
    <row r="2417" spans="1:8" ht="12.75" x14ac:dyDescent="0.2">
      <c r="A2417" s="1"/>
      <c r="B2417" s="1"/>
      <c r="C2417" s="1"/>
      <c r="D2417" s="1"/>
      <c r="E2417" s="1"/>
      <c r="F2417" s="1" t="str">
        <f ca="1">IFERROR(__xludf.DUMMYFUNCTION("""COMPUTED_VALUE""")," - ")</f>
        <v xml:space="preserve"> - </v>
      </c>
      <c r="G2417" s="1" t="str">
        <f ca="1">IFERROR(__xludf.DUMMYFUNCTION("""COMPUTED_VALUE""")," /  /  / ")</f>
        <v xml:space="preserve"> /  /  / </v>
      </c>
      <c r="H2417" s="1" t="str">
        <f ca="1">IFERROR(__xludf.DUMMYFUNCTION("""COMPUTED_VALUE"""),"  /  /  / ")</f>
        <v xml:space="preserve">  /  /  / </v>
      </c>
    </row>
    <row r="2418" spans="1:8" ht="12.75" x14ac:dyDescent="0.2">
      <c r="A2418" s="1"/>
      <c r="B2418" s="1"/>
      <c r="C2418" s="1"/>
      <c r="D2418" s="1"/>
      <c r="E2418" s="1"/>
      <c r="F2418" s="1" t="str">
        <f ca="1">IFERROR(__xludf.DUMMYFUNCTION("""COMPUTED_VALUE""")," - ")</f>
        <v xml:space="preserve"> - </v>
      </c>
      <c r="G2418" s="1" t="str">
        <f ca="1">IFERROR(__xludf.DUMMYFUNCTION("""COMPUTED_VALUE""")," /  /  / ")</f>
        <v xml:space="preserve"> /  /  / </v>
      </c>
      <c r="H2418" s="1" t="str">
        <f ca="1">IFERROR(__xludf.DUMMYFUNCTION("""COMPUTED_VALUE"""),"  /  /  / ")</f>
        <v xml:space="preserve">  /  /  / </v>
      </c>
    </row>
    <row r="2419" spans="1:8" ht="12.75" x14ac:dyDescent="0.2">
      <c r="A2419" s="1"/>
      <c r="B2419" s="1"/>
      <c r="C2419" s="1"/>
      <c r="D2419" s="1"/>
      <c r="E2419" s="1"/>
      <c r="F2419" s="1" t="str">
        <f ca="1">IFERROR(__xludf.DUMMYFUNCTION("""COMPUTED_VALUE""")," - ")</f>
        <v xml:space="preserve"> - </v>
      </c>
      <c r="G2419" s="1" t="str">
        <f ca="1">IFERROR(__xludf.DUMMYFUNCTION("""COMPUTED_VALUE""")," /  /  / ")</f>
        <v xml:space="preserve"> /  /  / </v>
      </c>
      <c r="H2419" s="1" t="str">
        <f ca="1">IFERROR(__xludf.DUMMYFUNCTION("""COMPUTED_VALUE"""),"  /  /  / ")</f>
        <v xml:space="preserve">  /  /  / </v>
      </c>
    </row>
    <row r="2420" spans="1:8" ht="12.75" x14ac:dyDescent="0.2">
      <c r="A2420" s="1"/>
      <c r="B2420" s="1"/>
      <c r="C2420" s="1"/>
      <c r="D2420" s="1"/>
      <c r="E2420" s="1"/>
      <c r="F2420" s="1" t="str">
        <f ca="1">IFERROR(__xludf.DUMMYFUNCTION("""COMPUTED_VALUE""")," - ")</f>
        <v xml:space="preserve"> - </v>
      </c>
      <c r="G2420" s="1" t="str">
        <f ca="1">IFERROR(__xludf.DUMMYFUNCTION("""COMPUTED_VALUE""")," /  /  / ")</f>
        <v xml:space="preserve"> /  /  / </v>
      </c>
      <c r="H2420" s="1" t="str">
        <f ca="1">IFERROR(__xludf.DUMMYFUNCTION("""COMPUTED_VALUE"""),"  /  /  / ")</f>
        <v xml:space="preserve">  /  /  / </v>
      </c>
    </row>
    <row r="2421" spans="1:8" ht="12.75" x14ac:dyDescent="0.2">
      <c r="A2421" s="1"/>
      <c r="B2421" s="1"/>
      <c r="C2421" s="1"/>
      <c r="D2421" s="1"/>
      <c r="E2421" s="1"/>
      <c r="F2421" s="1" t="str">
        <f ca="1">IFERROR(__xludf.DUMMYFUNCTION("""COMPUTED_VALUE""")," - ")</f>
        <v xml:space="preserve"> - </v>
      </c>
      <c r="G2421" s="1" t="str">
        <f ca="1">IFERROR(__xludf.DUMMYFUNCTION("""COMPUTED_VALUE""")," /  /  / ")</f>
        <v xml:space="preserve"> /  /  / </v>
      </c>
      <c r="H2421" s="1" t="str">
        <f ca="1">IFERROR(__xludf.DUMMYFUNCTION("""COMPUTED_VALUE"""),"  /  /  / ")</f>
        <v xml:space="preserve">  /  /  / </v>
      </c>
    </row>
    <row r="2422" spans="1:8" ht="12.75" x14ac:dyDescent="0.2">
      <c r="A2422" s="1"/>
      <c r="B2422" s="1"/>
      <c r="C2422" s="1"/>
      <c r="D2422" s="1"/>
      <c r="E2422" s="1"/>
      <c r="F2422" s="1" t="str">
        <f ca="1">IFERROR(__xludf.DUMMYFUNCTION("""COMPUTED_VALUE""")," - ")</f>
        <v xml:space="preserve"> - </v>
      </c>
      <c r="G2422" s="1" t="str">
        <f ca="1">IFERROR(__xludf.DUMMYFUNCTION("""COMPUTED_VALUE""")," /  /  / ")</f>
        <v xml:space="preserve"> /  /  / </v>
      </c>
      <c r="H2422" s="1" t="str">
        <f ca="1">IFERROR(__xludf.DUMMYFUNCTION("""COMPUTED_VALUE"""),"  /  /  / ")</f>
        <v xml:space="preserve">  /  /  / </v>
      </c>
    </row>
    <row r="2423" spans="1:8" ht="12.75" x14ac:dyDescent="0.2">
      <c r="A2423" s="1"/>
      <c r="B2423" s="1"/>
      <c r="C2423" s="1"/>
      <c r="D2423" s="1"/>
      <c r="E2423" s="1"/>
      <c r="F2423" s="1" t="str">
        <f ca="1">IFERROR(__xludf.DUMMYFUNCTION("""COMPUTED_VALUE""")," - ")</f>
        <v xml:space="preserve"> - </v>
      </c>
      <c r="G2423" s="1" t="str">
        <f ca="1">IFERROR(__xludf.DUMMYFUNCTION("""COMPUTED_VALUE""")," /  /  / ")</f>
        <v xml:space="preserve"> /  /  / </v>
      </c>
      <c r="H2423" s="1" t="str">
        <f ca="1">IFERROR(__xludf.DUMMYFUNCTION("""COMPUTED_VALUE"""),"  /  /  / ")</f>
        <v xml:space="preserve">  /  /  / </v>
      </c>
    </row>
    <row r="2424" spans="1:8" ht="12.75" x14ac:dyDescent="0.2">
      <c r="A2424" s="1"/>
      <c r="B2424" s="1"/>
      <c r="C2424" s="1"/>
      <c r="D2424" s="1"/>
      <c r="E2424" s="1"/>
      <c r="F2424" s="1" t="str">
        <f ca="1">IFERROR(__xludf.DUMMYFUNCTION("""COMPUTED_VALUE""")," - ")</f>
        <v xml:space="preserve"> - </v>
      </c>
      <c r="G2424" s="1" t="str">
        <f ca="1">IFERROR(__xludf.DUMMYFUNCTION("""COMPUTED_VALUE""")," /  /  / ")</f>
        <v xml:space="preserve"> /  /  / </v>
      </c>
      <c r="H2424" s="1" t="str">
        <f ca="1">IFERROR(__xludf.DUMMYFUNCTION("""COMPUTED_VALUE"""),"  /  /  / ")</f>
        <v xml:space="preserve">  /  /  / </v>
      </c>
    </row>
    <row r="2425" spans="1:8" ht="12.75" x14ac:dyDescent="0.2">
      <c r="A2425" s="1"/>
      <c r="B2425" s="1"/>
      <c r="C2425" s="1"/>
      <c r="D2425" s="1"/>
      <c r="E2425" s="1"/>
      <c r="F2425" s="1" t="str">
        <f ca="1">IFERROR(__xludf.DUMMYFUNCTION("""COMPUTED_VALUE""")," - ")</f>
        <v xml:space="preserve"> - </v>
      </c>
      <c r="G2425" s="1" t="str">
        <f ca="1">IFERROR(__xludf.DUMMYFUNCTION("""COMPUTED_VALUE""")," /  /  / ")</f>
        <v xml:space="preserve"> /  /  / </v>
      </c>
      <c r="H2425" s="1" t="str">
        <f ca="1">IFERROR(__xludf.DUMMYFUNCTION("""COMPUTED_VALUE"""),"  /  /  / ")</f>
        <v xml:space="preserve">  /  /  / </v>
      </c>
    </row>
    <row r="2426" spans="1:8" ht="12.75" x14ac:dyDescent="0.2">
      <c r="A2426" s="1"/>
      <c r="B2426" s="1"/>
      <c r="C2426" s="1"/>
      <c r="D2426" s="1"/>
      <c r="E2426" s="1"/>
      <c r="F2426" s="1" t="str">
        <f ca="1">IFERROR(__xludf.DUMMYFUNCTION("""COMPUTED_VALUE""")," - ")</f>
        <v xml:space="preserve"> - </v>
      </c>
      <c r="G2426" s="1" t="str">
        <f ca="1">IFERROR(__xludf.DUMMYFUNCTION("""COMPUTED_VALUE""")," /  /  / ")</f>
        <v xml:space="preserve"> /  /  / </v>
      </c>
      <c r="H2426" s="1" t="str">
        <f ca="1">IFERROR(__xludf.DUMMYFUNCTION("""COMPUTED_VALUE"""),"  /  /  / ")</f>
        <v xml:space="preserve">  /  /  / </v>
      </c>
    </row>
    <row r="2427" spans="1:8" ht="12.75" x14ac:dyDescent="0.2">
      <c r="A2427" s="1"/>
      <c r="B2427" s="1"/>
      <c r="C2427" s="1"/>
      <c r="D2427" s="1"/>
      <c r="E2427" s="1"/>
      <c r="F2427" s="1" t="str">
        <f ca="1">IFERROR(__xludf.DUMMYFUNCTION("""COMPUTED_VALUE""")," - ")</f>
        <v xml:space="preserve"> - </v>
      </c>
      <c r="G2427" s="1" t="str">
        <f ca="1">IFERROR(__xludf.DUMMYFUNCTION("""COMPUTED_VALUE""")," /  /  / ")</f>
        <v xml:space="preserve"> /  /  / </v>
      </c>
      <c r="H2427" s="1" t="str">
        <f ca="1">IFERROR(__xludf.DUMMYFUNCTION("""COMPUTED_VALUE"""),"  /  /  / ")</f>
        <v xml:space="preserve">  /  /  / </v>
      </c>
    </row>
    <row r="2428" spans="1:8" ht="12.75" x14ac:dyDescent="0.2">
      <c r="A2428" s="1"/>
      <c r="B2428" s="1"/>
      <c r="C2428" s="1"/>
      <c r="D2428" s="1"/>
      <c r="E2428" s="1"/>
      <c r="F2428" s="1" t="str">
        <f ca="1">IFERROR(__xludf.DUMMYFUNCTION("""COMPUTED_VALUE""")," - ")</f>
        <v xml:space="preserve"> - </v>
      </c>
      <c r="G2428" s="1" t="str">
        <f ca="1">IFERROR(__xludf.DUMMYFUNCTION("""COMPUTED_VALUE""")," /  /  / ")</f>
        <v xml:space="preserve"> /  /  / </v>
      </c>
      <c r="H2428" s="1" t="str">
        <f ca="1">IFERROR(__xludf.DUMMYFUNCTION("""COMPUTED_VALUE"""),"  /  /  / ")</f>
        <v xml:space="preserve">  /  /  / </v>
      </c>
    </row>
    <row r="2429" spans="1:8" ht="12.75" x14ac:dyDescent="0.2">
      <c r="A2429" s="1"/>
      <c r="B2429" s="1"/>
      <c r="C2429" s="1"/>
      <c r="D2429" s="1"/>
      <c r="E2429" s="1"/>
      <c r="F2429" s="1" t="str">
        <f ca="1">IFERROR(__xludf.DUMMYFUNCTION("""COMPUTED_VALUE""")," - ")</f>
        <v xml:space="preserve"> - </v>
      </c>
      <c r="G2429" s="1" t="str">
        <f ca="1">IFERROR(__xludf.DUMMYFUNCTION("""COMPUTED_VALUE""")," /  /  / ")</f>
        <v xml:space="preserve"> /  /  / </v>
      </c>
      <c r="H2429" s="1" t="str">
        <f ca="1">IFERROR(__xludf.DUMMYFUNCTION("""COMPUTED_VALUE"""),"  /  /  / ")</f>
        <v xml:space="preserve">  /  /  / </v>
      </c>
    </row>
    <row r="2430" spans="1:8" ht="12.75" x14ac:dyDescent="0.2">
      <c r="A2430" s="1"/>
      <c r="B2430" s="1"/>
      <c r="C2430" s="1"/>
      <c r="D2430" s="1"/>
      <c r="E2430" s="1"/>
      <c r="F2430" s="1" t="str">
        <f ca="1">IFERROR(__xludf.DUMMYFUNCTION("""COMPUTED_VALUE""")," - ")</f>
        <v xml:space="preserve"> - </v>
      </c>
      <c r="G2430" s="1" t="str">
        <f ca="1">IFERROR(__xludf.DUMMYFUNCTION("""COMPUTED_VALUE""")," /  /  / ")</f>
        <v xml:space="preserve"> /  /  / </v>
      </c>
      <c r="H2430" s="1" t="str">
        <f ca="1">IFERROR(__xludf.DUMMYFUNCTION("""COMPUTED_VALUE"""),"  /  /  / ")</f>
        <v xml:space="preserve">  /  /  / </v>
      </c>
    </row>
    <row r="2431" spans="1:8" ht="12.75" x14ac:dyDescent="0.2">
      <c r="A2431" s="1"/>
      <c r="B2431" s="1"/>
      <c r="C2431" s="1"/>
      <c r="D2431" s="1"/>
      <c r="E2431" s="1"/>
      <c r="F2431" s="1" t="str">
        <f ca="1">IFERROR(__xludf.DUMMYFUNCTION("""COMPUTED_VALUE""")," - ")</f>
        <v xml:space="preserve"> - </v>
      </c>
      <c r="G2431" s="1" t="str">
        <f ca="1">IFERROR(__xludf.DUMMYFUNCTION("""COMPUTED_VALUE""")," /  /  / ")</f>
        <v xml:space="preserve"> /  /  / </v>
      </c>
      <c r="H2431" s="1" t="str">
        <f ca="1">IFERROR(__xludf.DUMMYFUNCTION("""COMPUTED_VALUE"""),"  /  /  / ")</f>
        <v xml:space="preserve">  /  /  / </v>
      </c>
    </row>
    <row r="2432" spans="1:8" ht="12.75" x14ac:dyDescent="0.2">
      <c r="A2432" s="1"/>
      <c r="B2432" s="1"/>
      <c r="C2432" s="1"/>
      <c r="D2432" s="1"/>
      <c r="E2432" s="1"/>
      <c r="F2432" s="1" t="str">
        <f ca="1">IFERROR(__xludf.DUMMYFUNCTION("""COMPUTED_VALUE""")," - ")</f>
        <v xml:space="preserve"> - </v>
      </c>
      <c r="G2432" s="1" t="str">
        <f ca="1">IFERROR(__xludf.DUMMYFUNCTION("""COMPUTED_VALUE""")," /  /  / ")</f>
        <v xml:space="preserve"> /  /  / </v>
      </c>
      <c r="H2432" s="1" t="str">
        <f ca="1">IFERROR(__xludf.DUMMYFUNCTION("""COMPUTED_VALUE"""),"  /  /  / ")</f>
        <v xml:space="preserve">  /  /  / </v>
      </c>
    </row>
    <row r="2433" spans="1:8" ht="12.75" x14ac:dyDescent="0.2">
      <c r="A2433" s="1"/>
      <c r="B2433" s="1"/>
      <c r="C2433" s="1"/>
      <c r="D2433" s="1"/>
      <c r="E2433" s="1"/>
      <c r="F2433" s="1" t="str">
        <f ca="1">IFERROR(__xludf.DUMMYFUNCTION("""COMPUTED_VALUE""")," - ")</f>
        <v xml:space="preserve"> - </v>
      </c>
      <c r="G2433" s="1" t="str">
        <f ca="1">IFERROR(__xludf.DUMMYFUNCTION("""COMPUTED_VALUE""")," /  /  / ")</f>
        <v xml:space="preserve"> /  /  / </v>
      </c>
      <c r="H2433" s="1" t="str">
        <f ca="1">IFERROR(__xludf.DUMMYFUNCTION("""COMPUTED_VALUE"""),"  /  /  / ")</f>
        <v xml:space="preserve">  /  /  / </v>
      </c>
    </row>
    <row r="2434" spans="1:8" ht="12.75" x14ac:dyDescent="0.2">
      <c r="A2434" s="1"/>
      <c r="B2434" s="1"/>
      <c r="C2434" s="1"/>
      <c r="D2434" s="1"/>
      <c r="E2434" s="1"/>
      <c r="F2434" s="1" t="str">
        <f ca="1">IFERROR(__xludf.DUMMYFUNCTION("""COMPUTED_VALUE""")," - ")</f>
        <v xml:space="preserve"> - </v>
      </c>
      <c r="G2434" s="1" t="str">
        <f ca="1">IFERROR(__xludf.DUMMYFUNCTION("""COMPUTED_VALUE""")," /  /  / ")</f>
        <v xml:space="preserve"> /  /  / </v>
      </c>
      <c r="H2434" s="1" t="str">
        <f ca="1">IFERROR(__xludf.DUMMYFUNCTION("""COMPUTED_VALUE"""),"  /  /  / ")</f>
        <v xml:space="preserve">  /  /  / </v>
      </c>
    </row>
    <row r="2435" spans="1:8" ht="12.75" x14ac:dyDescent="0.2">
      <c r="A2435" s="1"/>
      <c r="B2435" s="1"/>
      <c r="C2435" s="1"/>
      <c r="D2435" s="1"/>
      <c r="E2435" s="1"/>
      <c r="F2435" s="1" t="str">
        <f ca="1">IFERROR(__xludf.DUMMYFUNCTION("""COMPUTED_VALUE""")," - ")</f>
        <v xml:space="preserve"> - </v>
      </c>
      <c r="G2435" s="1" t="str">
        <f ca="1">IFERROR(__xludf.DUMMYFUNCTION("""COMPUTED_VALUE""")," /  /  / ")</f>
        <v xml:space="preserve"> /  /  / </v>
      </c>
      <c r="H2435" s="1" t="str">
        <f ca="1">IFERROR(__xludf.DUMMYFUNCTION("""COMPUTED_VALUE"""),"  /  /  / ")</f>
        <v xml:space="preserve">  /  /  / </v>
      </c>
    </row>
    <row r="2436" spans="1:8" ht="12.75" x14ac:dyDescent="0.2">
      <c r="A2436" s="1"/>
      <c r="B2436" s="1"/>
      <c r="C2436" s="1"/>
      <c r="D2436" s="1"/>
      <c r="E2436" s="1"/>
      <c r="F2436" s="1" t="str">
        <f ca="1">IFERROR(__xludf.DUMMYFUNCTION("""COMPUTED_VALUE""")," - ")</f>
        <v xml:space="preserve"> - </v>
      </c>
      <c r="G2436" s="1" t="str">
        <f ca="1">IFERROR(__xludf.DUMMYFUNCTION("""COMPUTED_VALUE""")," /  /  / ")</f>
        <v xml:space="preserve"> /  /  / </v>
      </c>
      <c r="H2436" s="1" t="str">
        <f ca="1">IFERROR(__xludf.DUMMYFUNCTION("""COMPUTED_VALUE"""),"  /  /  / ")</f>
        <v xml:space="preserve">  /  /  / </v>
      </c>
    </row>
    <row r="2437" spans="1:8" ht="12.75" x14ac:dyDescent="0.2">
      <c r="A2437" s="1"/>
      <c r="B2437" s="1"/>
      <c r="C2437" s="1"/>
      <c r="D2437" s="1"/>
      <c r="E2437" s="1"/>
      <c r="F2437" s="1" t="str">
        <f ca="1">IFERROR(__xludf.DUMMYFUNCTION("""COMPUTED_VALUE""")," - ")</f>
        <v xml:space="preserve"> - </v>
      </c>
      <c r="G2437" s="1" t="str">
        <f ca="1">IFERROR(__xludf.DUMMYFUNCTION("""COMPUTED_VALUE""")," /  /  / ")</f>
        <v xml:space="preserve"> /  /  / </v>
      </c>
      <c r="H2437" s="1" t="str">
        <f ca="1">IFERROR(__xludf.DUMMYFUNCTION("""COMPUTED_VALUE"""),"  /  /  / ")</f>
        <v xml:space="preserve">  /  /  / </v>
      </c>
    </row>
    <row r="2438" spans="1:8" ht="12.75" x14ac:dyDescent="0.2">
      <c r="A2438" s="1"/>
      <c r="B2438" s="1"/>
      <c r="C2438" s="1"/>
      <c r="D2438" s="1"/>
      <c r="E2438" s="1"/>
      <c r="F2438" s="1" t="str">
        <f ca="1">IFERROR(__xludf.DUMMYFUNCTION("""COMPUTED_VALUE""")," - ")</f>
        <v xml:space="preserve"> - </v>
      </c>
      <c r="G2438" s="1" t="str">
        <f ca="1">IFERROR(__xludf.DUMMYFUNCTION("""COMPUTED_VALUE""")," /  /  / ")</f>
        <v xml:space="preserve"> /  /  / </v>
      </c>
      <c r="H2438" s="1" t="str">
        <f ca="1">IFERROR(__xludf.DUMMYFUNCTION("""COMPUTED_VALUE"""),"  /  /  / ")</f>
        <v xml:space="preserve">  /  /  / </v>
      </c>
    </row>
    <row r="2439" spans="1:8" ht="12.75" x14ac:dyDescent="0.2">
      <c r="A2439" s="1"/>
      <c r="B2439" s="1"/>
      <c r="C2439" s="1"/>
      <c r="D2439" s="1"/>
      <c r="E2439" s="1"/>
      <c r="F2439" s="1" t="str">
        <f ca="1">IFERROR(__xludf.DUMMYFUNCTION("""COMPUTED_VALUE""")," - ")</f>
        <v xml:space="preserve"> - </v>
      </c>
      <c r="G2439" s="1" t="str">
        <f ca="1">IFERROR(__xludf.DUMMYFUNCTION("""COMPUTED_VALUE""")," /  /  / ")</f>
        <v xml:space="preserve"> /  /  / </v>
      </c>
      <c r="H2439" s="1" t="str">
        <f ca="1">IFERROR(__xludf.DUMMYFUNCTION("""COMPUTED_VALUE"""),"  /  /  / ")</f>
        <v xml:space="preserve">  /  /  / </v>
      </c>
    </row>
    <row r="2440" spans="1:8" ht="12.75" x14ac:dyDescent="0.2">
      <c r="A2440" s="1"/>
      <c r="B2440" s="1"/>
      <c r="C2440" s="1"/>
      <c r="D2440" s="1"/>
      <c r="E2440" s="1"/>
      <c r="F2440" s="1" t="str">
        <f ca="1">IFERROR(__xludf.DUMMYFUNCTION("""COMPUTED_VALUE""")," - ")</f>
        <v xml:space="preserve"> - </v>
      </c>
      <c r="G2440" s="1" t="str">
        <f ca="1">IFERROR(__xludf.DUMMYFUNCTION("""COMPUTED_VALUE""")," /  /  / ")</f>
        <v xml:space="preserve"> /  /  / </v>
      </c>
      <c r="H2440" s="1" t="str">
        <f ca="1">IFERROR(__xludf.DUMMYFUNCTION("""COMPUTED_VALUE"""),"  /  /  / ")</f>
        <v xml:space="preserve">  /  /  / </v>
      </c>
    </row>
    <row r="2441" spans="1:8" ht="12.75" x14ac:dyDescent="0.2">
      <c r="A2441" s="1"/>
      <c r="B2441" s="1"/>
      <c r="C2441" s="1"/>
      <c r="D2441" s="1"/>
      <c r="E2441" s="1"/>
      <c r="F2441" s="1" t="str">
        <f ca="1">IFERROR(__xludf.DUMMYFUNCTION("""COMPUTED_VALUE""")," - ")</f>
        <v xml:space="preserve"> - </v>
      </c>
      <c r="G2441" s="1" t="str">
        <f ca="1">IFERROR(__xludf.DUMMYFUNCTION("""COMPUTED_VALUE""")," /  /  / ")</f>
        <v xml:space="preserve"> /  /  / </v>
      </c>
      <c r="H2441" s="1" t="str">
        <f ca="1">IFERROR(__xludf.DUMMYFUNCTION("""COMPUTED_VALUE"""),"  /  /  / ")</f>
        <v xml:space="preserve">  /  /  / </v>
      </c>
    </row>
    <row r="2442" spans="1:8" ht="12.75" x14ac:dyDescent="0.2">
      <c r="A2442" s="1"/>
      <c r="B2442" s="1"/>
      <c r="C2442" s="1"/>
      <c r="D2442" s="1"/>
      <c r="E2442" s="1"/>
      <c r="F2442" s="1" t="str">
        <f ca="1">IFERROR(__xludf.DUMMYFUNCTION("""COMPUTED_VALUE""")," - ")</f>
        <v xml:space="preserve"> - </v>
      </c>
      <c r="G2442" s="1" t="str">
        <f ca="1">IFERROR(__xludf.DUMMYFUNCTION("""COMPUTED_VALUE""")," /  /  / ")</f>
        <v xml:space="preserve"> /  /  / </v>
      </c>
      <c r="H2442" s="1" t="str">
        <f ca="1">IFERROR(__xludf.DUMMYFUNCTION("""COMPUTED_VALUE"""),"  /  /  / ")</f>
        <v xml:space="preserve">  /  /  / </v>
      </c>
    </row>
    <row r="2443" spans="1:8" ht="12.75" x14ac:dyDescent="0.2">
      <c r="A2443" s="1"/>
      <c r="B2443" s="1"/>
      <c r="C2443" s="1"/>
      <c r="D2443" s="1"/>
      <c r="E2443" s="1"/>
      <c r="F2443" s="1" t="str">
        <f ca="1">IFERROR(__xludf.DUMMYFUNCTION("""COMPUTED_VALUE""")," - ")</f>
        <v xml:space="preserve"> - </v>
      </c>
      <c r="G2443" s="1" t="str">
        <f ca="1">IFERROR(__xludf.DUMMYFUNCTION("""COMPUTED_VALUE""")," /  /  / ")</f>
        <v xml:space="preserve"> /  /  / </v>
      </c>
      <c r="H2443" s="1" t="str">
        <f ca="1">IFERROR(__xludf.DUMMYFUNCTION("""COMPUTED_VALUE"""),"  /  /  / ")</f>
        <v xml:space="preserve">  /  /  / </v>
      </c>
    </row>
    <row r="2444" spans="1:8" ht="12.75" x14ac:dyDescent="0.2">
      <c r="A2444" s="1"/>
      <c r="B2444" s="1"/>
      <c r="C2444" s="1"/>
      <c r="D2444" s="1"/>
      <c r="E2444" s="1"/>
      <c r="F2444" s="1" t="str">
        <f ca="1">IFERROR(__xludf.DUMMYFUNCTION("""COMPUTED_VALUE""")," - ")</f>
        <v xml:space="preserve"> - </v>
      </c>
      <c r="G2444" s="1" t="str">
        <f ca="1">IFERROR(__xludf.DUMMYFUNCTION("""COMPUTED_VALUE""")," /  /  / ")</f>
        <v xml:space="preserve"> /  /  / </v>
      </c>
      <c r="H2444" s="1" t="str">
        <f ca="1">IFERROR(__xludf.DUMMYFUNCTION("""COMPUTED_VALUE"""),"  /  /  / ")</f>
        <v xml:space="preserve">  /  /  / </v>
      </c>
    </row>
    <row r="2445" spans="1:8" ht="12.75" x14ac:dyDescent="0.2">
      <c r="A2445" s="1"/>
      <c r="B2445" s="1"/>
      <c r="C2445" s="1"/>
      <c r="D2445" s="1"/>
      <c r="E2445" s="1"/>
      <c r="F2445" s="1" t="str">
        <f ca="1">IFERROR(__xludf.DUMMYFUNCTION("""COMPUTED_VALUE""")," - ")</f>
        <v xml:space="preserve"> - </v>
      </c>
      <c r="G2445" s="1" t="str">
        <f ca="1">IFERROR(__xludf.DUMMYFUNCTION("""COMPUTED_VALUE""")," /  /  / ")</f>
        <v xml:space="preserve"> /  /  / </v>
      </c>
      <c r="H2445" s="1" t="str">
        <f ca="1">IFERROR(__xludf.DUMMYFUNCTION("""COMPUTED_VALUE"""),"  /  /  / ")</f>
        <v xml:space="preserve">  /  /  / </v>
      </c>
    </row>
    <row r="2446" spans="1:8" ht="12.75" x14ac:dyDescent="0.2">
      <c r="A2446" s="1"/>
      <c r="B2446" s="1"/>
      <c r="C2446" s="1"/>
      <c r="D2446" s="1"/>
      <c r="E2446" s="1"/>
      <c r="F2446" s="1" t="str">
        <f ca="1">IFERROR(__xludf.DUMMYFUNCTION("""COMPUTED_VALUE""")," - ")</f>
        <v xml:space="preserve"> - </v>
      </c>
      <c r="G2446" s="1" t="str">
        <f ca="1">IFERROR(__xludf.DUMMYFUNCTION("""COMPUTED_VALUE""")," /  /  / ")</f>
        <v xml:space="preserve"> /  /  / </v>
      </c>
      <c r="H2446" s="1" t="str">
        <f ca="1">IFERROR(__xludf.DUMMYFUNCTION("""COMPUTED_VALUE"""),"  /  /  / ")</f>
        <v xml:space="preserve">  /  /  / </v>
      </c>
    </row>
    <row r="2447" spans="1:8" ht="12.75" x14ac:dyDescent="0.2">
      <c r="A2447" s="1"/>
      <c r="B2447" s="1"/>
      <c r="C2447" s="1"/>
      <c r="D2447" s="1"/>
      <c r="E2447" s="1"/>
      <c r="F2447" s="1" t="str">
        <f ca="1">IFERROR(__xludf.DUMMYFUNCTION("""COMPUTED_VALUE""")," - ")</f>
        <v xml:space="preserve"> - </v>
      </c>
      <c r="G2447" s="1" t="str">
        <f ca="1">IFERROR(__xludf.DUMMYFUNCTION("""COMPUTED_VALUE""")," /  /  / ")</f>
        <v xml:space="preserve"> /  /  / </v>
      </c>
      <c r="H2447" s="1" t="str">
        <f ca="1">IFERROR(__xludf.DUMMYFUNCTION("""COMPUTED_VALUE"""),"  /  /  / ")</f>
        <v xml:space="preserve">  /  /  / </v>
      </c>
    </row>
    <row r="2448" spans="1:8" ht="12.75" x14ac:dyDescent="0.2">
      <c r="A2448" s="1"/>
      <c r="B2448" s="1"/>
      <c r="C2448" s="1"/>
      <c r="D2448" s="1"/>
      <c r="E2448" s="1"/>
      <c r="F2448" s="1" t="str">
        <f ca="1">IFERROR(__xludf.DUMMYFUNCTION("""COMPUTED_VALUE""")," - ")</f>
        <v xml:space="preserve"> - </v>
      </c>
      <c r="G2448" s="1" t="str">
        <f ca="1">IFERROR(__xludf.DUMMYFUNCTION("""COMPUTED_VALUE""")," /  /  / ")</f>
        <v xml:space="preserve"> /  /  / </v>
      </c>
      <c r="H2448" s="1" t="str">
        <f ca="1">IFERROR(__xludf.DUMMYFUNCTION("""COMPUTED_VALUE"""),"  /  /  / ")</f>
        <v xml:space="preserve">  /  /  / </v>
      </c>
    </row>
    <row r="2449" spans="1:8" ht="12.75" x14ac:dyDescent="0.2">
      <c r="A2449" s="1"/>
      <c r="B2449" s="1"/>
      <c r="C2449" s="1"/>
      <c r="D2449" s="1"/>
      <c r="E2449" s="1"/>
      <c r="F2449" s="1" t="str">
        <f ca="1">IFERROR(__xludf.DUMMYFUNCTION("""COMPUTED_VALUE""")," - ")</f>
        <v xml:space="preserve"> - </v>
      </c>
      <c r="G2449" s="1" t="str">
        <f ca="1">IFERROR(__xludf.DUMMYFUNCTION("""COMPUTED_VALUE""")," /  /  / ")</f>
        <v xml:space="preserve"> /  /  / </v>
      </c>
      <c r="H2449" s="1" t="str">
        <f ca="1">IFERROR(__xludf.DUMMYFUNCTION("""COMPUTED_VALUE"""),"  /  /  / ")</f>
        <v xml:space="preserve">  /  /  / </v>
      </c>
    </row>
    <row r="2450" spans="1:8" ht="12.75" x14ac:dyDescent="0.2">
      <c r="A2450" s="1"/>
      <c r="B2450" s="1"/>
      <c r="C2450" s="1"/>
      <c r="D2450" s="1"/>
      <c r="E2450" s="1"/>
      <c r="F2450" s="1" t="str">
        <f ca="1">IFERROR(__xludf.DUMMYFUNCTION("""COMPUTED_VALUE""")," - ")</f>
        <v xml:space="preserve"> - </v>
      </c>
      <c r="G2450" s="1" t="str">
        <f ca="1">IFERROR(__xludf.DUMMYFUNCTION("""COMPUTED_VALUE""")," /  /  / ")</f>
        <v xml:space="preserve"> /  /  / </v>
      </c>
      <c r="H2450" s="1" t="str">
        <f ca="1">IFERROR(__xludf.DUMMYFUNCTION("""COMPUTED_VALUE"""),"  /  /  / ")</f>
        <v xml:space="preserve">  /  /  / </v>
      </c>
    </row>
    <row r="2451" spans="1:8" ht="12.75" x14ac:dyDescent="0.2">
      <c r="A2451" s="1"/>
      <c r="B2451" s="1"/>
      <c r="C2451" s="1"/>
      <c r="D2451" s="1"/>
      <c r="E2451" s="1"/>
      <c r="F2451" s="1" t="str">
        <f ca="1">IFERROR(__xludf.DUMMYFUNCTION("""COMPUTED_VALUE""")," - ")</f>
        <v xml:space="preserve"> - </v>
      </c>
      <c r="G2451" s="1" t="str">
        <f ca="1">IFERROR(__xludf.DUMMYFUNCTION("""COMPUTED_VALUE""")," /  /  / ")</f>
        <v xml:space="preserve"> /  /  / </v>
      </c>
      <c r="H2451" s="1" t="str">
        <f ca="1">IFERROR(__xludf.DUMMYFUNCTION("""COMPUTED_VALUE"""),"  /  /  / ")</f>
        <v xml:space="preserve">  /  /  / </v>
      </c>
    </row>
    <row r="2452" spans="1:8" ht="12.75" x14ac:dyDescent="0.2">
      <c r="A2452" s="1"/>
      <c r="B2452" s="1"/>
      <c r="C2452" s="1"/>
      <c r="D2452" s="1"/>
      <c r="E2452" s="1"/>
      <c r="F2452" s="1" t="str">
        <f ca="1">IFERROR(__xludf.DUMMYFUNCTION("""COMPUTED_VALUE""")," - ")</f>
        <v xml:space="preserve"> - </v>
      </c>
      <c r="G2452" s="1" t="str">
        <f ca="1">IFERROR(__xludf.DUMMYFUNCTION("""COMPUTED_VALUE""")," /  /  / ")</f>
        <v xml:space="preserve"> /  /  / </v>
      </c>
      <c r="H2452" s="1" t="str">
        <f ca="1">IFERROR(__xludf.DUMMYFUNCTION("""COMPUTED_VALUE"""),"  /  /  / ")</f>
        <v xml:space="preserve">  /  /  / </v>
      </c>
    </row>
    <row r="2453" spans="1:8" ht="12.75" x14ac:dyDescent="0.2">
      <c r="A2453" s="1"/>
      <c r="B2453" s="1"/>
      <c r="C2453" s="1"/>
      <c r="D2453" s="1"/>
      <c r="E2453" s="1"/>
      <c r="F2453" s="1" t="str">
        <f ca="1">IFERROR(__xludf.DUMMYFUNCTION("""COMPUTED_VALUE""")," - ")</f>
        <v xml:space="preserve"> - </v>
      </c>
      <c r="G2453" s="1" t="str">
        <f ca="1">IFERROR(__xludf.DUMMYFUNCTION("""COMPUTED_VALUE""")," /  /  / ")</f>
        <v xml:space="preserve"> /  /  / </v>
      </c>
      <c r="H2453" s="1" t="str">
        <f ca="1">IFERROR(__xludf.DUMMYFUNCTION("""COMPUTED_VALUE"""),"  /  /  / ")</f>
        <v xml:space="preserve">  /  /  / </v>
      </c>
    </row>
    <row r="2454" spans="1:8" ht="12.75" x14ac:dyDescent="0.2">
      <c r="A2454" s="1"/>
      <c r="B2454" s="1"/>
      <c r="C2454" s="1"/>
      <c r="D2454" s="1"/>
      <c r="E2454" s="1"/>
      <c r="F2454" s="1" t="str">
        <f ca="1">IFERROR(__xludf.DUMMYFUNCTION("""COMPUTED_VALUE""")," - ")</f>
        <v xml:space="preserve"> - </v>
      </c>
      <c r="G2454" s="1" t="str">
        <f ca="1">IFERROR(__xludf.DUMMYFUNCTION("""COMPUTED_VALUE""")," /  /  / ")</f>
        <v xml:space="preserve"> /  /  / </v>
      </c>
      <c r="H2454" s="1" t="str">
        <f ca="1">IFERROR(__xludf.DUMMYFUNCTION("""COMPUTED_VALUE"""),"  /  /  / ")</f>
        <v xml:space="preserve">  /  /  / </v>
      </c>
    </row>
    <row r="2455" spans="1:8" ht="12.75" x14ac:dyDescent="0.2">
      <c r="A2455" s="1"/>
      <c r="B2455" s="1"/>
      <c r="C2455" s="1"/>
      <c r="D2455" s="1"/>
      <c r="E2455" s="1"/>
      <c r="F2455" s="1" t="str">
        <f ca="1">IFERROR(__xludf.DUMMYFUNCTION("""COMPUTED_VALUE""")," - ")</f>
        <v xml:space="preserve"> - </v>
      </c>
      <c r="G2455" s="1" t="str">
        <f ca="1">IFERROR(__xludf.DUMMYFUNCTION("""COMPUTED_VALUE""")," /  /  / ")</f>
        <v xml:space="preserve"> /  /  / </v>
      </c>
      <c r="H2455" s="1" t="str">
        <f ca="1">IFERROR(__xludf.DUMMYFUNCTION("""COMPUTED_VALUE"""),"  /  /  / ")</f>
        <v xml:space="preserve">  /  /  / </v>
      </c>
    </row>
    <row r="2456" spans="1:8" ht="12.75" x14ac:dyDescent="0.2">
      <c r="A2456" s="1"/>
      <c r="B2456" s="1"/>
      <c r="C2456" s="1"/>
      <c r="D2456" s="1"/>
      <c r="E2456" s="1"/>
      <c r="F2456" s="1" t="str">
        <f ca="1">IFERROR(__xludf.DUMMYFUNCTION("""COMPUTED_VALUE""")," - ")</f>
        <v xml:space="preserve"> - </v>
      </c>
      <c r="G2456" s="1" t="str">
        <f ca="1">IFERROR(__xludf.DUMMYFUNCTION("""COMPUTED_VALUE""")," /  /  / ")</f>
        <v xml:space="preserve"> /  /  / </v>
      </c>
      <c r="H2456" s="1" t="str">
        <f ca="1">IFERROR(__xludf.DUMMYFUNCTION("""COMPUTED_VALUE"""),"  /  /  / ")</f>
        <v xml:space="preserve">  /  /  / </v>
      </c>
    </row>
    <row r="2457" spans="1:8" ht="12.75" x14ac:dyDescent="0.2">
      <c r="A2457" s="1"/>
      <c r="B2457" s="1"/>
      <c r="C2457" s="1"/>
      <c r="D2457" s="1"/>
      <c r="E2457" s="1"/>
      <c r="F2457" s="1" t="str">
        <f ca="1">IFERROR(__xludf.DUMMYFUNCTION("""COMPUTED_VALUE""")," - ")</f>
        <v xml:space="preserve"> - </v>
      </c>
      <c r="G2457" s="1" t="str">
        <f ca="1">IFERROR(__xludf.DUMMYFUNCTION("""COMPUTED_VALUE""")," /  /  / ")</f>
        <v xml:space="preserve"> /  /  / </v>
      </c>
      <c r="H2457" s="1" t="str">
        <f ca="1">IFERROR(__xludf.DUMMYFUNCTION("""COMPUTED_VALUE"""),"  /  /  / ")</f>
        <v xml:space="preserve">  /  /  / </v>
      </c>
    </row>
    <row r="2458" spans="1:8" ht="12.75" x14ac:dyDescent="0.2">
      <c r="A2458" s="1"/>
      <c r="B2458" s="1"/>
      <c r="C2458" s="1"/>
      <c r="D2458" s="1"/>
      <c r="E2458" s="1"/>
      <c r="F2458" s="1" t="str">
        <f ca="1">IFERROR(__xludf.DUMMYFUNCTION("""COMPUTED_VALUE""")," - ")</f>
        <v xml:space="preserve"> - </v>
      </c>
      <c r="G2458" s="1" t="str">
        <f ca="1">IFERROR(__xludf.DUMMYFUNCTION("""COMPUTED_VALUE""")," /  /  / ")</f>
        <v xml:space="preserve"> /  /  / </v>
      </c>
      <c r="H2458" s="1" t="str">
        <f ca="1">IFERROR(__xludf.DUMMYFUNCTION("""COMPUTED_VALUE"""),"  /  /  / ")</f>
        <v xml:space="preserve">  /  /  / </v>
      </c>
    </row>
    <row r="2459" spans="1:8" ht="12.75" x14ac:dyDescent="0.2">
      <c r="A2459" s="1"/>
      <c r="B2459" s="1"/>
      <c r="C2459" s="1"/>
      <c r="D2459" s="1"/>
      <c r="E2459" s="1"/>
      <c r="F2459" s="1" t="str">
        <f ca="1">IFERROR(__xludf.DUMMYFUNCTION("""COMPUTED_VALUE""")," - ")</f>
        <v xml:space="preserve"> - </v>
      </c>
      <c r="G2459" s="1" t="str">
        <f ca="1">IFERROR(__xludf.DUMMYFUNCTION("""COMPUTED_VALUE""")," /  /  / ")</f>
        <v xml:space="preserve"> /  /  / </v>
      </c>
      <c r="H2459" s="1" t="str">
        <f ca="1">IFERROR(__xludf.DUMMYFUNCTION("""COMPUTED_VALUE"""),"  /  /  / ")</f>
        <v xml:space="preserve">  /  /  / </v>
      </c>
    </row>
    <row r="2460" spans="1:8" ht="12.75" x14ac:dyDescent="0.2">
      <c r="A2460" s="1"/>
      <c r="B2460" s="1"/>
      <c r="C2460" s="1"/>
      <c r="D2460" s="1"/>
      <c r="E2460" s="1"/>
      <c r="F2460" s="1" t="str">
        <f ca="1">IFERROR(__xludf.DUMMYFUNCTION("""COMPUTED_VALUE""")," - ")</f>
        <v xml:space="preserve"> - </v>
      </c>
      <c r="G2460" s="1" t="str">
        <f ca="1">IFERROR(__xludf.DUMMYFUNCTION("""COMPUTED_VALUE""")," /  /  / ")</f>
        <v xml:space="preserve"> /  /  / </v>
      </c>
      <c r="H2460" s="1" t="str">
        <f ca="1">IFERROR(__xludf.DUMMYFUNCTION("""COMPUTED_VALUE"""),"  /  /  / ")</f>
        <v xml:space="preserve">  /  /  / </v>
      </c>
    </row>
    <row r="2461" spans="1:8" ht="12.75" x14ac:dyDescent="0.2">
      <c r="A2461" s="1"/>
      <c r="B2461" s="1"/>
      <c r="C2461" s="1"/>
      <c r="D2461" s="1"/>
      <c r="E2461" s="1"/>
      <c r="F2461" s="1" t="str">
        <f ca="1">IFERROR(__xludf.DUMMYFUNCTION("""COMPUTED_VALUE""")," - ")</f>
        <v xml:space="preserve"> - </v>
      </c>
      <c r="G2461" s="1" t="str">
        <f ca="1">IFERROR(__xludf.DUMMYFUNCTION("""COMPUTED_VALUE""")," /  /  / ")</f>
        <v xml:space="preserve"> /  /  / </v>
      </c>
      <c r="H2461" s="1" t="str">
        <f ca="1">IFERROR(__xludf.DUMMYFUNCTION("""COMPUTED_VALUE"""),"  /  /  / ")</f>
        <v xml:space="preserve">  /  /  / </v>
      </c>
    </row>
    <row r="2462" spans="1:8" ht="12.75" x14ac:dyDescent="0.2">
      <c r="A2462" s="1"/>
      <c r="B2462" s="1"/>
      <c r="C2462" s="1"/>
      <c r="D2462" s="1"/>
      <c r="E2462" s="1"/>
      <c r="F2462" s="1" t="str">
        <f ca="1">IFERROR(__xludf.DUMMYFUNCTION("""COMPUTED_VALUE""")," - ")</f>
        <v xml:space="preserve"> - </v>
      </c>
      <c r="G2462" s="1" t="str">
        <f ca="1">IFERROR(__xludf.DUMMYFUNCTION("""COMPUTED_VALUE""")," /  /  / ")</f>
        <v xml:space="preserve"> /  /  / </v>
      </c>
      <c r="H2462" s="1" t="str">
        <f ca="1">IFERROR(__xludf.DUMMYFUNCTION("""COMPUTED_VALUE"""),"  /  /  / ")</f>
        <v xml:space="preserve">  /  /  / </v>
      </c>
    </row>
    <row r="2463" spans="1:8" ht="12.75" x14ac:dyDescent="0.2">
      <c r="A2463" s="1"/>
      <c r="B2463" s="1"/>
      <c r="C2463" s="1"/>
      <c r="D2463" s="1"/>
      <c r="E2463" s="1"/>
      <c r="F2463" s="1" t="str">
        <f ca="1">IFERROR(__xludf.DUMMYFUNCTION("""COMPUTED_VALUE""")," - ")</f>
        <v xml:space="preserve"> - </v>
      </c>
      <c r="G2463" s="1" t="str">
        <f ca="1">IFERROR(__xludf.DUMMYFUNCTION("""COMPUTED_VALUE""")," /  /  / ")</f>
        <v xml:space="preserve"> /  /  / </v>
      </c>
      <c r="H2463" s="1" t="str">
        <f ca="1">IFERROR(__xludf.DUMMYFUNCTION("""COMPUTED_VALUE"""),"  /  /  / ")</f>
        <v xml:space="preserve">  /  /  / </v>
      </c>
    </row>
    <row r="2464" spans="1:8" ht="12.75" x14ac:dyDescent="0.2">
      <c r="A2464" s="1"/>
      <c r="B2464" s="1"/>
      <c r="C2464" s="1"/>
      <c r="D2464" s="1"/>
      <c r="E2464" s="1"/>
      <c r="F2464" s="1" t="str">
        <f ca="1">IFERROR(__xludf.DUMMYFUNCTION("""COMPUTED_VALUE""")," - ")</f>
        <v xml:space="preserve"> - </v>
      </c>
      <c r="G2464" s="1" t="str">
        <f ca="1">IFERROR(__xludf.DUMMYFUNCTION("""COMPUTED_VALUE""")," /  /  / ")</f>
        <v xml:space="preserve"> /  /  / </v>
      </c>
      <c r="H2464" s="1" t="str">
        <f ca="1">IFERROR(__xludf.DUMMYFUNCTION("""COMPUTED_VALUE"""),"  /  /  / ")</f>
        <v xml:space="preserve">  /  /  / </v>
      </c>
    </row>
    <row r="2465" spans="1:8" ht="12.75" x14ac:dyDescent="0.2">
      <c r="A2465" s="1"/>
      <c r="B2465" s="1"/>
      <c r="C2465" s="1"/>
      <c r="D2465" s="1"/>
      <c r="E2465" s="1"/>
      <c r="F2465" s="1" t="str">
        <f ca="1">IFERROR(__xludf.DUMMYFUNCTION("""COMPUTED_VALUE""")," - ")</f>
        <v xml:space="preserve"> - </v>
      </c>
      <c r="G2465" s="1" t="str">
        <f ca="1">IFERROR(__xludf.DUMMYFUNCTION("""COMPUTED_VALUE""")," /  /  / ")</f>
        <v xml:space="preserve"> /  /  / </v>
      </c>
      <c r="H2465" s="1" t="str">
        <f ca="1">IFERROR(__xludf.DUMMYFUNCTION("""COMPUTED_VALUE"""),"  /  /  / ")</f>
        <v xml:space="preserve">  /  /  / </v>
      </c>
    </row>
    <row r="2466" spans="1:8" ht="12.75" x14ac:dyDescent="0.2">
      <c r="A2466" s="1"/>
      <c r="B2466" s="1"/>
      <c r="C2466" s="1"/>
      <c r="D2466" s="1"/>
      <c r="E2466" s="1"/>
      <c r="F2466" s="1" t="str">
        <f ca="1">IFERROR(__xludf.DUMMYFUNCTION("""COMPUTED_VALUE""")," - ")</f>
        <v xml:space="preserve"> - </v>
      </c>
      <c r="G2466" s="1" t="str">
        <f ca="1">IFERROR(__xludf.DUMMYFUNCTION("""COMPUTED_VALUE""")," /  /  / ")</f>
        <v xml:space="preserve"> /  /  / </v>
      </c>
      <c r="H2466" s="1" t="str">
        <f ca="1">IFERROR(__xludf.DUMMYFUNCTION("""COMPUTED_VALUE"""),"  /  /  / ")</f>
        <v xml:space="preserve">  /  /  / </v>
      </c>
    </row>
    <row r="2467" spans="1:8" ht="12.75" x14ac:dyDescent="0.2">
      <c r="A2467" s="1"/>
      <c r="B2467" s="1"/>
      <c r="C2467" s="1"/>
      <c r="D2467" s="1"/>
      <c r="E2467" s="1"/>
      <c r="F2467" s="1" t="str">
        <f ca="1">IFERROR(__xludf.DUMMYFUNCTION("""COMPUTED_VALUE""")," - ")</f>
        <v xml:space="preserve"> - </v>
      </c>
      <c r="G2467" s="1" t="str">
        <f ca="1">IFERROR(__xludf.DUMMYFUNCTION("""COMPUTED_VALUE""")," /  /  / ")</f>
        <v xml:space="preserve"> /  /  / </v>
      </c>
      <c r="H2467" s="1" t="str">
        <f ca="1">IFERROR(__xludf.DUMMYFUNCTION("""COMPUTED_VALUE"""),"  /  /  / ")</f>
        <v xml:space="preserve">  /  /  / </v>
      </c>
    </row>
    <row r="2468" spans="1:8" ht="12.75" x14ac:dyDescent="0.2">
      <c r="A2468" s="1"/>
      <c r="B2468" s="1"/>
      <c r="C2468" s="1"/>
      <c r="D2468" s="1"/>
      <c r="E2468" s="1"/>
      <c r="F2468" s="1" t="str">
        <f ca="1">IFERROR(__xludf.DUMMYFUNCTION("""COMPUTED_VALUE""")," - ")</f>
        <v xml:space="preserve"> - </v>
      </c>
      <c r="G2468" s="1" t="str">
        <f ca="1">IFERROR(__xludf.DUMMYFUNCTION("""COMPUTED_VALUE""")," /  /  / ")</f>
        <v xml:space="preserve"> /  /  / </v>
      </c>
      <c r="H2468" s="1" t="str">
        <f ca="1">IFERROR(__xludf.DUMMYFUNCTION("""COMPUTED_VALUE"""),"  /  /  / ")</f>
        <v xml:space="preserve">  /  /  / </v>
      </c>
    </row>
    <row r="2469" spans="1:8" ht="12.75" x14ac:dyDescent="0.2">
      <c r="A2469" s="1"/>
      <c r="B2469" s="1"/>
      <c r="C2469" s="1"/>
      <c r="D2469" s="1"/>
      <c r="E2469" s="1"/>
      <c r="F2469" s="1" t="str">
        <f ca="1">IFERROR(__xludf.DUMMYFUNCTION("""COMPUTED_VALUE""")," - ")</f>
        <v xml:space="preserve"> - </v>
      </c>
      <c r="G2469" s="1" t="str">
        <f ca="1">IFERROR(__xludf.DUMMYFUNCTION("""COMPUTED_VALUE""")," /  /  / ")</f>
        <v xml:space="preserve"> /  /  / </v>
      </c>
      <c r="H2469" s="1" t="str">
        <f ca="1">IFERROR(__xludf.DUMMYFUNCTION("""COMPUTED_VALUE"""),"  /  /  / ")</f>
        <v xml:space="preserve">  /  /  / </v>
      </c>
    </row>
    <row r="2470" spans="1:8" ht="12.75" x14ac:dyDescent="0.2">
      <c r="A2470" s="1"/>
      <c r="B2470" s="1"/>
      <c r="C2470" s="1"/>
      <c r="D2470" s="1"/>
      <c r="E2470" s="1"/>
      <c r="F2470" s="1" t="str">
        <f ca="1">IFERROR(__xludf.DUMMYFUNCTION("""COMPUTED_VALUE""")," - ")</f>
        <v xml:space="preserve"> - </v>
      </c>
      <c r="G2470" s="1" t="str">
        <f ca="1">IFERROR(__xludf.DUMMYFUNCTION("""COMPUTED_VALUE""")," /  /  / ")</f>
        <v xml:space="preserve"> /  /  / </v>
      </c>
      <c r="H2470" s="1" t="str">
        <f ca="1">IFERROR(__xludf.DUMMYFUNCTION("""COMPUTED_VALUE"""),"  /  /  / ")</f>
        <v xml:space="preserve">  /  /  / </v>
      </c>
    </row>
    <row r="2471" spans="1:8" ht="12.75" x14ac:dyDescent="0.2">
      <c r="A2471" s="1"/>
      <c r="B2471" s="1"/>
      <c r="C2471" s="1"/>
      <c r="D2471" s="1"/>
      <c r="E2471" s="1"/>
      <c r="F2471" s="1" t="str">
        <f ca="1">IFERROR(__xludf.DUMMYFUNCTION("""COMPUTED_VALUE""")," - ")</f>
        <v xml:space="preserve"> - </v>
      </c>
      <c r="G2471" s="1" t="str">
        <f ca="1">IFERROR(__xludf.DUMMYFUNCTION("""COMPUTED_VALUE""")," /  /  / ")</f>
        <v xml:space="preserve"> /  /  / </v>
      </c>
      <c r="H2471" s="1" t="str">
        <f ca="1">IFERROR(__xludf.DUMMYFUNCTION("""COMPUTED_VALUE"""),"  /  /  / ")</f>
        <v xml:space="preserve">  /  /  / </v>
      </c>
    </row>
    <row r="2472" spans="1:8" ht="12.75" x14ac:dyDescent="0.2">
      <c r="A2472" s="1"/>
      <c r="B2472" s="1"/>
      <c r="C2472" s="1"/>
      <c r="D2472" s="1"/>
      <c r="E2472" s="1"/>
      <c r="F2472" s="1" t="str">
        <f ca="1">IFERROR(__xludf.DUMMYFUNCTION("""COMPUTED_VALUE""")," - ")</f>
        <v xml:space="preserve"> - </v>
      </c>
      <c r="G2472" s="1" t="str">
        <f ca="1">IFERROR(__xludf.DUMMYFUNCTION("""COMPUTED_VALUE""")," /  /  / ")</f>
        <v xml:space="preserve"> /  /  / </v>
      </c>
      <c r="H2472" s="1" t="str">
        <f ca="1">IFERROR(__xludf.DUMMYFUNCTION("""COMPUTED_VALUE"""),"  /  /  / ")</f>
        <v xml:space="preserve">  /  /  / </v>
      </c>
    </row>
    <row r="2473" spans="1:8" ht="12.75" x14ac:dyDescent="0.2">
      <c r="A2473" s="1"/>
      <c r="B2473" s="1"/>
      <c r="C2473" s="1"/>
      <c r="D2473" s="1"/>
      <c r="E2473" s="1"/>
      <c r="F2473" s="1" t="str">
        <f ca="1">IFERROR(__xludf.DUMMYFUNCTION("""COMPUTED_VALUE""")," - ")</f>
        <v xml:space="preserve"> - </v>
      </c>
      <c r="G2473" s="1" t="str">
        <f ca="1">IFERROR(__xludf.DUMMYFUNCTION("""COMPUTED_VALUE""")," /  /  / ")</f>
        <v xml:space="preserve"> /  /  / </v>
      </c>
      <c r="H2473" s="1" t="str">
        <f ca="1">IFERROR(__xludf.DUMMYFUNCTION("""COMPUTED_VALUE"""),"  /  /  / ")</f>
        <v xml:space="preserve">  /  /  / </v>
      </c>
    </row>
    <row r="2474" spans="1:8" ht="12.75" x14ac:dyDescent="0.2">
      <c r="A2474" s="1"/>
      <c r="B2474" s="1"/>
      <c r="C2474" s="1"/>
      <c r="D2474" s="1"/>
      <c r="E2474" s="1"/>
      <c r="F2474" s="1" t="str">
        <f ca="1">IFERROR(__xludf.DUMMYFUNCTION("""COMPUTED_VALUE""")," - ")</f>
        <v xml:space="preserve"> - </v>
      </c>
      <c r="G2474" s="1" t="str">
        <f ca="1">IFERROR(__xludf.DUMMYFUNCTION("""COMPUTED_VALUE""")," /  /  / ")</f>
        <v xml:space="preserve"> /  /  / </v>
      </c>
      <c r="H2474" s="1" t="str">
        <f ca="1">IFERROR(__xludf.DUMMYFUNCTION("""COMPUTED_VALUE"""),"  /  /  / ")</f>
        <v xml:space="preserve">  /  /  / </v>
      </c>
    </row>
    <row r="2475" spans="1:8" ht="12.75" x14ac:dyDescent="0.2">
      <c r="A2475" s="1"/>
      <c r="B2475" s="1"/>
      <c r="C2475" s="1"/>
      <c r="D2475" s="1"/>
      <c r="E2475" s="1"/>
      <c r="F2475" s="1" t="str">
        <f ca="1">IFERROR(__xludf.DUMMYFUNCTION("""COMPUTED_VALUE""")," - ")</f>
        <v xml:space="preserve"> - </v>
      </c>
      <c r="G2475" s="1" t="str">
        <f ca="1">IFERROR(__xludf.DUMMYFUNCTION("""COMPUTED_VALUE""")," /  /  / ")</f>
        <v xml:space="preserve"> /  /  / </v>
      </c>
      <c r="H2475" s="1" t="str">
        <f ca="1">IFERROR(__xludf.DUMMYFUNCTION("""COMPUTED_VALUE"""),"  /  /  / ")</f>
        <v xml:space="preserve">  /  /  / </v>
      </c>
    </row>
    <row r="2476" spans="1:8" ht="12.75" x14ac:dyDescent="0.2">
      <c r="A2476" s="1"/>
      <c r="B2476" s="1"/>
      <c r="C2476" s="1"/>
      <c r="D2476" s="1"/>
      <c r="E2476" s="1"/>
      <c r="F2476" s="1" t="str">
        <f ca="1">IFERROR(__xludf.DUMMYFUNCTION("""COMPUTED_VALUE""")," - ")</f>
        <v xml:space="preserve"> - </v>
      </c>
      <c r="G2476" s="1" t="str">
        <f ca="1">IFERROR(__xludf.DUMMYFUNCTION("""COMPUTED_VALUE""")," /  /  / ")</f>
        <v xml:space="preserve"> /  /  / </v>
      </c>
      <c r="H2476" s="1" t="str">
        <f ca="1">IFERROR(__xludf.DUMMYFUNCTION("""COMPUTED_VALUE"""),"  /  /  / ")</f>
        <v xml:space="preserve">  /  /  / </v>
      </c>
    </row>
    <row r="2477" spans="1:8" ht="12.75" x14ac:dyDescent="0.2">
      <c r="A2477" s="1"/>
      <c r="B2477" s="1"/>
      <c r="C2477" s="1"/>
      <c r="D2477" s="1"/>
      <c r="E2477" s="1"/>
      <c r="F2477" s="1" t="str">
        <f ca="1">IFERROR(__xludf.DUMMYFUNCTION("""COMPUTED_VALUE""")," - ")</f>
        <v xml:space="preserve"> - </v>
      </c>
      <c r="G2477" s="1" t="str">
        <f ca="1">IFERROR(__xludf.DUMMYFUNCTION("""COMPUTED_VALUE""")," /  /  / ")</f>
        <v xml:space="preserve"> /  /  / </v>
      </c>
      <c r="H2477" s="1" t="str">
        <f ca="1">IFERROR(__xludf.DUMMYFUNCTION("""COMPUTED_VALUE"""),"  /  /  / ")</f>
        <v xml:space="preserve">  /  /  / </v>
      </c>
    </row>
    <row r="2478" spans="1:8" ht="12.75" x14ac:dyDescent="0.2">
      <c r="A2478" s="1"/>
      <c r="B2478" s="1"/>
      <c r="C2478" s="1"/>
      <c r="D2478" s="1"/>
      <c r="E2478" s="1"/>
      <c r="F2478" s="1" t="str">
        <f ca="1">IFERROR(__xludf.DUMMYFUNCTION("""COMPUTED_VALUE""")," - ")</f>
        <v xml:space="preserve"> - </v>
      </c>
      <c r="G2478" s="1" t="str">
        <f ca="1">IFERROR(__xludf.DUMMYFUNCTION("""COMPUTED_VALUE""")," /  /  / ")</f>
        <v xml:space="preserve"> /  /  / </v>
      </c>
      <c r="H2478" s="1" t="str">
        <f ca="1">IFERROR(__xludf.DUMMYFUNCTION("""COMPUTED_VALUE"""),"  /  /  / ")</f>
        <v xml:space="preserve">  /  /  / </v>
      </c>
    </row>
    <row r="2479" spans="1:8" ht="12.75" x14ac:dyDescent="0.2">
      <c r="A2479" s="1"/>
      <c r="B2479" s="1"/>
      <c r="C2479" s="1"/>
      <c r="D2479" s="1"/>
      <c r="E2479" s="1"/>
      <c r="F2479" s="1" t="str">
        <f ca="1">IFERROR(__xludf.DUMMYFUNCTION("""COMPUTED_VALUE""")," - ")</f>
        <v xml:space="preserve"> - </v>
      </c>
      <c r="G2479" s="1" t="str">
        <f ca="1">IFERROR(__xludf.DUMMYFUNCTION("""COMPUTED_VALUE""")," /  /  / ")</f>
        <v xml:space="preserve"> /  /  / </v>
      </c>
      <c r="H2479" s="1" t="str">
        <f ca="1">IFERROR(__xludf.DUMMYFUNCTION("""COMPUTED_VALUE"""),"  /  /  / ")</f>
        <v xml:space="preserve">  /  /  / </v>
      </c>
    </row>
    <row r="2480" spans="1:8" ht="12.75" x14ac:dyDescent="0.2">
      <c r="A2480" s="1"/>
      <c r="B2480" s="1"/>
      <c r="C2480" s="1"/>
      <c r="D2480" s="1"/>
      <c r="E2480" s="1"/>
      <c r="F2480" s="1" t="str">
        <f ca="1">IFERROR(__xludf.DUMMYFUNCTION("""COMPUTED_VALUE""")," - ")</f>
        <v xml:space="preserve"> - </v>
      </c>
      <c r="G2480" s="1" t="str">
        <f ca="1">IFERROR(__xludf.DUMMYFUNCTION("""COMPUTED_VALUE""")," /  /  / ")</f>
        <v xml:space="preserve"> /  /  / </v>
      </c>
      <c r="H2480" s="1" t="str">
        <f ca="1">IFERROR(__xludf.DUMMYFUNCTION("""COMPUTED_VALUE"""),"  /  /  / ")</f>
        <v xml:space="preserve">  /  /  / </v>
      </c>
    </row>
    <row r="2481" spans="1:8" ht="12.75" x14ac:dyDescent="0.2">
      <c r="A2481" s="1"/>
      <c r="B2481" s="1"/>
      <c r="C2481" s="1"/>
      <c r="D2481" s="1"/>
      <c r="E2481" s="1"/>
      <c r="F2481" s="1" t="str">
        <f ca="1">IFERROR(__xludf.DUMMYFUNCTION("""COMPUTED_VALUE""")," - ")</f>
        <v xml:space="preserve"> - </v>
      </c>
      <c r="G2481" s="1" t="str">
        <f ca="1">IFERROR(__xludf.DUMMYFUNCTION("""COMPUTED_VALUE""")," /  /  / ")</f>
        <v xml:space="preserve"> /  /  / </v>
      </c>
      <c r="H2481" s="1" t="str">
        <f ca="1">IFERROR(__xludf.DUMMYFUNCTION("""COMPUTED_VALUE"""),"  /  /  / ")</f>
        <v xml:space="preserve">  /  /  / </v>
      </c>
    </row>
    <row r="2482" spans="1:8" ht="12.75" x14ac:dyDescent="0.2">
      <c r="A2482" s="1"/>
      <c r="B2482" s="1"/>
      <c r="C2482" s="1"/>
      <c r="D2482" s="1"/>
      <c r="E2482" s="1"/>
      <c r="F2482" s="1" t="str">
        <f ca="1">IFERROR(__xludf.DUMMYFUNCTION("""COMPUTED_VALUE""")," - ")</f>
        <v xml:space="preserve"> - </v>
      </c>
      <c r="G2482" s="1" t="str">
        <f ca="1">IFERROR(__xludf.DUMMYFUNCTION("""COMPUTED_VALUE""")," /  /  / ")</f>
        <v xml:space="preserve"> /  /  / </v>
      </c>
      <c r="H2482" s="1" t="str">
        <f ca="1">IFERROR(__xludf.DUMMYFUNCTION("""COMPUTED_VALUE"""),"  /  /  / ")</f>
        <v xml:space="preserve">  /  /  / </v>
      </c>
    </row>
    <row r="2483" spans="1:8" ht="12.75" x14ac:dyDescent="0.2">
      <c r="A2483" s="1"/>
      <c r="B2483" s="1"/>
      <c r="C2483" s="1"/>
      <c r="D2483" s="1"/>
      <c r="E2483" s="1"/>
      <c r="F2483" s="1" t="str">
        <f ca="1">IFERROR(__xludf.DUMMYFUNCTION("""COMPUTED_VALUE""")," - ")</f>
        <v xml:space="preserve"> - </v>
      </c>
      <c r="G2483" s="1" t="str">
        <f ca="1">IFERROR(__xludf.DUMMYFUNCTION("""COMPUTED_VALUE""")," /  /  / ")</f>
        <v xml:space="preserve"> /  /  / </v>
      </c>
      <c r="H2483" s="1" t="str">
        <f ca="1">IFERROR(__xludf.DUMMYFUNCTION("""COMPUTED_VALUE"""),"  /  /  / ")</f>
        <v xml:space="preserve">  /  /  / </v>
      </c>
    </row>
    <row r="2484" spans="1:8" ht="12.75" x14ac:dyDescent="0.2">
      <c r="A2484" s="1"/>
      <c r="B2484" s="1"/>
      <c r="C2484" s="1"/>
      <c r="D2484" s="1"/>
      <c r="E2484" s="1"/>
      <c r="F2484" s="1" t="str">
        <f ca="1">IFERROR(__xludf.DUMMYFUNCTION("""COMPUTED_VALUE""")," - ")</f>
        <v xml:space="preserve"> - </v>
      </c>
      <c r="G2484" s="1" t="str">
        <f ca="1">IFERROR(__xludf.DUMMYFUNCTION("""COMPUTED_VALUE""")," /  /  / ")</f>
        <v xml:space="preserve"> /  /  / </v>
      </c>
      <c r="H2484" s="1" t="str">
        <f ca="1">IFERROR(__xludf.DUMMYFUNCTION("""COMPUTED_VALUE"""),"  /  /  / ")</f>
        <v xml:space="preserve">  /  /  / </v>
      </c>
    </row>
    <row r="2485" spans="1:8" ht="12.75" x14ac:dyDescent="0.2">
      <c r="A2485" s="1"/>
      <c r="B2485" s="1"/>
      <c r="C2485" s="1"/>
      <c r="D2485" s="1"/>
      <c r="E2485" s="1"/>
      <c r="F2485" s="1" t="str">
        <f ca="1">IFERROR(__xludf.DUMMYFUNCTION("""COMPUTED_VALUE""")," - ")</f>
        <v xml:space="preserve"> - </v>
      </c>
      <c r="G2485" s="1" t="str">
        <f ca="1">IFERROR(__xludf.DUMMYFUNCTION("""COMPUTED_VALUE""")," /  /  / ")</f>
        <v xml:space="preserve"> /  /  / </v>
      </c>
      <c r="H2485" s="1" t="str">
        <f ca="1">IFERROR(__xludf.DUMMYFUNCTION("""COMPUTED_VALUE"""),"  /  /  / ")</f>
        <v xml:space="preserve">  /  /  / </v>
      </c>
    </row>
    <row r="2486" spans="1:8" ht="12.75" x14ac:dyDescent="0.2">
      <c r="A2486" s="1"/>
      <c r="B2486" s="1"/>
      <c r="C2486" s="1"/>
      <c r="D2486" s="1"/>
      <c r="E2486" s="1"/>
      <c r="F2486" s="1" t="str">
        <f ca="1">IFERROR(__xludf.DUMMYFUNCTION("""COMPUTED_VALUE""")," - ")</f>
        <v xml:space="preserve"> - </v>
      </c>
      <c r="G2486" s="1" t="str">
        <f ca="1">IFERROR(__xludf.DUMMYFUNCTION("""COMPUTED_VALUE""")," /  /  / ")</f>
        <v xml:space="preserve"> /  /  / </v>
      </c>
      <c r="H2486" s="1" t="str">
        <f ca="1">IFERROR(__xludf.DUMMYFUNCTION("""COMPUTED_VALUE"""),"  /  /  / ")</f>
        <v xml:space="preserve">  /  /  / </v>
      </c>
    </row>
    <row r="2487" spans="1:8" ht="12.75" x14ac:dyDescent="0.2">
      <c r="A2487" s="1"/>
      <c r="B2487" s="1"/>
      <c r="C2487" s="1"/>
      <c r="D2487" s="1"/>
      <c r="E2487" s="1"/>
      <c r="F2487" s="1" t="str">
        <f ca="1">IFERROR(__xludf.DUMMYFUNCTION("""COMPUTED_VALUE""")," - ")</f>
        <v xml:space="preserve"> - </v>
      </c>
      <c r="G2487" s="1" t="str">
        <f ca="1">IFERROR(__xludf.DUMMYFUNCTION("""COMPUTED_VALUE""")," /  /  / ")</f>
        <v xml:space="preserve"> /  /  / </v>
      </c>
      <c r="H2487" s="1" t="str">
        <f ca="1">IFERROR(__xludf.DUMMYFUNCTION("""COMPUTED_VALUE"""),"  /  /  / ")</f>
        <v xml:space="preserve">  /  /  / </v>
      </c>
    </row>
    <row r="2488" spans="1:8" ht="12.75" x14ac:dyDescent="0.2">
      <c r="A2488" s="1"/>
      <c r="B2488" s="1"/>
      <c r="C2488" s="1"/>
      <c r="D2488" s="1"/>
      <c r="E2488" s="1"/>
      <c r="F2488" s="1" t="str">
        <f ca="1">IFERROR(__xludf.DUMMYFUNCTION("""COMPUTED_VALUE""")," - ")</f>
        <v xml:space="preserve"> - </v>
      </c>
      <c r="G2488" s="1" t="str">
        <f ca="1">IFERROR(__xludf.DUMMYFUNCTION("""COMPUTED_VALUE""")," /  /  / ")</f>
        <v xml:space="preserve"> /  /  / </v>
      </c>
      <c r="H2488" s="1" t="str">
        <f ca="1">IFERROR(__xludf.DUMMYFUNCTION("""COMPUTED_VALUE"""),"  /  /  / ")</f>
        <v xml:space="preserve">  /  /  / </v>
      </c>
    </row>
    <row r="2489" spans="1:8" ht="12.75" x14ac:dyDescent="0.2">
      <c r="A2489" s="1"/>
      <c r="B2489" s="1"/>
      <c r="C2489" s="1"/>
      <c r="D2489" s="1"/>
      <c r="E2489" s="1"/>
      <c r="F2489" s="1" t="str">
        <f ca="1">IFERROR(__xludf.DUMMYFUNCTION("""COMPUTED_VALUE""")," - ")</f>
        <v xml:space="preserve"> - </v>
      </c>
      <c r="G2489" s="1" t="str">
        <f ca="1">IFERROR(__xludf.DUMMYFUNCTION("""COMPUTED_VALUE""")," /  /  / ")</f>
        <v xml:space="preserve"> /  /  / </v>
      </c>
      <c r="H2489" s="1" t="str">
        <f ca="1">IFERROR(__xludf.DUMMYFUNCTION("""COMPUTED_VALUE"""),"  /  /  / ")</f>
        <v xml:space="preserve">  /  /  / </v>
      </c>
    </row>
    <row r="2490" spans="1:8" ht="12.75" x14ac:dyDescent="0.2">
      <c r="A2490" s="1"/>
      <c r="B2490" s="1"/>
      <c r="C2490" s="1"/>
      <c r="D2490" s="1"/>
      <c r="E2490" s="1"/>
      <c r="F2490" s="1" t="str">
        <f ca="1">IFERROR(__xludf.DUMMYFUNCTION("""COMPUTED_VALUE""")," - ")</f>
        <v xml:space="preserve"> - </v>
      </c>
      <c r="G2490" s="1" t="str">
        <f ca="1">IFERROR(__xludf.DUMMYFUNCTION("""COMPUTED_VALUE""")," /  /  / ")</f>
        <v xml:space="preserve"> /  /  / </v>
      </c>
      <c r="H2490" s="1" t="str">
        <f ca="1">IFERROR(__xludf.DUMMYFUNCTION("""COMPUTED_VALUE"""),"  /  /  / ")</f>
        <v xml:space="preserve">  /  /  / </v>
      </c>
    </row>
    <row r="2491" spans="1:8" ht="12.75" x14ac:dyDescent="0.2">
      <c r="A2491" s="1"/>
      <c r="B2491" s="1"/>
      <c r="C2491" s="1"/>
      <c r="D2491" s="1"/>
      <c r="E2491" s="1"/>
      <c r="F2491" s="1" t="str">
        <f ca="1">IFERROR(__xludf.DUMMYFUNCTION("""COMPUTED_VALUE""")," - ")</f>
        <v xml:space="preserve"> - </v>
      </c>
      <c r="G2491" s="1" t="str">
        <f ca="1">IFERROR(__xludf.DUMMYFUNCTION("""COMPUTED_VALUE""")," /  /  / ")</f>
        <v xml:space="preserve"> /  /  / </v>
      </c>
      <c r="H2491" s="1" t="str">
        <f ca="1">IFERROR(__xludf.DUMMYFUNCTION("""COMPUTED_VALUE"""),"  /  /  / ")</f>
        <v xml:space="preserve">  /  /  / </v>
      </c>
    </row>
    <row r="2492" spans="1:8" ht="12.75" x14ac:dyDescent="0.2">
      <c r="A2492" s="1"/>
      <c r="B2492" s="1"/>
      <c r="C2492" s="1"/>
      <c r="D2492" s="1"/>
      <c r="E2492" s="1"/>
      <c r="F2492" s="1" t="str">
        <f ca="1">IFERROR(__xludf.DUMMYFUNCTION("""COMPUTED_VALUE""")," - ")</f>
        <v xml:space="preserve"> - </v>
      </c>
      <c r="G2492" s="1" t="str">
        <f ca="1">IFERROR(__xludf.DUMMYFUNCTION("""COMPUTED_VALUE""")," /  /  / ")</f>
        <v xml:space="preserve"> /  /  / </v>
      </c>
      <c r="H2492" s="1" t="str">
        <f ca="1">IFERROR(__xludf.DUMMYFUNCTION("""COMPUTED_VALUE"""),"  /  /  / ")</f>
        <v xml:space="preserve">  /  /  / </v>
      </c>
    </row>
    <row r="2493" spans="1:8" ht="12.75" x14ac:dyDescent="0.2">
      <c r="A2493" s="1"/>
      <c r="B2493" s="1"/>
      <c r="C2493" s="1"/>
      <c r="D2493" s="1"/>
      <c r="E2493" s="1"/>
      <c r="F2493" s="1" t="str">
        <f ca="1">IFERROR(__xludf.DUMMYFUNCTION("""COMPUTED_VALUE""")," - ")</f>
        <v xml:space="preserve"> - </v>
      </c>
      <c r="G2493" s="1" t="str">
        <f ca="1">IFERROR(__xludf.DUMMYFUNCTION("""COMPUTED_VALUE""")," /  /  / ")</f>
        <v xml:space="preserve"> /  /  / </v>
      </c>
      <c r="H2493" s="1" t="str">
        <f ca="1">IFERROR(__xludf.DUMMYFUNCTION("""COMPUTED_VALUE"""),"  /  /  / ")</f>
        <v xml:space="preserve">  /  /  / </v>
      </c>
    </row>
    <row r="2494" spans="1:8" ht="12.75" x14ac:dyDescent="0.2">
      <c r="A2494" s="1"/>
      <c r="B2494" s="1"/>
      <c r="C2494" s="1"/>
      <c r="D2494" s="1"/>
      <c r="E2494" s="1"/>
      <c r="F2494" s="1" t="str">
        <f ca="1">IFERROR(__xludf.DUMMYFUNCTION("""COMPUTED_VALUE""")," - ")</f>
        <v xml:space="preserve"> - </v>
      </c>
      <c r="G2494" s="1" t="str">
        <f ca="1">IFERROR(__xludf.DUMMYFUNCTION("""COMPUTED_VALUE""")," /  /  / ")</f>
        <v xml:space="preserve"> /  /  / </v>
      </c>
      <c r="H2494" s="1" t="str">
        <f ca="1">IFERROR(__xludf.DUMMYFUNCTION("""COMPUTED_VALUE"""),"  /  /  / ")</f>
        <v xml:space="preserve">  /  /  / </v>
      </c>
    </row>
    <row r="2495" spans="1:8" ht="12.75" x14ac:dyDescent="0.2">
      <c r="A2495" s="1"/>
      <c r="B2495" s="1"/>
      <c r="C2495" s="1"/>
      <c r="D2495" s="1"/>
      <c r="E2495" s="1"/>
      <c r="F2495" s="1" t="str">
        <f ca="1">IFERROR(__xludf.DUMMYFUNCTION("""COMPUTED_VALUE""")," - ")</f>
        <v xml:space="preserve"> - </v>
      </c>
      <c r="G2495" s="1" t="str">
        <f ca="1">IFERROR(__xludf.DUMMYFUNCTION("""COMPUTED_VALUE""")," /  /  / ")</f>
        <v xml:space="preserve"> /  /  / </v>
      </c>
      <c r="H2495" s="1" t="str">
        <f ca="1">IFERROR(__xludf.DUMMYFUNCTION("""COMPUTED_VALUE"""),"  /  /  / ")</f>
        <v xml:space="preserve">  /  /  / </v>
      </c>
    </row>
    <row r="2496" spans="1:8" ht="12.75" x14ac:dyDescent="0.2">
      <c r="A2496" s="1"/>
      <c r="B2496" s="1"/>
      <c r="C2496" s="1"/>
      <c r="D2496" s="1"/>
      <c r="E2496" s="1"/>
      <c r="F2496" s="1" t="str">
        <f ca="1">IFERROR(__xludf.DUMMYFUNCTION("""COMPUTED_VALUE""")," - ")</f>
        <v xml:space="preserve"> - </v>
      </c>
      <c r="G2496" s="1" t="str">
        <f ca="1">IFERROR(__xludf.DUMMYFUNCTION("""COMPUTED_VALUE""")," /  /  / ")</f>
        <v xml:space="preserve"> /  /  / </v>
      </c>
      <c r="H2496" s="1" t="str">
        <f ca="1">IFERROR(__xludf.DUMMYFUNCTION("""COMPUTED_VALUE"""),"  /  /  / ")</f>
        <v xml:space="preserve">  /  /  / </v>
      </c>
    </row>
    <row r="2497" spans="1:8" ht="12.75" x14ac:dyDescent="0.2">
      <c r="A2497" s="1"/>
      <c r="B2497" s="1"/>
      <c r="C2497" s="1"/>
      <c r="D2497" s="1"/>
      <c r="E2497" s="1"/>
      <c r="F2497" s="1" t="str">
        <f ca="1">IFERROR(__xludf.DUMMYFUNCTION("""COMPUTED_VALUE""")," - ")</f>
        <v xml:space="preserve"> - </v>
      </c>
      <c r="G2497" s="1" t="str">
        <f ca="1">IFERROR(__xludf.DUMMYFUNCTION("""COMPUTED_VALUE""")," /  /  / ")</f>
        <v xml:space="preserve"> /  /  / </v>
      </c>
      <c r="H2497" s="1" t="str">
        <f ca="1">IFERROR(__xludf.DUMMYFUNCTION("""COMPUTED_VALUE"""),"  /  /  / ")</f>
        <v xml:space="preserve">  /  /  / </v>
      </c>
    </row>
    <row r="2498" spans="1:8" ht="12.75" x14ac:dyDescent="0.2">
      <c r="A2498" s="1"/>
      <c r="B2498" s="1"/>
      <c r="C2498" s="1"/>
      <c r="D2498" s="1"/>
      <c r="E2498" s="1"/>
      <c r="F2498" s="1" t="str">
        <f ca="1">IFERROR(__xludf.DUMMYFUNCTION("""COMPUTED_VALUE""")," - ")</f>
        <v xml:space="preserve"> - </v>
      </c>
      <c r="G2498" s="1" t="str">
        <f ca="1">IFERROR(__xludf.DUMMYFUNCTION("""COMPUTED_VALUE""")," /  /  / ")</f>
        <v xml:space="preserve"> /  /  / </v>
      </c>
      <c r="H2498" s="1" t="str">
        <f ca="1">IFERROR(__xludf.DUMMYFUNCTION("""COMPUTED_VALUE"""),"  /  /  / ")</f>
        <v xml:space="preserve">  /  /  / </v>
      </c>
    </row>
    <row r="2499" spans="1:8" ht="12.75" x14ac:dyDescent="0.2">
      <c r="A2499" s="1"/>
      <c r="B2499" s="1"/>
      <c r="C2499" s="1"/>
      <c r="D2499" s="1"/>
      <c r="E2499" s="1"/>
      <c r="F2499" s="1" t="str">
        <f ca="1">IFERROR(__xludf.DUMMYFUNCTION("""COMPUTED_VALUE""")," - ")</f>
        <v xml:space="preserve"> - </v>
      </c>
      <c r="G2499" s="1" t="str">
        <f ca="1">IFERROR(__xludf.DUMMYFUNCTION("""COMPUTED_VALUE""")," /  /  / ")</f>
        <v xml:space="preserve"> /  /  / </v>
      </c>
      <c r="H2499" s="1" t="str">
        <f ca="1">IFERROR(__xludf.DUMMYFUNCTION("""COMPUTED_VALUE"""),"  /  /  / ")</f>
        <v xml:space="preserve">  /  /  / </v>
      </c>
    </row>
    <row r="2500" spans="1:8" ht="12.75" x14ac:dyDescent="0.2">
      <c r="A2500" s="1"/>
      <c r="B2500" s="1"/>
      <c r="C2500" s="1"/>
      <c r="D2500" s="1"/>
      <c r="E2500" s="1"/>
      <c r="F2500" s="1" t="str">
        <f ca="1">IFERROR(__xludf.DUMMYFUNCTION("""COMPUTED_VALUE""")," - ")</f>
        <v xml:space="preserve"> - </v>
      </c>
      <c r="G2500" s="1" t="str">
        <f ca="1">IFERROR(__xludf.DUMMYFUNCTION("""COMPUTED_VALUE""")," /  /  / ")</f>
        <v xml:space="preserve"> /  /  / </v>
      </c>
      <c r="H2500" s="1" t="str">
        <f ca="1">IFERROR(__xludf.DUMMYFUNCTION("""COMPUTED_VALUE"""),"  /  /  / ")</f>
        <v xml:space="preserve">  /  /  / </v>
      </c>
    </row>
    <row r="2501" spans="1:8" ht="12.75" x14ac:dyDescent="0.2">
      <c r="A2501" s="1"/>
      <c r="B2501" s="1"/>
      <c r="C2501" s="1"/>
      <c r="D2501" s="1"/>
      <c r="E2501" s="1"/>
      <c r="F2501" s="1" t="str">
        <f ca="1">IFERROR(__xludf.DUMMYFUNCTION("""COMPUTED_VALUE""")," - ")</f>
        <v xml:space="preserve"> - </v>
      </c>
      <c r="G2501" s="1" t="str">
        <f ca="1">IFERROR(__xludf.DUMMYFUNCTION("""COMPUTED_VALUE""")," /  /  / ")</f>
        <v xml:space="preserve"> /  /  / </v>
      </c>
      <c r="H2501" s="1" t="str">
        <f ca="1">IFERROR(__xludf.DUMMYFUNCTION("""COMPUTED_VALUE"""),"  /  /  / ")</f>
        <v xml:space="preserve">  /  /  / </v>
      </c>
    </row>
    <row r="2502" spans="1:8" ht="12.75" x14ac:dyDescent="0.2">
      <c r="A2502" s="1"/>
      <c r="B2502" s="1"/>
      <c r="C2502" s="1"/>
      <c r="D2502" s="1"/>
      <c r="E2502" s="1"/>
      <c r="F2502" s="1" t="str">
        <f ca="1">IFERROR(__xludf.DUMMYFUNCTION("""COMPUTED_VALUE""")," - ")</f>
        <v xml:space="preserve"> - </v>
      </c>
      <c r="G2502" s="1" t="str">
        <f ca="1">IFERROR(__xludf.DUMMYFUNCTION("""COMPUTED_VALUE""")," /  /  / ")</f>
        <v xml:space="preserve"> /  /  / </v>
      </c>
      <c r="H2502" s="1" t="str">
        <f ca="1">IFERROR(__xludf.DUMMYFUNCTION("""COMPUTED_VALUE"""),"  /  /  / ")</f>
        <v xml:space="preserve">  /  /  / </v>
      </c>
    </row>
    <row r="2503" spans="1:8" ht="12.75" x14ac:dyDescent="0.2">
      <c r="A2503" s="1"/>
      <c r="B2503" s="1"/>
      <c r="C2503" s="1"/>
      <c r="D2503" s="1"/>
      <c r="E2503" s="1"/>
      <c r="F2503" s="1" t="str">
        <f ca="1">IFERROR(__xludf.DUMMYFUNCTION("""COMPUTED_VALUE""")," - ")</f>
        <v xml:space="preserve"> - </v>
      </c>
      <c r="G2503" s="1" t="str">
        <f ca="1">IFERROR(__xludf.DUMMYFUNCTION("""COMPUTED_VALUE""")," /  /  / ")</f>
        <v xml:space="preserve"> /  /  / </v>
      </c>
      <c r="H2503" s="1" t="str">
        <f ca="1">IFERROR(__xludf.DUMMYFUNCTION("""COMPUTED_VALUE"""),"  /  /  / ")</f>
        <v xml:space="preserve">  /  /  / </v>
      </c>
    </row>
    <row r="2504" spans="1:8" ht="12.75" x14ac:dyDescent="0.2">
      <c r="A2504" s="1"/>
      <c r="B2504" s="1"/>
      <c r="C2504" s="1"/>
      <c r="D2504" s="1"/>
      <c r="E2504" s="1"/>
      <c r="F2504" s="1" t="str">
        <f ca="1">IFERROR(__xludf.DUMMYFUNCTION("""COMPUTED_VALUE""")," - ")</f>
        <v xml:space="preserve"> - </v>
      </c>
      <c r="G2504" s="1" t="str">
        <f ca="1">IFERROR(__xludf.DUMMYFUNCTION("""COMPUTED_VALUE""")," /  /  / ")</f>
        <v xml:space="preserve"> /  /  / </v>
      </c>
      <c r="H2504" s="1" t="str">
        <f ca="1">IFERROR(__xludf.DUMMYFUNCTION("""COMPUTED_VALUE"""),"  /  /  / ")</f>
        <v xml:space="preserve">  /  /  / </v>
      </c>
    </row>
    <row r="2505" spans="1:8" ht="12.75" x14ac:dyDescent="0.2">
      <c r="A2505" s="1"/>
      <c r="B2505" s="1"/>
      <c r="C2505" s="1"/>
      <c r="D2505" s="1"/>
      <c r="E2505" s="1"/>
      <c r="F2505" s="1" t="str">
        <f ca="1">IFERROR(__xludf.DUMMYFUNCTION("""COMPUTED_VALUE""")," - ")</f>
        <v xml:space="preserve"> - </v>
      </c>
      <c r="G2505" s="1" t="str">
        <f ca="1">IFERROR(__xludf.DUMMYFUNCTION("""COMPUTED_VALUE""")," /  /  / ")</f>
        <v xml:space="preserve"> /  /  / </v>
      </c>
      <c r="H2505" s="1" t="str">
        <f ca="1">IFERROR(__xludf.DUMMYFUNCTION("""COMPUTED_VALUE"""),"  /  /  / ")</f>
        <v xml:space="preserve">  /  /  / </v>
      </c>
    </row>
    <row r="2506" spans="1:8" ht="12.75" x14ac:dyDescent="0.2">
      <c r="A2506" s="1"/>
      <c r="B2506" s="1"/>
      <c r="C2506" s="1"/>
      <c r="D2506" s="1"/>
      <c r="E2506" s="1"/>
      <c r="F2506" s="1" t="str">
        <f ca="1">IFERROR(__xludf.DUMMYFUNCTION("""COMPUTED_VALUE""")," - ")</f>
        <v xml:space="preserve"> - </v>
      </c>
      <c r="G2506" s="1" t="str">
        <f ca="1">IFERROR(__xludf.DUMMYFUNCTION("""COMPUTED_VALUE""")," /  /  / ")</f>
        <v xml:space="preserve"> /  /  / </v>
      </c>
      <c r="H2506" s="1" t="str">
        <f ca="1">IFERROR(__xludf.DUMMYFUNCTION("""COMPUTED_VALUE"""),"  /  /  / ")</f>
        <v xml:space="preserve">  /  /  / </v>
      </c>
    </row>
    <row r="2507" spans="1:8" ht="12.75" x14ac:dyDescent="0.2">
      <c r="A2507" s="1"/>
      <c r="B2507" s="1"/>
      <c r="C2507" s="1"/>
      <c r="D2507" s="1"/>
      <c r="E2507" s="1"/>
      <c r="F2507" s="1" t="str">
        <f ca="1">IFERROR(__xludf.DUMMYFUNCTION("""COMPUTED_VALUE""")," - ")</f>
        <v xml:space="preserve"> - </v>
      </c>
      <c r="G2507" s="1" t="str">
        <f ca="1">IFERROR(__xludf.DUMMYFUNCTION("""COMPUTED_VALUE""")," /  /  / ")</f>
        <v xml:space="preserve"> /  /  / </v>
      </c>
      <c r="H2507" s="1" t="str">
        <f ca="1">IFERROR(__xludf.DUMMYFUNCTION("""COMPUTED_VALUE"""),"  /  /  / ")</f>
        <v xml:space="preserve">  /  /  / </v>
      </c>
    </row>
    <row r="2508" spans="1:8" ht="12.75" x14ac:dyDescent="0.2">
      <c r="A2508" s="1"/>
      <c r="B2508" s="1"/>
      <c r="C2508" s="1"/>
      <c r="D2508" s="1"/>
      <c r="E2508" s="1"/>
      <c r="F2508" s="1" t="str">
        <f ca="1">IFERROR(__xludf.DUMMYFUNCTION("""COMPUTED_VALUE""")," - ")</f>
        <v xml:space="preserve"> - </v>
      </c>
      <c r="G2508" s="1" t="str">
        <f ca="1">IFERROR(__xludf.DUMMYFUNCTION("""COMPUTED_VALUE""")," /  /  / ")</f>
        <v xml:space="preserve"> /  /  / </v>
      </c>
      <c r="H2508" s="1" t="str">
        <f ca="1">IFERROR(__xludf.DUMMYFUNCTION("""COMPUTED_VALUE"""),"  /  /  / ")</f>
        <v xml:space="preserve">  /  /  / </v>
      </c>
    </row>
    <row r="2509" spans="1:8" ht="12.75" x14ac:dyDescent="0.2">
      <c r="A2509" s="1"/>
      <c r="B2509" s="1"/>
      <c r="C2509" s="1"/>
      <c r="D2509" s="1"/>
      <c r="E2509" s="1"/>
      <c r="F2509" s="1" t="str">
        <f ca="1">IFERROR(__xludf.DUMMYFUNCTION("""COMPUTED_VALUE""")," - ")</f>
        <v xml:space="preserve"> - </v>
      </c>
      <c r="G2509" s="1" t="str">
        <f ca="1">IFERROR(__xludf.DUMMYFUNCTION("""COMPUTED_VALUE""")," /  /  / ")</f>
        <v xml:space="preserve"> /  /  / </v>
      </c>
      <c r="H2509" s="1" t="str">
        <f ca="1">IFERROR(__xludf.DUMMYFUNCTION("""COMPUTED_VALUE"""),"  /  /  / ")</f>
        <v xml:space="preserve">  /  /  / </v>
      </c>
    </row>
    <row r="2510" spans="1:8" ht="12.75" x14ac:dyDescent="0.2">
      <c r="A2510" s="1"/>
      <c r="B2510" s="1"/>
      <c r="C2510" s="1"/>
      <c r="D2510" s="1"/>
      <c r="E2510" s="1"/>
      <c r="F2510" s="1" t="str">
        <f ca="1">IFERROR(__xludf.DUMMYFUNCTION("""COMPUTED_VALUE""")," - ")</f>
        <v xml:space="preserve"> - </v>
      </c>
      <c r="G2510" s="1" t="str">
        <f ca="1">IFERROR(__xludf.DUMMYFUNCTION("""COMPUTED_VALUE""")," /  /  / ")</f>
        <v xml:space="preserve"> /  /  / </v>
      </c>
      <c r="H2510" s="1" t="str">
        <f ca="1">IFERROR(__xludf.DUMMYFUNCTION("""COMPUTED_VALUE"""),"  /  /  / ")</f>
        <v xml:space="preserve">  /  /  / </v>
      </c>
    </row>
    <row r="2511" spans="1:8" ht="12.75" x14ac:dyDescent="0.2">
      <c r="A2511" s="1"/>
      <c r="B2511" s="1"/>
      <c r="C2511" s="1"/>
      <c r="D2511" s="1"/>
      <c r="E2511" s="1"/>
      <c r="F2511" s="1" t="str">
        <f ca="1">IFERROR(__xludf.DUMMYFUNCTION("""COMPUTED_VALUE""")," - ")</f>
        <v xml:space="preserve"> - </v>
      </c>
      <c r="G2511" s="1" t="str">
        <f ca="1">IFERROR(__xludf.DUMMYFUNCTION("""COMPUTED_VALUE""")," /  /  / ")</f>
        <v xml:space="preserve"> /  /  / </v>
      </c>
      <c r="H2511" s="1" t="str">
        <f ca="1">IFERROR(__xludf.DUMMYFUNCTION("""COMPUTED_VALUE"""),"  /  /  / ")</f>
        <v xml:space="preserve">  /  /  / </v>
      </c>
    </row>
    <row r="2512" spans="1:8" ht="12.75" x14ac:dyDescent="0.2">
      <c r="A2512" s="1"/>
      <c r="B2512" s="1"/>
      <c r="C2512" s="1"/>
      <c r="D2512" s="1"/>
      <c r="E2512" s="1"/>
      <c r="F2512" s="1" t="str">
        <f ca="1">IFERROR(__xludf.DUMMYFUNCTION("""COMPUTED_VALUE""")," - ")</f>
        <v xml:space="preserve"> - </v>
      </c>
      <c r="G2512" s="1" t="str">
        <f ca="1">IFERROR(__xludf.DUMMYFUNCTION("""COMPUTED_VALUE""")," /  /  / ")</f>
        <v xml:space="preserve"> /  /  / </v>
      </c>
      <c r="H2512" s="1" t="str">
        <f ca="1">IFERROR(__xludf.DUMMYFUNCTION("""COMPUTED_VALUE"""),"  /  /  / ")</f>
        <v xml:space="preserve">  /  /  / </v>
      </c>
    </row>
    <row r="2513" spans="1:8" ht="12.75" x14ac:dyDescent="0.2">
      <c r="A2513" s="1"/>
      <c r="B2513" s="1"/>
      <c r="C2513" s="1"/>
      <c r="D2513" s="1"/>
      <c r="E2513" s="1"/>
      <c r="F2513" s="1" t="str">
        <f ca="1">IFERROR(__xludf.DUMMYFUNCTION("""COMPUTED_VALUE""")," - ")</f>
        <v xml:space="preserve"> - </v>
      </c>
      <c r="G2513" s="1" t="str">
        <f ca="1">IFERROR(__xludf.DUMMYFUNCTION("""COMPUTED_VALUE""")," /  /  / ")</f>
        <v xml:space="preserve"> /  /  / </v>
      </c>
      <c r="H2513" s="1" t="str">
        <f ca="1">IFERROR(__xludf.DUMMYFUNCTION("""COMPUTED_VALUE"""),"  /  /  / ")</f>
        <v xml:space="preserve">  /  /  / </v>
      </c>
    </row>
    <row r="2514" spans="1:8" ht="12.75" x14ac:dyDescent="0.2">
      <c r="A2514" s="1"/>
      <c r="B2514" s="1"/>
      <c r="C2514" s="1"/>
      <c r="D2514" s="1"/>
      <c r="E2514" s="1"/>
      <c r="F2514" s="1" t="str">
        <f ca="1">IFERROR(__xludf.DUMMYFUNCTION("""COMPUTED_VALUE""")," - ")</f>
        <v xml:space="preserve"> - </v>
      </c>
      <c r="G2514" s="1" t="str">
        <f ca="1">IFERROR(__xludf.DUMMYFUNCTION("""COMPUTED_VALUE""")," /  /  / ")</f>
        <v xml:space="preserve"> /  /  / </v>
      </c>
      <c r="H2514" s="1" t="str">
        <f ca="1">IFERROR(__xludf.DUMMYFUNCTION("""COMPUTED_VALUE"""),"  /  /  / ")</f>
        <v xml:space="preserve">  /  /  / </v>
      </c>
    </row>
    <row r="2515" spans="1:8" ht="12.75" x14ac:dyDescent="0.2">
      <c r="A2515" s="1"/>
      <c r="B2515" s="1"/>
      <c r="C2515" s="1"/>
      <c r="D2515" s="1"/>
      <c r="E2515" s="1"/>
      <c r="F2515" s="1" t="str">
        <f ca="1">IFERROR(__xludf.DUMMYFUNCTION("""COMPUTED_VALUE""")," - ")</f>
        <v xml:space="preserve"> - </v>
      </c>
      <c r="G2515" s="1" t="str">
        <f ca="1">IFERROR(__xludf.DUMMYFUNCTION("""COMPUTED_VALUE""")," /  /  / ")</f>
        <v xml:space="preserve"> /  /  / </v>
      </c>
      <c r="H2515" s="1" t="str">
        <f ca="1">IFERROR(__xludf.DUMMYFUNCTION("""COMPUTED_VALUE"""),"  /  /  / ")</f>
        <v xml:space="preserve">  /  /  / </v>
      </c>
    </row>
    <row r="2516" spans="1:8" ht="12.75" x14ac:dyDescent="0.2">
      <c r="A2516" s="1"/>
      <c r="B2516" s="1"/>
      <c r="C2516" s="1"/>
      <c r="D2516" s="1"/>
      <c r="E2516" s="1"/>
      <c r="F2516" s="1" t="str">
        <f ca="1">IFERROR(__xludf.DUMMYFUNCTION("""COMPUTED_VALUE""")," - ")</f>
        <v xml:space="preserve"> - </v>
      </c>
      <c r="G2516" s="1" t="str">
        <f ca="1">IFERROR(__xludf.DUMMYFUNCTION("""COMPUTED_VALUE""")," /  /  / ")</f>
        <v xml:space="preserve"> /  /  / </v>
      </c>
      <c r="H2516" s="1" t="str">
        <f ca="1">IFERROR(__xludf.DUMMYFUNCTION("""COMPUTED_VALUE"""),"  /  /  / ")</f>
        <v xml:space="preserve">  /  /  / </v>
      </c>
    </row>
    <row r="2517" spans="1:8" ht="12.75" x14ac:dyDescent="0.2">
      <c r="A2517" s="1"/>
      <c r="B2517" s="1"/>
      <c r="C2517" s="1"/>
      <c r="D2517" s="1"/>
      <c r="E2517" s="1"/>
      <c r="F2517" s="1" t="str">
        <f ca="1">IFERROR(__xludf.DUMMYFUNCTION("""COMPUTED_VALUE""")," - ")</f>
        <v xml:space="preserve"> - </v>
      </c>
      <c r="G2517" s="1" t="str">
        <f ca="1">IFERROR(__xludf.DUMMYFUNCTION("""COMPUTED_VALUE""")," /  /  / ")</f>
        <v xml:space="preserve"> /  /  / </v>
      </c>
      <c r="H2517" s="1" t="str">
        <f ca="1">IFERROR(__xludf.DUMMYFUNCTION("""COMPUTED_VALUE"""),"  /  /  / ")</f>
        <v xml:space="preserve">  /  /  / </v>
      </c>
    </row>
    <row r="2518" spans="1:8" ht="12.75" x14ac:dyDescent="0.2">
      <c r="A2518" s="1"/>
      <c r="B2518" s="1"/>
      <c r="C2518" s="1"/>
      <c r="D2518" s="1"/>
      <c r="E2518" s="1"/>
      <c r="F2518" s="1" t="str">
        <f ca="1">IFERROR(__xludf.DUMMYFUNCTION("""COMPUTED_VALUE""")," - ")</f>
        <v xml:space="preserve"> - </v>
      </c>
      <c r="G2518" s="1" t="str">
        <f ca="1">IFERROR(__xludf.DUMMYFUNCTION("""COMPUTED_VALUE""")," /  /  / ")</f>
        <v xml:space="preserve"> /  /  / </v>
      </c>
      <c r="H2518" s="1" t="str">
        <f ca="1">IFERROR(__xludf.DUMMYFUNCTION("""COMPUTED_VALUE"""),"  /  /  / ")</f>
        <v xml:space="preserve">  /  /  / </v>
      </c>
    </row>
    <row r="2519" spans="1:8" ht="12.75" x14ac:dyDescent="0.2">
      <c r="A2519" s="1"/>
      <c r="B2519" s="1"/>
      <c r="C2519" s="1"/>
      <c r="D2519" s="1"/>
      <c r="E2519" s="1"/>
      <c r="F2519" s="1" t="str">
        <f ca="1">IFERROR(__xludf.DUMMYFUNCTION("""COMPUTED_VALUE""")," - ")</f>
        <v xml:space="preserve"> - </v>
      </c>
      <c r="G2519" s="1" t="str">
        <f ca="1">IFERROR(__xludf.DUMMYFUNCTION("""COMPUTED_VALUE""")," /  /  / ")</f>
        <v xml:space="preserve"> /  /  / </v>
      </c>
      <c r="H2519" s="1" t="str">
        <f ca="1">IFERROR(__xludf.DUMMYFUNCTION("""COMPUTED_VALUE"""),"  /  /  / ")</f>
        <v xml:space="preserve">  /  /  / </v>
      </c>
    </row>
    <row r="2520" spans="1:8" ht="12.75" x14ac:dyDescent="0.2">
      <c r="A2520" s="1"/>
      <c r="B2520" s="1"/>
      <c r="C2520" s="1"/>
      <c r="D2520" s="1"/>
      <c r="E2520" s="1"/>
      <c r="F2520" s="1" t="str">
        <f ca="1">IFERROR(__xludf.DUMMYFUNCTION("""COMPUTED_VALUE""")," - ")</f>
        <v xml:space="preserve"> - </v>
      </c>
      <c r="G2520" s="1" t="str">
        <f ca="1">IFERROR(__xludf.DUMMYFUNCTION("""COMPUTED_VALUE""")," /  /  / ")</f>
        <v xml:space="preserve"> /  /  / </v>
      </c>
      <c r="H2520" s="1" t="str">
        <f ca="1">IFERROR(__xludf.DUMMYFUNCTION("""COMPUTED_VALUE"""),"  /  /  / ")</f>
        <v xml:space="preserve">  /  /  / </v>
      </c>
    </row>
    <row r="2521" spans="1:8" ht="12.75" x14ac:dyDescent="0.2">
      <c r="A2521" s="1"/>
      <c r="B2521" s="1"/>
      <c r="C2521" s="1"/>
      <c r="D2521" s="1"/>
      <c r="E2521" s="1"/>
      <c r="F2521" s="1" t="str">
        <f ca="1">IFERROR(__xludf.DUMMYFUNCTION("""COMPUTED_VALUE""")," - ")</f>
        <v xml:space="preserve"> - </v>
      </c>
      <c r="G2521" s="1" t="str">
        <f ca="1">IFERROR(__xludf.DUMMYFUNCTION("""COMPUTED_VALUE""")," /  /  / ")</f>
        <v xml:space="preserve"> /  /  / </v>
      </c>
      <c r="H2521" s="1" t="str">
        <f ca="1">IFERROR(__xludf.DUMMYFUNCTION("""COMPUTED_VALUE"""),"  /  /  / ")</f>
        <v xml:space="preserve">  /  /  / </v>
      </c>
    </row>
    <row r="2522" spans="1:8" ht="12.75" x14ac:dyDescent="0.2">
      <c r="A2522" s="1"/>
      <c r="B2522" s="1"/>
      <c r="C2522" s="1"/>
      <c r="D2522" s="1"/>
      <c r="E2522" s="1"/>
      <c r="F2522" s="1" t="str">
        <f ca="1">IFERROR(__xludf.DUMMYFUNCTION("""COMPUTED_VALUE""")," - ")</f>
        <v xml:space="preserve"> - </v>
      </c>
      <c r="G2522" s="1" t="str">
        <f ca="1">IFERROR(__xludf.DUMMYFUNCTION("""COMPUTED_VALUE""")," /  /  / ")</f>
        <v xml:space="preserve"> /  /  / </v>
      </c>
      <c r="H2522" s="1" t="str">
        <f ca="1">IFERROR(__xludf.DUMMYFUNCTION("""COMPUTED_VALUE"""),"  /  /  / ")</f>
        <v xml:space="preserve">  /  /  / </v>
      </c>
    </row>
    <row r="2523" spans="1:8" ht="12.75" x14ac:dyDescent="0.2">
      <c r="A2523" s="1"/>
      <c r="B2523" s="1"/>
      <c r="C2523" s="1"/>
      <c r="D2523" s="1"/>
      <c r="E2523" s="1"/>
      <c r="F2523" s="1" t="str">
        <f ca="1">IFERROR(__xludf.DUMMYFUNCTION("""COMPUTED_VALUE""")," - ")</f>
        <v xml:space="preserve"> - </v>
      </c>
      <c r="G2523" s="1" t="str">
        <f ca="1">IFERROR(__xludf.DUMMYFUNCTION("""COMPUTED_VALUE""")," /  /  / ")</f>
        <v xml:space="preserve"> /  /  / </v>
      </c>
      <c r="H2523" s="1" t="str">
        <f ca="1">IFERROR(__xludf.DUMMYFUNCTION("""COMPUTED_VALUE"""),"  /  /  / ")</f>
        <v xml:space="preserve">  /  /  / </v>
      </c>
    </row>
    <row r="2524" spans="1:8" ht="12.75" x14ac:dyDescent="0.2">
      <c r="A2524" s="1"/>
      <c r="B2524" s="1"/>
      <c r="C2524" s="1"/>
      <c r="D2524" s="1"/>
      <c r="E2524" s="1"/>
      <c r="F2524" s="1" t="str">
        <f ca="1">IFERROR(__xludf.DUMMYFUNCTION("""COMPUTED_VALUE""")," - ")</f>
        <v xml:space="preserve"> - </v>
      </c>
      <c r="G2524" s="1" t="str">
        <f ca="1">IFERROR(__xludf.DUMMYFUNCTION("""COMPUTED_VALUE""")," /  /  / ")</f>
        <v xml:space="preserve"> /  /  / </v>
      </c>
      <c r="H2524" s="1" t="str">
        <f ca="1">IFERROR(__xludf.DUMMYFUNCTION("""COMPUTED_VALUE"""),"  /  /  / ")</f>
        <v xml:space="preserve">  /  /  / </v>
      </c>
    </row>
    <row r="2525" spans="1:8" ht="12.75" x14ac:dyDescent="0.2">
      <c r="A2525" s="1"/>
      <c r="B2525" s="1"/>
      <c r="C2525" s="1"/>
      <c r="D2525" s="1"/>
      <c r="E2525" s="1"/>
      <c r="F2525" s="1" t="str">
        <f ca="1">IFERROR(__xludf.DUMMYFUNCTION("""COMPUTED_VALUE""")," - ")</f>
        <v xml:space="preserve"> - </v>
      </c>
      <c r="G2525" s="1" t="str">
        <f ca="1">IFERROR(__xludf.DUMMYFUNCTION("""COMPUTED_VALUE""")," /  /  / ")</f>
        <v xml:space="preserve"> /  /  / </v>
      </c>
      <c r="H2525" s="1" t="str">
        <f ca="1">IFERROR(__xludf.DUMMYFUNCTION("""COMPUTED_VALUE"""),"  /  /  / ")</f>
        <v xml:space="preserve">  /  /  / </v>
      </c>
    </row>
    <row r="2526" spans="1:8" ht="12.75" x14ac:dyDescent="0.2">
      <c r="A2526" s="1"/>
      <c r="B2526" s="1"/>
      <c r="C2526" s="1"/>
      <c r="D2526" s="1"/>
      <c r="E2526" s="1"/>
      <c r="F2526" s="1" t="str">
        <f ca="1">IFERROR(__xludf.DUMMYFUNCTION("""COMPUTED_VALUE""")," - ")</f>
        <v xml:space="preserve"> - </v>
      </c>
      <c r="G2526" s="1" t="str">
        <f ca="1">IFERROR(__xludf.DUMMYFUNCTION("""COMPUTED_VALUE""")," /  /  / ")</f>
        <v xml:space="preserve"> /  /  / </v>
      </c>
      <c r="H2526" s="1" t="str">
        <f ca="1">IFERROR(__xludf.DUMMYFUNCTION("""COMPUTED_VALUE"""),"  /  /  / ")</f>
        <v xml:space="preserve">  /  /  / </v>
      </c>
    </row>
    <row r="2527" spans="1:8" ht="12.75" x14ac:dyDescent="0.2">
      <c r="A2527" s="1"/>
      <c r="B2527" s="1"/>
      <c r="C2527" s="1"/>
      <c r="D2527" s="1"/>
      <c r="E2527" s="1"/>
      <c r="F2527" s="1" t="str">
        <f ca="1">IFERROR(__xludf.DUMMYFUNCTION("""COMPUTED_VALUE""")," - ")</f>
        <v xml:space="preserve"> - </v>
      </c>
      <c r="G2527" s="1" t="str">
        <f ca="1">IFERROR(__xludf.DUMMYFUNCTION("""COMPUTED_VALUE""")," /  /  / ")</f>
        <v xml:space="preserve"> /  /  / </v>
      </c>
      <c r="H2527" s="1" t="str">
        <f ca="1">IFERROR(__xludf.DUMMYFUNCTION("""COMPUTED_VALUE"""),"  /  /  / ")</f>
        <v xml:space="preserve">  /  /  / </v>
      </c>
    </row>
    <row r="2528" spans="1:8" ht="12.75" x14ac:dyDescent="0.2">
      <c r="A2528" s="1"/>
      <c r="B2528" s="1"/>
      <c r="C2528" s="1"/>
      <c r="D2528" s="1"/>
      <c r="E2528" s="1"/>
      <c r="F2528" s="1" t="str">
        <f ca="1">IFERROR(__xludf.DUMMYFUNCTION("""COMPUTED_VALUE""")," - ")</f>
        <v xml:space="preserve"> - </v>
      </c>
      <c r="G2528" s="1" t="str">
        <f ca="1">IFERROR(__xludf.DUMMYFUNCTION("""COMPUTED_VALUE""")," /  /  / ")</f>
        <v xml:space="preserve"> /  /  / </v>
      </c>
      <c r="H2528" s="1" t="str">
        <f ca="1">IFERROR(__xludf.DUMMYFUNCTION("""COMPUTED_VALUE"""),"  /  /  / ")</f>
        <v xml:space="preserve">  /  /  / </v>
      </c>
    </row>
    <row r="2529" spans="1:8" ht="12.75" x14ac:dyDescent="0.2">
      <c r="A2529" s="1"/>
      <c r="B2529" s="1"/>
      <c r="C2529" s="1"/>
      <c r="D2529" s="1"/>
      <c r="E2529" s="1"/>
      <c r="F2529" s="1" t="str">
        <f ca="1">IFERROR(__xludf.DUMMYFUNCTION("""COMPUTED_VALUE""")," - ")</f>
        <v xml:space="preserve"> - </v>
      </c>
      <c r="G2529" s="1" t="str">
        <f ca="1">IFERROR(__xludf.DUMMYFUNCTION("""COMPUTED_VALUE""")," /  /  / ")</f>
        <v xml:space="preserve"> /  /  / </v>
      </c>
      <c r="H2529" s="1" t="str">
        <f ca="1">IFERROR(__xludf.DUMMYFUNCTION("""COMPUTED_VALUE"""),"  /  /  / ")</f>
        <v xml:space="preserve">  /  /  / </v>
      </c>
    </row>
    <row r="2530" spans="1:8" ht="12.75" x14ac:dyDescent="0.2">
      <c r="A2530" s="1"/>
      <c r="B2530" s="1"/>
      <c r="C2530" s="1"/>
      <c r="D2530" s="1"/>
      <c r="E2530" s="1"/>
      <c r="F2530" s="1" t="str">
        <f ca="1">IFERROR(__xludf.DUMMYFUNCTION("""COMPUTED_VALUE""")," - ")</f>
        <v xml:space="preserve"> - </v>
      </c>
      <c r="G2530" s="1" t="str">
        <f ca="1">IFERROR(__xludf.DUMMYFUNCTION("""COMPUTED_VALUE""")," /  /  / ")</f>
        <v xml:space="preserve"> /  /  / </v>
      </c>
      <c r="H2530" s="1" t="str">
        <f ca="1">IFERROR(__xludf.DUMMYFUNCTION("""COMPUTED_VALUE"""),"  /  /  / ")</f>
        <v xml:space="preserve">  /  /  / </v>
      </c>
    </row>
    <row r="2531" spans="1:8" ht="12.75" x14ac:dyDescent="0.2">
      <c r="A2531" s="1"/>
      <c r="B2531" s="1"/>
      <c r="C2531" s="1"/>
      <c r="D2531" s="1"/>
      <c r="E2531" s="1"/>
      <c r="F2531" s="1" t="str">
        <f ca="1">IFERROR(__xludf.DUMMYFUNCTION("""COMPUTED_VALUE""")," - ")</f>
        <v xml:space="preserve"> - </v>
      </c>
      <c r="G2531" s="1" t="str">
        <f ca="1">IFERROR(__xludf.DUMMYFUNCTION("""COMPUTED_VALUE""")," /  /  / ")</f>
        <v xml:space="preserve"> /  /  / </v>
      </c>
      <c r="H2531" s="1" t="str">
        <f ca="1">IFERROR(__xludf.DUMMYFUNCTION("""COMPUTED_VALUE"""),"  /  /  / ")</f>
        <v xml:space="preserve">  /  /  / </v>
      </c>
    </row>
    <row r="2532" spans="1:8" ht="12.75" x14ac:dyDescent="0.2">
      <c r="A2532" s="1"/>
      <c r="B2532" s="1"/>
      <c r="C2532" s="1"/>
      <c r="D2532" s="1"/>
      <c r="E2532" s="1"/>
      <c r="F2532" s="1" t="str">
        <f ca="1">IFERROR(__xludf.DUMMYFUNCTION("""COMPUTED_VALUE""")," - ")</f>
        <v xml:space="preserve"> - </v>
      </c>
      <c r="G2532" s="1" t="str">
        <f ca="1">IFERROR(__xludf.DUMMYFUNCTION("""COMPUTED_VALUE""")," /  /  / ")</f>
        <v xml:space="preserve"> /  /  / </v>
      </c>
      <c r="H2532" s="1" t="str">
        <f ca="1">IFERROR(__xludf.DUMMYFUNCTION("""COMPUTED_VALUE"""),"  /  /  / ")</f>
        <v xml:space="preserve">  /  /  / </v>
      </c>
    </row>
    <row r="2533" spans="1:8" ht="12.75" x14ac:dyDescent="0.2">
      <c r="A2533" s="1"/>
      <c r="B2533" s="1"/>
      <c r="C2533" s="1"/>
      <c r="D2533" s="1"/>
      <c r="E2533" s="1"/>
      <c r="F2533" s="1" t="str">
        <f ca="1">IFERROR(__xludf.DUMMYFUNCTION("""COMPUTED_VALUE""")," - ")</f>
        <v xml:space="preserve"> - </v>
      </c>
      <c r="G2533" s="1" t="str">
        <f ca="1">IFERROR(__xludf.DUMMYFUNCTION("""COMPUTED_VALUE""")," /  /  / ")</f>
        <v xml:space="preserve"> /  /  / </v>
      </c>
      <c r="H2533" s="1" t="str">
        <f ca="1">IFERROR(__xludf.DUMMYFUNCTION("""COMPUTED_VALUE"""),"  /  /  / ")</f>
        <v xml:space="preserve">  /  /  / </v>
      </c>
    </row>
    <row r="2534" spans="1:8" ht="12.75" x14ac:dyDescent="0.2">
      <c r="A2534" s="1"/>
      <c r="B2534" s="1"/>
      <c r="C2534" s="1"/>
      <c r="D2534" s="1"/>
      <c r="E2534" s="1"/>
      <c r="F2534" s="1" t="str">
        <f ca="1">IFERROR(__xludf.DUMMYFUNCTION("""COMPUTED_VALUE""")," - ")</f>
        <v xml:space="preserve"> - </v>
      </c>
      <c r="G2534" s="1" t="str">
        <f ca="1">IFERROR(__xludf.DUMMYFUNCTION("""COMPUTED_VALUE""")," /  /  / ")</f>
        <v xml:space="preserve"> /  /  / </v>
      </c>
      <c r="H2534" s="1" t="str">
        <f ca="1">IFERROR(__xludf.DUMMYFUNCTION("""COMPUTED_VALUE"""),"  /  /  / ")</f>
        <v xml:space="preserve">  /  /  / </v>
      </c>
    </row>
    <row r="2535" spans="1:8" ht="12.75" x14ac:dyDescent="0.2">
      <c r="A2535" s="1"/>
      <c r="B2535" s="1"/>
      <c r="C2535" s="1"/>
      <c r="D2535" s="1"/>
      <c r="E2535" s="1"/>
      <c r="F2535" s="1" t="str">
        <f ca="1">IFERROR(__xludf.DUMMYFUNCTION("""COMPUTED_VALUE""")," - ")</f>
        <v xml:space="preserve"> - </v>
      </c>
      <c r="G2535" s="1" t="str">
        <f ca="1">IFERROR(__xludf.DUMMYFUNCTION("""COMPUTED_VALUE""")," /  /  / ")</f>
        <v xml:space="preserve"> /  /  / </v>
      </c>
      <c r="H2535" s="1" t="str">
        <f ca="1">IFERROR(__xludf.DUMMYFUNCTION("""COMPUTED_VALUE"""),"  /  /  / ")</f>
        <v xml:space="preserve">  /  /  / </v>
      </c>
    </row>
    <row r="2536" spans="1:8" ht="12.75" x14ac:dyDescent="0.2">
      <c r="A2536" s="1"/>
      <c r="B2536" s="1"/>
      <c r="C2536" s="1"/>
      <c r="D2536" s="1"/>
      <c r="E2536" s="1"/>
      <c r="F2536" s="1" t="str">
        <f ca="1">IFERROR(__xludf.DUMMYFUNCTION("""COMPUTED_VALUE""")," - ")</f>
        <v xml:space="preserve"> - </v>
      </c>
      <c r="G2536" s="1" t="str">
        <f ca="1">IFERROR(__xludf.DUMMYFUNCTION("""COMPUTED_VALUE""")," /  /  / ")</f>
        <v xml:space="preserve"> /  /  / </v>
      </c>
      <c r="H2536" s="1" t="str">
        <f ca="1">IFERROR(__xludf.DUMMYFUNCTION("""COMPUTED_VALUE"""),"  /  /  / ")</f>
        <v xml:space="preserve">  /  /  / </v>
      </c>
    </row>
    <row r="2537" spans="1:8" ht="12.75" x14ac:dyDescent="0.2">
      <c r="A2537" s="1"/>
      <c r="B2537" s="1"/>
      <c r="C2537" s="1"/>
      <c r="D2537" s="1"/>
      <c r="E2537" s="1"/>
      <c r="F2537" s="1" t="str">
        <f ca="1">IFERROR(__xludf.DUMMYFUNCTION("""COMPUTED_VALUE""")," - ")</f>
        <v xml:space="preserve"> - </v>
      </c>
      <c r="G2537" s="1" t="str">
        <f ca="1">IFERROR(__xludf.DUMMYFUNCTION("""COMPUTED_VALUE""")," /  /  / ")</f>
        <v xml:space="preserve"> /  /  / </v>
      </c>
      <c r="H2537" s="1" t="str">
        <f ca="1">IFERROR(__xludf.DUMMYFUNCTION("""COMPUTED_VALUE"""),"  /  /  / ")</f>
        <v xml:space="preserve">  /  /  / </v>
      </c>
    </row>
    <row r="2538" spans="1:8" ht="12.75" x14ac:dyDescent="0.2">
      <c r="A2538" s="1"/>
      <c r="B2538" s="1"/>
      <c r="C2538" s="1"/>
      <c r="D2538" s="1"/>
      <c r="E2538" s="1"/>
      <c r="F2538" s="1" t="str">
        <f ca="1">IFERROR(__xludf.DUMMYFUNCTION("""COMPUTED_VALUE""")," - ")</f>
        <v xml:space="preserve"> - </v>
      </c>
      <c r="G2538" s="1" t="str">
        <f ca="1">IFERROR(__xludf.DUMMYFUNCTION("""COMPUTED_VALUE""")," /  /  / ")</f>
        <v xml:space="preserve"> /  /  / </v>
      </c>
      <c r="H2538" s="1" t="str">
        <f ca="1">IFERROR(__xludf.DUMMYFUNCTION("""COMPUTED_VALUE"""),"  /  /  / ")</f>
        <v xml:space="preserve">  /  /  / </v>
      </c>
    </row>
    <row r="2539" spans="1:8" ht="12.75" x14ac:dyDescent="0.2">
      <c r="A2539" s="1"/>
      <c r="B2539" s="1"/>
      <c r="C2539" s="1"/>
      <c r="D2539" s="1"/>
      <c r="E2539" s="1"/>
      <c r="F2539" s="1" t="str">
        <f ca="1">IFERROR(__xludf.DUMMYFUNCTION("""COMPUTED_VALUE""")," - ")</f>
        <v xml:space="preserve"> - </v>
      </c>
      <c r="G2539" s="1" t="str">
        <f ca="1">IFERROR(__xludf.DUMMYFUNCTION("""COMPUTED_VALUE""")," /  /  / ")</f>
        <v xml:space="preserve"> /  /  / </v>
      </c>
      <c r="H2539" s="1" t="str">
        <f ca="1">IFERROR(__xludf.DUMMYFUNCTION("""COMPUTED_VALUE"""),"  /  /  / ")</f>
        <v xml:space="preserve">  /  /  / </v>
      </c>
    </row>
    <row r="2540" spans="1:8" ht="12.75" x14ac:dyDescent="0.2">
      <c r="A2540" s="1"/>
      <c r="B2540" s="1"/>
      <c r="C2540" s="1"/>
      <c r="D2540" s="1"/>
      <c r="E2540" s="1"/>
      <c r="F2540" s="1" t="str">
        <f ca="1">IFERROR(__xludf.DUMMYFUNCTION("""COMPUTED_VALUE""")," - ")</f>
        <v xml:space="preserve"> - </v>
      </c>
      <c r="G2540" s="1" t="str">
        <f ca="1">IFERROR(__xludf.DUMMYFUNCTION("""COMPUTED_VALUE""")," /  /  / ")</f>
        <v xml:space="preserve"> /  /  / </v>
      </c>
      <c r="H2540" s="1" t="str">
        <f ca="1">IFERROR(__xludf.DUMMYFUNCTION("""COMPUTED_VALUE"""),"  /  /  / ")</f>
        <v xml:space="preserve">  /  /  / </v>
      </c>
    </row>
    <row r="2541" spans="1:8" ht="12.75" x14ac:dyDescent="0.2">
      <c r="A2541" s="1"/>
      <c r="B2541" s="1"/>
      <c r="C2541" s="1"/>
      <c r="D2541" s="1"/>
      <c r="E2541" s="1"/>
      <c r="F2541" s="1" t="str">
        <f ca="1">IFERROR(__xludf.DUMMYFUNCTION("""COMPUTED_VALUE""")," - ")</f>
        <v xml:space="preserve"> - </v>
      </c>
      <c r="G2541" s="1" t="str">
        <f ca="1">IFERROR(__xludf.DUMMYFUNCTION("""COMPUTED_VALUE""")," /  /  / ")</f>
        <v xml:space="preserve"> /  /  / </v>
      </c>
      <c r="H2541" s="1" t="str">
        <f ca="1">IFERROR(__xludf.DUMMYFUNCTION("""COMPUTED_VALUE"""),"  /  /  / ")</f>
        <v xml:space="preserve">  /  /  / </v>
      </c>
    </row>
    <row r="2542" spans="1:8" ht="12.75" x14ac:dyDescent="0.2">
      <c r="A2542" s="1"/>
      <c r="B2542" s="1"/>
      <c r="C2542" s="1"/>
      <c r="D2542" s="1"/>
      <c r="E2542" s="1"/>
      <c r="F2542" s="1" t="str">
        <f ca="1">IFERROR(__xludf.DUMMYFUNCTION("""COMPUTED_VALUE""")," - ")</f>
        <v xml:space="preserve"> - </v>
      </c>
      <c r="G2542" s="1" t="str">
        <f ca="1">IFERROR(__xludf.DUMMYFUNCTION("""COMPUTED_VALUE""")," /  /  / ")</f>
        <v xml:space="preserve"> /  /  / </v>
      </c>
      <c r="H2542" s="1" t="str">
        <f ca="1">IFERROR(__xludf.DUMMYFUNCTION("""COMPUTED_VALUE"""),"  /  /  / ")</f>
        <v xml:space="preserve">  /  /  / </v>
      </c>
    </row>
    <row r="2543" spans="1:8" ht="12.75" x14ac:dyDescent="0.2">
      <c r="A2543" s="1"/>
      <c r="B2543" s="1"/>
      <c r="C2543" s="1"/>
      <c r="D2543" s="1"/>
      <c r="E2543" s="1"/>
      <c r="F2543" s="1" t="str">
        <f ca="1">IFERROR(__xludf.DUMMYFUNCTION("""COMPUTED_VALUE""")," - ")</f>
        <v xml:space="preserve"> - </v>
      </c>
      <c r="G2543" s="1" t="str">
        <f ca="1">IFERROR(__xludf.DUMMYFUNCTION("""COMPUTED_VALUE""")," /  /  / ")</f>
        <v xml:space="preserve"> /  /  / </v>
      </c>
      <c r="H2543" s="1" t="str">
        <f ca="1">IFERROR(__xludf.DUMMYFUNCTION("""COMPUTED_VALUE"""),"  /  /  / ")</f>
        <v xml:space="preserve">  /  /  / </v>
      </c>
    </row>
    <row r="2544" spans="1:8" ht="12.75" x14ac:dyDescent="0.2">
      <c r="A2544" s="1"/>
      <c r="B2544" s="1"/>
      <c r="C2544" s="1"/>
      <c r="D2544" s="1"/>
      <c r="E2544" s="1"/>
      <c r="F2544" s="1" t="str">
        <f ca="1">IFERROR(__xludf.DUMMYFUNCTION("""COMPUTED_VALUE""")," - ")</f>
        <v xml:space="preserve"> - </v>
      </c>
      <c r="G2544" s="1" t="str">
        <f ca="1">IFERROR(__xludf.DUMMYFUNCTION("""COMPUTED_VALUE""")," /  /  / ")</f>
        <v xml:space="preserve"> /  /  / </v>
      </c>
      <c r="H2544" s="1" t="str">
        <f ca="1">IFERROR(__xludf.DUMMYFUNCTION("""COMPUTED_VALUE"""),"  /  /  / ")</f>
        <v xml:space="preserve">  /  /  / </v>
      </c>
    </row>
    <row r="2545" spans="1:8" ht="12.75" x14ac:dyDescent="0.2">
      <c r="A2545" s="1"/>
      <c r="B2545" s="1"/>
      <c r="C2545" s="1"/>
      <c r="D2545" s="1"/>
      <c r="E2545" s="1"/>
      <c r="F2545" s="1" t="str">
        <f ca="1">IFERROR(__xludf.DUMMYFUNCTION("""COMPUTED_VALUE""")," - ")</f>
        <v xml:space="preserve"> - </v>
      </c>
      <c r="G2545" s="1" t="str">
        <f ca="1">IFERROR(__xludf.DUMMYFUNCTION("""COMPUTED_VALUE""")," /  /  / ")</f>
        <v xml:space="preserve"> /  /  / </v>
      </c>
      <c r="H2545" s="1" t="str">
        <f ca="1">IFERROR(__xludf.DUMMYFUNCTION("""COMPUTED_VALUE"""),"  /  /  / ")</f>
        <v xml:space="preserve">  /  /  / </v>
      </c>
    </row>
    <row r="2546" spans="1:8" ht="12.75" x14ac:dyDescent="0.2">
      <c r="A2546" s="1"/>
      <c r="B2546" s="1"/>
      <c r="C2546" s="1"/>
      <c r="D2546" s="1"/>
      <c r="E2546" s="1"/>
      <c r="F2546" s="1" t="str">
        <f ca="1">IFERROR(__xludf.DUMMYFUNCTION("""COMPUTED_VALUE""")," - ")</f>
        <v xml:space="preserve"> - </v>
      </c>
      <c r="G2546" s="1" t="str">
        <f ca="1">IFERROR(__xludf.DUMMYFUNCTION("""COMPUTED_VALUE""")," /  /  / ")</f>
        <v xml:space="preserve"> /  /  / </v>
      </c>
      <c r="H2546" s="1" t="str">
        <f ca="1">IFERROR(__xludf.DUMMYFUNCTION("""COMPUTED_VALUE"""),"  /  /  / ")</f>
        <v xml:space="preserve">  /  /  / </v>
      </c>
    </row>
    <row r="2547" spans="1:8" ht="12.75" x14ac:dyDescent="0.2">
      <c r="A2547" s="1"/>
      <c r="B2547" s="1"/>
      <c r="C2547" s="1"/>
      <c r="D2547" s="1"/>
      <c r="E2547" s="1"/>
      <c r="F2547" s="1" t="str">
        <f ca="1">IFERROR(__xludf.DUMMYFUNCTION("""COMPUTED_VALUE""")," - ")</f>
        <v xml:space="preserve"> - </v>
      </c>
      <c r="G2547" s="1" t="str">
        <f ca="1">IFERROR(__xludf.DUMMYFUNCTION("""COMPUTED_VALUE""")," /  /  / ")</f>
        <v xml:space="preserve"> /  /  / </v>
      </c>
      <c r="H2547" s="1" t="str">
        <f ca="1">IFERROR(__xludf.DUMMYFUNCTION("""COMPUTED_VALUE"""),"  /  /  / ")</f>
        <v xml:space="preserve">  /  /  / </v>
      </c>
    </row>
    <row r="2548" spans="1:8" ht="12.75" x14ac:dyDescent="0.2">
      <c r="A2548" s="1"/>
      <c r="B2548" s="1"/>
      <c r="C2548" s="1"/>
      <c r="D2548" s="1"/>
      <c r="E2548" s="1"/>
      <c r="F2548" s="1" t="str">
        <f ca="1">IFERROR(__xludf.DUMMYFUNCTION("""COMPUTED_VALUE""")," - ")</f>
        <v xml:space="preserve"> - </v>
      </c>
      <c r="G2548" s="1" t="str">
        <f ca="1">IFERROR(__xludf.DUMMYFUNCTION("""COMPUTED_VALUE""")," /  /  / ")</f>
        <v xml:space="preserve"> /  /  / </v>
      </c>
      <c r="H2548" s="1" t="str">
        <f ca="1">IFERROR(__xludf.DUMMYFUNCTION("""COMPUTED_VALUE"""),"  /  /  / ")</f>
        <v xml:space="preserve">  /  /  / </v>
      </c>
    </row>
    <row r="2549" spans="1:8" ht="12.75" x14ac:dyDescent="0.2">
      <c r="A2549" s="1"/>
      <c r="B2549" s="1"/>
      <c r="C2549" s="1"/>
      <c r="D2549" s="1"/>
      <c r="E2549" s="1"/>
      <c r="F2549" s="1" t="str">
        <f ca="1">IFERROR(__xludf.DUMMYFUNCTION("""COMPUTED_VALUE""")," - ")</f>
        <v xml:space="preserve"> - </v>
      </c>
      <c r="G2549" s="1" t="str">
        <f ca="1">IFERROR(__xludf.DUMMYFUNCTION("""COMPUTED_VALUE""")," /  /  / ")</f>
        <v xml:space="preserve"> /  /  / </v>
      </c>
      <c r="H2549" s="1" t="str">
        <f ca="1">IFERROR(__xludf.DUMMYFUNCTION("""COMPUTED_VALUE"""),"  /  /  / ")</f>
        <v xml:space="preserve">  /  /  / </v>
      </c>
    </row>
    <row r="2550" spans="1:8" ht="12.75" x14ac:dyDescent="0.2">
      <c r="A2550" s="1"/>
      <c r="B2550" s="1"/>
      <c r="C2550" s="1"/>
      <c r="D2550" s="1"/>
      <c r="E2550" s="1"/>
      <c r="F2550" s="1" t="str">
        <f ca="1">IFERROR(__xludf.DUMMYFUNCTION("""COMPUTED_VALUE""")," - ")</f>
        <v xml:space="preserve"> - </v>
      </c>
      <c r="G2550" s="1" t="str">
        <f ca="1">IFERROR(__xludf.DUMMYFUNCTION("""COMPUTED_VALUE""")," /  /  / ")</f>
        <v xml:space="preserve"> /  /  / </v>
      </c>
      <c r="H2550" s="1" t="str">
        <f ca="1">IFERROR(__xludf.DUMMYFUNCTION("""COMPUTED_VALUE"""),"  /  /  / ")</f>
        <v xml:space="preserve">  /  /  / </v>
      </c>
    </row>
    <row r="2551" spans="1:8" ht="12.75" x14ac:dyDescent="0.2">
      <c r="A2551" s="1"/>
      <c r="B2551" s="1"/>
      <c r="C2551" s="1"/>
      <c r="D2551" s="1"/>
      <c r="E2551" s="1"/>
      <c r="F2551" s="1" t="str">
        <f ca="1">IFERROR(__xludf.DUMMYFUNCTION("""COMPUTED_VALUE""")," - ")</f>
        <v xml:space="preserve"> - </v>
      </c>
      <c r="G2551" s="1" t="str">
        <f ca="1">IFERROR(__xludf.DUMMYFUNCTION("""COMPUTED_VALUE""")," /  /  / ")</f>
        <v xml:space="preserve"> /  /  / </v>
      </c>
      <c r="H2551" s="1" t="str">
        <f ca="1">IFERROR(__xludf.DUMMYFUNCTION("""COMPUTED_VALUE"""),"  /  /  / ")</f>
        <v xml:space="preserve">  /  /  / </v>
      </c>
    </row>
    <row r="2552" spans="1:8" ht="12.75" x14ac:dyDescent="0.2">
      <c r="A2552" s="1"/>
      <c r="B2552" s="1"/>
      <c r="C2552" s="1"/>
      <c r="D2552" s="1"/>
      <c r="E2552" s="1"/>
      <c r="F2552" s="1" t="str">
        <f ca="1">IFERROR(__xludf.DUMMYFUNCTION("""COMPUTED_VALUE""")," - ")</f>
        <v xml:space="preserve"> - </v>
      </c>
      <c r="G2552" s="1" t="str">
        <f ca="1">IFERROR(__xludf.DUMMYFUNCTION("""COMPUTED_VALUE""")," /  /  / ")</f>
        <v xml:space="preserve"> /  /  / </v>
      </c>
      <c r="H2552" s="1" t="str">
        <f ca="1">IFERROR(__xludf.DUMMYFUNCTION("""COMPUTED_VALUE"""),"  /  /  / ")</f>
        <v xml:space="preserve">  /  /  / </v>
      </c>
    </row>
    <row r="2553" spans="1:8" ht="12.75" x14ac:dyDescent="0.2">
      <c r="A2553" s="1"/>
      <c r="B2553" s="1"/>
      <c r="C2553" s="1"/>
      <c r="D2553" s="1"/>
      <c r="E2553" s="1"/>
      <c r="F2553" s="1" t="str">
        <f ca="1">IFERROR(__xludf.DUMMYFUNCTION("""COMPUTED_VALUE""")," - ")</f>
        <v xml:space="preserve"> - </v>
      </c>
      <c r="G2553" s="1" t="str">
        <f ca="1">IFERROR(__xludf.DUMMYFUNCTION("""COMPUTED_VALUE""")," /  /  / ")</f>
        <v xml:space="preserve"> /  /  / </v>
      </c>
      <c r="H2553" s="1" t="str">
        <f ca="1">IFERROR(__xludf.DUMMYFUNCTION("""COMPUTED_VALUE"""),"  /  /  / ")</f>
        <v xml:space="preserve">  /  /  / </v>
      </c>
    </row>
    <row r="2554" spans="1:8" ht="12.75" x14ac:dyDescent="0.2">
      <c r="A2554" s="1"/>
      <c r="B2554" s="1"/>
      <c r="C2554" s="1"/>
      <c r="D2554" s="1"/>
      <c r="E2554" s="1"/>
      <c r="F2554" s="1" t="str">
        <f ca="1">IFERROR(__xludf.DUMMYFUNCTION("""COMPUTED_VALUE""")," - ")</f>
        <v xml:space="preserve"> - </v>
      </c>
      <c r="G2554" s="1" t="str">
        <f ca="1">IFERROR(__xludf.DUMMYFUNCTION("""COMPUTED_VALUE""")," /  /  / ")</f>
        <v xml:space="preserve"> /  /  / </v>
      </c>
      <c r="H2554" s="1" t="str">
        <f ca="1">IFERROR(__xludf.DUMMYFUNCTION("""COMPUTED_VALUE"""),"  /  /  / ")</f>
        <v xml:space="preserve">  /  /  / </v>
      </c>
    </row>
    <row r="2555" spans="1:8" ht="12.75" x14ac:dyDescent="0.2">
      <c r="A2555" s="1"/>
      <c r="B2555" s="1"/>
      <c r="C2555" s="1"/>
      <c r="D2555" s="1"/>
      <c r="E2555" s="1"/>
      <c r="F2555" s="1" t="str">
        <f ca="1">IFERROR(__xludf.DUMMYFUNCTION("""COMPUTED_VALUE""")," - ")</f>
        <v xml:space="preserve"> - </v>
      </c>
      <c r="G2555" s="1" t="str">
        <f ca="1">IFERROR(__xludf.DUMMYFUNCTION("""COMPUTED_VALUE""")," /  /  / ")</f>
        <v xml:space="preserve"> /  /  / </v>
      </c>
      <c r="H2555" s="1" t="str">
        <f ca="1">IFERROR(__xludf.DUMMYFUNCTION("""COMPUTED_VALUE"""),"  /  /  / ")</f>
        <v xml:space="preserve">  /  /  / </v>
      </c>
    </row>
    <row r="2556" spans="1:8" ht="12.75" x14ac:dyDescent="0.2">
      <c r="A2556" s="1"/>
      <c r="B2556" s="1"/>
      <c r="C2556" s="1"/>
      <c r="D2556" s="1"/>
      <c r="E2556" s="1"/>
      <c r="F2556" s="1" t="str">
        <f ca="1">IFERROR(__xludf.DUMMYFUNCTION("""COMPUTED_VALUE""")," - ")</f>
        <v xml:space="preserve"> - </v>
      </c>
      <c r="G2556" s="1" t="str">
        <f ca="1">IFERROR(__xludf.DUMMYFUNCTION("""COMPUTED_VALUE""")," /  /  / ")</f>
        <v xml:space="preserve"> /  /  / </v>
      </c>
      <c r="H2556" s="1" t="str">
        <f ca="1">IFERROR(__xludf.DUMMYFUNCTION("""COMPUTED_VALUE"""),"  /  /  / ")</f>
        <v xml:space="preserve">  /  /  / </v>
      </c>
    </row>
    <row r="2557" spans="1:8" ht="12.75" x14ac:dyDescent="0.2">
      <c r="A2557" s="1"/>
      <c r="B2557" s="1"/>
      <c r="C2557" s="1"/>
      <c r="D2557" s="1"/>
      <c r="E2557" s="1"/>
      <c r="F2557" s="1" t="str">
        <f ca="1">IFERROR(__xludf.DUMMYFUNCTION("""COMPUTED_VALUE""")," - ")</f>
        <v xml:space="preserve"> - </v>
      </c>
      <c r="G2557" s="1" t="str">
        <f ca="1">IFERROR(__xludf.DUMMYFUNCTION("""COMPUTED_VALUE""")," /  /  / ")</f>
        <v xml:space="preserve"> /  /  / </v>
      </c>
      <c r="H2557" s="1" t="str">
        <f ca="1">IFERROR(__xludf.DUMMYFUNCTION("""COMPUTED_VALUE"""),"  /  /  / ")</f>
        <v xml:space="preserve">  /  /  / </v>
      </c>
    </row>
    <row r="2558" spans="1:8" ht="12.75" x14ac:dyDescent="0.2">
      <c r="A2558" s="1"/>
      <c r="B2558" s="1"/>
      <c r="C2558" s="1"/>
      <c r="D2558" s="1"/>
      <c r="E2558" s="1"/>
      <c r="F2558" s="1" t="str">
        <f ca="1">IFERROR(__xludf.DUMMYFUNCTION("""COMPUTED_VALUE""")," - ")</f>
        <v xml:space="preserve"> - </v>
      </c>
      <c r="G2558" s="1" t="str">
        <f ca="1">IFERROR(__xludf.DUMMYFUNCTION("""COMPUTED_VALUE""")," /  /  / ")</f>
        <v xml:space="preserve"> /  /  / </v>
      </c>
      <c r="H2558" s="1" t="str">
        <f ca="1">IFERROR(__xludf.DUMMYFUNCTION("""COMPUTED_VALUE"""),"  /  /  / ")</f>
        <v xml:space="preserve">  /  /  / </v>
      </c>
    </row>
    <row r="2559" spans="1:8" ht="12.75" x14ac:dyDescent="0.2">
      <c r="A2559" s="1"/>
      <c r="B2559" s="1"/>
      <c r="C2559" s="1"/>
      <c r="D2559" s="1"/>
      <c r="E2559" s="1"/>
      <c r="F2559" s="1" t="str">
        <f ca="1">IFERROR(__xludf.DUMMYFUNCTION("""COMPUTED_VALUE""")," - ")</f>
        <v xml:space="preserve"> - </v>
      </c>
      <c r="G2559" s="1" t="str">
        <f ca="1">IFERROR(__xludf.DUMMYFUNCTION("""COMPUTED_VALUE""")," /  /  / ")</f>
        <v xml:space="preserve"> /  /  / </v>
      </c>
      <c r="H2559" s="1" t="str">
        <f ca="1">IFERROR(__xludf.DUMMYFUNCTION("""COMPUTED_VALUE"""),"  /  /  / ")</f>
        <v xml:space="preserve">  /  /  / </v>
      </c>
    </row>
    <row r="2560" spans="1:8" ht="12.75" x14ac:dyDescent="0.2">
      <c r="A2560" s="1"/>
      <c r="B2560" s="1"/>
      <c r="C2560" s="1"/>
      <c r="D2560" s="1"/>
      <c r="E2560" s="1"/>
      <c r="F2560" s="1" t="str">
        <f ca="1">IFERROR(__xludf.DUMMYFUNCTION("""COMPUTED_VALUE""")," - ")</f>
        <v xml:space="preserve"> - </v>
      </c>
      <c r="G2560" s="1" t="str">
        <f ca="1">IFERROR(__xludf.DUMMYFUNCTION("""COMPUTED_VALUE""")," /  /  / ")</f>
        <v xml:space="preserve"> /  /  / </v>
      </c>
      <c r="H2560" s="1" t="str">
        <f ca="1">IFERROR(__xludf.DUMMYFUNCTION("""COMPUTED_VALUE"""),"  /  /  / ")</f>
        <v xml:space="preserve">  /  /  / </v>
      </c>
    </row>
    <row r="2561" spans="1:8" ht="12.75" x14ac:dyDescent="0.2">
      <c r="A2561" s="1"/>
      <c r="B2561" s="1"/>
      <c r="C2561" s="1"/>
      <c r="D2561" s="1"/>
      <c r="E2561" s="1"/>
      <c r="F2561" s="1" t="str">
        <f ca="1">IFERROR(__xludf.DUMMYFUNCTION("""COMPUTED_VALUE""")," - ")</f>
        <v xml:space="preserve"> - </v>
      </c>
      <c r="G2561" s="1" t="str">
        <f ca="1">IFERROR(__xludf.DUMMYFUNCTION("""COMPUTED_VALUE""")," /  /  / ")</f>
        <v xml:space="preserve"> /  /  / </v>
      </c>
      <c r="H2561" s="1" t="str">
        <f ca="1">IFERROR(__xludf.DUMMYFUNCTION("""COMPUTED_VALUE"""),"  /  /  / ")</f>
        <v xml:space="preserve">  /  /  / </v>
      </c>
    </row>
    <row r="2562" spans="1:8" ht="12.75" x14ac:dyDescent="0.2">
      <c r="A2562" s="1"/>
      <c r="B2562" s="1"/>
      <c r="C2562" s="1"/>
      <c r="D2562" s="1"/>
      <c r="E2562" s="1"/>
      <c r="F2562" s="1" t="str">
        <f ca="1">IFERROR(__xludf.DUMMYFUNCTION("""COMPUTED_VALUE""")," - ")</f>
        <v xml:space="preserve"> - </v>
      </c>
      <c r="G2562" s="1" t="str">
        <f ca="1">IFERROR(__xludf.DUMMYFUNCTION("""COMPUTED_VALUE""")," /  /  / ")</f>
        <v xml:space="preserve"> /  /  / </v>
      </c>
      <c r="H2562" s="1" t="str">
        <f ca="1">IFERROR(__xludf.DUMMYFUNCTION("""COMPUTED_VALUE"""),"  /  /  / ")</f>
        <v xml:space="preserve">  /  /  / </v>
      </c>
    </row>
    <row r="2563" spans="1:8" ht="12.75" x14ac:dyDescent="0.2">
      <c r="A2563" s="1"/>
      <c r="B2563" s="1"/>
      <c r="C2563" s="1"/>
      <c r="D2563" s="1"/>
      <c r="E2563" s="1"/>
      <c r="F2563" s="1" t="str">
        <f ca="1">IFERROR(__xludf.DUMMYFUNCTION("""COMPUTED_VALUE""")," - ")</f>
        <v xml:space="preserve"> - </v>
      </c>
      <c r="G2563" s="1" t="str">
        <f ca="1">IFERROR(__xludf.DUMMYFUNCTION("""COMPUTED_VALUE""")," /  /  / ")</f>
        <v xml:space="preserve"> /  /  / </v>
      </c>
      <c r="H2563" s="1" t="str">
        <f ca="1">IFERROR(__xludf.DUMMYFUNCTION("""COMPUTED_VALUE"""),"  /  /  / ")</f>
        <v xml:space="preserve">  /  /  / </v>
      </c>
    </row>
    <row r="2564" spans="1:8" ht="12.75" x14ac:dyDescent="0.2">
      <c r="A2564" s="1"/>
      <c r="B2564" s="1"/>
      <c r="C2564" s="1"/>
      <c r="D2564" s="1"/>
      <c r="E2564" s="1"/>
      <c r="F2564" s="1" t="str">
        <f ca="1">IFERROR(__xludf.DUMMYFUNCTION("""COMPUTED_VALUE""")," - ")</f>
        <v xml:space="preserve"> - </v>
      </c>
      <c r="G2564" s="1" t="str">
        <f ca="1">IFERROR(__xludf.DUMMYFUNCTION("""COMPUTED_VALUE""")," /  /  / ")</f>
        <v xml:space="preserve"> /  /  / </v>
      </c>
      <c r="H2564" s="1" t="str">
        <f ca="1">IFERROR(__xludf.DUMMYFUNCTION("""COMPUTED_VALUE"""),"  /  /  / ")</f>
        <v xml:space="preserve">  /  /  / </v>
      </c>
    </row>
    <row r="2565" spans="1:8" ht="12.75" x14ac:dyDescent="0.2">
      <c r="A2565" s="1"/>
      <c r="B2565" s="1"/>
      <c r="C2565" s="1"/>
      <c r="D2565" s="1"/>
      <c r="E2565" s="1"/>
      <c r="F2565" s="1" t="str">
        <f ca="1">IFERROR(__xludf.DUMMYFUNCTION("""COMPUTED_VALUE""")," - ")</f>
        <v xml:space="preserve"> - </v>
      </c>
      <c r="G2565" s="1" t="str">
        <f ca="1">IFERROR(__xludf.DUMMYFUNCTION("""COMPUTED_VALUE""")," /  /  / ")</f>
        <v xml:space="preserve"> /  /  / </v>
      </c>
      <c r="H2565" s="1" t="str">
        <f ca="1">IFERROR(__xludf.DUMMYFUNCTION("""COMPUTED_VALUE"""),"  /  /  / ")</f>
        <v xml:space="preserve">  /  /  / </v>
      </c>
    </row>
    <row r="2566" spans="1:8" ht="12.75" x14ac:dyDescent="0.2">
      <c r="A2566" s="1"/>
      <c r="B2566" s="1"/>
      <c r="C2566" s="1"/>
      <c r="D2566" s="1"/>
      <c r="E2566" s="1"/>
      <c r="F2566" s="1" t="str">
        <f ca="1">IFERROR(__xludf.DUMMYFUNCTION("""COMPUTED_VALUE""")," - ")</f>
        <v xml:space="preserve"> - </v>
      </c>
      <c r="G2566" s="1" t="str">
        <f ca="1">IFERROR(__xludf.DUMMYFUNCTION("""COMPUTED_VALUE""")," /  /  / ")</f>
        <v xml:space="preserve"> /  /  / </v>
      </c>
      <c r="H2566" s="1" t="str">
        <f ca="1">IFERROR(__xludf.DUMMYFUNCTION("""COMPUTED_VALUE"""),"  /  /  / ")</f>
        <v xml:space="preserve">  /  /  / </v>
      </c>
    </row>
    <row r="2567" spans="1:8" ht="12.75" x14ac:dyDescent="0.2">
      <c r="A2567" s="1"/>
      <c r="B2567" s="1"/>
      <c r="C2567" s="1"/>
      <c r="D2567" s="1"/>
      <c r="E2567" s="1"/>
      <c r="F2567" s="1" t="str">
        <f ca="1">IFERROR(__xludf.DUMMYFUNCTION("""COMPUTED_VALUE""")," - ")</f>
        <v xml:space="preserve"> - </v>
      </c>
      <c r="G2567" s="1" t="str">
        <f ca="1">IFERROR(__xludf.DUMMYFUNCTION("""COMPUTED_VALUE""")," /  /  / ")</f>
        <v xml:space="preserve"> /  /  / </v>
      </c>
      <c r="H2567" s="1" t="str">
        <f ca="1">IFERROR(__xludf.DUMMYFUNCTION("""COMPUTED_VALUE"""),"  /  /  / ")</f>
        <v xml:space="preserve">  /  /  / </v>
      </c>
    </row>
    <row r="2568" spans="1:8" ht="12.75" x14ac:dyDescent="0.2">
      <c r="A2568" s="1"/>
      <c r="B2568" s="1"/>
      <c r="C2568" s="1"/>
      <c r="D2568" s="1"/>
      <c r="E2568" s="1"/>
      <c r="F2568" s="1" t="str">
        <f ca="1">IFERROR(__xludf.DUMMYFUNCTION("""COMPUTED_VALUE""")," - ")</f>
        <v xml:space="preserve"> - </v>
      </c>
      <c r="G2568" s="1" t="str">
        <f ca="1">IFERROR(__xludf.DUMMYFUNCTION("""COMPUTED_VALUE""")," /  /  / ")</f>
        <v xml:space="preserve"> /  /  / </v>
      </c>
      <c r="H2568" s="1" t="str">
        <f ca="1">IFERROR(__xludf.DUMMYFUNCTION("""COMPUTED_VALUE"""),"  /  /  / ")</f>
        <v xml:space="preserve">  /  /  / </v>
      </c>
    </row>
    <row r="2569" spans="1:8" ht="12.75" x14ac:dyDescent="0.2">
      <c r="A2569" s="1"/>
      <c r="B2569" s="1"/>
      <c r="C2569" s="1"/>
      <c r="D2569" s="1"/>
      <c r="E2569" s="1"/>
      <c r="F2569" s="1" t="str">
        <f ca="1">IFERROR(__xludf.DUMMYFUNCTION("""COMPUTED_VALUE""")," - ")</f>
        <v xml:space="preserve"> - </v>
      </c>
      <c r="G2569" s="1" t="str">
        <f ca="1">IFERROR(__xludf.DUMMYFUNCTION("""COMPUTED_VALUE""")," /  /  / ")</f>
        <v xml:space="preserve"> /  /  / </v>
      </c>
      <c r="H2569" s="1" t="str">
        <f ca="1">IFERROR(__xludf.DUMMYFUNCTION("""COMPUTED_VALUE"""),"  /  /  / ")</f>
        <v xml:space="preserve">  /  /  / </v>
      </c>
    </row>
    <row r="2570" spans="1:8" ht="12.75" x14ac:dyDescent="0.2">
      <c r="A2570" s="1"/>
      <c r="B2570" s="1"/>
      <c r="C2570" s="1"/>
      <c r="D2570" s="1"/>
      <c r="E2570" s="1"/>
      <c r="F2570" s="1" t="str">
        <f ca="1">IFERROR(__xludf.DUMMYFUNCTION("""COMPUTED_VALUE""")," - ")</f>
        <v xml:space="preserve"> - </v>
      </c>
      <c r="G2570" s="1" t="str">
        <f ca="1">IFERROR(__xludf.DUMMYFUNCTION("""COMPUTED_VALUE""")," /  /  / ")</f>
        <v xml:space="preserve"> /  /  / </v>
      </c>
      <c r="H2570" s="1" t="str">
        <f ca="1">IFERROR(__xludf.DUMMYFUNCTION("""COMPUTED_VALUE"""),"  /  /  / ")</f>
        <v xml:space="preserve">  /  /  / </v>
      </c>
    </row>
    <row r="2571" spans="1:8" ht="12.75" x14ac:dyDescent="0.2">
      <c r="A2571" s="1"/>
      <c r="B2571" s="1"/>
      <c r="C2571" s="1"/>
      <c r="D2571" s="1"/>
      <c r="E2571" s="1"/>
      <c r="F2571" s="1" t="str">
        <f ca="1">IFERROR(__xludf.DUMMYFUNCTION("""COMPUTED_VALUE""")," - ")</f>
        <v xml:space="preserve"> - </v>
      </c>
      <c r="G2571" s="1" t="str">
        <f ca="1">IFERROR(__xludf.DUMMYFUNCTION("""COMPUTED_VALUE""")," /  /  / ")</f>
        <v xml:space="preserve"> /  /  / </v>
      </c>
      <c r="H2571" s="1" t="str">
        <f ca="1">IFERROR(__xludf.DUMMYFUNCTION("""COMPUTED_VALUE"""),"  /  /  / ")</f>
        <v xml:space="preserve">  /  /  / </v>
      </c>
    </row>
    <row r="2572" spans="1:8" ht="12.75" x14ac:dyDescent="0.2">
      <c r="A2572" s="1"/>
      <c r="B2572" s="1"/>
      <c r="C2572" s="1"/>
      <c r="D2572" s="1"/>
      <c r="E2572" s="1"/>
      <c r="F2572" s="1" t="str">
        <f ca="1">IFERROR(__xludf.DUMMYFUNCTION("""COMPUTED_VALUE""")," - ")</f>
        <v xml:space="preserve"> - </v>
      </c>
      <c r="G2572" s="1" t="str">
        <f ca="1">IFERROR(__xludf.DUMMYFUNCTION("""COMPUTED_VALUE""")," /  /  / ")</f>
        <v xml:space="preserve"> /  /  / </v>
      </c>
      <c r="H2572" s="1" t="str">
        <f ca="1">IFERROR(__xludf.DUMMYFUNCTION("""COMPUTED_VALUE"""),"  /  /  / ")</f>
        <v xml:space="preserve">  /  /  / </v>
      </c>
    </row>
    <row r="2573" spans="1:8" ht="12.75" x14ac:dyDescent="0.2">
      <c r="A2573" s="1"/>
      <c r="B2573" s="1"/>
      <c r="C2573" s="1"/>
      <c r="D2573" s="1"/>
      <c r="E2573" s="1"/>
      <c r="F2573" s="1" t="str">
        <f ca="1">IFERROR(__xludf.DUMMYFUNCTION("""COMPUTED_VALUE""")," - ")</f>
        <v xml:space="preserve"> - </v>
      </c>
      <c r="G2573" s="1" t="str">
        <f ca="1">IFERROR(__xludf.DUMMYFUNCTION("""COMPUTED_VALUE""")," /  /  / ")</f>
        <v xml:space="preserve"> /  /  / </v>
      </c>
      <c r="H2573" s="1" t="str">
        <f ca="1">IFERROR(__xludf.DUMMYFUNCTION("""COMPUTED_VALUE"""),"  /  /  / ")</f>
        <v xml:space="preserve">  /  /  / </v>
      </c>
    </row>
    <row r="2574" spans="1:8" ht="12.75" x14ac:dyDescent="0.2">
      <c r="A2574" s="1"/>
      <c r="B2574" s="1"/>
      <c r="C2574" s="1"/>
      <c r="D2574" s="1"/>
      <c r="E2574" s="1"/>
      <c r="F2574" s="1" t="str">
        <f ca="1">IFERROR(__xludf.DUMMYFUNCTION("""COMPUTED_VALUE""")," - ")</f>
        <v xml:space="preserve"> - </v>
      </c>
      <c r="G2574" s="1" t="str">
        <f ca="1">IFERROR(__xludf.DUMMYFUNCTION("""COMPUTED_VALUE""")," /  /  / ")</f>
        <v xml:space="preserve"> /  /  / </v>
      </c>
      <c r="H2574" s="1" t="str">
        <f ca="1">IFERROR(__xludf.DUMMYFUNCTION("""COMPUTED_VALUE"""),"  /  /  / ")</f>
        <v xml:space="preserve">  /  /  / </v>
      </c>
    </row>
    <row r="2575" spans="1:8" ht="12.75" x14ac:dyDescent="0.2">
      <c r="A2575" s="1"/>
      <c r="B2575" s="1"/>
      <c r="C2575" s="1"/>
      <c r="D2575" s="1"/>
      <c r="E2575" s="1"/>
      <c r="F2575" s="1" t="str">
        <f ca="1">IFERROR(__xludf.DUMMYFUNCTION("""COMPUTED_VALUE""")," - ")</f>
        <v xml:space="preserve"> - </v>
      </c>
      <c r="G2575" s="1" t="str">
        <f ca="1">IFERROR(__xludf.DUMMYFUNCTION("""COMPUTED_VALUE""")," /  /  / ")</f>
        <v xml:space="preserve"> /  /  / </v>
      </c>
      <c r="H2575" s="1" t="str">
        <f ca="1">IFERROR(__xludf.DUMMYFUNCTION("""COMPUTED_VALUE"""),"  /  /  / ")</f>
        <v xml:space="preserve">  /  /  / </v>
      </c>
    </row>
    <row r="2576" spans="1:8" ht="12.75" x14ac:dyDescent="0.2">
      <c r="A2576" s="1"/>
      <c r="B2576" s="1"/>
      <c r="C2576" s="1"/>
      <c r="D2576" s="1"/>
      <c r="E2576" s="1"/>
      <c r="F2576" s="1" t="str">
        <f ca="1">IFERROR(__xludf.DUMMYFUNCTION("""COMPUTED_VALUE""")," - ")</f>
        <v xml:space="preserve"> - </v>
      </c>
      <c r="G2576" s="1" t="str">
        <f ca="1">IFERROR(__xludf.DUMMYFUNCTION("""COMPUTED_VALUE""")," /  /  / ")</f>
        <v xml:space="preserve"> /  /  / </v>
      </c>
      <c r="H2576" s="1" t="str">
        <f ca="1">IFERROR(__xludf.DUMMYFUNCTION("""COMPUTED_VALUE"""),"  /  /  / ")</f>
        <v xml:space="preserve">  /  /  / </v>
      </c>
    </row>
    <row r="2577" spans="1:8" ht="12.75" x14ac:dyDescent="0.2">
      <c r="A2577" s="1"/>
      <c r="B2577" s="1"/>
      <c r="C2577" s="1"/>
      <c r="D2577" s="1"/>
      <c r="E2577" s="1"/>
      <c r="F2577" s="1" t="str">
        <f ca="1">IFERROR(__xludf.DUMMYFUNCTION("""COMPUTED_VALUE""")," - ")</f>
        <v xml:space="preserve"> - </v>
      </c>
      <c r="G2577" s="1" t="str">
        <f ca="1">IFERROR(__xludf.DUMMYFUNCTION("""COMPUTED_VALUE""")," /  /  / ")</f>
        <v xml:space="preserve"> /  /  / </v>
      </c>
      <c r="H2577" s="1" t="str">
        <f ca="1">IFERROR(__xludf.DUMMYFUNCTION("""COMPUTED_VALUE"""),"  /  /  / ")</f>
        <v xml:space="preserve">  /  /  / </v>
      </c>
    </row>
    <row r="2578" spans="1:8" ht="12.75" x14ac:dyDescent="0.2">
      <c r="A2578" s="1"/>
      <c r="B2578" s="1"/>
      <c r="C2578" s="1"/>
      <c r="D2578" s="1"/>
      <c r="E2578" s="1"/>
      <c r="F2578" s="1" t="str">
        <f ca="1">IFERROR(__xludf.DUMMYFUNCTION("""COMPUTED_VALUE""")," - ")</f>
        <v xml:space="preserve"> - </v>
      </c>
      <c r="G2578" s="1" t="str">
        <f ca="1">IFERROR(__xludf.DUMMYFUNCTION("""COMPUTED_VALUE""")," /  /  / ")</f>
        <v xml:space="preserve"> /  /  / </v>
      </c>
      <c r="H2578" s="1" t="str">
        <f ca="1">IFERROR(__xludf.DUMMYFUNCTION("""COMPUTED_VALUE"""),"  /  /  / ")</f>
        <v xml:space="preserve">  /  /  / </v>
      </c>
    </row>
    <row r="2579" spans="1:8" ht="12.75" x14ac:dyDescent="0.2">
      <c r="A2579" s="1"/>
      <c r="B2579" s="1"/>
      <c r="C2579" s="1"/>
      <c r="D2579" s="1"/>
      <c r="E2579" s="1"/>
      <c r="F2579" s="1" t="str">
        <f ca="1">IFERROR(__xludf.DUMMYFUNCTION("""COMPUTED_VALUE""")," - ")</f>
        <v xml:space="preserve"> - </v>
      </c>
      <c r="G2579" s="1" t="str">
        <f ca="1">IFERROR(__xludf.DUMMYFUNCTION("""COMPUTED_VALUE""")," /  /  / ")</f>
        <v xml:space="preserve"> /  /  / </v>
      </c>
      <c r="H2579" s="1" t="str">
        <f ca="1">IFERROR(__xludf.DUMMYFUNCTION("""COMPUTED_VALUE"""),"  /  /  / ")</f>
        <v xml:space="preserve">  /  /  / </v>
      </c>
    </row>
    <row r="2580" spans="1:8" ht="12.75" x14ac:dyDescent="0.2">
      <c r="A2580" s="1"/>
      <c r="B2580" s="1"/>
      <c r="C2580" s="1"/>
      <c r="D2580" s="1"/>
      <c r="E2580" s="1"/>
      <c r="F2580" s="1" t="str">
        <f ca="1">IFERROR(__xludf.DUMMYFUNCTION("""COMPUTED_VALUE""")," - ")</f>
        <v xml:space="preserve"> - </v>
      </c>
      <c r="G2580" s="1" t="str">
        <f ca="1">IFERROR(__xludf.DUMMYFUNCTION("""COMPUTED_VALUE""")," /  /  / ")</f>
        <v xml:space="preserve"> /  /  / </v>
      </c>
      <c r="H2580" s="1" t="str">
        <f ca="1">IFERROR(__xludf.DUMMYFUNCTION("""COMPUTED_VALUE"""),"  /  /  / ")</f>
        <v xml:space="preserve">  /  /  / </v>
      </c>
    </row>
    <row r="2581" spans="1:8" ht="12.75" x14ac:dyDescent="0.2">
      <c r="A2581" s="1"/>
      <c r="B2581" s="1"/>
      <c r="C2581" s="1"/>
      <c r="D2581" s="1"/>
      <c r="E2581" s="1"/>
      <c r="F2581" s="1" t="str">
        <f ca="1">IFERROR(__xludf.DUMMYFUNCTION("""COMPUTED_VALUE""")," - ")</f>
        <v xml:space="preserve"> - </v>
      </c>
      <c r="G2581" s="1" t="str">
        <f ca="1">IFERROR(__xludf.DUMMYFUNCTION("""COMPUTED_VALUE""")," /  /  / ")</f>
        <v xml:space="preserve"> /  /  / </v>
      </c>
      <c r="H2581" s="1" t="str">
        <f ca="1">IFERROR(__xludf.DUMMYFUNCTION("""COMPUTED_VALUE"""),"  /  /  / ")</f>
        <v xml:space="preserve">  /  /  / </v>
      </c>
    </row>
    <row r="2582" spans="1:8" ht="12.75" x14ac:dyDescent="0.2">
      <c r="A2582" s="1"/>
      <c r="B2582" s="1"/>
      <c r="C2582" s="1"/>
      <c r="D2582" s="1"/>
      <c r="E2582" s="1"/>
      <c r="F2582" s="1" t="str">
        <f ca="1">IFERROR(__xludf.DUMMYFUNCTION("""COMPUTED_VALUE""")," - ")</f>
        <v xml:space="preserve"> - </v>
      </c>
      <c r="G2582" s="1" t="str">
        <f ca="1">IFERROR(__xludf.DUMMYFUNCTION("""COMPUTED_VALUE""")," /  /  / ")</f>
        <v xml:space="preserve"> /  /  / </v>
      </c>
      <c r="H2582" s="1" t="str">
        <f ca="1">IFERROR(__xludf.DUMMYFUNCTION("""COMPUTED_VALUE"""),"  /  /  / ")</f>
        <v xml:space="preserve">  /  /  / </v>
      </c>
    </row>
    <row r="2583" spans="1:8" ht="12.75" x14ac:dyDescent="0.2">
      <c r="A2583" s="1"/>
      <c r="B2583" s="1"/>
      <c r="C2583" s="1"/>
      <c r="D2583" s="1"/>
      <c r="E2583" s="1"/>
      <c r="F2583" s="1" t="str">
        <f ca="1">IFERROR(__xludf.DUMMYFUNCTION("""COMPUTED_VALUE""")," - ")</f>
        <v xml:space="preserve"> - </v>
      </c>
      <c r="G2583" s="1" t="str">
        <f ca="1">IFERROR(__xludf.DUMMYFUNCTION("""COMPUTED_VALUE""")," /  /  / ")</f>
        <v xml:space="preserve"> /  /  / </v>
      </c>
      <c r="H2583" s="1" t="str">
        <f ca="1">IFERROR(__xludf.DUMMYFUNCTION("""COMPUTED_VALUE"""),"  /  /  / ")</f>
        <v xml:space="preserve">  /  /  / </v>
      </c>
    </row>
    <row r="2584" spans="1:8" ht="12.75" x14ac:dyDescent="0.2">
      <c r="A2584" s="1"/>
      <c r="B2584" s="1"/>
      <c r="C2584" s="1"/>
      <c r="D2584" s="1"/>
      <c r="E2584" s="1"/>
      <c r="F2584" s="1" t="str">
        <f ca="1">IFERROR(__xludf.DUMMYFUNCTION("""COMPUTED_VALUE""")," - ")</f>
        <v xml:space="preserve"> - </v>
      </c>
      <c r="G2584" s="1" t="str">
        <f ca="1">IFERROR(__xludf.DUMMYFUNCTION("""COMPUTED_VALUE""")," /  /  / ")</f>
        <v xml:space="preserve"> /  /  / </v>
      </c>
      <c r="H2584" s="1" t="str">
        <f ca="1">IFERROR(__xludf.DUMMYFUNCTION("""COMPUTED_VALUE"""),"  /  /  / ")</f>
        <v xml:space="preserve">  /  /  / </v>
      </c>
    </row>
    <row r="2585" spans="1:8" ht="12.75" x14ac:dyDescent="0.2">
      <c r="A2585" s="1"/>
      <c r="B2585" s="1"/>
      <c r="C2585" s="1"/>
      <c r="D2585" s="1"/>
      <c r="E2585" s="1"/>
      <c r="F2585" s="1" t="str">
        <f ca="1">IFERROR(__xludf.DUMMYFUNCTION("""COMPUTED_VALUE""")," - ")</f>
        <v xml:space="preserve"> - </v>
      </c>
      <c r="G2585" s="1" t="str">
        <f ca="1">IFERROR(__xludf.DUMMYFUNCTION("""COMPUTED_VALUE""")," /  /  / ")</f>
        <v xml:space="preserve"> /  /  / </v>
      </c>
      <c r="H2585" s="1" t="str">
        <f ca="1">IFERROR(__xludf.DUMMYFUNCTION("""COMPUTED_VALUE"""),"  /  /  / ")</f>
        <v xml:space="preserve">  /  /  / </v>
      </c>
    </row>
    <row r="2586" spans="1:8" ht="12.75" x14ac:dyDescent="0.2">
      <c r="A2586" s="1"/>
      <c r="B2586" s="1"/>
      <c r="C2586" s="1"/>
      <c r="D2586" s="1"/>
      <c r="E2586" s="1"/>
      <c r="F2586" s="1" t="str">
        <f ca="1">IFERROR(__xludf.DUMMYFUNCTION("""COMPUTED_VALUE""")," - ")</f>
        <v xml:space="preserve"> - </v>
      </c>
      <c r="G2586" s="1" t="str">
        <f ca="1">IFERROR(__xludf.DUMMYFUNCTION("""COMPUTED_VALUE""")," /  /  / ")</f>
        <v xml:space="preserve"> /  /  / </v>
      </c>
      <c r="H2586" s="1" t="str">
        <f ca="1">IFERROR(__xludf.DUMMYFUNCTION("""COMPUTED_VALUE"""),"  /  /  / ")</f>
        <v xml:space="preserve">  /  /  / </v>
      </c>
    </row>
    <row r="2587" spans="1:8" ht="12.75" x14ac:dyDescent="0.2">
      <c r="A2587" s="1"/>
      <c r="B2587" s="1"/>
      <c r="C2587" s="1"/>
      <c r="D2587" s="1"/>
      <c r="E2587" s="1"/>
      <c r="F2587" s="1" t="str">
        <f ca="1">IFERROR(__xludf.DUMMYFUNCTION("""COMPUTED_VALUE""")," - ")</f>
        <v xml:space="preserve"> - </v>
      </c>
      <c r="G2587" s="1" t="str">
        <f ca="1">IFERROR(__xludf.DUMMYFUNCTION("""COMPUTED_VALUE""")," /  /  / ")</f>
        <v xml:space="preserve"> /  /  / </v>
      </c>
      <c r="H2587" s="1" t="str">
        <f ca="1">IFERROR(__xludf.DUMMYFUNCTION("""COMPUTED_VALUE"""),"  /  /  / ")</f>
        <v xml:space="preserve">  /  /  / </v>
      </c>
    </row>
    <row r="2588" spans="1:8" ht="12.75" x14ac:dyDescent="0.2">
      <c r="A2588" s="1"/>
      <c r="B2588" s="1"/>
      <c r="C2588" s="1"/>
      <c r="D2588" s="1"/>
      <c r="E2588" s="1"/>
      <c r="F2588" s="1" t="str">
        <f ca="1">IFERROR(__xludf.DUMMYFUNCTION("""COMPUTED_VALUE""")," - ")</f>
        <v xml:space="preserve"> - </v>
      </c>
      <c r="G2588" s="1" t="str">
        <f ca="1">IFERROR(__xludf.DUMMYFUNCTION("""COMPUTED_VALUE""")," /  /  / ")</f>
        <v xml:space="preserve"> /  /  / </v>
      </c>
      <c r="H2588" s="1" t="str">
        <f ca="1">IFERROR(__xludf.DUMMYFUNCTION("""COMPUTED_VALUE"""),"  /  /  / ")</f>
        <v xml:space="preserve">  /  /  / </v>
      </c>
    </row>
    <row r="2589" spans="1:8" ht="12.75" x14ac:dyDescent="0.2">
      <c r="A2589" s="1"/>
      <c r="B2589" s="1"/>
      <c r="C2589" s="1"/>
      <c r="D2589" s="1"/>
      <c r="E2589" s="1"/>
      <c r="F2589" s="1" t="str">
        <f ca="1">IFERROR(__xludf.DUMMYFUNCTION("""COMPUTED_VALUE""")," - ")</f>
        <v xml:space="preserve"> - </v>
      </c>
      <c r="G2589" s="1" t="str">
        <f ca="1">IFERROR(__xludf.DUMMYFUNCTION("""COMPUTED_VALUE""")," /  /  / ")</f>
        <v xml:space="preserve"> /  /  / </v>
      </c>
      <c r="H2589" s="1" t="str">
        <f ca="1">IFERROR(__xludf.DUMMYFUNCTION("""COMPUTED_VALUE"""),"  /  /  / ")</f>
        <v xml:space="preserve">  /  /  / </v>
      </c>
    </row>
    <row r="2590" spans="1:8" ht="12.75" x14ac:dyDescent="0.2">
      <c r="A2590" s="1"/>
      <c r="B2590" s="1"/>
      <c r="C2590" s="1"/>
      <c r="D2590" s="1"/>
      <c r="E2590" s="1"/>
      <c r="F2590" s="1" t="str">
        <f ca="1">IFERROR(__xludf.DUMMYFUNCTION("""COMPUTED_VALUE""")," - ")</f>
        <v xml:space="preserve"> - </v>
      </c>
      <c r="G2590" s="1" t="str">
        <f ca="1">IFERROR(__xludf.DUMMYFUNCTION("""COMPUTED_VALUE""")," /  /  / ")</f>
        <v xml:space="preserve"> /  /  / </v>
      </c>
      <c r="H2590" s="1" t="str">
        <f ca="1">IFERROR(__xludf.DUMMYFUNCTION("""COMPUTED_VALUE"""),"  /  /  / ")</f>
        <v xml:space="preserve">  /  /  / </v>
      </c>
    </row>
    <row r="2591" spans="1:8" ht="12.75" x14ac:dyDescent="0.2">
      <c r="A2591" s="1"/>
      <c r="B2591" s="1"/>
      <c r="C2591" s="1"/>
      <c r="D2591" s="1"/>
      <c r="E2591" s="1"/>
      <c r="F2591" s="1" t="str">
        <f ca="1">IFERROR(__xludf.DUMMYFUNCTION("""COMPUTED_VALUE""")," - ")</f>
        <v xml:space="preserve"> - </v>
      </c>
      <c r="G2591" s="1" t="str">
        <f ca="1">IFERROR(__xludf.DUMMYFUNCTION("""COMPUTED_VALUE""")," /  /  / ")</f>
        <v xml:space="preserve"> /  /  / </v>
      </c>
      <c r="H2591" s="1" t="str">
        <f ca="1">IFERROR(__xludf.DUMMYFUNCTION("""COMPUTED_VALUE"""),"  /  /  / ")</f>
        <v xml:space="preserve">  /  /  / </v>
      </c>
    </row>
    <row r="2592" spans="1:8" ht="12.75" x14ac:dyDescent="0.2">
      <c r="A2592" s="1"/>
      <c r="B2592" s="1"/>
      <c r="C2592" s="1"/>
      <c r="D2592" s="1"/>
      <c r="E2592" s="1"/>
      <c r="F2592" s="1" t="str">
        <f ca="1">IFERROR(__xludf.DUMMYFUNCTION("""COMPUTED_VALUE""")," - ")</f>
        <v xml:space="preserve"> - </v>
      </c>
      <c r="G2592" s="1" t="str">
        <f ca="1">IFERROR(__xludf.DUMMYFUNCTION("""COMPUTED_VALUE""")," /  /  / ")</f>
        <v xml:space="preserve"> /  /  / </v>
      </c>
      <c r="H2592" s="1" t="str">
        <f ca="1">IFERROR(__xludf.DUMMYFUNCTION("""COMPUTED_VALUE"""),"  /  /  / ")</f>
        <v xml:space="preserve">  /  /  / </v>
      </c>
    </row>
    <row r="2593" spans="1:8" ht="12.75" x14ac:dyDescent="0.2">
      <c r="A2593" s="1"/>
      <c r="B2593" s="1"/>
      <c r="C2593" s="1"/>
      <c r="D2593" s="1"/>
      <c r="E2593" s="1"/>
      <c r="F2593" s="1" t="str">
        <f ca="1">IFERROR(__xludf.DUMMYFUNCTION("""COMPUTED_VALUE""")," - ")</f>
        <v xml:space="preserve"> - </v>
      </c>
      <c r="G2593" s="1" t="str">
        <f ca="1">IFERROR(__xludf.DUMMYFUNCTION("""COMPUTED_VALUE""")," /  /  / ")</f>
        <v xml:space="preserve"> /  /  / </v>
      </c>
      <c r="H2593" s="1" t="str">
        <f ca="1">IFERROR(__xludf.DUMMYFUNCTION("""COMPUTED_VALUE"""),"  /  /  / ")</f>
        <v xml:space="preserve">  /  /  / </v>
      </c>
    </row>
    <row r="2594" spans="1:8" ht="12.75" x14ac:dyDescent="0.2">
      <c r="A2594" s="1"/>
      <c r="B2594" s="1"/>
      <c r="C2594" s="1"/>
      <c r="D2594" s="1"/>
      <c r="E2594" s="1"/>
      <c r="F2594" s="1" t="str">
        <f ca="1">IFERROR(__xludf.DUMMYFUNCTION("""COMPUTED_VALUE""")," - ")</f>
        <v xml:space="preserve"> - </v>
      </c>
      <c r="G2594" s="1" t="str">
        <f ca="1">IFERROR(__xludf.DUMMYFUNCTION("""COMPUTED_VALUE""")," /  /  / ")</f>
        <v xml:space="preserve"> /  /  / </v>
      </c>
      <c r="H2594" s="1" t="str">
        <f ca="1">IFERROR(__xludf.DUMMYFUNCTION("""COMPUTED_VALUE"""),"  /  /  / ")</f>
        <v xml:space="preserve">  /  /  / </v>
      </c>
    </row>
    <row r="2595" spans="1:8" ht="12.75" x14ac:dyDescent="0.2">
      <c r="A2595" s="1"/>
      <c r="B2595" s="1"/>
      <c r="C2595" s="1"/>
      <c r="D2595" s="1"/>
      <c r="E2595" s="1"/>
      <c r="F2595" s="1" t="str">
        <f ca="1">IFERROR(__xludf.DUMMYFUNCTION("""COMPUTED_VALUE""")," - ")</f>
        <v xml:space="preserve"> - </v>
      </c>
      <c r="G2595" s="1" t="str">
        <f ca="1">IFERROR(__xludf.DUMMYFUNCTION("""COMPUTED_VALUE""")," /  /  / ")</f>
        <v xml:space="preserve"> /  /  / </v>
      </c>
      <c r="H2595" s="1" t="str">
        <f ca="1">IFERROR(__xludf.DUMMYFUNCTION("""COMPUTED_VALUE"""),"  /  /  / ")</f>
        <v xml:space="preserve">  /  /  / </v>
      </c>
    </row>
    <row r="2596" spans="1:8" ht="12.75" x14ac:dyDescent="0.2">
      <c r="A2596" s="1"/>
      <c r="B2596" s="1"/>
      <c r="C2596" s="1"/>
      <c r="D2596" s="1"/>
      <c r="E2596" s="1"/>
      <c r="F2596" s="1" t="str">
        <f ca="1">IFERROR(__xludf.DUMMYFUNCTION("""COMPUTED_VALUE""")," - ")</f>
        <v xml:space="preserve"> - </v>
      </c>
      <c r="G2596" s="1" t="str">
        <f ca="1">IFERROR(__xludf.DUMMYFUNCTION("""COMPUTED_VALUE""")," /  /  / ")</f>
        <v xml:space="preserve"> /  /  / </v>
      </c>
      <c r="H2596" s="1" t="str">
        <f ca="1">IFERROR(__xludf.DUMMYFUNCTION("""COMPUTED_VALUE"""),"  /  /  / ")</f>
        <v xml:space="preserve">  /  /  / </v>
      </c>
    </row>
    <row r="2597" spans="1:8" ht="12.75" x14ac:dyDescent="0.2">
      <c r="A2597" s="1"/>
      <c r="B2597" s="1"/>
      <c r="C2597" s="1"/>
      <c r="D2597" s="1"/>
      <c r="E2597" s="1"/>
      <c r="F2597" s="1" t="str">
        <f ca="1">IFERROR(__xludf.DUMMYFUNCTION("""COMPUTED_VALUE""")," - ")</f>
        <v xml:space="preserve"> - </v>
      </c>
      <c r="G2597" s="1" t="str">
        <f ca="1">IFERROR(__xludf.DUMMYFUNCTION("""COMPUTED_VALUE""")," /  /  / ")</f>
        <v xml:space="preserve"> /  /  / </v>
      </c>
      <c r="H2597" s="1" t="str">
        <f ca="1">IFERROR(__xludf.DUMMYFUNCTION("""COMPUTED_VALUE"""),"  /  /  / ")</f>
        <v xml:space="preserve">  /  /  / </v>
      </c>
    </row>
    <row r="2598" spans="1:8" ht="12.75" x14ac:dyDescent="0.2">
      <c r="A2598" s="1"/>
      <c r="B2598" s="1"/>
      <c r="C2598" s="1"/>
      <c r="D2598" s="1"/>
      <c r="E2598" s="1"/>
      <c r="F2598" s="1" t="str">
        <f ca="1">IFERROR(__xludf.DUMMYFUNCTION("""COMPUTED_VALUE""")," - ")</f>
        <v xml:space="preserve"> - </v>
      </c>
      <c r="G2598" s="1" t="str">
        <f ca="1">IFERROR(__xludf.DUMMYFUNCTION("""COMPUTED_VALUE""")," /  /  / ")</f>
        <v xml:space="preserve"> /  /  / </v>
      </c>
      <c r="H2598" s="1" t="str">
        <f ca="1">IFERROR(__xludf.DUMMYFUNCTION("""COMPUTED_VALUE"""),"  /  /  / ")</f>
        <v xml:space="preserve">  /  /  / </v>
      </c>
    </row>
    <row r="2599" spans="1:8" ht="12.75" x14ac:dyDescent="0.2">
      <c r="A2599" s="1"/>
      <c r="B2599" s="1"/>
      <c r="C2599" s="1"/>
      <c r="D2599" s="1"/>
      <c r="E2599" s="1"/>
      <c r="F2599" s="1" t="str">
        <f ca="1">IFERROR(__xludf.DUMMYFUNCTION("""COMPUTED_VALUE""")," - ")</f>
        <v xml:space="preserve"> - </v>
      </c>
      <c r="G2599" s="1" t="str">
        <f ca="1">IFERROR(__xludf.DUMMYFUNCTION("""COMPUTED_VALUE""")," /  /  / ")</f>
        <v xml:space="preserve"> /  /  / </v>
      </c>
      <c r="H2599" s="1" t="str">
        <f ca="1">IFERROR(__xludf.DUMMYFUNCTION("""COMPUTED_VALUE"""),"  /  /  / ")</f>
        <v xml:space="preserve">  /  /  / </v>
      </c>
    </row>
    <row r="2600" spans="1:8" ht="12.75" x14ac:dyDescent="0.2">
      <c r="A2600" s="1"/>
      <c r="B2600" s="1"/>
      <c r="C2600" s="1"/>
      <c r="D2600" s="1"/>
      <c r="E2600" s="1"/>
      <c r="F2600" s="1" t="str">
        <f ca="1">IFERROR(__xludf.DUMMYFUNCTION("""COMPUTED_VALUE""")," - ")</f>
        <v xml:space="preserve"> - </v>
      </c>
      <c r="G2600" s="1" t="str">
        <f ca="1">IFERROR(__xludf.DUMMYFUNCTION("""COMPUTED_VALUE""")," /  /  / ")</f>
        <v xml:space="preserve"> /  /  / </v>
      </c>
      <c r="H2600" s="1" t="str">
        <f ca="1">IFERROR(__xludf.DUMMYFUNCTION("""COMPUTED_VALUE"""),"  /  /  / ")</f>
        <v xml:space="preserve">  /  /  / </v>
      </c>
    </row>
    <row r="2601" spans="1:8" ht="12.75" x14ac:dyDescent="0.2">
      <c r="A2601" s="1"/>
      <c r="B2601" s="1"/>
      <c r="C2601" s="1"/>
      <c r="D2601" s="1"/>
      <c r="E2601" s="1"/>
      <c r="F2601" s="1" t="str">
        <f ca="1">IFERROR(__xludf.DUMMYFUNCTION("""COMPUTED_VALUE""")," - ")</f>
        <v xml:space="preserve"> - </v>
      </c>
      <c r="G2601" s="1" t="str">
        <f ca="1">IFERROR(__xludf.DUMMYFUNCTION("""COMPUTED_VALUE""")," /  /  / ")</f>
        <v xml:space="preserve"> /  /  / </v>
      </c>
      <c r="H2601" s="1" t="str">
        <f ca="1">IFERROR(__xludf.DUMMYFUNCTION("""COMPUTED_VALUE"""),"  /  /  / ")</f>
        <v xml:space="preserve">  /  /  / </v>
      </c>
    </row>
    <row r="2602" spans="1:8" ht="12.75" x14ac:dyDescent="0.2">
      <c r="A2602" s="1"/>
      <c r="B2602" s="1"/>
      <c r="C2602" s="1"/>
      <c r="D2602" s="1"/>
      <c r="E2602" s="1"/>
      <c r="F2602" s="1" t="str">
        <f ca="1">IFERROR(__xludf.DUMMYFUNCTION("""COMPUTED_VALUE""")," - ")</f>
        <v xml:space="preserve"> - </v>
      </c>
      <c r="G2602" s="1" t="str">
        <f ca="1">IFERROR(__xludf.DUMMYFUNCTION("""COMPUTED_VALUE""")," /  /  / ")</f>
        <v xml:space="preserve"> /  /  / </v>
      </c>
      <c r="H2602" s="1" t="str">
        <f ca="1">IFERROR(__xludf.DUMMYFUNCTION("""COMPUTED_VALUE"""),"  /  /  / ")</f>
        <v xml:space="preserve">  /  /  / </v>
      </c>
    </row>
    <row r="2603" spans="1:8" ht="12.75" x14ac:dyDescent="0.2">
      <c r="A2603" s="1"/>
      <c r="B2603" s="1"/>
      <c r="C2603" s="1"/>
      <c r="D2603" s="1"/>
      <c r="E2603" s="1"/>
      <c r="F2603" s="1" t="str">
        <f ca="1">IFERROR(__xludf.DUMMYFUNCTION("""COMPUTED_VALUE""")," - ")</f>
        <v xml:space="preserve"> - </v>
      </c>
      <c r="G2603" s="1" t="str">
        <f ca="1">IFERROR(__xludf.DUMMYFUNCTION("""COMPUTED_VALUE""")," /  /  / ")</f>
        <v xml:space="preserve"> /  /  / </v>
      </c>
      <c r="H2603" s="1" t="str">
        <f ca="1">IFERROR(__xludf.DUMMYFUNCTION("""COMPUTED_VALUE"""),"  /  /  / ")</f>
        <v xml:space="preserve">  /  /  / </v>
      </c>
    </row>
    <row r="2604" spans="1:8" ht="12.75" x14ac:dyDescent="0.2">
      <c r="A2604" s="1"/>
      <c r="B2604" s="1"/>
      <c r="C2604" s="1"/>
      <c r="D2604" s="1"/>
      <c r="E2604" s="1"/>
      <c r="F2604" s="1" t="str">
        <f ca="1">IFERROR(__xludf.DUMMYFUNCTION("""COMPUTED_VALUE""")," - ")</f>
        <v xml:space="preserve"> - </v>
      </c>
      <c r="G2604" s="1" t="str">
        <f ca="1">IFERROR(__xludf.DUMMYFUNCTION("""COMPUTED_VALUE""")," /  /  / ")</f>
        <v xml:space="preserve"> /  /  / </v>
      </c>
      <c r="H2604" s="1" t="str">
        <f ca="1">IFERROR(__xludf.DUMMYFUNCTION("""COMPUTED_VALUE"""),"  /  /  / ")</f>
        <v xml:space="preserve">  /  /  / </v>
      </c>
    </row>
    <row r="2605" spans="1:8" ht="12.75" x14ac:dyDescent="0.2">
      <c r="A2605" s="1"/>
      <c r="B2605" s="1"/>
      <c r="C2605" s="1"/>
      <c r="D2605" s="1"/>
      <c r="E2605" s="1"/>
      <c r="F2605" s="1" t="str">
        <f ca="1">IFERROR(__xludf.DUMMYFUNCTION("""COMPUTED_VALUE""")," - ")</f>
        <v xml:space="preserve"> - </v>
      </c>
      <c r="G2605" s="1" t="str">
        <f ca="1">IFERROR(__xludf.DUMMYFUNCTION("""COMPUTED_VALUE""")," /  /  / ")</f>
        <v xml:space="preserve"> /  /  / </v>
      </c>
      <c r="H2605" s="1" t="str">
        <f ca="1">IFERROR(__xludf.DUMMYFUNCTION("""COMPUTED_VALUE"""),"  /  /  / ")</f>
        <v xml:space="preserve">  /  /  / </v>
      </c>
    </row>
    <row r="2606" spans="1:8" ht="12.75" x14ac:dyDescent="0.2">
      <c r="A2606" s="1"/>
      <c r="B2606" s="1"/>
      <c r="C2606" s="1"/>
      <c r="D2606" s="1"/>
      <c r="E2606" s="1"/>
      <c r="F2606" s="1" t="str">
        <f ca="1">IFERROR(__xludf.DUMMYFUNCTION("""COMPUTED_VALUE""")," - ")</f>
        <v xml:space="preserve"> - </v>
      </c>
      <c r="G2606" s="1" t="str">
        <f ca="1">IFERROR(__xludf.DUMMYFUNCTION("""COMPUTED_VALUE""")," /  /  / ")</f>
        <v xml:space="preserve"> /  /  / </v>
      </c>
      <c r="H2606" s="1" t="str">
        <f ca="1">IFERROR(__xludf.DUMMYFUNCTION("""COMPUTED_VALUE"""),"  /  /  / ")</f>
        <v xml:space="preserve">  /  /  / </v>
      </c>
    </row>
    <row r="2607" spans="1:8" ht="12.75" x14ac:dyDescent="0.2">
      <c r="A2607" s="1"/>
      <c r="B2607" s="1"/>
      <c r="C2607" s="1"/>
      <c r="D2607" s="1"/>
      <c r="E2607" s="1"/>
      <c r="F2607" s="1" t="str">
        <f ca="1">IFERROR(__xludf.DUMMYFUNCTION("""COMPUTED_VALUE""")," - ")</f>
        <v xml:space="preserve"> - </v>
      </c>
      <c r="G2607" s="1" t="str">
        <f ca="1">IFERROR(__xludf.DUMMYFUNCTION("""COMPUTED_VALUE""")," /  /  / ")</f>
        <v xml:space="preserve"> /  /  / </v>
      </c>
      <c r="H2607" s="1" t="str">
        <f ca="1">IFERROR(__xludf.DUMMYFUNCTION("""COMPUTED_VALUE"""),"  /  /  / ")</f>
        <v xml:space="preserve">  /  /  / </v>
      </c>
    </row>
    <row r="2608" spans="1:8" ht="12.75" x14ac:dyDescent="0.2">
      <c r="A2608" s="1"/>
      <c r="B2608" s="1"/>
      <c r="C2608" s="1"/>
      <c r="D2608" s="1"/>
      <c r="E2608" s="1"/>
      <c r="F2608" s="1" t="str">
        <f ca="1">IFERROR(__xludf.DUMMYFUNCTION("""COMPUTED_VALUE""")," - ")</f>
        <v xml:space="preserve"> - </v>
      </c>
      <c r="G2608" s="1" t="str">
        <f ca="1">IFERROR(__xludf.DUMMYFUNCTION("""COMPUTED_VALUE""")," /  /  / ")</f>
        <v xml:space="preserve"> /  /  / </v>
      </c>
      <c r="H2608" s="1" t="str">
        <f ca="1">IFERROR(__xludf.DUMMYFUNCTION("""COMPUTED_VALUE"""),"  /  /  / ")</f>
        <v xml:space="preserve">  /  /  / </v>
      </c>
    </row>
    <row r="2609" spans="1:8" ht="12.75" x14ac:dyDescent="0.2">
      <c r="A2609" s="1"/>
      <c r="B2609" s="1"/>
      <c r="C2609" s="1"/>
      <c r="D2609" s="1"/>
      <c r="E2609" s="1"/>
      <c r="F2609" s="1" t="str">
        <f ca="1">IFERROR(__xludf.DUMMYFUNCTION("""COMPUTED_VALUE""")," - ")</f>
        <v xml:space="preserve"> - </v>
      </c>
      <c r="G2609" s="1" t="str">
        <f ca="1">IFERROR(__xludf.DUMMYFUNCTION("""COMPUTED_VALUE""")," /  /  / ")</f>
        <v xml:space="preserve"> /  /  / </v>
      </c>
      <c r="H2609" s="1" t="str">
        <f ca="1">IFERROR(__xludf.DUMMYFUNCTION("""COMPUTED_VALUE"""),"  /  /  / ")</f>
        <v xml:space="preserve">  /  /  / </v>
      </c>
    </row>
    <row r="2610" spans="1:8" ht="12.75" x14ac:dyDescent="0.2">
      <c r="A2610" s="1"/>
      <c r="B2610" s="1"/>
      <c r="C2610" s="1"/>
      <c r="D2610" s="1"/>
      <c r="E2610" s="1"/>
      <c r="F2610" s="1" t="str">
        <f ca="1">IFERROR(__xludf.DUMMYFUNCTION("""COMPUTED_VALUE""")," - ")</f>
        <v xml:space="preserve"> - </v>
      </c>
      <c r="G2610" s="1" t="str">
        <f ca="1">IFERROR(__xludf.DUMMYFUNCTION("""COMPUTED_VALUE""")," /  /  / ")</f>
        <v xml:space="preserve"> /  /  / </v>
      </c>
      <c r="H2610" s="1" t="str">
        <f ca="1">IFERROR(__xludf.DUMMYFUNCTION("""COMPUTED_VALUE"""),"  /  /  / ")</f>
        <v xml:space="preserve">  /  /  / </v>
      </c>
    </row>
    <row r="2611" spans="1:8" ht="12.75" x14ac:dyDescent="0.2">
      <c r="A2611" s="1"/>
      <c r="B2611" s="1"/>
      <c r="C2611" s="1"/>
      <c r="D2611" s="1"/>
      <c r="E2611" s="1"/>
      <c r="F2611" s="1" t="str">
        <f ca="1">IFERROR(__xludf.DUMMYFUNCTION("""COMPUTED_VALUE""")," - ")</f>
        <v xml:space="preserve"> - </v>
      </c>
      <c r="G2611" s="1" t="str">
        <f ca="1">IFERROR(__xludf.DUMMYFUNCTION("""COMPUTED_VALUE""")," /  /  / ")</f>
        <v xml:space="preserve"> /  /  / </v>
      </c>
      <c r="H2611" s="1" t="str">
        <f ca="1">IFERROR(__xludf.DUMMYFUNCTION("""COMPUTED_VALUE"""),"  /  /  / ")</f>
        <v xml:space="preserve">  /  /  / </v>
      </c>
    </row>
    <row r="2612" spans="1:8" ht="12.75" x14ac:dyDescent="0.2">
      <c r="A2612" s="1"/>
      <c r="B2612" s="1"/>
      <c r="C2612" s="1"/>
      <c r="D2612" s="1"/>
      <c r="E2612" s="1"/>
      <c r="F2612" s="1" t="str">
        <f ca="1">IFERROR(__xludf.DUMMYFUNCTION("""COMPUTED_VALUE""")," - ")</f>
        <v xml:space="preserve"> - </v>
      </c>
      <c r="G2612" s="1" t="str">
        <f ca="1">IFERROR(__xludf.DUMMYFUNCTION("""COMPUTED_VALUE""")," /  /  / ")</f>
        <v xml:space="preserve"> /  /  / </v>
      </c>
      <c r="H2612" s="1" t="str">
        <f ca="1">IFERROR(__xludf.DUMMYFUNCTION("""COMPUTED_VALUE"""),"  /  /  / ")</f>
        <v xml:space="preserve">  /  /  / </v>
      </c>
    </row>
    <row r="2613" spans="1:8" ht="12.75" x14ac:dyDescent="0.2">
      <c r="A2613" s="1"/>
      <c r="B2613" s="1"/>
      <c r="C2613" s="1"/>
      <c r="D2613" s="1"/>
      <c r="E2613" s="1"/>
      <c r="F2613" s="1" t="str">
        <f ca="1">IFERROR(__xludf.DUMMYFUNCTION("""COMPUTED_VALUE""")," - ")</f>
        <v xml:space="preserve"> - </v>
      </c>
      <c r="G2613" s="1" t="str">
        <f ca="1">IFERROR(__xludf.DUMMYFUNCTION("""COMPUTED_VALUE""")," /  /  / ")</f>
        <v xml:space="preserve"> /  /  / </v>
      </c>
      <c r="H2613" s="1" t="str">
        <f ca="1">IFERROR(__xludf.DUMMYFUNCTION("""COMPUTED_VALUE"""),"  /  /  / ")</f>
        <v xml:space="preserve">  /  /  / </v>
      </c>
    </row>
    <row r="2614" spans="1:8" ht="12.75" x14ac:dyDescent="0.2">
      <c r="A2614" s="1"/>
      <c r="B2614" s="1"/>
      <c r="C2614" s="1"/>
      <c r="D2614" s="1"/>
      <c r="E2614" s="1"/>
      <c r="F2614" s="1" t="str">
        <f ca="1">IFERROR(__xludf.DUMMYFUNCTION("""COMPUTED_VALUE""")," - ")</f>
        <v xml:space="preserve"> - </v>
      </c>
      <c r="G2614" s="1" t="str">
        <f ca="1">IFERROR(__xludf.DUMMYFUNCTION("""COMPUTED_VALUE""")," /  /  / ")</f>
        <v xml:space="preserve"> /  /  / </v>
      </c>
      <c r="H2614" s="1" t="str">
        <f ca="1">IFERROR(__xludf.DUMMYFUNCTION("""COMPUTED_VALUE"""),"  /  /  / ")</f>
        <v xml:space="preserve">  /  /  / </v>
      </c>
    </row>
    <row r="2615" spans="1:8" ht="12.75" x14ac:dyDescent="0.2">
      <c r="A2615" s="1"/>
      <c r="B2615" s="1"/>
      <c r="C2615" s="1"/>
      <c r="D2615" s="1"/>
      <c r="E2615" s="1"/>
      <c r="F2615" s="1" t="str">
        <f ca="1">IFERROR(__xludf.DUMMYFUNCTION("""COMPUTED_VALUE""")," - ")</f>
        <v xml:space="preserve"> - </v>
      </c>
      <c r="G2615" s="1" t="str">
        <f ca="1">IFERROR(__xludf.DUMMYFUNCTION("""COMPUTED_VALUE""")," /  /  / ")</f>
        <v xml:space="preserve"> /  /  / </v>
      </c>
      <c r="H2615" s="1" t="str">
        <f ca="1">IFERROR(__xludf.DUMMYFUNCTION("""COMPUTED_VALUE"""),"  /  /  / ")</f>
        <v xml:space="preserve">  /  /  / </v>
      </c>
    </row>
    <row r="2616" spans="1:8" ht="12.75" x14ac:dyDescent="0.2">
      <c r="A2616" s="1"/>
      <c r="B2616" s="1"/>
      <c r="C2616" s="1"/>
      <c r="D2616" s="1"/>
      <c r="E2616" s="1"/>
      <c r="F2616" s="1" t="str">
        <f ca="1">IFERROR(__xludf.DUMMYFUNCTION("""COMPUTED_VALUE""")," - ")</f>
        <v xml:space="preserve"> - </v>
      </c>
      <c r="G2616" s="1" t="str">
        <f ca="1">IFERROR(__xludf.DUMMYFUNCTION("""COMPUTED_VALUE""")," /  /  / ")</f>
        <v xml:space="preserve"> /  /  / </v>
      </c>
      <c r="H2616" s="1" t="str">
        <f ca="1">IFERROR(__xludf.DUMMYFUNCTION("""COMPUTED_VALUE"""),"  /  /  / ")</f>
        <v xml:space="preserve">  /  /  / </v>
      </c>
    </row>
    <row r="2617" spans="1:8" ht="12.75" x14ac:dyDescent="0.2">
      <c r="A2617" s="1"/>
      <c r="B2617" s="1"/>
      <c r="C2617" s="1"/>
      <c r="D2617" s="1"/>
      <c r="E2617" s="1"/>
      <c r="F2617" s="1" t="str">
        <f ca="1">IFERROR(__xludf.DUMMYFUNCTION("""COMPUTED_VALUE""")," - ")</f>
        <v xml:space="preserve"> - </v>
      </c>
      <c r="G2617" s="1" t="str">
        <f ca="1">IFERROR(__xludf.DUMMYFUNCTION("""COMPUTED_VALUE""")," /  /  / ")</f>
        <v xml:space="preserve"> /  /  / </v>
      </c>
      <c r="H2617" s="1" t="str">
        <f ca="1">IFERROR(__xludf.DUMMYFUNCTION("""COMPUTED_VALUE"""),"  /  /  / ")</f>
        <v xml:space="preserve">  /  /  / </v>
      </c>
    </row>
    <row r="2618" spans="1:8" ht="12.75" x14ac:dyDescent="0.2">
      <c r="A2618" s="1"/>
      <c r="B2618" s="1"/>
      <c r="C2618" s="1"/>
      <c r="D2618" s="1"/>
      <c r="E2618" s="1"/>
      <c r="F2618" s="1" t="str">
        <f ca="1">IFERROR(__xludf.DUMMYFUNCTION("""COMPUTED_VALUE""")," - ")</f>
        <v xml:space="preserve"> - </v>
      </c>
      <c r="G2618" s="1" t="str">
        <f ca="1">IFERROR(__xludf.DUMMYFUNCTION("""COMPUTED_VALUE""")," /  /  / ")</f>
        <v xml:space="preserve"> /  /  / </v>
      </c>
      <c r="H2618" s="1" t="str">
        <f ca="1">IFERROR(__xludf.DUMMYFUNCTION("""COMPUTED_VALUE"""),"  /  /  / ")</f>
        <v xml:space="preserve">  /  /  / </v>
      </c>
    </row>
    <row r="2619" spans="1:8" ht="12.75" x14ac:dyDescent="0.2">
      <c r="A2619" s="1"/>
      <c r="B2619" s="1"/>
      <c r="C2619" s="1"/>
      <c r="D2619" s="1"/>
      <c r="E2619" s="1"/>
      <c r="F2619" s="1" t="str">
        <f ca="1">IFERROR(__xludf.DUMMYFUNCTION("""COMPUTED_VALUE""")," - ")</f>
        <v xml:space="preserve"> - </v>
      </c>
      <c r="G2619" s="1" t="str">
        <f ca="1">IFERROR(__xludf.DUMMYFUNCTION("""COMPUTED_VALUE""")," /  /  / ")</f>
        <v xml:space="preserve"> /  /  / </v>
      </c>
      <c r="H2619" s="1" t="str">
        <f ca="1">IFERROR(__xludf.DUMMYFUNCTION("""COMPUTED_VALUE"""),"  /  /  / ")</f>
        <v xml:space="preserve">  /  /  / </v>
      </c>
    </row>
    <row r="2620" spans="1:8" ht="12.75" x14ac:dyDescent="0.2">
      <c r="A2620" s="1"/>
      <c r="B2620" s="1"/>
      <c r="C2620" s="1"/>
      <c r="D2620" s="1"/>
      <c r="E2620" s="1"/>
      <c r="F2620" s="1" t="str">
        <f ca="1">IFERROR(__xludf.DUMMYFUNCTION("""COMPUTED_VALUE""")," - ")</f>
        <v xml:space="preserve"> - </v>
      </c>
      <c r="G2620" s="1" t="str">
        <f ca="1">IFERROR(__xludf.DUMMYFUNCTION("""COMPUTED_VALUE""")," /  /  / ")</f>
        <v xml:space="preserve"> /  /  / </v>
      </c>
      <c r="H2620" s="1" t="str">
        <f ca="1">IFERROR(__xludf.DUMMYFUNCTION("""COMPUTED_VALUE"""),"  /  /  / ")</f>
        <v xml:space="preserve">  /  /  / </v>
      </c>
    </row>
    <row r="2621" spans="1:8" ht="12.75" x14ac:dyDescent="0.2">
      <c r="A2621" s="1"/>
      <c r="B2621" s="1"/>
      <c r="C2621" s="1"/>
      <c r="D2621" s="1"/>
      <c r="E2621" s="1"/>
      <c r="F2621" s="1" t="str">
        <f ca="1">IFERROR(__xludf.DUMMYFUNCTION("""COMPUTED_VALUE""")," - ")</f>
        <v xml:space="preserve"> - </v>
      </c>
      <c r="G2621" s="1" t="str">
        <f ca="1">IFERROR(__xludf.DUMMYFUNCTION("""COMPUTED_VALUE""")," /  /  / ")</f>
        <v xml:space="preserve"> /  /  / </v>
      </c>
      <c r="H2621" s="1" t="str">
        <f ca="1">IFERROR(__xludf.DUMMYFUNCTION("""COMPUTED_VALUE"""),"  /  /  / ")</f>
        <v xml:space="preserve">  /  /  / </v>
      </c>
    </row>
    <row r="2622" spans="1:8" ht="12.75" x14ac:dyDescent="0.2">
      <c r="A2622" s="1"/>
      <c r="B2622" s="1"/>
      <c r="C2622" s="1"/>
      <c r="D2622" s="1"/>
      <c r="E2622" s="1"/>
      <c r="F2622" s="1" t="str">
        <f ca="1">IFERROR(__xludf.DUMMYFUNCTION("""COMPUTED_VALUE""")," - ")</f>
        <v xml:space="preserve"> - </v>
      </c>
      <c r="G2622" s="1" t="str">
        <f ca="1">IFERROR(__xludf.DUMMYFUNCTION("""COMPUTED_VALUE""")," /  /  / ")</f>
        <v xml:space="preserve"> /  /  / </v>
      </c>
      <c r="H2622" s="1" t="str">
        <f ca="1">IFERROR(__xludf.DUMMYFUNCTION("""COMPUTED_VALUE"""),"  /  /  / ")</f>
        <v xml:space="preserve">  /  /  / </v>
      </c>
    </row>
    <row r="2623" spans="1:8" ht="12.75" x14ac:dyDescent="0.2">
      <c r="A2623" s="1"/>
      <c r="B2623" s="1"/>
      <c r="C2623" s="1"/>
      <c r="D2623" s="1"/>
      <c r="E2623" s="1"/>
      <c r="F2623" s="1" t="str">
        <f ca="1">IFERROR(__xludf.DUMMYFUNCTION("""COMPUTED_VALUE""")," - ")</f>
        <v xml:space="preserve"> - </v>
      </c>
      <c r="G2623" s="1" t="str">
        <f ca="1">IFERROR(__xludf.DUMMYFUNCTION("""COMPUTED_VALUE""")," /  /  / ")</f>
        <v xml:space="preserve"> /  /  / </v>
      </c>
      <c r="H2623" s="1" t="str">
        <f ca="1">IFERROR(__xludf.DUMMYFUNCTION("""COMPUTED_VALUE"""),"  /  /  / ")</f>
        <v xml:space="preserve">  /  /  / </v>
      </c>
    </row>
    <row r="2624" spans="1:8" ht="12.75" x14ac:dyDescent="0.2">
      <c r="A2624" s="1"/>
      <c r="B2624" s="1"/>
      <c r="C2624" s="1"/>
      <c r="D2624" s="1"/>
      <c r="E2624" s="1"/>
      <c r="F2624" s="1" t="str">
        <f ca="1">IFERROR(__xludf.DUMMYFUNCTION("""COMPUTED_VALUE""")," - ")</f>
        <v xml:space="preserve"> - </v>
      </c>
      <c r="G2624" s="1" t="str">
        <f ca="1">IFERROR(__xludf.DUMMYFUNCTION("""COMPUTED_VALUE""")," /  /  / ")</f>
        <v xml:space="preserve"> /  /  / </v>
      </c>
      <c r="H2624" s="1" t="str">
        <f ca="1">IFERROR(__xludf.DUMMYFUNCTION("""COMPUTED_VALUE"""),"  /  /  / ")</f>
        <v xml:space="preserve">  /  /  / </v>
      </c>
    </row>
    <row r="2625" spans="1:8" ht="12.75" x14ac:dyDescent="0.2">
      <c r="A2625" s="1"/>
      <c r="B2625" s="1"/>
      <c r="C2625" s="1"/>
      <c r="D2625" s="1"/>
      <c r="E2625" s="1"/>
      <c r="F2625" s="1" t="str">
        <f ca="1">IFERROR(__xludf.DUMMYFUNCTION("""COMPUTED_VALUE""")," - ")</f>
        <v xml:space="preserve"> - </v>
      </c>
      <c r="G2625" s="1" t="str">
        <f ca="1">IFERROR(__xludf.DUMMYFUNCTION("""COMPUTED_VALUE""")," /  /  / ")</f>
        <v xml:space="preserve"> /  /  / </v>
      </c>
      <c r="H2625" s="1" t="str">
        <f ca="1">IFERROR(__xludf.DUMMYFUNCTION("""COMPUTED_VALUE"""),"  /  /  / ")</f>
        <v xml:space="preserve">  /  /  / </v>
      </c>
    </row>
    <row r="2626" spans="1:8" ht="12.75" x14ac:dyDescent="0.2">
      <c r="A2626" s="1"/>
      <c r="B2626" s="1"/>
      <c r="C2626" s="1"/>
      <c r="D2626" s="1"/>
      <c r="E2626" s="1"/>
      <c r="F2626" s="1" t="str">
        <f ca="1">IFERROR(__xludf.DUMMYFUNCTION("""COMPUTED_VALUE""")," - ")</f>
        <v xml:space="preserve"> - </v>
      </c>
      <c r="G2626" s="1" t="str">
        <f ca="1">IFERROR(__xludf.DUMMYFUNCTION("""COMPUTED_VALUE""")," /  /  / ")</f>
        <v xml:space="preserve"> /  /  / </v>
      </c>
      <c r="H2626" s="1" t="str">
        <f ca="1">IFERROR(__xludf.DUMMYFUNCTION("""COMPUTED_VALUE"""),"  /  /  / ")</f>
        <v xml:space="preserve">  /  /  / </v>
      </c>
    </row>
    <row r="2627" spans="1:8" ht="12.75" x14ac:dyDescent="0.2">
      <c r="A2627" s="1"/>
      <c r="B2627" s="1"/>
      <c r="C2627" s="1"/>
      <c r="D2627" s="1"/>
      <c r="E2627" s="1"/>
      <c r="F2627" s="1" t="str">
        <f ca="1">IFERROR(__xludf.DUMMYFUNCTION("""COMPUTED_VALUE""")," - ")</f>
        <v xml:space="preserve"> - </v>
      </c>
      <c r="G2627" s="1" t="str">
        <f ca="1">IFERROR(__xludf.DUMMYFUNCTION("""COMPUTED_VALUE""")," /  /  / ")</f>
        <v xml:space="preserve"> /  /  / </v>
      </c>
      <c r="H2627" s="1" t="str">
        <f ca="1">IFERROR(__xludf.DUMMYFUNCTION("""COMPUTED_VALUE"""),"  /  /  / ")</f>
        <v xml:space="preserve">  /  /  / </v>
      </c>
    </row>
    <row r="2628" spans="1:8" ht="12.75" x14ac:dyDescent="0.2">
      <c r="A2628" s="1"/>
      <c r="B2628" s="1"/>
      <c r="C2628" s="1"/>
      <c r="D2628" s="1"/>
      <c r="E2628" s="1"/>
      <c r="F2628" s="1" t="str">
        <f ca="1">IFERROR(__xludf.DUMMYFUNCTION("""COMPUTED_VALUE""")," - ")</f>
        <v xml:space="preserve"> - </v>
      </c>
      <c r="G2628" s="1" t="str">
        <f ca="1">IFERROR(__xludf.DUMMYFUNCTION("""COMPUTED_VALUE""")," /  /  / ")</f>
        <v xml:space="preserve"> /  /  / </v>
      </c>
      <c r="H2628" s="1" t="str">
        <f ca="1">IFERROR(__xludf.DUMMYFUNCTION("""COMPUTED_VALUE"""),"  /  /  / ")</f>
        <v xml:space="preserve">  /  /  / </v>
      </c>
    </row>
    <row r="2629" spans="1:8" ht="12.75" x14ac:dyDescent="0.2">
      <c r="A2629" s="1"/>
      <c r="B2629" s="1"/>
      <c r="C2629" s="1"/>
      <c r="D2629" s="1"/>
      <c r="E2629" s="1"/>
      <c r="F2629" s="1" t="str">
        <f ca="1">IFERROR(__xludf.DUMMYFUNCTION("""COMPUTED_VALUE""")," - ")</f>
        <v xml:space="preserve"> - </v>
      </c>
      <c r="G2629" s="1" t="str">
        <f ca="1">IFERROR(__xludf.DUMMYFUNCTION("""COMPUTED_VALUE""")," /  /  / ")</f>
        <v xml:space="preserve"> /  /  / </v>
      </c>
      <c r="H2629" s="1" t="str">
        <f ca="1">IFERROR(__xludf.DUMMYFUNCTION("""COMPUTED_VALUE"""),"  /  /  / ")</f>
        <v xml:space="preserve">  /  /  / </v>
      </c>
    </row>
    <row r="2630" spans="1:8" ht="12.75" x14ac:dyDescent="0.2">
      <c r="A2630" s="1"/>
      <c r="B2630" s="1"/>
      <c r="C2630" s="1"/>
      <c r="D2630" s="1"/>
      <c r="E2630" s="1"/>
      <c r="F2630" s="1" t="str">
        <f ca="1">IFERROR(__xludf.DUMMYFUNCTION("""COMPUTED_VALUE""")," - ")</f>
        <v xml:space="preserve"> - </v>
      </c>
      <c r="G2630" s="1" t="str">
        <f ca="1">IFERROR(__xludf.DUMMYFUNCTION("""COMPUTED_VALUE""")," /  /  / ")</f>
        <v xml:space="preserve"> /  /  / </v>
      </c>
      <c r="H2630" s="1" t="str">
        <f ca="1">IFERROR(__xludf.DUMMYFUNCTION("""COMPUTED_VALUE"""),"  /  /  / ")</f>
        <v xml:space="preserve">  /  /  / </v>
      </c>
    </row>
    <row r="2631" spans="1:8" ht="12.75" x14ac:dyDescent="0.2">
      <c r="A2631" s="1"/>
      <c r="B2631" s="1"/>
      <c r="C2631" s="1"/>
      <c r="D2631" s="1"/>
      <c r="E2631" s="1"/>
      <c r="F2631" s="1" t="str">
        <f ca="1">IFERROR(__xludf.DUMMYFUNCTION("""COMPUTED_VALUE""")," - ")</f>
        <v xml:space="preserve"> - </v>
      </c>
      <c r="G2631" s="1" t="str">
        <f ca="1">IFERROR(__xludf.DUMMYFUNCTION("""COMPUTED_VALUE""")," /  /  / ")</f>
        <v xml:space="preserve"> /  /  / </v>
      </c>
      <c r="H2631" s="1" t="str">
        <f ca="1">IFERROR(__xludf.DUMMYFUNCTION("""COMPUTED_VALUE"""),"  /  /  / ")</f>
        <v xml:space="preserve">  /  /  / </v>
      </c>
    </row>
    <row r="2632" spans="1:8" ht="12.75" x14ac:dyDescent="0.2">
      <c r="A2632" s="1"/>
      <c r="B2632" s="1"/>
      <c r="C2632" s="1"/>
      <c r="D2632" s="1"/>
      <c r="E2632" s="1"/>
      <c r="F2632" s="1" t="str">
        <f ca="1">IFERROR(__xludf.DUMMYFUNCTION("""COMPUTED_VALUE""")," - ")</f>
        <v xml:space="preserve"> - </v>
      </c>
      <c r="G2632" s="1" t="str">
        <f ca="1">IFERROR(__xludf.DUMMYFUNCTION("""COMPUTED_VALUE""")," /  /  / ")</f>
        <v xml:space="preserve"> /  /  / </v>
      </c>
      <c r="H2632" s="1" t="str">
        <f ca="1">IFERROR(__xludf.DUMMYFUNCTION("""COMPUTED_VALUE"""),"  /  /  / ")</f>
        <v xml:space="preserve">  /  /  / </v>
      </c>
    </row>
    <row r="2633" spans="1:8" ht="12.75" x14ac:dyDescent="0.2">
      <c r="A2633" s="1"/>
      <c r="B2633" s="1"/>
      <c r="C2633" s="1"/>
      <c r="D2633" s="1"/>
      <c r="E2633" s="1"/>
      <c r="F2633" s="1" t="str">
        <f ca="1">IFERROR(__xludf.DUMMYFUNCTION("""COMPUTED_VALUE""")," - ")</f>
        <v xml:space="preserve"> - </v>
      </c>
      <c r="G2633" s="1" t="str">
        <f ca="1">IFERROR(__xludf.DUMMYFUNCTION("""COMPUTED_VALUE""")," /  /  / ")</f>
        <v xml:space="preserve"> /  /  / </v>
      </c>
      <c r="H2633" s="1" t="str">
        <f ca="1">IFERROR(__xludf.DUMMYFUNCTION("""COMPUTED_VALUE"""),"  /  /  / ")</f>
        <v xml:space="preserve">  /  /  / </v>
      </c>
    </row>
    <row r="2634" spans="1:8" ht="12.75" x14ac:dyDescent="0.2">
      <c r="A2634" s="1"/>
      <c r="B2634" s="1"/>
      <c r="C2634" s="1"/>
      <c r="D2634" s="1"/>
      <c r="E2634" s="1"/>
      <c r="F2634" s="1" t="str">
        <f ca="1">IFERROR(__xludf.DUMMYFUNCTION("""COMPUTED_VALUE""")," - ")</f>
        <v xml:space="preserve"> - </v>
      </c>
      <c r="G2634" s="1" t="str">
        <f ca="1">IFERROR(__xludf.DUMMYFUNCTION("""COMPUTED_VALUE""")," /  /  / ")</f>
        <v xml:space="preserve"> /  /  / </v>
      </c>
      <c r="H2634" s="1" t="str">
        <f ca="1">IFERROR(__xludf.DUMMYFUNCTION("""COMPUTED_VALUE"""),"  /  /  / ")</f>
        <v xml:space="preserve">  /  /  / </v>
      </c>
    </row>
    <row r="2635" spans="1:8" ht="12.75" x14ac:dyDescent="0.2">
      <c r="A2635" s="1"/>
      <c r="B2635" s="1"/>
      <c r="C2635" s="1"/>
      <c r="D2635" s="1"/>
      <c r="E2635" s="1"/>
      <c r="F2635" s="1" t="str">
        <f ca="1">IFERROR(__xludf.DUMMYFUNCTION("""COMPUTED_VALUE""")," - ")</f>
        <v xml:space="preserve"> - </v>
      </c>
      <c r="G2635" s="1" t="str">
        <f ca="1">IFERROR(__xludf.DUMMYFUNCTION("""COMPUTED_VALUE""")," /  /  / ")</f>
        <v xml:space="preserve"> /  /  / </v>
      </c>
      <c r="H2635" s="1" t="str">
        <f ca="1">IFERROR(__xludf.DUMMYFUNCTION("""COMPUTED_VALUE"""),"  /  /  / ")</f>
        <v xml:space="preserve">  /  /  / </v>
      </c>
    </row>
    <row r="2636" spans="1:8" ht="12.75" x14ac:dyDescent="0.2">
      <c r="A2636" s="1"/>
      <c r="B2636" s="1"/>
      <c r="C2636" s="1"/>
      <c r="D2636" s="1"/>
      <c r="E2636" s="1"/>
      <c r="F2636" s="1" t="str">
        <f ca="1">IFERROR(__xludf.DUMMYFUNCTION("""COMPUTED_VALUE""")," - ")</f>
        <v xml:space="preserve"> - </v>
      </c>
      <c r="G2636" s="1" t="str">
        <f ca="1">IFERROR(__xludf.DUMMYFUNCTION("""COMPUTED_VALUE""")," /  /  / ")</f>
        <v xml:space="preserve"> /  /  / </v>
      </c>
      <c r="H2636" s="1" t="str">
        <f ca="1">IFERROR(__xludf.DUMMYFUNCTION("""COMPUTED_VALUE"""),"  /  /  / ")</f>
        <v xml:space="preserve">  /  /  / </v>
      </c>
    </row>
    <row r="2637" spans="1:8" ht="12.75" x14ac:dyDescent="0.2">
      <c r="A2637" s="1"/>
      <c r="B2637" s="1"/>
      <c r="C2637" s="1"/>
      <c r="D2637" s="1"/>
      <c r="E2637" s="1"/>
      <c r="F2637" s="1" t="str">
        <f ca="1">IFERROR(__xludf.DUMMYFUNCTION("""COMPUTED_VALUE""")," - ")</f>
        <v xml:space="preserve"> - </v>
      </c>
      <c r="G2637" s="1" t="str">
        <f ca="1">IFERROR(__xludf.DUMMYFUNCTION("""COMPUTED_VALUE""")," /  /  / ")</f>
        <v xml:space="preserve"> /  /  / </v>
      </c>
      <c r="H2637" s="1" t="str">
        <f ca="1">IFERROR(__xludf.DUMMYFUNCTION("""COMPUTED_VALUE"""),"  /  /  / ")</f>
        <v xml:space="preserve">  /  /  / </v>
      </c>
    </row>
    <row r="2638" spans="1:8" ht="12.75" x14ac:dyDescent="0.2">
      <c r="A2638" s="1"/>
      <c r="B2638" s="1"/>
      <c r="C2638" s="1"/>
      <c r="D2638" s="1"/>
      <c r="E2638" s="1"/>
      <c r="F2638" s="1" t="str">
        <f ca="1">IFERROR(__xludf.DUMMYFUNCTION("""COMPUTED_VALUE""")," - ")</f>
        <v xml:space="preserve"> - </v>
      </c>
      <c r="G2638" s="1" t="str">
        <f ca="1">IFERROR(__xludf.DUMMYFUNCTION("""COMPUTED_VALUE""")," /  /  / ")</f>
        <v xml:space="preserve"> /  /  / </v>
      </c>
      <c r="H2638" s="1" t="str">
        <f ca="1">IFERROR(__xludf.DUMMYFUNCTION("""COMPUTED_VALUE"""),"  /  /  / ")</f>
        <v xml:space="preserve">  /  /  / </v>
      </c>
    </row>
    <row r="2639" spans="1:8" ht="12.75" x14ac:dyDescent="0.2">
      <c r="A2639" s="1"/>
      <c r="B2639" s="1"/>
      <c r="C2639" s="1"/>
      <c r="D2639" s="1"/>
      <c r="E2639" s="1"/>
      <c r="F2639" s="1" t="str">
        <f ca="1">IFERROR(__xludf.DUMMYFUNCTION("""COMPUTED_VALUE""")," - ")</f>
        <v xml:space="preserve"> - </v>
      </c>
      <c r="G2639" s="1" t="str">
        <f ca="1">IFERROR(__xludf.DUMMYFUNCTION("""COMPUTED_VALUE""")," /  /  / ")</f>
        <v xml:space="preserve"> /  /  / </v>
      </c>
      <c r="H2639" s="1" t="str">
        <f ca="1">IFERROR(__xludf.DUMMYFUNCTION("""COMPUTED_VALUE"""),"  /  /  / ")</f>
        <v xml:space="preserve">  /  /  / </v>
      </c>
    </row>
    <row r="2640" spans="1:8" ht="12.75" x14ac:dyDescent="0.2">
      <c r="A2640" s="1"/>
      <c r="B2640" s="1"/>
      <c r="C2640" s="1"/>
      <c r="D2640" s="1"/>
      <c r="E2640" s="1"/>
      <c r="F2640" s="1" t="str">
        <f ca="1">IFERROR(__xludf.DUMMYFUNCTION("""COMPUTED_VALUE""")," - ")</f>
        <v xml:space="preserve"> - </v>
      </c>
      <c r="G2640" s="1" t="str">
        <f ca="1">IFERROR(__xludf.DUMMYFUNCTION("""COMPUTED_VALUE""")," /  /  / ")</f>
        <v xml:space="preserve"> /  /  / </v>
      </c>
      <c r="H2640" s="1" t="str">
        <f ca="1">IFERROR(__xludf.DUMMYFUNCTION("""COMPUTED_VALUE"""),"  /  /  / ")</f>
        <v xml:space="preserve">  /  /  / </v>
      </c>
    </row>
    <row r="2641" spans="1:8" ht="12.75" x14ac:dyDescent="0.2">
      <c r="A2641" s="1"/>
      <c r="B2641" s="1"/>
      <c r="C2641" s="1"/>
      <c r="D2641" s="1"/>
      <c r="E2641" s="1"/>
      <c r="F2641" s="1" t="str">
        <f ca="1">IFERROR(__xludf.DUMMYFUNCTION("""COMPUTED_VALUE""")," - ")</f>
        <v xml:space="preserve"> - </v>
      </c>
      <c r="G2641" s="1" t="str">
        <f ca="1">IFERROR(__xludf.DUMMYFUNCTION("""COMPUTED_VALUE""")," /  /  / ")</f>
        <v xml:space="preserve"> /  /  / </v>
      </c>
      <c r="H2641" s="1" t="str">
        <f ca="1">IFERROR(__xludf.DUMMYFUNCTION("""COMPUTED_VALUE"""),"  /  /  / ")</f>
        <v xml:space="preserve">  /  /  / </v>
      </c>
    </row>
    <row r="2642" spans="1:8" ht="12.75" x14ac:dyDescent="0.2">
      <c r="A2642" s="1"/>
      <c r="B2642" s="1"/>
      <c r="C2642" s="1"/>
      <c r="D2642" s="1"/>
      <c r="E2642" s="1"/>
      <c r="F2642" s="1" t="str">
        <f ca="1">IFERROR(__xludf.DUMMYFUNCTION("""COMPUTED_VALUE""")," - ")</f>
        <v xml:space="preserve"> - </v>
      </c>
      <c r="G2642" s="1" t="str">
        <f ca="1">IFERROR(__xludf.DUMMYFUNCTION("""COMPUTED_VALUE""")," /  /  / ")</f>
        <v xml:space="preserve"> /  /  / </v>
      </c>
      <c r="H2642" s="1" t="str">
        <f ca="1">IFERROR(__xludf.DUMMYFUNCTION("""COMPUTED_VALUE"""),"  /  /  / ")</f>
        <v xml:space="preserve">  /  /  / </v>
      </c>
    </row>
    <row r="2643" spans="1:8" ht="12.75" x14ac:dyDescent="0.2">
      <c r="A2643" s="1"/>
      <c r="B2643" s="1"/>
      <c r="C2643" s="1"/>
      <c r="D2643" s="1"/>
      <c r="E2643" s="1"/>
      <c r="F2643" s="1" t="str">
        <f ca="1">IFERROR(__xludf.DUMMYFUNCTION("""COMPUTED_VALUE""")," - ")</f>
        <v xml:space="preserve"> - </v>
      </c>
      <c r="G2643" s="1" t="str">
        <f ca="1">IFERROR(__xludf.DUMMYFUNCTION("""COMPUTED_VALUE""")," /  /  / ")</f>
        <v xml:space="preserve"> /  /  / </v>
      </c>
      <c r="H2643" s="1" t="str">
        <f ca="1">IFERROR(__xludf.DUMMYFUNCTION("""COMPUTED_VALUE"""),"  /  /  / ")</f>
        <v xml:space="preserve">  /  /  / </v>
      </c>
    </row>
    <row r="2644" spans="1:8" ht="12.75" x14ac:dyDescent="0.2">
      <c r="A2644" s="1"/>
      <c r="B2644" s="1"/>
      <c r="C2644" s="1"/>
      <c r="D2644" s="1"/>
      <c r="E2644" s="1"/>
      <c r="F2644" s="1" t="str">
        <f ca="1">IFERROR(__xludf.DUMMYFUNCTION("""COMPUTED_VALUE""")," - ")</f>
        <v xml:space="preserve"> - </v>
      </c>
      <c r="G2644" s="1" t="str">
        <f ca="1">IFERROR(__xludf.DUMMYFUNCTION("""COMPUTED_VALUE""")," /  /  / ")</f>
        <v xml:space="preserve"> /  /  / </v>
      </c>
      <c r="H2644" s="1" t="str">
        <f ca="1">IFERROR(__xludf.DUMMYFUNCTION("""COMPUTED_VALUE"""),"  /  /  / ")</f>
        <v xml:space="preserve">  /  /  / </v>
      </c>
    </row>
    <row r="2645" spans="1:8" ht="12.75" x14ac:dyDescent="0.2">
      <c r="A2645" s="1"/>
      <c r="B2645" s="1"/>
      <c r="C2645" s="1"/>
      <c r="D2645" s="1"/>
      <c r="E2645" s="1"/>
      <c r="F2645" s="1" t="str">
        <f ca="1">IFERROR(__xludf.DUMMYFUNCTION("""COMPUTED_VALUE""")," - ")</f>
        <v xml:space="preserve"> - </v>
      </c>
      <c r="G2645" s="1" t="str">
        <f ca="1">IFERROR(__xludf.DUMMYFUNCTION("""COMPUTED_VALUE""")," /  /  / ")</f>
        <v xml:space="preserve"> /  /  / </v>
      </c>
      <c r="H2645" s="1" t="str">
        <f ca="1">IFERROR(__xludf.DUMMYFUNCTION("""COMPUTED_VALUE"""),"  /  /  / ")</f>
        <v xml:space="preserve">  /  /  / </v>
      </c>
    </row>
    <row r="2646" spans="1:8" ht="12.75" x14ac:dyDescent="0.2">
      <c r="A2646" s="1"/>
      <c r="B2646" s="1"/>
      <c r="C2646" s="1"/>
      <c r="D2646" s="1"/>
      <c r="E2646" s="1"/>
      <c r="F2646" s="1" t="str">
        <f ca="1">IFERROR(__xludf.DUMMYFUNCTION("""COMPUTED_VALUE""")," - ")</f>
        <v xml:space="preserve"> - </v>
      </c>
      <c r="G2646" s="1" t="str">
        <f ca="1">IFERROR(__xludf.DUMMYFUNCTION("""COMPUTED_VALUE""")," /  /  / ")</f>
        <v xml:space="preserve"> /  /  / </v>
      </c>
      <c r="H2646" s="1" t="str">
        <f ca="1">IFERROR(__xludf.DUMMYFUNCTION("""COMPUTED_VALUE"""),"  /  /  / ")</f>
        <v xml:space="preserve">  /  /  / </v>
      </c>
    </row>
    <row r="2647" spans="1:8" ht="12.75" x14ac:dyDescent="0.2">
      <c r="A2647" s="1"/>
      <c r="B2647" s="1"/>
      <c r="C2647" s="1"/>
      <c r="D2647" s="1"/>
      <c r="E2647" s="1"/>
      <c r="F2647" s="1" t="str">
        <f ca="1">IFERROR(__xludf.DUMMYFUNCTION("""COMPUTED_VALUE""")," - ")</f>
        <v xml:space="preserve"> - </v>
      </c>
      <c r="G2647" s="1" t="str">
        <f ca="1">IFERROR(__xludf.DUMMYFUNCTION("""COMPUTED_VALUE""")," /  /  / ")</f>
        <v xml:space="preserve"> /  /  / </v>
      </c>
      <c r="H2647" s="1" t="str">
        <f ca="1">IFERROR(__xludf.DUMMYFUNCTION("""COMPUTED_VALUE"""),"  /  /  / ")</f>
        <v xml:space="preserve">  /  /  / </v>
      </c>
    </row>
    <row r="2648" spans="1:8" ht="12.75" x14ac:dyDescent="0.2">
      <c r="A2648" s="1"/>
      <c r="B2648" s="1"/>
      <c r="C2648" s="1"/>
      <c r="D2648" s="1"/>
      <c r="E2648" s="1"/>
      <c r="F2648" s="1" t="str">
        <f ca="1">IFERROR(__xludf.DUMMYFUNCTION("""COMPUTED_VALUE""")," - ")</f>
        <v xml:space="preserve"> - </v>
      </c>
      <c r="G2648" s="1" t="str">
        <f ca="1">IFERROR(__xludf.DUMMYFUNCTION("""COMPUTED_VALUE""")," /  /  / ")</f>
        <v xml:space="preserve"> /  /  / </v>
      </c>
      <c r="H2648" s="1" t="str">
        <f ca="1">IFERROR(__xludf.DUMMYFUNCTION("""COMPUTED_VALUE"""),"  /  /  / ")</f>
        <v xml:space="preserve">  /  /  / </v>
      </c>
    </row>
    <row r="2649" spans="1:8" ht="12.75" x14ac:dyDescent="0.2">
      <c r="A2649" s="1"/>
      <c r="B2649" s="1"/>
      <c r="C2649" s="1"/>
      <c r="D2649" s="1"/>
      <c r="E2649" s="1"/>
      <c r="F2649" s="1" t="str">
        <f ca="1">IFERROR(__xludf.DUMMYFUNCTION("""COMPUTED_VALUE""")," - ")</f>
        <v xml:space="preserve"> - </v>
      </c>
      <c r="G2649" s="1" t="str">
        <f ca="1">IFERROR(__xludf.DUMMYFUNCTION("""COMPUTED_VALUE""")," /  /  / ")</f>
        <v xml:space="preserve"> /  /  / </v>
      </c>
      <c r="H2649" s="1" t="str">
        <f ca="1">IFERROR(__xludf.DUMMYFUNCTION("""COMPUTED_VALUE"""),"  /  /  / ")</f>
        <v xml:space="preserve">  /  /  / </v>
      </c>
    </row>
    <row r="2650" spans="1:8" ht="12.75" x14ac:dyDescent="0.2">
      <c r="A2650" s="1"/>
      <c r="B2650" s="1"/>
      <c r="C2650" s="1"/>
      <c r="D2650" s="1"/>
      <c r="E2650" s="1"/>
      <c r="F2650" s="1" t="str">
        <f ca="1">IFERROR(__xludf.DUMMYFUNCTION("""COMPUTED_VALUE""")," - ")</f>
        <v xml:space="preserve"> - </v>
      </c>
      <c r="G2650" s="1" t="str">
        <f ca="1">IFERROR(__xludf.DUMMYFUNCTION("""COMPUTED_VALUE""")," /  /  / ")</f>
        <v xml:space="preserve"> /  /  / </v>
      </c>
      <c r="H2650" s="1" t="str">
        <f ca="1">IFERROR(__xludf.DUMMYFUNCTION("""COMPUTED_VALUE"""),"  /  /  / ")</f>
        <v xml:space="preserve">  /  /  / </v>
      </c>
    </row>
    <row r="2651" spans="1:8" ht="12.75" x14ac:dyDescent="0.2">
      <c r="A2651" s="1"/>
      <c r="B2651" s="1"/>
      <c r="C2651" s="1"/>
      <c r="D2651" s="1"/>
      <c r="E2651" s="1"/>
      <c r="F2651" s="1" t="str">
        <f ca="1">IFERROR(__xludf.DUMMYFUNCTION("""COMPUTED_VALUE""")," - ")</f>
        <v xml:space="preserve"> - </v>
      </c>
      <c r="G2651" s="1" t="str">
        <f ca="1">IFERROR(__xludf.DUMMYFUNCTION("""COMPUTED_VALUE""")," /  /  / ")</f>
        <v xml:space="preserve"> /  /  / </v>
      </c>
      <c r="H2651" s="1" t="str">
        <f ca="1">IFERROR(__xludf.DUMMYFUNCTION("""COMPUTED_VALUE"""),"  /  /  / ")</f>
        <v xml:space="preserve">  /  /  / </v>
      </c>
    </row>
    <row r="2652" spans="1:8" ht="12.75" x14ac:dyDescent="0.2">
      <c r="A2652" s="1"/>
      <c r="B2652" s="1"/>
      <c r="C2652" s="1"/>
      <c r="D2652" s="1"/>
      <c r="E2652" s="1"/>
      <c r="F2652" s="1" t="str">
        <f ca="1">IFERROR(__xludf.DUMMYFUNCTION("""COMPUTED_VALUE""")," - ")</f>
        <v xml:space="preserve"> - </v>
      </c>
      <c r="G2652" s="1" t="str">
        <f ca="1">IFERROR(__xludf.DUMMYFUNCTION("""COMPUTED_VALUE""")," /  /  / ")</f>
        <v xml:space="preserve"> /  /  / </v>
      </c>
      <c r="H2652" s="1" t="str">
        <f ca="1">IFERROR(__xludf.DUMMYFUNCTION("""COMPUTED_VALUE"""),"  /  /  / ")</f>
        <v xml:space="preserve">  /  /  / </v>
      </c>
    </row>
    <row r="2653" spans="1:8" ht="12.75" x14ac:dyDescent="0.2">
      <c r="A2653" s="1"/>
      <c r="B2653" s="1"/>
      <c r="C2653" s="1"/>
      <c r="D2653" s="1"/>
      <c r="E2653" s="1"/>
      <c r="F2653" s="1" t="str">
        <f ca="1">IFERROR(__xludf.DUMMYFUNCTION("""COMPUTED_VALUE""")," - ")</f>
        <v xml:space="preserve"> - </v>
      </c>
      <c r="G2653" s="1" t="str">
        <f ca="1">IFERROR(__xludf.DUMMYFUNCTION("""COMPUTED_VALUE""")," /  /  / ")</f>
        <v xml:space="preserve"> /  /  / </v>
      </c>
      <c r="H2653" s="1" t="str">
        <f ca="1">IFERROR(__xludf.DUMMYFUNCTION("""COMPUTED_VALUE"""),"  /  /  / ")</f>
        <v xml:space="preserve">  /  /  / </v>
      </c>
    </row>
    <row r="2654" spans="1:8" ht="12.75" x14ac:dyDescent="0.2">
      <c r="A2654" s="1"/>
      <c r="B2654" s="1"/>
      <c r="C2654" s="1"/>
      <c r="D2654" s="1"/>
      <c r="E2654" s="1"/>
      <c r="F2654" s="1" t="str">
        <f ca="1">IFERROR(__xludf.DUMMYFUNCTION("""COMPUTED_VALUE""")," - ")</f>
        <v xml:space="preserve"> - </v>
      </c>
      <c r="G2654" s="1" t="str">
        <f ca="1">IFERROR(__xludf.DUMMYFUNCTION("""COMPUTED_VALUE""")," /  /  / ")</f>
        <v xml:space="preserve"> /  /  / </v>
      </c>
      <c r="H2654" s="1" t="str">
        <f ca="1">IFERROR(__xludf.DUMMYFUNCTION("""COMPUTED_VALUE"""),"  /  /  / ")</f>
        <v xml:space="preserve">  /  /  / </v>
      </c>
    </row>
    <row r="2655" spans="1:8" ht="12.75" x14ac:dyDescent="0.2">
      <c r="A2655" s="1"/>
      <c r="B2655" s="1"/>
      <c r="C2655" s="1"/>
      <c r="D2655" s="1"/>
      <c r="E2655" s="1"/>
      <c r="F2655" s="1" t="str">
        <f ca="1">IFERROR(__xludf.DUMMYFUNCTION("""COMPUTED_VALUE""")," - ")</f>
        <v xml:space="preserve"> - </v>
      </c>
      <c r="G2655" s="1" t="str">
        <f ca="1">IFERROR(__xludf.DUMMYFUNCTION("""COMPUTED_VALUE""")," /  /  / ")</f>
        <v xml:space="preserve"> /  /  / </v>
      </c>
      <c r="H2655" s="1" t="str">
        <f ca="1">IFERROR(__xludf.DUMMYFUNCTION("""COMPUTED_VALUE"""),"  /  /  / ")</f>
        <v xml:space="preserve">  /  /  / </v>
      </c>
    </row>
    <row r="2656" spans="1:8" ht="12.75" x14ac:dyDescent="0.2">
      <c r="A2656" s="1"/>
      <c r="B2656" s="1"/>
      <c r="C2656" s="1"/>
      <c r="D2656" s="1"/>
      <c r="E2656" s="1"/>
      <c r="F2656" s="1" t="str">
        <f ca="1">IFERROR(__xludf.DUMMYFUNCTION("""COMPUTED_VALUE""")," - ")</f>
        <v xml:space="preserve"> - </v>
      </c>
      <c r="G2656" s="1" t="str">
        <f ca="1">IFERROR(__xludf.DUMMYFUNCTION("""COMPUTED_VALUE""")," /  /  / ")</f>
        <v xml:space="preserve"> /  /  / </v>
      </c>
      <c r="H2656" s="1" t="str">
        <f ca="1">IFERROR(__xludf.DUMMYFUNCTION("""COMPUTED_VALUE"""),"  /  /  / ")</f>
        <v xml:space="preserve">  /  /  / </v>
      </c>
    </row>
    <row r="2657" spans="1:8" ht="12.75" x14ac:dyDescent="0.2">
      <c r="A2657" s="1"/>
      <c r="B2657" s="1"/>
      <c r="C2657" s="1"/>
      <c r="D2657" s="1"/>
      <c r="E2657" s="1"/>
      <c r="F2657" s="1" t="str">
        <f ca="1">IFERROR(__xludf.DUMMYFUNCTION("""COMPUTED_VALUE""")," - ")</f>
        <v xml:space="preserve"> - </v>
      </c>
      <c r="G2657" s="1" t="str">
        <f ca="1">IFERROR(__xludf.DUMMYFUNCTION("""COMPUTED_VALUE""")," /  /  / ")</f>
        <v xml:space="preserve"> /  /  / </v>
      </c>
      <c r="H2657" s="1" t="str">
        <f ca="1">IFERROR(__xludf.DUMMYFUNCTION("""COMPUTED_VALUE"""),"  /  /  / ")</f>
        <v xml:space="preserve">  /  /  / </v>
      </c>
    </row>
    <row r="2658" spans="1:8" ht="12.75" x14ac:dyDescent="0.2">
      <c r="A2658" s="1"/>
      <c r="B2658" s="1"/>
      <c r="C2658" s="1"/>
      <c r="D2658" s="1"/>
      <c r="E2658" s="1"/>
      <c r="F2658" s="1" t="str">
        <f ca="1">IFERROR(__xludf.DUMMYFUNCTION("""COMPUTED_VALUE""")," - ")</f>
        <v xml:space="preserve"> - </v>
      </c>
      <c r="G2658" s="1" t="str">
        <f ca="1">IFERROR(__xludf.DUMMYFUNCTION("""COMPUTED_VALUE""")," /  /  / ")</f>
        <v xml:space="preserve"> /  /  / </v>
      </c>
      <c r="H2658" s="1" t="str">
        <f ca="1">IFERROR(__xludf.DUMMYFUNCTION("""COMPUTED_VALUE"""),"  /  /  / ")</f>
        <v xml:space="preserve">  /  /  / </v>
      </c>
    </row>
    <row r="2659" spans="1:8" ht="12.75" x14ac:dyDescent="0.2">
      <c r="A2659" s="1"/>
      <c r="B2659" s="1"/>
      <c r="C2659" s="1"/>
      <c r="D2659" s="1"/>
      <c r="E2659" s="1"/>
      <c r="F2659" s="1" t="str">
        <f ca="1">IFERROR(__xludf.DUMMYFUNCTION("""COMPUTED_VALUE""")," - ")</f>
        <v xml:space="preserve"> - </v>
      </c>
      <c r="G2659" s="1" t="str">
        <f ca="1">IFERROR(__xludf.DUMMYFUNCTION("""COMPUTED_VALUE""")," /  /  / ")</f>
        <v xml:space="preserve"> /  /  / </v>
      </c>
      <c r="H2659" s="1" t="str">
        <f ca="1">IFERROR(__xludf.DUMMYFUNCTION("""COMPUTED_VALUE"""),"  /  /  / ")</f>
        <v xml:space="preserve">  /  /  / </v>
      </c>
    </row>
    <row r="2660" spans="1:8" ht="12.75" x14ac:dyDescent="0.2">
      <c r="A2660" s="1"/>
      <c r="B2660" s="1"/>
      <c r="C2660" s="1"/>
      <c r="D2660" s="1"/>
      <c r="E2660" s="1"/>
      <c r="F2660" s="1" t="str">
        <f ca="1">IFERROR(__xludf.DUMMYFUNCTION("""COMPUTED_VALUE""")," - ")</f>
        <v xml:space="preserve"> - </v>
      </c>
      <c r="G2660" s="1" t="str">
        <f ca="1">IFERROR(__xludf.DUMMYFUNCTION("""COMPUTED_VALUE""")," /  /  / ")</f>
        <v xml:space="preserve"> /  /  / </v>
      </c>
      <c r="H2660" s="1" t="str">
        <f ca="1">IFERROR(__xludf.DUMMYFUNCTION("""COMPUTED_VALUE"""),"  /  /  / ")</f>
        <v xml:space="preserve">  /  /  / </v>
      </c>
    </row>
    <row r="2661" spans="1:8" ht="12.75" x14ac:dyDescent="0.2">
      <c r="A2661" s="1"/>
      <c r="B2661" s="1"/>
      <c r="C2661" s="1"/>
      <c r="D2661" s="1"/>
      <c r="E2661" s="1"/>
      <c r="F2661" s="1" t="str">
        <f ca="1">IFERROR(__xludf.DUMMYFUNCTION("""COMPUTED_VALUE""")," - ")</f>
        <v xml:space="preserve"> - </v>
      </c>
      <c r="G2661" s="1" t="str">
        <f ca="1">IFERROR(__xludf.DUMMYFUNCTION("""COMPUTED_VALUE""")," /  /  / ")</f>
        <v xml:space="preserve"> /  /  / </v>
      </c>
      <c r="H2661" s="1" t="str">
        <f ca="1">IFERROR(__xludf.DUMMYFUNCTION("""COMPUTED_VALUE"""),"  /  /  / ")</f>
        <v xml:space="preserve">  /  /  / </v>
      </c>
    </row>
    <row r="2662" spans="1:8" ht="12.75" x14ac:dyDescent="0.2">
      <c r="A2662" s="1"/>
      <c r="B2662" s="1"/>
      <c r="C2662" s="1"/>
      <c r="D2662" s="1"/>
      <c r="E2662" s="1"/>
      <c r="F2662" s="1" t="str">
        <f ca="1">IFERROR(__xludf.DUMMYFUNCTION("""COMPUTED_VALUE""")," - ")</f>
        <v xml:space="preserve"> - </v>
      </c>
      <c r="G2662" s="1" t="str">
        <f ca="1">IFERROR(__xludf.DUMMYFUNCTION("""COMPUTED_VALUE""")," /  /  / ")</f>
        <v xml:space="preserve"> /  /  / </v>
      </c>
      <c r="H2662" s="1" t="str">
        <f ca="1">IFERROR(__xludf.DUMMYFUNCTION("""COMPUTED_VALUE"""),"  /  /  / ")</f>
        <v xml:space="preserve">  /  /  / </v>
      </c>
    </row>
    <row r="2663" spans="1:8" ht="12.75" x14ac:dyDescent="0.2">
      <c r="A2663" s="1"/>
      <c r="B2663" s="1"/>
      <c r="C2663" s="1"/>
      <c r="D2663" s="1"/>
      <c r="E2663" s="1"/>
      <c r="F2663" s="1" t="str">
        <f ca="1">IFERROR(__xludf.DUMMYFUNCTION("""COMPUTED_VALUE""")," - ")</f>
        <v xml:space="preserve"> - </v>
      </c>
      <c r="G2663" s="1" t="str">
        <f ca="1">IFERROR(__xludf.DUMMYFUNCTION("""COMPUTED_VALUE""")," /  /  / ")</f>
        <v xml:space="preserve"> /  /  / </v>
      </c>
      <c r="H2663" s="1" t="str">
        <f ca="1">IFERROR(__xludf.DUMMYFUNCTION("""COMPUTED_VALUE"""),"  /  /  / ")</f>
        <v xml:space="preserve">  /  /  / </v>
      </c>
    </row>
    <row r="2664" spans="1:8" ht="12.75" x14ac:dyDescent="0.2">
      <c r="A2664" s="1"/>
      <c r="B2664" s="1"/>
      <c r="C2664" s="1"/>
      <c r="D2664" s="1"/>
      <c r="E2664" s="1"/>
      <c r="F2664" s="1" t="str">
        <f ca="1">IFERROR(__xludf.DUMMYFUNCTION("""COMPUTED_VALUE""")," - ")</f>
        <v xml:space="preserve"> - </v>
      </c>
      <c r="G2664" s="1" t="str">
        <f ca="1">IFERROR(__xludf.DUMMYFUNCTION("""COMPUTED_VALUE""")," /  /  / ")</f>
        <v xml:space="preserve"> /  /  / </v>
      </c>
      <c r="H2664" s="1" t="str">
        <f ca="1">IFERROR(__xludf.DUMMYFUNCTION("""COMPUTED_VALUE"""),"  /  /  / ")</f>
        <v xml:space="preserve">  /  /  / </v>
      </c>
    </row>
    <row r="2665" spans="1:8" ht="12.75" x14ac:dyDescent="0.2">
      <c r="A2665" s="1"/>
      <c r="B2665" s="1"/>
      <c r="C2665" s="1"/>
      <c r="D2665" s="1"/>
      <c r="E2665" s="1"/>
      <c r="F2665" s="1" t="str">
        <f ca="1">IFERROR(__xludf.DUMMYFUNCTION("""COMPUTED_VALUE""")," - ")</f>
        <v xml:space="preserve"> - </v>
      </c>
      <c r="G2665" s="1" t="str">
        <f ca="1">IFERROR(__xludf.DUMMYFUNCTION("""COMPUTED_VALUE""")," /  /  / ")</f>
        <v xml:space="preserve"> /  /  / </v>
      </c>
      <c r="H2665" s="1" t="str">
        <f ca="1">IFERROR(__xludf.DUMMYFUNCTION("""COMPUTED_VALUE"""),"  /  /  / ")</f>
        <v xml:space="preserve">  /  /  / </v>
      </c>
    </row>
    <row r="2666" spans="1:8" ht="12.75" x14ac:dyDescent="0.2">
      <c r="A2666" s="1"/>
      <c r="B2666" s="1"/>
      <c r="C2666" s="1"/>
      <c r="D2666" s="1"/>
      <c r="E2666" s="1"/>
      <c r="F2666" s="1" t="str">
        <f ca="1">IFERROR(__xludf.DUMMYFUNCTION("""COMPUTED_VALUE""")," - ")</f>
        <v xml:space="preserve"> - </v>
      </c>
      <c r="G2666" s="1" t="str">
        <f ca="1">IFERROR(__xludf.DUMMYFUNCTION("""COMPUTED_VALUE""")," /  /  / ")</f>
        <v xml:space="preserve"> /  /  / </v>
      </c>
      <c r="H2666" s="1" t="str">
        <f ca="1">IFERROR(__xludf.DUMMYFUNCTION("""COMPUTED_VALUE"""),"  /  /  / ")</f>
        <v xml:space="preserve">  /  /  / </v>
      </c>
    </row>
    <row r="2667" spans="1:8" ht="12.75" x14ac:dyDescent="0.2">
      <c r="A2667" s="1"/>
      <c r="B2667" s="1"/>
      <c r="C2667" s="1"/>
      <c r="D2667" s="1"/>
      <c r="E2667" s="1"/>
      <c r="F2667" s="1" t="str">
        <f ca="1">IFERROR(__xludf.DUMMYFUNCTION("""COMPUTED_VALUE""")," - ")</f>
        <v xml:space="preserve"> - </v>
      </c>
      <c r="G2667" s="1" t="str">
        <f ca="1">IFERROR(__xludf.DUMMYFUNCTION("""COMPUTED_VALUE""")," /  /  / ")</f>
        <v xml:space="preserve"> /  /  / </v>
      </c>
      <c r="H2667" s="1" t="str">
        <f ca="1">IFERROR(__xludf.DUMMYFUNCTION("""COMPUTED_VALUE"""),"  /  /  / ")</f>
        <v xml:space="preserve">  /  /  / </v>
      </c>
    </row>
    <row r="2668" spans="1:8" ht="12.75" x14ac:dyDescent="0.2">
      <c r="A2668" s="1"/>
      <c r="B2668" s="1"/>
      <c r="C2668" s="1"/>
      <c r="D2668" s="1"/>
      <c r="E2668" s="1"/>
      <c r="F2668" s="1" t="str">
        <f ca="1">IFERROR(__xludf.DUMMYFUNCTION("""COMPUTED_VALUE""")," - ")</f>
        <v xml:space="preserve"> - </v>
      </c>
      <c r="G2668" s="1" t="str">
        <f ca="1">IFERROR(__xludf.DUMMYFUNCTION("""COMPUTED_VALUE""")," /  /  / ")</f>
        <v xml:space="preserve"> /  /  / </v>
      </c>
      <c r="H2668" s="1" t="str">
        <f ca="1">IFERROR(__xludf.DUMMYFUNCTION("""COMPUTED_VALUE"""),"  /  /  / ")</f>
        <v xml:space="preserve">  /  /  / </v>
      </c>
    </row>
    <row r="2669" spans="1:8" ht="12.75" x14ac:dyDescent="0.2">
      <c r="A2669" s="1"/>
      <c r="B2669" s="1"/>
      <c r="C2669" s="1"/>
      <c r="D2669" s="1"/>
      <c r="E2669" s="1"/>
      <c r="F2669" s="1" t="str">
        <f ca="1">IFERROR(__xludf.DUMMYFUNCTION("""COMPUTED_VALUE""")," - ")</f>
        <v xml:space="preserve"> - </v>
      </c>
      <c r="G2669" s="1" t="str">
        <f ca="1">IFERROR(__xludf.DUMMYFUNCTION("""COMPUTED_VALUE""")," /  /  / ")</f>
        <v xml:space="preserve"> /  /  / </v>
      </c>
      <c r="H2669" s="1" t="str">
        <f ca="1">IFERROR(__xludf.DUMMYFUNCTION("""COMPUTED_VALUE"""),"  /  /  / ")</f>
        <v xml:space="preserve">  /  /  / </v>
      </c>
    </row>
    <row r="2670" spans="1:8" ht="12.75" x14ac:dyDescent="0.2">
      <c r="A2670" s="1"/>
      <c r="B2670" s="1"/>
      <c r="C2670" s="1"/>
      <c r="D2670" s="1"/>
      <c r="E2670" s="1"/>
      <c r="F2670" s="1" t="str">
        <f ca="1">IFERROR(__xludf.DUMMYFUNCTION("""COMPUTED_VALUE""")," - ")</f>
        <v xml:space="preserve"> - </v>
      </c>
      <c r="G2670" s="1" t="str">
        <f ca="1">IFERROR(__xludf.DUMMYFUNCTION("""COMPUTED_VALUE""")," /  /  / ")</f>
        <v xml:space="preserve"> /  /  / </v>
      </c>
      <c r="H2670" s="1" t="str">
        <f ca="1">IFERROR(__xludf.DUMMYFUNCTION("""COMPUTED_VALUE"""),"  /  /  / ")</f>
        <v xml:space="preserve">  /  /  / </v>
      </c>
    </row>
    <row r="2671" spans="1:8" ht="12.75" x14ac:dyDescent="0.2">
      <c r="A2671" s="1"/>
      <c r="B2671" s="1"/>
      <c r="C2671" s="1"/>
      <c r="D2671" s="1"/>
      <c r="E2671" s="1"/>
      <c r="F2671" s="1" t="str">
        <f ca="1">IFERROR(__xludf.DUMMYFUNCTION("""COMPUTED_VALUE""")," - ")</f>
        <v xml:space="preserve"> - </v>
      </c>
      <c r="G2671" s="1" t="str">
        <f ca="1">IFERROR(__xludf.DUMMYFUNCTION("""COMPUTED_VALUE""")," /  /  / ")</f>
        <v xml:space="preserve"> /  /  / </v>
      </c>
      <c r="H2671" s="1" t="str">
        <f ca="1">IFERROR(__xludf.DUMMYFUNCTION("""COMPUTED_VALUE"""),"  /  /  / ")</f>
        <v xml:space="preserve">  /  /  / </v>
      </c>
    </row>
    <row r="2672" spans="1:8" ht="12.75" x14ac:dyDescent="0.2">
      <c r="A2672" s="1"/>
      <c r="B2672" s="1"/>
      <c r="C2672" s="1"/>
      <c r="D2672" s="1"/>
      <c r="E2672" s="1"/>
      <c r="F2672" s="1" t="str">
        <f ca="1">IFERROR(__xludf.DUMMYFUNCTION("""COMPUTED_VALUE""")," - ")</f>
        <v xml:space="preserve"> - </v>
      </c>
      <c r="G2672" s="1" t="str">
        <f ca="1">IFERROR(__xludf.DUMMYFUNCTION("""COMPUTED_VALUE""")," /  /  / ")</f>
        <v xml:space="preserve"> /  /  / </v>
      </c>
      <c r="H2672" s="1" t="str">
        <f ca="1">IFERROR(__xludf.DUMMYFUNCTION("""COMPUTED_VALUE"""),"  /  /  / ")</f>
        <v xml:space="preserve">  /  /  / </v>
      </c>
    </row>
    <row r="2673" spans="1:8" ht="12.75" x14ac:dyDescent="0.2">
      <c r="A2673" s="1"/>
      <c r="B2673" s="1"/>
      <c r="C2673" s="1"/>
      <c r="D2673" s="1"/>
      <c r="E2673" s="1"/>
      <c r="F2673" s="1" t="str">
        <f ca="1">IFERROR(__xludf.DUMMYFUNCTION("""COMPUTED_VALUE""")," - ")</f>
        <v xml:space="preserve"> - </v>
      </c>
      <c r="G2673" s="1" t="str">
        <f ca="1">IFERROR(__xludf.DUMMYFUNCTION("""COMPUTED_VALUE""")," /  /  / ")</f>
        <v xml:space="preserve"> /  /  / </v>
      </c>
      <c r="H2673" s="1" t="str">
        <f ca="1">IFERROR(__xludf.DUMMYFUNCTION("""COMPUTED_VALUE"""),"  /  /  / ")</f>
        <v xml:space="preserve">  /  /  / </v>
      </c>
    </row>
    <row r="2674" spans="1:8" ht="12.75" x14ac:dyDescent="0.2">
      <c r="A2674" s="1"/>
      <c r="B2674" s="1"/>
      <c r="C2674" s="1"/>
      <c r="D2674" s="1"/>
      <c r="E2674" s="1"/>
      <c r="F2674" s="1" t="str">
        <f ca="1">IFERROR(__xludf.DUMMYFUNCTION("""COMPUTED_VALUE""")," - ")</f>
        <v xml:space="preserve"> - </v>
      </c>
      <c r="G2674" s="1" t="str">
        <f ca="1">IFERROR(__xludf.DUMMYFUNCTION("""COMPUTED_VALUE""")," /  /  / ")</f>
        <v xml:space="preserve"> /  /  / </v>
      </c>
      <c r="H2674" s="1" t="str">
        <f ca="1">IFERROR(__xludf.DUMMYFUNCTION("""COMPUTED_VALUE"""),"  /  /  / ")</f>
        <v xml:space="preserve">  /  /  / </v>
      </c>
    </row>
    <row r="2675" spans="1:8" ht="12.75" x14ac:dyDescent="0.2">
      <c r="A2675" s="1"/>
      <c r="B2675" s="1"/>
      <c r="C2675" s="1"/>
      <c r="D2675" s="1"/>
      <c r="E2675" s="1"/>
      <c r="F2675" s="1" t="str">
        <f ca="1">IFERROR(__xludf.DUMMYFUNCTION("""COMPUTED_VALUE""")," - ")</f>
        <v xml:space="preserve"> - </v>
      </c>
      <c r="G2675" s="1" t="str">
        <f ca="1">IFERROR(__xludf.DUMMYFUNCTION("""COMPUTED_VALUE""")," /  /  / ")</f>
        <v xml:space="preserve"> /  /  / </v>
      </c>
      <c r="H2675" s="1" t="str">
        <f ca="1">IFERROR(__xludf.DUMMYFUNCTION("""COMPUTED_VALUE"""),"  /  /  / ")</f>
        <v xml:space="preserve">  /  /  / </v>
      </c>
    </row>
    <row r="2676" spans="1:8" ht="12.75" x14ac:dyDescent="0.2">
      <c r="A2676" s="1"/>
      <c r="B2676" s="1"/>
      <c r="C2676" s="1"/>
      <c r="D2676" s="1"/>
      <c r="E2676" s="1"/>
      <c r="F2676" s="1" t="str">
        <f ca="1">IFERROR(__xludf.DUMMYFUNCTION("""COMPUTED_VALUE""")," - ")</f>
        <v xml:space="preserve"> - </v>
      </c>
      <c r="G2676" s="1" t="str">
        <f ca="1">IFERROR(__xludf.DUMMYFUNCTION("""COMPUTED_VALUE""")," /  /  / ")</f>
        <v xml:space="preserve"> /  /  / </v>
      </c>
      <c r="H2676" s="1" t="str">
        <f ca="1">IFERROR(__xludf.DUMMYFUNCTION("""COMPUTED_VALUE"""),"  /  /  / ")</f>
        <v xml:space="preserve">  /  /  / </v>
      </c>
    </row>
    <row r="2677" spans="1:8" ht="12.75" x14ac:dyDescent="0.2">
      <c r="A2677" s="1"/>
      <c r="B2677" s="1"/>
      <c r="C2677" s="1"/>
      <c r="D2677" s="1"/>
      <c r="E2677" s="1"/>
      <c r="F2677" s="1" t="str">
        <f ca="1">IFERROR(__xludf.DUMMYFUNCTION("""COMPUTED_VALUE""")," - ")</f>
        <v xml:space="preserve"> - </v>
      </c>
      <c r="G2677" s="1" t="str">
        <f ca="1">IFERROR(__xludf.DUMMYFUNCTION("""COMPUTED_VALUE""")," /  /  / ")</f>
        <v xml:space="preserve"> /  /  / </v>
      </c>
      <c r="H2677" s="1" t="str">
        <f ca="1">IFERROR(__xludf.DUMMYFUNCTION("""COMPUTED_VALUE"""),"  /  /  / ")</f>
        <v xml:space="preserve">  /  /  / </v>
      </c>
    </row>
    <row r="2678" spans="1:8" ht="12.75" x14ac:dyDescent="0.2">
      <c r="A2678" s="1"/>
      <c r="B2678" s="1"/>
      <c r="C2678" s="1"/>
      <c r="D2678" s="1"/>
      <c r="E2678" s="1"/>
      <c r="F2678" s="1" t="str">
        <f ca="1">IFERROR(__xludf.DUMMYFUNCTION("""COMPUTED_VALUE""")," - ")</f>
        <v xml:space="preserve"> - </v>
      </c>
      <c r="G2678" s="1" t="str">
        <f ca="1">IFERROR(__xludf.DUMMYFUNCTION("""COMPUTED_VALUE""")," /  /  / ")</f>
        <v xml:space="preserve"> /  /  / </v>
      </c>
      <c r="H2678" s="1" t="str">
        <f ca="1">IFERROR(__xludf.DUMMYFUNCTION("""COMPUTED_VALUE"""),"  /  /  / ")</f>
        <v xml:space="preserve">  /  /  / </v>
      </c>
    </row>
    <row r="2679" spans="1:8" ht="12.75" x14ac:dyDescent="0.2">
      <c r="A2679" s="1"/>
      <c r="B2679" s="1"/>
      <c r="C2679" s="1"/>
      <c r="D2679" s="1"/>
      <c r="E2679" s="1"/>
      <c r="F2679" s="1" t="str">
        <f ca="1">IFERROR(__xludf.DUMMYFUNCTION("""COMPUTED_VALUE""")," - ")</f>
        <v xml:space="preserve"> - </v>
      </c>
      <c r="G2679" s="1" t="str">
        <f ca="1">IFERROR(__xludf.DUMMYFUNCTION("""COMPUTED_VALUE""")," /  /  / ")</f>
        <v xml:space="preserve"> /  /  / </v>
      </c>
      <c r="H2679" s="1" t="str">
        <f ca="1">IFERROR(__xludf.DUMMYFUNCTION("""COMPUTED_VALUE"""),"  /  /  / ")</f>
        <v xml:space="preserve">  /  /  / </v>
      </c>
    </row>
    <row r="2680" spans="1:8" ht="12.75" x14ac:dyDescent="0.2">
      <c r="A2680" s="1"/>
      <c r="B2680" s="1"/>
      <c r="C2680" s="1"/>
      <c r="D2680" s="1"/>
      <c r="E2680" s="1"/>
      <c r="F2680" s="1" t="str">
        <f ca="1">IFERROR(__xludf.DUMMYFUNCTION("""COMPUTED_VALUE""")," - ")</f>
        <v xml:space="preserve"> - </v>
      </c>
      <c r="G2680" s="1" t="str">
        <f ca="1">IFERROR(__xludf.DUMMYFUNCTION("""COMPUTED_VALUE""")," /  /  / ")</f>
        <v xml:space="preserve"> /  /  / </v>
      </c>
      <c r="H2680" s="1" t="str">
        <f ca="1">IFERROR(__xludf.DUMMYFUNCTION("""COMPUTED_VALUE"""),"  /  /  / ")</f>
        <v xml:space="preserve">  /  /  / </v>
      </c>
    </row>
    <row r="2681" spans="1:8" ht="12.75" x14ac:dyDescent="0.2">
      <c r="A2681" s="1"/>
      <c r="B2681" s="1"/>
      <c r="C2681" s="1"/>
      <c r="D2681" s="1"/>
      <c r="E2681" s="1"/>
      <c r="F2681" s="1" t="str">
        <f ca="1">IFERROR(__xludf.DUMMYFUNCTION("""COMPUTED_VALUE""")," - ")</f>
        <v xml:space="preserve"> - </v>
      </c>
      <c r="G2681" s="1" t="str">
        <f ca="1">IFERROR(__xludf.DUMMYFUNCTION("""COMPUTED_VALUE""")," /  /  / ")</f>
        <v xml:space="preserve"> /  /  / </v>
      </c>
      <c r="H2681" s="1" t="str">
        <f ca="1">IFERROR(__xludf.DUMMYFUNCTION("""COMPUTED_VALUE"""),"  /  /  / ")</f>
        <v xml:space="preserve">  /  /  / </v>
      </c>
    </row>
    <row r="2682" spans="1:8" ht="12.75" x14ac:dyDescent="0.2">
      <c r="A2682" s="1"/>
      <c r="B2682" s="1"/>
      <c r="C2682" s="1"/>
      <c r="D2682" s="1"/>
      <c r="E2682" s="1"/>
      <c r="F2682" s="1" t="str">
        <f ca="1">IFERROR(__xludf.DUMMYFUNCTION("""COMPUTED_VALUE""")," - ")</f>
        <v xml:space="preserve"> - </v>
      </c>
      <c r="G2682" s="1" t="str">
        <f ca="1">IFERROR(__xludf.DUMMYFUNCTION("""COMPUTED_VALUE""")," /  /  / ")</f>
        <v xml:space="preserve"> /  /  / </v>
      </c>
      <c r="H2682" s="1" t="str">
        <f ca="1">IFERROR(__xludf.DUMMYFUNCTION("""COMPUTED_VALUE"""),"  /  /  / ")</f>
        <v xml:space="preserve">  /  /  / </v>
      </c>
    </row>
    <row r="2683" spans="1:8" ht="12.75" x14ac:dyDescent="0.2">
      <c r="A2683" s="1"/>
      <c r="B2683" s="1"/>
      <c r="C2683" s="1"/>
      <c r="D2683" s="1"/>
      <c r="E2683" s="1"/>
      <c r="F2683" s="1" t="str">
        <f ca="1">IFERROR(__xludf.DUMMYFUNCTION("""COMPUTED_VALUE""")," - ")</f>
        <v xml:space="preserve"> - </v>
      </c>
      <c r="G2683" s="1" t="str">
        <f ca="1">IFERROR(__xludf.DUMMYFUNCTION("""COMPUTED_VALUE""")," /  /  / ")</f>
        <v xml:space="preserve"> /  /  / </v>
      </c>
      <c r="H2683" s="1" t="str">
        <f ca="1">IFERROR(__xludf.DUMMYFUNCTION("""COMPUTED_VALUE"""),"  /  /  / ")</f>
        <v xml:space="preserve">  /  /  / </v>
      </c>
    </row>
    <row r="2684" spans="1:8" ht="12.75" x14ac:dyDescent="0.2">
      <c r="A2684" s="1"/>
      <c r="B2684" s="1"/>
      <c r="C2684" s="1"/>
      <c r="D2684" s="1"/>
      <c r="E2684" s="1"/>
      <c r="F2684" s="1" t="str">
        <f ca="1">IFERROR(__xludf.DUMMYFUNCTION("""COMPUTED_VALUE""")," - ")</f>
        <v xml:space="preserve"> - </v>
      </c>
      <c r="G2684" s="1" t="str">
        <f ca="1">IFERROR(__xludf.DUMMYFUNCTION("""COMPUTED_VALUE""")," /  /  / ")</f>
        <v xml:space="preserve"> /  /  / </v>
      </c>
      <c r="H2684" s="1" t="str">
        <f ca="1">IFERROR(__xludf.DUMMYFUNCTION("""COMPUTED_VALUE"""),"  /  /  / ")</f>
        <v xml:space="preserve">  /  /  / </v>
      </c>
    </row>
    <row r="2685" spans="1:8" ht="12.75" x14ac:dyDescent="0.2">
      <c r="A2685" s="1"/>
      <c r="B2685" s="1"/>
      <c r="C2685" s="1"/>
      <c r="D2685" s="1"/>
      <c r="E2685" s="1"/>
      <c r="F2685" s="1" t="str">
        <f ca="1">IFERROR(__xludf.DUMMYFUNCTION("""COMPUTED_VALUE""")," - ")</f>
        <v xml:space="preserve"> - </v>
      </c>
      <c r="G2685" s="1" t="str">
        <f ca="1">IFERROR(__xludf.DUMMYFUNCTION("""COMPUTED_VALUE""")," /  /  / ")</f>
        <v xml:space="preserve"> /  /  / </v>
      </c>
      <c r="H2685" s="1" t="str">
        <f ca="1">IFERROR(__xludf.DUMMYFUNCTION("""COMPUTED_VALUE"""),"  /  /  / ")</f>
        <v xml:space="preserve">  /  /  / </v>
      </c>
    </row>
    <row r="2686" spans="1:8" ht="12.75" x14ac:dyDescent="0.2">
      <c r="A2686" s="1"/>
      <c r="B2686" s="1"/>
      <c r="C2686" s="1"/>
      <c r="D2686" s="1"/>
      <c r="E2686" s="1"/>
      <c r="F2686" s="1" t="str">
        <f ca="1">IFERROR(__xludf.DUMMYFUNCTION("""COMPUTED_VALUE""")," - ")</f>
        <v xml:space="preserve"> - </v>
      </c>
      <c r="G2686" s="1" t="str">
        <f ca="1">IFERROR(__xludf.DUMMYFUNCTION("""COMPUTED_VALUE""")," /  /  / ")</f>
        <v xml:space="preserve"> /  /  / </v>
      </c>
      <c r="H2686" s="1" t="str">
        <f ca="1">IFERROR(__xludf.DUMMYFUNCTION("""COMPUTED_VALUE"""),"  /  /  / ")</f>
        <v xml:space="preserve">  /  /  / </v>
      </c>
    </row>
    <row r="2687" spans="1:8" ht="12.75" x14ac:dyDescent="0.2">
      <c r="A2687" s="1"/>
      <c r="B2687" s="1"/>
      <c r="C2687" s="1"/>
      <c r="D2687" s="1"/>
      <c r="E2687" s="1"/>
      <c r="F2687" s="1" t="str">
        <f ca="1">IFERROR(__xludf.DUMMYFUNCTION("""COMPUTED_VALUE""")," - ")</f>
        <v xml:space="preserve"> - </v>
      </c>
      <c r="G2687" s="1" t="str">
        <f ca="1">IFERROR(__xludf.DUMMYFUNCTION("""COMPUTED_VALUE""")," /  /  / ")</f>
        <v xml:space="preserve"> /  /  / </v>
      </c>
      <c r="H2687" s="1" t="str">
        <f ca="1">IFERROR(__xludf.DUMMYFUNCTION("""COMPUTED_VALUE"""),"  /  /  / ")</f>
        <v xml:space="preserve">  /  /  / </v>
      </c>
    </row>
    <row r="2688" spans="1:8" ht="12.75" x14ac:dyDescent="0.2">
      <c r="A2688" s="1"/>
      <c r="B2688" s="1"/>
      <c r="C2688" s="1"/>
      <c r="D2688" s="1"/>
      <c r="E2688" s="1"/>
      <c r="F2688" s="1" t="str">
        <f ca="1">IFERROR(__xludf.DUMMYFUNCTION("""COMPUTED_VALUE""")," - ")</f>
        <v xml:space="preserve"> - </v>
      </c>
      <c r="G2688" s="1" t="str">
        <f ca="1">IFERROR(__xludf.DUMMYFUNCTION("""COMPUTED_VALUE""")," /  /  / ")</f>
        <v xml:space="preserve"> /  /  / </v>
      </c>
      <c r="H2688" s="1" t="str">
        <f ca="1">IFERROR(__xludf.DUMMYFUNCTION("""COMPUTED_VALUE"""),"  /  /  / ")</f>
        <v xml:space="preserve">  /  /  / </v>
      </c>
    </row>
    <row r="2689" spans="1:8" ht="12.75" x14ac:dyDescent="0.2">
      <c r="A2689" s="1"/>
      <c r="B2689" s="1"/>
      <c r="C2689" s="1"/>
      <c r="D2689" s="1"/>
      <c r="E2689" s="1"/>
      <c r="F2689" s="1" t="str">
        <f ca="1">IFERROR(__xludf.DUMMYFUNCTION("""COMPUTED_VALUE""")," - ")</f>
        <v xml:space="preserve"> - </v>
      </c>
      <c r="G2689" s="1" t="str">
        <f ca="1">IFERROR(__xludf.DUMMYFUNCTION("""COMPUTED_VALUE""")," /  /  / ")</f>
        <v xml:space="preserve"> /  /  / </v>
      </c>
      <c r="H2689" s="1" t="str">
        <f ca="1">IFERROR(__xludf.DUMMYFUNCTION("""COMPUTED_VALUE"""),"  /  /  / ")</f>
        <v xml:space="preserve">  /  /  / </v>
      </c>
    </row>
    <row r="2690" spans="1:8" ht="12.75" x14ac:dyDescent="0.2">
      <c r="A2690" s="1"/>
      <c r="B2690" s="1"/>
      <c r="C2690" s="1"/>
      <c r="D2690" s="1"/>
      <c r="E2690" s="1"/>
      <c r="F2690" s="1" t="str">
        <f ca="1">IFERROR(__xludf.DUMMYFUNCTION("""COMPUTED_VALUE""")," - ")</f>
        <v xml:space="preserve"> - </v>
      </c>
      <c r="G2690" s="1" t="str">
        <f ca="1">IFERROR(__xludf.DUMMYFUNCTION("""COMPUTED_VALUE""")," /  /  / ")</f>
        <v xml:space="preserve"> /  /  / </v>
      </c>
      <c r="H2690" s="1" t="str">
        <f ca="1">IFERROR(__xludf.DUMMYFUNCTION("""COMPUTED_VALUE"""),"  /  /  / ")</f>
        <v xml:space="preserve">  /  /  / </v>
      </c>
    </row>
    <row r="2691" spans="1:8" ht="12.75" x14ac:dyDescent="0.2">
      <c r="A2691" s="1"/>
      <c r="B2691" s="1"/>
      <c r="C2691" s="1"/>
      <c r="D2691" s="1"/>
      <c r="E2691" s="1"/>
      <c r="F2691" s="1" t="str">
        <f ca="1">IFERROR(__xludf.DUMMYFUNCTION("""COMPUTED_VALUE""")," - ")</f>
        <v xml:space="preserve"> - </v>
      </c>
      <c r="G2691" s="1" t="str">
        <f ca="1">IFERROR(__xludf.DUMMYFUNCTION("""COMPUTED_VALUE""")," /  /  / ")</f>
        <v xml:space="preserve"> /  /  / </v>
      </c>
      <c r="H2691" s="1" t="str">
        <f ca="1">IFERROR(__xludf.DUMMYFUNCTION("""COMPUTED_VALUE"""),"  /  /  / ")</f>
        <v xml:space="preserve">  /  /  / </v>
      </c>
    </row>
    <row r="2692" spans="1:8" ht="12.75" x14ac:dyDescent="0.2">
      <c r="A2692" s="1"/>
      <c r="B2692" s="1"/>
      <c r="C2692" s="1"/>
      <c r="D2692" s="1"/>
      <c r="E2692" s="1"/>
      <c r="F2692" s="1" t="str">
        <f ca="1">IFERROR(__xludf.DUMMYFUNCTION("""COMPUTED_VALUE""")," - ")</f>
        <v xml:space="preserve"> - </v>
      </c>
      <c r="G2692" s="1" t="str">
        <f ca="1">IFERROR(__xludf.DUMMYFUNCTION("""COMPUTED_VALUE""")," /  /  / ")</f>
        <v xml:space="preserve"> /  /  / </v>
      </c>
      <c r="H2692" s="1" t="str">
        <f ca="1">IFERROR(__xludf.DUMMYFUNCTION("""COMPUTED_VALUE"""),"  /  /  / ")</f>
        <v xml:space="preserve">  /  /  / </v>
      </c>
    </row>
    <row r="2693" spans="1:8" ht="12.75" x14ac:dyDescent="0.2">
      <c r="A2693" s="1"/>
      <c r="B2693" s="1"/>
      <c r="C2693" s="1"/>
      <c r="D2693" s="1"/>
      <c r="E2693" s="1"/>
      <c r="F2693" s="1" t="str">
        <f ca="1">IFERROR(__xludf.DUMMYFUNCTION("""COMPUTED_VALUE""")," - ")</f>
        <v xml:space="preserve"> - </v>
      </c>
      <c r="G2693" s="1" t="str">
        <f ca="1">IFERROR(__xludf.DUMMYFUNCTION("""COMPUTED_VALUE""")," /  /  / ")</f>
        <v xml:space="preserve"> /  /  / </v>
      </c>
      <c r="H2693" s="1" t="str">
        <f ca="1">IFERROR(__xludf.DUMMYFUNCTION("""COMPUTED_VALUE"""),"  /  /  / ")</f>
        <v xml:space="preserve">  /  /  / </v>
      </c>
    </row>
    <row r="2694" spans="1:8" ht="12.75" x14ac:dyDescent="0.2">
      <c r="A2694" s="1"/>
      <c r="B2694" s="1"/>
      <c r="C2694" s="1"/>
      <c r="D2694" s="1"/>
      <c r="E2694" s="1"/>
      <c r="F2694" s="1" t="str">
        <f ca="1">IFERROR(__xludf.DUMMYFUNCTION("""COMPUTED_VALUE""")," - ")</f>
        <v xml:space="preserve"> - </v>
      </c>
      <c r="G2694" s="1" t="str">
        <f ca="1">IFERROR(__xludf.DUMMYFUNCTION("""COMPUTED_VALUE""")," /  /  / ")</f>
        <v xml:space="preserve"> /  /  / </v>
      </c>
      <c r="H2694" s="1" t="str">
        <f ca="1">IFERROR(__xludf.DUMMYFUNCTION("""COMPUTED_VALUE"""),"  /  /  / ")</f>
        <v xml:space="preserve">  /  /  / </v>
      </c>
    </row>
    <row r="2695" spans="1:8" ht="12.75" x14ac:dyDescent="0.2">
      <c r="A2695" s="1"/>
      <c r="B2695" s="1"/>
      <c r="C2695" s="1"/>
      <c r="D2695" s="1"/>
      <c r="E2695" s="1"/>
      <c r="F2695" s="1" t="str">
        <f ca="1">IFERROR(__xludf.DUMMYFUNCTION("""COMPUTED_VALUE""")," - ")</f>
        <v xml:space="preserve"> - </v>
      </c>
      <c r="G2695" s="1" t="str">
        <f ca="1">IFERROR(__xludf.DUMMYFUNCTION("""COMPUTED_VALUE""")," /  /  / ")</f>
        <v xml:space="preserve"> /  /  / </v>
      </c>
      <c r="H2695" s="1" t="str">
        <f ca="1">IFERROR(__xludf.DUMMYFUNCTION("""COMPUTED_VALUE"""),"  /  /  / ")</f>
        <v xml:space="preserve">  /  /  / </v>
      </c>
    </row>
    <row r="2696" spans="1:8" ht="12.75" x14ac:dyDescent="0.2">
      <c r="A2696" s="1"/>
      <c r="B2696" s="1"/>
      <c r="C2696" s="1"/>
      <c r="D2696" s="1"/>
      <c r="E2696" s="1"/>
      <c r="F2696" s="1" t="str">
        <f ca="1">IFERROR(__xludf.DUMMYFUNCTION("""COMPUTED_VALUE""")," - ")</f>
        <v xml:space="preserve"> - </v>
      </c>
      <c r="G2696" s="1" t="str">
        <f ca="1">IFERROR(__xludf.DUMMYFUNCTION("""COMPUTED_VALUE""")," /  /  / ")</f>
        <v xml:space="preserve"> /  /  / </v>
      </c>
      <c r="H2696" s="1" t="str">
        <f ca="1">IFERROR(__xludf.DUMMYFUNCTION("""COMPUTED_VALUE"""),"  /  /  / ")</f>
        <v xml:space="preserve">  /  /  / </v>
      </c>
    </row>
    <row r="2697" spans="1:8" ht="12.75" x14ac:dyDescent="0.2">
      <c r="A2697" s="1"/>
      <c r="B2697" s="1"/>
      <c r="C2697" s="1"/>
      <c r="D2697" s="1"/>
      <c r="E2697" s="1"/>
      <c r="F2697" s="1" t="str">
        <f ca="1">IFERROR(__xludf.DUMMYFUNCTION("""COMPUTED_VALUE""")," - ")</f>
        <v xml:space="preserve"> - </v>
      </c>
      <c r="G2697" s="1" t="str">
        <f ca="1">IFERROR(__xludf.DUMMYFUNCTION("""COMPUTED_VALUE""")," /  /  / ")</f>
        <v xml:space="preserve"> /  /  / </v>
      </c>
      <c r="H2697" s="1" t="str">
        <f ca="1">IFERROR(__xludf.DUMMYFUNCTION("""COMPUTED_VALUE"""),"  /  /  / ")</f>
        <v xml:space="preserve">  /  /  / </v>
      </c>
    </row>
    <row r="2698" spans="1:8" ht="12.75" x14ac:dyDescent="0.2">
      <c r="A2698" s="1"/>
      <c r="B2698" s="1"/>
      <c r="C2698" s="1"/>
      <c r="D2698" s="1"/>
      <c r="E2698" s="1"/>
      <c r="F2698" s="1" t="str">
        <f ca="1">IFERROR(__xludf.DUMMYFUNCTION("""COMPUTED_VALUE""")," - ")</f>
        <v xml:space="preserve"> - </v>
      </c>
      <c r="G2698" s="1" t="str">
        <f ca="1">IFERROR(__xludf.DUMMYFUNCTION("""COMPUTED_VALUE""")," /  /  / ")</f>
        <v xml:space="preserve"> /  /  / </v>
      </c>
      <c r="H2698" s="1" t="str">
        <f ca="1">IFERROR(__xludf.DUMMYFUNCTION("""COMPUTED_VALUE"""),"  /  /  / ")</f>
        <v xml:space="preserve">  /  /  / </v>
      </c>
    </row>
    <row r="2699" spans="1:8" ht="12.75" x14ac:dyDescent="0.2">
      <c r="A2699" s="1"/>
      <c r="B2699" s="1"/>
      <c r="C2699" s="1"/>
      <c r="D2699" s="1"/>
      <c r="E2699" s="1"/>
      <c r="F2699" s="1" t="str">
        <f ca="1">IFERROR(__xludf.DUMMYFUNCTION("""COMPUTED_VALUE""")," - ")</f>
        <v xml:space="preserve"> - </v>
      </c>
      <c r="G2699" s="1" t="str">
        <f ca="1">IFERROR(__xludf.DUMMYFUNCTION("""COMPUTED_VALUE""")," /  /  / ")</f>
        <v xml:space="preserve"> /  /  / </v>
      </c>
      <c r="H2699" s="1" t="str">
        <f ca="1">IFERROR(__xludf.DUMMYFUNCTION("""COMPUTED_VALUE"""),"  /  /  / ")</f>
        <v xml:space="preserve">  /  /  / </v>
      </c>
    </row>
    <row r="2700" spans="1:8" ht="12.75" x14ac:dyDescent="0.2">
      <c r="A2700" s="1"/>
      <c r="B2700" s="1"/>
      <c r="C2700" s="1"/>
      <c r="D2700" s="1"/>
      <c r="E2700" s="1"/>
      <c r="F2700" s="1" t="str">
        <f ca="1">IFERROR(__xludf.DUMMYFUNCTION("""COMPUTED_VALUE""")," - ")</f>
        <v xml:space="preserve"> - </v>
      </c>
      <c r="G2700" s="1" t="str">
        <f ca="1">IFERROR(__xludf.DUMMYFUNCTION("""COMPUTED_VALUE""")," /  /  / ")</f>
        <v xml:space="preserve"> /  /  / </v>
      </c>
      <c r="H2700" s="1" t="str">
        <f ca="1">IFERROR(__xludf.DUMMYFUNCTION("""COMPUTED_VALUE"""),"  /  /  / ")</f>
        <v xml:space="preserve">  /  /  / </v>
      </c>
    </row>
    <row r="2701" spans="1:8" ht="12.75" x14ac:dyDescent="0.2">
      <c r="A2701" s="1"/>
      <c r="B2701" s="1"/>
      <c r="C2701" s="1"/>
      <c r="D2701" s="1"/>
      <c r="E2701" s="1"/>
      <c r="F2701" s="1" t="str">
        <f ca="1">IFERROR(__xludf.DUMMYFUNCTION("""COMPUTED_VALUE""")," - ")</f>
        <v xml:space="preserve"> - </v>
      </c>
      <c r="G2701" s="1" t="str">
        <f ca="1">IFERROR(__xludf.DUMMYFUNCTION("""COMPUTED_VALUE""")," /  /  / ")</f>
        <v xml:space="preserve"> /  /  / </v>
      </c>
      <c r="H2701" s="1" t="str">
        <f ca="1">IFERROR(__xludf.DUMMYFUNCTION("""COMPUTED_VALUE"""),"  /  /  / ")</f>
        <v xml:space="preserve">  /  /  / </v>
      </c>
    </row>
    <row r="2702" spans="1:8" ht="12.75" x14ac:dyDescent="0.2">
      <c r="A2702" s="1"/>
      <c r="B2702" s="1"/>
      <c r="C2702" s="1"/>
      <c r="D2702" s="1"/>
      <c r="E2702" s="1"/>
      <c r="F2702" s="1" t="str">
        <f ca="1">IFERROR(__xludf.DUMMYFUNCTION("""COMPUTED_VALUE""")," - ")</f>
        <v xml:space="preserve"> - </v>
      </c>
      <c r="G2702" s="1" t="str">
        <f ca="1">IFERROR(__xludf.DUMMYFUNCTION("""COMPUTED_VALUE""")," /  /  / ")</f>
        <v xml:space="preserve"> /  /  / </v>
      </c>
      <c r="H2702" s="1" t="str">
        <f ca="1">IFERROR(__xludf.DUMMYFUNCTION("""COMPUTED_VALUE"""),"  /  /  / ")</f>
        <v xml:space="preserve">  /  /  / </v>
      </c>
    </row>
    <row r="2703" spans="1:8" ht="12.75" x14ac:dyDescent="0.2">
      <c r="A2703" s="1"/>
      <c r="B2703" s="1"/>
      <c r="C2703" s="1"/>
      <c r="D2703" s="1"/>
      <c r="E2703" s="1"/>
      <c r="F2703" s="1" t="str">
        <f ca="1">IFERROR(__xludf.DUMMYFUNCTION("""COMPUTED_VALUE""")," - ")</f>
        <v xml:space="preserve"> - </v>
      </c>
      <c r="G2703" s="1" t="str">
        <f ca="1">IFERROR(__xludf.DUMMYFUNCTION("""COMPUTED_VALUE""")," /  /  / ")</f>
        <v xml:space="preserve"> /  /  / </v>
      </c>
      <c r="H2703" s="1" t="str">
        <f ca="1">IFERROR(__xludf.DUMMYFUNCTION("""COMPUTED_VALUE"""),"  /  /  / ")</f>
        <v xml:space="preserve">  /  /  / </v>
      </c>
    </row>
    <row r="2704" spans="1:8" ht="12.75" x14ac:dyDescent="0.2">
      <c r="A2704" s="1"/>
      <c r="B2704" s="1"/>
      <c r="C2704" s="1"/>
      <c r="D2704" s="1"/>
      <c r="E2704" s="1"/>
      <c r="F2704" s="1" t="str">
        <f ca="1">IFERROR(__xludf.DUMMYFUNCTION("""COMPUTED_VALUE""")," - ")</f>
        <v xml:space="preserve"> - </v>
      </c>
      <c r="G2704" s="1" t="str">
        <f ca="1">IFERROR(__xludf.DUMMYFUNCTION("""COMPUTED_VALUE""")," /  /  / ")</f>
        <v xml:space="preserve"> /  /  / </v>
      </c>
      <c r="H2704" s="1" t="str">
        <f ca="1">IFERROR(__xludf.DUMMYFUNCTION("""COMPUTED_VALUE"""),"  /  /  / ")</f>
        <v xml:space="preserve">  /  /  / </v>
      </c>
    </row>
    <row r="2705" spans="1:8" ht="12.75" x14ac:dyDescent="0.2">
      <c r="A2705" s="1"/>
      <c r="B2705" s="1"/>
      <c r="C2705" s="1"/>
      <c r="D2705" s="1"/>
      <c r="E2705" s="1"/>
      <c r="F2705" s="1" t="str">
        <f ca="1">IFERROR(__xludf.DUMMYFUNCTION("""COMPUTED_VALUE""")," - ")</f>
        <v xml:space="preserve"> - </v>
      </c>
      <c r="G2705" s="1" t="str">
        <f ca="1">IFERROR(__xludf.DUMMYFUNCTION("""COMPUTED_VALUE""")," /  /  / ")</f>
        <v xml:space="preserve"> /  /  / </v>
      </c>
      <c r="H2705" s="1" t="str">
        <f ca="1">IFERROR(__xludf.DUMMYFUNCTION("""COMPUTED_VALUE"""),"  /  /  / ")</f>
        <v xml:space="preserve">  /  /  / </v>
      </c>
    </row>
    <row r="2706" spans="1:8" ht="12.75" x14ac:dyDescent="0.2">
      <c r="A2706" s="1"/>
      <c r="B2706" s="1"/>
      <c r="C2706" s="1"/>
      <c r="D2706" s="1"/>
      <c r="E2706" s="1"/>
      <c r="F2706" s="1" t="str">
        <f ca="1">IFERROR(__xludf.DUMMYFUNCTION("""COMPUTED_VALUE""")," - ")</f>
        <v xml:space="preserve"> - </v>
      </c>
      <c r="G2706" s="1" t="str">
        <f ca="1">IFERROR(__xludf.DUMMYFUNCTION("""COMPUTED_VALUE""")," /  /  / ")</f>
        <v xml:space="preserve"> /  /  / </v>
      </c>
      <c r="H2706" s="1" t="str">
        <f ca="1">IFERROR(__xludf.DUMMYFUNCTION("""COMPUTED_VALUE"""),"  /  /  / ")</f>
        <v xml:space="preserve">  /  /  / </v>
      </c>
    </row>
    <row r="2707" spans="1:8" ht="12.75" x14ac:dyDescent="0.2">
      <c r="A2707" s="1"/>
      <c r="B2707" s="1"/>
      <c r="C2707" s="1"/>
      <c r="D2707" s="1"/>
      <c r="E2707" s="1"/>
      <c r="F2707" s="1" t="str">
        <f ca="1">IFERROR(__xludf.DUMMYFUNCTION("""COMPUTED_VALUE""")," - ")</f>
        <v xml:space="preserve"> - </v>
      </c>
      <c r="G2707" s="1" t="str">
        <f ca="1">IFERROR(__xludf.DUMMYFUNCTION("""COMPUTED_VALUE""")," /  /  / ")</f>
        <v xml:space="preserve"> /  /  / </v>
      </c>
      <c r="H2707" s="1" t="str">
        <f ca="1">IFERROR(__xludf.DUMMYFUNCTION("""COMPUTED_VALUE"""),"  /  /  / ")</f>
        <v xml:space="preserve">  /  /  / </v>
      </c>
    </row>
    <row r="2708" spans="1:8" ht="12.75" x14ac:dyDescent="0.2">
      <c r="A2708" s="1"/>
      <c r="B2708" s="1"/>
      <c r="C2708" s="1"/>
      <c r="D2708" s="1"/>
      <c r="E2708" s="1"/>
      <c r="F2708" s="1" t="str">
        <f ca="1">IFERROR(__xludf.DUMMYFUNCTION("""COMPUTED_VALUE""")," - ")</f>
        <v xml:space="preserve"> - </v>
      </c>
      <c r="G2708" s="1" t="str">
        <f ca="1">IFERROR(__xludf.DUMMYFUNCTION("""COMPUTED_VALUE""")," /  /  / ")</f>
        <v xml:space="preserve"> /  /  / </v>
      </c>
      <c r="H2708" s="1" t="str">
        <f ca="1">IFERROR(__xludf.DUMMYFUNCTION("""COMPUTED_VALUE"""),"  /  /  / ")</f>
        <v xml:space="preserve">  /  /  / </v>
      </c>
    </row>
    <row r="2709" spans="1:8" ht="12.75" x14ac:dyDescent="0.2">
      <c r="A2709" s="1"/>
      <c r="B2709" s="1"/>
      <c r="C2709" s="1"/>
      <c r="D2709" s="1"/>
      <c r="E2709" s="1"/>
      <c r="F2709" s="1" t="str">
        <f ca="1">IFERROR(__xludf.DUMMYFUNCTION("""COMPUTED_VALUE""")," - ")</f>
        <v xml:space="preserve"> - </v>
      </c>
      <c r="G2709" s="1" t="str">
        <f ca="1">IFERROR(__xludf.DUMMYFUNCTION("""COMPUTED_VALUE""")," /  /  / ")</f>
        <v xml:space="preserve"> /  /  / </v>
      </c>
      <c r="H2709" s="1" t="str">
        <f ca="1">IFERROR(__xludf.DUMMYFUNCTION("""COMPUTED_VALUE"""),"  /  /  / ")</f>
        <v xml:space="preserve">  /  /  / </v>
      </c>
    </row>
    <row r="2710" spans="1:8" ht="12.75" x14ac:dyDescent="0.2">
      <c r="A2710" s="1"/>
      <c r="B2710" s="1"/>
      <c r="C2710" s="1"/>
      <c r="D2710" s="1"/>
      <c r="E2710" s="1"/>
      <c r="F2710" s="1" t="str">
        <f ca="1">IFERROR(__xludf.DUMMYFUNCTION("""COMPUTED_VALUE""")," - ")</f>
        <v xml:space="preserve"> - </v>
      </c>
      <c r="G2710" s="1" t="str">
        <f ca="1">IFERROR(__xludf.DUMMYFUNCTION("""COMPUTED_VALUE""")," /  /  / ")</f>
        <v xml:space="preserve"> /  /  / </v>
      </c>
      <c r="H2710" s="1" t="str">
        <f ca="1">IFERROR(__xludf.DUMMYFUNCTION("""COMPUTED_VALUE"""),"  /  /  / ")</f>
        <v xml:space="preserve">  /  /  / </v>
      </c>
    </row>
    <row r="2711" spans="1:8" ht="12.75" x14ac:dyDescent="0.2">
      <c r="A2711" s="1"/>
      <c r="B2711" s="1"/>
      <c r="C2711" s="1"/>
      <c r="D2711" s="1"/>
      <c r="E2711" s="1"/>
      <c r="F2711" s="1" t="str">
        <f ca="1">IFERROR(__xludf.DUMMYFUNCTION("""COMPUTED_VALUE""")," - ")</f>
        <v xml:space="preserve"> - </v>
      </c>
      <c r="G2711" s="1" t="str">
        <f ca="1">IFERROR(__xludf.DUMMYFUNCTION("""COMPUTED_VALUE""")," /  /  / ")</f>
        <v xml:space="preserve"> /  /  / </v>
      </c>
      <c r="H2711" s="1" t="str">
        <f ca="1">IFERROR(__xludf.DUMMYFUNCTION("""COMPUTED_VALUE"""),"  /  /  / ")</f>
        <v xml:space="preserve">  /  /  / </v>
      </c>
    </row>
    <row r="2712" spans="1:8" ht="12.75" x14ac:dyDescent="0.2">
      <c r="A2712" s="1"/>
      <c r="B2712" s="1"/>
      <c r="C2712" s="1"/>
      <c r="D2712" s="1"/>
      <c r="E2712" s="1"/>
      <c r="F2712" s="1" t="str">
        <f ca="1">IFERROR(__xludf.DUMMYFUNCTION("""COMPUTED_VALUE""")," - ")</f>
        <v xml:space="preserve"> - </v>
      </c>
      <c r="G2712" s="1" t="str">
        <f ca="1">IFERROR(__xludf.DUMMYFUNCTION("""COMPUTED_VALUE""")," /  /  / ")</f>
        <v xml:space="preserve"> /  /  / </v>
      </c>
      <c r="H2712" s="1" t="str">
        <f ca="1">IFERROR(__xludf.DUMMYFUNCTION("""COMPUTED_VALUE"""),"  /  /  / ")</f>
        <v xml:space="preserve">  /  /  / </v>
      </c>
    </row>
    <row r="2713" spans="1:8" ht="12.75" x14ac:dyDescent="0.2">
      <c r="A2713" s="1"/>
      <c r="B2713" s="1"/>
      <c r="C2713" s="1"/>
      <c r="D2713" s="1"/>
      <c r="E2713" s="1"/>
      <c r="F2713" s="1" t="str">
        <f ca="1">IFERROR(__xludf.DUMMYFUNCTION("""COMPUTED_VALUE""")," - ")</f>
        <v xml:space="preserve"> - </v>
      </c>
      <c r="G2713" s="1" t="str">
        <f ca="1">IFERROR(__xludf.DUMMYFUNCTION("""COMPUTED_VALUE""")," /  /  / ")</f>
        <v xml:space="preserve"> /  /  / </v>
      </c>
      <c r="H2713" s="1" t="str">
        <f ca="1">IFERROR(__xludf.DUMMYFUNCTION("""COMPUTED_VALUE"""),"  /  /  / ")</f>
        <v xml:space="preserve">  /  /  / </v>
      </c>
    </row>
    <row r="2714" spans="1:8" ht="12.75" x14ac:dyDescent="0.2">
      <c r="A2714" s="1"/>
      <c r="B2714" s="1"/>
      <c r="C2714" s="1"/>
      <c r="D2714" s="1"/>
      <c r="E2714" s="1"/>
      <c r="F2714" s="1" t="str">
        <f ca="1">IFERROR(__xludf.DUMMYFUNCTION("""COMPUTED_VALUE""")," - ")</f>
        <v xml:space="preserve"> - </v>
      </c>
      <c r="G2714" s="1" t="str">
        <f ca="1">IFERROR(__xludf.DUMMYFUNCTION("""COMPUTED_VALUE""")," /  /  / ")</f>
        <v xml:space="preserve"> /  /  / </v>
      </c>
      <c r="H2714" s="1" t="str">
        <f ca="1">IFERROR(__xludf.DUMMYFUNCTION("""COMPUTED_VALUE"""),"  /  /  / ")</f>
        <v xml:space="preserve">  /  /  / </v>
      </c>
    </row>
    <row r="2715" spans="1:8" ht="12.75" x14ac:dyDescent="0.2">
      <c r="A2715" s="1"/>
      <c r="B2715" s="1"/>
      <c r="C2715" s="1"/>
      <c r="D2715" s="1"/>
      <c r="E2715" s="1"/>
      <c r="F2715" s="1" t="str">
        <f ca="1">IFERROR(__xludf.DUMMYFUNCTION("""COMPUTED_VALUE""")," - ")</f>
        <v xml:space="preserve"> - </v>
      </c>
      <c r="G2715" s="1" t="str">
        <f ca="1">IFERROR(__xludf.DUMMYFUNCTION("""COMPUTED_VALUE""")," /  /  / ")</f>
        <v xml:space="preserve"> /  /  / </v>
      </c>
      <c r="H2715" s="1" t="str">
        <f ca="1">IFERROR(__xludf.DUMMYFUNCTION("""COMPUTED_VALUE"""),"  /  /  / ")</f>
        <v xml:space="preserve">  /  /  / </v>
      </c>
    </row>
    <row r="2716" spans="1:8" ht="12.75" x14ac:dyDescent="0.2">
      <c r="A2716" s="1"/>
      <c r="B2716" s="1"/>
      <c r="C2716" s="1"/>
      <c r="D2716" s="1"/>
      <c r="E2716" s="1"/>
      <c r="F2716" s="1" t="str">
        <f ca="1">IFERROR(__xludf.DUMMYFUNCTION("""COMPUTED_VALUE""")," - ")</f>
        <v xml:space="preserve"> - </v>
      </c>
      <c r="G2716" s="1" t="str">
        <f ca="1">IFERROR(__xludf.DUMMYFUNCTION("""COMPUTED_VALUE""")," /  /  / ")</f>
        <v xml:space="preserve"> /  /  / </v>
      </c>
      <c r="H2716" s="1" t="str">
        <f ca="1">IFERROR(__xludf.DUMMYFUNCTION("""COMPUTED_VALUE"""),"  /  /  / ")</f>
        <v xml:space="preserve">  /  /  / </v>
      </c>
    </row>
    <row r="2717" spans="1:8" ht="12.75" x14ac:dyDescent="0.2">
      <c r="A2717" s="1"/>
      <c r="B2717" s="1"/>
      <c r="C2717" s="1"/>
      <c r="D2717" s="1"/>
      <c r="E2717" s="1"/>
      <c r="F2717" s="1" t="str">
        <f ca="1">IFERROR(__xludf.DUMMYFUNCTION("""COMPUTED_VALUE""")," - ")</f>
        <v xml:space="preserve"> - </v>
      </c>
      <c r="G2717" s="1" t="str">
        <f ca="1">IFERROR(__xludf.DUMMYFUNCTION("""COMPUTED_VALUE""")," /  /  / ")</f>
        <v xml:space="preserve"> /  /  / </v>
      </c>
      <c r="H2717" s="1" t="str">
        <f ca="1">IFERROR(__xludf.DUMMYFUNCTION("""COMPUTED_VALUE"""),"  /  /  / ")</f>
        <v xml:space="preserve">  /  /  / </v>
      </c>
    </row>
    <row r="2718" spans="1:8" ht="12.75" x14ac:dyDescent="0.2">
      <c r="A2718" s="1"/>
      <c r="B2718" s="1"/>
      <c r="C2718" s="1"/>
      <c r="D2718" s="1"/>
      <c r="E2718" s="1"/>
      <c r="F2718" s="1" t="str">
        <f ca="1">IFERROR(__xludf.DUMMYFUNCTION("""COMPUTED_VALUE""")," - ")</f>
        <v xml:space="preserve"> - </v>
      </c>
      <c r="G2718" s="1" t="str">
        <f ca="1">IFERROR(__xludf.DUMMYFUNCTION("""COMPUTED_VALUE""")," /  /  / ")</f>
        <v xml:space="preserve"> /  /  / </v>
      </c>
      <c r="H2718" s="1" t="str">
        <f ca="1">IFERROR(__xludf.DUMMYFUNCTION("""COMPUTED_VALUE"""),"  /  /  / ")</f>
        <v xml:space="preserve">  /  /  / </v>
      </c>
    </row>
    <row r="2719" spans="1:8" ht="12.75" x14ac:dyDescent="0.2">
      <c r="A2719" s="1"/>
      <c r="B2719" s="1"/>
      <c r="C2719" s="1"/>
      <c r="D2719" s="1"/>
      <c r="E2719" s="1"/>
      <c r="F2719" s="1" t="str">
        <f ca="1">IFERROR(__xludf.DUMMYFUNCTION("""COMPUTED_VALUE""")," - ")</f>
        <v xml:space="preserve"> - </v>
      </c>
      <c r="G2719" s="1" t="str">
        <f ca="1">IFERROR(__xludf.DUMMYFUNCTION("""COMPUTED_VALUE""")," /  /  / ")</f>
        <v xml:space="preserve"> /  /  / </v>
      </c>
      <c r="H2719" s="1" t="str">
        <f ca="1">IFERROR(__xludf.DUMMYFUNCTION("""COMPUTED_VALUE"""),"  /  /  / ")</f>
        <v xml:space="preserve">  /  /  / </v>
      </c>
    </row>
    <row r="2720" spans="1:8" ht="12.75" x14ac:dyDescent="0.2">
      <c r="A2720" s="1"/>
      <c r="B2720" s="1"/>
      <c r="C2720" s="1"/>
      <c r="D2720" s="1"/>
      <c r="E2720" s="1"/>
      <c r="F2720" s="1" t="str">
        <f ca="1">IFERROR(__xludf.DUMMYFUNCTION("""COMPUTED_VALUE""")," - ")</f>
        <v xml:space="preserve"> - </v>
      </c>
      <c r="G2720" s="1" t="str">
        <f ca="1">IFERROR(__xludf.DUMMYFUNCTION("""COMPUTED_VALUE""")," /  /  / ")</f>
        <v xml:space="preserve"> /  /  / </v>
      </c>
      <c r="H2720" s="1" t="str">
        <f ca="1">IFERROR(__xludf.DUMMYFUNCTION("""COMPUTED_VALUE"""),"  /  /  / ")</f>
        <v xml:space="preserve">  /  /  / </v>
      </c>
    </row>
    <row r="2721" spans="1:8" ht="12.75" x14ac:dyDescent="0.2">
      <c r="A2721" s="1"/>
      <c r="B2721" s="1"/>
      <c r="C2721" s="1"/>
      <c r="D2721" s="1"/>
      <c r="E2721" s="1"/>
      <c r="F2721" s="1" t="str">
        <f ca="1">IFERROR(__xludf.DUMMYFUNCTION("""COMPUTED_VALUE""")," - ")</f>
        <v xml:space="preserve"> - </v>
      </c>
      <c r="G2721" s="1" t="str">
        <f ca="1">IFERROR(__xludf.DUMMYFUNCTION("""COMPUTED_VALUE""")," /  /  / ")</f>
        <v xml:space="preserve"> /  /  / </v>
      </c>
      <c r="H2721" s="1" t="str">
        <f ca="1">IFERROR(__xludf.DUMMYFUNCTION("""COMPUTED_VALUE"""),"  /  /  / ")</f>
        <v xml:space="preserve">  /  /  / </v>
      </c>
    </row>
    <row r="2722" spans="1:8" ht="12.75" x14ac:dyDescent="0.2">
      <c r="A2722" s="1"/>
      <c r="B2722" s="1"/>
      <c r="C2722" s="1"/>
      <c r="D2722" s="1"/>
      <c r="E2722" s="1"/>
      <c r="F2722" s="1" t="str">
        <f ca="1">IFERROR(__xludf.DUMMYFUNCTION("""COMPUTED_VALUE""")," - ")</f>
        <v xml:space="preserve"> - </v>
      </c>
      <c r="G2722" s="1" t="str">
        <f ca="1">IFERROR(__xludf.DUMMYFUNCTION("""COMPUTED_VALUE""")," /  /  / ")</f>
        <v xml:space="preserve"> /  /  / </v>
      </c>
      <c r="H2722" s="1" t="str">
        <f ca="1">IFERROR(__xludf.DUMMYFUNCTION("""COMPUTED_VALUE"""),"  /  /  / ")</f>
        <v xml:space="preserve">  /  /  / </v>
      </c>
    </row>
    <row r="2723" spans="1:8" ht="12.75" x14ac:dyDescent="0.2">
      <c r="A2723" s="1"/>
      <c r="B2723" s="1"/>
      <c r="C2723" s="1"/>
      <c r="D2723" s="1"/>
      <c r="E2723" s="1"/>
      <c r="F2723" s="1" t="str">
        <f ca="1">IFERROR(__xludf.DUMMYFUNCTION("""COMPUTED_VALUE""")," - ")</f>
        <v xml:space="preserve"> - </v>
      </c>
      <c r="G2723" s="1" t="str">
        <f ca="1">IFERROR(__xludf.DUMMYFUNCTION("""COMPUTED_VALUE""")," /  /  / ")</f>
        <v xml:space="preserve"> /  /  / </v>
      </c>
      <c r="H2723" s="1" t="str">
        <f ca="1">IFERROR(__xludf.DUMMYFUNCTION("""COMPUTED_VALUE"""),"  /  /  / ")</f>
        <v xml:space="preserve">  /  /  / </v>
      </c>
    </row>
    <row r="2724" spans="1:8" ht="12.75" x14ac:dyDescent="0.2">
      <c r="A2724" s="1"/>
      <c r="B2724" s="1"/>
      <c r="C2724" s="1"/>
      <c r="D2724" s="1"/>
      <c r="E2724" s="1"/>
      <c r="F2724" s="1" t="str">
        <f ca="1">IFERROR(__xludf.DUMMYFUNCTION("""COMPUTED_VALUE""")," - ")</f>
        <v xml:space="preserve"> - </v>
      </c>
      <c r="G2724" s="1" t="str">
        <f ca="1">IFERROR(__xludf.DUMMYFUNCTION("""COMPUTED_VALUE""")," /  /  / ")</f>
        <v xml:space="preserve"> /  /  / </v>
      </c>
      <c r="H2724" s="1" t="str">
        <f ca="1">IFERROR(__xludf.DUMMYFUNCTION("""COMPUTED_VALUE"""),"  /  /  / ")</f>
        <v xml:space="preserve">  /  /  / </v>
      </c>
    </row>
    <row r="2725" spans="1:8" ht="12.75" x14ac:dyDescent="0.2">
      <c r="A2725" s="1"/>
      <c r="B2725" s="1"/>
      <c r="C2725" s="1"/>
      <c r="D2725" s="1"/>
      <c r="E2725" s="1"/>
      <c r="F2725" s="1" t="str">
        <f ca="1">IFERROR(__xludf.DUMMYFUNCTION("""COMPUTED_VALUE""")," - ")</f>
        <v xml:space="preserve"> - </v>
      </c>
      <c r="G2725" s="1" t="str">
        <f ca="1">IFERROR(__xludf.DUMMYFUNCTION("""COMPUTED_VALUE""")," /  /  / ")</f>
        <v xml:space="preserve"> /  /  / </v>
      </c>
      <c r="H2725" s="1" t="str">
        <f ca="1">IFERROR(__xludf.DUMMYFUNCTION("""COMPUTED_VALUE"""),"  /  /  / ")</f>
        <v xml:space="preserve">  /  /  / </v>
      </c>
    </row>
    <row r="2726" spans="1:8" ht="12.75" x14ac:dyDescent="0.2">
      <c r="A2726" s="1"/>
      <c r="B2726" s="1"/>
      <c r="C2726" s="1"/>
      <c r="D2726" s="1"/>
      <c r="E2726" s="1"/>
      <c r="F2726" s="1" t="str">
        <f ca="1">IFERROR(__xludf.DUMMYFUNCTION("""COMPUTED_VALUE""")," - ")</f>
        <v xml:space="preserve"> - </v>
      </c>
      <c r="G2726" s="1" t="str">
        <f ca="1">IFERROR(__xludf.DUMMYFUNCTION("""COMPUTED_VALUE""")," /  /  / ")</f>
        <v xml:space="preserve"> /  /  / </v>
      </c>
      <c r="H2726" s="1" t="str">
        <f ca="1">IFERROR(__xludf.DUMMYFUNCTION("""COMPUTED_VALUE"""),"  /  /  / ")</f>
        <v xml:space="preserve">  /  /  / </v>
      </c>
    </row>
    <row r="2727" spans="1:8" ht="12.75" x14ac:dyDescent="0.2">
      <c r="A2727" s="1"/>
      <c r="B2727" s="1"/>
      <c r="C2727" s="1"/>
      <c r="D2727" s="1"/>
      <c r="E2727" s="1"/>
      <c r="F2727" s="1" t="str">
        <f ca="1">IFERROR(__xludf.DUMMYFUNCTION("""COMPUTED_VALUE""")," - ")</f>
        <v xml:space="preserve"> - </v>
      </c>
      <c r="G2727" s="1" t="str">
        <f ca="1">IFERROR(__xludf.DUMMYFUNCTION("""COMPUTED_VALUE""")," /  /  / ")</f>
        <v xml:space="preserve"> /  /  / </v>
      </c>
      <c r="H2727" s="1" t="str">
        <f ca="1">IFERROR(__xludf.DUMMYFUNCTION("""COMPUTED_VALUE"""),"  /  /  / ")</f>
        <v xml:space="preserve">  /  /  / </v>
      </c>
    </row>
    <row r="2728" spans="1:8" ht="12.75" x14ac:dyDescent="0.2">
      <c r="A2728" s="1"/>
      <c r="B2728" s="1"/>
      <c r="C2728" s="1"/>
      <c r="D2728" s="1"/>
      <c r="E2728" s="1"/>
      <c r="F2728" s="1" t="str">
        <f ca="1">IFERROR(__xludf.DUMMYFUNCTION("""COMPUTED_VALUE""")," - ")</f>
        <v xml:space="preserve"> - </v>
      </c>
      <c r="G2728" s="1" t="str">
        <f ca="1">IFERROR(__xludf.DUMMYFUNCTION("""COMPUTED_VALUE""")," /  /  / ")</f>
        <v xml:space="preserve"> /  /  / </v>
      </c>
      <c r="H2728" s="1" t="str">
        <f ca="1">IFERROR(__xludf.DUMMYFUNCTION("""COMPUTED_VALUE"""),"  /  /  / ")</f>
        <v xml:space="preserve">  /  /  / </v>
      </c>
    </row>
    <row r="2729" spans="1:8" ht="12.75" x14ac:dyDescent="0.2">
      <c r="A2729" s="1"/>
      <c r="B2729" s="1"/>
      <c r="C2729" s="1"/>
      <c r="D2729" s="1"/>
      <c r="E2729" s="1"/>
      <c r="F2729" s="1" t="str">
        <f ca="1">IFERROR(__xludf.DUMMYFUNCTION("""COMPUTED_VALUE""")," - ")</f>
        <v xml:space="preserve"> - </v>
      </c>
      <c r="G2729" s="1" t="str">
        <f ca="1">IFERROR(__xludf.DUMMYFUNCTION("""COMPUTED_VALUE""")," /  /  / ")</f>
        <v xml:space="preserve"> /  /  / </v>
      </c>
      <c r="H2729" s="1" t="str">
        <f ca="1">IFERROR(__xludf.DUMMYFUNCTION("""COMPUTED_VALUE"""),"  /  /  / ")</f>
        <v xml:space="preserve">  /  /  / </v>
      </c>
    </row>
    <row r="2730" spans="1:8" ht="12.75" x14ac:dyDescent="0.2">
      <c r="A2730" s="1"/>
      <c r="B2730" s="1"/>
      <c r="C2730" s="1"/>
      <c r="D2730" s="1"/>
      <c r="E2730" s="1"/>
      <c r="F2730" s="1" t="str">
        <f ca="1">IFERROR(__xludf.DUMMYFUNCTION("""COMPUTED_VALUE""")," - ")</f>
        <v xml:space="preserve"> - </v>
      </c>
      <c r="G2730" s="1" t="str">
        <f ca="1">IFERROR(__xludf.DUMMYFUNCTION("""COMPUTED_VALUE""")," /  /  / ")</f>
        <v xml:space="preserve"> /  /  / </v>
      </c>
      <c r="H2730" s="1" t="str">
        <f ca="1">IFERROR(__xludf.DUMMYFUNCTION("""COMPUTED_VALUE"""),"  /  /  / ")</f>
        <v xml:space="preserve">  /  /  / </v>
      </c>
    </row>
    <row r="2731" spans="1:8" ht="12.75" x14ac:dyDescent="0.2">
      <c r="A2731" s="1"/>
      <c r="B2731" s="1"/>
      <c r="C2731" s="1"/>
      <c r="D2731" s="1"/>
      <c r="E2731" s="1"/>
      <c r="F2731" s="1" t="str">
        <f ca="1">IFERROR(__xludf.DUMMYFUNCTION("""COMPUTED_VALUE""")," - ")</f>
        <v xml:space="preserve"> - </v>
      </c>
      <c r="G2731" s="1" t="str">
        <f ca="1">IFERROR(__xludf.DUMMYFUNCTION("""COMPUTED_VALUE""")," /  /  / ")</f>
        <v xml:space="preserve"> /  /  / </v>
      </c>
      <c r="H2731" s="1" t="str">
        <f ca="1">IFERROR(__xludf.DUMMYFUNCTION("""COMPUTED_VALUE"""),"  /  /  / ")</f>
        <v xml:space="preserve">  /  /  / </v>
      </c>
    </row>
    <row r="2732" spans="1:8" ht="12.75" x14ac:dyDescent="0.2">
      <c r="A2732" s="1"/>
      <c r="B2732" s="1"/>
      <c r="C2732" s="1"/>
      <c r="D2732" s="1"/>
      <c r="E2732" s="1"/>
      <c r="F2732" s="1" t="str">
        <f ca="1">IFERROR(__xludf.DUMMYFUNCTION("""COMPUTED_VALUE""")," - ")</f>
        <v xml:space="preserve"> - </v>
      </c>
      <c r="G2732" s="1" t="str">
        <f ca="1">IFERROR(__xludf.DUMMYFUNCTION("""COMPUTED_VALUE""")," /  /  / ")</f>
        <v xml:space="preserve"> /  /  / </v>
      </c>
      <c r="H2732" s="1" t="str">
        <f ca="1">IFERROR(__xludf.DUMMYFUNCTION("""COMPUTED_VALUE"""),"  /  /  / ")</f>
        <v xml:space="preserve">  /  /  / </v>
      </c>
    </row>
    <row r="2733" spans="1:8" ht="12.75" x14ac:dyDescent="0.2">
      <c r="A2733" s="1"/>
      <c r="B2733" s="1"/>
      <c r="C2733" s="1"/>
      <c r="D2733" s="1"/>
      <c r="E2733" s="1"/>
      <c r="F2733" s="1" t="str">
        <f ca="1">IFERROR(__xludf.DUMMYFUNCTION("""COMPUTED_VALUE""")," - ")</f>
        <v xml:space="preserve"> - </v>
      </c>
      <c r="G2733" s="1" t="str">
        <f ca="1">IFERROR(__xludf.DUMMYFUNCTION("""COMPUTED_VALUE""")," /  /  / ")</f>
        <v xml:space="preserve"> /  /  / </v>
      </c>
      <c r="H2733" s="1" t="str">
        <f ca="1">IFERROR(__xludf.DUMMYFUNCTION("""COMPUTED_VALUE"""),"  /  /  / ")</f>
        <v xml:space="preserve">  /  /  / </v>
      </c>
    </row>
    <row r="2734" spans="1:8" ht="12.75" x14ac:dyDescent="0.2">
      <c r="A2734" s="1"/>
      <c r="B2734" s="1"/>
      <c r="C2734" s="1"/>
      <c r="D2734" s="1"/>
      <c r="E2734" s="1"/>
      <c r="F2734" s="1" t="str">
        <f ca="1">IFERROR(__xludf.DUMMYFUNCTION("""COMPUTED_VALUE""")," - ")</f>
        <v xml:space="preserve"> - </v>
      </c>
      <c r="G2734" s="1" t="str">
        <f ca="1">IFERROR(__xludf.DUMMYFUNCTION("""COMPUTED_VALUE""")," /  /  / ")</f>
        <v xml:space="preserve"> /  /  / </v>
      </c>
      <c r="H2734" s="1" t="str">
        <f ca="1">IFERROR(__xludf.DUMMYFUNCTION("""COMPUTED_VALUE"""),"  /  /  / ")</f>
        <v xml:space="preserve">  /  /  / </v>
      </c>
    </row>
    <row r="2735" spans="1:8" ht="12.75" x14ac:dyDescent="0.2">
      <c r="A2735" s="1"/>
      <c r="B2735" s="1"/>
      <c r="C2735" s="1"/>
      <c r="D2735" s="1"/>
      <c r="E2735" s="1"/>
      <c r="F2735" s="1" t="str">
        <f ca="1">IFERROR(__xludf.DUMMYFUNCTION("""COMPUTED_VALUE""")," - ")</f>
        <v xml:space="preserve"> - </v>
      </c>
      <c r="G2735" s="1" t="str">
        <f ca="1">IFERROR(__xludf.DUMMYFUNCTION("""COMPUTED_VALUE""")," /  /  / ")</f>
        <v xml:space="preserve"> /  /  / </v>
      </c>
      <c r="H2735" s="1" t="str">
        <f ca="1">IFERROR(__xludf.DUMMYFUNCTION("""COMPUTED_VALUE"""),"  /  /  / ")</f>
        <v xml:space="preserve">  /  /  / </v>
      </c>
    </row>
    <row r="2736" spans="1:8" ht="12.75" x14ac:dyDescent="0.2">
      <c r="A2736" s="1"/>
      <c r="B2736" s="1"/>
      <c r="C2736" s="1"/>
      <c r="D2736" s="1"/>
      <c r="E2736" s="1"/>
      <c r="F2736" s="1" t="str">
        <f ca="1">IFERROR(__xludf.DUMMYFUNCTION("""COMPUTED_VALUE""")," - ")</f>
        <v xml:space="preserve"> - </v>
      </c>
      <c r="G2736" s="1" t="str">
        <f ca="1">IFERROR(__xludf.DUMMYFUNCTION("""COMPUTED_VALUE""")," /  /  / ")</f>
        <v xml:space="preserve"> /  /  / </v>
      </c>
      <c r="H2736" s="1" t="str">
        <f ca="1">IFERROR(__xludf.DUMMYFUNCTION("""COMPUTED_VALUE"""),"  /  /  / ")</f>
        <v xml:space="preserve">  /  /  / </v>
      </c>
    </row>
    <row r="2737" spans="1:8" ht="12.75" x14ac:dyDescent="0.2">
      <c r="A2737" s="1"/>
      <c r="B2737" s="1"/>
      <c r="C2737" s="1"/>
      <c r="D2737" s="1"/>
      <c r="E2737" s="1"/>
      <c r="F2737" s="1" t="str">
        <f ca="1">IFERROR(__xludf.DUMMYFUNCTION("""COMPUTED_VALUE""")," - ")</f>
        <v xml:space="preserve"> - </v>
      </c>
      <c r="G2737" s="1" t="str">
        <f ca="1">IFERROR(__xludf.DUMMYFUNCTION("""COMPUTED_VALUE""")," /  /  / ")</f>
        <v xml:space="preserve"> /  /  / </v>
      </c>
      <c r="H2737" s="1" t="str">
        <f ca="1">IFERROR(__xludf.DUMMYFUNCTION("""COMPUTED_VALUE"""),"  /  /  / ")</f>
        <v xml:space="preserve">  /  /  / </v>
      </c>
    </row>
    <row r="2738" spans="1:8" ht="12.75" x14ac:dyDescent="0.2">
      <c r="A2738" s="1"/>
      <c r="B2738" s="1"/>
      <c r="C2738" s="1"/>
      <c r="D2738" s="1"/>
      <c r="E2738" s="1"/>
      <c r="F2738" s="1" t="str">
        <f ca="1">IFERROR(__xludf.DUMMYFUNCTION("""COMPUTED_VALUE""")," - ")</f>
        <v xml:space="preserve"> - </v>
      </c>
      <c r="G2738" s="1" t="str">
        <f ca="1">IFERROR(__xludf.DUMMYFUNCTION("""COMPUTED_VALUE""")," /  /  / ")</f>
        <v xml:space="preserve"> /  /  / </v>
      </c>
      <c r="H2738" s="1" t="str">
        <f ca="1">IFERROR(__xludf.DUMMYFUNCTION("""COMPUTED_VALUE"""),"  /  /  / ")</f>
        <v xml:space="preserve">  /  /  / </v>
      </c>
    </row>
    <row r="2739" spans="1:8" ht="12.75" x14ac:dyDescent="0.2">
      <c r="A2739" s="1"/>
      <c r="B2739" s="1"/>
      <c r="C2739" s="1"/>
      <c r="D2739" s="1"/>
      <c r="E2739" s="1"/>
      <c r="F2739" s="1" t="str">
        <f ca="1">IFERROR(__xludf.DUMMYFUNCTION("""COMPUTED_VALUE""")," - ")</f>
        <v xml:space="preserve"> - </v>
      </c>
      <c r="G2739" s="1" t="str">
        <f ca="1">IFERROR(__xludf.DUMMYFUNCTION("""COMPUTED_VALUE""")," /  /  / ")</f>
        <v xml:space="preserve"> /  /  / </v>
      </c>
      <c r="H2739" s="1" t="str">
        <f ca="1">IFERROR(__xludf.DUMMYFUNCTION("""COMPUTED_VALUE"""),"  /  /  / ")</f>
        <v xml:space="preserve">  /  /  / </v>
      </c>
    </row>
    <row r="2740" spans="1:8" ht="12.75" x14ac:dyDescent="0.2">
      <c r="A2740" s="1"/>
      <c r="B2740" s="1"/>
      <c r="C2740" s="1"/>
      <c r="D2740" s="1"/>
      <c r="E2740" s="1"/>
      <c r="F2740" s="1" t="str">
        <f ca="1">IFERROR(__xludf.DUMMYFUNCTION("""COMPUTED_VALUE""")," - ")</f>
        <v xml:space="preserve"> - </v>
      </c>
      <c r="G2740" s="1" t="str">
        <f ca="1">IFERROR(__xludf.DUMMYFUNCTION("""COMPUTED_VALUE""")," /  /  / ")</f>
        <v xml:space="preserve"> /  /  / </v>
      </c>
      <c r="H2740" s="1" t="str">
        <f ca="1">IFERROR(__xludf.DUMMYFUNCTION("""COMPUTED_VALUE"""),"  /  /  / ")</f>
        <v xml:space="preserve">  /  /  / </v>
      </c>
    </row>
    <row r="2741" spans="1:8" ht="12.75" x14ac:dyDescent="0.2">
      <c r="A2741" s="1"/>
      <c r="B2741" s="1"/>
      <c r="C2741" s="1"/>
      <c r="D2741" s="1"/>
      <c r="E2741" s="1"/>
      <c r="F2741" s="1" t="str">
        <f ca="1">IFERROR(__xludf.DUMMYFUNCTION("""COMPUTED_VALUE""")," - ")</f>
        <v xml:space="preserve"> - </v>
      </c>
      <c r="G2741" s="1" t="str">
        <f ca="1">IFERROR(__xludf.DUMMYFUNCTION("""COMPUTED_VALUE""")," /  /  / ")</f>
        <v xml:space="preserve"> /  /  / </v>
      </c>
      <c r="H2741" s="1" t="str">
        <f ca="1">IFERROR(__xludf.DUMMYFUNCTION("""COMPUTED_VALUE"""),"  /  /  / ")</f>
        <v xml:space="preserve">  /  /  / </v>
      </c>
    </row>
    <row r="2742" spans="1:8" ht="12.75" x14ac:dyDescent="0.2">
      <c r="A2742" s="1"/>
      <c r="B2742" s="1"/>
      <c r="C2742" s="1"/>
      <c r="D2742" s="1"/>
      <c r="E2742" s="1"/>
      <c r="F2742" s="1" t="str">
        <f ca="1">IFERROR(__xludf.DUMMYFUNCTION("""COMPUTED_VALUE""")," - ")</f>
        <v xml:space="preserve"> - </v>
      </c>
      <c r="G2742" s="1" t="str">
        <f ca="1">IFERROR(__xludf.DUMMYFUNCTION("""COMPUTED_VALUE""")," /  /  / ")</f>
        <v xml:space="preserve"> /  /  / </v>
      </c>
      <c r="H2742" s="1" t="str">
        <f ca="1">IFERROR(__xludf.DUMMYFUNCTION("""COMPUTED_VALUE"""),"  /  /  / ")</f>
        <v xml:space="preserve">  /  /  / </v>
      </c>
    </row>
    <row r="2743" spans="1:8" ht="12.75" x14ac:dyDescent="0.2">
      <c r="A2743" s="1"/>
      <c r="B2743" s="1"/>
      <c r="C2743" s="1"/>
      <c r="D2743" s="1"/>
      <c r="E2743" s="1"/>
      <c r="F2743" s="1" t="str">
        <f ca="1">IFERROR(__xludf.DUMMYFUNCTION("""COMPUTED_VALUE""")," - ")</f>
        <v xml:space="preserve"> - </v>
      </c>
      <c r="G2743" s="1" t="str">
        <f ca="1">IFERROR(__xludf.DUMMYFUNCTION("""COMPUTED_VALUE""")," /  /  / ")</f>
        <v xml:space="preserve"> /  /  / </v>
      </c>
      <c r="H2743" s="1" t="str">
        <f ca="1">IFERROR(__xludf.DUMMYFUNCTION("""COMPUTED_VALUE"""),"  /  /  / ")</f>
        <v xml:space="preserve">  /  /  / </v>
      </c>
    </row>
    <row r="2744" spans="1:8" ht="12.75" x14ac:dyDescent="0.2">
      <c r="A2744" s="1"/>
      <c r="B2744" s="1"/>
      <c r="C2744" s="1"/>
      <c r="D2744" s="1"/>
      <c r="E2744" s="1"/>
      <c r="F2744" s="1" t="str">
        <f ca="1">IFERROR(__xludf.DUMMYFUNCTION("""COMPUTED_VALUE""")," - ")</f>
        <v xml:space="preserve"> - </v>
      </c>
      <c r="G2744" s="1" t="str">
        <f ca="1">IFERROR(__xludf.DUMMYFUNCTION("""COMPUTED_VALUE""")," /  /  / ")</f>
        <v xml:space="preserve"> /  /  / </v>
      </c>
      <c r="H2744" s="1" t="str">
        <f ca="1">IFERROR(__xludf.DUMMYFUNCTION("""COMPUTED_VALUE"""),"  /  /  / ")</f>
        <v xml:space="preserve">  /  /  / </v>
      </c>
    </row>
    <row r="2745" spans="1:8" ht="12.75" x14ac:dyDescent="0.2">
      <c r="A2745" s="1"/>
      <c r="B2745" s="1"/>
      <c r="C2745" s="1"/>
      <c r="D2745" s="1"/>
      <c r="E2745" s="1"/>
      <c r="F2745" s="1" t="str">
        <f ca="1">IFERROR(__xludf.DUMMYFUNCTION("""COMPUTED_VALUE""")," - ")</f>
        <v xml:space="preserve"> - </v>
      </c>
      <c r="G2745" s="1" t="str">
        <f ca="1">IFERROR(__xludf.DUMMYFUNCTION("""COMPUTED_VALUE""")," /  /  / ")</f>
        <v xml:space="preserve"> /  /  / </v>
      </c>
      <c r="H2745" s="1" t="str">
        <f ca="1">IFERROR(__xludf.DUMMYFUNCTION("""COMPUTED_VALUE"""),"  /  /  / ")</f>
        <v xml:space="preserve">  /  /  / </v>
      </c>
    </row>
    <row r="2746" spans="1:8" ht="12.75" x14ac:dyDescent="0.2">
      <c r="A2746" s="1"/>
      <c r="B2746" s="1"/>
      <c r="C2746" s="1"/>
      <c r="D2746" s="1"/>
      <c r="E2746" s="1"/>
      <c r="F2746" s="1" t="str">
        <f ca="1">IFERROR(__xludf.DUMMYFUNCTION("""COMPUTED_VALUE""")," - ")</f>
        <v xml:space="preserve"> - </v>
      </c>
      <c r="G2746" s="1" t="str">
        <f ca="1">IFERROR(__xludf.DUMMYFUNCTION("""COMPUTED_VALUE""")," /  /  / ")</f>
        <v xml:space="preserve"> /  /  / </v>
      </c>
      <c r="H2746" s="1" t="str">
        <f ca="1">IFERROR(__xludf.DUMMYFUNCTION("""COMPUTED_VALUE"""),"  /  /  / ")</f>
        <v xml:space="preserve">  /  /  / </v>
      </c>
    </row>
    <row r="2747" spans="1:8" ht="12.75" x14ac:dyDescent="0.2">
      <c r="A2747" s="1"/>
      <c r="B2747" s="1"/>
      <c r="C2747" s="1"/>
      <c r="D2747" s="1"/>
      <c r="E2747" s="1"/>
      <c r="F2747" s="1" t="str">
        <f ca="1">IFERROR(__xludf.DUMMYFUNCTION("""COMPUTED_VALUE""")," - ")</f>
        <v xml:space="preserve"> - </v>
      </c>
      <c r="G2747" s="1" t="str">
        <f ca="1">IFERROR(__xludf.DUMMYFUNCTION("""COMPUTED_VALUE""")," /  /  / ")</f>
        <v xml:space="preserve"> /  /  / </v>
      </c>
      <c r="H2747" s="1" t="str">
        <f ca="1">IFERROR(__xludf.DUMMYFUNCTION("""COMPUTED_VALUE"""),"  /  /  / ")</f>
        <v xml:space="preserve">  /  /  / </v>
      </c>
    </row>
    <row r="2748" spans="1:8" ht="12.75" x14ac:dyDescent="0.2">
      <c r="A2748" s="1"/>
      <c r="B2748" s="1"/>
      <c r="C2748" s="1"/>
      <c r="D2748" s="1"/>
      <c r="E2748" s="1"/>
      <c r="F2748" s="1" t="str">
        <f ca="1">IFERROR(__xludf.DUMMYFUNCTION("""COMPUTED_VALUE""")," - ")</f>
        <v xml:space="preserve"> - </v>
      </c>
      <c r="G2748" s="1" t="str">
        <f ca="1">IFERROR(__xludf.DUMMYFUNCTION("""COMPUTED_VALUE""")," /  /  / ")</f>
        <v xml:space="preserve"> /  /  / </v>
      </c>
      <c r="H2748" s="1" t="str">
        <f ca="1">IFERROR(__xludf.DUMMYFUNCTION("""COMPUTED_VALUE"""),"  /  /  / ")</f>
        <v xml:space="preserve">  /  /  / </v>
      </c>
    </row>
    <row r="2749" spans="1:8" ht="12.75" x14ac:dyDescent="0.2">
      <c r="A2749" s="1"/>
      <c r="B2749" s="1"/>
      <c r="C2749" s="1"/>
      <c r="D2749" s="1"/>
      <c r="E2749" s="1"/>
      <c r="F2749" s="1" t="str">
        <f ca="1">IFERROR(__xludf.DUMMYFUNCTION("""COMPUTED_VALUE""")," - ")</f>
        <v xml:space="preserve"> - </v>
      </c>
      <c r="G2749" s="1" t="str">
        <f ca="1">IFERROR(__xludf.DUMMYFUNCTION("""COMPUTED_VALUE""")," /  /  / ")</f>
        <v xml:space="preserve"> /  /  / </v>
      </c>
      <c r="H2749" s="1" t="str">
        <f ca="1">IFERROR(__xludf.DUMMYFUNCTION("""COMPUTED_VALUE"""),"  /  /  / ")</f>
        <v xml:space="preserve">  /  /  / </v>
      </c>
    </row>
    <row r="2750" spans="1:8" ht="12.75" x14ac:dyDescent="0.2">
      <c r="A2750" s="1"/>
      <c r="B2750" s="1"/>
      <c r="C2750" s="1"/>
      <c r="D2750" s="1"/>
      <c r="E2750" s="1"/>
      <c r="F2750" s="1" t="str">
        <f ca="1">IFERROR(__xludf.DUMMYFUNCTION("""COMPUTED_VALUE""")," - ")</f>
        <v xml:space="preserve"> - </v>
      </c>
      <c r="G2750" s="1" t="str">
        <f ca="1">IFERROR(__xludf.DUMMYFUNCTION("""COMPUTED_VALUE""")," /  /  / ")</f>
        <v xml:space="preserve"> /  /  / </v>
      </c>
      <c r="H2750" s="1" t="str">
        <f ca="1">IFERROR(__xludf.DUMMYFUNCTION("""COMPUTED_VALUE"""),"  /  /  / ")</f>
        <v xml:space="preserve">  /  /  / </v>
      </c>
    </row>
    <row r="2751" spans="1:8" ht="12.75" x14ac:dyDescent="0.2">
      <c r="A2751" s="1"/>
      <c r="B2751" s="1"/>
      <c r="C2751" s="1"/>
      <c r="D2751" s="1"/>
      <c r="E2751" s="1"/>
      <c r="F2751" s="1" t="str">
        <f ca="1">IFERROR(__xludf.DUMMYFUNCTION("""COMPUTED_VALUE""")," - ")</f>
        <v xml:space="preserve"> - </v>
      </c>
      <c r="G2751" s="1" t="str">
        <f ca="1">IFERROR(__xludf.DUMMYFUNCTION("""COMPUTED_VALUE""")," /  /  / ")</f>
        <v xml:space="preserve"> /  /  / </v>
      </c>
      <c r="H2751" s="1" t="str">
        <f ca="1">IFERROR(__xludf.DUMMYFUNCTION("""COMPUTED_VALUE"""),"  /  /  / ")</f>
        <v xml:space="preserve">  /  /  / </v>
      </c>
    </row>
    <row r="2752" spans="1:8" ht="12.75" x14ac:dyDescent="0.2">
      <c r="A2752" s="1"/>
      <c r="B2752" s="1"/>
      <c r="C2752" s="1"/>
      <c r="D2752" s="1"/>
      <c r="E2752" s="1"/>
      <c r="F2752" s="1" t="str">
        <f ca="1">IFERROR(__xludf.DUMMYFUNCTION("""COMPUTED_VALUE""")," - ")</f>
        <v xml:space="preserve"> - </v>
      </c>
      <c r="G2752" s="1" t="str">
        <f ca="1">IFERROR(__xludf.DUMMYFUNCTION("""COMPUTED_VALUE""")," /  /  / ")</f>
        <v xml:space="preserve"> /  /  / </v>
      </c>
      <c r="H2752" s="1" t="str">
        <f ca="1">IFERROR(__xludf.DUMMYFUNCTION("""COMPUTED_VALUE"""),"  /  /  / ")</f>
        <v xml:space="preserve">  /  /  / </v>
      </c>
    </row>
    <row r="2753" spans="1:8" ht="12.75" x14ac:dyDescent="0.2">
      <c r="A2753" s="1"/>
      <c r="B2753" s="1"/>
      <c r="C2753" s="1"/>
      <c r="D2753" s="1"/>
      <c r="E2753" s="1"/>
      <c r="F2753" s="1" t="str">
        <f ca="1">IFERROR(__xludf.DUMMYFUNCTION("""COMPUTED_VALUE""")," - ")</f>
        <v xml:space="preserve"> - </v>
      </c>
      <c r="G2753" s="1" t="str">
        <f ca="1">IFERROR(__xludf.DUMMYFUNCTION("""COMPUTED_VALUE""")," /  /  / ")</f>
        <v xml:space="preserve"> /  /  / </v>
      </c>
      <c r="H2753" s="1" t="str">
        <f ca="1">IFERROR(__xludf.DUMMYFUNCTION("""COMPUTED_VALUE"""),"  /  /  / ")</f>
        <v xml:space="preserve">  /  /  / </v>
      </c>
    </row>
    <row r="2754" spans="1:8" ht="12.75" x14ac:dyDescent="0.2">
      <c r="A2754" s="1"/>
      <c r="B2754" s="1"/>
      <c r="C2754" s="1"/>
      <c r="D2754" s="1"/>
      <c r="E2754" s="1"/>
      <c r="F2754" s="1" t="str">
        <f ca="1">IFERROR(__xludf.DUMMYFUNCTION("""COMPUTED_VALUE""")," - ")</f>
        <v xml:space="preserve"> - </v>
      </c>
      <c r="G2754" s="1" t="str">
        <f ca="1">IFERROR(__xludf.DUMMYFUNCTION("""COMPUTED_VALUE""")," /  /  / ")</f>
        <v xml:space="preserve"> /  /  / </v>
      </c>
      <c r="H2754" s="1" t="str">
        <f ca="1">IFERROR(__xludf.DUMMYFUNCTION("""COMPUTED_VALUE"""),"  /  /  / ")</f>
        <v xml:space="preserve">  /  /  / </v>
      </c>
    </row>
    <row r="2755" spans="1:8" ht="12.75" x14ac:dyDescent="0.2">
      <c r="A2755" s="1"/>
      <c r="B2755" s="1"/>
      <c r="C2755" s="1"/>
      <c r="D2755" s="1"/>
      <c r="E2755" s="1"/>
      <c r="F2755" s="1" t="str">
        <f ca="1">IFERROR(__xludf.DUMMYFUNCTION("""COMPUTED_VALUE""")," - ")</f>
        <v xml:space="preserve"> - </v>
      </c>
      <c r="G2755" s="1" t="str">
        <f ca="1">IFERROR(__xludf.DUMMYFUNCTION("""COMPUTED_VALUE""")," /  /  / ")</f>
        <v xml:space="preserve"> /  /  / </v>
      </c>
      <c r="H2755" s="1" t="str">
        <f ca="1">IFERROR(__xludf.DUMMYFUNCTION("""COMPUTED_VALUE"""),"  /  /  / ")</f>
        <v xml:space="preserve">  /  /  / </v>
      </c>
    </row>
    <row r="2756" spans="1:8" ht="12.75" x14ac:dyDescent="0.2">
      <c r="A2756" s="1"/>
      <c r="B2756" s="1"/>
      <c r="C2756" s="1"/>
      <c r="D2756" s="1"/>
      <c r="E2756" s="1"/>
      <c r="F2756" s="1" t="str">
        <f ca="1">IFERROR(__xludf.DUMMYFUNCTION("""COMPUTED_VALUE""")," - ")</f>
        <v xml:space="preserve"> - </v>
      </c>
      <c r="G2756" s="1" t="str">
        <f ca="1">IFERROR(__xludf.DUMMYFUNCTION("""COMPUTED_VALUE""")," /  /  / ")</f>
        <v xml:space="preserve"> /  /  / </v>
      </c>
      <c r="H2756" s="1" t="str">
        <f ca="1">IFERROR(__xludf.DUMMYFUNCTION("""COMPUTED_VALUE"""),"  /  /  / ")</f>
        <v xml:space="preserve">  /  /  / </v>
      </c>
    </row>
    <row r="2757" spans="1:8" ht="12.75" x14ac:dyDescent="0.2">
      <c r="A2757" s="1"/>
      <c r="B2757" s="1"/>
      <c r="C2757" s="1"/>
      <c r="D2757" s="1"/>
      <c r="E2757" s="1"/>
      <c r="F2757" s="1" t="str">
        <f ca="1">IFERROR(__xludf.DUMMYFUNCTION("""COMPUTED_VALUE""")," - ")</f>
        <v xml:space="preserve"> - </v>
      </c>
      <c r="G2757" s="1" t="str">
        <f ca="1">IFERROR(__xludf.DUMMYFUNCTION("""COMPUTED_VALUE""")," /  /  / ")</f>
        <v xml:space="preserve"> /  /  / </v>
      </c>
      <c r="H2757" s="1" t="str">
        <f ca="1">IFERROR(__xludf.DUMMYFUNCTION("""COMPUTED_VALUE"""),"  /  /  / ")</f>
        <v xml:space="preserve">  /  /  / </v>
      </c>
    </row>
    <row r="2758" spans="1:8" ht="12.75" x14ac:dyDescent="0.2">
      <c r="A2758" s="1"/>
      <c r="B2758" s="1"/>
      <c r="C2758" s="1"/>
      <c r="D2758" s="1"/>
      <c r="E2758" s="1"/>
      <c r="F2758" s="1" t="str">
        <f ca="1">IFERROR(__xludf.DUMMYFUNCTION("""COMPUTED_VALUE""")," - ")</f>
        <v xml:space="preserve"> - </v>
      </c>
      <c r="G2758" s="1" t="str">
        <f ca="1">IFERROR(__xludf.DUMMYFUNCTION("""COMPUTED_VALUE""")," /  /  / ")</f>
        <v xml:space="preserve"> /  /  / </v>
      </c>
      <c r="H2758" s="1" t="str">
        <f ca="1">IFERROR(__xludf.DUMMYFUNCTION("""COMPUTED_VALUE"""),"  /  /  / ")</f>
        <v xml:space="preserve">  /  /  / </v>
      </c>
    </row>
    <row r="2759" spans="1:8" ht="12.75" x14ac:dyDescent="0.2">
      <c r="A2759" s="1"/>
      <c r="B2759" s="1"/>
      <c r="C2759" s="1"/>
      <c r="D2759" s="1"/>
      <c r="E2759" s="1"/>
      <c r="F2759" s="1" t="str">
        <f ca="1">IFERROR(__xludf.DUMMYFUNCTION("""COMPUTED_VALUE""")," - ")</f>
        <v xml:space="preserve"> - </v>
      </c>
      <c r="G2759" s="1" t="str">
        <f ca="1">IFERROR(__xludf.DUMMYFUNCTION("""COMPUTED_VALUE""")," /  /  / ")</f>
        <v xml:space="preserve"> /  /  / </v>
      </c>
      <c r="H2759" s="1" t="str">
        <f ca="1">IFERROR(__xludf.DUMMYFUNCTION("""COMPUTED_VALUE"""),"  /  /  / ")</f>
        <v xml:space="preserve">  /  /  / </v>
      </c>
    </row>
    <row r="2760" spans="1:8" ht="12.75" x14ac:dyDescent="0.2">
      <c r="A2760" s="1"/>
      <c r="B2760" s="1"/>
      <c r="C2760" s="1"/>
      <c r="D2760" s="1"/>
      <c r="E2760" s="1"/>
      <c r="F2760" s="1" t="str">
        <f ca="1">IFERROR(__xludf.DUMMYFUNCTION("""COMPUTED_VALUE""")," - ")</f>
        <v xml:space="preserve"> - </v>
      </c>
      <c r="G2760" s="1" t="str">
        <f ca="1">IFERROR(__xludf.DUMMYFUNCTION("""COMPUTED_VALUE""")," /  /  / ")</f>
        <v xml:space="preserve"> /  /  / </v>
      </c>
      <c r="H2760" s="1" t="str">
        <f ca="1">IFERROR(__xludf.DUMMYFUNCTION("""COMPUTED_VALUE"""),"  /  /  / ")</f>
        <v xml:space="preserve">  /  /  / </v>
      </c>
    </row>
    <row r="2761" spans="1:8" ht="12.75" x14ac:dyDescent="0.2">
      <c r="A2761" s="1"/>
      <c r="B2761" s="1"/>
      <c r="C2761" s="1"/>
      <c r="D2761" s="1"/>
      <c r="E2761" s="1"/>
      <c r="F2761" s="1" t="str">
        <f ca="1">IFERROR(__xludf.DUMMYFUNCTION("""COMPUTED_VALUE""")," - ")</f>
        <v xml:space="preserve"> - </v>
      </c>
      <c r="G2761" s="1" t="str">
        <f ca="1">IFERROR(__xludf.DUMMYFUNCTION("""COMPUTED_VALUE""")," /  /  / ")</f>
        <v xml:space="preserve"> /  /  / </v>
      </c>
      <c r="H2761" s="1" t="str">
        <f ca="1">IFERROR(__xludf.DUMMYFUNCTION("""COMPUTED_VALUE"""),"  /  /  / ")</f>
        <v xml:space="preserve">  /  /  / </v>
      </c>
    </row>
    <row r="2762" spans="1:8" ht="12.75" x14ac:dyDescent="0.2">
      <c r="A2762" s="1"/>
      <c r="B2762" s="1"/>
      <c r="C2762" s="1"/>
      <c r="D2762" s="1"/>
      <c r="E2762" s="1"/>
      <c r="F2762" s="1" t="str">
        <f ca="1">IFERROR(__xludf.DUMMYFUNCTION("""COMPUTED_VALUE""")," - ")</f>
        <v xml:space="preserve"> - </v>
      </c>
      <c r="G2762" s="1" t="str">
        <f ca="1">IFERROR(__xludf.DUMMYFUNCTION("""COMPUTED_VALUE""")," /  /  / ")</f>
        <v xml:space="preserve"> /  /  / </v>
      </c>
      <c r="H2762" s="1" t="str">
        <f ca="1">IFERROR(__xludf.DUMMYFUNCTION("""COMPUTED_VALUE"""),"  /  /  / ")</f>
        <v xml:space="preserve">  /  /  / </v>
      </c>
    </row>
    <row r="2763" spans="1:8" ht="12.75" x14ac:dyDescent="0.2">
      <c r="A2763" s="1"/>
      <c r="B2763" s="1"/>
      <c r="C2763" s="1"/>
      <c r="D2763" s="1"/>
      <c r="E2763" s="1"/>
      <c r="F2763" s="1" t="str">
        <f ca="1">IFERROR(__xludf.DUMMYFUNCTION("""COMPUTED_VALUE""")," - ")</f>
        <v xml:space="preserve"> - </v>
      </c>
      <c r="G2763" s="1" t="str">
        <f ca="1">IFERROR(__xludf.DUMMYFUNCTION("""COMPUTED_VALUE""")," /  /  / ")</f>
        <v xml:space="preserve"> /  /  / </v>
      </c>
      <c r="H2763" s="1" t="str">
        <f ca="1">IFERROR(__xludf.DUMMYFUNCTION("""COMPUTED_VALUE"""),"  /  /  / ")</f>
        <v xml:space="preserve">  /  /  / </v>
      </c>
    </row>
    <row r="2764" spans="1:8" ht="12.75" x14ac:dyDescent="0.2">
      <c r="A2764" s="1"/>
      <c r="B2764" s="1"/>
      <c r="C2764" s="1"/>
      <c r="D2764" s="1"/>
      <c r="E2764" s="1"/>
      <c r="F2764" s="1" t="str">
        <f ca="1">IFERROR(__xludf.DUMMYFUNCTION("""COMPUTED_VALUE""")," - ")</f>
        <v xml:space="preserve"> - </v>
      </c>
      <c r="G2764" s="1" t="str">
        <f ca="1">IFERROR(__xludf.DUMMYFUNCTION("""COMPUTED_VALUE""")," /  /  / ")</f>
        <v xml:space="preserve"> /  /  / </v>
      </c>
      <c r="H2764" s="1" t="str">
        <f ca="1">IFERROR(__xludf.DUMMYFUNCTION("""COMPUTED_VALUE"""),"  /  /  / ")</f>
        <v xml:space="preserve">  /  /  / </v>
      </c>
    </row>
    <row r="2765" spans="1:8" ht="12.75" x14ac:dyDescent="0.2">
      <c r="A2765" s="1"/>
      <c r="B2765" s="1"/>
      <c r="C2765" s="1"/>
      <c r="D2765" s="1"/>
      <c r="E2765" s="1"/>
      <c r="F2765" s="1" t="str">
        <f ca="1">IFERROR(__xludf.DUMMYFUNCTION("""COMPUTED_VALUE""")," - ")</f>
        <v xml:space="preserve"> - </v>
      </c>
      <c r="G2765" s="1" t="str">
        <f ca="1">IFERROR(__xludf.DUMMYFUNCTION("""COMPUTED_VALUE""")," /  /  / ")</f>
        <v xml:space="preserve"> /  /  / </v>
      </c>
      <c r="H2765" s="1" t="str">
        <f ca="1">IFERROR(__xludf.DUMMYFUNCTION("""COMPUTED_VALUE"""),"  /  /  / ")</f>
        <v xml:space="preserve">  /  /  / </v>
      </c>
    </row>
    <row r="2766" spans="1:8" ht="12.75" x14ac:dyDescent="0.2">
      <c r="A2766" s="1"/>
      <c r="B2766" s="1"/>
      <c r="C2766" s="1"/>
      <c r="D2766" s="1"/>
      <c r="E2766" s="1"/>
      <c r="F2766" s="1" t="str">
        <f ca="1">IFERROR(__xludf.DUMMYFUNCTION("""COMPUTED_VALUE""")," - ")</f>
        <v xml:space="preserve"> - </v>
      </c>
      <c r="G2766" s="1" t="str">
        <f ca="1">IFERROR(__xludf.DUMMYFUNCTION("""COMPUTED_VALUE""")," /  /  / ")</f>
        <v xml:space="preserve"> /  /  / </v>
      </c>
      <c r="H2766" s="1" t="str">
        <f ca="1">IFERROR(__xludf.DUMMYFUNCTION("""COMPUTED_VALUE"""),"  /  /  / ")</f>
        <v xml:space="preserve">  /  /  / </v>
      </c>
    </row>
    <row r="2767" spans="1:8" ht="12.75" x14ac:dyDescent="0.2">
      <c r="A2767" s="1"/>
      <c r="B2767" s="1"/>
      <c r="C2767" s="1"/>
      <c r="D2767" s="1"/>
      <c r="E2767" s="1"/>
      <c r="F2767" s="1" t="str">
        <f ca="1">IFERROR(__xludf.DUMMYFUNCTION("""COMPUTED_VALUE""")," - ")</f>
        <v xml:space="preserve"> - </v>
      </c>
      <c r="G2767" s="1" t="str">
        <f ca="1">IFERROR(__xludf.DUMMYFUNCTION("""COMPUTED_VALUE""")," /  /  / ")</f>
        <v xml:space="preserve"> /  /  / </v>
      </c>
      <c r="H2767" s="1" t="str">
        <f ca="1">IFERROR(__xludf.DUMMYFUNCTION("""COMPUTED_VALUE"""),"  /  /  / ")</f>
        <v xml:space="preserve">  /  /  / </v>
      </c>
    </row>
    <row r="2768" spans="1:8" ht="12.75" x14ac:dyDescent="0.2">
      <c r="A2768" s="1"/>
      <c r="B2768" s="1"/>
      <c r="C2768" s="1"/>
      <c r="D2768" s="1"/>
      <c r="E2768" s="1"/>
      <c r="F2768" s="1" t="str">
        <f ca="1">IFERROR(__xludf.DUMMYFUNCTION("""COMPUTED_VALUE""")," - ")</f>
        <v xml:space="preserve"> - </v>
      </c>
      <c r="G2768" s="1" t="str">
        <f ca="1">IFERROR(__xludf.DUMMYFUNCTION("""COMPUTED_VALUE""")," /  /  / ")</f>
        <v xml:space="preserve"> /  /  / </v>
      </c>
      <c r="H2768" s="1" t="str">
        <f ca="1">IFERROR(__xludf.DUMMYFUNCTION("""COMPUTED_VALUE"""),"  /  /  / ")</f>
        <v xml:space="preserve">  /  /  / </v>
      </c>
    </row>
    <row r="2769" spans="1:8" ht="12.75" x14ac:dyDescent="0.2">
      <c r="A2769" s="1"/>
      <c r="B2769" s="1"/>
      <c r="C2769" s="1"/>
      <c r="D2769" s="1"/>
      <c r="E2769" s="1"/>
      <c r="F2769" s="1" t="str">
        <f ca="1">IFERROR(__xludf.DUMMYFUNCTION("""COMPUTED_VALUE""")," - ")</f>
        <v xml:space="preserve"> - </v>
      </c>
      <c r="G2769" s="1" t="str">
        <f ca="1">IFERROR(__xludf.DUMMYFUNCTION("""COMPUTED_VALUE""")," /  /  / ")</f>
        <v xml:space="preserve"> /  /  / </v>
      </c>
      <c r="H2769" s="1" t="str">
        <f ca="1">IFERROR(__xludf.DUMMYFUNCTION("""COMPUTED_VALUE"""),"  /  /  / ")</f>
        <v xml:space="preserve">  /  /  / </v>
      </c>
    </row>
    <row r="2770" spans="1:8" ht="12.75" x14ac:dyDescent="0.2">
      <c r="A2770" s="1"/>
      <c r="B2770" s="1"/>
      <c r="C2770" s="1"/>
      <c r="D2770" s="1"/>
      <c r="E2770" s="1"/>
      <c r="F2770" s="1" t="str">
        <f ca="1">IFERROR(__xludf.DUMMYFUNCTION("""COMPUTED_VALUE""")," - ")</f>
        <v xml:space="preserve"> - </v>
      </c>
      <c r="G2770" s="1" t="str">
        <f ca="1">IFERROR(__xludf.DUMMYFUNCTION("""COMPUTED_VALUE""")," /  /  / ")</f>
        <v xml:space="preserve"> /  /  / </v>
      </c>
      <c r="H2770" s="1" t="str">
        <f ca="1">IFERROR(__xludf.DUMMYFUNCTION("""COMPUTED_VALUE"""),"  /  /  / ")</f>
        <v xml:space="preserve">  /  /  / </v>
      </c>
    </row>
    <row r="2771" spans="1:8" ht="12.75" x14ac:dyDescent="0.2">
      <c r="A2771" s="1"/>
      <c r="B2771" s="1"/>
      <c r="C2771" s="1"/>
      <c r="D2771" s="1"/>
      <c r="E2771" s="1"/>
      <c r="F2771" s="1" t="str">
        <f ca="1">IFERROR(__xludf.DUMMYFUNCTION("""COMPUTED_VALUE""")," - ")</f>
        <v xml:space="preserve"> - </v>
      </c>
      <c r="G2771" s="1" t="str">
        <f ca="1">IFERROR(__xludf.DUMMYFUNCTION("""COMPUTED_VALUE""")," /  /  / ")</f>
        <v xml:space="preserve"> /  /  / </v>
      </c>
      <c r="H2771" s="1" t="str">
        <f ca="1">IFERROR(__xludf.DUMMYFUNCTION("""COMPUTED_VALUE"""),"  /  /  / ")</f>
        <v xml:space="preserve">  /  /  / </v>
      </c>
    </row>
    <row r="2772" spans="1:8" ht="12.75" x14ac:dyDescent="0.2">
      <c r="A2772" s="1"/>
      <c r="B2772" s="1"/>
      <c r="C2772" s="1"/>
      <c r="D2772" s="1"/>
      <c r="E2772" s="1"/>
      <c r="F2772" s="1" t="str">
        <f ca="1">IFERROR(__xludf.DUMMYFUNCTION("""COMPUTED_VALUE""")," - ")</f>
        <v xml:space="preserve"> - </v>
      </c>
      <c r="G2772" s="1" t="str">
        <f ca="1">IFERROR(__xludf.DUMMYFUNCTION("""COMPUTED_VALUE""")," /  /  / ")</f>
        <v xml:space="preserve"> /  /  / </v>
      </c>
      <c r="H2772" s="1" t="str">
        <f ca="1">IFERROR(__xludf.DUMMYFUNCTION("""COMPUTED_VALUE"""),"  /  /  / ")</f>
        <v xml:space="preserve">  /  /  / </v>
      </c>
    </row>
    <row r="2773" spans="1:8" ht="12.75" x14ac:dyDescent="0.2">
      <c r="A2773" s="1"/>
      <c r="B2773" s="1"/>
      <c r="C2773" s="1"/>
      <c r="D2773" s="1"/>
      <c r="E2773" s="1"/>
      <c r="F2773" s="1" t="str">
        <f ca="1">IFERROR(__xludf.DUMMYFUNCTION("""COMPUTED_VALUE""")," - ")</f>
        <v xml:space="preserve"> - </v>
      </c>
      <c r="G2773" s="1" t="str">
        <f ca="1">IFERROR(__xludf.DUMMYFUNCTION("""COMPUTED_VALUE""")," /  /  / ")</f>
        <v xml:space="preserve"> /  /  / </v>
      </c>
      <c r="H2773" s="1" t="str">
        <f ca="1">IFERROR(__xludf.DUMMYFUNCTION("""COMPUTED_VALUE"""),"  /  /  / ")</f>
        <v xml:space="preserve">  /  /  / </v>
      </c>
    </row>
    <row r="2774" spans="1:8" ht="12.75" x14ac:dyDescent="0.2">
      <c r="A2774" s="1"/>
      <c r="B2774" s="1"/>
      <c r="C2774" s="1"/>
      <c r="D2774" s="1"/>
      <c r="E2774" s="1"/>
      <c r="F2774" s="1" t="str">
        <f ca="1">IFERROR(__xludf.DUMMYFUNCTION("""COMPUTED_VALUE""")," - ")</f>
        <v xml:space="preserve"> - </v>
      </c>
      <c r="G2774" s="1" t="str">
        <f ca="1">IFERROR(__xludf.DUMMYFUNCTION("""COMPUTED_VALUE""")," /  /  / ")</f>
        <v xml:space="preserve"> /  /  / </v>
      </c>
      <c r="H2774" s="1" t="str">
        <f ca="1">IFERROR(__xludf.DUMMYFUNCTION("""COMPUTED_VALUE"""),"  /  /  / ")</f>
        <v xml:space="preserve">  /  /  / </v>
      </c>
    </row>
    <row r="2775" spans="1:8" ht="12.75" x14ac:dyDescent="0.2">
      <c r="A2775" s="1"/>
      <c r="B2775" s="1"/>
      <c r="C2775" s="1"/>
      <c r="D2775" s="1"/>
      <c r="E2775" s="1"/>
      <c r="F2775" s="1" t="str">
        <f ca="1">IFERROR(__xludf.DUMMYFUNCTION("""COMPUTED_VALUE""")," - ")</f>
        <v xml:space="preserve"> - </v>
      </c>
      <c r="G2775" s="1" t="str">
        <f ca="1">IFERROR(__xludf.DUMMYFUNCTION("""COMPUTED_VALUE""")," /  /  / ")</f>
        <v xml:space="preserve"> /  /  / </v>
      </c>
      <c r="H2775" s="1" t="str">
        <f ca="1">IFERROR(__xludf.DUMMYFUNCTION("""COMPUTED_VALUE"""),"  /  /  / ")</f>
        <v xml:space="preserve">  /  /  / </v>
      </c>
    </row>
    <row r="2776" spans="1:8" ht="12.75" x14ac:dyDescent="0.2">
      <c r="A2776" s="1"/>
      <c r="B2776" s="1"/>
      <c r="C2776" s="1"/>
      <c r="D2776" s="1"/>
      <c r="E2776" s="1"/>
      <c r="F2776" s="1" t="str">
        <f ca="1">IFERROR(__xludf.DUMMYFUNCTION("""COMPUTED_VALUE""")," - ")</f>
        <v xml:space="preserve"> - </v>
      </c>
      <c r="G2776" s="1" t="str">
        <f ca="1">IFERROR(__xludf.DUMMYFUNCTION("""COMPUTED_VALUE""")," /  /  / ")</f>
        <v xml:space="preserve"> /  /  / </v>
      </c>
      <c r="H2776" s="1" t="str">
        <f ca="1">IFERROR(__xludf.DUMMYFUNCTION("""COMPUTED_VALUE"""),"  /  /  / ")</f>
        <v xml:space="preserve">  /  /  / </v>
      </c>
    </row>
    <row r="2777" spans="1:8" ht="12.75" x14ac:dyDescent="0.2">
      <c r="A2777" s="1"/>
      <c r="B2777" s="1"/>
      <c r="C2777" s="1"/>
      <c r="D2777" s="1"/>
      <c r="E2777" s="1"/>
      <c r="F2777" s="1" t="str">
        <f ca="1">IFERROR(__xludf.DUMMYFUNCTION("""COMPUTED_VALUE""")," - ")</f>
        <v xml:space="preserve"> - </v>
      </c>
      <c r="G2777" s="1" t="str">
        <f ca="1">IFERROR(__xludf.DUMMYFUNCTION("""COMPUTED_VALUE""")," /  /  / ")</f>
        <v xml:space="preserve"> /  /  / </v>
      </c>
      <c r="H2777" s="1" t="str">
        <f ca="1">IFERROR(__xludf.DUMMYFUNCTION("""COMPUTED_VALUE"""),"  /  /  / ")</f>
        <v xml:space="preserve">  /  /  / </v>
      </c>
    </row>
    <row r="2778" spans="1:8" ht="12.75" x14ac:dyDescent="0.2">
      <c r="A2778" s="1"/>
      <c r="B2778" s="1"/>
      <c r="C2778" s="1"/>
      <c r="D2778" s="1"/>
      <c r="E2778" s="1"/>
      <c r="F2778" s="1" t="str">
        <f ca="1">IFERROR(__xludf.DUMMYFUNCTION("""COMPUTED_VALUE""")," - ")</f>
        <v xml:space="preserve"> - </v>
      </c>
      <c r="G2778" s="1" t="str">
        <f ca="1">IFERROR(__xludf.DUMMYFUNCTION("""COMPUTED_VALUE""")," /  /  / ")</f>
        <v xml:space="preserve"> /  /  / </v>
      </c>
      <c r="H2778" s="1" t="str">
        <f ca="1">IFERROR(__xludf.DUMMYFUNCTION("""COMPUTED_VALUE"""),"  /  /  / ")</f>
        <v xml:space="preserve">  /  /  / </v>
      </c>
    </row>
    <row r="2779" spans="1:8" ht="12.75" x14ac:dyDescent="0.2">
      <c r="A2779" s="1"/>
      <c r="B2779" s="1"/>
      <c r="C2779" s="1"/>
      <c r="D2779" s="1"/>
      <c r="E2779" s="1"/>
      <c r="F2779" s="1" t="str">
        <f ca="1">IFERROR(__xludf.DUMMYFUNCTION("""COMPUTED_VALUE""")," - ")</f>
        <v xml:space="preserve"> - </v>
      </c>
      <c r="G2779" s="1" t="str">
        <f ca="1">IFERROR(__xludf.DUMMYFUNCTION("""COMPUTED_VALUE""")," /  /  / ")</f>
        <v xml:space="preserve"> /  /  / </v>
      </c>
      <c r="H2779" s="1" t="str">
        <f ca="1">IFERROR(__xludf.DUMMYFUNCTION("""COMPUTED_VALUE"""),"  /  /  / ")</f>
        <v xml:space="preserve">  /  /  / </v>
      </c>
    </row>
    <row r="2780" spans="1:8" ht="12.75" x14ac:dyDescent="0.2">
      <c r="A2780" s="1"/>
      <c r="B2780" s="1"/>
      <c r="C2780" s="1"/>
      <c r="D2780" s="1"/>
      <c r="E2780" s="1"/>
      <c r="F2780" s="1" t="str">
        <f ca="1">IFERROR(__xludf.DUMMYFUNCTION("""COMPUTED_VALUE""")," - ")</f>
        <v xml:space="preserve"> - </v>
      </c>
      <c r="G2780" s="1" t="str">
        <f ca="1">IFERROR(__xludf.DUMMYFUNCTION("""COMPUTED_VALUE""")," /  /  / ")</f>
        <v xml:space="preserve"> /  /  / </v>
      </c>
      <c r="H2780" s="1" t="str">
        <f ca="1">IFERROR(__xludf.DUMMYFUNCTION("""COMPUTED_VALUE"""),"  /  /  / ")</f>
        <v xml:space="preserve">  /  /  / </v>
      </c>
    </row>
    <row r="2781" spans="1:8" ht="12.75" x14ac:dyDescent="0.2">
      <c r="A2781" s="1"/>
      <c r="B2781" s="1"/>
      <c r="C2781" s="1"/>
      <c r="D2781" s="1"/>
      <c r="E2781" s="1"/>
      <c r="F2781" s="1" t="str">
        <f ca="1">IFERROR(__xludf.DUMMYFUNCTION("""COMPUTED_VALUE""")," - ")</f>
        <v xml:space="preserve"> - </v>
      </c>
      <c r="G2781" s="1" t="str">
        <f ca="1">IFERROR(__xludf.DUMMYFUNCTION("""COMPUTED_VALUE""")," /  /  / ")</f>
        <v xml:space="preserve"> /  /  / </v>
      </c>
      <c r="H2781" s="1" t="str">
        <f ca="1">IFERROR(__xludf.DUMMYFUNCTION("""COMPUTED_VALUE"""),"  /  /  / ")</f>
        <v xml:space="preserve">  /  /  / </v>
      </c>
    </row>
    <row r="2782" spans="1:8" ht="12.75" x14ac:dyDescent="0.2">
      <c r="A2782" s="1"/>
      <c r="B2782" s="1"/>
      <c r="C2782" s="1"/>
      <c r="D2782" s="1"/>
      <c r="E2782" s="1"/>
      <c r="F2782" s="1" t="str">
        <f ca="1">IFERROR(__xludf.DUMMYFUNCTION("""COMPUTED_VALUE""")," - ")</f>
        <v xml:space="preserve"> - </v>
      </c>
      <c r="G2782" s="1" t="str">
        <f ca="1">IFERROR(__xludf.DUMMYFUNCTION("""COMPUTED_VALUE""")," /  /  / ")</f>
        <v xml:space="preserve"> /  /  / </v>
      </c>
      <c r="H2782" s="1" t="str">
        <f ca="1">IFERROR(__xludf.DUMMYFUNCTION("""COMPUTED_VALUE"""),"  /  /  / ")</f>
        <v xml:space="preserve">  /  /  / </v>
      </c>
    </row>
    <row r="2783" spans="1:8" ht="12.75" x14ac:dyDescent="0.2">
      <c r="A2783" s="1"/>
      <c r="B2783" s="1"/>
      <c r="C2783" s="1"/>
      <c r="D2783" s="1"/>
      <c r="E2783" s="1"/>
      <c r="F2783" s="1" t="str">
        <f ca="1">IFERROR(__xludf.DUMMYFUNCTION("""COMPUTED_VALUE""")," - ")</f>
        <v xml:space="preserve"> - </v>
      </c>
      <c r="G2783" s="1" t="str">
        <f ca="1">IFERROR(__xludf.DUMMYFUNCTION("""COMPUTED_VALUE""")," /  /  / ")</f>
        <v xml:space="preserve"> /  /  / </v>
      </c>
      <c r="H2783" s="1" t="str">
        <f ca="1">IFERROR(__xludf.DUMMYFUNCTION("""COMPUTED_VALUE"""),"  /  /  / ")</f>
        <v xml:space="preserve">  /  /  / </v>
      </c>
    </row>
    <row r="2784" spans="1:8" ht="12.75" x14ac:dyDescent="0.2">
      <c r="A2784" s="1"/>
      <c r="B2784" s="1"/>
      <c r="C2784" s="1"/>
      <c r="D2784" s="1"/>
      <c r="E2784" s="1"/>
      <c r="F2784" s="1" t="str">
        <f ca="1">IFERROR(__xludf.DUMMYFUNCTION("""COMPUTED_VALUE""")," - ")</f>
        <v xml:space="preserve"> - </v>
      </c>
      <c r="G2784" s="1" t="str">
        <f ca="1">IFERROR(__xludf.DUMMYFUNCTION("""COMPUTED_VALUE""")," /  /  / ")</f>
        <v xml:space="preserve"> /  /  / </v>
      </c>
      <c r="H2784" s="1" t="str">
        <f ca="1">IFERROR(__xludf.DUMMYFUNCTION("""COMPUTED_VALUE"""),"  /  /  / ")</f>
        <v xml:space="preserve">  /  /  / </v>
      </c>
    </row>
    <row r="2785" spans="1:8" ht="12.75" x14ac:dyDescent="0.2">
      <c r="A2785" s="1"/>
      <c r="B2785" s="1"/>
      <c r="C2785" s="1"/>
      <c r="D2785" s="1"/>
      <c r="E2785" s="1"/>
      <c r="F2785" s="1" t="str">
        <f ca="1">IFERROR(__xludf.DUMMYFUNCTION("""COMPUTED_VALUE""")," - ")</f>
        <v xml:space="preserve"> - </v>
      </c>
      <c r="G2785" s="1" t="str">
        <f ca="1">IFERROR(__xludf.DUMMYFUNCTION("""COMPUTED_VALUE""")," /  /  / ")</f>
        <v xml:space="preserve"> /  /  / </v>
      </c>
      <c r="H2785" s="1" t="str">
        <f ca="1">IFERROR(__xludf.DUMMYFUNCTION("""COMPUTED_VALUE"""),"  /  /  / ")</f>
        <v xml:space="preserve">  /  /  / </v>
      </c>
    </row>
    <row r="2786" spans="1:8" ht="12.75" x14ac:dyDescent="0.2">
      <c r="A2786" s="1"/>
      <c r="B2786" s="1"/>
      <c r="C2786" s="1"/>
      <c r="D2786" s="1"/>
      <c r="E2786" s="1"/>
      <c r="F2786" s="1" t="str">
        <f ca="1">IFERROR(__xludf.DUMMYFUNCTION("""COMPUTED_VALUE""")," - ")</f>
        <v xml:space="preserve"> - </v>
      </c>
      <c r="G2786" s="1" t="str">
        <f ca="1">IFERROR(__xludf.DUMMYFUNCTION("""COMPUTED_VALUE""")," /  /  / ")</f>
        <v xml:space="preserve"> /  /  / </v>
      </c>
      <c r="H2786" s="1" t="str">
        <f ca="1">IFERROR(__xludf.DUMMYFUNCTION("""COMPUTED_VALUE"""),"  /  /  / ")</f>
        <v xml:space="preserve">  /  /  / </v>
      </c>
    </row>
    <row r="2787" spans="1:8" ht="12.75" x14ac:dyDescent="0.2">
      <c r="A2787" s="1"/>
      <c r="B2787" s="1"/>
      <c r="C2787" s="1"/>
      <c r="D2787" s="1"/>
      <c r="E2787" s="1"/>
      <c r="F2787" s="1" t="str">
        <f ca="1">IFERROR(__xludf.DUMMYFUNCTION("""COMPUTED_VALUE""")," - ")</f>
        <v xml:space="preserve"> - </v>
      </c>
      <c r="G2787" s="1" t="str">
        <f ca="1">IFERROR(__xludf.DUMMYFUNCTION("""COMPUTED_VALUE""")," /  /  / ")</f>
        <v xml:space="preserve"> /  /  / </v>
      </c>
      <c r="H2787" s="1" t="str">
        <f ca="1">IFERROR(__xludf.DUMMYFUNCTION("""COMPUTED_VALUE"""),"  /  /  / ")</f>
        <v xml:space="preserve">  /  /  / </v>
      </c>
    </row>
    <row r="2788" spans="1:8" ht="12.75" x14ac:dyDescent="0.2">
      <c r="A2788" s="1"/>
      <c r="B2788" s="1"/>
      <c r="C2788" s="1"/>
      <c r="D2788" s="1"/>
      <c r="E2788" s="1"/>
      <c r="F2788" s="1" t="str">
        <f ca="1">IFERROR(__xludf.DUMMYFUNCTION("""COMPUTED_VALUE""")," - ")</f>
        <v xml:space="preserve"> - </v>
      </c>
      <c r="G2788" s="1" t="str">
        <f ca="1">IFERROR(__xludf.DUMMYFUNCTION("""COMPUTED_VALUE""")," /  /  / ")</f>
        <v xml:space="preserve"> /  /  / </v>
      </c>
      <c r="H2788" s="1" t="str">
        <f ca="1">IFERROR(__xludf.DUMMYFUNCTION("""COMPUTED_VALUE"""),"  /  /  / ")</f>
        <v xml:space="preserve">  /  /  / </v>
      </c>
    </row>
    <row r="2789" spans="1:8" ht="12.75" x14ac:dyDescent="0.2">
      <c r="A2789" s="1"/>
      <c r="B2789" s="1"/>
      <c r="C2789" s="1"/>
      <c r="D2789" s="1"/>
      <c r="E2789" s="1"/>
      <c r="F2789" s="1" t="str">
        <f ca="1">IFERROR(__xludf.DUMMYFUNCTION("""COMPUTED_VALUE""")," - ")</f>
        <v xml:space="preserve"> - </v>
      </c>
      <c r="G2789" s="1" t="str">
        <f ca="1">IFERROR(__xludf.DUMMYFUNCTION("""COMPUTED_VALUE""")," /  /  / ")</f>
        <v xml:space="preserve"> /  /  / </v>
      </c>
      <c r="H2789" s="1" t="str">
        <f ca="1">IFERROR(__xludf.DUMMYFUNCTION("""COMPUTED_VALUE"""),"  /  /  / ")</f>
        <v xml:space="preserve">  /  /  / </v>
      </c>
    </row>
    <row r="2790" spans="1:8" ht="12.75" x14ac:dyDescent="0.2">
      <c r="A2790" s="1"/>
      <c r="B2790" s="1"/>
      <c r="C2790" s="1"/>
      <c r="D2790" s="1"/>
      <c r="E2790" s="1"/>
      <c r="F2790" s="1" t="str">
        <f ca="1">IFERROR(__xludf.DUMMYFUNCTION("""COMPUTED_VALUE""")," - ")</f>
        <v xml:space="preserve"> - </v>
      </c>
      <c r="G2790" s="1" t="str">
        <f ca="1">IFERROR(__xludf.DUMMYFUNCTION("""COMPUTED_VALUE""")," /  /  / ")</f>
        <v xml:space="preserve"> /  /  / </v>
      </c>
      <c r="H2790" s="1" t="str">
        <f ca="1">IFERROR(__xludf.DUMMYFUNCTION("""COMPUTED_VALUE"""),"  /  /  / ")</f>
        <v xml:space="preserve">  /  /  / </v>
      </c>
    </row>
    <row r="2791" spans="1:8" ht="12.75" x14ac:dyDescent="0.2">
      <c r="A2791" s="1"/>
      <c r="B2791" s="1"/>
      <c r="C2791" s="1"/>
      <c r="D2791" s="1"/>
      <c r="E2791" s="1"/>
      <c r="F2791" s="1" t="str">
        <f ca="1">IFERROR(__xludf.DUMMYFUNCTION("""COMPUTED_VALUE""")," - ")</f>
        <v xml:space="preserve"> - </v>
      </c>
      <c r="G2791" s="1" t="str">
        <f ca="1">IFERROR(__xludf.DUMMYFUNCTION("""COMPUTED_VALUE""")," /  /  / ")</f>
        <v xml:space="preserve"> /  /  / </v>
      </c>
      <c r="H2791" s="1" t="str">
        <f ca="1">IFERROR(__xludf.DUMMYFUNCTION("""COMPUTED_VALUE"""),"  /  /  / ")</f>
        <v xml:space="preserve">  /  /  / </v>
      </c>
    </row>
    <row r="2792" spans="1:8" ht="12.75" x14ac:dyDescent="0.2">
      <c r="A2792" s="1"/>
      <c r="B2792" s="1"/>
      <c r="C2792" s="1"/>
      <c r="D2792" s="1"/>
      <c r="E2792" s="1"/>
      <c r="F2792" s="1" t="str">
        <f ca="1">IFERROR(__xludf.DUMMYFUNCTION("""COMPUTED_VALUE""")," - ")</f>
        <v xml:space="preserve"> - </v>
      </c>
      <c r="G2792" s="1" t="str">
        <f ca="1">IFERROR(__xludf.DUMMYFUNCTION("""COMPUTED_VALUE""")," /  /  / ")</f>
        <v xml:space="preserve"> /  /  / </v>
      </c>
      <c r="H2792" s="1" t="str">
        <f ca="1">IFERROR(__xludf.DUMMYFUNCTION("""COMPUTED_VALUE"""),"  /  /  / ")</f>
        <v xml:space="preserve">  /  /  / </v>
      </c>
    </row>
    <row r="2793" spans="1:8" ht="12.75" x14ac:dyDescent="0.2">
      <c r="A2793" s="1"/>
      <c r="B2793" s="1"/>
      <c r="C2793" s="1"/>
      <c r="D2793" s="1"/>
      <c r="E2793" s="1"/>
      <c r="F2793" s="1" t="str">
        <f ca="1">IFERROR(__xludf.DUMMYFUNCTION("""COMPUTED_VALUE""")," - ")</f>
        <v xml:space="preserve"> - </v>
      </c>
      <c r="G2793" s="1" t="str">
        <f ca="1">IFERROR(__xludf.DUMMYFUNCTION("""COMPUTED_VALUE""")," /  /  / ")</f>
        <v xml:space="preserve"> /  /  / </v>
      </c>
      <c r="H2793" s="1" t="str">
        <f ca="1">IFERROR(__xludf.DUMMYFUNCTION("""COMPUTED_VALUE"""),"  /  /  / ")</f>
        <v xml:space="preserve">  /  /  / </v>
      </c>
    </row>
    <row r="2794" spans="1:8" ht="12.75" x14ac:dyDescent="0.2">
      <c r="A2794" s="1"/>
      <c r="B2794" s="1"/>
      <c r="C2794" s="1"/>
      <c r="D2794" s="1"/>
      <c r="E2794" s="1"/>
      <c r="F2794" s="1" t="str">
        <f ca="1">IFERROR(__xludf.DUMMYFUNCTION("""COMPUTED_VALUE""")," - ")</f>
        <v xml:space="preserve"> - </v>
      </c>
      <c r="G2794" s="1" t="str">
        <f ca="1">IFERROR(__xludf.DUMMYFUNCTION("""COMPUTED_VALUE""")," /  /  / ")</f>
        <v xml:space="preserve"> /  /  / </v>
      </c>
      <c r="H2794" s="1" t="str">
        <f ca="1">IFERROR(__xludf.DUMMYFUNCTION("""COMPUTED_VALUE"""),"  /  /  / ")</f>
        <v xml:space="preserve">  /  /  / </v>
      </c>
    </row>
    <row r="2795" spans="1:8" ht="12.75" x14ac:dyDescent="0.2">
      <c r="A2795" s="1"/>
      <c r="B2795" s="1"/>
      <c r="C2795" s="1"/>
      <c r="D2795" s="1"/>
      <c r="E2795" s="1"/>
      <c r="F2795" s="1" t="str">
        <f ca="1">IFERROR(__xludf.DUMMYFUNCTION("""COMPUTED_VALUE""")," - ")</f>
        <v xml:space="preserve"> - </v>
      </c>
      <c r="G2795" s="1" t="str">
        <f ca="1">IFERROR(__xludf.DUMMYFUNCTION("""COMPUTED_VALUE""")," /  /  / ")</f>
        <v xml:space="preserve"> /  /  / </v>
      </c>
      <c r="H2795" s="1" t="str">
        <f ca="1">IFERROR(__xludf.DUMMYFUNCTION("""COMPUTED_VALUE"""),"  /  /  / ")</f>
        <v xml:space="preserve">  /  /  / </v>
      </c>
    </row>
    <row r="2796" spans="1:8" ht="12.75" x14ac:dyDescent="0.2">
      <c r="A2796" s="1"/>
      <c r="B2796" s="1"/>
      <c r="C2796" s="1"/>
      <c r="D2796" s="1"/>
      <c r="E2796" s="1"/>
      <c r="F2796" s="1" t="str">
        <f ca="1">IFERROR(__xludf.DUMMYFUNCTION("""COMPUTED_VALUE""")," - ")</f>
        <v xml:space="preserve"> - </v>
      </c>
      <c r="G2796" s="1" t="str">
        <f ca="1">IFERROR(__xludf.DUMMYFUNCTION("""COMPUTED_VALUE""")," /  /  / ")</f>
        <v xml:space="preserve"> /  /  / </v>
      </c>
      <c r="H2796" s="1" t="str">
        <f ca="1">IFERROR(__xludf.DUMMYFUNCTION("""COMPUTED_VALUE"""),"  /  /  / ")</f>
        <v xml:space="preserve">  /  /  / </v>
      </c>
    </row>
    <row r="2797" spans="1:8" ht="12.75" x14ac:dyDescent="0.2">
      <c r="A2797" s="1"/>
      <c r="B2797" s="1"/>
      <c r="C2797" s="1"/>
      <c r="D2797" s="1"/>
      <c r="E2797" s="1"/>
      <c r="F2797" s="1" t="str">
        <f ca="1">IFERROR(__xludf.DUMMYFUNCTION("""COMPUTED_VALUE""")," - ")</f>
        <v xml:space="preserve"> - </v>
      </c>
      <c r="G2797" s="1" t="str">
        <f ca="1">IFERROR(__xludf.DUMMYFUNCTION("""COMPUTED_VALUE""")," /  /  / ")</f>
        <v xml:space="preserve"> /  /  / </v>
      </c>
      <c r="H2797" s="1" t="str">
        <f ca="1">IFERROR(__xludf.DUMMYFUNCTION("""COMPUTED_VALUE"""),"  /  /  / ")</f>
        <v xml:space="preserve">  /  /  / </v>
      </c>
    </row>
    <row r="2798" spans="1:8" ht="12.75" x14ac:dyDescent="0.2">
      <c r="A2798" s="1"/>
      <c r="B2798" s="1"/>
      <c r="C2798" s="1"/>
      <c r="D2798" s="1"/>
      <c r="E2798" s="1"/>
      <c r="F2798" s="1" t="str">
        <f ca="1">IFERROR(__xludf.DUMMYFUNCTION("""COMPUTED_VALUE""")," - ")</f>
        <v xml:space="preserve"> - </v>
      </c>
      <c r="G2798" s="1" t="str">
        <f ca="1">IFERROR(__xludf.DUMMYFUNCTION("""COMPUTED_VALUE""")," /  /  / ")</f>
        <v xml:space="preserve"> /  /  / </v>
      </c>
      <c r="H2798" s="1" t="str">
        <f ca="1">IFERROR(__xludf.DUMMYFUNCTION("""COMPUTED_VALUE"""),"  /  /  / ")</f>
        <v xml:space="preserve">  /  /  / </v>
      </c>
    </row>
    <row r="2799" spans="1:8" ht="12.75" x14ac:dyDescent="0.2">
      <c r="A2799" s="1"/>
      <c r="B2799" s="1"/>
      <c r="C2799" s="1"/>
      <c r="D2799" s="1"/>
      <c r="E2799" s="1"/>
      <c r="F2799" s="1" t="str">
        <f ca="1">IFERROR(__xludf.DUMMYFUNCTION("""COMPUTED_VALUE""")," - ")</f>
        <v xml:space="preserve"> - </v>
      </c>
      <c r="G2799" s="1" t="str">
        <f ca="1">IFERROR(__xludf.DUMMYFUNCTION("""COMPUTED_VALUE""")," /  /  / ")</f>
        <v xml:space="preserve"> /  /  / </v>
      </c>
      <c r="H2799" s="1" t="str">
        <f ca="1">IFERROR(__xludf.DUMMYFUNCTION("""COMPUTED_VALUE"""),"  /  /  / ")</f>
        <v xml:space="preserve">  /  /  / </v>
      </c>
    </row>
    <row r="2800" spans="1:8" ht="12.75" x14ac:dyDescent="0.2">
      <c r="A2800" s="1"/>
      <c r="B2800" s="1"/>
      <c r="C2800" s="1"/>
      <c r="D2800" s="1"/>
      <c r="E2800" s="1"/>
      <c r="F2800" s="1" t="str">
        <f ca="1">IFERROR(__xludf.DUMMYFUNCTION("""COMPUTED_VALUE""")," - ")</f>
        <v xml:space="preserve"> - </v>
      </c>
      <c r="G2800" s="1" t="str">
        <f ca="1">IFERROR(__xludf.DUMMYFUNCTION("""COMPUTED_VALUE""")," /  /  / ")</f>
        <v xml:space="preserve"> /  /  / </v>
      </c>
      <c r="H2800" s="1" t="str">
        <f ca="1">IFERROR(__xludf.DUMMYFUNCTION("""COMPUTED_VALUE"""),"  /  /  / ")</f>
        <v xml:space="preserve">  /  /  / </v>
      </c>
    </row>
    <row r="2801" spans="1:8" ht="12.75" x14ac:dyDescent="0.2">
      <c r="A2801" s="1"/>
      <c r="B2801" s="1"/>
      <c r="C2801" s="1"/>
      <c r="D2801" s="1"/>
      <c r="E2801" s="1"/>
      <c r="F2801" s="1" t="str">
        <f ca="1">IFERROR(__xludf.DUMMYFUNCTION("""COMPUTED_VALUE""")," - ")</f>
        <v xml:space="preserve"> - </v>
      </c>
      <c r="G2801" s="1" t="str">
        <f ca="1">IFERROR(__xludf.DUMMYFUNCTION("""COMPUTED_VALUE""")," /  /  / ")</f>
        <v xml:space="preserve"> /  /  / </v>
      </c>
      <c r="H2801" s="1" t="str">
        <f ca="1">IFERROR(__xludf.DUMMYFUNCTION("""COMPUTED_VALUE"""),"  /  /  / ")</f>
        <v xml:space="preserve">  /  /  / </v>
      </c>
    </row>
    <row r="2802" spans="1:8" ht="12.75" x14ac:dyDescent="0.2">
      <c r="A2802" s="1"/>
      <c r="B2802" s="1"/>
      <c r="C2802" s="1"/>
      <c r="D2802" s="1"/>
      <c r="E2802" s="1"/>
      <c r="F2802" s="1" t="str">
        <f ca="1">IFERROR(__xludf.DUMMYFUNCTION("""COMPUTED_VALUE""")," - ")</f>
        <v xml:space="preserve"> - </v>
      </c>
      <c r="G2802" s="1" t="str">
        <f ca="1">IFERROR(__xludf.DUMMYFUNCTION("""COMPUTED_VALUE""")," /  /  / ")</f>
        <v xml:space="preserve"> /  /  / </v>
      </c>
      <c r="H2802" s="1" t="str">
        <f ca="1">IFERROR(__xludf.DUMMYFUNCTION("""COMPUTED_VALUE"""),"  /  /  / ")</f>
        <v xml:space="preserve">  /  /  / </v>
      </c>
    </row>
    <row r="2803" spans="1:8" ht="12.75" x14ac:dyDescent="0.2">
      <c r="A2803" s="1"/>
      <c r="B2803" s="1"/>
      <c r="C2803" s="1"/>
      <c r="D2803" s="1"/>
      <c r="E2803" s="1"/>
      <c r="F2803" s="1" t="str">
        <f ca="1">IFERROR(__xludf.DUMMYFUNCTION("""COMPUTED_VALUE""")," - ")</f>
        <v xml:space="preserve"> - </v>
      </c>
      <c r="G2803" s="1" t="str">
        <f ca="1">IFERROR(__xludf.DUMMYFUNCTION("""COMPUTED_VALUE""")," /  /  / ")</f>
        <v xml:space="preserve"> /  /  / </v>
      </c>
      <c r="H2803" s="1" t="str">
        <f ca="1">IFERROR(__xludf.DUMMYFUNCTION("""COMPUTED_VALUE"""),"  /  /  / ")</f>
        <v xml:space="preserve">  /  /  / </v>
      </c>
    </row>
    <row r="2804" spans="1:8" ht="12.75" x14ac:dyDescent="0.2">
      <c r="A2804" s="1"/>
      <c r="B2804" s="1"/>
      <c r="C2804" s="1"/>
      <c r="D2804" s="1"/>
      <c r="E2804" s="1"/>
      <c r="F2804" s="1" t="str">
        <f ca="1">IFERROR(__xludf.DUMMYFUNCTION("""COMPUTED_VALUE""")," - ")</f>
        <v xml:space="preserve"> - </v>
      </c>
      <c r="G2804" s="1" t="str">
        <f ca="1">IFERROR(__xludf.DUMMYFUNCTION("""COMPUTED_VALUE""")," /  /  / ")</f>
        <v xml:space="preserve"> /  /  / </v>
      </c>
      <c r="H2804" s="1" t="str">
        <f ca="1">IFERROR(__xludf.DUMMYFUNCTION("""COMPUTED_VALUE"""),"  /  /  / ")</f>
        <v xml:space="preserve">  /  /  / </v>
      </c>
    </row>
    <row r="2805" spans="1:8" ht="12.75" x14ac:dyDescent="0.2">
      <c r="A2805" s="1"/>
      <c r="B2805" s="1"/>
      <c r="C2805" s="1"/>
      <c r="D2805" s="1"/>
      <c r="E2805" s="1"/>
      <c r="F2805" s="1" t="str">
        <f ca="1">IFERROR(__xludf.DUMMYFUNCTION("""COMPUTED_VALUE""")," - ")</f>
        <v xml:space="preserve"> - </v>
      </c>
      <c r="G2805" s="1" t="str">
        <f ca="1">IFERROR(__xludf.DUMMYFUNCTION("""COMPUTED_VALUE""")," /  /  / ")</f>
        <v xml:space="preserve"> /  /  / </v>
      </c>
      <c r="H2805" s="1" t="str">
        <f ca="1">IFERROR(__xludf.DUMMYFUNCTION("""COMPUTED_VALUE"""),"  /  /  / ")</f>
        <v xml:space="preserve">  /  /  / </v>
      </c>
    </row>
    <row r="2806" spans="1:8" ht="12.75" x14ac:dyDescent="0.2">
      <c r="A2806" s="1"/>
      <c r="B2806" s="1"/>
      <c r="C2806" s="1"/>
      <c r="D2806" s="1"/>
      <c r="E2806" s="1"/>
      <c r="F2806" s="1" t="str">
        <f ca="1">IFERROR(__xludf.DUMMYFUNCTION("""COMPUTED_VALUE""")," - ")</f>
        <v xml:space="preserve"> - </v>
      </c>
      <c r="G2806" s="1" t="str">
        <f ca="1">IFERROR(__xludf.DUMMYFUNCTION("""COMPUTED_VALUE""")," /  /  / ")</f>
        <v xml:space="preserve"> /  /  / </v>
      </c>
      <c r="H2806" s="1" t="str">
        <f ca="1">IFERROR(__xludf.DUMMYFUNCTION("""COMPUTED_VALUE"""),"  /  /  / ")</f>
        <v xml:space="preserve">  /  /  / </v>
      </c>
    </row>
    <row r="2807" spans="1:8" ht="12.75" x14ac:dyDescent="0.2">
      <c r="A2807" s="1"/>
      <c r="B2807" s="1"/>
      <c r="C2807" s="1"/>
      <c r="D2807" s="1"/>
      <c r="E2807" s="1"/>
      <c r="F2807" s="1" t="str">
        <f ca="1">IFERROR(__xludf.DUMMYFUNCTION("""COMPUTED_VALUE""")," - ")</f>
        <v xml:space="preserve"> - </v>
      </c>
      <c r="G2807" s="1" t="str">
        <f ca="1">IFERROR(__xludf.DUMMYFUNCTION("""COMPUTED_VALUE""")," /  /  / ")</f>
        <v xml:space="preserve"> /  /  / </v>
      </c>
      <c r="H2807" s="1" t="str">
        <f ca="1">IFERROR(__xludf.DUMMYFUNCTION("""COMPUTED_VALUE"""),"  /  /  / ")</f>
        <v xml:space="preserve">  /  /  / </v>
      </c>
    </row>
    <row r="2808" spans="1:8" ht="12.75" x14ac:dyDescent="0.2">
      <c r="A2808" s="1"/>
      <c r="B2808" s="1"/>
      <c r="C2808" s="1"/>
      <c r="D2808" s="1"/>
      <c r="E2808" s="1"/>
      <c r="F2808" s="1" t="str">
        <f ca="1">IFERROR(__xludf.DUMMYFUNCTION("""COMPUTED_VALUE""")," - ")</f>
        <v xml:space="preserve"> - </v>
      </c>
      <c r="G2808" s="1" t="str">
        <f ca="1">IFERROR(__xludf.DUMMYFUNCTION("""COMPUTED_VALUE""")," /  /  / ")</f>
        <v xml:space="preserve"> /  /  / </v>
      </c>
      <c r="H2808" s="1" t="str">
        <f ca="1">IFERROR(__xludf.DUMMYFUNCTION("""COMPUTED_VALUE"""),"  /  /  / ")</f>
        <v xml:space="preserve">  /  /  / </v>
      </c>
    </row>
    <row r="2809" spans="1:8" ht="12.75" x14ac:dyDescent="0.2">
      <c r="A2809" s="1"/>
      <c r="B2809" s="1"/>
      <c r="C2809" s="1"/>
      <c r="D2809" s="1"/>
      <c r="E2809" s="1"/>
      <c r="F2809" s="1" t="str">
        <f ca="1">IFERROR(__xludf.DUMMYFUNCTION("""COMPUTED_VALUE""")," - ")</f>
        <v xml:space="preserve"> - </v>
      </c>
      <c r="G2809" s="1" t="str">
        <f ca="1">IFERROR(__xludf.DUMMYFUNCTION("""COMPUTED_VALUE""")," /  /  / ")</f>
        <v xml:space="preserve"> /  /  / </v>
      </c>
      <c r="H2809" s="1" t="str">
        <f ca="1">IFERROR(__xludf.DUMMYFUNCTION("""COMPUTED_VALUE"""),"  /  /  / ")</f>
        <v xml:space="preserve">  /  /  / </v>
      </c>
    </row>
    <row r="2810" spans="1:8" ht="12.75" x14ac:dyDescent="0.2">
      <c r="A2810" s="1"/>
      <c r="B2810" s="1"/>
      <c r="C2810" s="1"/>
      <c r="D2810" s="1"/>
      <c r="E2810" s="1"/>
      <c r="F2810" s="1" t="str">
        <f ca="1">IFERROR(__xludf.DUMMYFUNCTION("""COMPUTED_VALUE""")," - ")</f>
        <v xml:space="preserve"> - </v>
      </c>
      <c r="G2810" s="1" t="str">
        <f ca="1">IFERROR(__xludf.DUMMYFUNCTION("""COMPUTED_VALUE""")," /  /  / ")</f>
        <v xml:space="preserve"> /  /  / </v>
      </c>
      <c r="H2810" s="1" t="str">
        <f ca="1">IFERROR(__xludf.DUMMYFUNCTION("""COMPUTED_VALUE"""),"  /  /  / ")</f>
        <v xml:space="preserve">  /  /  / </v>
      </c>
    </row>
    <row r="2811" spans="1:8" ht="12.75" x14ac:dyDescent="0.2">
      <c r="A2811" s="1"/>
      <c r="B2811" s="1"/>
      <c r="C2811" s="1"/>
      <c r="D2811" s="1"/>
      <c r="E2811" s="1"/>
      <c r="F2811" s="1" t="str">
        <f ca="1">IFERROR(__xludf.DUMMYFUNCTION("""COMPUTED_VALUE""")," - ")</f>
        <v xml:space="preserve"> - </v>
      </c>
      <c r="G2811" s="1" t="str">
        <f ca="1">IFERROR(__xludf.DUMMYFUNCTION("""COMPUTED_VALUE""")," /  /  / ")</f>
        <v xml:space="preserve"> /  /  / </v>
      </c>
      <c r="H2811" s="1" t="str">
        <f ca="1">IFERROR(__xludf.DUMMYFUNCTION("""COMPUTED_VALUE"""),"  /  /  / ")</f>
        <v xml:space="preserve">  /  /  / </v>
      </c>
    </row>
    <row r="2812" spans="1:8" ht="12.75" x14ac:dyDescent="0.2">
      <c r="A2812" s="1"/>
      <c r="B2812" s="1"/>
      <c r="C2812" s="1"/>
      <c r="D2812" s="1"/>
      <c r="E2812" s="1"/>
      <c r="F2812" s="1" t="str">
        <f ca="1">IFERROR(__xludf.DUMMYFUNCTION("""COMPUTED_VALUE""")," - ")</f>
        <v xml:space="preserve"> - </v>
      </c>
      <c r="G2812" s="1" t="str">
        <f ca="1">IFERROR(__xludf.DUMMYFUNCTION("""COMPUTED_VALUE""")," /  /  / ")</f>
        <v xml:space="preserve"> /  /  / </v>
      </c>
      <c r="H2812" s="1" t="str">
        <f ca="1">IFERROR(__xludf.DUMMYFUNCTION("""COMPUTED_VALUE"""),"  /  /  / ")</f>
        <v xml:space="preserve">  /  /  / </v>
      </c>
    </row>
    <row r="2813" spans="1:8" ht="12.75" x14ac:dyDescent="0.2">
      <c r="A2813" s="1"/>
      <c r="B2813" s="1"/>
      <c r="C2813" s="1"/>
      <c r="D2813" s="1"/>
      <c r="E2813" s="1"/>
      <c r="F2813" s="1" t="str">
        <f ca="1">IFERROR(__xludf.DUMMYFUNCTION("""COMPUTED_VALUE""")," - ")</f>
        <v xml:space="preserve"> - </v>
      </c>
      <c r="G2813" s="1" t="str">
        <f ca="1">IFERROR(__xludf.DUMMYFUNCTION("""COMPUTED_VALUE""")," /  /  / ")</f>
        <v xml:space="preserve"> /  /  / </v>
      </c>
      <c r="H2813" s="1" t="str">
        <f ca="1">IFERROR(__xludf.DUMMYFUNCTION("""COMPUTED_VALUE"""),"  /  /  / ")</f>
        <v xml:space="preserve">  /  /  / </v>
      </c>
    </row>
    <row r="2814" spans="1:8" ht="12.75" x14ac:dyDescent="0.2">
      <c r="A2814" s="1"/>
      <c r="B2814" s="1"/>
      <c r="C2814" s="1"/>
      <c r="D2814" s="1"/>
      <c r="E2814" s="1"/>
      <c r="F2814" s="1" t="str">
        <f ca="1">IFERROR(__xludf.DUMMYFUNCTION("""COMPUTED_VALUE""")," - ")</f>
        <v xml:space="preserve"> - </v>
      </c>
      <c r="G2814" s="1" t="str">
        <f ca="1">IFERROR(__xludf.DUMMYFUNCTION("""COMPUTED_VALUE""")," /  /  / ")</f>
        <v xml:space="preserve"> /  /  / </v>
      </c>
      <c r="H2814" s="1" t="str">
        <f ca="1">IFERROR(__xludf.DUMMYFUNCTION("""COMPUTED_VALUE"""),"  /  /  / ")</f>
        <v xml:space="preserve">  /  /  / </v>
      </c>
    </row>
    <row r="2815" spans="1:8" ht="12.75" x14ac:dyDescent="0.2">
      <c r="A2815" s="1"/>
      <c r="B2815" s="1"/>
      <c r="C2815" s="1"/>
      <c r="D2815" s="1"/>
      <c r="E2815" s="1"/>
      <c r="F2815" s="1" t="str">
        <f ca="1">IFERROR(__xludf.DUMMYFUNCTION("""COMPUTED_VALUE""")," - ")</f>
        <v xml:space="preserve"> - </v>
      </c>
      <c r="G2815" s="1" t="str">
        <f ca="1">IFERROR(__xludf.DUMMYFUNCTION("""COMPUTED_VALUE""")," /  /  / ")</f>
        <v xml:space="preserve"> /  /  / </v>
      </c>
      <c r="H2815" s="1" t="str">
        <f ca="1">IFERROR(__xludf.DUMMYFUNCTION("""COMPUTED_VALUE"""),"  /  /  / ")</f>
        <v xml:space="preserve">  /  /  / </v>
      </c>
    </row>
    <row r="2816" spans="1:8" ht="12.75" x14ac:dyDescent="0.2">
      <c r="A2816" s="1"/>
      <c r="B2816" s="1"/>
      <c r="C2816" s="1"/>
      <c r="D2816" s="1"/>
      <c r="E2816" s="1"/>
      <c r="F2816" s="1" t="str">
        <f ca="1">IFERROR(__xludf.DUMMYFUNCTION("""COMPUTED_VALUE""")," - ")</f>
        <v xml:space="preserve"> - </v>
      </c>
      <c r="G2816" s="1" t="str">
        <f ca="1">IFERROR(__xludf.DUMMYFUNCTION("""COMPUTED_VALUE""")," /  /  / ")</f>
        <v xml:space="preserve"> /  /  / </v>
      </c>
      <c r="H2816" s="1" t="str">
        <f ca="1">IFERROR(__xludf.DUMMYFUNCTION("""COMPUTED_VALUE"""),"  /  /  / ")</f>
        <v xml:space="preserve">  /  /  / </v>
      </c>
    </row>
    <row r="2817" spans="1:8" ht="12.75" x14ac:dyDescent="0.2">
      <c r="A2817" s="1"/>
      <c r="B2817" s="1"/>
      <c r="C2817" s="1"/>
      <c r="D2817" s="1"/>
      <c r="E2817" s="1"/>
      <c r="F2817" s="1" t="str">
        <f ca="1">IFERROR(__xludf.DUMMYFUNCTION("""COMPUTED_VALUE""")," - ")</f>
        <v xml:space="preserve"> - </v>
      </c>
      <c r="G2817" s="1" t="str">
        <f ca="1">IFERROR(__xludf.DUMMYFUNCTION("""COMPUTED_VALUE""")," /  /  / ")</f>
        <v xml:space="preserve"> /  /  / </v>
      </c>
      <c r="H2817" s="1" t="str">
        <f ca="1">IFERROR(__xludf.DUMMYFUNCTION("""COMPUTED_VALUE"""),"  /  /  / ")</f>
        <v xml:space="preserve">  /  /  / </v>
      </c>
    </row>
    <row r="2818" spans="1:8" ht="12.75" x14ac:dyDescent="0.2">
      <c r="A2818" s="1"/>
      <c r="B2818" s="1"/>
      <c r="C2818" s="1"/>
      <c r="D2818" s="1"/>
      <c r="E2818" s="1"/>
      <c r="F2818" s="1" t="str">
        <f ca="1">IFERROR(__xludf.DUMMYFUNCTION("""COMPUTED_VALUE""")," - ")</f>
        <v xml:space="preserve"> - </v>
      </c>
      <c r="G2818" s="1" t="str">
        <f ca="1">IFERROR(__xludf.DUMMYFUNCTION("""COMPUTED_VALUE""")," /  /  / ")</f>
        <v xml:space="preserve"> /  /  / </v>
      </c>
      <c r="H2818" s="1" t="str">
        <f ca="1">IFERROR(__xludf.DUMMYFUNCTION("""COMPUTED_VALUE"""),"  /  /  / ")</f>
        <v xml:space="preserve">  /  /  / </v>
      </c>
    </row>
    <row r="2819" spans="1:8" ht="12.75" x14ac:dyDescent="0.2">
      <c r="A2819" s="1"/>
      <c r="B2819" s="1"/>
      <c r="C2819" s="1"/>
      <c r="D2819" s="1"/>
      <c r="E2819" s="1"/>
      <c r="F2819" s="1" t="str">
        <f ca="1">IFERROR(__xludf.DUMMYFUNCTION("""COMPUTED_VALUE""")," - ")</f>
        <v xml:space="preserve"> - </v>
      </c>
      <c r="G2819" s="1" t="str">
        <f ca="1">IFERROR(__xludf.DUMMYFUNCTION("""COMPUTED_VALUE""")," /  /  / ")</f>
        <v xml:space="preserve"> /  /  / </v>
      </c>
      <c r="H2819" s="1" t="str">
        <f ca="1">IFERROR(__xludf.DUMMYFUNCTION("""COMPUTED_VALUE"""),"  /  /  / ")</f>
        <v xml:space="preserve">  /  /  / </v>
      </c>
    </row>
    <row r="2820" spans="1:8" ht="12.75" x14ac:dyDescent="0.2">
      <c r="A2820" s="1"/>
      <c r="B2820" s="1"/>
      <c r="C2820" s="1"/>
      <c r="D2820" s="1"/>
      <c r="E2820" s="1"/>
      <c r="F2820" s="1" t="str">
        <f ca="1">IFERROR(__xludf.DUMMYFUNCTION("""COMPUTED_VALUE""")," - ")</f>
        <v xml:space="preserve"> - </v>
      </c>
      <c r="G2820" s="1" t="str">
        <f ca="1">IFERROR(__xludf.DUMMYFUNCTION("""COMPUTED_VALUE""")," /  /  / ")</f>
        <v xml:space="preserve"> /  /  / </v>
      </c>
      <c r="H2820" s="1" t="str">
        <f ca="1">IFERROR(__xludf.DUMMYFUNCTION("""COMPUTED_VALUE"""),"  /  /  / ")</f>
        <v xml:space="preserve">  /  /  / </v>
      </c>
    </row>
    <row r="2821" spans="1:8" ht="12.75" x14ac:dyDescent="0.2">
      <c r="A2821" s="1"/>
      <c r="B2821" s="1"/>
      <c r="C2821" s="1"/>
      <c r="D2821" s="1"/>
      <c r="E2821" s="1"/>
      <c r="F2821" s="1" t="str">
        <f ca="1">IFERROR(__xludf.DUMMYFUNCTION("""COMPUTED_VALUE""")," - ")</f>
        <v xml:space="preserve"> - </v>
      </c>
      <c r="G2821" s="1" t="str">
        <f ca="1">IFERROR(__xludf.DUMMYFUNCTION("""COMPUTED_VALUE""")," /  /  / ")</f>
        <v xml:space="preserve"> /  /  / </v>
      </c>
      <c r="H2821" s="1" t="str">
        <f ca="1">IFERROR(__xludf.DUMMYFUNCTION("""COMPUTED_VALUE"""),"  /  /  / ")</f>
        <v xml:space="preserve">  /  /  / </v>
      </c>
    </row>
    <row r="2822" spans="1:8" ht="12.75" x14ac:dyDescent="0.2">
      <c r="A2822" s="1"/>
      <c r="B2822" s="1"/>
      <c r="C2822" s="1"/>
      <c r="D2822" s="1"/>
      <c r="E2822" s="1"/>
      <c r="F2822" s="1" t="str">
        <f ca="1">IFERROR(__xludf.DUMMYFUNCTION("""COMPUTED_VALUE""")," - ")</f>
        <v xml:space="preserve"> - </v>
      </c>
      <c r="G2822" s="1" t="str">
        <f ca="1">IFERROR(__xludf.DUMMYFUNCTION("""COMPUTED_VALUE""")," /  /  / ")</f>
        <v xml:space="preserve"> /  /  / </v>
      </c>
      <c r="H2822" s="1" t="str">
        <f ca="1">IFERROR(__xludf.DUMMYFUNCTION("""COMPUTED_VALUE"""),"  /  /  / ")</f>
        <v xml:space="preserve">  /  /  / </v>
      </c>
    </row>
    <row r="2823" spans="1:8" ht="12.75" x14ac:dyDescent="0.2">
      <c r="A2823" s="1"/>
      <c r="B2823" s="1"/>
      <c r="C2823" s="1"/>
      <c r="D2823" s="1"/>
      <c r="E2823" s="1"/>
      <c r="F2823" s="1" t="str">
        <f ca="1">IFERROR(__xludf.DUMMYFUNCTION("""COMPUTED_VALUE""")," - ")</f>
        <v xml:space="preserve"> - </v>
      </c>
      <c r="G2823" s="1" t="str">
        <f ca="1">IFERROR(__xludf.DUMMYFUNCTION("""COMPUTED_VALUE""")," /  /  / ")</f>
        <v xml:space="preserve"> /  /  / </v>
      </c>
      <c r="H2823" s="1" t="str">
        <f ca="1">IFERROR(__xludf.DUMMYFUNCTION("""COMPUTED_VALUE"""),"  /  /  / ")</f>
        <v xml:space="preserve">  /  /  / </v>
      </c>
    </row>
    <row r="2824" spans="1:8" ht="12.75" x14ac:dyDescent="0.2">
      <c r="A2824" s="1"/>
      <c r="B2824" s="1"/>
      <c r="C2824" s="1"/>
      <c r="D2824" s="1"/>
      <c r="E2824" s="1"/>
      <c r="F2824" s="1" t="str">
        <f ca="1">IFERROR(__xludf.DUMMYFUNCTION("""COMPUTED_VALUE""")," - ")</f>
        <v xml:space="preserve"> - </v>
      </c>
      <c r="G2824" s="1" t="str">
        <f ca="1">IFERROR(__xludf.DUMMYFUNCTION("""COMPUTED_VALUE""")," /  /  / ")</f>
        <v xml:space="preserve"> /  /  / </v>
      </c>
      <c r="H2824" s="1" t="str">
        <f ca="1">IFERROR(__xludf.DUMMYFUNCTION("""COMPUTED_VALUE"""),"  /  /  / ")</f>
        <v xml:space="preserve">  /  /  / </v>
      </c>
    </row>
    <row r="2825" spans="1:8" ht="12.75" x14ac:dyDescent="0.2">
      <c r="A2825" s="1"/>
      <c r="B2825" s="1"/>
      <c r="C2825" s="1"/>
      <c r="D2825" s="1"/>
      <c r="E2825" s="1"/>
      <c r="F2825" s="1" t="str">
        <f ca="1">IFERROR(__xludf.DUMMYFUNCTION("""COMPUTED_VALUE""")," - ")</f>
        <v xml:space="preserve"> - </v>
      </c>
      <c r="G2825" s="1" t="str">
        <f ca="1">IFERROR(__xludf.DUMMYFUNCTION("""COMPUTED_VALUE""")," /  /  / ")</f>
        <v xml:space="preserve"> /  /  / </v>
      </c>
      <c r="H2825" s="1" t="str">
        <f ca="1">IFERROR(__xludf.DUMMYFUNCTION("""COMPUTED_VALUE"""),"  /  /  / ")</f>
        <v xml:space="preserve">  /  /  / </v>
      </c>
    </row>
    <row r="2826" spans="1:8" ht="12.75" x14ac:dyDescent="0.2">
      <c r="A2826" s="1"/>
      <c r="B2826" s="1"/>
      <c r="C2826" s="1"/>
      <c r="D2826" s="1"/>
      <c r="E2826" s="1"/>
      <c r="F2826" s="1" t="str">
        <f ca="1">IFERROR(__xludf.DUMMYFUNCTION("""COMPUTED_VALUE""")," - ")</f>
        <v xml:space="preserve"> - </v>
      </c>
      <c r="G2826" s="1" t="str">
        <f ca="1">IFERROR(__xludf.DUMMYFUNCTION("""COMPUTED_VALUE""")," /  /  / ")</f>
        <v xml:space="preserve"> /  /  / </v>
      </c>
      <c r="H2826" s="1" t="str">
        <f ca="1">IFERROR(__xludf.DUMMYFUNCTION("""COMPUTED_VALUE"""),"  /  /  / ")</f>
        <v xml:space="preserve">  /  /  / </v>
      </c>
    </row>
    <row r="2827" spans="1:8" ht="12.75" x14ac:dyDescent="0.2">
      <c r="A2827" s="1"/>
      <c r="B2827" s="1"/>
      <c r="C2827" s="1"/>
      <c r="D2827" s="1"/>
      <c r="E2827" s="1"/>
      <c r="F2827" s="1" t="str">
        <f ca="1">IFERROR(__xludf.DUMMYFUNCTION("""COMPUTED_VALUE""")," - ")</f>
        <v xml:space="preserve"> - </v>
      </c>
      <c r="G2827" s="1" t="str">
        <f ca="1">IFERROR(__xludf.DUMMYFUNCTION("""COMPUTED_VALUE""")," /  /  / ")</f>
        <v xml:space="preserve"> /  /  / </v>
      </c>
      <c r="H2827" s="1" t="str">
        <f ca="1">IFERROR(__xludf.DUMMYFUNCTION("""COMPUTED_VALUE"""),"  /  /  / ")</f>
        <v xml:space="preserve">  /  /  / </v>
      </c>
    </row>
    <row r="2828" spans="1:8" ht="12.75" x14ac:dyDescent="0.2">
      <c r="A2828" s="1"/>
      <c r="B2828" s="1"/>
      <c r="C2828" s="1"/>
      <c r="D2828" s="1"/>
      <c r="E2828" s="1"/>
      <c r="F2828" s="1" t="str">
        <f ca="1">IFERROR(__xludf.DUMMYFUNCTION("""COMPUTED_VALUE""")," - ")</f>
        <v xml:space="preserve"> - </v>
      </c>
      <c r="G2828" s="1" t="str">
        <f ca="1">IFERROR(__xludf.DUMMYFUNCTION("""COMPUTED_VALUE""")," /  /  / ")</f>
        <v xml:space="preserve"> /  /  / </v>
      </c>
      <c r="H2828" s="1" t="str">
        <f ca="1">IFERROR(__xludf.DUMMYFUNCTION("""COMPUTED_VALUE"""),"  /  /  / ")</f>
        <v xml:space="preserve">  /  /  / </v>
      </c>
    </row>
    <row r="2829" spans="1:8" ht="12.75" x14ac:dyDescent="0.2">
      <c r="A2829" s="1"/>
      <c r="B2829" s="1"/>
      <c r="C2829" s="1"/>
      <c r="D2829" s="1"/>
      <c r="E2829" s="1"/>
      <c r="F2829" s="1" t="str">
        <f ca="1">IFERROR(__xludf.DUMMYFUNCTION("""COMPUTED_VALUE""")," - ")</f>
        <v xml:space="preserve"> - </v>
      </c>
      <c r="G2829" s="1" t="str">
        <f ca="1">IFERROR(__xludf.DUMMYFUNCTION("""COMPUTED_VALUE""")," /  /  / ")</f>
        <v xml:space="preserve"> /  /  / </v>
      </c>
      <c r="H2829" s="1" t="str">
        <f ca="1">IFERROR(__xludf.DUMMYFUNCTION("""COMPUTED_VALUE"""),"  /  /  / ")</f>
        <v xml:space="preserve">  /  /  / </v>
      </c>
    </row>
    <row r="2830" spans="1:8" ht="12.75" x14ac:dyDescent="0.2">
      <c r="A2830" s="1"/>
      <c r="B2830" s="1"/>
      <c r="C2830" s="1"/>
      <c r="D2830" s="1"/>
      <c r="E2830" s="1"/>
      <c r="F2830" s="1" t="str">
        <f ca="1">IFERROR(__xludf.DUMMYFUNCTION("""COMPUTED_VALUE""")," - ")</f>
        <v xml:space="preserve"> - </v>
      </c>
      <c r="G2830" s="1" t="str">
        <f ca="1">IFERROR(__xludf.DUMMYFUNCTION("""COMPUTED_VALUE""")," /  /  / ")</f>
        <v xml:space="preserve"> /  /  / </v>
      </c>
      <c r="H2830" s="1" t="str">
        <f ca="1">IFERROR(__xludf.DUMMYFUNCTION("""COMPUTED_VALUE"""),"  /  /  / ")</f>
        <v xml:space="preserve">  /  /  / </v>
      </c>
    </row>
    <row r="2831" spans="1:8" ht="12.75" x14ac:dyDescent="0.2">
      <c r="A2831" s="1"/>
      <c r="B2831" s="1"/>
      <c r="C2831" s="1"/>
      <c r="D2831" s="1"/>
      <c r="E2831" s="1"/>
      <c r="F2831" s="1" t="str">
        <f ca="1">IFERROR(__xludf.DUMMYFUNCTION("""COMPUTED_VALUE""")," - ")</f>
        <v xml:space="preserve"> - </v>
      </c>
      <c r="G2831" s="1" t="str">
        <f ca="1">IFERROR(__xludf.DUMMYFUNCTION("""COMPUTED_VALUE""")," /  /  / ")</f>
        <v xml:space="preserve"> /  /  / </v>
      </c>
      <c r="H2831" s="1" t="str">
        <f ca="1">IFERROR(__xludf.DUMMYFUNCTION("""COMPUTED_VALUE"""),"  /  /  / ")</f>
        <v xml:space="preserve">  /  /  / </v>
      </c>
    </row>
    <row r="2832" spans="1:8" ht="12.75" x14ac:dyDescent="0.2">
      <c r="A2832" s="1"/>
      <c r="B2832" s="1"/>
      <c r="C2832" s="1"/>
      <c r="D2832" s="1"/>
      <c r="E2832" s="1"/>
      <c r="F2832" s="1" t="str">
        <f ca="1">IFERROR(__xludf.DUMMYFUNCTION("""COMPUTED_VALUE""")," - ")</f>
        <v xml:space="preserve"> - </v>
      </c>
      <c r="G2832" s="1" t="str">
        <f ca="1">IFERROR(__xludf.DUMMYFUNCTION("""COMPUTED_VALUE""")," /  /  / ")</f>
        <v xml:space="preserve"> /  /  / </v>
      </c>
      <c r="H2832" s="1" t="str">
        <f ca="1">IFERROR(__xludf.DUMMYFUNCTION("""COMPUTED_VALUE"""),"  /  /  / ")</f>
        <v xml:space="preserve">  /  /  / </v>
      </c>
    </row>
    <row r="2833" spans="1:8" ht="12.75" x14ac:dyDescent="0.2">
      <c r="A2833" s="1"/>
      <c r="B2833" s="1"/>
      <c r="C2833" s="1"/>
      <c r="D2833" s="1"/>
      <c r="E2833" s="1"/>
      <c r="F2833" s="1" t="str">
        <f ca="1">IFERROR(__xludf.DUMMYFUNCTION("""COMPUTED_VALUE""")," - ")</f>
        <v xml:space="preserve"> - </v>
      </c>
      <c r="G2833" s="1" t="str">
        <f ca="1">IFERROR(__xludf.DUMMYFUNCTION("""COMPUTED_VALUE""")," /  /  / ")</f>
        <v xml:space="preserve"> /  /  / </v>
      </c>
      <c r="H2833" s="1" t="str">
        <f ca="1">IFERROR(__xludf.DUMMYFUNCTION("""COMPUTED_VALUE"""),"  /  /  / ")</f>
        <v xml:space="preserve">  /  /  / </v>
      </c>
    </row>
    <row r="2834" spans="1:8" ht="12.75" x14ac:dyDescent="0.2">
      <c r="A2834" s="1"/>
      <c r="B2834" s="1"/>
      <c r="C2834" s="1"/>
      <c r="D2834" s="1"/>
      <c r="E2834" s="1"/>
      <c r="F2834" s="1" t="str">
        <f ca="1">IFERROR(__xludf.DUMMYFUNCTION("""COMPUTED_VALUE""")," - ")</f>
        <v xml:space="preserve"> - </v>
      </c>
      <c r="G2834" s="1" t="str">
        <f ca="1">IFERROR(__xludf.DUMMYFUNCTION("""COMPUTED_VALUE""")," /  /  / ")</f>
        <v xml:space="preserve"> /  /  / </v>
      </c>
      <c r="H2834" s="1" t="str">
        <f ca="1">IFERROR(__xludf.DUMMYFUNCTION("""COMPUTED_VALUE"""),"  /  /  / ")</f>
        <v xml:space="preserve">  /  /  / </v>
      </c>
    </row>
    <row r="2835" spans="1:8" ht="12.75" x14ac:dyDescent="0.2">
      <c r="A2835" s="1"/>
      <c r="B2835" s="1"/>
      <c r="C2835" s="1"/>
      <c r="D2835" s="1"/>
      <c r="E2835" s="1"/>
      <c r="F2835" s="1" t="str">
        <f ca="1">IFERROR(__xludf.DUMMYFUNCTION("""COMPUTED_VALUE""")," - ")</f>
        <v xml:space="preserve"> - </v>
      </c>
      <c r="G2835" s="1" t="str">
        <f ca="1">IFERROR(__xludf.DUMMYFUNCTION("""COMPUTED_VALUE""")," /  /  / ")</f>
        <v xml:space="preserve"> /  /  / </v>
      </c>
      <c r="H2835" s="1" t="str">
        <f ca="1">IFERROR(__xludf.DUMMYFUNCTION("""COMPUTED_VALUE"""),"  /  /  / ")</f>
        <v xml:space="preserve">  /  /  / </v>
      </c>
    </row>
    <row r="2836" spans="1:8" ht="12.75" x14ac:dyDescent="0.2">
      <c r="A2836" s="1"/>
      <c r="B2836" s="1"/>
      <c r="C2836" s="1"/>
      <c r="D2836" s="1"/>
      <c r="E2836" s="1"/>
      <c r="F2836" s="1" t="str">
        <f ca="1">IFERROR(__xludf.DUMMYFUNCTION("""COMPUTED_VALUE""")," - ")</f>
        <v xml:space="preserve"> - </v>
      </c>
      <c r="G2836" s="1" t="str">
        <f ca="1">IFERROR(__xludf.DUMMYFUNCTION("""COMPUTED_VALUE""")," /  /  / ")</f>
        <v xml:space="preserve"> /  /  / </v>
      </c>
      <c r="H2836" s="1" t="str">
        <f ca="1">IFERROR(__xludf.DUMMYFUNCTION("""COMPUTED_VALUE"""),"  /  /  / ")</f>
        <v xml:space="preserve">  /  /  / </v>
      </c>
    </row>
    <row r="2837" spans="1:8" ht="12.75" x14ac:dyDescent="0.2">
      <c r="A2837" s="1"/>
      <c r="B2837" s="1"/>
      <c r="C2837" s="1"/>
      <c r="D2837" s="1"/>
      <c r="E2837" s="1"/>
      <c r="F2837" s="1" t="str">
        <f ca="1">IFERROR(__xludf.DUMMYFUNCTION("""COMPUTED_VALUE""")," - ")</f>
        <v xml:space="preserve"> - </v>
      </c>
      <c r="G2837" s="1" t="str">
        <f ca="1">IFERROR(__xludf.DUMMYFUNCTION("""COMPUTED_VALUE""")," /  /  / ")</f>
        <v xml:space="preserve"> /  /  / </v>
      </c>
      <c r="H2837" s="1" t="str">
        <f ca="1">IFERROR(__xludf.DUMMYFUNCTION("""COMPUTED_VALUE"""),"  /  /  / ")</f>
        <v xml:space="preserve">  /  /  / </v>
      </c>
    </row>
    <row r="2838" spans="1:8" ht="12.75" x14ac:dyDescent="0.2">
      <c r="A2838" s="1"/>
      <c r="B2838" s="1"/>
      <c r="C2838" s="1"/>
      <c r="D2838" s="1"/>
      <c r="E2838" s="1"/>
      <c r="F2838" s="1" t="str">
        <f ca="1">IFERROR(__xludf.DUMMYFUNCTION("""COMPUTED_VALUE""")," - ")</f>
        <v xml:space="preserve"> - </v>
      </c>
      <c r="G2838" s="1" t="str">
        <f ca="1">IFERROR(__xludf.DUMMYFUNCTION("""COMPUTED_VALUE""")," /  /  / ")</f>
        <v xml:space="preserve"> /  /  / </v>
      </c>
      <c r="H2838" s="1" t="str">
        <f ca="1">IFERROR(__xludf.DUMMYFUNCTION("""COMPUTED_VALUE"""),"  /  /  / ")</f>
        <v xml:space="preserve">  /  /  / </v>
      </c>
    </row>
    <row r="2839" spans="1:8" ht="12.75" x14ac:dyDescent="0.2">
      <c r="A2839" s="1"/>
      <c r="B2839" s="1"/>
      <c r="C2839" s="1"/>
      <c r="D2839" s="1"/>
      <c r="E2839" s="1"/>
      <c r="F2839" s="1" t="str">
        <f ca="1">IFERROR(__xludf.DUMMYFUNCTION("""COMPUTED_VALUE""")," - ")</f>
        <v xml:space="preserve"> - </v>
      </c>
      <c r="G2839" s="1" t="str">
        <f ca="1">IFERROR(__xludf.DUMMYFUNCTION("""COMPUTED_VALUE""")," /  /  / ")</f>
        <v xml:space="preserve"> /  /  / </v>
      </c>
      <c r="H2839" s="1" t="str">
        <f ca="1">IFERROR(__xludf.DUMMYFUNCTION("""COMPUTED_VALUE"""),"  /  /  / ")</f>
        <v xml:space="preserve">  /  /  / </v>
      </c>
    </row>
    <row r="2840" spans="1:8" ht="12.75" x14ac:dyDescent="0.2">
      <c r="A2840" s="1"/>
      <c r="B2840" s="1"/>
      <c r="C2840" s="1"/>
      <c r="D2840" s="1"/>
      <c r="E2840" s="1"/>
      <c r="F2840" s="1" t="str">
        <f ca="1">IFERROR(__xludf.DUMMYFUNCTION("""COMPUTED_VALUE""")," - ")</f>
        <v xml:space="preserve"> - </v>
      </c>
      <c r="G2840" s="1" t="str">
        <f ca="1">IFERROR(__xludf.DUMMYFUNCTION("""COMPUTED_VALUE""")," /  /  / ")</f>
        <v xml:space="preserve"> /  /  / </v>
      </c>
      <c r="H2840" s="1" t="str">
        <f ca="1">IFERROR(__xludf.DUMMYFUNCTION("""COMPUTED_VALUE"""),"  /  /  / ")</f>
        <v xml:space="preserve">  /  /  / </v>
      </c>
    </row>
    <row r="2841" spans="1:8" ht="12.75" x14ac:dyDescent="0.2">
      <c r="A2841" s="1"/>
      <c r="B2841" s="1"/>
      <c r="C2841" s="1"/>
      <c r="D2841" s="1"/>
      <c r="E2841" s="1"/>
      <c r="F2841" s="1" t="str">
        <f ca="1">IFERROR(__xludf.DUMMYFUNCTION("""COMPUTED_VALUE""")," - ")</f>
        <v xml:space="preserve"> - </v>
      </c>
      <c r="G2841" s="1" t="str">
        <f ca="1">IFERROR(__xludf.DUMMYFUNCTION("""COMPUTED_VALUE""")," /  /  / ")</f>
        <v xml:space="preserve"> /  /  / </v>
      </c>
      <c r="H2841" s="1" t="str">
        <f ca="1">IFERROR(__xludf.DUMMYFUNCTION("""COMPUTED_VALUE"""),"  /  /  / ")</f>
        <v xml:space="preserve">  /  /  / </v>
      </c>
    </row>
    <row r="2842" spans="1:8" ht="12.75" x14ac:dyDescent="0.2">
      <c r="A2842" s="1"/>
      <c r="B2842" s="1"/>
      <c r="C2842" s="1"/>
      <c r="D2842" s="1"/>
      <c r="E2842" s="1"/>
      <c r="F2842" s="1" t="str">
        <f ca="1">IFERROR(__xludf.DUMMYFUNCTION("""COMPUTED_VALUE""")," - ")</f>
        <v xml:space="preserve"> - </v>
      </c>
      <c r="G2842" s="1" t="str">
        <f ca="1">IFERROR(__xludf.DUMMYFUNCTION("""COMPUTED_VALUE""")," /  /  / ")</f>
        <v xml:space="preserve"> /  /  / </v>
      </c>
      <c r="H2842" s="1" t="str">
        <f ca="1">IFERROR(__xludf.DUMMYFUNCTION("""COMPUTED_VALUE"""),"  /  /  / ")</f>
        <v xml:space="preserve">  /  /  / </v>
      </c>
    </row>
    <row r="2843" spans="1:8" ht="12.75" x14ac:dyDescent="0.2">
      <c r="A2843" s="1"/>
      <c r="B2843" s="1"/>
      <c r="C2843" s="1"/>
      <c r="D2843" s="1"/>
      <c r="E2843" s="1"/>
      <c r="F2843" s="1" t="str">
        <f ca="1">IFERROR(__xludf.DUMMYFUNCTION("""COMPUTED_VALUE""")," - ")</f>
        <v xml:space="preserve"> - </v>
      </c>
      <c r="G2843" s="1" t="str">
        <f ca="1">IFERROR(__xludf.DUMMYFUNCTION("""COMPUTED_VALUE""")," /  /  / ")</f>
        <v xml:space="preserve"> /  /  / </v>
      </c>
      <c r="H2843" s="1" t="str">
        <f ca="1">IFERROR(__xludf.DUMMYFUNCTION("""COMPUTED_VALUE"""),"  /  /  / ")</f>
        <v xml:space="preserve">  /  /  / </v>
      </c>
    </row>
    <row r="2844" spans="1:8" ht="12.75" x14ac:dyDescent="0.2">
      <c r="A2844" s="1"/>
      <c r="B2844" s="1"/>
      <c r="C2844" s="1"/>
      <c r="D2844" s="1"/>
      <c r="E2844" s="1"/>
      <c r="F2844" s="1" t="str">
        <f ca="1">IFERROR(__xludf.DUMMYFUNCTION("""COMPUTED_VALUE""")," - ")</f>
        <v xml:space="preserve"> - </v>
      </c>
      <c r="G2844" s="1" t="str">
        <f ca="1">IFERROR(__xludf.DUMMYFUNCTION("""COMPUTED_VALUE""")," /  /  / ")</f>
        <v xml:space="preserve"> /  /  / </v>
      </c>
      <c r="H2844" s="1" t="str">
        <f ca="1">IFERROR(__xludf.DUMMYFUNCTION("""COMPUTED_VALUE"""),"  /  /  / ")</f>
        <v xml:space="preserve">  /  /  / </v>
      </c>
    </row>
    <row r="2845" spans="1:8" ht="12.75" x14ac:dyDescent="0.2">
      <c r="A2845" s="1"/>
      <c r="B2845" s="1"/>
      <c r="C2845" s="1"/>
      <c r="D2845" s="1"/>
      <c r="E2845" s="1"/>
      <c r="F2845" s="1" t="str">
        <f ca="1">IFERROR(__xludf.DUMMYFUNCTION("""COMPUTED_VALUE""")," - ")</f>
        <v xml:space="preserve"> - </v>
      </c>
      <c r="G2845" s="1" t="str">
        <f ca="1">IFERROR(__xludf.DUMMYFUNCTION("""COMPUTED_VALUE""")," /  /  / ")</f>
        <v xml:space="preserve"> /  /  / </v>
      </c>
      <c r="H2845" s="1" t="str">
        <f ca="1">IFERROR(__xludf.DUMMYFUNCTION("""COMPUTED_VALUE"""),"  /  /  / ")</f>
        <v xml:space="preserve">  /  /  / </v>
      </c>
    </row>
    <row r="2846" spans="1:8" ht="12.75" x14ac:dyDescent="0.2">
      <c r="A2846" s="1"/>
      <c r="B2846" s="1"/>
      <c r="C2846" s="1"/>
      <c r="D2846" s="1"/>
      <c r="E2846" s="1"/>
      <c r="F2846" s="1" t="str">
        <f ca="1">IFERROR(__xludf.DUMMYFUNCTION("""COMPUTED_VALUE""")," - ")</f>
        <v xml:space="preserve"> - </v>
      </c>
      <c r="G2846" s="1" t="str">
        <f ca="1">IFERROR(__xludf.DUMMYFUNCTION("""COMPUTED_VALUE""")," /  /  / ")</f>
        <v xml:space="preserve"> /  /  / </v>
      </c>
      <c r="H2846" s="1" t="str">
        <f ca="1">IFERROR(__xludf.DUMMYFUNCTION("""COMPUTED_VALUE"""),"  /  /  / ")</f>
        <v xml:space="preserve">  /  /  / </v>
      </c>
    </row>
    <row r="2847" spans="1:8" ht="12.75" x14ac:dyDescent="0.2">
      <c r="A2847" s="1"/>
      <c r="B2847" s="1"/>
      <c r="C2847" s="1"/>
      <c r="D2847" s="1"/>
      <c r="E2847" s="1"/>
      <c r="F2847" s="1" t="str">
        <f ca="1">IFERROR(__xludf.DUMMYFUNCTION("""COMPUTED_VALUE""")," - ")</f>
        <v xml:space="preserve"> - </v>
      </c>
      <c r="G2847" s="1" t="str">
        <f ca="1">IFERROR(__xludf.DUMMYFUNCTION("""COMPUTED_VALUE""")," /  /  / ")</f>
        <v xml:space="preserve"> /  /  / </v>
      </c>
      <c r="H2847" s="1" t="str">
        <f ca="1">IFERROR(__xludf.DUMMYFUNCTION("""COMPUTED_VALUE"""),"  /  /  / ")</f>
        <v xml:space="preserve">  /  /  / </v>
      </c>
    </row>
    <row r="2848" spans="1:8" ht="12.75" x14ac:dyDescent="0.2">
      <c r="A2848" s="1"/>
      <c r="B2848" s="1"/>
      <c r="C2848" s="1"/>
      <c r="D2848" s="1"/>
      <c r="E2848" s="1"/>
      <c r="F2848" s="1" t="str">
        <f ca="1">IFERROR(__xludf.DUMMYFUNCTION("""COMPUTED_VALUE""")," - ")</f>
        <v xml:space="preserve"> - </v>
      </c>
      <c r="G2848" s="1" t="str">
        <f ca="1">IFERROR(__xludf.DUMMYFUNCTION("""COMPUTED_VALUE""")," /  /  / ")</f>
        <v xml:space="preserve"> /  /  / </v>
      </c>
      <c r="H2848" s="1" t="str">
        <f ca="1">IFERROR(__xludf.DUMMYFUNCTION("""COMPUTED_VALUE"""),"  /  /  / ")</f>
        <v xml:space="preserve">  /  /  / </v>
      </c>
    </row>
    <row r="2849" spans="1:8" ht="12.75" x14ac:dyDescent="0.2">
      <c r="A2849" s="1"/>
      <c r="B2849" s="1"/>
      <c r="C2849" s="1"/>
      <c r="D2849" s="1"/>
      <c r="E2849" s="1"/>
      <c r="F2849" s="1" t="str">
        <f ca="1">IFERROR(__xludf.DUMMYFUNCTION("""COMPUTED_VALUE""")," - ")</f>
        <v xml:space="preserve"> - </v>
      </c>
      <c r="G2849" s="1" t="str">
        <f ca="1">IFERROR(__xludf.DUMMYFUNCTION("""COMPUTED_VALUE""")," /  /  / ")</f>
        <v xml:space="preserve"> /  /  / </v>
      </c>
      <c r="H2849" s="1" t="str">
        <f ca="1">IFERROR(__xludf.DUMMYFUNCTION("""COMPUTED_VALUE"""),"  /  /  / ")</f>
        <v xml:space="preserve">  /  /  / </v>
      </c>
    </row>
    <row r="2850" spans="1:8" ht="12.75" x14ac:dyDescent="0.2">
      <c r="A2850" s="1"/>
      <c r="B2850" s="1"/>
      <c r="C2850" s="1"/>
      <c r="D2850" s="1"/>
      <c r="E2850" s="1"/>
      <c r="F2850" s="1" t="str">
        <f ca="1">IFERROR(__xludf.DUMMYFUNCTION("""COMPUTED_VALUE""")," - ")</f>
        <v xml:space="preserve"> - </v>
      </c>
      <c r="G2850" s="1" t="str">
        <f ca="1">IFERROR(__xludf.DUMMYFUNCTION("""COMPUTED_VALUE""")," /  /  / ")</f>
        <v xml:space="preserve"> /  /  / </v>
      </c>
      <c r="H2850" s="1" t="str">
        <f ca="1">IFERROR(__xludf.DUMMYFUNCTION("""COMPUTED_VALUE"""),"  /  /  / ")</f>
        <v xml:space="preserve">  /  /  / </v>
      </c>
    </row>
    <row r="2851" spans="1:8" ht="12.75" x14ac:dyDescent="0.2">
      <c r="A2851" s="1"/>
      <c r="B2851" s="1"/>
      <c r="C2851" s="1"/>
      <c r="D2851" s="1"/>
      <c r="E2851" s="1"/>
      <c r="F2851" s="1" t="str">
        <f ca="1">IFERROR(__xludf.DUMMYFUNCTION("""COMPUTED_VALUE""")," - ")</f>
        <v xml:space="preserve"> - </v>
      </c>
      <c r="G2851" s="1" t="str">
        <f ca="1">IFERROR(__xludf.DUMMYFUNCTION("""COMPUTED_VALUE""")," /  /  / ")</f>
        <v xml:space="preserve"> /  /  / </v>
      </c>
      <c r="H2851" s="1" t="str">
        <f ca="1">IFERROR(__xludf.DUMMYFUNCTION("""COMPUTED_VALUE"""),"  /  /  / ")</f>
        <v xml:space="preserve">  /  /  / </v>
      </c>
    </row>
    <row r="2852" spans="1:8" ht="12.75" x14ac:dyDescent="0.2">
      <c r="A2852" s="1"/>
      <c r="B2852" s="1"/>
      <c r="C2852" s="1"/>
      <c r="D2852" s="1"/>
      <c r="E2852" s="1"/>
      <c r="F2852" s="1" t="str">
        <f ca="1">IFERROR(__xludf.DUMMYFUNCTION("""COMPUTED_VALUE""")," - ")</f>
        <v xml:space="preserve"> - </v>
      </c>
      <c r="G2852" s="1" t="str">
        <f ca="1">IFERROR(__xludf.DUMMYFUNCTION("""COMPUTED_VALUE""")," /  /  / ")</f>
        <v xml:space="preserve"> /  /  / </v>
      </c>
      <c r="H2852" s="1" t="str">
        <f ca="1">IFERROR(__xludf.DUMMYFUNCTION("""COMPUTED_VALUE"""),"  /  /  / ")</f>
        <v xml:space="preserve">  /  /  / </v>
      </c>
    </row>
    <row r="2853" spans="1:8" ht="12.75" x14ac:dyDescent="0.2">
      <c r="A2853" s="1"/>
      <c r="B2853" s="1"/>
      <c r="C2853" s="1"/>
      <c r="D2853" s="1"/>
      <c r="E2853" s="1"/>
      <c r="F2853" s="1" t="str">
        <f ca="1">IFERROR(__xludf.DUMMYFUNCTION("""COMPUTED_VALUE""")," - ")</f>
        <v xml:space="preserve"> - </v>
      </c>
      <c r="G2853" s="1" t="str">
        <f ca="1">IFERROR(__xludf.DUMMYFUNCTION("""COMPUTED_VALUE""")," /  /  / ")</f>
        <v xml:space="preserve"> /  /  / </v>
      </c>
      <c r="H2853" s="1" t="str">
        <f ca="1">IFERROR(__xludf.DUMMYFUNCTION("""COMPUTED_VALUE"""),"  /  /  / ")</f>
        <v xml:space="preserve">  /  /  / </v>
      </c>
    </row>
    <row r="2854" spans="1:8" ht="12.75" x14ac:dyDescent="0.2">
      <c r="A2854" s="1"/>
      <c r="B2854" s="1"/>
      <c r="C2854" s="1"/>
      <c r="D2854" s="1"/>
      <c r="E2854" s="1"/>
      <c r="F2854" s="1" t="str">
        <f ca="1">IFERROR(__xludf.DUMMYFUNCTION("""COMPUTED_VALUE""")," - ")</f>
        <v xml:space="preserve"> - </v>
      </c>
      <c r="G2854" s="1" t="str">
        <f ca="1">IFERROR(__xludf.DUMMYFUNCTION("""COMPUTED_VALUE""")," /  /  / ")</f>
        <v xml:space="preserve"> /  /  / </v>
      </c>
      <c r="H2854" s="1" t="str">
        <f ca="1">IFERROR(__xludf.DUMMYFUNCTION("""COMPUTED_VALUE"""),"  /  /  / ")</f>
        <v xml:space="preserve">  /  /  / </v>
      </c>
    </row>
    <row r="2855" spans="1:8" ht="12.75" x14ac:dyDescent="0.2">
      <c r="A2855" s="1"/>
      <c r="B2855" s="1"/>
      <c r="C2855" s="1"/>
      <c r="D2855" s="1"/>
      <c r="E2855" s="1"/>
      <c r="F2855" s="1" t="str">
        <f ca="1">IFERROR(__xludf.DUMMYFUNCTION("""COMPUTED_VALUE""")," - ")</f>
        <v xml:space="preserve"> - </v>
      </c>
      <c r="G2855" s="1" t="str">
        <f ca="1">IFERROR(__xludf.DUMMYFUNCTION("""COMPUTED_VALUE""")," /  /  / ")</f>
        <v xml:space="preserve"> /  /  / </v>
      </c>
      <c r="H2855" s="1" t="str">
        <f ca="1">IFERROR(__xludf.DUMMYFUNCTION("""COMPUTED_VALUE"""),"  /  /  / ")</f>
        <v xml:space="preserve">  /  /  / </v>
      </c>
    </row>
    <row r="2856" spans="1:8" ht="12.75" x14ac:dyDescent="0.2">
      <c r="A2856" s="1"/>
      <c r="B2856" s="1"/>
      <c r="C2856" s="1"/>
      <c r="D2856" s="1"/>
      <c r="E2856" s="1"/>
      <c r="F2856" s="1" t="str">
        <f ca="1">IFERROR(__xludf.DUMMYFUNCTION("""COMPUTED_VALUE""")," - ")</f>
        <v xml:space="preserve"> - </v>
      </c>
      <c r="G2856" s="1" t="str">
        <f ca="1">IFERROR(__xludf.DUMMYFUNCTION("""COMPUTED_VALUE""")," /  /  / ")</f>
        <v xml:space="preserve"> /  /  / </v>
      </c>
      <c r="H2856" s="1" t="str">
        <f ca="1">IFERROR(__xludf.DUMMYFUNCTION("""COMPUTED_VALUE"""),"  /  /  / ")</f>
        <v xml:space="preserve">  /  /  / </v>
      </c>
    </row>
    <row r="2857" spans="1:8" ht="12.75" x14ac:dyDescent="0.2">
      <c r="A2857" s="1"/>
      <c r="B2857" s="1"/>
      <c r="C2857" s="1"/>
      <c r="D2857" s="1"/>
      <c r="E2857" s="1"/>
      <c r="F2857" s="1" t="str">
        <f ca="1">IFERROR(__xludf.DUMMYFUNCTION("""COMPUTED_VALUE""")," - ")</f>
        <v xml:space="preserve"> - </v>
      </c>
      <c r="G2857" s="1" t="str">
        <f ca="1">IFERROR(__xludf.DUMMYFUNCTION("""COMPUTED_VALUE""")," /  /  / ")</f>
        <v xml:space="preserve"> /  /  / </v>
      </c>
      <c r="H2857" s="1" t="str">
        <f ca="1">IFERROR(__xludf.DUMMYFUNCTION("""COMPUTED_VALUE"""),"  /  /  / ")</f>
        <v xml:space="preserve">  /  /  / </v>
      </c>
    </row>
    <row r="2858" spans="1:8" ht="12.75" x14ac:dyDescent="0.2">
      <c r="A2858" s="1"/>
      <c r="B2858" s="1"/>
      <c r="C2858" s="1"/>
      <c r="D2858" s="1"/>
      <c r="E2858" s="1"/>
      <c r="F2858" s="1" t="str">
        <f ca="1">IFERROR(__xludf.DUMMYFUNCTION("""COMPUTED_VALUE""")," - ")</f>
        <v xml:space="preserve"> - </v>
      </c>
      <c r="G2858" s="1" t="str">
        <f ca="1">IFERROR(__xludf.DUMMYFUNCTION("""COMPUTED_VALUE""")," /  /  / ")</f>
        <v xml:space="preserve"> /  /  / </v>
      </c>
      <c r="H2858" s="1" t="str">
        <f ca="1">IFERROR(__xludf.DUMMYFUNCTION("""COMPUTED_VALUE"""),"  /  /  / ")</f>
        <v xml:space="preserve">  /  /  / </v>
      </c>
    </row>
    <row r="2859" spans="1:8" ht="12.75" x14ac:dyDescent="0.2">
      <c r="A2859" s="1"/>
      <c r="B2859" s="1"/>
      <c r="C2859" s="1"/>
      <c r="D2859" s="1"/>
      <c r="E2859" s="1"/>
      <c r="F2859" s="1" t="str">
        <f ca="1">IFERROR(__xludf.DUMMYFUNCTION("""COMPUTED_VALUE""")," - ")</f>
        <v xml:space="preserve"> - </v>
      </c>
      <c r="G2859" s="1" t="str">
        <f ca="1">IFERROR(__xludf.DUMMYFUNCTION("""COMPUTED_VALUE""")," /  /  / ")</f>
        <v xml:space="preserve"> /  /  / </v>
      </c>
      <c r="H2859" s="1" t="str">
        <f ca="1">IFERROR(__xludf.DUMMYFUNCTION("""COMPUTED_VALUE"""),"  /  /  / ")</f>
        <v xml:space="preserve">  /  /  / </v>
      </c>
    </row>
    <row r="2860" spans="1:8" ht="12.75" x14ac:dyDescent="0.2">
      <c r="A2860" s="1"/>
      <c r="B2860" s="1"/>
      <c r="C2860" s="1"/>
      <c r="D2860" s="1"/>
      <c r="E2860" s="1"/>
      <c r="F2860" s="1" t="str">
        <f ca="1">IFERROR(__xludf.DUMMYFUNCTION("""COMPUTED_VALUE""")," - ")</f>
        <v xml:space="preserve"> - </v>
      </c>
      <c r="G2860" s="1" t="str">
        <f ca="1">IFERROR(__xludf.DUMMYFUNCTION("""COMPUTED_VALUE""")," /  /  / ")</f>
        <v xml:space="preserve"> /  /  / </v>
      </c>
      <c r="H2860" s="1" t="str">
        <f ca="1">IFERROR(__xludf.DUMMYFUNCTION("""COMPUTED_VALUE"""),"  /  /  / ")</f>
        <v xml:space="preserve">  /  /  / </v>
      </c>
    </row>
    <row r="2861" spans="1:8" ht="12.75" x14ac:dyDescent="0.2">
      <c r="A2861" s="1"/>
      <c r="B2861" s="1"/>
      <c r="C2861" s="1"/>
      <c r="D2861" s="1"/>
      <c r="E2861" s="1"/>
      <c r="F2861" s="1" t="str">
        <f ca="1">IFERROR(__xludf.DUMMYFUNCTION("""COMPUTED_VALUE""")," - ")</f>
        <v xml:space="preserve"> - </v>
      </c>
      <c r="G2861" s="1" t="str">
        <f ca="1">IFERROR(__xludf.DUMMYFUNCTION("""COMPUTED_VALUE""")," /  /  / ")</f>
        <v xml:space="preserve"> /  /  / </v>
      </c>
      <c r="H2861" s="1" t="str">
        <f ca="1">IFERROR(__xludf.DUMMYFUNCTION("""COMPUTED_VALUE"""),"  /  /  / ")</f>
        <v xml:space="preserve">  /  /  / </v>
      </c>
    </row>
    <row r="2862" spans="1:8" ht="12.75" x14ac:dyDescent="0.2">
      <c r="A2862" s="1"/>
      <c r="B2862" s="1"/>
      <c r="C2862" s="1"/>
      <c r="D2862" s="1"/>
      <c r="E2862" s="1"/>
      <c r="F2862" s="1" t="str">
        <f ca="1">IFERROR(__xludf.DUMMYFUNCTION("""COMPUTED_VALUE""")," - ")</f>
        <v xml:space="preserve"> - </v>
      </c>
      <c r="G2862" s="1" t="str">
        <f ca="1">IFERROR(__xludf.DUMMYFUNCTION("""COMPUTED_VALUE""")," /  /  / ")</f>
        <v xml:space="preserve"> /  /  / </v>
      </c>
      <c r="H2862" s="1" t="str">
        <f ca="1">IFERROR(__xludf.DUMMYFUNCTION("""COMPUTED_VALUE"""),"  /  /  / ")</f>
        <v xml:space="preserve">  /  /  / </v>
      </c>
    </row>
    <row r="2863" spans="1:8" ht="12.75" x14ac:dyDescent="0.2">
      <c r="A2863" s="1"/>
      <c r="B2863" s="1"/>
      <c r="C2863" s="1"/>
      <c r="D2863" s="1"/>
      <c r="E2863" s="1"/>
      <c r="F2863" s="1" t="str">
        <f ca="1">IFERROR(__xludf.DUMMYFUNCTION("""COMPUTED_VALUE""")," - ")</f>
        <v xml:space="preserve"> - </v>
      </c>
      <c r="G2863" s="1" t="str">
        <f ca="1">IFERROR(__xludf.DUMMYFUNCTION("""COMPUTED_VALUE""")," /  /  / ")</f>
        <v xml:space="preserve"> /  /  / </v>
      </c>
      <c r="H2863" s="1" t="str">
        <f ca="1">IFERROR(__xludf.DUMMYFUNCTION("""COMPUTED_VALUE"""),"  /  /  / ")</f>
        <v xml:space="preserve">  /  /  / </v>
      </c>
    </row>
    <row r="2864" spans="1:8" ht="12.75" x14ac:dyDescent="0.2">
      <c r="A2864" s="1"/>
      <c r="B2864" s="1"/>
      <c r="C2864" s="1"/>
      <c r="D2864" s="1"/>
      <c r="E2864" s="1"/>
      <c r="F2864" s="1" t="str">
        <f ca="1">IFERROR(__xludf.DUMMYFUNCTION("""COMPUTED_VALUE""")," - ")</f>
        <v xml:space="preserve"> - </v>
      </c>
      <c r="G2864" s="1" t="str">
        <f ca="1">IFERROR(__xludf.DUMMYFUNCTION("""COMPUTED_VALUE""")," /  /  / ")</f>
        <v xml:space="preserve"> /  /  / </v>
      </c>
      <c r="H2864" s="1" t="str">
        <f ca="1">IFERROR(__xludf.DUMMYFUNCTION("""COMPUTED_VALUE"""),"  /  /  / ")</f>
        <v xml:space="preserve">  /  /  / </v>
      </c>
    </row>
    <row r="2865" spans="1:8" ht="12.75" x14ac:dyDescent="0.2">
      <c r="A2865" s="1"/>
      <c r="B2865" s="1"/>
      <c r="C2865" s="1"/>
      <c r="D2865" s="1"/>
      <c r="E2865" s="1"/>
      <c r="F2865" s="1" t="str">
        <f ca="1">IFERROR(__xludf.DUMMYFUNCTION("""COMPUTED_VALUE""")," - ")</f>
        <v xml:space="preserve"> - </v>
      </c>
      <c r="G2865" s="1" t="str">
        <f ca="1">IFERROR(__xludf.DUMMYFUNCTION("""COMPUTED_VALUE""")," /  /  / ")</f>
        <v xml:space="preserve"> /  /  / </v>
      </c>
      <c r="H2865" s="1" t="str">
        <f ca="1">IFERROR(__xludf.DUMMYFUNCTION("""COMPUTED_VALUE"""),"  /  /  / ")</f>
        <v xml:space="preserve">  /  /  / </v>
      </c>
    </row>
    <row r="2866" spans="1:8" ht="12.75" x14ac:dyDescent="0.2">
      <c r="A2866" s="1"/>
      <c r="B2866" s="1"/>
      <c r="C2866" s="1"/>
      <c r="D2866" s="1"/>
      <c r="E2866" s="1"/>
      <c r="F2866" s="1" t="str">
        <f ca="1">IFERROR(__xludf.DUMMYFUNCTION("""COMPUTED_VALUE""")," - ")</f>
        <v xml:space="preserve"> - </v>
      </c>
      <c r="G2866" s="1" t="str">
        <f ca="1">IFERROR(__xludf.DUMMYFUNCTION("""COMPUTED_VALUE""")," /  /  / ")</f>
        <v xml:space="preserve"> /  /  / </v>
      </c>
      <c r="H2866" s="1" t="str">
        <f ca="1">IFERROR(__xludf.DUMMYFUNCTION("""COMPUTED_VALUE"""),"  /  /  / ")</f>
        <v xml:space="preserve">  /  /  / </v>
      </c>
    </row>
    <row r="2867" spans="1:8" ht="12.75" x14ac:dyDescent="0.2">
      <c r="A2867" s="1"/>
      <c r="B2867" s="1"/>
      <c r="C2867" s="1"/>
      <c r="D2867" s="1"/>
      <c r="E2867" s="1"/>
      <c r="F2867" s="1" t="str">
        <f ca="1">IFERROR(__xludf.DUMMYFUNCTION("""COMPUTED_VALUE""")," - ")</f>
        <v xml:space="preserve"> - </v>
      </c>
      <c r="G2867" s="1" t="str">
        <f ca="1">IFERROR(__xludf.DUMMYFUNCTION("""COMPUTED_VALUE""")," /  /  / ")</f>
        <v xml:space="preserve"> /  /  / </v>
      </c>
      <c r="H2867" s="1" t="str">
        <f ca="1">IFERROR(__xludf.DUMMYFUNCTION("""COMPUTED_VALUE"""),"  /  /  / ")</f>
        <v xml:space="preserve">  /  /  / </v>
      </c>
    </row>
    <row r="2868" spans="1:8" ht="12.75" x14ac:dyDescent="0.2">
      <c r="A2868" s="1"/>
      <c r="B2868" s="1"/>
      <c r="C2868" s="1"/>
      <c r="D2868" s="1"/>
      <c r="E2868" s="1"/>
      <c r="F2868" s="1" t="str">
        <f ca="1">IFERROR(__xludf.DUMMYFUNCTION("""COMPUTED_VALUE""")," - ")</f>
        <v xml:space="preserve"> - </v>
      </c>
      <c r="G2868" s="1" t="str">
        <f ca="1">IFERROR(__xludf.DUMMYFUNCTION("""COMPUTED_VALUE""")," /  /  / ")</f>
        <v xml:space="preserve"> /  /  / </v>
      </c>
      <c r="H2868" s="1" t="str">
        <f ca="1">IFERROR(__xludf.DUMMYFUNCTION("""COMPUTED_VALUE"""),"  /  /  / ")</f>
        <v xml:space="preserve">  /  /  / </v>
      </c>
    </row>
    <row r="2869" spans="1:8" ht="12.75" x14ac:dyDescent="0.2">
      <c r="A2869" s="1"/>
      <c r="B2869" s="1"/>
      <c r="C2869" s="1"/>
      <c r="D2869" s="1"/>
      <c r="E2869" s="1"/>
      <c r="F2869" s="1" t="str">
        <f ca="1">IFERROR(__xludf.DUMMYFUNCTION("""COMPUTED_VALUE""")," - ")</f>
        <v xml:space="preserve"> - </v>
      </c>
      <c r="G2869" s="1" t="str">
        <f ca="1">IFERROR(__xludf.DUMMYFUNCTION("""COMPUTED_VALUE""")," /  /  / ")</f>
        <v xml:space="preserve"> /  /  / </v>
      </c>
      <c r="H2869" s="1" t="str">
        <f ca="1">IFERROR(__xludf.DUMMYFUNCTION("""COMPUTED_VALUE"""),"  /  /  / ")</f>
        <v xml:space="preserve">  /  /  / </v>
      </c>
    </row>
    <row r="2870" spans="1:8" ht="12.75" x14ac:dyDescent="0.2">
      <c r="A2870" s="1"/>
      <c r="B2870" s="1"/>
      <c r="C2870" s="1"/>
      <c r="D2870" s="1"/>
      <c r="E2870" s="1"/>
      <c r="F2870" s="1" t="str">
        <f ca="1">IFERROR(__xludf.DUMMYFUNCTION("""COMPUTED_VALUE""")," - ")</f>
        <v xml:space="preserve"> - </v>
      </c>
      <c r="G2870" s="1" t="str">
        <f ca="1">IFERROR(__xludf.DUMMYFUNCTION("""COMPUTED_VALUE""")," /  /  / ")</f>
        <v xml:space="preserve"> /  /  / </v>
      </c>
      <c r="H2870" s="1" t="str">
        <f ca="1">IFERROR(__xludf.DUMMYFUNCTION("""COMPUTED_VALUE"""),"  /  /  / ")</f>
        <v xml:space="preserve">  /  /  / </v>
      </c>
    </row>
    <row r="2871" spans="1:8" ht="12.75" x14ac:dyDescent="0.2">
      <c r="A2871" s="1"/>
      <c r="B2871" s="1"/>
      <c r="C2871" s="1"/>
      <c r="D2871" s="1"/>
      <c r="E2871" s="1"/>
      <c r="F2871" s="1" t="str">
        <f ca="1">IFERROR(__xludf.DUMMYFUNCTION("""COMPUTED_VALUE""")," - ")</f>
        <v xml:space="preserve"> - </v>
      </c>
      <c r="G2871" s="1" t="str">
        <f ca="1">IFERROR(__xludf.DUMMYFUNCTION("""COMPUTED_VALUE""")," /  /  / ")</f>
        <v xml:space="preserve"> /  /  / </v>
      </c>
      <c r="H2871" s="1" t="str">
        <f ca="1">IFERROR(__xludf.DUMMYFUNCTION("""COMPUTED_VALUE"""),"  /  /  / ")</f>
        <v xml:space="preserve">  /  /  / </v>
      </c>
    </row>
    <row r="2872" spans="1:8" ht="12.75" x14ac:dyDescent="0.2">
      <c r="A2872" s="1"/>
      <c r="B2872" s="1"/>
      <c r="C2872" s="1"/>
      <c r="D2872" s="1"/>
      <c r="E2872" s="1"/>
      <c r="F2872" s="1" t="str">
        <f ca="1">IFERROR(__xludf.DUMMYFUNCTION("""COMPUTED_VALUE""")," - ")</f>
        <v xml:space="preserve"> - </v>
      </c>
      <c r="G2872" s="1" t="str">
        <f ca="1">IFERROR(__xludf.DUMMYFUNCTION("""COMPUTED_VALUE""")," /  /  / ")</f>
        <v xml:space="preserve"> /  /  / </v>
      </c>
      <c r="H2872" s="1" t="str">
        <f ca="1">IFERROR(__xludf.DUMMYFUNCTION("""COMPUTED_VALUE"""),"  /  /  / ")</f>
        <v xml:space="preserve">  /  /  / </v>
      </c>
    </row>
    <row r="2873" spans="1:8" ht="12.75" x14ac:dyDescent="0.2">
      <c r="A2873" s="1"/>
      <c r="B2873" s="1"/>
      <c r="C2873" s="1"/>
      <c r="D2873" s="1"/>
      <c r="E2873" s="1"/>
      <c r="F2873" s="1" t="str">
        <f ca="1">IFERROR(__xludf.DUMMYFUNCTION("""COMPUTED_VALUE""")," - ")</f>
        <v xml:space="preserve"> - </v>
      </c>
      <c r="G2873" s="1" t="str">
        <f ca="1">IFERROR(__xludf.DUMMYFUNCTION("""COMPUTED_VALUE""")," /  /  / ")</f>
        <v xml:space="preserve"> /  /  / </v>
      </c>
      <c r="H2873" s="1" t="str">
        <f ca="1">IFERROR(__xludf.DUMMYFUNCTION("""COMPUTED_VALUE"""),"  /  /  / ")</f>
        <v xml:space="preserve">  /  /  / </v>
      </c>
    </row>
    <row r="2874" spans="1:8" ht="12.75" x14ac:dyDescent="0.2">
      <c r="A2874" s="1"/>
      <c r="B2874" s="1"/>
      <c r="C2874" s="1"/>
      <c r="D2874" s="1"/>
      <c r="E2874" s="1"/>
      <c r="F2874" s="1" t="str">
        <f ca="1">IFERROR(__xludf.DUMMYFUNCTION("""COMPUTED_VALUE""")," - ")</f>
        <v xml:space="preserve"> - </v>
      </c>
      <c r="G2874" s="1" t="str">
        <f ca="1">IFERROR(__xludf.DUMMYFUNCTION("""COMPUTED_VALUE""")," /  /  / ")</f>
        <v xml:space="preserve"> /  /  / </v>
      </c>
      <c r="H2874" s="1" t="str">
        <f ca="1">IFERROR(__xludf.DUMMYFUNCTION("""COMPUTED_VALUE"""),"  /  /  / ")</f>
        <v xml:space="preserve">  /  /  / </v>
      </c>
    </row>
    <row r="2875" spans="1:8" ht="12.75" x14ac:dyDescent="0.2">
      <c r="A2875" s="1"/>
      <c r="B2875" s="1"/>
      <c r="C2875" s="1"/>
      <c r="D2875" s="1"/>
      <c r="E2875" s="1"/>
      <c r="F2875" s="1" t="str">
        <f ca="1">IFERROR(__xludf.DUMMYFUNCTION("""COMPUTED_VALUE""")," - ")</f>
        <v xml:space="preserve"> - </v>
      </c>
      <c r="G2875" s="1" t="str">
        <f ca="1">IFERROR(__xludf.DUMMYFUNCTION("""COMPUTED_VALUE""")," /  /  / ")</f>
        <v xml:space="preserve"> /  /  / </v>
      </c>
      <c r="H2875" s="1" t="str">
        <f ca="1">IFERROR(__xludf.DUMMYFUNCTION("""COMPUTED_VALUE"""),"  /  /  / ")</f>
        <v xml:space="preserve">  /  /  / </v>
      </c>
    </row>
    <row r="2876" spans="1:8" ht="12.75" x14ac:dyDescent="0.2">
      <c r="A2876" s="1"/>
      <c r="B2876" s="1"/>
      <c r="C2876" s="1"/>
      <c r="D2876" s="1"/>
      <c r="E2876" s="1"/>
      <c r="F2876" s="1" t="str">
        <f ca="1">IFERROR(__xludf.DUMMYFUNCTION("""COMPUTED_VALUE""")," - ")</f>
        <v xml:space="preserve"> - </v>
      </c>
      <c r="G2876" s="1" t="str">
        <f ca="1">IFERROR(__xludf.DUMMYFUNCTION("""COMPUTED_VALUE""")," /  /  / ")</f>
        <v xml:space="preserve"> /  /  / </v>
      </c>
      <c r="H2876" s="1" t="str">
        <f ca="1">IFERROR(__xludf.DUMMYFUNCTION("""COMPUTED_VALUE"""),"  /  /  / ")</f>
        <v xml:space="preserve">  /  /  / </v>
      </c>
    </row>
    <row r="2877" spans="1:8" ht="12.75" x14ac:dyDescent="0.2">
      <c r="A2877" s="1"/>
      <c r="B2877" s="1"/>
      <c r="C2877" s="1"/>
      <c r="D2877" s="1"/>
      <c r="E2877" s="1"/>
      <c r="F2877" s="1" t="str">
        <f ca="1">IFERROR(__xludf.DUMMYFUNCTION("""COMPUTED_VALUE""")," - ")</f>
        <v xml:space="preserve"> - </v>
      </c>
      <c r="G2877" s="1" t="str">
        <f ca="1">IFERROR(__xludf.DUMMYFUNCTION("""COMPUTED_VALUE""")," /  /  / ")</f>
        <v xml:space="preserve"> /  /  / </v>
      </c>
      <c r="H2877" s="1" t="str">
        <f ca="1">IFERROR(__xludf.DUMMYFUNCTION("""COMPUTED_VALUE"""),"  /  /  / ")</f>
        <v xml:space="preserve">  /  /  / </v>
      </c>
    </row>
    <row r="2878" spans="1:8" ht="12.75" x14ac:dyDescent="0.2">
      <c r="A2878" s="1"/>
      <c r="B2878" s="1"/>
      <c r="C2878" s="1"/>
      <c r="D2878" s="1"/>
      <c r="E2878" s="1"/>
      <c r="F2878" s="1" t="str">
        <f ca="1">IFERROR(__xludf.DUMMYFUNCTION("""COMPUTED_VALUE""")," - ")</f>
        <v xml:space="preserve"> - </v>
      </c>
      <c r="G2878" s="1" t="str">
        <f ca="1">IFERROR(__xludf.DUMMYFUNCTION("""COMPUTED_VALUE""")," /  /  / ")</f>
        <v xml:space="preserve"> /  /  / </v>
      </c>
      <c r="H2878" s="1" t="str">
        <f ca="1">IFERROR(__xludf.DUMMYFUNCTION("""COMPUTED_VALUE"""),"  /  /  / ")</f>
        <v xml:space="preserve">  /  /  / </v>
      </c>
    </row>
    <row r="2879" spans="1:8" ht="12.75" x14ac:dyDescent="0.2">
      <c r="A2879" s="1"/>
      <c r="B2879" s="1"/>
      <c r="C2879" s="1"/>
      <c r="D2879" s="1"/>
      <c r="E2879" s="1"/>
      <c r="F2879" s="1" t="str">
        <f ca="1">IFERROR(__xludf.DUMMYFUNCTION("""COMPUTED_VALUE""")," - ")</f>
        <v xml:space="preserve"> - </v>
      </c>
      <c r="G2879" s="1" t="str">
        <f ca="1">IFERROR(__xludf.DUMMYFUNCTION("""COMPUTED_VALUE""")," /  /  / ")</f>
        <v xml:space="preserve"> /  /  / </v>
      </c>
      <c r="H2879" s="1" t="str">
        <f ca="1">IFERROR(__xludf.DUMMYFUNCTION("""COMPUTED_VALUE"""),"  /  /  / ")</f>
        <v xml:space="preserve">  /  /  / </v>
      </c>
    </row>
    <row r="2880" spans="1:8" ht="12.75" x14ac:dyDescent="0.2">
      <c r="A2880" s="1"/>
      <c r="B2880" s="1"/>
      <c r="C2880" s="1"/>
      <c r="D2880" s="1"/>
      <c r="E2880" s="1"/>
      <c r="F2880" s="1" t="str">
        <f ca="1">IFERROR(__xludf.DUMMYFUNCTION("""COMPUTED_VALUE""")," - ")</f>
        <v xml:space="preserve"> - </v>
      </c>
      <c r="G2880" s="1" t="str">
        <f ca="1">IFERROR(__xludf.DUMMYFUNCTION("""COMPUTED_VALUE""")," /  /  / ")</f>
        <v xml:space="preserve"> /  /  / </v>
      </c>
      <c r="H2880" s="1" t="str">
        <f ca="1">IFERROR(__xludf.DUMMYFUNCTION("""COMPUTED_VALUE"""),"  /  /  / ")</f>
        <v xml:space="preserve">  /  /  / </v>
      </c>
    </row>
    <row r="2881" spans="1:8" ht="12.75" x14ac:dyDescent="0.2">
      <c r="A2881" s="1"/>
      <c r="B2881" s="1"/>
      <c r="C2881" s="1"/>
      <c r="D2881" s="1"/>
      <c r="E2881" s="1"/>
      <c r="F2881" s="1" t="str">
        <f ca="1">IFERROR(__xludf.DUMMYFUNCTION("""COMPUTED_VALUE""")," - ")</f>
        <v xml:space="preserve"> - </v>
      </c>
      <c r="G2881" s="1" t="str">
        <f ca="1">IFERROR(__xludf.DUMMYFUNCTION("""COMPUTED_VALUE""")," /  /  / ")</f>
        <v xml:space="preserve"> /  /  / </v>
      </c>
      <c r="H2881" s="1" t="str">
        <f ca="1">IFERROR(__xludf.DUMMYFUNCTION("""COMPUTED_VALUE"""),"  /  /  / ")</f>
        <v xml:space="preserve">  /  /  / </v>
      </c>
    </row>
    <row r="2882" spans="1:8" ht="12.75" x14ac:dyDescent="0.2">
      <c r="A2882" s="1"/>
      <c r="B2882" s="1"/>
      <c r="C2882" s="1"/>
      <c r="D2882" s="1"/>
      <c r="E2882" s="1"/>
      <c r="F2882" s="1" t="str">
        <f ca="1">IFERROR(__xludf.DUMMYFUNCTION("""COMPUTED_VALUE""")," - ")</f>
        <v xml:space="preserve"> - </v>
      </c>
      <c r="G2882" s="1" t="str">
        <f ca="1">IFERROR(__xludf.DUMMYFUNCTION("""COMPUTED_VALUE""")," /  /  / ")</f>
        <v xml:space="preserve"> /  /  / </v>
      </c>
      <c r="H2882" s="1" t="str">
        <f ca="1">IFERROR(__xludf.DUMMYFUNCTION("""COMPUTED_VALUE"""),"  /  /  / ")</f>
        <v xml:space="preserve">  /  /  / </v>
      </c>
    </row>
    <row r="2883" spans="1:8" ht="12.75" x14ac:dyDescent="0.2">
      <c r="A2883" s="1"/>
      <c r="B2883" s="1"/>
      <c r="C2883" s="1"/>
      <c r="D2883" s="1"/>
      <c r="E2883" s="1"/>
      <c r="F2883" s="1" t="str">
        <f ca="1">IFERROR(__xludf.DUMMYFUNCTION("""COMPUTED_VALUE""")," - ")</f>
        <v xml:space="preserve"> - </v>
      </c>
      <c r="G2883" s="1" t="str">
        <f ca="1">IFERROR(__xludf.DUMMYFUNCTION("""COMPUTED_VALUE""")," /  /  / ")</f>
        <v xml:space="preserve"> /  /  / </v>
      </c>
      <c r="H2883" s="1" t="str">
        <f ca="1">IFERROR(__xludf.DUMMYFUNCTION("""COMPUTED_VALUE"""),"  /  /  / ")</f>
        <v xml:space="preserve">  /  /  / </v>
      </c>
    </row>
    <row r="2884" spans="1:8" ht="12.75" x14ac:dyDescent="0.2">
      <c r="A2884" s="1"/>
      <c r="B2884" s="1"/>
      <c r="C2884" s="1"/>
      <c r="D2884" s="1"/>
      <c r="E2884" s="1"/>
      <c r="F2884" s="1" t="str">
        <f ca="1">IFERROR(__xludf.DUMMYFUNCTION("""COMPUTED_VALUE""")," - ")</f>
        <v xml:space="preserve"> - </v>
      </c>
      <c r="G2884" s="1" t="str">
        <f ca="1">IFERROR(__xludf.DUMMYFUNCTION("""COMPUTED_VALUE""")," /  /  / ")</f>
        <v xml:space="preserve"> /  /  / </v>
      </c>
      <c r="H2884" s="1" t="str">
        <f ca="1">IFERROR(__xludf.DUMMYFUNCTION("""COMPUTED_VALUE"""),"  /  /  / ")</f>
        <v xml:space="preserve">  /  /  / </v>
      </c>
    </row>
    <row r="2885" spans="1:8" ht="12.75" x14ac:dyDescent="0.2">
      <c r="A2885" s="1"/>
      <c r="B2885" s="1"/>
      <c r="C2885" s="1"/>
      <c r="D2885" s="1"/>
      <c r="E2885" s="1"/>
      <c r="F2885" s="1" t="str">
        <f ca="1">IFERROR(__xludf.DUMMYFUNCTION("""COMPUTED_VALUE""")," - ")</f>
        <v xml:space="preserve"> - </v>
      </c>
      <c r="G2885" s="1" t="str">
        <f ca="1">IFERROR(__xludf.DUMMYFUNCTION("""COMPUTED_VALUE""")," /  /  / ")</f>
        <v xml:space="preserve"> /  /  / </v>
      </c>
      <c r="H2885" s="1" t="str">
        <f ca="1">IFERROR(__xludf.DUMMYFUNCTION("""COMPUTED_VALUE"""),"  /  /  / ")</f>
        <v xml:space="preserve">  /  /  / </v>
      </c>
    </row>
    <row r="2886" spans="1:8" ht="12.75" x14ac:dyDescent="0.2">
      <c r="A2886" s="1"/>
      <c r="B2886" s="1"/>
      <c r="C2886" s="1"/>
      <c r="D2886" s="1"/>
      <c r="E2886" s="1"/>
      <c r="F2886" s="1" t="str">
        <f ca="1">IFERROR(__xludf.DUMMYFUNCTION("""COMPUTED_VALUE""")," - ")</f>
        <v xml:space="preserve"> - </v>
      </c>
      <c r="G2886" s="1" t="str">
        <f ca="1">IFERROR(__xludf.DUMMYFUNCTION("""COMPUTED_VALUE""")," /  /  / ")</f>
        <v xml:space="preserve"> /  /  / </v>
      </c>
      <c r="H2886" s="1" t="str">
        <f ca="1">IFERROR(__xludf.DUMMYFUNCTION("""COMPUTED_VALUE"""),"  /  /  / ")</f>
        <v xml:space="preserve">  /  /  / </v>
      </c>
    </row>
    <row r="2887" spans="1:8" ht="12.75" x14ac:dyDescent="0.2">
      <c r="A2887" s="1"/>
      <c r="B2887" s="1"/>
      <c r="C2887" s="1"/>
      <c r="D2887" s="1"/>
      <c r="E2887" s="1"/>
      <c r="F2887" s="1" t="str">
        <f ca="1">IFERROR(__xludf.DUMMYFUNCTION("""COMPUTED_VALUE""")," - ")</f>
        <v xml:space="preserve"> - </v>
      </c>
      <c r="G2887" s="1" t="str">
        <f ca="1">IFERROR(__xludf.DUMMYFUNCTION("""COMPUTED_VALUE""")," /  /  / ")</f>
        <v xml:space="preserve"> /  /  / </v>
      </c>
      <c r="H2887" s="1" t="str">
        <f ca="1">IFERROR(__xludf.DUMMYFUNCTION("""COMPUTED_VALUE"""),"  /  /  / ")</f>
        <v xml:space="preserve">  /  /  / </v>
      </c>
    </row>
    <row r="2888" spans="1:8" ht="12.75" x14ac:dyDescent="0.2">
      <c r="A2888" s="1"/>
      <c r="B2888" s="1"/>
      <c r="C2888" s="1"/>
      <c r="D2888" s="1"/>
      <c r="E2888" s="1"/>
      <c r="F2888" s="1" t="str">
        <f ca="1">IFERROR(__xludf.DUMMYFUNCTION("""COMPUTED_VALUE""")," - ")</f>
        <v xml:space="preserve"> - </v>
      </c>
      <c r="G2888" s="1" t="str">
        <f ca="1">IFERROR(__xludf.DUMMYFUNCTION("""COMPUTED_VALUE""")," /  /  / ")</f>
        <v xml:space="preserve"> /  /  / </v>
      </c>
      <c r="H2888" s="1" t="str">
        <f ca="1">IFERROR(__xludf.DUMMYFUNCTION("""COMPUTED_VALUE"""),"  /  /  / ")</f>
        <v xml:space="preserve">  /  /  / </v>
      </c>
    </row>
    <row r="2889" spans="1:8" ht="12.75" x14ac:dyDescent="0.2">
      <c r="A2889" s="1"/>
      <c r="B2889" s="1"/>
      <c r="C2889" s="1"/>
      <c r="D2889" s="1"/>
      <c r="E2889" s="1"/>
      <c r="F2889" s="1" t="str">
        <f ca="1">IFERROR(__xludf.DUMMYFUNCTION("""COMPUTED_VALUE""")," - ")</f>
        <v xml:space="preserve"> - </v>
      </c>
      <c r="G2889" s="1" t="str">
        <f ca="1">IFERROR(__xludf.DUMMYFUNCTION("""COMPUTED_VALUE""")," /  /  / ")</f>
        <v xml:space="preserve"> /  /  / </v>
      </c>
      <c r="H2889" s="1" t="str">
        <f ca="1">IFERROR(__xludf.DUMMYFUNCTION("""COMPUTED_VALUE"""),"  /  /  / ")</f>
        <v xml:space="preserve">  /  /  / </v>
      </c>
    </row>
    <row r="2890" spans="1:8" ht="12.75" x14ac:dyDescent="0.2">
      <c r="A2890" s="1"/>
      <c r="B2890" s="1"/>
      <c r="C2890" s="1"/>
      <c r="D2890" s="1"/>
      <c r="E2890" s="1"/>
      <c r="F2890" s="1" t="str">
        <f ca="1">IFERROR(__xludf.DUMMYFUNCTION("""COMPUTED_VALUE""")," - ")</f>
        <v xml:space="preserve"> - </v>
      </c>
      <c r="G2890" s="1" t="str">
        <f ca="1">IFERROR(__xludf.DUMMYFUNCTION("""COMPUTED_VALUE""")," /  /  / ")</f>
        <v xml:space="preserve"> /  /  / </v>
      </c>
      <c r="H2890" s="1" t="str">
        <f ca="1">IFERROR(__xludf.DUMMYFUNCTION("""COMPUTED_VALUE"""),"  /  /  / ")</f>
        <v xml:space="preserve">  /  /  / </v>
      </c>
    </row>
    <row r="2891" spans="1:8" ht="12.75" x14ac:dyDescent="0.2">
      <c r="A2891" s="1"/>
      <c r="B2891" s="1"/>
      <c r="C2891" s="1"/>
      <c r="D2891" s="1"/>
      <c r="E2891" s="1"/>
      <c r="F2891" s="1" t="str">
        <f ca="1">IFERROR(__xludf.DUMMYFUNCTION("""COMPUTED_VALUE""")," - ")</f>
        <v xml:space="preserve"> - </v>
      </c>
      <c r="G2891" s="1" t="str">
        <f ca="1">IFERROR(__xludf.DUMMYFUNCTION("""COMPUTED_VALUE""")," /  /  / ")</f>
        <v xml:space="preserve"> /  /  / </v>
      </c>
      <c r="H2891" s="1" t="str">
        <f ca="1">IFERROR(__xludf.DUMMYFUNCTION("""COMPUTED_VALUE"""),"  /  /  / ")</f>
        <v xml:space="preserve">  /  /  / </v>
      </c>
    </row>
    <row r="2892" spans="1:8" ht="12.75" x14ac:dyDescent="0.2">
      <c r="A2892" s="1"/>
      <c r="B2892" s="1"/>
      <c r="C2892" s="1"/>
      <c r="D2892" s="1"/>
      <c r="E2892" s="1"/>
      <c r="F2892" s="1" t="str">
        <f ca="1">IFERROR(__xludf.DUMMYFUNCTION("""COMPUTED_VALUE""")," - ")</f>
        <v xml:space="preserve"> - </v>
      </c>
      <c r="G2892" s="1" t="str">
        <f ca="1">IFERROR(__xludf.DUMMYFUNCTION("""COMPUTED_VALUE""")," /  /  / ")</f>
        <v xml:space="preserve"> /  /  / </v>
      </c>
      <c r="H2892" s="1" t="str">
        <f ca="1">IFERROR(__xludf.DUMMYFUNCTION("""COMPUTED_VALUE"""),"  /  /  / ")</f>
        <v xml:space="preserve">  /  /  / </v>
      </c>
    </row>
    <row r="2893" spans="1:8" ht="12.75" x14ac:dyDescent="0.2">
      <c r="A2893" s="1"/>
      <c r="B2893" s="1"/>
      <c r="C2893" s="1"/>
      <c r="D2893" s="1"/>
      <c r="E2893" s="1"/>
      <c r="F2893" s="1" t="str">
        <f ca="1">IFERROR(__xludf.DUMMYFUNCTION("""COMPUTED_VALUE""")," - ")</f>
        <v xml:space="preserve"> - </v>
      </c>
      <c r="G2893" s="1" t="str">
        <f ca="1">IFERROR(__xludf.DUMMYFUNCTION("""COMPUTED_VALUE""")," /  /  / ")</f>
        <v xml:space="preserve"> /  /  / </v>
      </c>
      <c r="H2893" s="1" t="str">
        <f ca="1">IFERROR(__xludf.DUMMYFUNCTION("""COMPUTED_VALUE"""),"  /  /  / ")</f>
        <v xml:space="preserve">  /  /  / </v>
      </c>
    </row>
    <row r="2894" spans="1:8" ht="12.75" x14ac:dyDescent="0.2">
      <c r="A2894" s="1"/>
      <c r="B2894" s="1"/>
      <c r="C2894" s="1"/>
      <c r="D2894" s="1"/>
      <c r="E2894" s="1"/>
      <c r="F2894" s="1" t="str">
        <f ca="1">IFERROR(__xludf.DUMMYFUNCTION("""COMPUTED_VALUE""")," - ")</f>
        <v xml:space="preserve"> - </v>
      </c>
      <c r="G2894" s="1" t="str">
        <f ca="1">IFERROR(__xludf.DUMMYFUNCTION("""COMPUTED_VALUE""")," /  /  / ")</f>
        <v xml:space="preserve"> /  /  / </v>
      </c>
      <c r="H2894" s="1" t="str">
        <f ca="1">IFERROR(__xludf.DUMMYFUNCTION("""COMPUTED_VALUE"""),"  /  /  / ")</f>
        <v xml:space="preserve">  /  /  / </v>
      </c>
    </row>
    <row r="2895" spans="1:8" ht="12.75" x14ac:dyDescent="0.2">
      <c r="A2895" s="1"/>
      <c r="B2895" s="1"/>
      <c r="C2895" s="1"/>
      <c r="D2895" s="1"/>
      <c r="E2895" s="1"/>
      <c r="F2895" s="1" t="str">
        <f ca="1">IFERROR(__xludf.DUMMYFUNCTION("""COMPUTED_VALUE""")," - ")</f>
        <v xml:space="preserve"> - </v>
      </c>
      <c r="G2895" s="1" t="str">
        <f ca="1">IFERROR(__xludf.DUMMYFUNCTION("""COMPUTED_VALUE""")," /  /  / ")</f>
        <v xml:space="preserve"> /  /  / </v>
      </c>
      <c r="H2895" s="1" t="str">
        <f ca="1">IFERROR(__xludf.DUMMYFUNCTION("""COMPUTED_VALUE"""),"  /  /  / ")</f>
        <v xml:space="preserve">  /  /  / </v>
      </c>
    </row>
    <row r="2896" spans="1:8" ht="12.75" x14ac:dyDescent="0.2">
      <c r="A2896" s="1"/>
      <c r="B2896" s="1"/>
      <c r="C2896" s="1"/>
      <c r="D2896" s="1"/>
      <c r="E2896" s="1"/>
      <c r="F2896" s="1" t="str">
        <f ca="1">IFERROR(__xludf.DUMMYFUNCTION("""COMPUTED_VALUE""")," - ")</f>
        <v xml:space="preserve"> - </v>
      </c>
      <c r="G2896" s="1" t="str">
        <f ca="1">IFERROR(__xludf.DUMMYFUNCTION("""COMPUTED_VALUE""")," /  /  / ")</f>
        <v xml:space="preserve"> /  /  / </v>
      </c>
      <c r="H2896" s="1" t="str">
        <f ca="1">IFERROR(__xludf.DUMMYFUNCTION("""COMPUTED_VALUE"""),"  /  /  / ")</f>
        <v xml:space="preserve">  /  /  / </v>
      </c>
    </row>
    <row r="2897" spans="1:8" ht="12.75" x14ac:dyDescent="0.2">
      <c r="A2897" s="1"/>
      <c r="B2897" s="1"/>
      <c r="C2897" s="1"/>
      <c r="D2897" s="1"/>
      <c r="E2897" s="1"/>
      <c r="F2897" s="1" t="str">
        <f ca="1">IFERROR(__xludf.DUMMYFUNCTION("""COMPUTED_VALUE""")," - ")</f>
        <v xml:space="preserve"> - </v>
      </c>
      <c r="G2897" s="1" t="str">
        <f ca="1">IFERROR(__xludf.DUMMYFUNCTION("""COMPUTED_VALUE""")," /  /  / ")</f>
        <v xml:space="preserve"> /  /  / </v>
      </c>
      <c r="H2897" s="1" t="str">
        <f ca="1">IFERROR(__xludf.DUMMYFUNCTION("""COMPUTED_VALUE"""),"  /  /  / ")</f>
        <v xml:space="preserve">  /  /  / </v>
      </c>
    </row>
    <row r="2898" spans="1:8" ht="12.75" x14ac:dyDescent="0.2">
      <c r="A2898" s="1"/>
      <c r="B2898" s="1"/>
      <c r="C2898" s="1"/>
      <c r="D2898" s="1"/>
      <c r="E2898" s="1"/>
      <c r="F2898" s="1" t="str">
        <f ca="1">IFERROR(__xludf.DUMMYFUNCTION("""COMPUTED_VALUE""")," - ")</f>
        <v xml:space="preserve"> - </v>
      </c>
      <c r="G2898" s="1" t="str">
        <f ca="1">IFERROR(__xludf.DUMMYFUNCTION("""COMPUTED_VALUE""")," /  /  / ")</f>
        <v xml:space="preserve"> /  /  / </v>
      </c>
      <c r="H2898" s="1" t="str">
        <f ca="1">IFERROR(__xludf.DUMMYFUNCTION("""COMPUTED_VALUE"""),"  /  /  / ")</f>
        <v xml:space="preserve">  /  /  / </v>
      </c>
    </row>
    <row r="2899" spans="1:8" ht="12.75" x14ac:dyDescent="0.2">
      <c r="A2899" s="1"/>
      <c r="B2899" s="1"/>
      <c r="C2899" s="1"/>
      <c r="D2899" s="1"/>
      <c r="E2899" s="1"/>
      <c r="F2899" s="1" t="str">
        <f ca="1">IFERROR(__xludf.DUMMYFUNCTION("""COMPUTED_VALUE""")," - ")</f>
        <v xml:space="preserve"> - </v>
      </c>
      <c r="G2899" s="1" t="str">
        <f ca="1">IFERROR(__xludf.DUMMYFUNCTION("""COMPUTED_VALUE""")," /  /  / ")</f>
        <v xml:space="preserve"> /  /  / </v>
      </c>
      <c r="H2899" s="1" t="str">
        <f ca="1">IFERROR(__xludf.DUMMYFUNCTION("""COMPUTED_VALUE"""),"  /  /  / ")</f>
        <v xml:space="preserve">  /  /  / </v>
      </c>
    </row>
    <row r="2900" spans="1:8" ht="12.75" x14ac:dyDescent="0.2">
      <c r="A2900" s="1"/>
      <c r="B2900" s="1"/>
      <c r="C2900" s="1"/>
      <c r="D2900" s="1"/>
      <c r="E2900" s="1"/>
      <c r="F2900" s="1" t="str">
        <f ca="1">IFERROR(__xludf.DUMMYFUNCTION("""COMPUTED_VALUE""")," - ")</f>
        <v xml:space="preserve"> - </v>
      </c>
      <c r="G2900" s="1" t="str">
        <f ca="1">IFERROR(__xludf.DUMMYFUNCTION("""COMPUTED_VALUE""")," /  /  / ")</f>
        <v xml:space="preserve"> /  /  / </v>
      </c>
      <c r="H2900" s="1" t="str">
        <f ca="1">IFERROR(__xludf.DUMMYFUNCTION("""COMPUTED_VALUE"""),"  /  /  / ")</f>
        <v xml:space="preserve">  /  /  / </v>
      </c>
    </row>
    <row r="2901" spans="1:8" ht="12.75" x14ac:dyDescent="0.2">
      <c r="A2901" s="1"/>
      <c r="B2901" s="1"/>
      <c r="C2901" s="1"/>
      <c r="D2901" s="1"/>
      <c r="E2901" s="1"/>
      <c r="F2901" s="1" t="str">
        <f ca="1">IFERROR(__xludf.DUMMYFUNCTION("""COMPUTED_VALUE""")," - ")</f>
        <v xml:space="preserve"> - </v>
      </c>
      <c r="G2901" s="1" t="str">
        <f ca="1">IFERROR(__xludf.DUMMYFUNCTION("""COMPUTED_VALUE""")," /  /  / ")</f>
        <v xml:space="preserve"> /  /  / </v>
      </c>
      <c r="H2901" s="1" t="str">
        <f ca="1">IFERROR(__xludf.DUMMYFUNCTION("""COMPUTED_VALUE"""),"  /  /  / ")</f>
        <v xml:space="preserve">  /  /  / </v>
      </c>
    </row>
    <row r="2902" spans="1:8" ht="12.75" x14ac:dyDescent="0.2">
      <c r="A2902" s="1"/>
      <c r="B2902" s="1"/>
      <c r="C2902" s="1"/>
      <c r="D2902" s="1"/>
      <c r="E2902" s="1"/>
      <c r="F2902" s="1" t="str">
        <f ca="1">IFERROR(__xludf.DUMMYFUNCTION("""COMPUTED_VALUE""")," - ")</f>
        <v xml:space="preserve"> - </v>
      </c>
      <c r="G2902" s="1" t="str">
        <f ca="1">IFERROR(__xludf.DUMMYFUNCTION("""COMPUTED_VALUE""")," /  /  / ")</f>
        <v xml:space="preserve"> /  /  / </v>
      </c>
      <c r="H2902" s="1" t="str">
        <f ca="1">IFERROR(__xludf.DUMMYFUNCTION("""COMPUTED_VALUE"""),"  /  /  / ")</f>
        <v xml:space="preserve">  /  /  / </v>
      </c>
    </row>
    <row r="2903" spans="1:8" ht="12.75" x14ac:dyDescent="0.2">
      <c r="A2903" s="1"/>
      <c r="B2903" s="1"/>
      <c r="C2903" s="1"/>
      <c r="D2903" s="1"/>
      <c r="E2903" s="1"/>
      <c r="F2903" s="1" t="str">
        <f ca="1">IFERROR(__xludf.DUMMYFUNCTION("""COMPUTED_VALUE""")," - ")</f>
        <v xml:space="preserve"> - </v>
      </c>
      <c r="G2903" s="1" t="str">
        <f ca="1">IFERROR(__xludf.DUMMYFUNCTION("""COMPUTED_VALUE""")," /  /  / ")</f>
        <v xml:space="preserve"> /  /  / </v>
      </c>
      <c r="H2903" s="1" t="str">
        <f ca="1">IFERROR(__xludf.DUMMYFUNCTION("""COMPUTED_VALUE"""),"  /  /  / ")</f>
        <v xml:space="preserve">  /  /  / </v>
      </c>
    </row>
    <row r="2904" spans="1:8" ht="12.75" x14ac:dyDescent="0.2">
      <c r="A2904" s="1"/>
      <c r="B2904" s="1"/>
      <c r="C2904" s="1"/>
      <c r="D2904" s="1"/>
      <c r="E2904" s="1"/>
      <c r="F2904" s="1" t="str">
        <f ca="1">IFERROR(__xludf.DUMMYFUNCTION("""COMPUTED_VALUE""")," - ")</f>
        <v xml:space="preserve"> - </v>
      </c>
      <c r="G2904" s="1" t="str">
        <f ca="1">IFERROR(__xludf.DUMMYFUNCTION("""COMPUTED_VALUE""")," /  /  / ")</f>
        <v xml:space="preserve"> /  /  / </v>
      </c>
      <c r="H2904" s="1" t="str">
        <f ca="1">IFERROR(__xludf.DUMMYFUNCTION("""COMPUTED_VALUE"""),"  /  /  / ")</f>
        <v xml:space="preserve">  /  /  / </v>
      </c>
    </row>
    <row r="2905" spans="1:8" ht="12.75" x14ac:dyDescent="0.2">
      <c r="A2905" s="1"/>
      <c r="B2905" s="1"/>
      <c r="C2905" s="1"/>
      <c r="D2905" s="1"/>
      <c r="E2905" s="1"/>
      <c r="F2905" s="1" t="str">
        <f ca="1">IFERROR(__xludf.DUMMYFUNCTION("""COMPUTED_VALUE""")," - ")</f>
        <v xml:space="preserve"> - </v>
      </c>
      <c r="G2905" s="1" t="str">
        <f ca="1">IFERROR(__xludf.DUMMYFUNCTION("""COMPUTED_VALUE""")," /  /  / ")</f>
        <v xml:space="preserve"> /  /  / </v>
      </c>
      <c r="H2905" s="1" t="str">
        <f ca="1">IFERROR(__xludf.DUMMYFUNCTION("""COMPUTED_VALUE"""),"  /  /  / ")</f>
        <v xml:space="preserve">  /  /  / </v>
      </c>
    </row>
    <row r="2906" spans="1:8" ht="12.75" x14ac:dyDescent="0.2">
      <c r="A2906" s="1"/>
      <c r="B2906" s="1"/>
      <c r="C2906" s="1"/>
      <c r="D2906" s="1"/>
      <c r="E2906" s="1"/>
      <c r="F2906" s="1" t="str">
        <f ca="1">IFERROR(__xludf.DUMMYFUNCTION("""COMPUTED_VALUE""")," - ")</f>
        <v xml:space="preserve"> - </v>
      </c>
      <c r="G2906" s="1" t="str">
        <f ca="1">IFERROR(__xludf.DUMMYFUNCTION("""COMPUTED_VALUE""")," /  /  / ")</f>
        <v xml:space="preserve"> /  /  / </v>
      </c>
      <c r="H2906" s="1" t="str">
        <f ca="1">IFERROR(__xludf.DUMMYFUNCTION("""COMPUTED_VALUE"""),"  /  /  / ")</f>
        <v xml:space="preserve">  /  /  / </v>
      </c>
    </row>
    <row r="2907" spans="1:8" ht="12.75" x14ac:dyDescent="0.2">
      <c r="A2907" s="1"/>
      <c r="B2907" s="1"/>
      <c r="C2907" s="1"/>
      <c r="D2907" s="1"/>
      <c r="E2907" s="1"/>
      <c r="F2907" s="1" t="str">
        <f ca="1">IFERROR(__xludf.DUMMYFUNCTION("""COMPUTED_VALUE""")," - ")</f>
        <v xml:space="preserve"> - </v>
      </c>
      <c r="G2907" s="1" t="str">
        <f ca="1">IFERROR(__xludf.DUMMYFUNCTION("""COMPUTED_VALUE""")," /  /  / ")</f>
        <v xml:space="preserve"> /  /  / </v>
      </c>
      <c r="H2907" s="1" t="str">
        <f ca="1">IFERROR(__xludf.DUMMYFUNCTION("""COMPUTED_VALUE"""),"  /  /  / ")</f>
        <v xml:space="preserve">  /  /  / </v>
      </c>
    </row>
    <row r="2908" spans="1:8" ht="12.75" x14ac:dyDescent="0.2">
      <c r="A2908" s="1"/>
      <c r="B2908" s="1"/>
      <c r="C2908" s="1"/>
      <c r="D2908" s="1"/>
      <c r="E2908" s="1"/>
      <c r="F2908" s="1" t="str">
        <f ca="1">IFERROR(__xludf.DUMMYFUNCTION("""COMPUTED_VALUE""")," - ")</f>
        <v xml:space="preserve"> - </v>
      </c>
      <c r="G2908" s="1" t="str">
        <f ca="1">IFERROR(__xludf.DUMMYFUNCTION("""COMPUTED_VALUE""")," /  /  / ")</f>
        <v xml:space="preserve"> /  /  / </v>
      </c>
      <c r="H2908" s="1" t="str">
        <f ca="1">IFERROR(__xludf.DUMMYFUNCTION("""COMPUTED_VALUE"""),"  /  /  / ")</f>
        <v xml:space="preserve">  /  /  / </v>
      </c>
    </row>
    <row r="2909" spans="1:8" ht="12.75" x14ac:dyDescent="0.2">
      <c r="A2909" s="1"/>
      <c r="B2909" s="1"/>
      <c r="C2909" s="1"/>
      <c r="D2909" s="1"/>
      <c r="E2909" s="1"/>
      <c r="F2909" s="1" t="str">
        <f ca="1">IFERROR(__xludf.DUMMYFUNCTION("""COMPUTED_VALUE""")," - ")</f>
        <v xml:space="preserve"> - </v>
      </c>
      <c r="G2909" s="1" t="str">
        <f ca="1">IFERROR(__xludf.DUMMYFUNCTION("""COMPUTED_VALUE""")," /  /  / ")</f>
        <v xml:space="preserve"> /  /  / </v>
      </c>
      <c r="H2909" s="1" t="str">
        <f ca="1">IFERROR(__xludf.DUMMYFUNCTION("""COMPUTED_VALUE"""),"  /  /  / ")</f>
        <v xml:space="preserve">  /  /  / </v>
      </c>
    </row>
    <row r="2910" spans="1:8" ht="12.75" x14ac:dyDescent="0.2">
      <c r="A2910" s="1"/>
      <c r="B2910" s="1"/>
      <c r="C2910" s="1"/>
      <c r="D2910" s="1"/>
      <c r="E2910" s="1"/>
      <c r="F2910" s="1" t="str">
        <f ca="1">IFERROR(__xludf.DUMMYFUNCTION("""COMPUTED_VALUE""")," - ")</f>
        <v xml:space="preserve"> - </v>
      </c>
      <c r="G2910" s="1" t="str">
        <f ca="1">IFERROR(__xludf.DUMMYFUNCTION("""COMPUTED_VALUE""")," /  /  / ")</f>
        <v xml:space="preserve"> /  /  / </v>
      </c>
      <c r="H2910" s="1" t="str">
        <f ca="1">IFERROR(__xludf.DUMMYFUNCTION("""COMPUTED_VALUE"""),"  /  /  / ")</f>
        <v xml:space="preserve">  /  /  / </v>
      </c>
    </row>
    <row r="2911" spans="1:8" ht="12.75" x14ac:dyDescent="0.2">
      <c r="A2911" s="1"/>
      <c r="B2911" s="1"/>
      <c r="C2911" s="1"/>
      <c r="D2911" s="1"/>
      <c r="E2911" s="1"/>
      <c r="F2911" s="1" t="str">
        <f ca="1">IFERROR(__xludf.DUMMYFUNCTION("""COMPUTED_VALUE""")," - ")</f>
        <v xml:space="preserve"> - </v>
      </c>
      <c r="G2911" s="1" t="str">
        <f ca="1">IFERROR(__xludf.DUMMYFUNCTION("""COMPUTED_VALUE""")," /  /  / ")</f>
        <v xml:space="preserve"> /  /  / </v>
      </c>
      <c r="H2911" s="1" t="str">
        <f ca="1">IFERROR(__xludf.DUMMYFUNCTION("""COMPUTED_VALUE"""),"  /  /  / ")</f>
        <v xml:space="preserve">  /  /  / </v>
      </c>
    </row>
    <row r="2912" spans="1:8" ht="12.75" x14ac:dyDescent="0.2">
      <c r="A2912" s="1"/>
      <c r="B2912" s="1"/>
      <c r="C2912" s="1"/>
      <c r="D2912" s="1"/>
      <c r="E2912" s="1"/>
      <c r="F2912" s="1" t="str">
        <f ca="1">IFERROR(__xludf.DUMMYFUNCTION("""COMPUTED_VALUE""")," - ")</f>
        <v xml:space="preserve"> - </v>
      </c>
      <c r="G2912" s="1" t="str">
        <f ca="1">IFERROR(__xludf.DUMMYFUNCTION("""COMPUTED_VALUE""")," /  /  / ")</f>
        <v xml:space="preserve"> /  /  / </v>
      </c>
      <c r="H2912" s="1" t="str">
        <f ca="1">IFERROR(__xludf.DUMMYFUNCTION("""COMPUTED_VALUE"""),"  /  /  / ")</f>
        <v xml:space="preserve">  /  /  / </v>
      </c>
    </row>
    <row r="2913" spans="1:8" ht="12.75" x14ac:dyDescent="0.2">
      <c r="A2913" s="1"/>
      <c r="B2913" s="1"/>
      <c r="C2913" s="1"/>
      <c r="D2913" s="1"/>
      <c r="E2913" s="1"/>
      <c r="F2913" s="1" t="str">
        <f ca="1">IFERROR(__xludf.DUMMYFUNCTION("""COMPUTED_VALUE""")," - ")</f>
        <v xml:space="preserve"> - </v>
      </c>
      <c r="G2913" s="1" t="str">
        <f ca="1">IFERROR(__xludf.DUMMYFUNCTION("""COMPUTED_VALUE""")," /  /  / ")</f>
        <v xml:space="preserve"> /  /  / </v>
      </c>
      <c r="H2913" s="1" t="str">
        <f ca="1">IFERROR(__xludf.DUMMYFUNCTION("""COMPUTED_VALUE"""),"  /  /  / ")</f>
        <v xml:space="preserve">  /  /  / </v>
      </c>
    </row>
    <row r="2914" spans="1:8" ht="12.75" x14ac:dyDescent="0.2">
      <c r="A2914" s="1"/>
      <c r="B2914" s="1"/>
      <c r="C2914" s="1"/>
      <c r="D2914" s="1"/>
      <c r="E2914" s="1"/>
      <c r="F2914" s="1" t="str">
        <f ca="1">IFERROR(__xludf.DUMMYFUNCTION("""COMPUTED_VALUE""")," - ")</f>
        <v xml:space="preserve"> - </v>
      </c>
      <c r="G2914" s="1" t="str">
        <f ca="1">IFERROR(__xludf.DUMMYFUNCTION("""COMPUTED_VALUE""")," /  /  / ")</f>
        <v xml:space="preserve"> /  /  / </v>
      </c>
      <c r="H2914" s="1" t="str">
        <f ca="1">IFERROR(__xludf.DUMMYFUNCTION("""COMPUTED_VALUE"""),"  /  /  / ")</f>
        <v xml:space="preserve">  /  /  / </v>
      </c>
    </row>
    <row r="2915" spans="1:8" ht="12.75" x14ac:dyDescent="0.2">
      <c r="A2915" s="1"/>
      <c r="B2915" s="1"/>
      <c r="C2915" s="1"/>
      <c r="D2915" s="1"/>
      <c r="E2915" s="1"/>
      <c r="F2915" s="1" t="str">
        <f ca="1">IFERROR(__xludf.DUMMYFUNCTION("""COMPUTED_VALUE""")," - ")</f>
        <v xml:space="preserve"> - </v>
      </c>
      <c r="G2915" s="1" t="str">
        <f ca="1">IFERROR(__xludf.DUMMYFUNCTION("""COMPUTED_VALUE""")," /  /  / ")</f>
        <v xml:space="preserve"> /  /  / </v>
      </c>
      <c r="H2915" s="1" t="str">
        <f ca="1">IFERROR(__xludf.DUMMYFUNCTION("""COMPUTED_VALUE"""),"  /  /  / ")</f>
        <v xml:space="preserve">  /  /  / </v>
      </c>
    </row>
    <row r="2916" spans="1:8" ht="12.75" x14ac:dyDescent="0.2">
      <c r="A2916" s="1"/>
      <c r="B2916" s="1"/>
      <c r="C2916" s="1"/>
      <c r="D2916" s="1"/>
      <c r="E2916" s="1"/>
      <c r="F2916" s="1" t="str">
        <f ca="1">IFERROR(__xludf.DUMMYFUNCTION("""COMPUTED_VALUE""")," - ")</f>
        <v xml:space="preserve"> - </v>
      </c>
      <c r="G2916" s="1" t="str">
        <f ca="1">IFERROR(__xludf.DUMMYFUNCTION("""COMPUTED_VALUE""")," /  /  / ")</f>
        <v xml:space="preserve"> /  /  / </v>
      </c>
      <c r="H2916" s="1" t="str">
        <f ca="1">IFERROR(__xludf.DUMMYFUNCTION("""COMPUTED_VALUE"""),"  /  /  / ")</f>
        <v xml:space="preserve">  /  /  / </v>
      </c>
    </row>
    <row r="2917" spans="1:8" ht="12.75" x14ac:dyDescent="0.2">
      <c r="A2917" s="1"/>
      <c r="B2917" s="1"/>
      <c r="C2917" s="1"/>
      <c r="D2917" s="1"/>
      <c r="E2917" s="1"/>
      <c r="F2917" s="1" t="str">
        <f ca="1">IFERROR(__xludf.DUMMYFUNCTION("""COMPUTED_VALUE""")," - ")</f>
        <v xml:space="preserve"> - </v>
      </c>
      <c r="G2917" s="1" t="str">
        <f ca="1">IFERROR(__xludf.DUMMYFUNCTION("""COMPUTED_VALUE""")," /  /  / ")</f>
        <v xml:space="preserve"> /  /  / </v>
      </c>
      <c r="H2917" s="1" t="str">
        <f ca="1">IFERROR(__xludf.DUMMYFUNCTION("""COMPUTED_VALUE"""),"  /  /  / ")</f>
        <v xml:space="preserve">  /  /  / </v>
      </c>
    </row>
    <row r="2918" spans="1:8" ht="12.75" x14ac:dyDescent="0.2">
      <c r="A2918" s="1"/>
      <c r="B2918" s="1"/>
      <c r="C2918" s="1"/>
      <c r="D2918" s="1"/>
      <c r="E2918" s="1"/>
      <c r="F2918" s="1" t="str">
        <f ca="1">IFERROR(__xludf.DUMMYFUNCTION("""COMPUTED_VALUE""")," - ")</f>
        <v xml:space="preserve"> - </v>
      </c>
      <c r="G2918" s="1" t="str">
        <f ca="1">IFERROR(__xludf.DUMMYFUNCTION("""COMPUTED_VALUE""")," /  /  / ")</f>
        <v xml:space="preserve"> /  /  / </v>
      </c>
      <c r="H2918" s="1" t="str">
        <f ca="1">IFERROR(__xludf.DUMMYFUNCTION("""COMPUTED_VALUE"""),"  /  /  / ")</f>
        <v xml:space="preserve">  /  /  / </v>
      </c>
    </row>
    <row r="2919" spans="1:8" ht="12.75" x14ac:dyDescent="0.2">
      <c r="A2919" s="1"/>
      <c r="B2919" s="1"/>
      <c r="C2919" s="1"/>
      <c r="D2919" s="1"/>
      <c r="E2919" s="1"/>
      <c r="F2919" s="1" t="str">
        <f ca="1">IFERROR(__xludf.DUMMYFUNCTION("""COMPUTED_VALUE""")," - ")</f>
        <v xml:space="preserve"> - </v>
      </c>
      <c r="G2919" s="1" t="str">
        <f ca="1">IFERROR(__xludf.DUMMYFUNCTION("""COMPUTED_VALUE""")," /  /  / ")</f>
        <v xml:space="preserve"> /  /  / </v>
      </c>
      <c r="H2919" s="1" t="str">
        <f ca="1">IFERROR(__xludf.DUMMYFUNCTION("""COMPUTED_VALUE"""),"  /  /  / ")</f>
        <v xml:space="preserve">  /  /  / </v>
      </c>
    </row>
    <row r="2920" spans="1:8" ht="12.75" x14ac:dyDescent="0.2">
      <c r="A2920" s="1"/>
      <c r="B2920" s="1"/>
      <c r="C2920" s="1"/>
      <c r="D2920" s="1"/>
      <c r="E2920" s="1"/>
      <c r="F2920" s="1" t="str">
        <f ca="1">IFERROR(__xludf.DUMMYFUNCTION("""COMPUTED_VALUE""")," - ")</f>
        <v xml:space="preserve"> - </v>
      </c>
      <c r="G2920" s="1" t="str">
        <f ca="1">IFERROR(__xludf.DUMMYFUNCTION("""COMPUTED_VALUE""")," /  /  / ")</f>
        <v xml:space="preserve"> /  /  / </v>
      </c>
      <c r="H2920" s="1" t="str">
        <f ca="1">IFERROR(__xludf.DUMMYFUNCTION("""COMPUTED_VALUE"""),"  /  /  / ")</f>
        <v xml:space="preserve">  /  /  / </v>
      </c>
    </row>
    <row r="2921" spans="1:8" ht="12.75" x14ac:dyDescent="0.2">
      <c r="A2921" s="1"/>
      <c r="B2921" s="1"/>
      <c r="C2921" s="1"/>
      <c r="D2921" s="1"/>
      <c r="E2921" s="1"/>
      <c r="F2921" s="1" t="str">
        <f ca="1">IFERROR(__xludf.DUMMYFUNCTION("""COMPUTED_VALUE""")," - ")</f>
        <v xml:space="preserve"> - </v>
      </c>
      <c r="G2921" s="1" t="str">
        <f ca="1">IFERROR(__xludf.DUMMYFUNCTION("""COMPUTED_VALUE""")," /  /  / ")</f>
        <v xml:space="preserve"> /  /  / </v>
      </c>
      <c r="H2921" s="1" t="str">
        <f ca="1">IFERROR(__xludf.DUMMYFUNCTION("""COMPUTED_VALUE"""),"  /  /  / ")</f>
        <v xml:space="preserve">  /  /  / </v>
      </c>
    </row>
    <row r="2922" spans="1:8" ht="12.75" x14ac:dyDescent="0.2">
      <c r="A2922" s="1"/>
      <c r="B2922" s="1"/>
      <c r="C2922" s="1"/>
      <c r="D2922" s="1"/>
      <c r="E2922" s="1"/>
      <c r="F2922" s="1" t="str">
        <f ca="1">IFERROR(__xludf.DUMMYFUNCTION("""COMPUTED_VALUE""")," - ")</f>
        <v xml:space="preserve"> - </v>
      </c>
      <c r="G2922" s="1" t="str">
        <f ca="1">IFERROR(__xludf.DUMMYFUNCTION("""COMPUTED_VALUE""")," /  /  / ")</f>
        <v xml:space="preserve"> /  /  / </v>
      </c>
      <c r="H2922" s="1" t="str">
        <f ca="1">IFERROR(__xludf.DUMMYFUNCTION("""COMPUTED_VALUE"""),"  /  /  / ")</f>
        <v xml:space="preserve">  /  /  / </v>
      </c>
    </row>
    <row r="2923" spans="1:8" ht="12.75" x14ac:dyDescent="0.2">
      <c r="A2923" s="1"/>
      <c r="B2923" s="1"/>
      <c r="C2923" s="1"/>
      <c r="D2923" s="1"/>
      <c r="E2923" s="1"/>
      <c r="F2923" s="1" t="str">
        <f ca="1">IFERROR(__xludf.DUMMYFUNCTION("""COMPUTED_VALUE""")," - ")</f>
        <v xml:space="preserve"> - </v>
      </c>
      <c r="G2923" s="1" t="str">
        <f ca="1">IFERROR(__xludf.DUMMYFUNCTION("""COMPUTED_VALUE""")," /  /  / ")</f>
        <v xml:space="preserve"> /  /  / </v>
      </c>
      <c r="H2923" s="1" t="str">
        <f ca="1">IFERROR(__xludf.DUMMYFUNCTION("""COMPUTED_VALUE"""),"  /  /  / ")</f>
        <v xml:space="preserve">  /  /  / </v>
      </c>
    </row>
    <row r="2924" spans="1:8" ht="12.75" x14ac:dyDescent="0.2">
      <c r="A2924" s="1"/>
      <c r="B2924" s="1"/>
      <c r="C2924" s="1"/>
      <c r="D2924" s="1"/>
      <c r="E2924" s="1"/>
      <c r="F2924" s="1" t="str">
        <f ca="1">IFERROR(__xludf.DUMMYFUNCTION("""COMPUTED_VALUE""")," - ")</f>
        <v xml:space="preserve"> - </v>
      </c>
      <c r="G2924" s="1" t="str">
        <f ca="1">IFERROR(__xludf.DUMMYFUNCTION("""COMPUTED_VALUE""")," /  /  / ")</f>
        <v xml:space="preserve"> /  /  / </v>
      </c>
      <c r="H2924" s="1" t="str">
        <f ca="1">IFERROR(__xludf.DUMMYFUNCTION("""COMPUTED_VALUE"""),"  /  /  / ")</f>
        <v xml:space="preserve">  /  /  / </v>
      </c>
    </row>
    <row r="2925" spans="1:8" ht="12.75" x14ac:dyDescent="0.2">
      <c r="A2925" s="1"/>
      <c r="B2925" s="1"/>
      <c r="C2925" s="1"/>
      <c r="D2925" s="1"/>
      <c r="E2925" s="1"/>
      <c r="F2925" s="1" t="str">
        <f ca="1">IFERROR(__xludf.DUMMYFUNCTION("""COMPUTED_VALUE""")," - ")</f>
        <v xml:space="preserve"> - </v>
      </c>
      <c r="G2925" s="1" t="str">
        <f ca="1">IFERROR(__xludf.DUMMYFUNCTION("""COMPUTED_VALUE""")," /  /  / ")</f>
        <v xml:space="preserve"> /  /  / </v>
      </c>
      <c r="H2925" s="1" t="str">
        <f ca="1">IFERROR(__xludf.DUMMYFUNCTION("""COMPUTED_VALUE"""),"  /  /  / ")</f>
        <v xml:space="preserve">  /  /  / </v>
      </c>
    </row>
    <row r="2926" spans="1:8" ht="12.75" x14ac:dyDescent="0.2">
      <c r="A2926" s="1"/>
      <c r="B2926" s="1"/>
      <c r="C2926" s="1"/>
      <c r="D2926" s="1"/>
      <c r="E2926" s="1"/>
      <c r="F2926" s="1" t="str">
        <f ca="1">IFERROR(__xludf.DUMMYFUNCTION("""COMPUTED_VALUE""")," - ")</f>
        <v xml:space="preserve"> - </v>
      </c>
      <c r="G2926" s="1" t="str">
        <f ca="1">IFERROR(__xludf.DUMMYFUNCTION("""COMPUTED_VALUE""")," /  /  / ")</f>
        <v xml:space="preserve"> /  /  / </v>
      </c>
      <c r="H2926" s="1" t="str">
        <f ca="1">IFERROR(__xludf.DUMMYFUNCTION("""COMPUTED_VALUE"""),"  /  /  / ")</f>
        <v xml:space="preserve">  /  /  / </v>
      </c>
    </row>
    <row r="2927" spans="1:8" ht="12.75" x14ac:dyDescent="0.2">
      <c r="A2927" s="1"/>
      <c r="B2927" s="1"/>
      <c r="C2927" s="1"/>
      <c r="D2927" s="1"/>
      <c r="E2927" s="1"/>
      <c r="F2927" s="1" t="str">
        <f ca="1">IFERROR(__xludf.DUMMYFUNCTION("""COMPUTED_VALUE""")," - ")</f>
        <v xml:space="preserve"> - </v>
      </c>
      <c r="G2927" s="1" t="str">
        <f ca="1">IFERROR(__xludf.DUMMYFUNCTION("""COMPUTED_VALUE""")," /  /  / ")</f>
        <v xml:space="preserve"> /  /  / </v>
      </c>
      <c r="H2927" s="1" t="str">
        <f ca="1">IFERROR(__xludf.DUMMYFUNCTION("""COMPUTED_VALUE"""),"  /  /  / ")</f>
        <v xml:space="preserve">  /  /  / </v>
      </c>
    </row>
    <row r="2928" spans="1:8" ht="12.75" x14ac:dyDescent="0.2">
      <c r="A2928" s="1"/>
      <c r="B2928" s="1"/>
      <c r="C2928" s="1"/>
      <c r="D2928" s="1"/>
      <c r="E2928" s="1"/>
      <c r="F2928" s="1" t="str">
        <f ca="1">IFERROR(__xludf.DUMMYFUNCTION("""COMPUTED_VALUE""")," - ")</f>
        <v xml:space="preserve"> - </v>
      </c>
      <c r="G2928" s="1" t="str">
        <f ca="1">IFERROR(__xludf.DUMMYFUNCTION("""COMPUTED_VALUE""")," /  /  / ")</f>
        <v xml:space="preserve"> /  /  / </v>
      </c>
      <c r="H2928" s="1" t="str">
        <f ca="1">IFERROR(__xludf.DUMMYFUNCTION("""COMPUTED_VALUE"""),"  /  /  / ")</f>
        <v xml:space="preserve">  /  /  / </v>
      </c>
    </row>
    <row r="2929" spans="1:8" ht="12.75" x14ac:dyDescent="0.2">
      <c r="A2929" s="1"/>
      <c r="B2929" s="1"/>
      <c r="C2929" s="1"/>
      <c r="D2929" s="1"/>
      <c r="E2929" s="1"/>
      <c r="F2929" s="1" t="str">
        <f ca="1">IFERROR(__xludf.DUMMYFUNCTION("""COMPUTED_VALUE""")," - ")</f>
        <v xml:space="preserve"> - </v>
      </c>
      <c r="G2929" s="1" t="str">
        <f ca="1">IFERROR(__xludf.DUMMYFUNCTION("""COMPUTED_VALUE""")," /  /  / ")</f>
        <v xml:space="preserve"> /  /  / </v>
      </c>
      <c r="H2929" s="1" t="str">
        <f ca="1">IFERROR(__xludf.DUMMYFUNCTION("""COMPUTED_VALUE"""),"  /  /  / ")</f>
        <v xml:space="preserve">  /  /  / </v>
      </c>
    </row>
    <row r="2930" spans="1:8" ht="12.75" x14ac:dyDescent="0.2">
      <c r="A2930" s="1"/>
      <c r="B2930" s="1"/>
      <c r="C2930" s="1"/>
      <c r="D2930" s="1"/>
      <c r="E2930" s="1"/>
      <c r="F2930" s="1" t="str">
        <f ca="1">IFERROR(__xludf.DUMMYFUNCTION("""COMPUTED_VALUE""")," - ")</f>
        <v xml:space="preserve"> - </v>
      </c>
      <c r="G2930" s="1" t="str">
        <f ca="1">IFERROR(__xludf.DUMMYFUNCTION("""COMPUTED_VALUE""")," /  /  / ")</f>
        <v xml:space="preserve"> /  /  / </v>
      </c>
      <c r="H2930" s="1" t="str">
        <f ca="1">IFERROR(__xludf.DUMMYFUNCTION("""COMPUTED_VALUE"""),"  /  /  / ")</f>
        <v xml:space="preserve">  /  /  / </v>
      </c>
    </row>
    <row r="2931" spans="1:8" ht="12.75" x14ac:dyDescent="0.2">
      <c r="A2931" s="1"/>
      <c r="B2931" s="1"/>
      <c r="C2931" s="1"/>
      <c r="D2931" s="1"/>
      <c r="E2931" s="1"/>
      <c r="F2931" s="1" t="str">
        <f ca="1">IFERROR(__xludf.DUMMYFUNCTION("""COMPUTED_VALUE""")," - ")</f>
        <v xml:space="preserve"> - </v>
      </c>
      <c r="G2931" s="1" t="str">
        <f ca="1">IFERROR(__xludf.DUMMYFUNCTION("""COMPUTED_VALUE""")," /  /  / ")</f>
        <v xml:space="preserve"> /  /  / </v>
      </c>
      <c r="H2931" s="1" t="str">
        <f ca="1">IFERROR(__xludf.DUMMYFUNCTION("""COMPUTED_VALUE"""),"  /  /  / ")</f>
        <v xml:space="preserve">  /  /  / </v>
      </c>
    </row>
    <row r="2932" spans="1:8" ht="12.75" x14ac:dyDescent="0.2">
      <c r="A2932" s="1"/>
      <c r="B2932" s="1"/>
      <c r="C2932" s="1"/>
      <c r="D2932" s="1"/>
      <c r="E2932" s="1"/>
      <c r="F2932" s="1" t="str">
        <f ca="1">IFERROR(__xludf.DUMMYFUNCTION("""COMPUTED_VALUE""")," - ")</f>
        <v xml:space="preserve"> - </v>
      </c>
      <c r="G2932" s="1" t="str">
        <f ca="1">IFERROR(__xludf.DUMMYFUNCTION("""COMPUTED_VALUE""")," /  /  / ")</f>
        <v xml:space="preserve"> /  /  / </v>
      </c>
      <c r="H2932" s="1" t="str">
        <f ca="1">IFERROR(__xludf.DUMMYFUNCTION("""COMPUTED_VALUE"""),"  /  /  / ")</f>
        <v xml:space="preserve">  /  /  / </v>
      </c>
    </row>
    <row r="2933" spans="1:8" ht="12.75" x14ac:dyDescent="0.2">
      <c r="A2933" s="1"/>
      <c r="B2933" s="1"/>
      <c r="C2933" s="1"/>
      <c r="D2933" s="1"/>
      <c r="E2933" s="1"/>
      <c r="F2933" s="1" t="str">
        <f ca="1">IFERROR(__xludf.DUMMYFUNCTION("""COMPUTED_VALUE""")," - ")</f>
        <v xml:space="preserve"> - </v>
      </c>
      <c r="G2933" s="1" t="str">
        <f ca="1">IFERROR(__xludf.DUMMYFUNCTION("""COMPUTED_VALUE""")," /  /  / ")</f>
        <v xml:space="preserve"> /  /  / </v>
      </c>
      <c r="H2933" s="1" t="str">
        <f ca="1">IFERROR(__xludf.DUMMYFUNCTION("""COMPUTED_VALUE"""),"  /  /  / ")</f>
        <v xml:space="preserve">  /  /  / </v>
      </c>
    </row>
    <row r="2934" spans="1:8" ht="12.75" x14ac:dyDescent="0.2">
      <c r="A2934" s="1"/>
      <c r="B2934" s="1"/>
      <c r="C2934" s="1"/>
      <c r="D2934" s="1"/>
      <c r="E2934" s="1"/>
      <c r="F2934" s="1" t="str">
        <f ca="1">IFERROR(__xludf.DUMMYFUNCTION("""COMPUTED_VALUE""")," - ")</f>
        <v xml:space="preserve"> - </v>
      </c>
      <c r="G2934" s="1" t="str">
        <f ca="1">IFERROR(__xludf.DUMMYFUNCTION("""COMPUTED_VALUE""")," /  /  / ")</f>
        <v xml:space="preserve"> /  /  / </v>
      </c>
      <c r="H2934" s="1" t="str">
        <f ca="1">IFERROR(__xludf.DUMMYFUNCTION("""COMPUTED_VALUE"""),"  /  /  / ")</f>
        <v xml:space="preserve">  /  /  / </v>
      </c>
    </row>
    <row r="2935" spans="1:8" ht="12.75" x14ac:dyDescent="0.2">
      <c r="A2935" s="1"/>
      <c r="B2935" s="1"/>
      <c r="C2935" s="1"/>
      <c r="D2935" s="1"/>
      <c r="E2935" s="1"/>
      <c r="F2935" s="1" t="str">
        <f ca="1">IFERROR(__xludf.DUMMYFUNCTION("""COMPUTED_VALUE""")," - ")</f>
        <v xml:space="preserve"> - </v>
      </c>
      <c r="G2935" s="1" t="str">
        <f ca="1">IFERROR(__xludf.DUMMYFUNCTION("""COMPUTED_VALUE""")," /  /  / ")</f>
        <v xml:space="preserve"> /  /  / </v>
      </c>
      <c r="H2935" s="1" t="str">
        <f ca="1">IFERROR(__xludf.DUMMYFUNCTION("""COMPUTED_VALUE"""),"  /  /  / ")</f>
        <v xml:space="preserve">  /  /  / </v>
      </c>
    </row>
    <row r="2936" spans="1:8" ht="12.75" x14ac:dyDescent="0.2">
      <c r="A2936" s="1"/>
      <c r="B2936" s="1"/>
      <c r="C2936" s="1"/>
      <c r="D2936" s="1"/>
      <c r="E2936" s="1"/>
      <c r="F2936" s="1" t="str">
        <f ca="1">IFERROR(__xludf.DUMMYFUNCTION("""COMPUTED_VALUE""")," - ")</f>
        <v xml:space="preserve"> - </v>
      </c>
      <c r="G2936" s="1" t="str">
        <f ca="1">IFERROR(__xludf.DUMMYFUNCTION("""COMPUTED_VALUE""")," /  /  / ")</f>
        <v xml:space="preserve"> /  /  / </v>
      </c>
      <c r="H2936" s="1" t="str">
        <f ca="1">IFERROR(__xludf.DUMMYFUNCTION("""COMPUTED_VALUE"""),"  /  /  / ")</f>
        <v xml:space="preserve">  /  /  / </v>
      </c>
    </row>
    <row r="2937" spans="1:8" ht="12.75" x14ac:dyDescent="0.2">
      <c r="A2937" s="1"/>
      <c r="B2937" s="1"/>
      <c r="C2937" s="1"/>
      <c r="D2937" s="1"/>
      <c r="E2937" s="1"/>
      <c r="F2937" s="1" t="str">
        <f ca="1">IFERROR(__xludf.DUMMYFUNCTION("""COMPUTED_VALUE""")," - ")</f>
        <v xml:space="preserve"> - </v>
      </c>
      <c r="G2937" s="1" t="str">
        <f ca="1">IFERROR(__xludf.DUMMYFUNCTION("""COMPUTED_VALUE""")," /  /  / ")</f>
        <v xml:space="preserve"> /  /  / </v>
      </c>
      <c r="H2937" s="1" t="str">
        <f ca="1">IFERROR(__xludf.DUMMYFUNCTION("""COMPUTED_VALUE"""),"  /  /  / ")</f>
        <v xml:space="preserve">  /  /  / </v>
      </c>
    </row>
    <row r="2938" spans="1:8" ht="12.75" x14ac:dyDescent="0.2">
      <c r="A2938" s="1"/>
      <c r="B2938" s="1"/>
      <c r="C2938" s="1"/>
      <c r="D2938" s="1"/>
      <c r="E2938" s="1"/>
      <c r="F2938" s="1" t="str">
        <f ca="1">IFERROR(__xludf.DUMMYFUNCTION("""COMPUTED_VALUE""")," - ")</f>
        <v xml:space="preserve"> - </v>
      </c>
      <c r="G2938" s="1" t="str">
        <f ca="1">IFERROR(__xludf.DUMMYFUNCTION("""COMPUTED_VALUE""")," /  /  / ")</f>
        <v xml:space="preserve"> /  /  / </v>
      </c>
      <c r="H2938" s="1" t="str">
        <f ca="1">IFERROR(__xludf.DUMMYFUNCTION("""COMPUTED_VALUE"""),"  /  /  / ")</f>
        <v xml:space="preserve">  /  /  / </v>
      </c>
    </row>
    <row r="2939" spans="1:8" ht="12.75" x14ac:dyDescent="0.2">
      <c r="A2939" s="1"/>
      <c r="B2939" s="1"/>
      <c r="C2939" s="1"/>
      <c r="D2939" s="1"/>
      <c r="E2939" s="1"/>
      <c r="F2939" s="1" t="str">
        <f ca="1">IFERROR(__xludf.DUMMYFUNCTION("""COMPUTED_VALUE""")," - ")</f>
        <v xml:space="preserve"> - </v>
      </c>
      <c r="G2939" s="1" t="str">
        <f ca="1">IFERROR(__xludf.DUMMYFUNCTION("""COMPUTED_VALUE""")," /  /  / ")</f>
        <v xml:space="preserve"> /  /  / </v>
      </c>
      <c r="H2939" s="1" t="str">
        <f ca="1">IFERROR(__xludf.DUMMYFUNCTION("""COMPUTED_VALUE"""),"  /  /  / ")</f>
        <v xml:space="preserve">  /  /  / </v>
      </c>
    </row>
    <row r="2940" spans="1:8" ht="12.75" x14ac:dyDescent="0.2">
      <c r="A2940" s="1"/>
      <c r="B2940" s="1"/>
      <c r="C2940" s="1"/>
      <c r="D2940" s="1"/>
      <c r="E2940" s="1"/>
      <c r="F2940" s="1" t="str">
        <f ca="1">IFERROR(__xludf.DUMMYFUNCTION("""COMPUTED_VALUE""")," - ")</f>
        <v xml:space="preserve"> - </v>
      </c>
      <c r="G2940" s="1" t="str">
        <f ca="1">IFERROR(__xludf.DUMMYFUNCTION("""COMPUTED_VALUE""")," /  /  / ")</f>
        <v xml:space="preserve"> /  /  / </v>
      </c>
      <c r="H2940" s="1" t="str">
        <f ca="1">IFERROR(__xludf.DUMMYFUNCTION("""COMPUTED_VALUE"""),"  /  /  / ")</f>
        <v xml:space="preserve">  /  /  / </v>
      </c>
    </row>
    <row r="2941" spans="1:8" ht="12.75" x14ac:dyDescent="0.2">
      <c r="A2941" s="1"/>
      <c r="B2941" s="1"/>
      <c r="C2941" s="1"/>
      <c r="D2941" s="1"/>
      <c r="E2941" s="1"/>
      <c r="F2941" s="1" t="str">
        <f ca="1">IFERROR(__xludf.DUMMYFUNCTION("""COMPUTED_VALUE""")," - ")</f>
        <v xml:space="preserve"> - </v>
      </c>
      <c r="G2941" s="1" t="str">
        <f ca="1">IFERROR(__xludf.DUMMYFUNCTION("""COMPUTED_VALUE""")," /  /  / ")</f>
        <v xml:space="preserve"> /  /  / </v>
      </c>
      <c r="H2941" s="1" t="str">
        <f ca="1">IFERROR(__xludf.DUMMYFUNCTION("""COMPUTED_VALUE"""),"  /  /  / ")</f>
        <v xml:space="preserve">  /  /  / </v>
      </c>
    </row>
    <row r="2942" spans="1:8" ht="12.75" x14ac:dyDescent="0.2">
      <c r="A2942" s="1"/>
      <c r="B2942" s="1"/>
      <c r="C2942" s="1"/>
      <c r="D2942" s="1"/>
      <c r="E2942" s="1"/>
      <c r="F2942" s="1" t="str">
        <f ca="1">IFERROR(__xludf.DUMMYFUNCTION("""COMPUTED_VALUE""")," - ")</f>
        <v xml:space="preserve"> - </v>
      </c>
      <c r="G2942" s="1" t="str">
        <f ca="1">IFERROR(__xludf.DUMMYFUNCTION("""COMPUTED_VALUE""")," /  /  / ")</f>
        <v xml:space="preserve"> /  /  / </v>
      </c>
      <c r="H2942" s="1" t="str">
        <f ca="1">IFERROR(__xludf.DUMMYFUNCTION("""COMPUTED_VALUE"""),"  /  /  / ")</f>
        <v xml:space="preserve">  /  /  / </v>
      </c>
    </row>
    <row r="2943" spans="1:8" ht="12.75" x14ac:dyDescent="0.2">
      <c r="A2943" s="1"/>
      <c r="B2943" s="1"/>
      <c r="C2943" s="1"/>
      <c r="D2943" s="1"/>
      <c r="E2943" s="1"/>
      <c r="F2943" s="1" t="str">
        <f ca="1">IFERROR(__xludf.DUMMYFUNCTION("""COMPUTED_VALUE""")," - ")</f>
        <v xml:space="preserve"> - </v>
      </c>
      <c r="G2943" s="1" t="str">
        <f ca="1">IFERROR(__xludf.DUMMYFUNCTION("""COMPUTED_VALUE""")," /  /  / ")</f>
        <v xml:space="preserve"> /  /  / </v>
      </c>
      <c r="H2943" s="1" t="str">
        <f ca="1">IFERROR(__xludf.DUMMYFUNCTION("""COMPUTED_VALUE"""),"  /  /  / ")</f>
        <v xml:space="preserve">  /  /  / </v>
      </c>
    </row>
    <row r="2944" spans="1:8" ht="12.75" x14ac:dyDescent="0.2">
      <c r="A2944" s="1"/>
      <c r="B2944" s="1"/>
      <c r="C2944" s="1"/>
      <c r="D2944" s="1"/>
      <c r="E2944" s="1"/>
      <c r="F2944" s="1" t="str">
        <f ca="1">IFERROR(__xludf.DUMMYFUNCTION("""COMPUTED_VALUE""")," - ")</f>
        <v xml:space="preserve"> - </v>
      </c>
      <c r="G2944" s="1" t="str">
        <f ca="1">IFERROR(__xludf.DUMMYFUNCTION("""COMPUTED_VALUE""")," /  /  / ")</f>
        <v xml:space="preserve"> /  /  / </v>
      </c>
      <c r="H2944" s="1" t="str">
        <f ca="1">IFERROR(__xludf.DUMMYFUNCTION("""COMPUTED_VALUE"""),"  /  /  / ")</f>
        <v xml:space="preserve">  /  /  / </v>
      </c>
    </row>
    <row r="2945" spans="1:8" ht="12.75" x14ac:dyDescent="0.2">
      <c r="A2945" s="1"/>
      <c r="B2945" s="1"/>
      <c r="C2945" s="1"/>
      <c r="D2945" s="1"/>
      <c r="E2945" s="1"/>
      <c r="F2945" s="1" t="str">
        <f ca="1">IFERROR(__xludf.DUMMYFUNCTION("""COMPUTED_VALUE""")," - ")</f>
        <v xml:space="preserve"> - </v>
      </c>
      <c r="G2945" s="1" t="str">
        <f ca="1">IFERROR(__xludf.DUMMYFUNCTION("""COMPUTED_VALUE""")," /  /  / ")</f>
        <v xml:space="preserve"> /  /  / </v>
      </c>
      <c r="H2945" s="1" t="str">
        <f ca="1">IFERROR(__xludf.DUMMYFUNCTION("""COMPUTED_VALUE"""),"  /  /  / ")</f>
        <v xml:space="preserve">  /  /  / </v>
      </c>
    </row>
    <row r="2946" spans="1:8" ht="12.75" x14ac:dyDescent="0.2">
      <c r="A2946" s="1"/>
      <c r="B2946" s="1"/>
      <c r="C2946" s="1"/>
      <c r="D2946" s="1"/>
      <c r="E2946" s="1"/>
      <c r="F2946" s="1" t="str">
        <f ca="1">IFERROR(__xludf.DUMMYFUNCTION("""COMPUTED_VALUE""")," - ")</f>
        <v xml:space="preserve"> - </v>
      </c>
      <c r="G2946" s="1" t="str">
        <f ca="1">IFERROR(__xludf.DUMMYFUNCTION("""COMPUTED_VALUE""")," /  /  / ")</f>
        <v xml:space="preserve"> /  /  / </v>
      </c>
      <c r="H2946" s="1" t="str">
        <f ca="1">IFERROR(__xludf.DUMMYFUNCTION("""COMPUTED_VALUE"""),"  /  /  / ")</f>
        <v xml:space="preserve">  /  /  / </v>
      </c>
    </row>
    <row r="2947" spans="1:8" ht="12.75" x14ac:dyDescent="0.2">
      <c r="A2947" s="1"/>
      <c r="B2947" s="1"/>
      <c r="C2947" s="1"/>
      <c r="D2947" s="1"/>
      <c r="E2947" s="1"/>
      <c r="F2947" s="1" t="str">
        <f ca="1">IFERROR(__xludf.DUMMYFUNCTION("""COMPUTED_VALUE""")," - ")</f>
        <v xml:space="preserve"> - </v>
      </c>
      <c r="G2947" s="1" t="str">
        <f ca="1">IFERROR(__xludf.DUMMYFUNCTION("""COMPUTED_VALUE""")," /  /  / ")</f>
        <v xml:space="preserve"> /  /  / </v>
      </c>
      <c r="H2947" s="1" t="str">
        <f ca="1">IFERROR(__xludf.DUMMYFUNCTION("""COMPUTED_VALUE"""),"  /  /  / ")</f>
        <v xml:space="preserve">  /  /  / </v>
      </c>
    </row>
    <row r="2948" spans="1:8" ht="12.75" x14ac:dyDescent="0.2">
      <c r="A2948" s="1"/>
      <c r="B2948" s="1"/>
      <c r="C2948" s="1"/>
      <c r="D2948" s="1"/>
      <c r="E2948" s="1"/>
      <c r="F2948" s="1" t="str">
        <f ca="1">IFERROR(__xludf.DUMMYFUNCTION("""COMPUTED_VALUE""")," - ")</f>
        <v xml:space="preserve"> - </v>
      </c>
      <c r="G2948" s="1" t="str">
        <f ca="1">IFERROR(__xludf.DUMMYFUNCTION("""COMPUTED_VALUE""")," /  /  / ")</f>
        <v xml:space="preserve"> /  /  / </v>
      </c>
      <c r="H2948" s="1" t="str">
        <f ca="1">IFERROR(__xludf.DUMMYFUNCTION("""COMPUTED_VALUE"""),"  /  /  / ")</f>
        <v xml:space="preserve">  /  /  / </v>
      </c>
    </row>
    <row r="2949" spans="1:8" ht="12.75" x14ac:dyDescent="0.2">
      <c r="A2949" s="1"/>
      <c r="B2949" s="1"/>
      <c r="C2949" s="1"/>
      <c r="D2949" s="1"/>
      <c r="E2949" s="1"/>
      <c r="F2949" s="1" t="str">
        <f ca="1">IFERROR(__xludf.DUMMYFUNCTION("""COMPUTED_VALUE""")," - ")</f>
        <v xml:space="preserve"> - </v>
      </c>
      <c r="G2949" s="1" t="str">
        <f ca="1">IFERROR(__xludf.DUMMYFUNCTION("""COMPUTED_VALUE""")," /  /  / ")</f>
        <v xml:space="preserve"> /  /  / </v>
      </c>
      <c r="H2949" s="1" t="str">
        <f ca="1">IFERROR(__xludf.DUMMYFUNCTION("""COMPUTED_VALUE"""),"  /  /  / ")</f>
        <v xml:space="preserve">  /  /  / </v>
      </c>
    </row>
    <row r="2950" spans="1:8" ht="12.75" x14ac:dyDescent="0.2">
      <c r="A2950" s="1"/>
      <c r="B2950" s="1"/>
      <c r="C2950" s="1"/>
      <c r="D2950" s="1"/>
      <c r="E2950" s="1"/>
      <c r="F2950" s="1" t="str">
        <f ca="1">IFERROR(__xludf.DUMMYFUNCTION("""COMPUTED_VALUE""")," - ")</f>
        <v xml:space="preserve"> - </v>
      </c>
      <c r="G2950" s="1" t="str">
        <f ca="1">IFERROR(__xludf.DUMMYFUNCTION("""COMPUTED_VALUE""")," /  /  / ")</f>
        <v xml:space="preserve"> /  /  / </v>
      </c>
      <c r="H2950" s="1" t="str">
        <f ca="1">IFERROR(__xludf.DUMMYFUNCTION("""COMPUTED_VALUE"""),"  /  /  / ")</f>
        <v xml:space="preserve">  /  /  / </v>
      </c>
    </row>
    <row r="2951" spans="1:8" ht="12.75" x14ac:dyDescent="0.2">
      <c r="A2951" s="1"/>
      <c r="B2951" s="1"/>
      <c r="C2951" s="1"/>
      <c r="D2951" s="1"/>
      <c r="E2951" s="1"/>
      <c r="F2951" s="1" t="str">
        <f ca="1">IFERROR(__xludf.DUMMYFUNCTION("""COMPUTED_VALUE""")," - ")</f>
        <v xml:space="preserve"> - </v>
      </c>
      <c r="G2951" s="1" t="str">
        <f ca="1">IFERROR(__xludf.DUMMYFUNCTION("""COMPUTED_VALUE""")," /  /  / ")</f>
        <v xml:space="preserve"> /  /  / </v>
      </c>
      <c r="H2951" s="1" t="str">
        <f ca="1">IFERROR(__xludf.DUMMYFUNCTION("""COMPUTED_VALUE"""),"  /  /  / ")</f>
        <v xml:space="preserve">  /  /  / </v>
      </c>
    </row>
    <row r="2952" spans="1:8" ht="12.75" x14ac:dyDescent="0.2">
      <c r="A2952" s="1"/>
      <c r="B2952" s="1"/>
      <c r="C2952" s="1"/>
      <c r="D2952" s="1"/>
      <c r="E2952" s="1"/>
      <c r="F2952" s="1" t="str">
        <f ca="1">IFERROR(__xludf.DUMMYFUNCTION("""COMPUTED_VALUE""")," - ")</f>
        <v xml:space="preserve"> - </v>
      </c>
      <c r="G2952" s="1" t="str">
        <f ca="1">IFERROR(__xludf.DUMMYFUNCTION("""COMPUTED_VALUE""")," /  /  / ")</f>
        <v xml:space="preserve"> /  /  / </v>
      </c>
      <c r="H2952" s="1" t="str">
        <f ca="1">IFERROR(__xludf.DUMMYFUNCTION("""COMPUTED_VALUE"""),"  /  /  / ")</f>
        <v xml:space="preserve">  /  /  / </v>
      </c>
    </row>
    <row r="2953" spans="1:8" ht="12.75" x14ac:dyDescent="0.2">
      <c r="A2953" s="1"/>
      <c r="B2953" s="1"/>
      <c r="C2953" s="1"/>
      <c r="D2953" s="1"/>
      <c r="E2953" s="1"/>
      <c r="F2953" s="1" t="str">
        <f ca="1">IFERROR(__xludf.DUMMYFUNCTION("""COMPUTED_VALUE""")," - ")</f>
        <v xml:space="preserve"> - </v>
      </c>
      <c r="G2953" s="1" t="str">
        <f ca="1">IFERROR(__xludf.DUMMYFUNCTION("""COMPUTED_VALUE""")," /  /  / ")</f>
        <v xml:space="preserve"> /  /  / </v>
      </c>
      <c r="H2953" s="1" t="str">
        <f ca="1">IFERROR(__xludf.DUMMYFUNCTION("""COMPUTED_VALUE"""),"  /  /  / ")</f>
        <v xml:space="preserve">  /  /  / </v>
      </c>
    </row>
    <row r="2954" spans="1:8" ht="12.75" x14ac:dyDescent="0.2">
      <c r="A2954" s="1"/>
      <c r="B2954" s="1"/>
      <c r="C2954" s="1"/>
      <c r="D2954" s="1"/>
      <c r="E2954" s="1"/>
      <c r="F2954" s="1" t="str">
        <f ca="1">IFERROR(__xludf.DUMMYFUNCTION("""COMPUTED_VALUE""")," - ")</f>
        <v xml:space="preserve"> - </v>
      </c>
      <c r="G2954" s="1" t="str">
        <f ca="1">IFERROR(__xludf.DUMMYFUNCTION("""COMPUTED_VALUE""")," /  /  / ")</f>
        <v xml:space="preserve"> /  /  / </v>
      </c>
      <c r="H2954" s="1" t="str">
        <f ca="1">IFERROR(__xludf.DUMMYFUNCTION("""COMPUTED_VALUE"""),"  /  /  / ")</f>
        <v xml:space="preserve">  /  /  / </v>
      </c>
    </row>
    <row r="2955" spans="1:8" ht="12.75" x14ac:dyDescent="0.2">
      <c r="A2955" s="1"/>
      <c r="B2955" s="1"/>
      <c r="C2955" s="1"/>
      <c r="D2955" s="1"/>
      <c r="E2955" s="1"/>
      <c r="F2955" s="1" t="str">
        <f ca="1">IFERROR(__xludf.DUMMYFUNCTION("""COMPUTED_VALUE""")," - ")</f>
        <v xml:space="preserve"> - </v>
      </c>
      <c r="G2955" s="1" t="str">
        <f ca="1">IFERROR(__xludf.DUMMYFUNCTION("""COMPUTED_VALUE""")," /  /  / ")</f>
        <v xml:space="preserve"> /  /  / </v>
      </c>
      <c r="H2955" s="1" t="str">
        <f ca="1">IFERROR(__xludf.DUMMYFUNCTION("""COMPUTED_VALUE"""),"  /  /  / ")</f>
        <v xml:space="preserve">  /  /  / </v>
      </c>
    </row>
    <row r="2956" spans="1:8" ht="12.75" x14ac:dyDescent="0.2">
      <c r="A2956" s="1"/>
      <c r="B2956" s="1"/>
      <c r="C2956" s="1"/>
      <c r="D2956" s="1"/>
      <c r="E2956" s="1"/>
      <c r="F2956" s="1" t="str">
        <f ca="1">IFERROR(__xludf.DUMMYFUNCTION("""COMPUTED_VALUE""")," - ")</f>
        <v xml:space="preserve"> - </v>
      </c>
      <c r="G2956" s="1" t="str">
        <f ca="1">IFERROR(__xludf.DUMMYFUNCTION("""COMPUTED_VALUE""")," /  /  / ")</f>
        <v xml:space="preserve"> /  /  / </v>
      </c>
      <c r="H2956" s="1" t="str">
        <f ca="1">IFERROR(__xludf.DUMMYFUNCTION("""COMPUTED_VALUE"""),"  /  /  / ")</f>
        <v xml:space="preserve">  /  /  / </v>
      </c>
    </row>
    <row r="2957" spans="1:8" ht="12.75" x14ac:dyDescent="0.2">
      <c r="A2957" s="1"/>
      <c r="B2957" s="1"/>
      <c r="C2957" s="1"/>
      <c r="D2957" s="1"/>
      <c r="E2957" s="1"/>
      <c r="F2957" s="1" t="str">
        <f ca="1">IFERROR(__xludf.DUMMYFUNCTION("""COMPUTED_VALUE""")," - ")</f>
        <v xml:space="preserve"> - </v>
      </c>
      <c r="G2957" s="1" t="str">
        <f ca="1">IFERROR(__xludf.DUMMYFUNCTION("""COMPUTED_VALUE""")," /  /  / ")</f>
        <v xml:space="preserve"> /  /  / </v>
      </c>
      <c r="H2957" s="1" t="str">
        <f ca="1">IFERROR(__xludf.DUMMYFUNCTION("""COMPUTED_VALUE"""),"  /  /  / ")</f>
        <v xml:space="preserve">  /  /  / </v>
      </c>
    </row>
    <row r="2958" spans="1:8" ht="12.75" x14ac:dyDescent="0.2">
      <c r="A2958" s="1"/>
      <c r="B2958" s="1"/>
      <c r="C2958" s="1"/>
      <c r="D2958" s="1"/>
      <c r="E2958" s="1"/>
      <c r="F2958" s="1" t="str">
        <f ca="1">IFERROR(__xludf.DUMMYFUNCTION("""COMPUTED_VALUE""")," - ")</f>
        <v xml:space="preserve"> - </v>
      </c>
      <c r="G2958" s="1" t="str">
        <f ca="1">IFERROR(__xludf.DUMMYFUNCTION("""COMPUTED_VALUE""")," /  /  / ")</f>
        <v xml:space="preserve"> /  /  / </v>
      </c>
      <c r="H2958" s="1" t="str">
        <f ca="1">IFERROR(__xludf.DUMMYFUNCTION("""COMPUTED_VALUE"""),"  /  /  / ")</f>
        <v xml:space="preserve">  /  /  / </v>
      </c>
    </row>
    <row r="2959" spans="1:8" ht="12.75" x14ac:dyDescent="0.2">
      <c r="A2959" s="1"/>
      <c r="B2959" s="1"/>
      <c r="C2959" s="1"/>
      <c r="D2959" s="1"/>
      <c r="E2959" s="1"/>
      <c r="F2959" s="1" t="str">
        <f ca="1">IFERROR(__xludf.DUMMYFUNCTION("""COMPUTED_VALUE""")," - ")</f>
        <v xml:space="preserve"> - </v>
      </c>
      <c r="G2959" s="1" t="str">
        <f ca="1">IFERROR(__xludf.DUMMYFUNCTION("""COMPUTED_VALUE""")," /  /  / ")</f>
        <v xml:space="preserve"> /  /  / </v>
      </c>
      <c r="H2959" s="1" t="str">
        <f ca="1">IFERROR(__xludf.DUMMYFUNCTION("""COMPUTED_VALUE"""),"  /  /  / ")</f>
        <v xml:space="preserve">  /  /  / </v>
      </c>
    </row>
    <row r="2960" spans="1:8" ht="12.75" x14ac:dyDescent="0.2">
      <c r="A2960" s="1"/>
      <c r="B2960" s="1"/>
      <c r="C2960" s="1"/>
      <c r="D2960" s="1"/>
      <c r="E2960" s="1"/>
      <c r="F2960" s="1" t="str">
        <f ca="1">IFERROR(__xludf.DUMMYFUNCTION("""COMPUTED_VALUE""")," - ")</f>
        <v xml:space="preserve"> - </v>
      </c>
      <c r="G2960" s="1" t="str">
        <f ca="1">IFERROR(__xludf.DUMMYFUNCTION("""COMPUTED_VALUE""")," /  /  / ")</f>
        <v xml:space="preserve"> /  /  / </v>
      </c>
      <c r="H2960" s="1" t="str">
        <f ca="1">IFERROR(__xludf.DUMMYFUNCTION("""COMPUTED_VALUE"""),"  /  /  / ")</f>
        <v xml:space="preserve">  /  /  / </v>
      </c>
    </row>
    <row r="2961" spans="1:8" ht="12.75" x14ac:dyDescent="0.2">
      <c r="A2961" s="1"/>
      <c r="B2961" s="1"/>
      <c r="C2961" s="1"/>
      <c r="D2961" s="1"/>
      <c r="E2961" s="1"/>
      <c r="F2961" s="1" t="str">
        <f ca="1">IFERROR(__xludf.DUMMYFUNCTION("""COMPUTED_VALUE""")," - ")</f>
        <v xml:space="preserve"> - </v>
      </c>
      <c r="G2961" s="1" t="str">
        <f ca="1">IFERROR(__xludf.DUMMYFUNCTION("""COMPUTED_VALUE""")," /  /  / ")</f>
        <v xml:space="preserve"> /  /  / </v>
      </c>
      <c r="H2961" s="1" t="str">
        <f ca="1">IFERROR(__xludf.DUMMYFUNCTION("""COMPUTED_VALUE"""),"  /  /  / ")</f>
        <v xml:space="preserve">  /  /  / </v>
      </c>
    </row>
    <row r="2962" spans="1:8" ht="12.75" x14ac:dyDescent="0.2">
      <c r="A2962" s="1"/>
      <c r="B2962" s="1"/>
      <c r="C2962" s="1"/>
      <c r="D2962" s="1"/>
      <c r="E2962" s="1"/>
      <c r="F2962" s="1" t="str">
        <f ca="1">IFERROR(__xludf.DUMMYFUNCTION("""COMPUTED_VALUE""")," - ")</f>
        <v xml:space="preserve"> - </v>
      </c>
      <c r="G2962" s="1" t="str">
        <f ca="1">IFERROR(__xludf.DUMMYFUNCTION("""COMPUTED_VALUE""")," /  /  / ")</f>
        <v xml:space="preserve"> /  /  / </v>
      </c>
      <c r="H2962" s="1" t="str">
        <f ca="1">IFERROR(__xludf.DUMMYFUNCTION("""COMPUTED_VALUE"""),"  /  /  / ")</f>
        <v xml:space="preserve">  /  /  / </v>
      </c>
    </row>
    <row r="2963" spans="1:8" ht="12.75" x14ac:dyDescent="0.2">
      <c r="A2963" s="1"/>
      <c r="B2963" s="1"/>
      <c r="C2963" s="1"/>
      <c r="D2963" s="1"/>
      <c r="E2963" s="1"/>
      <c r="F2963" s="1" t="str">
        <f ca="1">IFERROR(__xludf.DUMMYFUNCTION("""COMPUTED_VALUE""")," - ")</f>
        <v xml:space="preserve"> - </v>
      </c>
      <c r="G2963" s="1" t="str">
        <f ca="1">IFERROR(__xludf.DUMMYFUNCTION("""COMPUTED_VALUE""")," /  /  / ")</f>
        <v xml:space="preserve"> /  /  / </v>
      </c>
      <c r="H2963" s="1" t="str">
        <f ca="1">IFERROR(__xludf.DUMMYFUNCTION("""COMPUTED_VALUE"""),"  /  /  / ")</f>
        <v xml:space="preserve">  /  /  / </v>
      </c>
    </row>
    <row r="2964" spans="1:8" ht="12.75" x14ac:dyDescent="0.2">
      <c r="A2964" s="1"/>
      <c r="B2964" s="1"/>
      <c r="C2964" s="1"/>
      <c r="D2964" s="1"/>
      <c r="E2964" s="1"/>
      <c r="F2964" s="1" t="str">
        <f ca="1">IFERROR(__xludf.DUMMYFUNCTION("""COMPUTED_VALUE""")," - ")</f>
        <v xml:space="preserve"> - </v>
      </c>
      <c r="G2964" s="1" t="str">
        <f ca="1">IFERROR(__xludf.DUMMYFUNCTION("""COMPUTED_VALUE""")," /  /  / ")</f>
        <v xml:space="preserve"> /  /  / </v>
      </c>
      <c r="H2964" s="1" t="str">
        <f ca="1">IFERROR(__xludf.DUMMYFUNCTION("""COMPUTED_VALUE"""),"  /  /  / ")</f>
        <v xml:space="preserve">  /  /  / </v>
      </c>
    </row>
    <row r="2965" spans="1:8" ht="12.75" x14ac:dyDescent="0.2">
      <c r="A2965" s="1"/>
      <c r="B2965" s="1"/>
      <c r="C2965" s="1"/>
      <c r="D2965" s="1"/>
      <c r="E2965" s="1"/>
      <c r="F2965" s="1" t="str">
        <f ca="1">IFERROR(__xludf.DUMMYFUNCTION("""COMPUTED_VALUE""")," - ")</f>
        <v xml:space="preserve"> - </v>
      </c>
      <c r="G2965" s="1" t="str">
        <f ca="1">IFERROR(__xludf.DUMMYFUNCTION("""COMPUTED_VALUE""")," /  /  / ")</f>
        <v xml:space="preserve"> /  /  / </v>
      </c>
      <c r="H2965" s="1" t="str">
        <f ca="1">IFERROR(__xludf.DUMMYFUNCTION("""COMPUTED_VALUE"""),"  /  /  / ")</f>
        <v xml:space="preserve">  /  /  / </v>
      </c>
    </row>
    <row r="2966" spans="1:8" ht="12.75" x14ac:dyDescent="0.2">
      <c r="A2966" s="1"/>
      <c r="B2966" s="1"/>
      <c r="C2966" s="1"/>
      <c r="D2966" s="1"/>
      <c r="E2966" s="1"/>
      <c r="F2966" s="1" t="str">
        <f ca="1">IFERROR(__xludf.DUMMYFUNCTION("""COMPUTED_VALUE""")," - ")</f>
        <v xml:space="preserve"> - </v>
      </c>
      <c r="G2966" s="1" t="str">
        <f ca="1">IFERROR(__xludf.DUMMYFUNCTION("""COMPUTED_VALUE""")," /  /  / ")</f>
        <v xml:space="preserve"> /  /  / </v>
      </c>
      <c r="H2966" s="1" t="str">
        <f ca="1">IFERROR(__xludf.DUMMYFUNCTION("""COMPUTED_VALUE"""),"  /  /  / ")</f>
        <v xml:space="preserve">  /  /  / </v>
      </c>
    </row>
    <row r="2967" spans="1:8" ht="12.75" x14ac:dyDescent="0.2">
      <c r="A2967" s="1"/>
      <c r="B2967" s="1"/>
      <c r="C2967" s="1"/>
      <c r="D2967" s="1"/>
      <c r="E2967" s="1"/>
      <c r="F2967" s="1" t="str">
        <f ca="1">IFERROR(__xludf.DUMMYFUNCTION("""COMPUTED_VALUE""")," - ")</f>
        <v xml:space="preserve"> - </v>
      </c>
      <c r="G2967" s="1" t="str">
        <f ca="1">IFERROR(__xludf.DUMMYFUNCTION("""COMPUTED_VALUE""")," /  /  / ")</f>
        <v xml:space="preserve"> /  /  / </v>
      </c>
      <c r="H2967" s="1" t="str">
        <f ca="1">IFERROR(__xludf.DUMMYFUNCTION("""COMPUTED_VALUE"""),"  /  /  / ")</f>
        <v xml:space="preserve">  /  /  / </v>
      </c>
    </row>
    <row r="2968" spans="1:8" ht="12.75" x14ac:dyDescent="0.2">
      <c r="A2968" s="1"/>
      <c r="B2968" s="1"/>
      <c r="C2968" s="1"/>
      <c r="D2968" s="1"/>
      <c r="E2968" s="1"/>
      <c r="F2968" s="1" t="str">
        <f ca="1">IFERROR(__xludf.DUMMYFUNCTION("""COMPUTED_VALUE""")," - ")</f>
        <v xml:space="preserve"> - </v>
      </c>
      <c r="G2968" s="1" t="str">
        <f ca="1">IFERROR(__xludf.DUMMYFUNCTION("""COMPUTED_VALUE""")," /  /  / ")</f>
        <v xml:space="preserve"> /  /  / </v>
      </c>
      <c r="H2968" s="1" t="str">
        <f ca="1">IFERROR(__xludf.DUMMYFUNCTION("""COMPUTED_VALUE"""),"  /  /  / ")</f>
        <v xml:space="preserve">  /  /  / </v>
      </c>
    </row>
    <row r="2969" spans="1:8" ht="12.75" x14ac:dyDescent="0.2">
      <c r="A2969" s="1"/>
      <c r="B2969" s="1"/>
      <c r="C2969" s="1"/>
      <c r="D2969" s="1"/>
      <c r="E2969" s="1"/>
      <c r="F2969" s="1" t="str">
        <f ca="1">IFERROR(__xludf.DUMMYFUNCTION("""COMPUTED_VALUE""")," - ")</f>
        <v xml:space="preserve"> - </v>
      </c>
      <c r="G2969" s="1" t="str">
        <f ca="1">IFERROR(__xludf.DUMMYFUNCTION("""COMPUTED_VALUE""")," /  /  / ")</f>
        <v xml:space="preserve"> /  /  / </v>
      </c>
      <c r="H2969" s="1" t="str">
        <f ca="1">IFERROR(__xludf.DUMMYFUNCTION("""COMPUTED_VALUE"""),"  /  /  / ")</f>
        <v xml:space="preserve">  /  /  / </v>
      </c>
    </row>
    <row r="2970" spans="1:8" ht="12.75" x14ac:dyDescent="0.2">
      <c r="A2970" s="1"/>
      <c r="B2970" s="1"/>
      <c r="C2970" s="1"/>
      <c r="D2970" s="1"/>
      <c r="E2970" s="1"/>
      <c r="F2970" s="1" t="str">
        <f ca="1">IFERROR(__xludf.DUMMYFUNCTION("""COMPUTED_VALUE""")," - ")</f>
        <v xml:space="preserve"> - </v>
      </c>
      <c r="G2970" s="1" t="str">
        <f ca="1">IFERROR(__xludf.DUMMYFUNCTION("""COMPUTED_VALUE""")," /  /  / ")</f>
        <v xml:space="preserve"> /  /  / </v>
      </c>
      <c r="H2970" s="1" t="str">
        <f ca="1">IFERROR(__xludf.DUMMYFUNCTION("""COMPUTED_VALUE"""),"  /  /  / ")</f>
        <v xml:space="preserve">  /  /  / </v>
      </c>
    </row>
    <row r="2971" spans="1:8" ht="12.75" x14ac:dyDescent="0.2">
      <c r="A2971" s="1"/>
      <c r="B2971" s="1"/>
      <c r="C2971" s="1"/>
      <c r="D2971" s="1"/>
      <c r="E2971" s="1"/>
      <c r="F2971" s="1" t="str">
        <f ca="1">IFERROR(__xludf.DUMMYFUNCTION("""COMPUTED_VALUE""")," - ")</f>
        <v xml:space="preserve"> - </v>
      </c>
      <c r="G2971" s="1" t="str">
        <f ca="1">IFERROR(__xludf.DUMMYFUNCTION("""COMPUTED_VALUE""")," /  /  / ")</f>
        <v xml:space="preserve"> /  /  / </v>
      </c>
      <c r="H2971" s="1" t="str">
        <f ca="1">IFERROR(__xludf.DUMMYFUNCTION("""COMPUTED_VALUE"""),"  /  /  / ")</f>
        <v xml:space="preserve">  /  /  / </v>
      </c>
    </row>
    <row r="2972" spans="1:8" ht="12.75" x14ac:dyDescent="0.2">
      <c r="A2972" s="1"/>
      <c r="B2972" s="1"/>
      <c r="C2972" s="1"/>
      <c r="D2972" s="1"/>
      <c r="E2972" s="1"/>
      <c r="F2972" s="1" t="str">
        <f ca="1">IFERROR(__xludf.DUMMYFUNCTION("""COMPUTED_VALUE""")," - ")</f>
        <v xml:space="preserve"> - </v>
      </c>
      <c r="G2972" s="1" t="str">
        <f ca="1">IFERROR(__xludf.DUMMYFUNCTION("""COMPUTED_VALUE""")," /  /  / ")</f>
        <v xml:space="preserve"> /  /  / </v>
      </c>
      <c r="H2972" s="1" t="str">
        <f ca="1">IFERROR(__xludf.DUMMYFUNCTION("""COMPUTED_VALUE"""),"  /  /  / ")</f>
        <v xml:space="preserve">  /  /  / </v>
      </c>
    </row>
    <row r="2973" spans="1:8" ht="12.75" x14ac:dyDescent="0.2">
      <c r="A2973" s="1"/>
      <c r="B2973" s="1"/>
      <c r="C2973" s="1"/>
      <c r="D2973" s="1"/>
      <c r="E2973" s="1"/>
      <c r="F2973" s="1" t="str">
        <f ca="1">IFERROR(__xludf.DUMMYFUNCTION("""COMPUTED_VALUE""")," - ")</f>
        <v xml:space="preserve"> - </v>
      </c>
      <c r="G2973" s="1" t="str">
        <f ca="1">IFERROR(__xludf.DUMMYFUNCTION("""COMPUTED_VALUE""")," /  /  / ")</f>
        <v xml:space="preserve"> /  /  / </v>
      </c>
      <c r="H2973" s="1" t="str">
        <f ca="1">IFERROR(__xludf.DUMMYFUNCTION("""COMPUTED_VALUE"""),"  /  /  / ")</f>
        <v xml:space="preserve">  /  /  / </v>
      </c>
    </row>
    <row r="2974" spans="1:8" ht="12.75" x14ac:dyDescent="0.2">
      <c r="A2974" s="1"/>
      <c r="B2974" s="1"/>
      <c r="C2974" s="1"/>
      <c r="D2974" s="1"/>
      <c r="E2974" s="1"/>
      <c r="F2974" s="1" t="str">
        <f ca="1">IFERROR(__xludf.DUMMYFUNCTION("""COMPUTED_VALUE""")," - ")</f>
        <v xml:space="preserve"> - </v>
      </c>
      <c r="G2974" s="1" t="str">
        <f ca="1">IFERROR(__xludf.DUMMYFUNCTION("""COMPUTED_VALUE""")," /  /  / ")</f>
        <v xml:space="preserve"> /  /  / </v>
      </c>
      <c r="H2974" s="1" t="str">
        <f ca="1">IFERROR(__xludf.DUMMYFUNCTION("""COMPUTED_VALUE"""),"  /  /  / ")</f>
        <v xml:space="preserve">  /  /  / </v>
      </c>
    </row>
    <row r="2975" spans="1:8" ht="12.75" x14ac:dyDescent="0.2">
      <c r="A2975" s="1"/>
      <c r="B2975" s="1"/>
      <c r="C2975" s="1"/>
      <c r="D2975" s="1"/>
      <c r="E2975" s="1"/>
      <c r="F2975" s="1" t="str">
        <f ca="1">IFERROR(__xludf.DUMMYFUNCTION("""COMPUTED_VALUE""")," - ")</f>
        <v xml:space="preserve"> - </v>
      </c>
      <c r="G2975" s="1" t="str">
        <f ca="1">IFERROR(__xludf.DUMMYFUNCTION("""COMPUTED_VALUE""")," /  /  / ")</f>
        <v xml:space="preserve"> /  /  / </v>
      </c>
      <c r="H2975" s="1" t="str">
        <f ca="1">IFERROR(__xludf.DUMMYFUNCTION("""COMPUTED_VALUE"""),"  /  /  / ")</f>
        <v xml:space="preserve">  /  /  / </v>
      </c>
    </row>
    <row r="2976" spans="1:8" ht="12.75" x14ac:dyDescent="0.2">
      <c r="A2976" s="1"/>
      <c r="B2976" s="1"/>
      <c r="C2976" s="1"/>
      <c r="D2976" s="1"/>
      <c r="E2976" s="1"/>
      <c r="F2976" s="1" t="str">
        <f ca="1">IFERROR(__xludf.DUMMYFUNCTION("""COMPUTED_VALUE""")," - ")</f>
        <v xml:space="preserve"> - </v>
      </c>
      <c r="G2976" s="1" t="str">
        <f ca="1">IFERROR(__xludf.DUMMYFUNCTION("""COMPUTED_VALUE""")," /  /  / ")</f>
        <v xml:space="preserve"> /  /  / </v>
      </c>
      <c r="H2976" s="1" t="str">
        <f ca="1">IFERROR(__xludf.DUMMYFUNCTION("""COMPUTED_VALUE"""),"  /  /  / ")</f>
        <v xml:space="preserve">  /  /  / </v>
      </c>
    </row>
    <row r="2977" spans="1:8" ht="12.75" x14ac:dyDescent="0.2">
      <c r="A2977" s="1"/>
      <c r="B2977" s="1"/>
      <c r="C2977" s="1"/>
      <c r="D2977" s="1"/>
      <c r="E2977" s="1"/>
      <c r="F2977" s="1" t="str">
        <f ca="1">IFERROR(__xludf.DUMMYFUNCTION("""COMPUTED_VALUE""")," - ")</f>
        <v xml:space="preserve"> - </v>
      </c>
      <c r="G2977" s="1" t="str">
        <f ca="1">IFERROR(__xludf.DUMMYFUNCTION("""COMPUTED_VALUE""")," /  /  / ")</f>
        <v xml:space="preserve"> /  /  / </v>
      </c>
      <c r="H2977" s="1" t="str">
        <f ca="1">IFERROR(__xludf.DUMMYFUNCTION("""COMPUTED_VALUE"""),"  /  /  / ")</f>
        <v xml:space="preserve">  /  /  / </v>
      </c>
    </row>
    <row r="2978" spans="1:8" ht="12.75" x14ac:dyDescent="0.2">
      <c r="A2978" s="1"/>
      <c r="B2978" s="1"/>
      <c r="C2978" s="1"/>
      <c r="D2978" s="1"/>
      <c r="E2978" s="1"/>
      <c r="F2978" s="1" t="str">
        <f ca="1">IFERROR(__xludf.DUMMYFUNCTION("""COMPUTED_VALUE""")," - ")</f>
        <v xml:space="preserve"> - </v>
      </c>
      <c r="G2978" s="1" t="str">
        <f ca="1">IFERROR(__xludf.DUMMYFUNCTION("""COMPUTED_VALUE""")," /  /  / ")</f>
        <v xml:space="preserve"> /  /  / </v>
      </c>
      <c r="H2978" s="1" t="str">
        <f ca="1">IFERROR(__xludf.DUMMYFUNCTION("""COMPUTED_VALUE"""),"  /  /  / ")</f>
        <v xml:space="preserve">  /  /  / </v>
      </c>
    </row>
    <row r="2979" spans="1:8" ht="12.75" x14ac:dyDescent="0.2">
      <c r="A2979" s="1"/>
      <c r="B2979" s="1"/>
      <c r="C2979" s="1"/>
      <c r="D2979" s="1"/>
      <c r="E2979" s="1"/>
      <c r="F2979" s="1" t="str">
        <f ca="1">IFERROR(__xludf.DUMMYFUNCTION("""COMPUTED_VALUE""")," - ")</f>
        <v xml:space="preserve"> - </v>
      </c>
      <c r="G2979" s="1" t="str">
        <f ca="1">IFERROR(__xludf.DUMMYFUNCTION("""COMPUTED_VALUE""")," /  /  / ")</f>
        <v xml:space="preserve"> /  /  / </v>
      </c>
      <c r="H2979" s="1" t="str">
        <f ca="1">IFERROR(__xludf.DUMMYFUNCTION("""COMPUTED_VALUE"""),"  /  /  / ")</f>
        <v xml:space="preserve">  /  /  / </v>
      </c>
    </row>
    <row r="2980" spans="1:8" ht="12.75" x14ac:dyDescent="0.2">
      <c r="A2980" s="1"/>
      <c r="B2980" s="1"/>
      <c r="C2980" s="1"/>
      <c r="D2980" s="1"/>
      <c r="E2980" s="1"/>
      <c r="F2980" s="1" t="str">
        <f ca="1">IFERROR(__xludf.DUMMYFUNCTION("""COMPUTED_VALUE""")," - ")</f>
        <v xml:space="preserve"> - </v>
      </c>
      <c r="G2980" s="1" t="str">
        <f ca="1">IFERROR(__xludf.DUMMYFUNCTION("""COMPUTED_VALUE""")," /  /  / ")</f>
        <v xml:space="preserve"> /  /  / </v>
      </c>
      <c r="H2980" s="1" t="str">
        <f ca="1">IFERROR(__xludf.DUMMYFUNCTION("""COMPUTED_VALUE"""),"  /  /  / ")</f>
        <v xml:space="preserve">  /  /  / </v>
      </c>
    </row>
    <row r="2981" spans="1:8" ht="12.75" x14ac:dyDescent="0.2">
      <c r="A2981" s="1"/>
      <c r="B2981" s="1"/>
      <c r="C2981" s="1"/>
      <c r="D2981" s="1"/>
      <c r="E2981" s="1"/>
      <c r="F2981" s="1" t="str">
        <f ca="1">IFERROR(__xludf.DUMMYFUNCTION("""COMPUTED_VALUE""")," - ")</f>
        <v xml:space="preserve"> - </v>
      </c>
      <c r="G2981" s="1" t="str">
        <f ca="1">IFERROR(__xludf.DUMMYFUNCTION("""COMPUTED_VALUE""")," /  /  / ")</f>
        <v xml:space="preserve"> /  /  / </v>
      </c>
      <c r="H2981" s="1" t="str">
        <f ca="1">IFERROR(__xludf.DUMMYFUNCTION("""COMPUTED_VALUE"""),"  /  /  / ")</f>
        <v xml:space="preserve">  /  /  / </v>
      </c>
    </row>
    <row r="2982" spans="1:8" ht="12.75" x14ac:dyDescent="0.2">
      <c r="A2982" s="1"/>
      <c r="B2982" s="1"/>
      <c r="C2982" s="1"/>
      <c r="D2982" s="1"/>
      <c r="E2982" s="1"/>
      <c r="F2982" s="1" t="str">
        <f ca="1">IFERROR(__xludf.DUMMYFUNCTION("""COMPUTED_VALUE""")," - ")</f>
        <v xml:space="preserve"> - </v>
      </c>
      <c r="G2982" s="1" t="str">
        <f ca="1">IFERROR(__xludf.DUMMYFUNCTION("""COMPUTED_VALUE""")," /  /  / ")</f>
        <v xml:space="preserve"> /  /  / </v>
      </c>
      <c r="H2982" s="1" t="str">
        <f ca="1">IFERROR(__xludf.DUMMYFUNCTION("""COMPUTED_VALUE"""),"  /  /  / ")</f>
        <v xml:space="preserve">  /  /  / </v>
      </c>
    </row>
    <row r="2983" spans="1:8" ht="12.75" x14ac:dyDescent="0.2">
      <c r="A2983" s="1"/>
      <c r="B2983" s="1"/>
      <c r="C2983" s="1"/>
      <c r="D2983" s="1"/>
      <c r="E2983" s="1"/>
      <c r="F2983" s="1" t="str">
        <f ca="1">IFERROR(__xludf.DUMMYFUNCTION("""COMPUTED_VALUE""")," - ")</f>
        <v xml:space="preserve"> - </v>
      </c>
      <c r="G2983" s="1" t="str">
        <f ca="1">IFERROR(__xludf.DUMMYFUNCTION("""COMPUTED_VALUE""")," /  /  / ")</f>
        <v xml:space="preserve"> /  /  / </v>
      </c>
      <c r="H2983" s="1" t="str">
        <f ca="1">IFERROR(__xludf.DUMMYFUNCTION("""COMPUTED_VALUE"""),"  /  /  / ")</f>
        <v xml:space="preserve">  /  /  / </v>
      </c>
    </row>
    <row r="2984" spans="1:8" ht="12.75" x14ac:dyDescent="0.2">
      <c r="A2984" s="1"/>
      <c r="B2984" s="1"/>
      <c r="C2984" s="1"/>
      <c r="D2984" s="1"/>
      <c r="E2984" s="1"/>
      <c r="F2984" s="1" t="str">
        <f ca="1">IFERROR(__xludf.DUMMYFUNCTION("""COMPUTED_VALUE""")," - ")</f>
        <v xml:space="preserve"> - </v>
      </c>
      <c r="G2984" s="1" t="str">
        <f ca="1">IFERROR(__xludf.DUMMYFUNCTION("""COMPUTED_VALUE""")," /  /  / ")</f>
        <v xml:space="preserve"> /  /  / </v>
      </c>
      <c r="H2984" s="1" t="str">
        <f ca="1">IFERROR(__xludf.DUMMYFUNCTION("""COMPUTED_VALUE"""),"  /  /  / ")</f>
        <v xml:space="preserve">  /  /  / </v>
      </c>
    </row>
    <row r="2985" spans="1:8" ht="12.75" x14ac:dyDescent="0.2">
      <c r="A2985" s="1"/>
      <c r="B2985" s="1"/>
      <c r="C2985" s="1"/>
      <c r="D2985" s="1"/>
      <c r="E2985" s="1"/>
      <c r="F2985" s="1" t="str">
        <f ca="1">IFERROR(__xludf.DUMMYFUNCTION("""COMPUTED_VALUE""")," - ")</f>
        <v xml:space="preserve"> - </v>
      </c>
      <c r="G2985" s="1" t="str">
        <f ca="1">IFERROR(__xludf.DUMMYFUNCTION("""COMPUTED_VALUE""")," /  /  / ")</f>
        <v xml:space="preserve"> /  /  / </v>
      </c>
      <c r="H2985" s="1" t="str">
        <f ca="1">IFERROR(__xludf.DUMMYFUNCTION("""COMPUTED_VALUE"""),"  /  /  / ")</f>
        <v xml:space="preserve">  /  /  / </v>
      </c>
    </row>
    <row r="2986" spans="1:8" ht="12.75" x14ac:dyDescent="0.2">
      <c r="A2986" s="1"/>
      <c r="B2986" s="1"/>
      <c r="C2986" s="1"/>
      <c r="D2986" s="1"/>
      <c r="E2986" s="1"/>
      <c r="F2986" s="1" t="str">
        <f ca="1">IFERROR(__xludf.DUMMYFUNCTION("""COMPUTED_VALUE""")," - ")</f>
        <v xml:space="preserve"> - </v>
      </c>
      <c r="G2986" s="1" t="str">
        <f ca="1">IFERROR(__xludf.DUMMYFUNCTION("""COMPUTED_VALUE""")," /  /  / ")</f>
        <v xml:space="preserve"> /  /  / </v>
      </c>
      <c r="H2986" s="1" t="str">
        <f ca="1">IFERROR(__xludf.DUMMYFUNCTION("""COMPUTED_VALUE"""),"  /  /  / ")</f>
        <v xml:space="preserve">  /  /  / </v>
      </c>
    </row>
    <row r="2987" spans="1:8" ht="12.75" x14ac:dyDescent="0.2">
      <c r="A2987" s="1"/>
      <c r="B2987" s="1"/>
      <c r="C2987" s="1"/>
      <c r="D2987" s="1"/>
      <c r="E2987" s="1"/>
      <c r="F2987" s="1" t="str">
        <f ca="1">IFERROR(__xludf.DUMMYFUNCTION("""COMPUTED_VALUE""")," - ")</f>
        <v xml:space="preserve"> - </v>
      </c>
      <c r="G2987" s="1" t="str">
        <f ca="1">IFERROR(__xludf.DUMMYFUNCTION("""COMPUTED_VALUE""")," /  /  / ")</f>
        <v xml:space="preserve"> /  /  / </v>
      </c>
      <c r="H2987" s="1" t="str">
        <f ca="1">IFERROR(__xludf.DUMMYFUNCTION("""COMPUTED_VALUE"""),"  /  /  / ")</f>
        <v xml:space="preserve">  /  /  / </v>
      </c>
    </row>
    <row r="2988" spans="1:8" ht="12.75" x14ac:dyDescent="0.2">
      <c r="A2988" s="1"/>
      <c r="B2988" s="1"/>
      <c r="C2988" s="1"/>
      <c r="D2988" s="1"/>
      <c r="E2988" s="1"/>
      <c r="F2988" s="1" t="str">
        <f ca="1">IFERROR(__xludf.DUMMYFUNCTION("""COMPUTED_VALUE""")," - ")</f>
        <v xml:space="preserve"> - </v>
      </c>
      <c r="G2988" s="1" t="str">
        <f ca="1">IFERROR(__xludf.DUMMYFUNCTION("""COMPUTED_VALUE""")," /  /  / ")</f>
        <v xml:space="preserve"> /  /  / </v>
      </c>
      <c r="H2988" s="1" t="str">
        <f ca="1">IFERROR(__xludf.DUMMYFUNCTION("""COMPUTED_VALUE"""),"  /  /  / ")</f>
        <v xml:space="preserve">  /  /  / </v>
      </c>
    </row>
    <row r="2989" spans="1:8" ht="12.75" x14ac:dyDescent="0.2">
      <c r="A2989" s="1"/>
      <c r="B2989" s="1"/>
      <c r="C2989" s="1"/>
      <c r="D2989" s="1"/>
      <c r="E2989" s="1"/>
      <c r="F2989" s="1" t="str">
        <f ca="1">IFERROR(__xludf.DUMMYFUNCTION("""COMPUTED_VALUE""")," - ")</f>
        <v xml:space="preserve"> - </v>
      </c>
      <c r="G2989" s="1" t="str">
        <f ca="1">IFERROR(__xludf.DUMMYFUNCTION("""COMPUTED_VALUE""")," /  /  / ")</f>
        <v xml:space="preserve"> /  /  / </v>
      </c>
      <c r="H2989" s="1" t="str">
        <f ca="1">IFERROR(__xludf.DUMMYFUNCTION("""COMPUTED_VALUE"""),"  /  /  / ")</f>
        <v xml:space="preserve">  /  /  / </v>
      </c>
    </row>
    <row r="2990" spans="1:8" ht="12.75" x14ac:dyDescent="0.2">
      <c r="A2990" s="1"/>
      <c r="B2990" s="1"/>
      <c r="C2990" s="1"/>
      <c r="D2990" s="1"/>
      <c r="E2990" s="1"/>
      <c r="F2990" s="1" t="str">
        <f ca="1">IFERROR(__xludf.DUMMYFUNCTION("""COMPUTED_VALUE""")," - ")</f>
        <v xml:space="preserve"> - </v>
      </c>
      <c r="G2990" s="1" t="str">
        <f ca="1">IFERROR(__xludf.DUMMYFUNCTION("""COMPUTED_VALUE""")," /  /  / ")</f>
        <v xml:space="preserve"> /  /  / </v>
      </c>
      <c r="H2990" s="1" t="str">
        <f ca="1">IFERROR(__xludf.DUMMYFUNCTION("""COMPUTED_VALUE"""),"  /  /  / ")</f>
        <v xml:space="preserve">  /  /  / </v>
      </c>
    </row>
    <row r="2991" spans="1:8" ht="12.75" x14ac:dyDescent="0.2">
      <c r="A2991" s="1"/>
      <c r="B2991" s="1"/>
      <c r="C2991" s="1"/>
      <c r="D2991" s="1"/>
      <c r="E2991" s="1"/>
      <c r="F2991" s="1" t="str">
        <f ca="1">IFERROR(__xludf.DUMMYFUNCTION("""COMPUTED_VALUE""")," - ")</f>
        <v xml:space="preserve"> - </v>
      </c>
      <c r="G2991" s="1" t="str">
        <f ca="1">IFERROR(__xludf.DUMMYFUNCTION("""COMPUTED_VALUE""")," /  /  / ")</f>
        <v xml:space="preserve"> /  /  / </v>
      </c>
      <c r="H2991" s="1" t="str">
        <f ca="1">IFERROR(__xludf.DUMMYFUNCTION("""COMPUTED_VALUE"""),"  /  /  / ")</f>
        <v xml:space="preserve">  /  /  / </v>
      </c>
    </row>
    <row r="2992" spans="1:8" ht="12.75" x14ac:dyDescent="0.2">
      <c r="A2992" s="1"/>
      <c r="B2992" s="1"/>
      <c r="C2992" s="1"/>
      <c r="D2992" s="1"/>
      <c r="E2992" s="1"/>
      <c r="F2992" s="1" t="str">
        <f ca="1">IFERROR(__xludf.DUMMYFUNCTION("""COMPUTED_VALUE""")," - ")</f>
        <v xml:space="preserve"> - </v>
      </c>
      <c r="G2992" s="1" t="str">
        <f ca="1">IFERROR(__xludf.DUMMYFUNCTION("""COMPUTED_VALUE""")," /  /  / ")</f>
        <v xml:space="preserve"> /  /  / </v>
      </c>
      <c r="H2992" s="1" t="str">
        <f ca="1">IFERROR(__xludf.DUMMYFUNCTION("""COMPUTED_VALUE"""),"  /  /  / ")</f>
        <v xml:space="preserve">  /  /  / </v>
      </c>
    </row>
    <row r="2993" spans="1:8" ht="12.75" x14ac:dyDescent="0.2">
      <c r="A2993" s="1"/>
      <c r="B2993" s="1"/>
      <c r="C2993" s="1"/>
      <c r="D2993" s="1"/>
      <c r="E2993" s="1"/>
      <c r="F2993" s="1" t="str">
        <f ca="1">IFERROR(__xludf.DUMMYFUNCTION("""COMPUTED_VALUE""")," - ")</f>
        <v xml:space="preserve"> - </v>
      </c>
      <c r="G2993" s="1" t="str">
        <f ca="1">IFERROR(__xludf.DUMMYFUNCTION("""COMPUTED_VALUE""")," /  /  / ")</f>
        <v xml:space="preserve"> /  /  / </v>
      </c>
      <c r="H2993" s="1" t="str">
        <f ca="1">IFERROR(__xludf.DUMMYFUNCTION("""COMPUTED_VALUE"""),"  /  /  / ")</f>
        <v xml:space="preserve">  /  /  / </v>
      </c>
    </row>
    <row r="2994" spans="1:8" ht="12.75" x14ac:dyDescent="0.2">
      <c r="A2994" s="1"/>
      <c r="B2994" s="1"/>
      <c r="C2994" s="1"/>
      <c r="D2994" s="1"/>
      <c r="E2994" s="1"/>
      <c r="F2994" s="1" t="str">
        <f ca="1">IFERROR(__xludf.DUMMYFUNCTION("""COMPUTED_VALUE""")," - ")</f>
        <v xml:space="preserve"> - </v>
      </c>
      <c r="G2994" s="1" t="str">
        <f ca="1">IFERROR(__xludf.DUMMYFUNCTION("""COMPUTED_VALUE""")," /  /  / ")</f>
        <v xml:space="preserve"> /  /  / </v>
      </c>
      <c r="H2994" s="1" t="str">
        <f ca="1">IFERROR(__xludf.DUMMYFUNCTION("""COMPUTED_VALUE"""),"  /  /  / ")</f>
        <v xml:space="preserve">  /  /  / </v>
      </c>
    </row>
    <row r="2995" spans="1:8" ht="12.75" x14ac:dyDescent="0.2">
      <c r="A2995" s="1"/>
      <c r="B2995" s="1"/>
      <c r="C2995" s="1"/>
      <c r="D2995" s="1"/>
      <c r="E2995" s="1"/>
      <c r="F2995" s="1" t="str">
        <f ca="1">IFERROR(__xludf.DUMMYFUNCTION("""COMPUTED_VALUE""")," - ")</f>
        <v xml:space="preserve"> - </v>
      </c>
      <c r="G2995" s="1" t="str">
        <f ca="1">IFERROR(__xludf.DUMMYFUNCTION("""COMPUTED_VALUE""")," /  /  / ")</f>
        <v xml:space="preserve"> /  /  / </v>
      </c>
      <c r="H2995" s="1" t="str">
        <f ca="1">IFERROR(__xludf.DUMMYFUNCTION("""COMPUTED_VALUE"""),"  /  /  / ")</f>
        <v xml:space="preserve">  /  /  / </v>
      </c>
    </row>
    <row r="2996" spans="1:8" ht="12.75" x14ac:dyDescent="0.2">
      <c r="A2996" s="1"/>
      <c r="B2996" s="1"/>
      <c r="C2996" s="1"/>
      <c r="D2996" s="1"/>
      <c r="E2996" s="1"/>
      <c r="F2996" s="1" t="str">
        <f ca="1">IFERROR(__xludf.DUMMYFUNCTION("""COMPUTED_VALUE""")," - ")</f>
        <v xml:space="preserve"> - </v>
      </c>
      <c r="G2996" s="1" t="str">
        <f ca="1">IFERROR(__xludf.DUMMYFUNCTION("""COMPUTED_VALUE""")," /  /  / ")</f>
        <v xml:space="preserve"> /  /  / </v>
      </c>
      <c r="H2996" s="1" t="str">
        <f ca="1">IFERROR(__xludf.DUMMYFUNCTION("""COMPUTED_VALUE"""),"  /  /  / ")</f>
        <v xml:space="preserve">  /  /  / </v>
      </c>
    </row>
    <row r="2997" spans="1:8" ht="12.75" x14ac:dyDescent="0.2">
      <c r="A2997" s="1"/>
      <c r="B2997" s="1"/>
      <c r="C2997" s="1"/>
      <c r="D2997" s="1"/>
      <c r="E2997" s="1"/>
      <c r="F2997" s="1" t="str">
        <f ca="1">IFERROR(__xludf.DUMMYFUNCTION("""COMPUTED_VALUE""")," - ")</f>
        <v xml:space="preserve"> - </v>
      </c>
      <c r="G2997" s="1" t="str">
        <f ca="1">IFERROR(__xludf.DUMMYFUNCTION("""COMPUTED_VALUE""")," /  /  / ")</f>
        <v xml:space="preserve"> /  /  / </v>
      </c>
      <c r="H2997" s="1" t="str">
        <f ca="1">IFERROR(__xludf.DUMMYFUNCTION("""COMPUTED_VALUE"""),"  /  /  / ")</f>
        <v xml:space="preserve">  /  /  / </v>
      </c>
    </row>
    <row r="2998" spans="1:8" ht="12.75" x14ac:dyDescent="0.2">
      <c r="A2998" s="1"/>
      <c r="B2998" s="1"/>
      <c r="C2998" s="1"/>
      <c r="D2998" s="1"/>
      <c r="E2998" s="1"/>
      <c r="F2998" s="1" t="str">
        <f ca="1">IFERROR(__xludf.DUMMYFUNCTION("""COMPUTED_VALUE""")," - ")</f>
        <v xml:space="preserve"> - </v>
      </c>
      <c r="G2998" s="1" t="str">
        <f ca="1">IFERROR(__xludf.DUMMYFUNCTION("""COMPUTED_VALUE""")," /  /  / ")</f>
        <v xml:space="preserve"> /  /  / </v>
      </c>
      <c r="H2998" s="1" t="str">
        <f ca="1">IFERROR(__xludf.DUMMYFUNCTION("""COMPUTED_VALUE"""),"  /  /  / ")</f>
        <v xml:space="preserve">  /  /  / </v>
      </c>
    </row>
    <row r="2999" spans="1:8" ht="12.75" x14ac:dyDescent="0.2">
      <c r="A2999" s="1"/>
      <c r="B2999" s="1"/>
      <c r="C2999" s="1"/>
      <c r="D2999" s="1"/>
      <c r="E2999" s="1"/>
      <c r="F2999" s="1" t="str">
        <f ca="1">IFERROR(__xludf.DUMMYFUNCTION("""COMPUTED_VALUE""")," - ")</f>
        <v xml:space="preserve"> - </v>
      </c>
      <c r="G2999" s="1" t="str">
        <f ca="1">IFERROR(__xludf.DUMMYFUNCTION("""COMPUTED_VALUE""")," /  /  / ")</f>
        <v xml:space="preserve"> /  /  / </v>
      </c>
      <c r="H2999" s="1" t="str">
        <f ca="1">IFERROR(__xludf.DUMMYFUNCTION("""COMPUTED_VALUE"""),"  /  /  / ")</f>
        <v xml:space="preserve">  /  /  / </v>
      </c>
    </row>
    <row r="3000" spans="1:8" ht="12.75" x14ac:dyDescent="0.2">
      <c r="A3000" s="1"/>
      <c r="B3000" s="1"/>
      <c r="C3000" s="1"/>
      <c r="D3000" s="1"/>
      <c r="E3000" s="1"/>
      <c r="F3000" s="1" t="str">
        <f ca="1">IFERROR(__xludf.DUMMYFUNCTION("""COMPUTED_VALUE""")," - ")</f>
        <v xml:space="preserve"> - </v>
      </c>
      <c r="G3000" s="1" t="str">
        <f ca="1">IFERROR(__xludf.DUMMYFUNCTION("""COMPUTED_VALUE""")," /  /  / ")</f>
        <v xml:space="preserve"> /  /  / </v>
      </c>
      <c r="H3000" s="1" t="str">
        <f ca="1">IFERROR(__xludf.DUMMYFUNCTION("""COMPUTED_VALUE"""),"  /  /  / ")</f>
        <v xml:space="preserve">  /  /  / </v>
      </c>
    </row>
    <row r="3001" spans="1:8" ht="12.75" x14ac:dyDescent="0.2">
      <c r="A3001" s="1"/>
      <c r="B3001" s="1"/>
      <c r="C3001" s="1"/>
      <c r="D3001" s="1"/>
      <c r="E3001" s="1"/>
      <c r="F3001" s="1" t="str">
        <f ca="1">IFERROR(__xludf.DUMMYFUNCTION("""COMPUTED_VALUE""")," - ")</f>
        <v xml:space="preserve"> - </v>
      </c>
      <c r="G3001" s="1" t="str">
        <f ca="1">IFERROR(__xludf.DUMMYFUNCTION("""COMPUTED_VALUE""")," /  /  / ")</f>
        <v xml:space="preserve"> /  /  / </v>
      </c>
      <c r="H3001" s="1" t="str">
        <f ca="1">IFERROR(__xludf.DUMMYFUNCTION("""COMPUTED_VALUE"""),"  /  /  / ")</f>
        <v xml:space="preserve">  /  /  /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МХК</vt:lpstr>
      <vt:lpstr>Лист16</vt:lpstr>
      <vt:lpstr>Справ.Номенк</vt:lpstr>
      <vt:lpstr>LOT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comp272</dc:creator>
  <cp:lastModifiedBy>User</cp:lastModifiedBy>
  <cp:lastPrinted>2026-01-12T12:33:34Z</cp:lastPrinted>
  <dcterms:created xsi:type="dcterms:W3CDTF">2023-03-30T06:31:51Z</dcterms:created>
  <dcterms:modified xsi:type="dcterms:W3CDTF">2026-02-12T05:06:58Z</dcterms:modified>
</cp:coreProperties>
</file>