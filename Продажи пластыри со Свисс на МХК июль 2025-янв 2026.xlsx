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B18FC8A2-86E5-4DC1-9021-58ED792AF2F2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Лист_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E13" i="1"/>
  <c r="E14" i="1"/>
  <c r="E15" i="1"/>
  <c r="E16" i="1"/>
  <c r="E17" i="1"/>
  <c r="E18" i="1"/>
  <c r="E19" i="1"/>
  <c r="E20" i="1"/>
  <c r="E21" i="1"/>
  <c r="E22" i="1"/>
  <c r="E23" i="1"/>
  <c r="E11" i="1"/>
</calcChain>
</file>

<file path=xl/sharedStrings.xml><?xml version="1.0" encoding="utf-8"?>
<sst xmlns="http://schemas.openxmlformats.org/spreadsheetml/2006/main" count="26" uniqueCount="26">
  <si>
    <t>Swiss Energy/Свисс Энерджи</t>
  </si>
  <si>
    <t>Отчет о реализации товаров (услуг)  за Июль 2025 г. - Январь 2026 г.</t>
  </si>
  <si>
    <t>Отбор:</t>
  </si>
  <si>
    <t>Номенклатура В группе из списка "Dr.Frei Медицинские пласт..." И Контрагент Не в группе из списка "Swiss Energy/Свисс Энердж..."</t>
  </si>
  <si>
    <t>Сортировка:</t>
  </si>
  <si>
    <t>Организация По возрастанию</t>
  </si>
  <si>
    <t>Контрагент</t>
  </si>
  <si>
    <t>Количество реализации (с возвратами)</t>
  </si>
  <si>
    <t>Profit (сумма)</t>
  </si>
  <si>
    <t>Номенклатура</t>
  </si>
  <si>
    <t>MedHouse Kazakhstan ТОО</t>
  </si>
  <si>
    <t>КОМПЛЕКТ ПЛАСТЫРЕЙ НА ТКАНЕВОЙ ОСНОВЕ №20</t>
  </si>
  <si>
    <t>МЕДИЦИНСКИЙ НЕТКАНЫЙ ПЛАСТЫРЬ (19mm х 72mm) №10</t>
  </si>
  <si>
    <t>МЕДИЦИНСКИЙ НЕТКАНЫЙ ПЛАСТЫРЬ В РУЛОНЕ (5 м x 1,25cm)</t>
  </si>
  <si>
    <t>МЕДИЦИНСКИЙ НЕТКАНЫЙ ПЛАСТЫРЬ В РУЛОНЕ (5 м x 2,5cm)</t>
  </si>
  <si>
    <t>МЕДИЦИНСКИЙ ПЛАСТЫРЬ НА НЕТКАНОЙ ОСНОВЕ (10сm х 6сm) №10</t>
  </si>
  <si>
    <t>МЕДИЦИНСКИЙ ПЛАСТЫРЬ НА ТКАНЕВОЙ ОСНОВЕ (19mm х 72mm) №10</t>
  </si>
  <si>
    <t>МЕДИЦИНСКИЙ ПЛАСТЫРЬ НА ТКАНЕВОЙ ОСНОВЕ (19mm х 72mm) №100</t>
  </si>
  <si>
    <t>МЕДИЦИНСКИЙ ХЛОПЧАТОБУМАЖНЫЙ ПЛАСТЫРЬ В РУЛОНЕ (5m x 1,25cm)</t>
  </si>
  <si>
    <t>МЕДИЦИНСКИЙ ХЛОПЧАТОБУМАЖНЫЙ ПЛАСТЫРЬ В РУЛОНЕ (5m x 2,5cm)</t>
  </si>
  <si>
    <t>МОЗОЛЬНЫЙ ПЛАСТЫРЬ (19mm х 72mm) №4</t>
  </si>
  <si>
    <t>ПЛАСТЫРИ ДЛЯ ДЕТЕЙ (19mm х 72mm) №20</t>
  </si>
  <si>
    <t>ХИРУРГИЧЕСКИЙ НЕТКАНЫЙ ПЛАСТЫРЬ (5m х 5 сm)</t>
  </si>
  <si>
    <t>ХИРУРГИЧЕСКИЙ ХЛОПКОВЫЙ ПЛАСТЫРЬ (5m х 5 сm)</t>
  </si>
  <si>
    <t>Итого</t>
  </si>
  <si>
    <t>Profit за ед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</si>
</sst>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</fonts>
  <fills count="5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4" fillId="3" borderId="4" xfId="0" applyNumberFormat="1" applyFont="1" applyFill="1" applyBorder="1" applyAlignment="1">
      <alignment horizontal="right" vertical="top"/>
    </xf>
    <xf numFmtId="4" fontId="4" fillId="3" borderId="4" xfId="0" applyNumberFormat="1" applyFont="1" applyFill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" fontId="3" fillId="0" borderId="4" xfId="0" applyNumberFormat="1" applyFont="1" applyBorder="1" applyAlignment="1">
      <alignment horizontal="right" vertical="top"/>
    </xf>
    <xf numFmtId="164" fontId="4" fillId="2" borderId="1" xfId="0" applyNumberFormat="1" applyFont="1" applyFill="1" applyBorder="1" applyAlignment="1">
      <alignment horizontal="right" vertical="top"/>
    </xf>
    <xf numFmtId="4" fontId="4" fillId="2" borderId="1" xfId="0" applyNumberFormat="1" applyFont="1" applyFill="1" applyBorder="1" applyAlignment="1">
      <alignment horizontal="right" vertical="top"/>
    </xf>
    <xf numFmtId="0" fontId="0" fillId="4" borderId="0" xfId="0" applyFill="1" applyAlignment="1">
      <alignment horizontal="left"/>
    </xf>
    <xf numFmtId="0" fontId="3" fillId="0" borderId="4" xfId="0" applyFont="1" applyBorder="1" applyAlignment="1">
      <alignment horizontal="left" vertical="top" wrapText="1" indent="2"/>
    </xf>
    <xf numFmtId="0" fontId="4" fillId="2" borderId="1" xfId="0" applyFont="1" applyFill="1" applyBorder="1" applyAlignment="1">
      <alignment horizontal="left" vertical="top"/>
    </xf>
    <xf numFmtId="0" fontId="4" fillId="3" borderId="4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E24"/>
  <sheetViews>
    <sheetView tabSelected="1" workbookViewId="0">
      <selection activeCell="G16" sqref="G16"/>
    </sheetView>
  </sheetViews>
  <sheetFormatPr defaultColWidth="10.42578125" defaultRowHeight="11.4" customHeight="1" outlineLevelRow="1" x14ac:dyDescent="0.2"/>
  <cols>
    <col min="1" max="1" width="18.7109375" style="1" customWidth="1"/>
    <col min="2" max="2" width="56" style="1" customWidth="1"/>
    <col min="3" max="3" width="21.42578125" style="1" customWidth="1"/>
    <col min="4" max="4" width="16.42578125" style="1" customWidth="1"/>
    <col min="5" max="5" width="17.28515625" style="1" customWidth="1"/>
  </cols>
  <sheetData>
    <row r="1" spans="1:5" ht="13.05" customHeight="1" x14ac:dyDescent="0.25">
      <c r="A1" s="13" t="s">
        <v>0</v>
      </c>
      <c r="B1" s="13"/>
      <c r="C1" s="13"/>
      <c r="D1" s="13"/>
      <c r="E1" s="13"/>
    </row>
    <row r="2" spans="1:5" ht="16.05" customHeight="1" x14ac:dyDescent="0.3">
      <c r="A2" s="14" t="s">
        <v>1</v>
      </c>
      <c r="B2" s="14"/>
      <c r="C2" s="14"/>
      <c r="D2" s="14"/>
      <c r="E2" s="14"/>
    </row>
    <row r="3" spans="1:5" s="1" customFormat="1" ht="1.95" customHeight="1" x14ac:dyDescent="0.2"/>
    <row r="4" spans="1:5" ht="22.95" customHeight="1" x14ac:dyDescent="0.2">
      <c r="A4" s="2" t="s">
        <v>2</v>
      </c>
      <c r="B4" s="15" t="s">
        <v>3</v>
      </c>
      <c r="C4" s="15"/>
      <c r="D4" s="15"/>
      <c r="E4" s="15"/>
    </row>
    <row r="5" spans="1:5" s="1" customFormat="1" ht="1.95" customHeight="1" x14ac:dyDescent="0.2"/>
    <row r="6" spans="1:5" ht="10.95" customHeight="1" x14ac:dyDescent="0.2">
      <c r="A6" s="2" t="s">
        <v>4</v>
      </c>
      <c r="B6" s="15" t="s">
        <v>5</v>
      </c>
      <c r="C6" s="15"/>
      <c r="D6" s="15"/>
      <c r="E6" s="15"/>
    </row>
    <row r="7" spans="1:5" s="1" customFormat="1" ht="1.95" customHeight="1" x14ac:dyDescent="0.2"/>
    <row r="8" spans="1:5" ht="19.95" customHeight="1" x14ac:dyDescent="0.2">
      <c r="A8" s="16" t="s">
        <v>6</v>
      </c>
      <c r="B8" s="16"/>
      <c r="C8" s="17" t="s">
        <v>7</v>
      </c>
      <c r="D8" s="17" t="s">
        <v>8</v>
      </c>
      <c r="E8" s="19" t="s">
        <v>25</v>
      </c>
    </row>
    <row r="9" spans="1:5" ht="19.05" customHeight="1" x14ac:dyDescent="0.2">
      <c r="A9" s="16" t="s">
        <v>9</v>
      </c>
      <c r="B9" s="16"/>
      <c r="C9" s="18"/>
      <c r="D9" s="18"/>
      <c r="E9" s="20"/>
    </row>
    <row r="10" spans="1:5" ht="13.05" customHeight="1" x14ac:dyDescent="0.2">
      <c r="A10" s="12" t="s">
        <v>10</v>
      </c>
      <c r="B10" s="12"/>
      <c r="C10" s="3">
        <v>710360</v>
      </c>
      <c r="D10" s="4">
        <v>13813671.26</v>
      </c>
      <c r="E10" s="9"/>
    </row>
    <row r="11" spans="1:5" ht="10.95" customHeight="1" outlineLevel="1" x14ac:dyDescent="0.2">
      <c r="A11" s="10" t="s">
        <v>11</v>
      </c>
      <c r="B11" s="10"/>
      <c r="C11" s="5">
        <v>30024</v>
      </c>
      <c r="D11" s="6">
        <v>756558.19</v>
      </c>
      <c r="E11" s="9">
        <f>D11/C11</f>
        <v>25.198447575273114</v>
      </c>
    </row>
    <row r="12" spans="1:5" ht="10.95" customHeight="1" outlineLevel="1" x14ac:dyDescent="0.2">
      <c r="A12" s="10" t="s">
        <v>12</v>
      </c>
      <c r="B12" s="10"/>
      <c r="C12" s="5">
        <v>122400</v>
      </c>
      <c r="D12" s="6">
        <v>1617536.93</v>
      </c>
      <c r="E12" s="9">
        <f t="shared" ref="E12:E23" si="0">D12/C12</f>
        <v>13.215170996732025</v>
      </c>
    </row>
    <row r="13" spans="1:5" ht="10.95" customHeight="1" outlineLevel="1" x14ac:dyDescent="0.2">
      <c r="A13" s="10" t="s">
        <v>13</v>
      </c>
      <c r="B13" s="10"/>
      <c r="C13" s="5">
        <v>19584</v>
      </c>
      <c r="D13" s="6">
        <v>223668.6</v>
      </c>
      <c r="E13" s="9">
        <f t="shared" si="0"/>
        <v>11.420986519607844</v>
      </c>
    </row>
    <row r="14" spans="1:5" ht="10.95" customHeight="1" outlineLevel="1" x14ac:dyDescent="0.2">
      <c r="A14" s="10" t="s">
        <v>14</v>
      </c>
      <c r="B14" s="10"/>
      <c r="C14" s="5">
        <v>96552</v>
      </c>
      <c r="D14" s="6">
        <v>2282442.62</v>
      </c>
      <c r="E14" s="9">
        <f t="shared" si="0"/>
        <v>23.63951673709504</v>
      </c>
    </row>
    <row r="15" spans="1:5" ht="10.95" customHeight="1" outlineLevel="1" x14ac:dyDescent="0.2">
      <c r="A15" s="10" t="s">
        <v>15</v>
      </c>
      <c r="B15" s="10"/>
      <c r="C15" s="5">
        <v>16704</v>
      </c>
      <c r="D15" s="6">
        <v>562048.49</v>
      </c>
      <c r="E15" s="9">
        <f t="shared" si="0"/>
        <v>33.647538912835252</v>
      </c>
    </row>
    <row r="16" spans="1:5" ht="10.95" customHeight="1" outlineLevel="1" x14ac:dyDescent="0.2">
      <c r="A16" s="10" t="s">
        <v>16</v>
      </c>
      <c r="B16" s="10"/>
      <c r="C16" s="5">
        <v>278400</v>
      </c>
      <c r="D16" s="6">
        <v>2000840.84</v>
      </c>
      <c r="E16" s="9">
        <f t="shared" si="0"/>
        <v>7.1869283045977017</v>
      </c>
    </row>
    <row r="17" spans="1:5" ht="10.95" customHeight="1" outlineLevel="1" x14ac:dyDescent="0.2">
      <c r="A17" s="10" t="s">
        <v>17</v>
      </c>
      <c r="B17" s="10"/>
      <c r="C17" s="5">
        <v>14700</v>
      </c>
      <c r="D17" s="6">
        <v>1046562.02</v>
      </c>
      <c r="E17" s="9">
        <f t="shared" si="0"/>
        <v>71.194695238095235</v>
      </c>
    </row>
    <row r="18" spans="1:5" ht="10.95" customHeight="1" outlineLevel="1" x14ac:dyDescent="0.2">
      <c r="A18" s="10" t="s">
        <v>18</v>
      </c>
      <c r="B18" s="10"/>
      <c r="C18" s="5">
        <v>17500</v>
      </c>
      <c r="D18" s="6">
        <v>432660.2</v>
      </c>
      <c r="E18" s="9">
        <f t="shared" si="0"/>
        <v>24.72344</v>
      </c>
    </row>
    <row r="19" spans="1:5" ht="10.95" customHeight="1" outlineLevel="1" x14ac:dyDescent="0.2">
      <c r="A19" s="10" t="s">
        <v>19</v>
      </c>
      <c r="B19" s="10"/>
      <c r="C19" s="5">
        <v>55296</v>
      </c>
      <c r="D19" s="6">
        <v>2090239.65</v>
      </c>
      <c r="E19" s="9">
        <f t="shared" si="0"/>
        <v>37.800919596354163</v>
      </c>
    </row>
    <row r="20" spans="1:5" ht="10.95" customHeight="1" outlineLevel="1" x14ac:dyDescent="0.2">
      <c r="A20" s="10" t="s">
        <v>20</v>
      </c>
      <c r="B20" s="10"/>
      <c r="C20" s="5">
        <v>28320</v>
      </c>
      <c r="D20" s="6">
        <v>638467.28</v>
      </c>
      <c r="E20" s="9">
        <f t="shared" si="0"/>
        <v>22.544748587570623</v>
      </c>
    </row>
    <row r="21" spans="1:5" ht="10.95" customHeight="1" outlineLevel="1" x14ac:dyDescent="0.2">
      <c r="A21" s="10" t="s">
        <v>21</v>
      </c>
      <c r="B21" s="10"/>
      <c r="C21" s="5">
        <v>17280</v>
      </c>
      <c r="D21" s="6">
        <v>469506.73</v>
      </c>
      <c r="E21" s="9">
        <f t="shared" si="0"/>
        <v>27.17052835648148</v>
      </c>
    </row>
    <row r="22" spans="1:5" ht="10.95" customHeight="1" outlineLevel="1" x14ac:dyDescent="0.2">
      <c r="A22" s="10" t="s">
        <v>22</v>
      </c>
      <c r="B22" s="10"/>
      <c r="C22" s="5">
        <v>2100</v>
      </c>
      <c r="D22" s="6">
        <v>170458.42</v>
      </c>
      <c r="E22" s="9">
        <f t="shared" si="0"/>
        <v>81.1706761904762</v>
      </c>
    </row>
    <row r="23" spans="1:5" ht="10.95" customHeight="1" outlineLevel="1" x14ac:dyDescent="0.2">
      <c r="A23" s="10" t="s">
        <v>23</v>
      </c>
      <c r="B23" s="10"/>
      <c r="C23" s="5">
        <v>11500</v>
      </c>
      <c r="D23" s="6">
        <v>1522681.29</v>
      </c>
      <c r="E23" s="9">
        <f t="shared" si="0"/>
        <v>132.40706869565219</v>
      </c>
    </row>
    <row r="24" spans="1:5" ht="13.05" customHeight="1" x14ac:dyDescent="0.2">
      <c r="A24" s="11" t="s">
        <v>24</v>
      </c>
      <c r="B24" s="11"/>
      <c r="C24" s="7">
        <v>710360</v>
      </c>
      <c r="D24" s="8">
        <v>13813671.26</v>
      </c>
      <c r="E24" s="9"/>
    </row>
  </sheetData>
  <mergeCells count="24">
    <mergeCell ref="A1:E1"/>
    <mergeCell ref="A2:E2"/>
    <mergeCell ref="B4:E4"/>
    <mergeCell ref="B6:E6"/>
    <mergeCell ref="A8:B8"/>
    <mergeCell ref="C8:C9"/>
    <mergeCell ref="D8:D9"/>
    <mergeCell ref="A9:B9"/>
    <mergeCell ref="E8:E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Adil Mombekov</cp:lastModifiedBy>
  <dcterms:modified xsi:type="dcterms:W3CDTF">2026-02-17T06:52:56Z</dcterms:modified>
</cp:coreProperties>
</file>