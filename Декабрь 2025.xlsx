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DCED3C8-A416-4063-90BD-CD2E35853D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_1" sheetId="1" r:id="rId1"/>
    <sheet name="Январь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3" i="2" l="1"/>
  <c r="C89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D893" i="2" l="1"/>
</calcChain>
</file>

<file path=xl/sharedStrings.xml><?xml version="1.0" encoding="utf-8"?>
<sst xmlns="http://schemas.openxmlformats.org/spreadsheetml/2006/main" count="1756" uniqueCount="1146">
  <si>
    <t>Контрагент</t>
  </si>
  <si>
    <t>Сумма реализации (с возвратами)</t>
  </si>
  <si>
    <t xml:space="preserve"> AISHA PHARMACY ТОО</t>
  </si>
  <si>
    <t xml:space="preserve"> Asyl Farm ТОО</t>
  </si>
  <si>
    <t xml:space="preserve"> Мирсалиев  ИП</t>
  </si>
  <si>
    <t>03 FARM PLUS ТОО</t>
  </si>
  <si>
    <t>36,6-PVL ТОО</t>
  </si>
  <si>
    <t>3616 ТОО</t>
  </si>
  <si>
    <t>999Нур ТОО</t>
  </si>
  <si>
    <t>A.S.K. MED  ТОО</t>
  </si>
  <si>
    <t>ABAD pharm ТОО</t>
  </si>
  <si>
    <t>ABAI PHARM  ТОО</t>
  </si>
  <si>
    <t>ADAL Pharm ТОО</t>
  </si>
  <si>
    <t>ADELPHARM ИП</t>
  </si>
  <si>
    <t>A-DEM FARM ТОО</t>
  </si>
  <si>
    <t>Adi Premium  ТОО</t>
  </si>
  <si>
    <t>AG Union ТОО</t>
  </si>
  <si>
    <t>AGATAI PHARM ТОО</t>
  </si>
  <si>
    <t>Agni Elevators (Агни Эливейторс) ТОО</t>
  </si>
  <si>
    <t>Ainala Pharm</t>
  </si>
  <si>
    <t>Ainur.kz ИП</t>
  </si>
  <si>
    <t>Ai-Pharm02</t>
  </si>
  <si>
    <t>AIVAS.MARKET ТОО</t>
  </si>
  <si>
    <t>AK NIET GROUP Западный Казахстан</t>
  </si>
  <si>
    <t>AK NIET GROUP ТОО Филиал</t>
  </si>
  <si>
    <t>AK NIET GROUP ТОО Филиал в г.Алматы</t>
  </si>
  <si>
    <t>AK NIET GROUP ТОО Филиал г. Усть-Каменогорск</t>
  </si>
  <si>
    <t>AK NIET GROUP филиал в г. Шымкент ТОО</t>
  </si>
  <si>
    <t>ALEKA CO ТОО</t>
  </si>
  <si>
    <t>Alfa-farm ТОО</t>
  </si>
  <si>
    <t>Alip Pharm ТОО</t>
  </si>
  <si>
    <t>Al-KausarPharm</t>
  </si>
  <si>
    <t>Altyn Dari Market</t>
  </si>
  <si>
    <t>AMANAT PHARMACY ТОО</t>
  </si>
  <si>
    <t>Aman-pharma ТОО</t>
  </si>
  <si>
    <t>Amazon pharm ТОО</t>
  </si>
  <si>
    <t>Amazon plus pharm ТОО</t>
  </si>
  <si>
    <t>AMID&amp;ФАРМ ТОО</t>
  </si>
  <si>
    <t>Anadolu-Med ТОО</t>
  </si>
  <si>
    <t>APOTHEKE 8 ТОО</t>
  </si>
  <si>
    <t>Apple Pharm ТОО</t>
  </si>
  <si>
    <t>Apple Pharma ТОО</t>
  </si>
  <si>
    <t>Arbuz Group (Арбуз Груп) ТОО</t>
  </si>
  <si>
    <t>Arbuz Group (Арбуз Груп) ТОО Филиал</t>
  </si>
  <si>
    <t>ARU PHARM ТОО</t>
  </si>
  <si>
    <t>AS PHARM ALMATY ТОО</t>
  </si>
  <si>
    <t>ASA group 2024 ТОО</t>
  </si>
  <si>
    <t>ASER-MED ТОО</t>
  </si>
  <si>
    <t>Asian Medical Depo group ТОО</t>
  </si>
  <si>
    <t>ASK Pharm ИП</t>
  </si>
  <si>
    <t>Astana Imana-Farm ТОО</t>
  </si>
  <si>
    <t>ATABAY Pharm TOO</t>
  </si>
  <si>
    <t>ATAMIRAS.S ТОО</t>
  </si>
  <si>
    <t>AYALA PHARM</t>
  </si>
  <si>
    <t>AZAфарм ТОО</t>
  </si>
  <si>
    <t>Azella ТОО</t>
  </si>
  <si>
    <t>BAI-PATSHA GROUP ТОО</t>
  </si>
  <si>
    <t>BAQ pharm ТОО</t>
  </si>
  <si>
    <t>Barakat Insan Food company</t>
  </si>
  <si>
    <t>BEREKEPHARMCOMPANY ТОО</t>
  </si>
  <si>
    <t>BEREKET MED FARM ТОО</t>
  </si>
  <si>
    <t>BIG-Shyn Company ТОО</t>
  </si>
  <si>
    <t>BIOMED-SM Corp. ТОО</t>
  </si>
  <si>
    <t>BioPharmix ТОО</t>
  </si>
  <si>
    <t>BIPHARM ТОО</t>
  </si>
  <si>
    <t>BR PHARM+</t>
  </si>
  <si>
    <t>Centr Farm ТОО</t>
  </si>
  <si>
    <t>CU Central Asia ТОО</t>
  </si>
  <si>
    <t>CVS PHARMACY ТОО</t>
  </si>
  <si>
    <t>DAFAS ТОО</t>
  </si>
  <si>
    <t>Damu Astana 2008 ТОО</t>
  </si>
  <si>
    <t>Dari Med GROUP ТОО</t>
  </si>
  <si>
    <t>Dariler Bar ТОО</t>
  </si>
  <si>
    <t>DARIMED ИП</t>
  </si>
  <si>
    <t>Dariya GroupТОО</t>
  </si>
  <si>
    <t>DAUA Pharma</t>
  </si>
  <si>
    <t>Daulet medical center ТОО</t>
  </si>
  <si>
    <t>Diamond Pharmacy 1 ТОО</t>
  </si>
  <si>
    <t>Diamond Pharmacy ТОО</t>
  </si>
  <si>
    <t>Diana Ross Max ТОО</t>
  </si>
  <si>
    <t>Dina Pharm ТОО</t>
  </si>
  <si>
    <t>DM PHARMACY ТОО</t>
  </si>
  <si>
    <t>DOGANER ТОО</t>
  </si>
  <si>
    <t>DOSTYK MEDICAL ТОО</t>
  </si>
  <si>
    <t>DR NURZHAMAL ТОО</t>
  </si>
  <si>
    <t>Dream pharm</t>
  </si>
  <si>
    <t>E.M.A Фарм ИП</t>
  </si>
  <si>
    <t>econompharma ТОО</t>
  </si>
  <si>
    <t>ELECTO ТОО</t>
  </si>
  <si>
    <t>ELENA-GOLD ТОО</t>
  </si>
  <si>
    <t>ELIXIR-A ТОО</t>
  </si>
  <si>
    <t>Esen Pharm Plus ТОО</t>
  </si>
  <si>
    <t>Excellent Trade ТОО</t>
  </si>
  <si>
    <t>Family Medical Center ТОО</t>
  </si>
  <si>
    <t>Family pharm company ТОО</t>
  </si>
  <si>
    <t>Family pharm ИП</t>
  </si>
  <si>
    <t>Family Pharm ТОО</t>
  </si>
  <si>
    <t>FAMILY PHARMA GROUP ТОО</t>
  </si>
  <si>
    <t>Farm City ИП</t>
  </si>
  <si>
    <t>FARM NOMER 1 ТОО</t>
  </si>
  <si>
    <t>FARMACIA ИП</t>
  </si>
  <si>
    <t>FarmLider ИП</t>
  </si>
  <si>
    <t>FLIP.KZ ТОО</t>
  </si>
  <si>
    <t>Geotech Service ТОО</t>
  </si>
  <si>
    <t>GOLD 7 ТОО</t>
  </si>
  <si>
    <t>GOODWE ТОО</t>
  </si>
  <si>
    <t>GRAND RETAIL ТОО</t>
  </si>
  <si>
    <t>GRANDE PHARM ТОО</t>
  </si>
  <si>
    <t>Green Pharm TOO</t>
  </si>
  <si>
    <t>GullDala ТОО</t>
  </si>
  <si>
    <t>Hala Pharm Group ТОО</t>
  </si>
  <si>
    <t>Halyk Arzan Pharm ТОО</t>
  </si>
  <si>
    <t>Home apothecary ТОО</t>
  </si>
  <si>
    <t>IBS Pharm ТОО</t>
  </si>
  <si>
    <t>In Oil LTD KZ (Ин Оил ЛТД КЗ) ТОО</t>
  </si>
  <si>
    <t>INCOMED ТОО</t>
  </si>
  <si>
    <t>Iris Pharmacy ТОО</t>
  </si>
  <si>
    <t>JAS PHARM ИП</t>
  </si>
  <si>
    <t>JNK-фарм (ДжиЭнКа-фарм) ТОО</t>
  </si>
  <si>
    <t>KAUSAR -PHARM ТОО</t>
  </si>
  <si>
    <t>KazMedicalTrade ТОО</t>
  </si>
  <si>
    <t>KazPharmacy Express ТОО</t>
  </si>
  <si>
    <t>KAZPHARMACY ТОО</t>
  </si>
  <si>
    <t>Khan Pharm</t>
  </si>
  <si>
    <t>KIWANO PHARM ТОО</t>
  </si>
  <si>
    <t>K-pharma ТОО</t>
  </si>
  <si>
    <t>KSDYNASTY ТОО</t>
  </si>
  <si>
    <t>KZ.PHARMACY ТОО</t>
  </si>
  <si>
    <t>LA PHARMA ТОО</t>
  </si>
  <si>
    <t>Light industry ТОО</t>
  </si>
  <si>
    <t>L-MED ТОО</t>
  </si>
  <si>
    <t>LS-Pharmacy ТОО</t>
  </si>
  <si>
    <t>M and B ТОО</t>
  </si>
  <si>
    <t>MED EREKHAN ТОО</t>
  </si>
  <si>
    <t>Medcontinent ТОО</t>
  </si>
  <si>
    <t>Medical Pharma Company ТОО</t>
  </si>
  <si>
    <t>Medical Prof Astana ТОО</t>
  </si>
  <si>
    <t>MEDIK.PHARMA ТОО</t>
  </si>
  <si>
    <t>Meditec ТОО</t>
  </si>
  <si>
    <t>Medline Plus ТОО</t>
  </si>
  <si>
    <t>MedTovar ТОО</t>
  </si>
  <si>
    <t>Mega Pharm ИП</t>
  </si>
  <si>
    <t>MEGAPHARM PLUS ТОО</t>
  </si>
  <si>
    <t>Megapharm ТОО</t>
  </si>
  <si>
    <t>MGame Almaty (МГейм Алматы)</t>
  </si>
  <si>
    <t>MKP ТОО</t>
  </si>
  <si>
    <t>MM Pharm ТОО</t>
  </si>
  <si>
    <t>NadiaPharm ТОО</t>
  </si>
  <si>
    <t>NaraMedFarm</t>
  </si>
  <si>
    <t>Natali-ФАРМ ТОО</t>
  </si>
  <si>
    <t>New Medical TD</t>
  </si>
  <si>
    <t>NormaV ТОО</t>
  </si>
  <si>
    <t>Nurilya Ph ТОО</t>
  </si>
  <si>
    <t>Nurkai ТОО</t>
  </si>
  <si>
    <t>Optigroup ТОО</t>
  </si>
  <si>
    <t>OPTIMUM CONSULTING ТОО</t>
  </si>
  <si>
    <t>Optipharm ТОО</t>
  </si>
  <si>
    <t>ORTALYQ АПТЕКА ТОО</t>
  </si>
  <si>
    <t>OUR FAMILY ТОО</t>
  </si>
  <si>
    <t>PARACELS ТОО</t>
  </si>
  <si>
    <t>Parasat-pharm ТОО</t>
  </si>
  <si>
    <t>Pharm City Astana ТОО</t>
  </si>
  <si>
    <t>Pharm Health Care ТОО</t>
  </si>
  <si>
    <t>Pharm Plus Aktau ТОО</t>
  </si>
  <si>
    <t>Pharma KZ ТОО</t>
  </si>
  <si>
    <t>PHARMA PARK ТОО</t>
  </si>
  <si>
    <t>Pharmin ТОО</t>
  </si>
  <si>
    <t>PharmKaz ТОО</t>
  </si>
  <si>
    <t>PharmUp ТОО</t>
  </si>
  <si>
    <t>Radix pharmacy ТОО</t>
  </si>
  <si>
    <t>RAUDA BUSINESS ТОО</t>
  </si>
  <si>
    <t>Rauza Pharm TOO</t>
  </si>
  <si>
    <t>Renaissanse Astana (ТОО Ренессанс Астана)</t>
  </si>
  <si>
    <t>RoferPharm  ТОО</t>
  </si>
  <si>
    <t>RT Pharm ТОО</t>
  </si>
  <si>
    <t>Samyr Aktobe ТОО</t>
  </si>
  <si>
    <t>SANJAR Pharm ТОО</t>
  </si>
  <si>
    <t>SANT Family Pharm ТОО</t>
  </si>
  <si>
    <t>Sante-Astana ТОО</t>
  </si>
  <si>
    <t>Saparbek ИП</t>
  </si>
  <si>
    <t>Sau Med Pharm ТОО</t>
  </si>
  <si>
    <t>SAULE PHARM</t>
  </si>
  <si>
    <t>SD PHARM ТОО</t>
  </si>
  <si>
    <t>SD Фарм ТОО</t>
  </si>
  <si>
    <t>Sembi Pharm ТОО</t>
  </si>
  <si>
    <t>Sezim Group</t>
  </si>
  <si>
    <t>Shipa pharm ТОО</t>
  </si>
  <si>
    <t>SHIPA Фармация ТОО</t>
  </si>
  <si>
    <t>SMART-PHARM ИП</t>
  </si>
  <si>
    <t>Sofi Farm ТОО</t>
  </si>
  <si>
    <t>ST Plus Pharm ТОО</t>
  </si>
  <si>
    <t>SULTAN FARM ОК ТОО</t>
  </si>
  <si>
    <t>SultanFarm ТОО</t>
  </si>
  <si>
    <t>SunLife ТОО</t>
  </si>
  <si>
    <t>SURAYA TOO</t>
  </si>
  <si>
    <t>Talapovna ИП</t>
  </si>
  <si>
    <t>Tengripharm ТОО</t>
  </si>
  <si>
    <t>Terra Medica ТОО</t>
  </si>
  <si>
    <t>Terra Pharm ТОО</t>
  </si>
  <si>
    <t>TI-Pharm (Ти - Фарм) ТОО</t>
  </si>
  <si>
    <t>TJA Group ТОО</t>
  </si>
  <si>
    <t>TN PHARM ТОО</t>
  </si>
  <si>
    <t>Trade Retail Group ТОО</t>
  </si>
  <si>
    <t>TRIA Фарм ТОО</t>
  </si>
  <si>
    <t>TSторг Semey ТОО</t>
  </si>
  <si>
    <t>Tumar Qazaqstan ТОО</t>
  </si>
  <si>
    <t>Turan AST</t>
  </si>
  <si>
    <t>UDM-KZ ТОО</t>
  </si>
  <si>
    <t>ULYTURAN GROUP ТОО</t>
  </si>
  <si>
    <t>UPharma ТОО</t>
  </si>
  <si>
    <t>VeraH pharm ТОО</t>
  </si>
  <si>
    <t>VITA FARM ТОО</t>
  </si>
  <si>
    <t>VITA PLUS ТОО</t>
  </si>
  <si>
    <t>VITA плюс</t>
  </si>
  <si>
    <t>VITAPHARM24</t>
  </si>
  <si>
    <t>Zha-CLINic ТОО</t>
  </si>
  <si>
    <t>Zinash Pharm ТОО</t>
  </si>
  <si>
    <t>Абдикадирова ИП</t>
  </si>
  <si>
    <t>Абдинор ТОО</t>
  </si>
  <si>
    <t>АБДУЛАЕВ ВАСИФ ЯВАР-ОГЛЫ ИП</t>
  </si>
  <si>
    <t>Абишева Н. ИП</t>
  </si>
  <si>
    <t>Абуллаева Б.Е. ИП</t>
  </si>
  <si>
    <t>Авиценна ИП</t>
  </si>
  <si>
    <t>Авраменко А.О. ИП</t>
  </si>
  <si>
    <t>Аврора-Фарм ТОО</t>
  </si>
  <si>
    <t>Агади Фарм ТОО</t>
  </si>
  <si>
    <t>Агентство СаттиКапитал ТОО</t>
  </si>
  <si>
    <t>Агро-Фарм Юг ТОО</t>
  </si>
  <si>
    <t>АДА ТОО</t>
  </si>
  <si>
    <t>Адель Фарм ТОО</t>
  </si>
  <si>
    <t>Адема-Фарм ТОО</t>
  </si>
  <si>
    <t>Адонис ТОО</t>
  </si>
  <si>
    <t>Ажканова Р.Р. ИП</t>
  </si>
  <si>
    <t>Азад ТОО</t>
  </si>
  <si>
    <t>АЗЗА ТОО</t>
  </si>
  <si>
    <t>Азиза Альфа ИП</t>
  </si>
  <si>
    <t>Азия 2008 ТОО</t>
  </si>
  <si>
    <t>Ай-Ар Фарм ТОО</t>
  </si>
  <si>
    <t>Айла Фарм ТОО</t>
  </si>
  <si>
    <t>Айтжамал ТОО</t>
  </si>
  <si>
    <t>АЙТЖАНОВА BIO PLUS ТОО</t>
  </si>
  <si>
    <t>Айтхожаева М. Р ИП</t>
  </si>
  <si>
    <t>Ак Жол Pharm ТОО</t>
  </si>
  <si>
    <t>Академия Ортопедии ИП</t>
  </si>
  <si>
    <t>Аквилон-1 ТОО</t>
  </si>
  <si>
    <t>Ақиқат ТОО</t>
  </si>
  <si>
    <t>АККУ ДЭРІ ТОО</t>
  </si>
  <si>
    <t>Акку Фарм ТОО</t>
  </si>
  <si>
    <t>Акмулдиева Ж ИП</t>
  </si>
  <si>
    <t>Акнур коммерц ТОО</t>
  </si>
  <si>
    <t>АксайДәріханасы ТОО</t>
  </si>
  <si>
    <t>Аксу-Фарм Центр ТОО</t>
  </si>
  <si>
    <t>АКФАРМА ТОО</t>
  </si>
  <si>
    <t>Акшалакова ИП</t>
  </si>
  <si>
    <t>АКШЫН ФАРМ ТОО</t>
  </si>
  <si>
    <t>Алан Трейдинг ТОО</t>
  </si>
  <si>
    <t>АлВит ТОО</t>
  </si>
  <si>
    <t>Алексеева ИП</t>
  </si>
  <si>
    <t>Алжанова Л.А ИП</t>
  </si>
  <si>
    <t>АлиДиа ТОО</t>
  </si>
  <si>
    <t>Алимкулова ИП</t>
  </si>
  <si>
    <t>Алинұр-04 ТОО</t>
  </si>
  <si>
    <t>АЛИОН ИП</t>
  </si>
  <si>
    <t>Алипбаева У.С. ИП</t>
  </si>
  <si>
    <t>АлиС Фарм ТОО</t>
  </si>
  <si>
    <t>АлиСтар ТОО</t>
  </si>
  <si>
    <t>Алихан ИП</t>
  </si>
  <si>
    <t>Аллан Фарм ТОО</t>
  </si>
  <si>
    <t>Алмагамбетова Зоя  Мазжановна ИП</t>
  </si>
  <si>
    <t>АЛМАД 2020 ТОО</t>
  </si>
  <si>
    <t>Алмасат ТОО</t>
  </si>
  <si>
    <t>Алоэ Фарм</t>
  </si>
  <si>
    <t>Альмурзина Г.С. ИП</t>
  </si>
  <si>
    <t>Альфа-Фарм ТОО</t>
  </si>
  <si>
    <t>Альянс Актив ТОО</t>
  </si>
  <si>
    <t>Альянс ТОО МЦ</t>
  </si>
  <si>
    <t>АЛЬЯНС-ФАРМ ТОО ф-л в г. Семей</t>
  </si>
  <si>
    <t>А-Мira clinic ТОО</t>
  </si>
  <si>
    <t>Аманбаева Айгерим Муратбековна ИП</t>
  </si>
  <si>
    <t>АмиДи ТОО</t>
  </si>
  <si>
    <t>Амир фарм</t>
  </si>
  <si>
    <t>АМИРОВА ИП</t>
  </si>
  <si>
    <t>Анартаева Гулназа Шералибековна ИП</t>
  </si>
  <si>
    <t>Анищенко А.А. ИП</t>
  </si>
  <si>
    <t>АНТИПОВА Н.Н ИП</t>
  </si>
  <si>
    <t>Антонов ИП</t>
  </si>
  <si>
    <t>АНЦ (Аптека низких цен) ТОО</t>
  </si>
  <si>
    <t>Аптека 2 ТОО</t>
  </si>
  <si>
    <t>Аптека 24/7</t>
  </si>
  <si>
    <t>АПТЕКА 27 ТОО</t>
  </si>
  <si>
    <t>Аптека 80 ТОО</t>
  </si>
  <si>
    <t>Аптека № 35 ПК М.К.Ф</t>
  </si>
  <si>
    <t>Аптека №1 ТОО</t>
  </si>
  <si>
    <t>Аптека №2 ТОО</t>
  </si>
  <si>
    <t>Аптека Антивирус ИП</t>
  </si>
  <si>
    <t>Аптека Доброта ТОО</t>
  </si>
  <si>
    <t>Аптека Зере ТОО</t>
  </si>
  <si>
    <t>Аптека Иммунитет ТОО</t>
  </si>
  <si>
    <t>Аптека Мира ТОО</t>
  </si>
  <si>
    <t>Аптека от А до Я Туровская ИП</t>
  </si>
  <si>
    <t>Аптека София ТОО</t>
  </si>
  <si>
    <t>Аптека столицы ТОО</t>
  </si>
  <si>
    <t>Аптека Таблетка ТОО</t>
  </si>
  <si>
    <t>АПТЕКАПЛЮС ТОО</t>
  </si>
  <si>
    <t>Аптеки-ST ТОО</t>
  </si>
  <si>
    <t>Аптечка + ТОО</t>
  </si>
  <si>
    <t>Арай ИП</t>
  </si>
  <si>
    <t>АРГЫНБЕКОВА Р. Р ИП</t>
  </si>
  <si>
    <t>АРИНА 2020 ТОО</t>
  </si>
  <si>
    <t>Архабаева Жанат Айдаралиевна ИП</t>
  </si>
  <si>
    <t>Аршинская  И.Г. ИП</t>
  </si>
  <si>
    <t>Арыстанова Н ИП</t>
  </si>
  <si>
    <t>Асанов С.Т ИП</t>
  </si>
  <si>
    <t>Асанова Г.Т. ИП</t>
  </si>
  <si>
    <t>Асатов ИП</t>
  </si>
  <si>
    <t>АСДИФАРМ ТОО</t>
  </si>
  <si>
    <t>Аспект-траст ТОО</t>
  </si>
  <si>
    <t>Аспирин Фарм ТОО</t>
  </si>
  <si>
    <t>АСТАНА БАРАКАТ ФАРМ ТОО</t>
  </si>
  <si>
    <t>Асфарм плюс ТОО</t>
  </si>
  <si>
    <t>Асыл Био-Фарм ТОО</t>
  </si>
  <si>
    <t>АУБЕКЕРОВА РОЗА ТУКЕНАЕВНА ИП</t>
  </si>
  <si>
    <t>А-Фарм ФизЛицо</t>
  </si>
  <si>
    <t>Афият ТОО</t>
  </si>
  <si>
    <t>Ахангари ИП</t>
  </si>
  <si>
    <t>Ахметова Бану Тулегеновна ИП</t>
  </si>
  <si>
    <t>Ахметова Ж.Э. ИП</t>
  </si>
  <si>
    <t>Ахметова Р.А. ИП</t>
  </si>
  <si>
    <t>Ахтан-ФармаТОО</t>
  </si>
  <si>
    <t>АЯУЛЫМ ИП</t>
  </si>
  <si>
    <t>Багирова ИП</t>
  </si>
  <si>
    <t>Баекенова С.Ж. ИП</t>
  </si>
  <si>
    <t>Байсмбаева Кульзира Закирьяновна ИП</t>
  </si>
  <si>
    <t>Байтикова Д.Б. ИП</t>
  </si>
  <si>
    <t>БАК Даулет и Бейсенова А.О. ТОО</t>
  </si>
  <si>
    <t>Бакыт-17 ТОО</t>
  </si>
  <si>
    <t>Бақытжан ИП</t>
  </si>
  <si>
    <t>Балташева ТОО</t>
  </si>
  <si>
    <t>БАСИТ Фарм ТОО</t>
  </si>
  <si>
    <t>Батиева Г.Д. ИП</t>
  </si>
  <si>
    <t>БатысМедОпт ТОО</t>
  </si>
  <si>
    <t>БАУЫРЖАН ФАРМ ТОО</t>
  </si>
  <si>
    <t>Бейбарыс Новая Столица ТОО</t>
  </si>
  <si>
    <t>Бейсекеев М.А. ИП</t>
  </si>
  <si>
    <t>Бейсекеева С.М ИП</t>
  </si>
  <si>
    <t>Бек Мед Фарм ТОО</t>
  </si>
  <si>
    <t>Бекерешвили ИП</t>
  </si>
  <si>
    <t>Бекзатова ИП</t>
  </si>
  <si>
    <t>Бекмамбетова Сара Алтынбековна ИП</t>
  </si>
  <si>
    <t>БЕКМУРЗАЕВА ТОО</t>
  </si>
  <si>
    <t>Бекназар ДК</t>
  </si>
  <si>
    <t>Белич ТОО</t>
  </si>
  <si>
    <t>БЕЛОУСОВА ТОО</t>
  </si>
  <si>
    <t>Береке Дәрі Дәрмек  ТОО</t>
  </si>
  <si>
    <t>БЕРЕКЕ ИП</t>
  </si>
  <si>
    <t>Бидасова Г.К. ИП</t>
  </si>
  <si>
    <t>Билялова С.О. ИП</t>
  </si>
  <si>
    <t>Биотек ПК</t>
  </si>
  <si>
    <t>БИОФАРМ АПТЕКА ТОО</t>
  </si>
  <si>
    <t>Болат ИП</t>
  </si>
  <si>
    <t>Ботова ИП</t>
  </si>
  <si>
    <t>Братья Азизляр ИКО ТОО</t>
  </si>
  <si>
    <t>Бурнашева О.С ИП</t>
  </si>
  <si>
    <t>БУС ТОО</t>
  </si>
  <si>
    <t>В и В ТОО</t>
  </si>
  <si>
    <t>Валентина Pharm ТОО</t>
  </si>
  <si>
    <t>Васильковская Юлия Айдарбековна ИП</t>
  </si>
  <si>
    <t>Вахапова М.М. ИП</t>
  </si>
  <si>
    <t>Ваш лекарь ТОО</t>
  </si>
  <si>
    <t>Весна ИП</t>
  </si>
  <si>
    <t>Виола ТОО</t>
  </si>
  <si>
    <t>Витайм ТОО</t>
  </si>
  <si>
    <t>ВИТАФАРМ-С ТОО</t>
  </si>
  <si>
    <t>Витошнов А.С. ИП</t>
  </si>
  <si>
    <t>Войтович Н.И ИП</t>
  </si>
  <si>
    <t>ВОСТОКФАРМ ТОО</t>
  </si>
  <si>
    <t>ВЭЛКА ТОО</t>
  </si>
  <si>
    <t>ВЭЛКЕА ТОО</t>
  </si>
  <si>
    <t>Галиуллина ИП</t>
  </si>
  <si>
    <t>Гамма Фарм ТОО</t>
  </si>
  <si>
    <t>Гармония Жизни ТОО</t>
  </si>
  <si>
    <t>Гаухар Тас Фарм ТОО</t>
  </si>
  <si>
    <t>ГАУХАРТАС ИП</t>
  </si>
  <si>
    <t>Гильванова ИП</t>
  </si>
  <si>
    <t>Гиппократ ТОО МФК</t>
  </si>
  <si>
    <t>Глория-Фарм ТОО</t>
  </si>
  <si>
    <t>Гляненко  Е.В. ИП</t>
  </si>
  <si>
    <t>Голенковой ТОО</t>
  </si>
  <si>
    <t>Гран-П ТОО</t>
  </si>
  <si>
    <t>Гульмира ИП</t>
  </si>
  <si>
    <t>ГУЛЬНАЗ ИП</t>
  </si>
  <si>
    <t>Гумарова М.Т. ИП</t>
  </si>
  <si>
    <t>Гума-Фарм ТОО</t>
  </si>
  <si>
    <t>Гусамов Р. Г.ИП</t>
  </si>
  <si>
    <t>ДАВЛЕТОВА ИП</t>
  </si>
  <si>
    <t>Дана Фарм ИП</t>
  </si>
  <si>
    <t>Данагуль ТОО</t>
  </si>
  <si>
    <t>Дари-дармек орталыгы ТОО</t>
  </si>
  <si>
    <t>Дария-2012 ТОО</t>
  </si>
  <si>
    <t>Дармина-НС ТОО</t>
  </si>
  <si>
    <t>Дарница Здоровья ТОО</t>
  </si>
  <si>
    <t>Дегересс ТОО</t>
  </si>
  <si>
    <t>Дежурная Аптека ТОО</t>
  </si>
  <si>
    <t>Дез плюс ТОО</t>
  </si>
  <si>
    <t>ДЕЛЮКС ФАРМ ТОО</t>
  </si>
  <si>
    <t>Демеу ТОО</t>
  </si>
  <si>
    <t>Денсаулык _2021 ТОО</t>
  </si>
  <si>
    <t>Джаманкулова  М.Б. ИП</t>
  </si>
  <si>
    <t>ДЖАРАСОВА ИП</t>
  </si>
  <si>
    <t>Джатаева Г,О, ИП</t>
  </si>
  <si>
    <t>Джексембиева ИП</t>
  </si>
  <si>
    <t>Дженерика ТОО</t>
  </si>
  <si>
    <t>ДИАЛОГ-М ТОО</t>
  </si>
  <si>
    <t>Диас Фарм ТОО</t>
  </si>
  <si>
    <t>Дивита ТОО</t>
  </si>
  <si>
    <t>Динара ИП</t>
  </si>
  <si>
    <t>ДИФАРМ ТОО</t>
  </si>
  <si>
    <t>Добро Мед ТОО</t>
  </si>
  <si>
    <t>Добрый Доктор ТОО</t>
  </si>
  <si>
    <t>ДОКТОР АЙБОЛИТ И К ТОО</t>
  </si>
  <si>
    <t>ДОКТОР АЛИЯ ТОО</t>
  </si>
  <si>
    <t>Долголет ТОО</t>
  </si>
  <si>
    <t>Досбекбол ТОО</t>
  </si>
  <si>
    <t>Досжанова  Гульнар Танатаровна ИП</t>
  </si>
  <si>
    <t>Дәріхана 21 ТОО</t>
  </si>
  <si>
    <t>Дәрумен ТОО</t>
  </si>
  <si>
    <t>Дәуір-Фарм ТОО</t>
  </si>
  <si>
    <t>Дуйсембаева ИП</t>
  </si>
  <si>
    <t>Дюсенова  ИП</t>
  </si>
  <si>
    <t>Дюсупова А.К ИП</t>
  </si>
  <si>
    <t>Евразия113 ТОО</t>
  </si>
  <si>
    <t>Еврофарм ТОО</t>
  </si>
  <si>
    <t>Евстигнеева О.В./Евстигнеева Ольга Владимировна ИП</t>
  </si>
  <si>
    <t>ЕЛЮСИНОВА ИП</t>
  </si>
  <si>
    <t>ЕРАЛЫ ФАРМ ИП</t>
  </si>
  <si>
    <t>Ер-Арс ТОО</t>
  </si>
  <si>
    <t>ЕРАСЫЛ ИП</t>
  </si>
  <si>
    <t>ЕРГАЛИЕВА АЙМАН ЕКПИНОВНА ИП</t>
  </si>
  <si>
    <t>Ерке фарм ИП</t>
  </si>
  <si>
    <t>Еркефарм ИП</t>
  </si>
  <si>
    <t>ЕРКО ТОО</t>
  </si>
  <si>
    <t>Ерлан Фарм ТОО</t>
  </si>
  <si>
    <t>Ермек ИП</t>
  </si>
  <si>
    <t>Ертуганова Б.С. ИП</t>
  </si>
  <si>
    <t>ЕРТЫС-ФАРМ ТОО</t>
  </si>
  <si>
    <t>Есенова Г.У. ИП</t>
  </si>
  <si>
    <t>Ескалиева Г.Б. ИП</t>
  </si>
  <si>
    <t>Еспаева Шынар ИП</t>
  </si>
  <si>
    <t>Жайик-AS  ТОО</t>
  </si>
  <si>
    <t>Жалелова ИП</t>
  </si>
  <si>
    <t>Жалын-ПВ ТОО</t>
  </si>
  <si>
    <t>ЖАМБАЕВА К.Н. ИП</t>
  </si>
  <si>
    <t>Жамиля-социальная сеть ТОО</t>
  </si>
  <si>
    <t>ЖаниЯ 2019 ТОО</t>
  </si>
  <si>
    <t>ЖАННА ПЛЮС ТОО</t>
  </si>
  <si>
    <t>Жан-Сан-ФАРМ ТОО</t>
  </si>
  <si>
    <t>Жантлесова  ИП</t>
  </si>
  <si>
    <t>Жапарова Г.К. ИП</t>
  </si>
  <si>
    <t>Жас Альянс Групп ТОО</t>
  </si>
  <si>
    <t>ЖАСЫЛ ШАHАР ТОО</t>
  </si>
  <si>
    <t>Жаулыбекова ИП</t>
  </si>
  <si>
    <t>Желдорфармация ТОО</t>
  </si>
  <si>
    <t>Жетi Аспан - Сервис ТОО</t>
  </si>
  <si>
    <t>Жеті Аспан ТОО</t>
  </si>
  <si>
    <t>Жибек Жолы - 2025 ТОО</t>
  </si>
  <si>
    <t>Жить здорОво ТОО</t>
  </si>
  <si>
    <t>Жәрдем ТОО</t>
  </si>
  <si>
    <t>Жүрек-Павлодар ТОО</t>
  </si>
  <si>
    <t>Забота Company LTD ТОО</t>
  </si>
  <si>
    <t>ЗаботаФарм ТОО</t>
  </si>
  <si>
    <t>ЗАО МЕДСЕРВИС ТОО</t>
  </si>
  <si>
    <t>Зауре ИП</t>
  </si>
  <si>
    <t>Здоров.KZ ТОО</t>
  </si>
  <si>
    <t>ЗДРАВсити ТОО</t>
  </si>
  <si>
    <t>Здравфарм ТОО</t>
  </si>
  <si>
    <t>Зерде-Фарма ТОО</t>
  </si>
  <si>
    <t>Золотая Подкова ИП</t>
  </si>
  <si>
    <t>Изида-ПВ ТОО</t>
  </si>
  <si>
    <t>Ильясов М.А. ИП</t>
  </si>
  <si>
    <t>Ильясова Л.А. ИП</t>
  </si>
  <si>
    <t>Иманбекова Р.Ж. ИП</t>
  </si>
  <si>
    <t>Иммуно Плюс Фарм ТОО</t>
  </si>
  <si>
    <t>Империя Здоровья ТОО</t>
  </si>
  <si>
    <t>Импульс Плюс ТОО</t>
  </si>
  <si>
    <t>Инссарс ТОО</t>
  </si>
  <si>
    <t>Интерьер-Плюс ТОО</t>
  </si>
  <si>
    <t>Иосипенко ИП</t>
  </si>
  <si>
    <t>ИП  «Ершова Н.Н»</t>
  </si>
  <si>
    <t>ИП «АК-КАЙЫҢ PHARM»</t>
  </si>
  <si>
    <t>ИП Batima</t>
  </si>
  <si>
    <t>ИП АМАНЖУЛОВА Ш.С.</t>
  </si>
  <si>
    <t>ИП ПРОСВИРЯКОВА О.С.</t>
  </si>
  <si>
    <t>ИРБИС ТРАНС СИСТЕМ ТОО</t>
  </si>
  <si>
    <t>ИРБИС-ЖЕР ТОО</t>
  </si>
  <si>
    <t>Исаев С.И. ИП</t>
  </si>
  <si>
    <t>Исаева Молдир</t>
  </si>
  <si>
    <t>Искакова Г.Ш. ИП</t>
  </si>
  <si>
    <t>КабАль Фарм ТОО</t>
  </si>
  <si>
    <t>Каблукова О.Д. ИП</t>
  </si>
  <si>
    <t>Кадар ТОО</t>
  </si>
  <si>
    <t>КАДИРСИЗОВА ИП</t>
  </si>
  <si>
    <t>КАЗМЕДИМПОРТ ТОО</t>
  </si>
  <si>
    <t>КазФармаси ТОО</t>
  </si>
  <si>
    <t>Калачева А.Ф.ИП</t>
  </si>
  <si>
    <t>Калиаскарова Кульнар Шамелкановна ИП</t>
  </si>
  <si>
    <t>Камалова ИП</t>
  </si>
  <si>
    <t>КамКор Company LTD ТОО</t>
  </si>
  <si>
    <t>Канеева Елена Сергеевна ИП</t>
  </si>
  <si>
    <t>Канкул ИП</t>
  </si>
  <si>
    <t>Каптилина В.С. ИП</t>
  </si>
  <si>
    <t>Қарабай Фарм ТОО</t>
  </si>
  <si>
    <t>КАРАБЕКОВА АЙГУЛЬ КАИРБАЕВНА ИП</t>
  </si>
  <si>
    <t>Карагозина Э.Н. ИП</t>
  </si>
  <si>
    <t>Карада ТОО</t>
  </si>
  <si>
    <t>Қаракенжина А.А. ИП</t>
  </si>
  <si>
    <t>Каскарова Орынжамал Еслямбековна ИП</t>
  </si>
  <si>
    <t>Касым Фарм Групп ТОО</t>
  </si>
  <si>
    <t>Касымов ИП</t>
  </si>
  <si>
    <t>Каусар-Фарм 2020 ТОО</t>
  </si>
  <si>
    <t>Кененбаева Гульназ Молдабековна ИП</t>
  </si>
  <si>
    <t>Кенжебеков К.С. ИП</t>
  </si>
  <si>
    <t>Кенжебекова А.П. ИП</t>
  </si>
  <si>
    <t>КИМ Д.Т. ИП</t>
  </si>
  <si>
    <t>КИСТАУБАЕВА Х. М. ИП</t>
  </si>
  <si>
    <t>Клиника спортивной медицины и реабилитации «ReStart»</t>
  </si>
  <si>
    <t>КОБЫЛАНДЫ ИП</t>
  </si>
  <si>
    <t>Ковальчук В.В. ИП</t>
  </si>
  <si>
    <t>Ковальчук О.В.ИП</t>
  </si>
  <si>
    <t>Кожахметова У.К. ИП</t>
  </si>
  <si>
    <t>Койшиева ИП</t>
  </si>
  <si>
    <t>Кокше Вита ТОО</t>
  </si>
  <si>
    <t>Кокше-фарм -98 ТОО</t>
  </si>
  <si>
    <t>Компания "Траст" Якубский К.Н ИП</t>
  </si>
  <si>
    <t>Континент 2007 ТОО</t>
  </si>
  <si>
    <t>Коныс Б ТОО</t>
  </si>
  <si>
    <t>Копбаева Б.Ж ИП</t>
  </si>
  <si>
    <t>Косимова Б ИП</t>
  </si>
  <si>
    <t>Кошимбаева С.Б. ИП</t>
  </si>
  <si>
    <t>Кречетова ИП</t>
  </si>
  <si>
    <t>КРИСТАЛЛ ФАРМ ТОО</t>
  </si>
  <si>
    <t>Куанышева Айхан Маратовна ИП</t>
  </si>
  <si>
    <t>КУАНЫШЕВА Б.О. ИП</t>
  </si>
  <si>
    <t>Куанышева ИП</t>
  </si>
  <si>
    <t>Кудиенко ИП</t>
  </si>
  <si>
    <t>КУЗНЕЦОВА НАТАЛЬЯ ИВАНОВНА ИП</t>
  </si>
  <si>
    <t>Кузнецова Татьяна Анатольевна ИП</t>
  </si>
  <si>
    <t>Кукуева О. В.ИП</t>
  </si>
  <si>
    <t>Кулдошина И.Ю. ИП</t>
  </si>
  <si>
    <t>Кулжабаева Д.К. ИП</t>
  </si>
  <si>
    <t>КУРАКБАЕВА САУЛЕ ТОКТАРБЕКОВНА ИП</t>
  </si>
  <si>
    <t>КУРМЕТ-ФАРМ ТОО</t>
  </si>
  <si>
    <t>Кусаинова Нургуль ИП</t>
  </si>
  <si>
    <t>Кусинова Малика Аккурашевна ИП</t>
  </si>
  <si>
    <t>Куттина Ю.Л ИП</t>
  </si>
  <si>
    <t>Кушерова Майгуль Хамзаевна ИП</t>
  </si>
  <si>
    <t>ҚҰЛЖАБАЕВА ДАЛИЛЛА ҚАЙРАТҚЫЗЫ ИП</t>
  </si>
  <si>
    <t>Кызылординский  филиал ТОО "ФАРМАКОМ"</t>
  </si>
  <si>
    <t>Қыран-KZ ТОО</t>
  </si>
  <si>
    <t>Лаймфарма ТОО</t>
  </si>
  <si>
    <t>Лайф-Фарм Плюс ТОО</t>
  </si>
  <si>
    <t>ЛАНДЫШ ИП</t>
  </si>
  <si>
    <t>Ланцет ТОО</t>
  </si>
  <si>
    <t>ЛекДосФарм ТОО</t>
  </si>
  <si>
    <t>Лео Фэмили ТОО</t>
  </si>
  <si>
    <t>Ли О. ИП</t>
  </si>
  <si>
    <t>ЛиГа Фарм ТОО</t>
  </si>
  <si>
    <t>Лидинг-Фарм ТОО</t>
  </si>
  <si>
    <t>Лимон Фарм</t>
  </si>
  <si>
    <t>Литау Татьяна Ивановна ИП</t>
  </si>
  <si>
    <t>Лия-Фарм ТОО</t>
  </si>
  <si>
    <t>ЛУЧ Лечебно-оздоровительный центр ТОО</t>
  </si>
  <si>
    <t>Люкс ИП</t>
  </si>
  <si>
    <t>Ляпина ИП</t>
  </si>
  <si>
    <t>Мадина ИП</t>
  </si>
  <si>
    <t>МАДИРЕМ ТОО</t>
  </si>
  <si>
    <t>Малаева Г.Х.  ИП</t>
  </si>
  <si>
    <t>Мамаева Агила Келдешовна ИП</t>
  </si>
  <si>
    <t>Мангазбекова С.Н. ИП</t>
  </si>
  <si>
    <t>МАНТАЕВА АКБОПЕ КАИРБЕКОВНА ИП</t>
  </si>
  <si>
    <t>Марсалиев Б.К. ИП</t>
  </si>
  <si>
    <t>Марсалиева И.Ж. ИП</t>
  </si>
  <si>
    <t>Марченко ИП</t>
  </si>
  <si>
    <t>Масалимова Т.С. ИП</t>
  </si>
  <si>
    <t>Мациева Ханифа Муратовна ИП</t>
  </si>
  <si>
    <t>МегаМед Талдыкорган ТОО</t>
  </si>
  <si>
    <t>Мед &amp; Стом ТОО</t>
  </si>
  <si>
    <t>Медея 8 ТОО</t>
  </si>
  <si>
    <t>МЕДИКАЛ ДАЛ.Д ТОО</t>
  </si>
  <si>
    <t>МедиОл ТОО</t>
  </si>
  <si>
    <t>Медицинский центр "Лекарь" ТОО</t>
  </si>
  <si>
    <t>Медицинский центр Алтын ТОО</t>
  </si>
  <si>
    <t>Медицинский центр Тасқын ТОО</t>
  </si>
  <si>
    <t>МедМаркет-Эксперт ТОО</t>
  </si>
  <si>
    <t>Медтехника ПЛЮС ТОО</t>
  </si>
  <si>
    <t>Медтехника ТОО</t>
  </si>
  <si>
    <t>Мед-Фарм ТОО</t>
  </si>
  <si>
    <t>Мелдешова ИП</t>
  </si>
  <si>
    <t>Мендыбаева Ж.Г. ИП</t>
  </si>
  <si>
    <t>Миллениум Фарм ИП</t>
  </si>
  <si>
    <t>МИЛЮТИНА И.А. ИП</t>
  </si>
  <si>
    <t>Мир 5 ТОО</t>
  </si>
  <si>
    <t>МИР-7 ТОО</t>
  </si>
  <si>
    <t>Миронова  Е. ИП</t>
  </si>
  <si>
    <t>МИР-ФАРМА ТОО</t>
  </si>
  <si>
    <t>Михайлова Т.Н. ИП</t>
  </si>
  <si>
    <t>Молдахметова ИП</t>
  </si>
  <si>
    <t>Морозко Производственный кооператив</t>
  </si>
  <si>
    <t>МТ-Фарм ТОО</t>
  </si>
  <si>
    <t>Мукбай Г.К ИП</t>
  </si>
  <si>
    <t>Мурат  Фарм ТОО</t>
  </si>
  <si>
    <t>МУРЗАБЕКОВА АСЕЛЬ НУРЛАНОВНА ИП</t>
  </si>
  <si>
    <t>Мурзакулова ИП</t>
  </si>
  <si>
    <t>Муртазин Бауыржан Фазылжанович ИП</t>
  </si>
  <si>
    <t>Мусабекова ИП</t>
  </si>
  <si>
    <t>Мусаева Э.А. ИП</t>
  </si>
  <si>
    <t>Мустафина  Ж.Г ИП</t>
  </si>
  <si>
    <t>Мустафина Ж.Ш. ИП</t>
  </si>
  <si>
    <t>Мухамедова ИП</t>
  </si>
  <si>
    <t>Мухаметшина ИП</t>
  </si>
  <si>
    <t>Мухатова Ж.А. ИП</t>
  </si>
  <si>
    <t>Мынжасарова ИП</t>
  </si>
  <si>
    <t>Надежда и К ТОО</t>
  </si>
  <si>
    <t>Надырова ИП</t>
  </si>
  <si>
    <t>Назарова ИП</t>
  </si>
  <si>
    <t>Назерке ИП</t>
  </si>
  <si>
    <t>НАУРАЗБАЕВА СУЛУШАШ МАРАТОВНА ИП</t>
  </si>
  <si>
    <t>НЕО КЭПИТАЛ</t>
  </si>
  <si>
    <t>НИАСС ТОО</t>
  </si>
  <si>
    <t>Новая АЗС</t>
  </si>
  <si>
    <t>Нур ТОО</t>
  </si>
  <si>
    <t>Нур Фарм ИП</t>
  </si>
  <si>
    <t>Нуралиева ИП</t>
  </si>
  <si>
    <t>Нурбаева А.Ш. ИП</t>
  </si>
  <si>
    <t>Нуржанова К,К, ИП</t>
  </si>
  <si>
    <t>Нуркеева С.Е ИП</t>
  </si>
  <si>
    <t>Нурлыбаева Айгуль Оймановна ИП</t>
  </si>
  <si>
    <t>Нурмад ТОО</t>
  </si>
  <si>
    <t>Нурсая ИП</t>
  </si>
  <si>
    <t>НУРСЕИТОВА ЕРКЕЖАН БОЛАТКЫЗЫ ИП</t>
  </si>
  <si>
    <t>Нурфарм Плюс ТОО</t>
  </si>
  <si>
    <t>Нью-Фарм ИП</t>
  </si>
  <si>
    <t>ОАД-27 ТОО</t>
  </si>
  <si>
    <t>Олейникова А.В. ИП</t>
  </si>
  <si>
    <t>Омарова Ж.А. ИП</t>
  </si>
  <si>
    <t>ОМЕГА ТРАНС КЗ ТОО</t>
  </si>
  <si>
    <t>Омельченко ИП</t>
  </si>
  <si>
    <t>Оплачкина Л.Н. ИП</t>
  </si>
  <si>
    <t>ОптоМед ТОО</t>
  </si>
  <si>
    <t>ОРАЗАЕВА ЗАУРЕ КАКИМОВНА ИП</t>
  </si>
  <si>
    <t>Орал-Фарм ТОО</t>
  </si>
  <si>
    <t>Ортлайф ТОО</t>
  </si>
  <si>
    <t>ОРТОцентр ИП</t>
  </si>
  <si>
    <t>ОРЫНБАЕВА Б.К. ИП</t>
  </si>
  <si>
    <t>Осинцев В.Ю.  ИП</t>
  </si>
  <si>
    <t>Отарбаева Д.Д ИП</t>
  </si>
  <si>
    <t>ОТБАСЫ ИП</t>
  </si>
  <si>
    <t>Пайганова ИП</t>
  </si>
  <si>
    <t>Парк Здоровья ТОО</t>
  </si>
  <si>
    <t>Петропавловский филиал ТОО Фармаком</t>
  </si>
  <si>
    <t>Петропавловское учебно-производственное предприятие общественного объединения Казахстанское общество</t>
  </si>
  <si>
    <t>Пищеторг ТОО</t>
  </si>
  <si>
    <t>Поликлиника City ТОО</t>
  </si>
  <si>
    <t>Полисан ТОО</t>
  </si>
  <si>
    <t>ПОНОМАРЕВА ИП</t>
  </si>
  <si>
    <t>Премиум Фарм ТОО</t>
  </si>
  <si>
    <t>Прима Мед 2016 ТОО</t>
  </si>
  <si>
    <t>ПРОГРЕСС - ИНТЕРТИЧ ТОО</t>
  </si>
  <si>
    <t>Профарм ТОО</t>
  </si>
  <si>
    <t>Прохорова Галина Николаевна ИП</t>
  </si>
  <si>
    <t>Пупынина ИП</t>
  </si>
  <si>
    <t>Рахимова Юлия Ринатовна ИП</t>
  </si>
  <si>
    <t>Рахмангулова ИП</t>
  </si>
  <si>
    <t>Реамол-СК ТОО</t>
  </si>
  <si>
    <t>Реймер ИП</t>
  </si>
  <si>
    <t>Рецепт Здоровья ТОО</t>
  </si>
  <si>
    <t>Ригат ТОО</t>
  </si>
  <si>
    <t>Рислинг Н. А. ИП</t>
  </si>
  <si>
    <t>Өркен II ТОО</t>
  </si>
  <si>
    <t>Родник ТОО</t>
  </si>
  <si>
    <t>Роза Фарм ТОО</t>
  </si>
  <si>
    <t>РосЗдрав ТОО</t>
  </si>
  <si>
    <t>Руденко ИП</t>
  </si>
  <si>
    <t>Рустам и Компани ТОО</t>
  </si>
  <si>
    <t>Руфина Екатерина Петровна ИП</t>
  </si>
  <si>
    <t>РЫНОК СЕВЕРНЫЙ ТОО</t>
  </si>
  <si>
    <t>Са Кос ТОО</t>
  </si>
  <si>
    <t>Сабиржанова Нигара ИП</t>
  </si>
  <si>
    <t>Сабитова М.С. ИП</t>
  </si>
  <si>
    <t>Сағандық Фарм ТОО</t>
  </si>
  <si>
    <t>САГИМБАЕВА ОКСАНА ВЛАДИМИРОВНА ИП</t>
  </si>
  <si>
    <t>Садвокасова С.А ИП</t>
  </si>
  <si>
    <t>Садыкова Алия Турысбековна ИП</t>
  </si>
  <si>
    <t>Садыхан Алматы ТОО</t>
  </si>
  <si>
    <t>Садыхан Астана ТОО</t>
  </si>
  <si>
    <t>Садыхан Премиум ТОО</t>
  </si>
  <si>
    <t>Садыхан Социальная Аптека ТОО</t>
  </si>
  <si>
    <t>Садыхан Тараз ТОО</t>
  </si>
  <si>
    <t>Садыхан ТОО</t>
  </si>
  <si>
    <t>Садыхан Фарм-Лидер ТОО</t>
  </si>
  <si>
    <t>Сайлыбаева Марал Жаксылыковна ИП</t>
  </si>
  <si>
    <t>Салметова ИП</t>
  </si>
  <si>
    <t>САЛЮС-2 ТОО</t>
  </si>
  <si>
    <t>Санарова Г.Ю. ИП</t>
  </si>
  <si>
    <t>САНЖАР ИП</t>
  </si>
  <si>
    <t>Сарбаева А.Т. ИП</t>
  </si>
  <si>
    <t>Сардарбекова Ж.Б. ИП</t>
  </si>
  <si>
    <t>Сатубалдина Шинар Ахметжановна ИП</t>
  </si>
  <si>
    <t>Сатыбалдина ИП</t>
  </si>
  <si>
    <t>САФ Кеме ТОО</t>
  </si>
  <si>
    <t>СЕВЕР ФАРМ ТОО</t>
  </si>
  <si>
    <t>Сезим А&amp;А ТОО</t>
  </si>
  <si>
    <t>СЕЗЫМ-МЕД ИП</t>
  </si>
  <si>
    <t>Сейдахмет Г.Ж ИП</t>
  </si>
  <si>
    <t>Сейтгалиева Н.А. ИП</t>
  </si>
  <si>
    <t>Сейтказы Айгерим Маратовна ИП</t>
  </si>
  <si>
    <t>Селезнева ИП</t>
  </si>
  <si>
    <t>Селиванова Л.Б. ИП</t>
  </si>
  <si>
    <t>Сембаева Айгул Нурлиновна ИП</t>
  </si>
  <si>
    <t>Семей Профессиональный консалтинг ТОО</t>
  </si>
  <si>
    <t>Семей Саулык ТОО</t>
  </si>
  <si>
    <t>Семикин Р.А. ИП</t>
  </si>
  <si>
    <t>СЕНИМ ПЛЮС ФАРМ ТОО</t>
  </si>
  <si>
    <t>Сенина Е.Ю. ИП</t>
  </si>
  <si>
    <t>Серикова ИП</t>
  </si>
  <si>
    <t>Сидоренко О.В. ИП</t>
  </si>
  <si>
    <t>Сиранюк Л.М. ИП</t>
  </si>
  <si>
    <t>Сити Фарм ТОО</t>
  </si>
  <si>
    <t>Скакова ИП</t>
  </si>
  <si>
    <t>Сокур ИП</t>
  </si>
  <si>
    <t>Солуянова ИП</t>
  </si>
  <si>
    <t>СОРАЛ ФАРМ ТОО</t>
  </si>
  <si>
    <t>Социальная аптека Заңғар ИП</t>
  </si>
  <si>
    <t>СП КАРАД ТОО</t>
  </si>
  <si>
    <t>СПЕКАН ТОО</t>
  </si>
  <si>
    <t>Стайер Фарм ТОО</t>
  </si>
  <si>
    <t>Степногорские аптеки ТОО</t>
  </si>
  <si>
    <t>Стецюк Ю.В. ИП</t>
  </si>
  <si>
    <t>Стигма Павлодар ТОО</t>
  </si>
  <si>
    <t>СТ-ФАРМ ТОО</t>
  </si>
  <si>
    <t>Суворова Г.В. ИП</t>
  </si>
  <si>
    <t>Сулейменова Айнур Амангалиева ИП</t>
  </si>
  <si>
    <t>Сулейменова Алуа Жаксылыковна ИП</t>
  </si>
  <si>
    <t>СУЛЕМЕНОВА АЛИЯ САИНОВНА ИП</t>
  </si>
  <si>
    <t>СУНКАР-САМГА ТОО</t>
  </si>
  <si>
    <t>Сурков и Компания, фирма «Санрайс» ТОО</t>
  </si>
  <si>
    <t>СУХРАБЖАН ИП</t>
  </si>
  <si>
    <t>Сымбат ИП</t>
  </si>
  <si>
    <t>Сырманова ИП</t>
  </si>
  <si>
    <t>Тажимамметова ИП</t>
  </si>
  <si>
    <t>Таймазов Ю.Л. ИП</t>
  </si>
  <si>
    <t>Талап АО</t>
  </si>
  <si>
    <t>Таңғы шық ТОО</t>
  </si>
  <si>
    <t>Тас-Фарм ТОО</t>
  </si>
  <si>
    <t>Тлеубекова М.К ИП</t>
  </si>
  <si>
    <t>Товарищество с ограниченной ответственностью "LenFarm"</t>
  </si>
  <si>
    <t>Товарищество с ограниченной ответственностью "Minnions"</t>
  </si>
  <si>
    <t>Товарищество с ограниченной ответственностью "VENOX"</t>
  </si>
  <si>
    <t>Товарищество с ограниченной ответственностью "ВЕЛИНА"</t>
  </si>
  <si>
    <t>Товарищество с ограниченной ответственностью "ЛюксФарм"</t>
  </si>
  <si>
    <t>Тойлыбаева Р.Ш. ИП</t>
  </si>
  <si>
    <t>ТОМ-ЫРЫС ТОО</t>
  </si>
  <si>
    <t>ТОО "Taraz DAUA Pharma"</t>
  </si>
  <si>
    <t>ТОО "Медин"</t>
  </si>
  <si>
    <t>ТОО «Zhuldyz Pharm»</t>
  </si>
  <si>
    <t>ТОО ELNUR 2025</t>
  </si>
  <si>
    <t>ТОО ФАРМ СИТИ КЗ</t>
  </si>
  <si>
    <t>ТоРа-Фарм ТОО</t>
  </si>
  <si>
    <t>Торгаев С.А. ИП</t>
  </si>
  <si>
    <t>Три лепестка</t>
  </si>
  <si>
    <t>Трофимов Н.Ф. ИП</t>
  </si>
  <si>
    <t>Трофимова О.Н. ИП</t>
  </si>
  <si>
    <t>Тулеева К.А. ИП</t>
  </si>
  <si>
    <t>Тумар аптека 36,6 ТОО</t>
  </si>
  <si>
    <t>Турубаева ИП</t>
  </si>
  <si>
    <t>Узбекова ИП</t>
  </si>
  <si>
    <t>Уколова Людмила ИП</t>
  </si>
  <si>
    <t>Ульянова ИП</t>
  </si>
  <si>
    <t>Ульянова Л.В. ИП</t>
  </si>
  <si>
    <t>Уміт-фарм ТОО</t>
  </si>
  <si>
    <t>Урал СК ТОО</t>
  </si>
  <si>
    <t>Уралова Манчук Абуовна ИП</t>
  </si>
  <si>
    <t>Урунбасарова А.Д. ИП</t>
  </si>
  <si>
    <t>Усманов В.П. ИП</t>
  </si>
  <si>
    <t>Утегулова ИП</t>
  </si>
  <si>
    <t>УТЕПОВА А.А. ИП</t>
  </si>
  <si>
    <t>Факел-ПВ ТОО</t>
  </si>
  <si>
    <t>ФАРИС-ФАРМ ТОО</t>
  </si>
  <si>
    <t>Фарм Казына ТОО</t>
  </si>
  <si>
    <t>Фарм Магнат ТОО</t>
  </si>
  <si>
    <t>Фармаком  Импэкс ТОО</t>
  </si>
  <si>
    <t>ФАРМАКОМ  Павлодарский филиал ТОО</t>
  </si>
  <si>
    <t>Фармаком ТОО</t>
  </si>
  <si>
    <t>ФАРМАКОМ УСТЬ-КАМЕНОГОРСКИЙ ФИЛИАЛ ТОО</t>
  </si>
  <si>
    <t>Фармалат ТОО</t>
  </si>
  <si>
    <t>Фармальянс ТОО</t>
  </si>
  <si>
    <t>Фарматека ТОО</t>
  </si>
  <si>
    <t>Фармацентр плюс ТОО</t>
  </si>
  <si>
    <t>ФармДи ТОО</t>
  </si>
  <si>
    <t>Фармир ТОО</t>
  </si>
  <si>
    <t>Фармлайн ТОО</t>
  </si>
  <si>
    <t>Фармлайт ТОО</t>
  </si>
  <si>
    <t>ФармНҰР ТОО</t>
  </si>
  <si>
    <t>Фарм-Пульс ТОО</t>
  </si>
  <si>
    <t>Фарома ТОО</t>
  </si>
  <si>
    <t>Феникс ПГК ТОО</t>
  </si>
  <si>
    <t>Феникс ФК ТОО</t>
  </si>
  <si>
    <t>Физлицо Запчасти</t>
  </si>
  <si>
    <t>Физлицо Интернет-Магазин Актау</t>
  </si>
  <si>
    <t>Физлицо Интернет-Магазин Алматы</t>
  </si>
  <si>
    <t>Физлицо Интернет-Магазин Астана</t>
  </si>
  <si>
    <t>Физлицо Интернет-Магазин Караганда</t>
  </si>
  <si>
    <t>Физлицо Интернет-Магазин Кокшетау</t>
  </si>
  <si>
    <t>Физлицо Интернет-Магазин Костанай</t>
  </si>
  <si>
    <t>Физлицо Интернет-Магазин Павлодар</t>
  </si>
  <si>
    <t>Физлицо Интернет-Магазин Петропавловск</t>
  </si>
  <si>
    <t>Физлицо Интернет-Магазин Семей</t>
  </si>
  <si>
    <t>Физлицо Интернет-Магазин Уральск</t>
  </si>
  <si>
    <t>Физлицо Интернет-Магазин Усть-Каменогорск</t>
  </si>
  <si>
    <t>Физлицо Интернет-Магазин Шымкент</t>
  </si>
  <si>
    <t>Физлицо Каспий</t>
  </si>
  <si>
    <t>Физлицо Магазин Брусиловского</t>
  </si>
  <si>
    <t>Физлицо Сотрудник</t>
  </si>
  <si>
    <t>Филиал ТОО Фармаком</t>
  </si>
  <si>
    <t>Фирдаус ИП</t>
  </si>
  <si>
    <t>фирма Веста ТОО</t>
  </si>
  <si>
    <t>Фирма Лаура ТОО</t>
  </si>
  <si>
    <t>Фирма Мега-плюс ТОО</t>
  </si>
  <si>
    <t>Фирма Серик-У</t>
  </si>
  <si>
    <t>ФК Центральная Аптека ТОО</t>
  </si>
  <si>
    <t>Хамитова Роза Галимовна ИП</t>
  </si>
  <si>
    <t>ХАН ДИ ТОО</t>
  </si>
  <si>
    <t>Целитель- Павлодар ТОО</t>
  </si>
  <si>
    <t>Цукат ТОО</t>
  </si>
  <si>
    <t>Частная клиника Искакова ТОО</t>
  </si>
  <si>
    <t>Частная компания Ordapharm Ltd.</t>
  </si>
  <si>
    <t>Черенщикова И.Д. ИП</t>
  </si>
  <si>
    <t>Чериаздан Айсулу Нурмухамбеткызы ИП</t>
  </si>
  <si>
    <t>Черная Т.Л. ИП</t>
  </si>
  <si>
    <t>Честная Аптека ТОО</t>
  </si>
  <si>
    <t>Шабыс ТОО</t>
  </si>
  <si>
    <t>Шалфей ИП</t>
  </si>
  <si>
    <t>Шалынина Е.В. ИП</t>
  </si>
  <si>
    <t>Шандакпаева ИП</t>
  </si>
  <si>
    <t>Шардин-Фарм ТОО</t>
  </si>
  <si>
    <t>Шахматова Л.И. ИП</t>
  </si>
  <si>
    <t>Шинбаева Куралай Шакеновна ИП</t>
  </si>
  <si>
    <t>Шымкентский филиал ТОО Фармаком</t>
  </si>
  <si>
    <t>Шынтерекова ТОО</t>
  </si>
  <si>
    <t>Эйр-Восток ТОО</t>
  </si>
  <si>
    <t>Эконом Фарм Плюс ТОО</t>
  </si>
  <si>
    <t>ЭкоФарм PVL ТОО</t>
  </si>
  <si>
    <t>ЭлинаФарм ТОО</t>
  </si>
  <si>
    <t>Элит Оптика 2011 ТОО</t>
  </si>
  <si>
    <t>Элона -Фарм ТОО</t>
  </si>
  <si>
    <t>ЮВЕ-Фарм ТОО</t>
  </si>
  <si>
    <t>ЮГМЕДФАРМ ТОО</t>
  </si>
  <si>
    <t>Южказмедтехника ТОО</t>
  </si>
  <si>
    <t>ЮЗКА ТОО</t>
  </si>
  <si>
    <t>ЮЛДАШЕВ ИП</t>
  </si>
  <si>
    <t>Итого</t>
  </si>
  <si>
    <t>A.Z.A ИП</t>
  </si>
  <si>
    <t>A-DEM PHARM ТОО</t>
  </si>
  <si>
    <t>AK NIET GROUP ТОО</t>
  </si>
  <si>
    <t>AK-MED pharmacy ТОО</t>
  </si>
  <si>
    <t>ALIPHARM ИП</t>
  </si>
  <si>
    <t>Alipharm ТОО</t>
  </si>
  <si>
    <t>AL-MAAD-COMPANY ТОО</t>
  </si>
  <si>
    <t>Almans LLP ТОО</t>
  </si>
  <si>
    <t>Almaz Medical Group ТОО</t>
  </si>
  <si>
    <t>ALSA CO ТОО</t>
  </si>
  <si>
    <t>A-Mega Pharm ТОО</t>
  </si>
  <si>
    <t>APEX Pharma ТОО</t>
  </si>
  <si>
    <t>Ast-Farrm 2023 ТОО</t>
  </si>
  <si>
    <t>ATAY PHARMA PLUS ТОО</t>
  </si>
  <si>
    <t>ATLANT CLINIC TOO</t>
  </si>
  <si>
    <t>AZIAMED5 ТОО</t>
  </si>
  <si>
    <t>Aziza Pharm ТОО</t>
  </si>
  <si>
    <t>BAYZAK PHARM ТОО</t>
  </si>
  <si>
    <t>CES Trade ТОО</t>
  </si>
  <si>
    <t>Daru Pharm ТОО</t>
  </si>
  <si>
    <t>DIATEKAPHARM ТОО</t>
  </si>
  <si>
    <t>Dilbar Farm ИП</t>
  </si>
  <si>
    <t>DINAR ИП</t>
  </si>
  <si>
    <t>DR. ELIXIR ТОО</t>
  </si>
  <si>
    <t>E-COM RETAILER GROUP ТОО</t>
  </si>
  <si>
    <t>ELITPHARM ТОО</t>
  </si>
  <si>
    <t>ePharmacy ТОО</t>
  </si>
  <si>
    <t>ER-AI PHARM ТОО</t>
  </si>
  <si>
    <t>ERZA_CLINIC ТОО</t>
  </si>
  <si>
    <t>Family Pharm Almaty ТОО</t>
  </si>
  <si>
    <t>Family sales ТОО</t>
  </si>
  <si>
    <t>FOOD BEVERAGE TRADING ТОО</t>
  </si>
  <si>
    <t>Food City ТОО</t>
  </si>
  <si>
    <t>Formidable ТОО</t>
  </si>
  <si>
    <t>GANIKEN GROUP ТОО</t>
  </si>
  <si>
    <t>Green Pharm  ИП</t>
  </si>
  <si>
    <t>Green Pharm Социальная аптека ТОО</t>
  </si>
  <si>
    <t>HIMA marketing ТОО</t>
  </si>
  <si>
    <t>Hoc loco ТОО</t>
  </si>
  <si>
    <t>Holding Broadkast ТОО</t>
  </si>
  <si>
    <t>INTI-pharma ТОО</t>
  </si>
  <si>
    <t>KARADA farmacia ТОО</t>
  </si>
  <si>
    <t>KAZPHARM ИП</t>
  </si>
  <si>
    <t>KazPharmacyAstana ТОО</t>
  </si>
  <si>
    <t>Kazyna Pharma plus ТОО</t>
  </si>
  <si>
    <t>MERIMED ТОО</t>
  </si>
  <si>
    <t>MIRA ИП</t>
  </si>
  <si>
    <t>MitoPharm ТОО</t>
  </si>
  <si>
    <t>NAZEL PHARM ТОО</t>
  </si>
  <si>
    <t>New pharm 777 ТОО</t>
  </si>
  <si>
    <t>Nurli Pharm ТОО</t>
  </si>
  <si>
    <t>Nurpharma ТОО</t>
  </si>
  <si>
    <t>NURSAN PHARMACY ТОО</t>
  </si>
  <si>
    <t>OkDoc ТОО</t>
  </si>
  <si>
    <t>Omela Pharm ТОО</t>
  </si>
  <si>
    <t>OSTEN TOO</t>
  </si>
  <si>
    <t>Pernebay ТОО</t>
  </si>
  <si>
    <t>Pharm A+ ТОО</t>
  </si>
  <si>
    <t>Pharm Service Astana ТОО</t>
  </si>
  <si>
    <t>Pharmacy delfin+ ТОО</t>
  </si>
  <si>
    <t>Rahat Pharm ТОО</t>
  </si>
  <si>
    <t>Rustembek-KR ТОО</t>
  </si>
  <si>
    <t>SANAD Pharm ТОО</t>
  </si>
  <si>
    <t>SET SAIL MEDICAL ТОО</t>
  </si>
  <si>
    <t>STAR PHARM ТОО</t>
  </si>
  <si>
    <t>SUNCAR PHARM Company ТОО</t>
  </si>
  <si>
    <t>TamimPharm (ТамимФарм) ТОО</t>
  </si>
  <si>
    <t>Victoriya Plus ТОО</t>
  </si>
  <si>
    <t>VIKAN PHARMA (ВИКАН ФАРМА) ТОО</t>
  </si>
  <si>
    <t>VITA-TD ТОО</t>
  </si>
  <si>
    <t>Zoya Фарм ТОО</t>
  </si>
  <si>
    <t>Абашкина О.М. ИП</t>
  </si>
  <si>
    <t>Абдулаева Е.В. ИП</t>
  </si>
  <si>
    <t>Абдуразакова Н.М ИП</t>
  </si>
  <si>
    <t>Абдурахманова Г.Т. ИП</t>
  </si>
  <si>
    <t>Абрал ТОО</t>
  </si>
  <si>
    <t>Абу Акбар ТОО</t>
  </si>
  <si>
    <t>АГГРАЙ ТОО</t>
  </si>
  <si>
    <t>Адилова Н.Р.ИП</t>
  </si>
  <si>
    <t>Азалия-Farm ТОО</t>
  </si>
  <si>
    <t>Азар центр Актобе ТОО</t>
  </si>
  <si>
    <t>Азимбаев М.А. ИП</t>
  </si>
  <si>
    <t>Айгерим Фармация ТОО</t>
  </si>
  <si>
    <t>Аквалон Казахстан ТОО</t>
  </si>
  <si>
    <t>Ақмағанбет ТОО</t>
  </si>
  <si>
    <t>АКМАМБЕТОВА ИП</t>
  </si>
  <si>
    <t>Алибекова А.А. ИП</t>
  </si>
  <si>
    <t>Алиманова Д.О ИП</t>
  </si>
  <si>
    <t>Алиф Фарм ТОО</t>
  </si>
  <si>
    <t>Алмагабетова Б.Ж. ИП</t>
  </si>
  <si>
    <t>Алтын тамыр ИП</t>
  </si>
  <si>
    <t>АЛЬ-ХАДИЯ» ТОО</t>
  </si>
  <si>
    <t>Амандыхқызы Гулайым ИП</t>
  </si>
  <si>
    <t>Амин ИП</t>
  </si>
  <si>
    <t>Ансар-Фарм ТОО</t>
  </si>
  <si>
    <t>Аптека 56 ПК</t>
  </si>
  <si>
    <t>Аптека 78 ТОО</t>
  </si>
  <si>
    <t>Аптека №5 ТОО</t>
  </si>
  <si>
    <t>АПТЕКА №84 ТОО</t>
  </si>
  <si>
    <t>Аптека Радуга ТОО</t>
  </si>
  <si>
    <t>Аптека рядом Астана ТОО</t>
  </si>
  <si>
    <t>Аптека рядом сити ТОО</t>
  </si>
  <si>
    <t>Аптека Форте ТОО</t>
  </si>
  <si>
    <t>аптека-бета ТОО</t>
  </si>
  <si>
    <t>АПТЕКАПРО ТОО</t>
  </si>
  <si>
    <t>Аптекарский приказ ТОО</t>
  </si>
  <si>
    <t>Аптеко-Центр ТОО</t>
  </si>
  <si>
    <t>АРТ плюс ТОО</t>
  </si>
  <si>
    <t>Асанова К.Т. ИП</t>
  </si>
  <si>
    <t>Аусагитова Гульнар Жупаровна  ИП</t>
  </si>
  <si>
    <t>АЯНА ТОО</t>
  </si>
  <si>
    <t>АЯ-ФAPM ТОО</t>
  </si>
  <si>
    <t>Байказакова Бибигуль ИП</t>
  </si>
  <si>
    <t>БАТЫР ПЛЮС ТОО</t>
  </si>
  <si>
    <t>Бахтиярова ИП</t>
  </si>
  <si>
    <t>Бегман Ата ТОО</t>
  </si>
  <si>
    <t>Бекманов ТОО</t>
  </si>
  <si>
    <t>Бережная аптека ИП</t>
  </si>
  <si>
    <t>Бигимбаева Р,А, ИП</t>
  </si>
  <si>
    <t>Биманова Ю.Ю. ИП</t>
  </si>
  <si>
    <t>Биолек ТОО</t>
  </si>
  <si>
    <t>Биофарм ИП</t>
  </si>
  <si>
    <t>Бисенгалиев Руслан Шуренович ИП</t>
  </si>
  <si>
    <t>Буриева Малика Лесхановна ИП</t>
  </si>
  <si>
    <t>Бэлла - Фарм ТОО</t>
  </si>
  <si>
    <t>Вахапова Эъзоза Кутлукханқызы ИП</t>
  </si>
  <si>
    <t>Вербовая Римма Ивановна ИП</t>
  </si>
  <si>
    <t>Ғажайып Нұр ТОО</t>
  </si>
  <si>
    <t>Гайпова К ИП</t>
  </si>
  <si>
    <t>Галянина ИП</t>
  </si>
  <si>
    <t>ГлоблФарм ТОО</t>
  </si>
  <si>
    <t>Глория ПК</t>
  </si>
  <si>
    <t>Глюкоза   ИП</t>
  </si>
  <si>
    <t>Даминат ИП</t>
  </si>
  <si>
    <t>Даму Фармация ТОО</t>
  </si>
  <si>
    <t>ДауаМед ТОО</t>
  </si>
  <si>
    <t>Даулет Диагностика ТОО</t>
  </si>
  <si>
    <t>Два берега ТОО</t>
  </si>
  <si>
    <t>ДЕМ ИП</t>
  </si>
  <si>
    <t>Дениз ИП</t>
  </si>
  <si>
    <t>Джаксыбекова Жанар Сериковна ИП</t>
  </si>
  <si>
    <t>Дилдабекова Айгерим Алиаскаровна ИП</t>
  </si>
  <si>
    <t>Дильназ-Фарм ТОО</t>
  </si>
  <si>
    <t>ДОК-ФАРМ ТОО</t>
  </si>
  <si>
    <t>Достанбекова Ботажан ИП</t>
  </si>
  <si>
    <t>Дубенкова О.А. ИП</t>
  </si>
  <si>
    <t>Дюсенбаева Корлан Газизовна ИП</t>
  </si>
  <si>
    <t>Е-Аптека ТОО</t>
  </si>
  <si>
    <t>ЕвроАзияФарм ТОО</t>
  </si>
  <si>
    <t>ЕРЕЖЕПБАЕВА ЗАУРЕШ УМИРОВНА ИП</t>
  </si>
  <si>
    <t>ЖанаМедФарм ТОО</t>
  </si>
  <si>
    <t>ЖАНАТ ФАРМ ТОО</t>
  </si>
  <si>
    <t>Жандосова Ж.У. ИП</t>
  </si>
  <si>
    <t>ЖАС ФАРМ ИП</t>
  </si>
  <si>
    <t>Жибек Жолы2020 ТОО</t>
  </si>
  <si>
    <t>ЖУМАГАЗИЕВА М.Ж. ИП</t>
  </si>
  <si>
    <t>Жумагулов ИП</t>
  </si>
  <si>
    <t>Жусан ИП</t>
  </si>
  <si>
    <t>ЗАМАН ФАРМ РИТЕЙЛ ТОО</t>
  </si>
  <si>
    <t>Зенкова Юлия Сергеевна ИП</t>
  </si>
  <si>
    <t>Зондер ИП</t>
  </si>
  <si>
    <t>ИЗИМОВА З.И.  ИП</t>
  </si>
  <si>
    <t>Илья ТОО</t>
  </si>
  <si>
    <t>ИНТЕРТИЧ ТОО</t>
  </si>
  <si>
    <t>Ирина Гриц ИП</t>
  </si>
  <si>
    <t>ИСАБЕКОВА ИП</t>
  </si>
  <si>
    <t>Исабекова ИП</t>
  </si>
  <si>
    <t>Искакова З.М. ИП</t>
  </si>
  <si>
    <t>Искалиева А.М. ИП</t>
  </si>
  <si>
    <t>ИСКИНДИРОВА ФАРИДА АДЕБИЕТОВНА ИП</t>
  </si>
  <si>
    <t>ИСЛАМ ИП</t>
  </si>
  <si>
    <t>Казфарм-групп ТОО</t>
  </si>
  <si>
    <t>Кайнарбаева К.Ж. ИП</t>
  </si>
  <si>
    <t>Кайсар ПК</t>
  </si>
  <si>
    <t>Кайсенова А.Г. ИП</t>
  </si>
  <si>
    <t>Касимова А.К. ИП</t>
  </si>
  <si>
    <t>Каспакова Ж. Ш. ИП</t>
  </si>
  <si>
    <t>Компания Лексервис ТОО</t>
  </si>
  <si>
    <t>Конабаева ИП</t>
  </si>
  <si>
    <t>Коннова И.Г. ИП</t>
  </si>
  <si>
    <t>Королева И.И. ИП</t>
  </si>
  <si>
    <t>Красильникова ИП</t>
  </si>
  <si>
    <t>Кубланова Айгуль Даировна ИП</t>
  </si>
  <si>
    <t>Кусумова Айганым  Куанышбаевна ИП</t>
  </si>
  <si>
    <t>Кутжолова ИП</t>
  </si>
  <si>
    <t>ҚЫПШАҚ 2012 ТОО</t>
  </si>
  <si>
    <t>ЛАЙМ 2017 ТОО</t>
  </si>
  <si>
    <t>Лекарь Фарма ТОО</t>
  </si>
  <si>
    <t>Ли Инна Григорьевна ИП</t>
  </si>
  <si>
    <t>Линк ПК</t>
  </si>
  <si>
    <t>Лиспаева Арайлым Танатаровна ИП</t>
  </si>
  <si>
    <t>Лосинская Н.А. ИП</t>
  </si>
  <si>
    <t>Макажанова ИП</t>
  </si>
  <si>
    <t>Макашева М,А, ИП</t>
  </si>
  <si>
    <t>Малгараева ИП</t>
  </si>
  <si>
    <t>Мариям 2018 ТОО</t>
  </si>
  <si>
    <t>МАРКАБАЕВА ЗЕБЕР КОШКАРОВНА ИП</t>
  </si>
  <si>
    <t>Мартынова Н.С.ИП</t>
  </si>
  <si>
    <t>Мастер Фарм ТОО</t>
  </si>
  <si>
    <t>МЕДиК плюс ТОО</t>
  </si>
  <si>
    <t>Медина S ТОО</t>
  </si>
  <si>
    <t>Мединтекс ТОО</t>
  </si>
  <si>
    <t>Медтехника     ТОО</t>
  </si>
  <si>
    <t>Мендыкулова А.Х. ИП</t>
  </si>
  <si>
    <t>Мир Здоровья ИП</t>
  </si>
  <si>
    <t>МИР-5 Group ТОО</t>
  </si>
  <si>
    <t>Мустафина Г.С. ИП</t>
  </si>
  <si>
    <t>МФК Da.Signa ТОО</t>
  </si>
  <si>
    <t>НАЗАРОВ ИП</t>
  </si>
  <si>
    <t>НурлыФарм ТОО</t>
  </si>
  <si>
    <t>НұрМедФарм ТОО</t>
  </si>
  <si>
    <t>Олжабаева К.И. ИП</t>
  </si>
  <si>
    <t>Ордыбаева Гульмира Тулегенова ИП</t>
  </si>
  <si>
    <t>Осташик С.В ИП</t>
  </si>
  <si>
    <t>Провизор ТОО</t>
  </si>
  <si>
    <t>Пульс и Компания ТОО</t>
  </si>
  <si>
    <t>Разиева ИП</t>
  </si>
  <si>
    <t>РАМАЗАН ИП</t>
  </si>
  <si>
    <t>Рахимова Галсем Ануарбековна ИП</t>
  </si>
  <si>
    <t>Резеда А ТОО</t>
  </si>
  <si>
    <t>РЗАШЕВА САЛТАНАТ ГИЗАТОВНА ИП</t>
  </si>
  <si>
    <t>Рзашова Мира Шаяхметовна ИП</t>
  </si>
  <si>
    <t>Росток -7 ТОО</t>
  </si>
  <si>
    <t>Садыхан Шымкент ТОО</t>
  </si>
  <si>
    <t>САРВАНОВА ИП</t>
  </si>
  <si>
    <t>Сартаева Раушан Есенгельдиевна ИП</t>
  </si>
  <si>
    <t>Саттарова АК ИП</t>
  </si>
  <si>
    <t>Саттілік-и-К ТОО</t>
  </si>
  <si>
    <t>Сверчкова Е.Е ИП</t>
  </si>
  <si>
    <t>Сейткалиева К. Е. ИП</t>
  </si>
  <si>
    <t>СИСЕНГАЛИЕВА У ИП</t>
  </si>
  <si>
    <t>Софора ТОО</t>
  </si>
  <si>
    <t>Социальная 2X2 ТОО</t>
  </si>
  <si>
    <t>Социальная аптека №1</t>
  </si>
  <si>
    <t>Сулейменов А.К. ИП</t>
  </si>
  <si>
    <t>Сулейменова Р.Д. ИП</t>
  </si>
  <si>
    <t>Супермаркет Баян Сулу ТОО</t>
  </si>
  <si>
    <t>ТАЙВИТА ТОО</t>
  </si>
  <si>
    <t>Талгар Оптика ТОО</t>
  </si>
  <si>
    <t>Тамыр плюс ТОО</t>
  </si>
  <si>
    <t>ТД Жусан ТОО</t>
  </si>
  <si>
    <t>Тельпекбаева ИП</t>
  </si>
  <si>
    <t>ТЕМИРОВА Р.Б. ИП</t>
  </si>
  <si>
    <t>ТИН ТОО</t>
  </si>
  <si>
    <t>ТОКАНМЕД ТОО</t>
  </si>
  <si>
    <t>Токбаева ИП</t>
  </si>
  <si>
    <t>ТОО "ЭНЕРГОФАРМ"</t>
  </si>
  <si>
    <t>Тулюлюк ИП</t>
  </si>
  <si>
    <t>УЛТАРАКОВА НАЗИМ РАУШАНОВНА ИП</t>
  </si>
  <si>
    <t>УМБЕТ ИП</t>
  </si>
  <si>
    <t>ҮМІТ-ФАРМ ВОСТОК ТОО</t>
  </si>
  <si>
    <t>ҮМІТ-ФАРМ ПЛЮС ТОО</t>
  </si>
  <si>
    <t>Утебаева Айгуль Санаковна ИП</t>
  </si>
  <si>
    <t>Утешева ИП</t>
  </si>
  <si>
    <t>ФАИЗ-2016 ТОО</t>
  </si>
  <si>
    <t>Фарм Care ИП</t>
  </si>
  <si>
    <t>Фарм Health ТОО</t>
  </si>
  <si>
    <t>ФАРМАТРЕНДЫ ТОО</t>
  </si>
  <si>
    <t>Фармация ТОО</t>
  </si>
  <si>
    <t>ФАРМ-БЕРЕКЕ ТОО</t>
  </si>
  <si>
    <t>Фармлюкс ТОО</t>
  </si>
  <si>
    <t>Физлицо Интернет-Магазин Актобе</t>
  </si>
  <si>
    <t>Физлицо Интернет-Магазин Атырау</t>
  </si>
  <si>
    <t>Физлицо Интернет-Магазин Тараз</t>
  </si>
  <si>
    <t>Фирма Аделина ТОО</t>
  </si>
  <si>
    <t>Фирма Илья ТОО</t>
  </si>
  <si>
    <t>Фитофарм групп (Phytopharm group) ТОО</t>
  </si>
  <si>
    <t>ФОРМАТ.KZ ТОО</t>
  </si>
  <si>
    <t>Формула здоровья ИП</t>
  </si>
  <si>
    <t>Хайтметова Г.А. ИП</t>
  </si>
  <si>
    <t>Хорошая Аптека ТОО</t>
  </si>
  <si>
    <t>Чингиз ТОО</t>
  </si>
  <si>
    <t>Шамсутдинова ИП</t>
  </si>
  <si>
    <t>Шарапат Фарм ТОО</t>
  </si>
  <si>
    <t>Шиляева ИП</t>
  </si>
  <si>
    <t>Шиметенко Г.И, ИП</t>
  </si>
  <si>
    <t>Шипагер НС ТОО</t>
  </si>
  <si>
    <t>Щучинский лечебно-диагностический центр ТОО</t>
  </si>
  <si>
    <t>ЭйПиЭс ТОО</t>
  </si>
  <si>
    <t>Экология и Медицина ТОО</t>
  </si>
  <si>
    <t>Экотель ТОО</t>
  </si>
  <si>
    <t>ЭКОФАРМ(ECOFARM) ТОО</t>
  </si>
  <si>
    <t>ЮРЫШЕВА ЛЮДМИЛА РОМАНОВНА ИП</t>
  </si>
  <si>
    <t>Юшкина ИП</t>
  </si>
  <si>
    <t>Декабрь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</si>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</sst>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8"/>
      <name val="Arial"/>
    </font>
    <font>
      <sz val="10"/>
      <color rgb="FF003F2F"/>
      <name val="Arial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D6E5CB"/>
        <bgColor indexed="64"/>
      </patternFill>
    </fill>
  </fills>
  <borders count="4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4" fontId="2" fillId="2" borderId="3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13">
    <dxf>
      <fill>
        <patternFill>
          <bgColor rgb="FFFF0000"/>
        </patternFill>
      </fill>
    </dxf>
    <dxf>
      <numFmt numFmtId="4" formatCode="#,##0.00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scheme val="none"/>
      </font>
      <fill>
        <patternFill patternType="solid">
          <fgColor indexed="64"/>
          <bgColor rgb="FFD6E5C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border outline="0">
        <bottom style="thin">
          <color rgb="FFA0A0A0"/>
        </bottom>
      </border>
    </dxf>
    <dxf>
      <border outline="0"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scheme val="none"/>
      </font>
      <fill>
        <patternFill patternType="solid">
          <fgColor indexed="64"/>
          <bgColor rgb="FFD6E5CB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border outline="0">
        <bottom style="thin">
          <color rgb="FFA0A0A0"/>
        </bottom>
      </border>
    </dxf>
    <dxf>
      <border outline="0">
        <top style="thin">
          <color rgb="FFA0A0A0"/>
        </top>
        <bottom style="thin">
          <color rgb="FFA0A0A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65A91-9797-4EE4-BB2F-3247281DAEFE}" name="Таблица1" displayName="Таблица1" ref="A2:B861" totalsRowShown="0" headerRowDxfId="8" headerRowBorderDxfId="6" tableBorderDxfId="7">
  <autoFilter ref="A2:B861" xr:uid="{33365A91-9797-4EE4-BB2F-3247281DAEFE}"/>
  <tableColumns count="2">
    <tableColumn id="1" xr3:uid="{E06DFCFA-0301-450A-938F-89E675065E66}" name="Контрагент" dataDxfId="5"/>
    <tableColumn id="3" xr3:uid="{A579C76A-27A0-4C69-9298-63158EA58023}" name="Сумма реализации (с возвратами)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DB207-8596-43C4-9EBF-DEEDD41A9471}" name="Таблица2" displayName="Таблица2" ref="A2:D893" totalsRowShown="0" headerRowDxfId="3" headerRowBorderDxfId="11" tableBorderDxfId="12">
  <autoFilter ref="A2:D893" xr:uid="{0B8DB207-8596-43C4-9EBF-DEEDD41A9471}"/>
  <tableColumns count="4">
    <tableColumn id="1" xr3:uid="{18952E1A-4ABC-48F4-86FE-9BBAC362C9AF}" name="Контрагент" dataDxfId="10"/>
    <tableColumn id="3" xr3:uid="{4690CBD4-DDD9-4B7F-A26E-B8F8357FBD43}" name="Сумма реализации (с возвратами)" dataDxfId="9"/>
    <tableColumn id="4" xr3:uid="{782E0A81-70D3-4CC0-8B4D-0180D4F81AEC}" name="Декабрь" dataDxfId="2">
      <calculatedColumnFormula>IFERROR(VLOOKUP(Таблица2[[#This Row],[Контрагент]],Таблица1[],2,0),0)</calculatedColumnFormula>
    </tableColumn>
    <tableColumn id="5" xr3:uid="{07CF5674-6AF8-46B7-986F-24694204F5A6}" name="Разница" dataDxfId="1">
      <calculatedColumnFormula>Таблица2[[#This Row],[Декабрь]]-Таблица2[[#This Row],[Сумма реализации (с возвратами)]]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861"/>
  <sheetViews>
    <sheetView workbookViewId="0">
      <selection activeCell="C2" sqref="C2"/>
    </sheetView>
  </sheetViews>
  <sheetFormatPr defaultColWidth="10.42578125" defaultRowHeight="11.4" customHeight="1" x14ac:dyDescent="0.2"/>
  <cols>
    <col min="1" max="1" width="18.7109375" style="1" customWidth="1"/>
    <col min="2" max="2" width="44.42578125" style="1" customWidth="1"/>
    <col min="3" max="3" width="57.140625" style="1" customWidth="1"/>
  </cols>
  <sheetData>
    <row r="1" spans="1:2" s="1" customFormat="1" ht="1.95" customHeight="1" x14ac:dyDescent="0.2"/>
    <row r="2" spans="1:2" ht="40.049999999999997" customHeight="1" x14ac:dyDescent="0.2">
      <c r="A2" s="5" t="s">
        <v>0</v>
      </c>
      <c r="B2" s="5" t="s">
        <v>1</v>
      </c>
    </row>
    <row r="3" spans="1:2" ht="10.95" customHeight="1" x14ac:dyDescent="0.2">
      <c r="A3" s="2" t="s">
        <v>2</v>
      </c>
      <c r="B3" s="3">
        <v>25100</v>
      </c>
    </row>
    <row r="4" spans="1:2" ht="10.95" customHeight="1" x14ac:dyDescent="0.2">
      <c r="A4" s="2" t="s">
        <v>3</v>
      </c>
      <c r="B4" s="3">
        <v>154170</v>
      </c>
    </row>
    <row r="5" spans="1:2" ht="10.95" customHeight="1" x14ac:dyDescent="0.2">
      <c r="A5" s="2" t="s">
        <v>4</v>
      </c>
      <c r="B5" s="3">
        <v>23280</v>
      </c>
    </row>
    <row r="6" spans="1:2" ht="10.95" customHeight="1" x14ac:dyDescent="0.2">
      <c r="A6" s="2" t="s">
        <v>5</v>
      </c>
      <c r="B6" s="3">
        <v>50655</v>
      </c>
    </row>
    <row r="7" spans="1:2" ht="10.95" customHeight="1" x14ac:dyDescent="0.2">
      <c r="A7" s="2" t="s">
        <v>6</v>
      </c>
      <c r="B7" s="3">
        <v>49320</v>
      </c>
    </row>
    <row r="8" spans="1:2" ht="10.95" customHeight="1" x14ac:dyDescent="0.2">
      <c r="A8" s="2" t="s">
        <v>7</v>
      </c>
      <c r="B8" s="3">
        <v>95755</v>
      </c>
    </row>
    <row r="9" spans="1:2" ht="10.95" customHeight="1" x14ac:dyDescent="0.2">
      <c r="A9" s="2" t="s">
        <v>8</v>
      </c>
      <c r="B9" s="3">
        <v>1315320</v>
      </c>
    </row>
    <row r="10" spans="1:2" ht="10.95" customHeight="1" x14ac:dyDescent="0.2">
      <c r="A10" s="2" t="s">
        <v>9</v>
      </c>
      <c r="B10" s="3">
        <v>35900</v>
      </c>
    </row>
    <row r="11" spans="1:2" ht="10.95" customHeight="1" x14ac:dyDescent="0.2">
      <c r="A11" s="2" t="s">
        <v>10</v>
      </c>
      <c r="B11" s="3">
        <v>8400</v>
      </c>
    </row>
    <row r="12" spans="1:2" ht="10.95" customHeight="1" x14ac:dyDescent="0.2">
      <c r="A12" s="2" t="s">
        <v>11</v>
      </c>
      <c r="B12" s="3">
        <v>49110</v>
      </c>
    </row>
    <row r="13" spans="1:2" ht="10.95" customHeight="1" x14ac:dyDescent="0.2">
      <c r="A13" s="2" t="s">
        <v>12</v>
      </c>
      <c r="B13" s="3">
        <v>1073910</v>
      </c>
    </row>
    <row r="14" spans="1:2" ht="10.95" customHeight="1" x14ac:dyDescent="0.2">
      <c r="A14" s="2" t="s">
        <v>13</v>
      </c>
      <c r="B14" s="3">
        <v>76600</v>
      </c>
    </row>
    <row r="15" spans="1:2" ht="10.95" customHeight="1" x14ac:dyDescent="0.2">
      <c r="A15" s="2" t="s">
        <v>14</v>
      </c>
      <c r="B15" s="3">
        <v>89050</v>
      </c>
    </row>
    <row r="16" spans="1:2" ht="10.95" customHeight="1" x14ac:dyDescent="0.2">
      <c r="A16" s="2" t="s">
        <v>15</v>
      </c>
      <c r="B16" s="3">
        <v>302040</v>
      </c>
    </row>
    <row r="17" spans="1:2" ht="10.95" customHeight="1" x14ac:dyDescent="0.2">
      <c r="A17" s="2" t="s">
        <v>16</v>
      </c>
      <c r="B17" s="3">
        <v>48190</v>
      </c>
    </row>
    <row r="18" spans="1:2" ht="10.95" customHeight="1" x14ac:dyDescent="0.2">
      <c r="A18" s="2" t="s">
        <v>17</v>
      </c>
      <c r="B18" s="3">
        <v>300280</v>
      </c>
    </row>
    <row r="19" spans="1:2" ht="10.95" customHeight="1" x14ac:dyDescent="0.2">
      <c r="A19" s="2" t="s">
        <v>18</v>
      </c>
      <c r="B19" s="3">
        <v>55940</v>
      </c>
    </row>
    <row r="20" spans="1:2" ht="10.95" customHeight="1" x14ac:dyDescent="0.2">
      <c r="A20" s="2" t="s">
        <v>19</v>
      </c>
      <c r="B20" s="3">
        <v>62580</v>
      </c>
    </row>
    <row r="21" spans="1:2" ht="10.95" customHeight="1" x14ac:dyDescent="0.2">
      <c r="A21" s="2" t="s">
        <v>20</v>
      </c>
      <c r="B21" s="3">
        <v>46615</v>
      </c>
    </row>
    <row r="22" spans="1:2" ht="10.95" customHeight="1" x14ac:dyDescent="0.2">
      <c r="A22" s="2" t="s">
        <v>21</v>
      </c>
      <c r="B22" s="3">
        <v>77370</v>
      </c>
    </row>
    <row r="23" spans="1:2" ht="10.95" customHeight="1" x14ac:dyDescent="0.2">
      <c r="A23" s="2" t="s">
        <v>22</v>
      </c>
      <c r="B23" s="3">
        <v>20600</v>
      </c>
    </row>
    <row r="24" spans="1:2" ht="10.95" customHeight="1" x14ac:dyDescent="0.2">
      <c r="A24" s="2" t="s">
        <v>23</v>
      </c>
      <c r="B24" s="3">
        <v>1030166</v>
      </c>
    </row>
    <row r="25" spans="1:2" ht="10.95" customHeight="1" x14ac:dyDescent="0.2">
      <c r="A25" s="2" t="s">
        <v>24</v>
      </c>
      <c r="B25" s="3">
        <v>2954987</v>
      </c>
    </row>
    <row r="26" spans="1:2" ht="10.95" customHeight="1" x14ac:dyDescent="0.2">
      <c r="A26" s="2" t="s">
        <v>25</v>
      </c>
      <c r="B26" s="3">
        <v>4106784</v>
      </c>
    </row>
    <row r="27" spans="1:2" ht="10.95" customHeight="1" x14ac:dyDescent="0.2">
      <c r="A27" s="2" t="s">
        <v>26</v>
      </c>
      <c r="B27" s="3">
        <v>493258</v>
      </c>
    </row>
    <row r="28" spans="1:2" ht="10.95" customHeight="1" x14ac:dyDescent="0.2">
      <c r="A28" s="2" t="s">
        <v>27</v>
      </c>
      <c r="B28" s="3">
        <v>3243334</v>
      </c>
    </row>
    <row r="29" spans="1:2" ht="10.95" customHeight="1" x14ac:dyDescent="0.2">
      <c r="A29" s="2" t="s">
        <v>28</v>
      </c>
      <c r="B29" s="3">
        <v>23750</v>
      </c>
    </row>
    <row r="30" spans="1:2" ht="10.95" customHeight="1" x14ac:dyDescent="0.2">
      <c r="A30" s="2" t="s">
        <v>29</v>
      </c>
      <c r="B30" s="3">
        <v>505043</v>
      </c>
    </row>
    <row r="31" spans="1:2" ht="10.95" customHeight="1" x14ac:dyDescent="0.2">
      <c r="A31" s="2" t="s">
        <v>30</v>
      </c>
      <c r="B31" s="3">
        <v>1100760</v>
      </c>
    </row>
    <row r="32" spans="1:2" ht="10.95" customHeight="1" x14ac:dyDescent="0.2">
      <c r="A32" s="2" t="s">
        <v>31</v>
      </c>
      <c r="B32" s="3">
        <v>10290</v>
      </c>
    </row>
    <row r="33" spans="1:2" ht="10.95" customHeight="1" x14ac:dyDescent="0.2">
      <c r="A33" s="2" t="s">
        <v>32</v>
      </c>
      <c r="B33" s="3">
        <v>53975</v>
      </c>
    </row>
    <row r="34" spans="1:2" ht="10.95" customHeight="1" x14ac:dyDescent="0.2">
      <c r="A34" s="2" t="s">
        <v>33</v>
      </c>
      <c r="B34" s="3">
        <v>249025</v>
      </c>
    </row>
    <row r="35" spans="1:2" ht="10.95" customHeight="1" x14ac:dyDescent="0.2">
      <c r="A35" s="2" t="s">
        <v>34</v>
      </c>
      <c r="B35" s="3">
        <v>35910</v>
      </c>
    </row>
    <row r="36" spans="1:2" ht="10.95" customHeight="1" x14ac:dyDescent="0.2">
      <c r="A36" s="2" t="s">
        <v>35</v>
      </c>
      <c r="B36" s="3">
        <v>949013</v>
      </c>
    </row>
    <row r="37" spans="1:2" ht="10.95" customHeight="1" x14ac:dyDescent="0.2">
      <c r="A37" s="2" t="s">
        <v>36</v>
      </c>
      <c r="B37" s="3">
        <v>2688000</v>
      </c>
    </row>
    <row r="38" spans="1:2" ht="10.95" customHeight="1" x14ac:dyDescent="0.2">
      <c r="A38" s="2" t="s">
        <v>37</v>
      </c>
      <c r="B38" s="3">
        <v>16660</v>
      </c>
    </row>
    <row r="39" spans="1:2" ht="10.95" customHeight="1" x14ac:dyDescent="0.2">
      <c r="A39" s="2" t="s">
        <v>38</v>
      </c>
      <c r="B39" s="3">
        <v>56320</v>
      </c>
    </row>
    <row r="40" spans="1:2" ht="10.95" customHeight="1" x14ac:dyDescent="0.2">
      <c r="A40" s="2" t="s">
        <v>39</v>
      </c>
      <c r="B40" s="3">
        <v>394360</v>
      </c>
    </row>
    <row r="41" spans="1:2" ht="10.95" customHeight="1" x14ac:dyDescent="0.2">
      <c r="A41" s="2" t="s">
        <v>40</v>
      </c>
      <c r="B41" s="3">
        <v>123140</v>
      </c>
    </row>
    <row r="42" spans="1:2" ht="10.95" customHeight="1" x14ac:dyDescent="0.2">
      <c r="A42" s="2" t="s">
        <v>41</v>
      </c>
      <c r="B42" s="3">
        <v>966290</v>
      </c>
    </row>
    <row r="43" spans="1:2" ht="10.95" customHeight="1" x14ac:dyDescent="0.2">
      <c r="A43" s="2" t="s">
        <v>42</v>
      </c>
      <c r="B43" s="3">
        <v>197260</v>
      </c>
    </row>
    <row r="44" spans="1:2" ht="10.95" customHeight="1" x14ac:dyDescent="0.2">
      <c r="A44" s="2" t="s">
        <v>43</v>
      </c>
      <c r="B44" s="3">
        <v>140280</v>
      </c>
    </row>
    <row r="45" spans="1:2" ht="10.95" customHeight="1" x14ac:dyDescent="0.2">
      <c r="A45" s="2" t="s">
        <v>44</v>
      </c>
      <c r="B45" s="3">
        <v>92810</v>
      </c>
    </row>
    <row r="46" spans="1:2" ht="10.95" customHeight="1" x14ac:dyDescent="0.2">
      <c r="A46" s="2" t="s">
        <v>45</v>
      </c>
      <c r="B46" s="3">
        <v>62880</v>
      </c>
    </row>
    <row r="47" spans="1:2" ht="10.95" customHeight="1" x14ac:dyDescent="0.2">
      <c r="A47" s="2" t="s">
        <v>46</v>
      </c>
      <c r="B47" s="3">
        <v>132010</v>
      </c>
    </row>
    <row r="48" spans="1:2" ht="10.95" customHeight="1" x14ac:dyDescent="0.2">
      <c r="A48" s="2" t="s">
        <v>47</v>
      </c>
      <c r="B48" s="3">
        <v>17470</v>
      </c>
    </row>
    <row r="49" spans="1:2" ht="10.95" customHeight="1" x14ac:dyDescent="0.2">
      <c r="A49" s="2" t="s">
        <v>48</v>
      </c>
      <c r="B49" s="3">
        <v>42990</v>
      </c>
    </row>
    <row r="50" spans="1:2" ht="10.95" customHeight="1" x14ac:dyDescent="0.2">
      <c r="A50" s="2" t="s">
        <v>49</v>
      </c>
      <c r="B50" s="3">
        <v>193265</v>
      </c>
    </row>
    <row r="51" spans="1:2" ht="10.95" customHeight="1" x14ac:dyDescent="0.2">
      <c r="A51" s="2" t="s">
        <v>50</v>
      </c>
      <c r="B51" s="3">
        <v>26590</v>
      </c>
    </row>
    <row r="52" spans="1:2" ht="10.95" customHeight="1" x14ac:dyDescent="0.2">
      <c r="A52" s="2" t="s">
        <v>51</v>
      </c>
      <c r="B52" s="3">
        <v>122113</v>
      </c>
    </row>
    <row r="53" spans="1:2" ht="10.95" customHeight="1" x14ac:dyDescent="0.2">
      <c r="A53" s="2" t="s">
        <v>52</v>
      </c>
      <c r="B53" s="3">
        <v>393264</v>
      </c>
    </row>
    <row r="54" spans="1:2" ht="10.95" customHeight="1" x14ac:dyDescent="0.2">
      <c r="A54" s="2" t="s">
        <v>53</v>
      </c>
      <c r="B54" s="3">
        <v>28760</v>
      </c>
    </row>
    <row r="55" spans="1:2" ht="10.95" customHeight="1" x14ac:dyDescent="0.2">
      <c r="A55" s="2" t="s">
        <v>54</v>
      </c>
      <c r="B55" s="3">
        <v>75050</v>
      </c>
    </row>
    <row r="56" spans="1:2" ht="10.95" customHeight="1" x14ac:dyDescent="0.2">
      <c r="A56" s="2" t="s">
        <v>55</v>
      </c>
      <c r="B56" s="3">
        <v>32940</v>
      </c>
    </row>
    <row r="57" spans="1:2" ht="10.95" customHeight="1" x14ac:dyDescent="0.2">
      <c r="A57" s="2" t="s">
        <v>56</v>
      </c>
      <c r="B57" s="3">
        <v>128540</v>
      </c>
    </row>
    <row r="58" spans="1:2" ht="10.95" customHeight="1" x14ac:dyDescent="0.2">
      <c r="A58" s="2" t="s">
        <v>57</v>
      </c>
      <c r="B58" s="3">
        <v>89850</v>
      </c>
    </row>
    <row r="59" spans="1:2" ht="10.95" customHeight="1" x14ac:dyDescent="0.2">
      <c r="A59" s="2" t="s">
        <v>58</v>
      </c>
      <c r="B59" s="3">
        <v>628293</v>
      </c>
    </row>
    <row r="60" spans="1:2" ht="10.95" customHeight="1" x14ac:dyDescent="0.2">
      <c r="A60" s="2" t="s">
        <v>59</v>
      </c>
      <c r="B60" s="3">
        <v>106395</v>
      </c>
    </row>
    <row r="61" spans="1:2" ht="10.95" customHeight="1" x14ac:dyDescent="0.2">
      <c r="A61" s="2" t="s">
        <v>60</v>
      </c>
      <c r="B61" s="3">
        <v>102460</v>
      </c>
    </row>
    <row r="62" spans="1:2" ht="10.95" customHeight="1" x14ac:dyDescent="0.2">
      <c r="A62" s="2" t="s">
        <v>61</v>
      </c>
      <c r="B62" s="3">
        <v>182090</v>
      </c>
    </row>
    <row r="63" spans="1:2" ht="10.95" customHeight="1" x14ac:dyDescent="0.2">
      <c r="A63" s="2" t="s">
        <v>62</v>
      </c>
      <c r="B63" s="3">
        <v>44030</v>
      </c>
    </row>
    <row r="64" spans="1:2" ht="10.95" customHeight="1" x14ac:dyDescent="0.2">
      <c r="A64" s="2" t="s">
        <v>63</v>
      </c>
      <c r="B64" s="3">
        <v>115650</v>
      </c>
    </row>
    <row r="65" spans="1:2" ht="10.95" customHeight="1" x14ac:dyDescent="0.2">
      <c r="A65" s="2" t="s">
        <v>64</v>
      </c>
      <c r="B65" s="3">
        <v>333303</v>
      </c>
    </row>
    <row r="66" spans="1:2" ht="10.95" customHeight="1" x14ac:dyDescent="0.2">
      <c r="A66" s="2" t="s">
        <v>65</v>
      </c>
      <c r="B66" s="3">
        <v>24050</v>
      </c>
    </row>
    <row r="67" spans="1:2" ht="10.95" customHeight="1" x14ac:dyDescent="0.2">
      <c r="A67" s="2" t="s">
        <v>66</v>
      </c>
      <c r="B67" s="3">
        <v>117600</v>
      </c>
    </row>
    <row r="68" spans="1:2" ht="10.95" customHeight="1" x14ac:dyDescent="0.2">
      <c r="A68" s="2" t="s">
        <v>67</v>
      </c>
      <c r="B68" s="3">
        <v>674120</v>
      </c>
    </row>
    <row r="69" spans="1:2" ht="10.95" customHeight="1" x14ac:dyDescent="0.2">
      <c r="A69" s="2" t="s">
        <v>68</v>
      </c>
      <c r="B69" s="3">
        <v>79840</v>
      </c>
    </row>
    <row r="70" spans="1:2" ht="10.95" customHeight="1" x14ac:dyDescent="0.2">
      <c r="A70" s="2" t="s">
        <v>69</v>
      </c>
      <c r="B70" s="3">
        <v>530195</v>
      </c>
    </row>
    <row r="71" spans="1:2" ht="10.95" customHeight="1" x14ac:dyDescent="0.2">
      <c r="A71" s="2" t="s">
        <v>70</v>
      </c>
      <c r="B71" s="3">
        <v>323184</v>
      </c>
    </row>
    <row r="72" spans="1:2" ht="10.95" customHeight="1" x14ac:dyDescent="0.2">
      <c r="A72" s="2" t="s">
        <v>71</v>
      </c>
      <c r="B72" s="3">
        <v>63840</v>
      </c>
    </row>
    <row r="73" spans="1:2" ht="10.95" customHeight="1" x14ac:dyDescent="0.2">
      <c r="A73" s="2" t="s">
        <v>72</v>
      </c>
      <c r="B73" s="3">
        <v>179425</v>
      </c>
    </row>
    <row r="74" spans="1:2" ht="10.95" customHeight="1" x14ac:dyDescent="0.2">
      <c r="A74" s="2" t="s">
        <v>73</v>
      </c>
      <c r="B74" s="3">
        <v>268460</v>
      </c>
    </row>
    <row r="75" spans="1:2" ht="10.95" customHeight="1" x14ac:dyDescent="0.2">
      <c r="A75" s="2" t="s">
        <v>74</v>
      </c>
      <c r="B75" s="3">
        <v>21540</v>
      </c>
    </row>
    <row r="76" spans="1:2" ht="10.95" customHeight="1" x14ac:dyDescent="0.2">
      <c r="A76" s="2" t="s">
        <v>75</v>
      </c>
      <c r="B76" s="3">
        <v>1186935</v>
      </c>
    </row>
    <row r="77" spans="1:2" ht="10.95" customHeight="1" x14ac:dyDescent="0.2">
      <c r="A77" s="2" t="s">
        <v>76</v>
      </c>
      <c r="B77" s="3">
        <v>57200</v>
      </c>
    </row>
    <row r="78" spans="1:2" ht="10.95" customHeight="1" x14ac:dyDescent="0.2">
      <c r="A78" s="2" t="s">
        <v>77</v>
      </c>
      <c r="B78" s="3">
        <v>61320</v>
      </c>
    </row>
    <row r="79" spans="1:2" ht="10.95" customHeight="1" x14ac:dyDescent="0.2">
      <c r="A79" s="2" t="s">
        <v>78</v>
      </c>
      <c r="B79" s="3">
        <v>24640</v>
      </c>
    </row>
    <row r="80" spans="1:2" ht="10.95" customHeight="1" x14ac:dyDescent="0.2">
      <c r="A80" s="2" t="s">
        <v>79</v>
      </c>
      <c r="B80" s="3">
        <v>94623</v>
      </c>
    </row>
    <row r="81" spans="1:2" ht="10.95" customHeight="1" x14ac:dyDescent="0.2">
      <c r="A81" s="2" t="s">
        <v>80</v>
      </c>
      <c r="B81" s="3">
        <v>102620</v>
      </c>
    </row>
    <row r="82" spans="1:2" ht="10.95" customHeight="1" x14ac:dyDescent="0.2">
      <c r="A82" s="2" t="s">
        <v>81</v>
      </c>
      <c r="B82" s="3">
        <v>10000</v>
      </c>
    </row>
    <row r="83" spans="1:2" ht="10.95" customHeight="1" x14ac:dyDescent="0.2">
      <c r="A83" s="2" t="s">
        <v>82</v>
      </c>
      <c r="B83" s="3">
        <v>36160</v>
      </c>
    </row>
    <row r="84" spans="1:2" ht="10.95" customHeight="1" x14ac:dyDescent="0.2">
      <c r="A84" s="2" t="s">
        <v>83</v>
      </c>
      <c r="B84" s="3">
        <v>23180</v>
      </c>
    </row>
    <row r="85" spans="1:2" ht="10.95" customHeight="1" x14ac:dyDescent="0.2">
      <c r="A85" s="2" t="s">
        <v>84</v>
      </c>
      <c r="B85" s="3">
        <v>255610</v>
      </c>
    </row>
    <row r="86" spans="1:2" ht="10.95" customHeight="1" x14ac:dyDescent="0.2">
      <c r="A86" s="2" t="s">
        <v>85</v>
      </c>
      <c r="B86" s="3">
        <v>67390</v>
      </c>
    </row>
    <row r="87" spans="1:2" ht="10.95" customHeight="1" x14ac:dyDescent="0.2">
      <c r="A87" s="2" t="s">
        <v>86</v>
      </c>
      <c r="B87" s="3">
        <v>22580</v>
      </c>
    </row>
    <row r="88" spans="1:2" ht="10.95" customHeight="1" x14ac:dyDescent="0.2">
      <c r="A88" s="2" t="s">
        <v>87</v>
      </c>
      <c r="B88" s="3">
        <v>20000</v>
      </c>
    </row>
    <row r="89" spans="1:2" ht="10.95" customHeight="1" x14ac:dyDescent="0.2">
      <c r="A89" s="2" t="s">
        <v>88</v>
      </c>
      <c r="B89" s="3">
        <v>101215</v>
      </c>
    </row>
    <row r="90" spans="1:2" ht="10.95" customHeight="1" x14ac:dyDescent="0.2">
      <c r="A90" s="2" t="s">
        <v>89</v>
      </c>
      <c r="B90" s="3">
        <v>184120</v>
      </c>
    </row>
    <row r="91" spans="1:2" ht="10.95" customHeight="1" x14ac:dyDescent="0.2">
      <c r="A91" s="2" t="s">
        <v>90</v>
      </c>
      <c r="B91" s="3">
        <v>69515</v>
      </c>
    </row>
    <row r="92" spans="1:2" ht="10.95" customHeight="1" x14ac:dyDescent="0.2">
      <c r="A92" s="2" t="s">
        <v>91</v>
      </c>
      <c r="B92" s="3">
        <v>1028420</v>
      </c>
    </row>
    <row r="93" spans="1:2" ht="10.95" customHeight="1" x14ac:dyDescent="0.2">
      <c r="A93" s="2" t="s">
        <v>92</v>
      </c>
      <c r="B93" s="3">
        <v>47400</v>
      </c>
    </row>
    <row r="94" spans="1:2" ht="10.95" customHeight="1" x14ac:dyDescent="0.2">
      <c r="A94" s="2" t="s">
        <v>93</v>
      </c>
      <c r="B94" s="3">
        <v>211970</v>
      </c>
    </row>
    <row r="95" spans="1:2" ht="10.95" customHeight="1" x14ac:dyDescent="0.2">
      <c r="A95" s="2" t="s">
        <v>94</v>
      </c>
      <c r="B95" s="3">
        <v>108440</v>
      </c>
    </row>
    <row r="96" spans="1:2" ht="10.95" customHeight="1" x14ac:dyDescent="0.2">
      <c r="A96" s="2" t="s">
        <v>95</v>
      </c>
      <c r="B96" s="3">
        <v>91520</v>
      </c>
    </row>
    <row r="97" spans="1:2" ht="10.95" customHeight="1" x14ac:dyDescent="0.2">
      <c r="A97" s="2" t="s">
        <v>96</v>
      </c>
      <c r="B97" s="3">
        <v>290408</v>
      </c>
    </row>
    <row r="98" spans="1:2" ht="10.95" customHeight="1" x14ac:dyDescent="0.2">
      <c r="A98" s="2" t="s">
        <v>97</v>
      </c>
      <c r="B98" s="3">
        <v>73760</v>
      </c>
    </row>
    <row r="99" spans="1:2" ht="10.95" customHeight="1" x14ac:dyDescent="0.2">
      <c r="A99" s="2" t="s">
        <v>98</v>
      </c>
      <c r="B99" s="3">
        <v>44400</v>
      </c>
    </row>
    <row r="100" spans="1:2" ht="10.95" customHeight="1" x14ac:dyDescent="0.2">
      <c r="A100" s="2" t="s">
        <v>99</v>
      </c>
      <c r="B100" s="3">
        <v>9600</v>
      </c>
    </row>
    <row r="101" spans="1:2" ht="10.95" customHeight="1" x14ac:dyDescent="0.2">
      <c r="A101" s="2" t="s">
        <v>100</v>
      </c>
      <c r="B101" s="3">
        <v>17830</v>
      </c>
    </row>
    <row r="102" spans="1:2" ht="10.95" customHeight="1" x14ac:dyDescent="0.2">
      <c r="A102" s="2" t="s">
        <v>101</v>
      </c>
      <c r="B102" s="3">
        <v>231532</v>
      </c>
    </row>
    <row r="103" spans="1:2" ht="10.95" customHeight="1" x14ac:dyDescent="0.2">
      <c r="A103" s="2" t="s">
        <v>102</v>
      </c>
      <c r="B103" s="3">
        <v>154720</v>
      </c>
    </row>
    <row r="104" spans="1:2" ht="10.95" customHeight="1" x14ac:dyDescent="0.2">
      <c r="A104" s="2" t="s">
        <v>103</v>
      </c>
      <c r="B104" s="3">
        <v>73880</v>
      </c>
    </row>
    <row r="105" spans="1:2" ht="10.95" customHeight="1" x14ac:dyDescent="0.2">
      <c r="A105" s="2" t="s">
        <v>104</v>
      </c>
      <c r="B105" s="3">
        <v>63580</v>
      </c>
    </row>
    <row r="106" spans="1:2" ht="10.95" customHeight="1" x14ac:dyDescent="0.2">
      <c r="A106" s="2" t="s">
        <v>105</v>
      </c>
      <c r="B106" s="3">
        <v>137785</v>
      </c>
    </row>
    <row r="107" spans="1:2" ht="10.95" customHeight="1" x14ac:dyDescent="0.2">
      <c r="A107" s="2" t="s">
        <v>106</v>
      </c>
      <c r="B107" s="3">
        <v>18000</v>
      </c>
    </row>
    <row r="108" spans="1:2" ht="10.95" customHeight="1" x14ac:dyDescent="0.2">
      <c r="A108" s="2" t="s">
        <v>107</v>
      </c>
      <c r="B108" s="3">
        <v>83300</v>
      </c>
    </row>
    <row r="109" spans="1:2" ht="10.95" customHeight="1" x14ac:dyDescent="0.2">
      <c r="A109" s="2" t="s">
        <v>108</v>
      </c>
      <c r="B109" s="3">
        <v>599930</v>
      </c>
    </row>
    <row r="110" spans="1:2" ht="10.95" customHeight="1" x14ac:dyDescent="0.2">
      <c r="A110" s="2" t="s">
        <v>109</v>
      </c>
      <c r="B110" s="3">
        <v>66831</v>
      </c>
    </row>
    <row r="111" spans="1:2" ht="10.95" customHeight="1" x14ac:dyDescent="0.2">
      <c r="A111" s="2" t="s">
        <v>110</v>
      </c>
      <c r="B111" s="3">
        <v>62230</v>
      </c>
    </row>
    <row r="112" spans="1:2" ht="10.95" customHeight="1" x14ac:dyDescent="0.2">
      <c r="A112" s="2" t="s">
        <v>111</v>
      </c>
      <c r="B112" s="3">
        <v>9770958</v>
      </c>
    </row>
    <row r="113" spans="1:2" ht="10.95" customHeight="1" x14ac:dyDescent="0.2">
      <c r="A113" s="2" t="s">
        <v>112</v>
      </c>
      <c r="B113" s="3">
        <v>246880</v>
      </c>
    </row>
    <row r="114" spans="1:2" ht="10.95" customHeight="1" x14ac:dyDescent="0.2">
      <c r="A114" s="2" t="s">
        <v>113</v>
      </c>
      <c r="B114" s="3">
        <v>584710</v>
      </c>
    </row>
    <row r="115" spans="1:2" ht="10.95" customHeight="1" x14ac:dyDescent="0.2">
      <c r="A115" s="2" t="s">
        <v>114</v>
      </c>
      <c r="B115" s="3">
        <v>107280</v>
      </c>
    </row>
    <row r="116" spans="1:2" ht="10.95" customHeight="1" x14ac:dyDescent="0.2">
      <c r="A116" s="2" t="s">
        <v>115</v>
      </c>
      <c r="B116" s="3">
        <v>312394</v>
      </c>
    </row>
    <row r="117" spans="1:2" ht="10.95" customHeight="1" x14ac:dyDescent="0.2">
      <c r="A117" s="2" t="s">
        <v>116</v>
      </c>
      <c r="B117" s="3">
        <v>23350</v>
      </c>
    </row>
    <row r="118" spans="1:2" ht="10.95" customHeight="1" x14ac:dyDescent="0.2">
      <c r="A118" s="2" t="s">
        <v>117</v>
      </c>
      <c r="B118" s="3">
        <v>322900</v>
      </c>
    </row>
    <row r="119" spans="1:2" ht="10.95" customHeight="1" x14ac:dyDescent="0.2">
      <c r="A119" s="2" t="s">
        <v>118</v>
      </c>
      <c r="B119" s="3">
        <v>1261439</v>
      </c>
    </row>
    <row r="120" spans="1:2" ht="10.95" customHeight="1" x14ac:dyDescent="0.2">
      <c r="A120" s="2" t="s">
        <v>119</v>
      </c>
      <c r="B120" s="3">
        <v>60105</v>
      </c>
    </row>
    <row r="121" spans="1:2" ht="10.95" customHeight="1" x14ac:dyDescent="0.2">
      <c r="A121" s="2" t="s">
        <v>120</v>
      </c>
      <c r="B121" s="3">
        <v>14880</v>
      </c>
    </row>
    <row r="122" spans="1:2" ht="10.95" customHeight="1" x14ac:dyDescent="0.2">
      <c r="A122" s="2" t="s">
        <v>121</v>
      </c>
      <c r="B122" s="3">
        <v>138035</v>
      </c>
    </row>
    <row r="123" spans="1:2" ht="10.95" customHeight="1" x14ac:dyDescent="0.2">
      <c r="A123" s="2" t="s">
        <v>122</v>
      </c>
      <c r="B123" s="3">
        <v>36610</v>
      </c>
    </row>
    <row r="124" spans="1:2" ht="10.95" customHeight="1" x14ac:dyDescent="0.2">
      <c r="A124" s="2" t="s">
        <v>123</v>
      </c>
      <c r="B124" s="3">
        <v>92220</v>
      </c>
    </row>
    <row r="125" spans="1:2" ht="10.95" customHeight="1" x14ac:dyDescent="0.2">
      <c r="A125" s="2" t="s">
        <v>124</v>
      </c>
      <c r="B125" s="3">
        <v>39715</v>
      </c>
    </row>
    <row r="126" spans="1:2" ht="10.95" customHeight="1" x14ac:dyDescent="0.2">
      <c r="A126" s="2" t="s">
        <v>125</v>
      </c>
      <c r="B126" s="3">
        <v>25800</v>
      </c>
    </row>
    <row r="127" spans="1:2" ht="10.95" customHeight="1" x14ac:dyDescent="0.2">
      <c r="A127" s="2" t="s">
        <v>126</v>
      </c>
      <c r="B127" s="3">
        <v>92480</v>
      </c>
    </row>
    <row r="128" spans="1:2" ht="10.95" customHeight="1" x14ac:dyDescent="0.2">
      <c r="A128" s="2" t="s">
        <v>127</v>
      </c>
      <c r="B128" s="3">
        <v>26355</v>
      </c>
    </row>
    <row r="129" spans="1:2" ht="10.95" customHeight="1" x14ac:dyDescent="0.2">
      <c r="A129" s="2" t="s">
        <v>128</v>
      </c>
      <c r="B129" s="3">
        <v>35280</v>
      </c>
    </row>
    <row r="130" spans="1:2" ht="10.95" customHeight="1" x14ac:dyDescent="0.2">
      <c r="A130" s="2" t="s">
        <v>129</v>
      </c>
      <c r="B130" s="3">
        <v>27155</v>
      </c>
    </row>
    <row r="131" spans="1:2" ht="10.95" customHeight="1" x14ac:dyDescent="0.2">
      <c r="A131" s="2" t="s">
        <v>130</v>
      </c>
      <c r="B131" s="3">
        <v>73790</v>
      </c>
    </row>
    <row r="132" spans="1:2" ht="10.95" customHeight="1" x14ac:dyDescent="0.2">
      <c r="A132" s="2" t="s">
        <v>131</v>
      </c>
      <c r="B132" s="3">
        <v>10000</v>
      </c>
    </row>
    <row r="133" spans="1:2" ht="10.95" customHeight="1" x14ac:dyDescent="0.2">
      <c r="A133" s="2" t="s">
        <v>132</v>
      </c>
      <c r="B133" s="3">
        <v>26290</v>
      </c>
    </row>
    <row r="134" spans="1:2" ht="10.95" customHeight="1" x14ac:dyDescent="0.2">
      <c r="A134" s="2" t="s">
        <v>133</v>
      </c>
      <c r="B134" s="3">
        <v>105870</v>
      </c>
    </row>
    <row r="135" spans="1:2" ht="10.95" customHeight="1" x14ac:dyDescent="0.2">
      <c r="A135" s="2" t="s">
        <v>134</v>
      </c>
      <c r="B135" s="3">
        <v>24000</v>
      </c>
    </row>
    <row r="136" spans="1:2" ht="10.95" customHeight="1" x14ac:dyDescent="0.2">
      <c r="A136" s="2" t="s">
        <v>135</v>
      </c>
      <c r="B136" s="3">
        <v>19680</v>
      </c>
    </row>
    <row r="137" spans="1:2" ht="10.95" customHeight="1" x14ac:dyDescent="0.2">
      <c r="A137" s="2" t="s">
        <v>136</v>
      </c>
      <c r="B137" s="3">
        <v>34300</v>
      </c>
    </row>
    <row r="138" spans="1:2" ht="10.95" customHeight="1" x14ac:dyDescent="0.2">
      <c r="A138" s="2" t="s">
        <v>137</v>
      </c>
      <c r="B138" s="3">
        <v>50200</v>
      </c>
    </row>
    <row r="139" spans="1:2" ht="10.95" customHeight="1" x14ac:dyDescent="0.2">
      <c r="A139" s="2" t="s">
        <v>138</v>
      </c>
      <c r="B139" s="3">
        <v>40560</v>
      </c>
    </row>
    <row r="140" spans="1:2" ht="10.95" customHeight="1" x14ac:dyDescent="0.2">
      <c r="A140" s="2" t="s">
        <v>139</v>
      </c>
      <c r="B140" s="3">
        <v>134875</v>
      </c>
    </row>
    <row r="141" spans="1:2" ht="10.95" customHeight="1" x14ac:dyDescent="0.2">
      <c r="A141" s="2" t="s">
        <v>140</v>
      </c>
      <c r="B141" s="3">
        <v>12000</v>
      </c>
    </row>
    <row r="142" spans="1:2" ht="10.95" customHeight="1" x14ac:dyDescent="0.2">
      <c r="A142" s="2" t="s">
        <v>141</v>
      </c>
      <c r="B142" s="3">
        <v>16680</v>
      </c>
    </row>
    <row r="143" spans="1:2" ht="10.95" customHeight="1" x14ac:dyDescent="0.2">
      <c r="A143" s="2" t="s">
        <v>142</v>
      </c>
      <c r="B143" s="3">
        <v>37490</v>
      </c>
    </row>
    <row r="144" spans="1:2" ht="10.95" customHeight="1" x14ac:dyDescent="0.2">
      <c r="A144" s="2" t="s">
        <v>143</v>
      </c>
      <c r="B144" s="3">
        <v>157290</v>
      </c>
    </row>
    <row r="145" spans="1:2" ht="10.95" customHeight="1" x14ac:dyDescent="0.2">
      <c r="A145" s="2" t="s">
        <v>144</v>
      </c>
      <c r="B145" s="3">
        <v>71140</v>
      </c>
    </row>
    <row r="146" spans="1:2" ht="10.95" customHeight="1" x14ac:dyDescent="0.2">
      <c r="A146" s="2" t="s">
        <v>145</v>
      </c>
      <c r="B146" s="3">
        <v>12650</v>
      </c>
    </row>
    <row r="147" spans="1:2" ht="10.95" customHeight="1" x14ac:dyDescent="0.2">
      <c r="A147" s="2" t="s">
        <v>146</v>
      </c>
      <c r="B147" s="3">
        <v>174380</v>
      </c>
    </row>
    <row r="148" spans="1:2" ht="10.95" customHeight="1" x14ac:dyDescent="0.2">
      <c r="A148" s="2" t="s">
        <v>147</v>
      </c>
      <c r="B148" s="3">
        <v>82680</v>
      </c>
    </row>
    <row r="149" spans="1:2" ht="10.95" customHeight="1" x14ac:dyDescent="0.2">
      <c r="A149" s="2" t="s">
        <v>148</v>
      </c>
      <c r="B149" s="3">
        <v>13950</v>
      </c>
    </row>
    <row r="150" spans="1:2" ht="10.95" customHeight="1" x14ac:dyDescent="0.2">
      <c r="A150" s="2" t="s">
        <v>149</v>
      </c>
      <c r="B150" s="3">
        <v>121480</v>
      </c>
    </row>
    <row r="151" spans="1:2" ht="10.95" customHeight="1" x14ac:dyDescent="0.2">
      <c r="A151" s="2" t="s">
        <v>150</v>
      </c>
      <c r="B151" s="3">
        <v>1051492</v>
      </c>
    </row>
    <row r="152" spans="1:2" ht="10.95" customHeight="1" x14ac:dyDescent="0.2">
      <c r="A152" s="2" t="s">
        <v>151</v>
      </c>
      <c r="B152" s="3">
        <v>12510</v>
      </c>
    </row>
    <row r="153" spans="1:2" ht="10.95" customHeight="1" x14ac:dyDescent="0.2">
      <c r="A153" s="2" t="s">
        <v>152</v>
      </c>
      <c r="B153" s="3">
        <v>11020</v>
      </c>
    </row>
    <row r="154" spans="1:2" ht="10.95" customHeight="1" x14ac:dyDescent="0.2">
      <c r="A154" s="2" t="s">
        <v>153</v>
      </c>
      <c r="B154" s="3">
        <v>1006503</v>
      </c>
    </row>
    <row r="155" spans="1:2" ht="10.95" customHeight="1" x14ac:dyDescent="0.2">
      <c r="A155" s="2" t="s">
        <v>154</v>
      </c>
      <c r="B155" s="3">
        <v>17170</v>
      </c>
    </row>
    <row r="156" spans="1:2" ht="10.95" customHeight="1" x14ac:dyDescent="0.2">
      <c r="A156" s="2" t="s">
        <v>155</v>
      </c>
      <c r="B156" s="3">
        <v>79280</v>
      </c>
    </row>
    <row r="157" spans="1:2" ht="10.95" customHeight="1" x14ac:dyDescent="0.2">
      <c r="A157" s="2" t="s">
        <v>156</v>
      </c>
      <c r="B157" s="3">
        <v>137540</v>
      </c>
    </row>
    <row r="158" spans="1:2" ht="10.95" customHeight="1" x14ac:dyDescent="0.2">
      <c r="A158" s="2" t="s">
        <v>157</v>
      </c>
      <c r="B158" s="3">
        <v>142960</v>
      </c>
    </row>
    <row r="159" spans="1:2" ht="10.95" customHeight="1" x14ac:dyDescent="0.2">
      <c r="A159" s="2" t="s">
        <v>158</v>
      </c>
      <c r="B159" s="3">
        <v>208780</v>
      </c>
    </row>
    <row r="160" spans="1:2" ht="10.95" customHeight="1" x14ac:dyDescent="0.2">
      <c r="A160" s="2" t="s">
        <v>159</v>
      </c>
      <c r="B160" s="3">
        <v>432333</v>
      </c>
    </row>
    <row r="161" spans="1:2" ht="10.95" customHeight="1" x14ac:dyDescent="0.2">
      <c r="A161" s="2" t="s">
        <v>160</v>
      </c>
      <c r="B161" s="3">
        <v>21010</v>
      </c>
    </row>
    <row r="162" spans="1:2" ht="10.95" customHeight="1" x14ac:dyDescent="0.2">
      <c r="A162" s="2" t="s">
        <v>161</v>
      </c>
      <c r="B162" s="3">
        <v>76460</v>
      </c>
    </row>
    <row r="163" spans="1:2" ht="10.95" customHeight="1" x14ac:dyDescent="0.2">
      <c r="A163" s="2" t="s">
        <v>162</v>
      </c>
      <c r="B163" s="3">
        <v>120440</v>
      </c>
    </row>
    <row r="164" spans="1:2" ht="10.95" customHeight="1" x14ac:dyDescent="0.2">
      <c r="A164" s="2" t="s">
        <v>163</v>
      </c>
      <c r="B164" s="3">
        <v>46300</v>
      </c>
    </row>
    <row r="165" spans="1:2" ht="10.95" customHeight="1" x14ac:dyDescent="0.2">
      <c r="A165" s="2" t="s">
        <v>164</v>
      </c>
      <c r="B165" s="3">
        <v>107395</v>
      </c>
    </row>
    <row r="166" spans="1:2" ht="10.95" customHeight="1" x14ac:dyDescent="0.2">
      <c r="A166" s="2" t="s">
        <v>165</v>
      </c>
      <c r="B166" s="3">
        <v>136105</v>
      </c>
    </row>
    <row r="167" spans="1:2" ht="10.95" customHeight="1" x14ac:dyDescent="0.2">
      <c r="A167" s="2" t="s">
        <v>166</v>
      </c>
      <c r="B167" s="3">
        <v>121600</v>
      </c>
    </row>
    <row r="168" spans="1:2" ht="10.95" customHeight="1" x14ac:dyDescent="0.2">
      <c r="A168" s="2" t="s">
        <v>167</v>
      </c>
      <c r="B168" s="3">
        <v>88950</v>
      </c>
    </row>
    <row r="169" spans="1:2" ht="10.95" customHeight="1" x14ac:dyDescent="0.2">
      <c r="A169" s="2" t="s">
        <v>168</v>
      </c>
      <c r="B169" s="3">
        <v>79170</v>
      </c>
    </row>
    <row r="170" spans="1:2" ht="10.95" customHeight="1" x14ac:dyDescent="0.2">
      <c r="A170" s="2" t="s">
        <v>169</v>
      </c>
      <c r="B170" s="3">
        <v>131005</v>
      </c>
    </row>
    <row r="171" spans="1:2" ht="10.95" customHeight="1" x14ac:dyDescent="0.2">
      <c r="A171" s="2" t="s">
        <v>170</v>
      </c>
      <c r="B171" s="3">
        <v>173790</v>
      </c>
    </row>
    <row r="172" spans="1:2" ht="10.95" customHeight="1" x14ac:dyDescent="0.2">
      <c r="A172" s="2" t="s">
        <v>171</v>
      </c>
      <c r="B172" s="3">
        <v>1209995.5</v>
      </c>
    </row>
    <row r="173" spans="1:2" ht="10.95" customHeight="1" x14ac:dyDescent="0.2">
      <c r="A173" s="2" t="s">
        <v>172</v>
      </c>
      <c r="B173" s="3">
        <v>119810</v>
      </c>
    </row>
    <row r="174" spans="1:2" ht="10.95" customHeight="1" x14ac:dyDescent="0.2">
      <c r="A174" s="2" t="s">
        <v>173</v>
      </c>
      <c r="B174" s="3">
        <v>97993</v>
      </c>
    </row>
    <row r="175" spans="1:2" ht="10.95" customHeight="1" x14ac:dyDescent="0.2">
      <c r="A175" s="2" t="s">
        <v>174</v>
      </c>
      <c r="B175" s="3">
        <v>156670</v>
      </c>
    </row>
    <row r="176" spans="1:2" ht="10.95" customHeight="1" x14ac:dyDescent="0.2">
      <c r="A176" s="2" t="s">
        <v>175</v>
      </c>
      <c r="B176" s="3">
        <v>-196370</v>
      </c>
    </row>
    <row r="177" spans="1:2" ht="10.95" customHeight="1" x14ac:dyDescent="0.2">
      <c r="A177" s="2" t="s">
        <v>176</v>
      </c>
      <c r="B177" s="3">
        <v>107380</v>
      </c>
    </row>
    <row r="178" spans="1:2" ht="10.95" customHeight="1" x14ac:dyDescent="0.2">
      <c r="A178" s="2" t="s">
        <v>177</v>
      </c>
      <c r="B178" s="3">
        <v>18030</v>
      </c>
    </row>
    <row r="179" spans="1:2" ht="10.95" customHeight="1" x14ac:dyDescent="0.2">
      <c r="A179" s="2" t="s">
        <v>178</v>
      </c>
      <c r="B179" s="3">
        <v>142550</v>
      </c>
    </row>
    <row r="180" spans="1:2" ht="10.95" customHeight="1" x14ac:dyDescent="0.2">
      <c r="A180" s="2" t="s">
        <v>179</v>
      </c>
      <c r="B180" s="3">
        <v>50000</v>
      </c>
    </row>
    <row r="181" spans="1:2" ht="10.95" customHeight="1" x14ac:dyDescent="0.2">
      <c r="A181" s="2" t="s">
        <v>180</v>
      </c>
      <c r="B181" s="3">
        <v>69760</v>
      </c>
    </row>
    <row r="182" spans="1:2" ht="10.95" customHeight="1" x14ac:dyDescent="0.2">
      <c r="A182" s="2" t="s">
        <v>181</v>
      </c>
      <c r="B182" s="3">
        <v>75745</v>
      </c>
    </row>
    <row r="183" spans="1:2" ht="10.95" customHeight="1" x14ac:dyDescent="0.2">
      <c r="A183" s="2" t="s">
        <v>182</v>
      </c>
      <c r="B183" s="3">
        <v>15720</v>
      </c>
    </row>
    <row r="184" spans="1:2" ht="10.95" customHeight="1" x14ac:dyDescent="0.2">
      <c r="A184" s="2" t="s">
        <v>183</v>
      </c>
      <c r="B184" s="3">
        <v>44120</v>
      </c>
    </row>
    <row r="185" spans="1:2" ht="10.95" customHeight="1" x14ac:dyDescent="0.2">
      <c r="A185" s="2" t="s">
        <v>184</v>
      </c>
      <c r="B185" s="3">
        <v>11230</v>
      </c>
    </row>
    <row r="186" spans="1:2" ht="10.95" customHeight="1" x14ac:dyDescent="0.2">
      <c r="A186" s="2" t="s">
        <v>185</v>
      </c>
      <c r="B186" s="3">
        <v>52150</v>
      </c>
    </row>
    <row r="187" spans="1:2" ht="10.95" customHeight="1" x14ac:dyDescent="0.2">
      <c r="A187" s="2" t="s">
        <v>186</v>
      </c>
      <c r="B187" s="3">
        <v>50635</v>
      </c>
    </row>
    <row r="188" spans="1:2" ht="10.95" customHeight="1" x14ac:dyDescent="0.2">
      <c r="A188" s="2" t="s">
        <v>187</v>
      </c>
      <c r="B188" s="3">
        <v>58240</v>
      </c>
    </row>
    <row r="189" spans="1:2" ht="10.95" customHeight="1" x14ac:dyDescent="0.2">
      <c r="A189" s="2" t="s">
        <v>188</v>
      </c>
      <c r="B189" s="3">
        <v>35585</v>
      </c>
    </row>
    <row r="190" spans="1:2" ht="10.95" customHeight="1" x14ac:dyDescent="0.2">
      <c r="A190" s="2" t="s">
        <v>189</v>
      </c>
      <c r="B190" s="3">
        <v>198869</v>
      </c>
    </row>
    <row r="191" spans="1:2" ht="10.95" customHeight="1" x14ac:dyDescent="0.2">
      <c r="A191" s="2" t="s">
        <v>190</v>
      </c>
      <c r="B191" s="3">
        <v>13460</v>
      </c>
    </row>
    <row r="192" spans="1:2" ht="10.95" customHeight="1" x14ac:dyDescent="0.2">
      <c r="A192" s="2" t="s">
        <v>191</v>
      </c>
      <c r="B192" s="3">
        <v>55850</v>
      </c>
    </row>
    <row r="193" spans="1:2" ht="10.95" customHeight="1" x14ac:dyDescent="0.2">
      <c r="A193" s="2" t="s">
        <v>192</v>
      </c>
      <c r="B193" s="3">
        <v>37245</v>
      </c>
    </row>
    <row r="194" spans="1:2" ht="10.95" customHeight="1" x14ac:dyDescent="0.2">
      <c r="A194" s="2" t="s">
        <v>193</v>
      </c>
      <c r="B194" s="3">
        <v>279150</v>
      </c>
    </row>
    <row r="195" spans="1:2" ht="10.95" customHeight="1" x14ac:dyDescent="0.2">
      <c r="A195" s="2" t="s">
        <v>194</v>
      </c>
      <c r="B195" s="3">
        <v>373260</v>
      </c>
    </row>
    <row r="196" spans="1:2" ht="10.95" customHeight="1" x14ac:dyDescent="0.2">
      <c r="A196" s="2" t="s">
        <v>195</v>
      </c>
      <c r="B196" s="3">
        <v>54800</v>
      </c>
    </row>
    <row r="197" spans="1:2" ht="10.95" customHeight="1" x14ac:dyDescent="0.2">
      <c r="A197" s="2" t="s">
        <v>196</v>
      </c>
      <c r="B197" s="3">
        <v>771160</v>
      </c>
    </row>
    <row r="198" spans="1:2" ht="10.95" customHeight="1" x14ac:dyDescent="0.2">
      <c r="A198" s="2" t="s">
        <v>197</v>
      </c>
      <c r="B198" s="3">
        <v>65460</v>
      </c>
    </row>
    <row r="199" spans="1:2" ht="10.95" customHeight="1" x14ac:dyDescent="0.2">
      <c r="A199" s="2" t="s">
        <v>198</v>
      </c>
      <c r="B199" s="3">
        <v>60580</v>
      </c>
    </row>
    <row r="200" spans="1:2" ht="10.95" customHeight="1" x14ac:dyDescent="0.2">
      <c r="A200" s="2" t="s">
        <v>199</v>
      </c>
      <c r="B200" s="3">
        <v>88900</v>
      </c>
    </row>
    <row r="201" spans="1:2" ht="10.95" customHeight="1" x14ac:dyDescent="0.2">
      <c r="A201" s="2" t="s">
        <v>200</v>
      </c>
      <c r="B201" s="3">
        <v>225343</v>
      </c>
    </row>
    <row r="202" spans="1:2" ht="10.95" customHeight="1" x14ac:dyDescent="0.2">
      <c r="A202" s="2" t="s">
        <v>201</v>
      </c>
      <c r="B202" s="3">
        <v>99010</v>
      </c>
    </row>
    <row r="203" spans="1:2" ht="10.95" customHeight="1" x14ac:dyDescent="0.2">
      <c r="A203" s="2" t="s">
        <v>202</v>
      </c>
      <c r="B203" s="3">
        <v>22200</v>
      </c>
    </row>
    <row r="204" spans="1:2" ht="10.95" customHeight="1" x14ac:dyDescent="0.2">
      <c r="A204" s="2" t="s">
        <v>203</v>
      </c>
      <c r="B204" s="3">
        <v>124650</v>
      </c>
    </row>
    <row r="205" spans="1:2" ht="10.95" customHeight="1" x14ac:dyDescent="0.2">
      <c r="A205" s="2" t="s">
        <v>204</v>
      </c>
      <c r="B205" s="3">
        <v>10500</v>
      </c>
    </row>
    <row r="206" spans="1:2" ht="10.95" customHeight="1" x14ac:dyDescent="0.2">
      <c r="A206" s="2" t="s">
        <v>205</v>
      </c>
      <c r="B206" s="3">
        <v>40900</v>
      </c>
    </row>
    <row r="207" spans="1:2" ht="10.95" customHeight="1" x14ac:dyDescent="0.2">
      <c r="A207" s="2" t="s">
        <v>206</v>
      </c>
      <c r="B207" s="3">
        <v>22230</v>
      </c>
    </row>
    <row r="208" spans="1:2" ht="10.95" customHeight="1" x14ac:dyDescent="0.2">
      <c r="A208" s="2" t="s">
        <v>207</v>
      </c>
      <c r="B208" s="3">
        <v>43155</v>
      </c>
    </row>
    <row r="209" spans="1:2" ht="10.95" customHeight="1" x14ac:dyDescent="0.2">
      <c r="A209" s="2" t="s">
        <v>208</v>
      </c>
      <c r="B209" s="3">
        <v>134160</v>
      </c>
    </row>
    <row r="210" spans="1:2" ht="10.95" customHeight="1" x14ac:dyDescent="0.2">
      <c r="A210" s="2" t="s">
        <v>209</v>
      </c>
      <c r="B210" s="3">
        <v>25020</v>
      </c>
    </row>
    <row r="211" spans="1:2" ht="10.95" customHeight="1" x14ac:dyDescent="0.2">
      <c r="A211" s="2" t="s">
        <v>210</v>
      </c>
      <c r="B211" s="3">
        <v>34908</v>
      </c>
    </row>
    <row r="212" spans="1:2" ht="10.95" customHeight="1" x14ac:dyDescent="0.2">
      <c r="A212" s="2" t="s">
        <v>211</v>
      </c>
      <c r="B212" s="3">
        <v>149960</v>
      </c>
    </row>
    <row r="213" spans="1:2" ht="10.95" customHeight="1" x14ac:dyDescent="0.2">
      <c r="A213" s="2" t="s">
        <v>212</v>
      </c>
      <c r="B213" s="3">
        <v>90300</v>
      </c>
    </row>
    <row r="214" spans="1:2" ht="10.95" customHeight="1" x14ac:dyDescent="0.2">
      <c r="A214" s="2" t="s">
        <v>213</v>
      </c>
      <c r="B214" s="3">
        <v>98460</v>
      </c>
    </row>
    <row r="215" spans="1:2" ht="10.95" customHeight="1" x14ac:dyDescent="0.2">
      <c r="A215" s="2" t="s">
        <v>214</v>
      </c>
      <c r="B215" s="3">
        <v>255750</v>
      </c>
    </row>
    <row r="216" spans="1:2" ht="10.95" customHeight="1" x14ac:dyDescent="0.2">
      <c r="A216" s="2" t="s">
        <v>215</v>
      </c>
      <c r="B216" s="3">
        <v>78720</v>
      </c>
    </row>
    <row r="217" spans="1:2" ht="10.95" customHeight="1" x14ac:dyDescent="0.2">
      <c r="A217" s="2" t="s">
        <v>216</v>
      </c>
      <c r="B217" s="3">
        <v>209480</v>
      </c>
    </row>
    <row r="218" spans="1:2" ht="10.95" customHeight="1" x14ac:dyDescent="0.2">
      <c r="A218" s="2" t="s">
        <v>217</v>
      </c>
      <c r="B218" s="3">
        <v>20550</v>
      </c>
    </row>
    <row r="219" spans="1:2" ht="10.95" customHeight="1" x14ac:dyDescent="0.2">
      <c r="A219" s="2" t="s">
        <v>218</v>
      </c>
      <c r="B219" s="3">
        <v>1113585</v>
      </c>
    </row>
    <row r="220" spans="1:2" ht="10.95" customHeight="1" x14ac:dyDescent="0.2">
      <c r="A220" s="2" t="s">
        <v>219</v>
      </c>
      <c r="B220" s="3">
        <v>187065</v>
      </c>
    </row>
    <row r="221" spans="1:2" ht="10.95" customHeight="1" x14ac:dyDescent="0.2">
      <c r="A221" s="2" t="s">
        <v>220</v>
      </c>
      <c r="B221" s="3">
        <v>2298230</v>
      </c>
    </row>
    <row r="222" spans="1:2" ht="10.95" customHeight="1" x14ac:dyDescent="0.2">
      <c r="A222" s="2" t="s">
        <v>221</v>
      </c>
      <c r="B222" s="3">
        <v>228120</v>
      </c>
    </row>
    <row r="223" spans="1:2" ht="10.95" customHeight="1" x14ac:dyDescent="0.2">
      <c r="A223" s="2" t="s">
        <v>222</v>
      </c>
      <c r="B223" s="3">
        <v>91430</v>
      </c>
    </row>
    <row r="224" spans="1:2" ht="10.95" customHeight="1" x14ac:dyDescent="0.2">
      <c r="A224" s="2" t="s">
        <v>223</v>
      </c>
      <c r="B224" s="3">
        <v>92740</v>
      </c>
    </row>
    <row r="225" spans="1:2" ht="10.95" customHeight="1" x14ac:dyDescent="0.2">
      <c r="A225" s="2" t="s">
        <v>224</v>
      </c>
      <c r="B225" s="3">
        <v>30660</v>
      </c>
    </row>
    <row r="226" spans="1:2" ht="10.95" customHeight="1" x14ac:dyDescent="0.2">
      <c r="A226" s="2" t="s">
        <v>225</v>
      </c>
      <c r="B226" s="3">
        <v>163690</v>
      </c>
    </row>
    <row r="227" spans="1:2" ht="10.95" customHeight="1" x14ac:dyDescent="0.2">
      <c r="A227" s="2" t="s">
        <v>226</v>
      </c>
      <c r="B227" s="3">
        <v>21720</v>
      </c>
    </row>
    <row r="228" spans="1:2" ht="10.95" customHeight="1" x14ac:dyDescent="0.2">
      <c r="A228" s="2" t="s">
        <v>227</v>
      </c>
      <c r="B228" s="3">
        <v>78180</v>
      </c>
    </row>
    <row r="229" spans="1:2" ht="10.95" customHeight="1" x14ac:dyDescent="0.2">
      <c r="A229" s="2" t="s">
        <v>228</v>
      </c>
      <c r="B229" s="3">
        <v>33320</v>
      </c>
    </row>
    <row r="230" spans="1:2" ht="10.95" customHeight="1" x14ac:dyDescent="0.2">
      <c r="A230" s="2" t="s">
        <v>229</v>
      </c>
      <c r="B230" s="3">
        <v>26363</v>
      </c>
    </row>
    <row r="231" spans="1:2" ht="10.95" customHeight="1" x14ac:dyDescent="0.2">
      <c r="A231" s="2" t="s">
        <v>230</v>
      </c>
      <c r="B231" s="3">
        <v>30690</v>
      </c>
    </row>
    <row r="232" spans="1:2" ht="10.95" customHeight="1" x14ac:dyDescent="0.2">
      <c r="A232" s="2" t="s">
        <v>231</v>
      </c>
      <c r="B232" s="3">
        <v>281670</v>
      </c>
    </row>
    <row r="233" spans="1:2" ht="10.95" customHeight="1" x14ac:dyDescent="0.2">
      <c r="A233" s="2" t="s">
        <v>232</v>
      </c>
      <c r="B233" s="3">
        <v>18500</v>
      </c>
    </row>
    <row r="234" spans="1:2" ht="10.95" customHeight="1" x14ac:dyDescent="0.2">
      <c r="A234" s="2" t="s">
        <v>233</v>
      </c>
      <c r="B234" s="3">
        <v>159890</v>
      </c>
    </row>
    <row r="235" spans="1:2" ht="10.95" customHeight="1" x14ac:dyDescent="0.2">
      <c r="A235" s="2" t="s">
        <v>234</v>
      </c>
      <c r="B235" s="3">
        <v>18430</v>
      </c>
    </row>
    <row r="236" spans="1:2" ht="10.95" customHeight="1" x14ac:dyDescent="0.2">
      <c r="A236" s="2" t="s">
        <v>235</v>
      </c>
      <c r="B236" s="3">
        <v>56900</v>
      </c>
    </row>
    <row r="237" spans="1:2" ht="10.95" customHeight="1" x14ac:dyDescent="0.2">
      <c r="A237" s="2" t="s">
        <v>236</v>
      </c>
      <c r="B237" s="3">
        <v>133300</v>
      </c>
    </row>
    <row r="238" spans="1:2" ht="10.95" customHeight="1" x14ac:dyDescent="0.2">
      <c r="A238" s="2" t="s">
        <v>237</v>
      </c>
      <c r="B238" s="3">
        <v>23210</v>
      </c>
    </row>
    <row r="239" spans="1:2" ht="10.95" customHeight="1" x14ac:dyDescent="0.2">
      <c r="A239" s="2" t="s">
        <v>238</v>
      </c>
      <c r="B239" s="3">
        <v>410720</v>
      </c>
    </row>
    <row r="240" spans="1:2" ht="10.95" customHeight="1" x14ac:dyDescent="0.2">
      <c r="A240" s="2" t="s">
        <v>239</v>
      </c>
      <c r="B240" s="3">
        <v>61290</v>
      </c>
    </row>
    <row r="241" spans="1:2" ht="10.95" customHeight="1" x14ac:dyDescent="0.2">
      <c r="A241" s="2" t="s">
        <v>240</v>
      </c>
      <c r="B241" s="3">
        <v>50640</v>
      </c>
    </row>
    <row r="242" spans="1:2" ht="10.95" customHeight="1" x14ac:dyDescent="0.2">
      <c r="A242" s="2" t="s">
        <v>241</v>
      </c>
      <c r="B242" s="3">
        <v>28630</v>
      </c>
    </row>
    <row r="243" spans="1:2" ht="10.95" customHeight="1" x14ac:dyDescent="0.2">
      <c r="A243" s="2" t="s">
        <v>242</v>
      </c>
      <c r="B243" s="3">
        <v>927408.5</v>
      </c>
    </row>
    <row r="244" spans="1:2" ht="10.95" customHeight="1" x14ac:dyDescent="0.2">
      <c r="A244" s="2" t="s">
        <v>243</v>
      </c>
      <c r="B244" s="3">
        <v>199430</v>
      </c>
    </row>
    <row r="245" spans="1:2" ht="10.95" customHeight="1" x14ac:dyDescent="0.2">
      <c r="A245" s="2" t="s">
        <v>244</v>
      </c>
      <c r="B245" s="3">
        <v>348710</v>
      </c>
    </row>
    <row r="246" spans="1:2" ht="10.95" customHeight="1" x14ac:dyDescent="0.2">
      <c r="A246" s="2" t="s">
        <v>245</v>
      </c>
      <c r="B246" s="3">
        <v>110070</v>
      </c>
    </row>
    <row r="247" spans="1:2" ht="10.95" customHeight="1" x14ac:dyDescent="0.2">
      <c r="A247" s="2" t="s">
        <v>246</v>
      </c>
      <c r="B247" s="3">
        <v>595728</v>
      </c>
    </row>
    <row r="248" spans="1:2" ht="10.95" customHeight="1" x14ac:dyDescent="0.2">
      <c r="A248" s="2" t="s">
        <v>247</v>
      </c>
      <c r="B248" s="3">
        <v>301083</v>
      </c>
    </row>
    <row r="249" spans="1:2" ht="10.95" customHeight="1" x14ac:dyDescent="0.2">
      <c r="A249" s="2" t="s">
        <v>248</v>
      </c>
      <c r="B249" s="3">
        <v>43310</v>
      </c>
    </row>
    <row r="250" spans="1:2" ht="10.95" customHeight="1" x14ac:dyDescent="0.2">
      <c r="A250" s="2" t="s">
        <v>249</v>
      </c>
      <c r="B250" s="3">
        <v>60950</v>
      </c>
    </row>
    <row r="251" spans="1:2" ht="10.95" customHeight="1" x14ac:dyDescent="0.2">
      <c r="A251" s="2" t="s">
        <v>250</v>
      </c>
      <c r="B251" s="3">
        <v>499892</v>
      </c>
    </row>
    <row r="252" spans="1:2" ht="10.95" customHeight="1" x14ac:dyDescent="0.2">
      <c r="A252" s="2" t="s">
        <v>251</v>
      </c>
      <c r="B252" s="3">
        <v>39220</v>
      </c>
    </row>
    <row r="253" spans="1:2" ht="10.95" customHeight="1" x14ac:dyDescent="0.2">
      <c r="A253" s="2" t="s">
        <v>252</v>
      </c>
      <c r="B253" s="3">
        <v>522036</v>
      </c>
    </row>
    <row r="254" spans="1:2" ht="10.95" customHeight="1" x14ac:dyDescent="0.2">
      <c r="A254" s="2" t="s">
        <v>253</v>
      </c>
      <c r="B254" s="3">
        <v>183460</v>
      </c>
    </row>
    <row r="255" spans="1:2" ht="10.95" customHeight="1" x14ac:dyDescent="0.2">
      <c r="A255" s="2" t="s">
        <v>254</v>
      </c>
      <c r="B255" s="3">
        <v>97503</v>
      </c>
    </row>
    <row r="256" spans="1:2" ht="10.95" customHeight="1" x14ac:dyDescent="0.2">
      <c r="A256" s="2" t="s">
        <v>255</v>
      </c>
      <c r="B256" s="3">
        <v>229615</v>
      </c>
    </row>
    <row r="257" spans="1:2" ht="10.95" customHeight="1" x14ac:dyDescent="0.2">
      <c r="A257" s="2" t="s">
        <v>256</v>
      </c>
      <c r="B257" s="3">
        <v>211800</v>
      </c>
    </row>
    <row r="258" spans="1:2" ht="10.95" customHeight="1" x14ac:dyDescent="0.2">
      <c r="A258" s="2" t="s">
        <v>257</v>
      </c>
      <c r="B258" s="3">
        <v>41000</v>
      </c>
    </row>
    <row r="259" spans="1:2" ht="10.95" customHeight="1" x14ac:dyDescent="0.2">
      <c r="A259" s="2" t="s">
        <v>258</v>
      </c>
      <c r="B259" s="3">
        <v>49460</v>
      </c>
    </row>
    <row r="260" spans="1:2" ht="10.95" customHeight="1" x14ac:dyDescent="0.2">
      <c r="A260" s="2" t="s">
        <v>259</v>
      </c>
      <c r="B260" s="3">
        <v>75860</v>
      </c>
    </row>
    <row r="261" spans="1:2" ht="10.95" customHeight="1" x14ac:dyDescent="0.2">
      <c r="A261" s="2" t="s">
        <v>260</v>
      </c>
      <c r="B261" s="3">
        <v>97890</v>
      </c>
    </row>
    <row r="262" spans="1:2" ht="10.95" customHeight="1" x14ac:dyDescent="0.2">
      <c r="A262" s="2" t="s">
        <v>261</v>
      </c>
      <c r="B262" s="3">
        <v>179140</v>
      </c>
    </row>
    <row r="263" spans="1:2" ht="10.95" customHeight="1" x14ac:dyDescent="0.2">
      <c r="A263" s="2" t="s">
        <v>262</v>
      </c>
      <c r="B263" s="3">
        <v>213843</v>
      </c>
    </row>
    <row r="264" spans="1:2" ht="10.95" customHeight="1" x14ac:dyDescent="0.2">
      <c r="A264" s="2" t="s">
        <v>263</v>
      </c>
      <c r="B264" s="3">
        <v>181995</v>
      </c>
    </row>
    <row r="265" spans="1:2" ht="10.95" customHeight="1" x14ac:dyDescent="0.2">
      <c r="A265" s="2" t="s">
        <v>264</v>
      </c>
      <c r="B265" s="3">
        <v>1142770</v>
      </c>
    </row>
    <row r="266" spans="1:2" ht="10.95" customHeight="1" x14ac:dyDescent="0.2">
      <c r="A266" s="2" t="s">
        <v>265</v>
      </c>
      <c r="B266" s="3">
        <v>244020</v>
      </c>
    </row>
    <row r="267" spans="1:2" ht="10.95" customHeight="1" x14ac:dyDescent="0.2">
      <c r="A267" s="2" t="s">
        <v>266</v>
      </c>
      <c r="B267" s="3">
        <v>155170</v>
      </c>
    </row>
    <row r="268" spans="1:2" ht="10.95" customHeight="1" x14ac:dyDescent="0.2">
      <c r="A268" s="2" t="s">
        <v>267</v>
      </c>
      <c r="B268" s="3">
        <v>48250</v>
      </c>
    </row>
    <row r="269" spans="1:2" ht="10.95" customHeight="1" x14ac:dyDescent="0.2">
      <c r="A269" s="2" t="s">
        <v>268</v>
      </c>
      <c r="B269" s="3">
        <v>299060</v>
      </c>
    </row>
    <row r="270" spans="1:2" ht="10.95" customHeight="1" x14ac:dyDescent="0.2">
      <c r="A270" s="2" t="s">
        <v>269</v>
      </c>
      <c r="B270" s="3">
        <v>76335</v>
      </c>
    </row>
    <row r="271" spans="1:2" ht="10.95" customHeight="1" x14ac:dyDescent="0.2">
      <c r="A271" s="2" t="s">
        <v>270</v>
      </c>
      <c r="B271" s="3">
        <v>501690</v>
      </c>
    </row>
    <row r="272" spans="1:2" ht="10.95" customHeight="1" x14ac:dyDescent="0.2">
      <c r="A272" s="2" t="s">
        <v>271</v>
      </c>
      <c r="B272" s="3">
        <v>27350</v>
      </c>
    </row>
    <row r="273" spans="1:2" ht="10.95" customHeight="1" x14ac:dyDescent="0.2">
      <c r="A273" s="2" t="s">
        <v>272</v>
      </c>
      <c r="B273" s="3">
        <v>56300</v>
      </c>
    </row>
    <row r="274" spans="1:2" ht="10.95" customHeight="1" x14ac:dyDescent="0.2">
      <c r="A274" s="2" t="s">
        <v>273</v>
      </c>
      <c r="B274" s="3">
        <v>36250</v>
      </c>
    </row>
    <row r="275" spans="1:2" ht="10.95" customHeight="1" x14ac:dyDescent="0.2">
      <c r="A275" s="2" t="s">
        <v>274</v>
      </c>
      <c r="B275" s="3">
        <v>26910</v>
      </c>
    </row>
    <row r="276" spans="1:2" ht="10.95" customHeight="1" x14ac:dyDescent="0.2">
      <c r="A276" s="2" t="s">
        <v>275</v>
      </c>
      <c r="B276" s="3">
        <v>193978</v>
      </c>
    </row>
    <row r="277" spans="1:2" ht="10.95" customHeight="1" x14ac:dyDescent="0.2">
      <c r="A277" s="2" t="s">
        <v>276</v>
      </c>
      <c r="B277" s="3">
        <v>667760</v>
      </c>
    </row>
    <row r="278" spans="1:2" ht="10.95" customHeight="1" x14ac:dyDescent="0.2">
      <c r="A278" s="2" t="s">
        <v>277</v>
      </c>
      <c r="B278" s="3">
        <v>38100</v>
      </c>
    </row>
    <row r="279" spans="1:2" ht="10.95" customHeight="1" x14ac:dyDescent="0.2">
      <c r="A279" s="2" t="s">
        <v>278</v>
      </c>
      <c r="B279" s="3">
        <v>79120</v>
      </c>
    </row>
    <row r="280" spans="1:2" ht="10.95" customHeight="1" x14ac:dyDescent="0.2">
      <c r="A280" s="2" t="s">
        <v>279</v>
      </c>
      <c r="B280" s="3">
        <v>15360</v>
      </c>
    </row>
    <row r="281" spans="1:2" ht="10.95" customHeight="1" x14ac:dyDescent="0.2">
      <c r="A281" s="2" t="s">
        <v>280</v>
      </c>
      <c r="B281" s="3">
        <v>6300</v>
      </c>
    </row>
    <row r="282" spans="1:2" ht="10.95" customHeight="1" x14ac:dyDescent="0.2">
      <c r="A282" s="2" t="s">
        <v>281</v>
      </c>
      <c r="B282" s="3">
        <v>51950</v>
      </c>
    </row>
    <row r="283" spans="1:2" ht="10.95" customHeight="1" x14ac:dyDescent="0.2">
      <c r="A283" s="2" t="s">
        <v>282</v>
      </c>
      <c r="B283" s="3">
        <v>340930</v>
      </c>
    </row>
    <row r="284" spans="1:2" ht="10.95" customHeight="1" x14ac:dyDescent="0.2">
      <c r="A284" s="2" t="s">
        <v>283</v>
      </c>
      <c r="B284" s="3">
        <v>132360</v>
      </c>
    </row>
    <row r="285" spans="1:2" ht="10.95" customHeight="1" x14ac:dyDescent="0.2">
      <c r="A285" s="2" t="s">
        <v>284</v>
      </c>
      <c r="B285" s="3">
        <v>909319</v>
      </c>
    </row>
    <row r="286" spans="1:2" ht="10.95" customHeight="1" x14ac:dyDescent="0.2">
      <c r="A286" s="2" t="s">
        <v>285</v>
      </c>
      <c r="B286" s="3">
        <v>46220</v>
      </c>
    </row>
    <row r="287" spans="1:2" ht="10.95" customHeight="1" x14ac:dyDescent="0.2">
      <c r="A287" s="2" t="s">
        <v>286</v>
      </c>
      <c r="B287" s="3">
        <v>466005</v>
      </c>
    </row>
    <row r="288" spans="1:2" ht="10.95" customHeight="1" x14ac:dyDescent="0.2">
      <c r="A288" s="2" t="s">
        <v>287</v>
      </c>
      <c r="B288" s="3">
        <v>572530</v>
      </c>
    </row>
    <row r="289" spans="1:2" ht="10.95" customHeight="1" x14ac:dyDescent="0.2">
      <c r="A289" s="2" t="s">
        <v>288</v>
      </c>
      <c r="B289" s="3">
        <v>21850</v>
      </c>
    </row>
    <row r="290" spans="1:2" ht="10.95" customHeight="1" x14ac:dyDescent="0.2">
      <c r="A290" s="2" t="s">
        <v>289</v>
      </c>
      <c r="B290" s="3">
        <v>49860</v>
      </c>
    </row>
    <row r="291" spans="1:2" ht="10.95" customHeight="1" x14ac:dyDescent="0.2">
      <c r="A291" s="2" t="s">
        <v>290</v>
      </c>
      <c r="B291" s="3">
        <v>68860</v>
      </c>
    </row>
    <row r="292" spans="1:2" ht="10.95" customHeight="1" x14ac:dyDescent="0.2">
      <c r="A292" s="2" t="s">
        <v>291</v>
      </c>
      <c r="B292" s="3">
        <v>201260</v>
      </c>
    </row>
    <row r="293" spans="1:2" ht="10.95" customHeight="1" x14ac:dyDescent="0.2">
      <c r="A293" s="2" t="s">
        <v>292</v>
      </c>
      <c r="B293" s="3">
        <v>100810</v>
      </c>
    </row>
    <row r="294" spans="1:2" ht="10.95" customHeight="1" x14ac:dyDescent="0.2">
      <c r="A294" s="2" t="s">
        <v>293</v>
      </c>
      <c r="B294" s="3">
        <v>58600</v>
      </c>
    </row>
    <row r="295" spans="1:2" ht="10.95" customHeight="1" x14ac:dyDescent="0.2">
      <c r="A295" s="2" t="s">
        <v>294</v>
      </c>
      <c r="B295" s="3">
        <v>47370</v>
      </c>
    </row>
    <row r="296" spans="1:2" ht="10.95" customHeight="1" x14ac:dyDescent="0.2">
      <c r="A296" s="2" t="s">
        <v>295</v>
      </c>
      <c r="B296" s="3">
        <v>257750</v>
      </c>
    </row>
    <row r="297" spans="1:2" ht="10.95" customHeight="1" x14ac:dyDescent="0.2">
      <c r="A297" s="2" t="s">
        <v>296</v>
      </c>
      <c r="B297" s="3">
        <v>303440</v>
      </c>
    </row>
    <row r="298" spans="1:2" ht="10.95" customHeight="1" x14ac:dyDescent="0.2">
      <c r="A298" s="2" t="s">
        <v>297</v>
      </c>
      <c r="B298" s="3">
        <v>58660</v>
      </c>
    </row>
    <row r="299" spans="1:2" ht="10.95" customHeight="1" x14ac:dyDescent="0.2">
      <c r="A299" s="2" t="s">
        <v>298</v>
      </c>
      <c r="B299" s="3">
        <v>125140</v>
      </c>
    </row>
    <row r="300" spans="1:2" ht="10.95" customHeight="1" x14ac:dyDescent="0.2">
      <c r="A300" s="2" t="s">
        <v>299</v>
      </c>
      <c r="B300" s="3">
        <v>820365</v>
      </c>
    </row>
    <row r="301" spans="1:2" ht="10.95" customHeight="1" x14ac:dyDescent="0.2">
      <c r="A301" s="2" t="s">
        <v>300</v>
      </c>
      <c r="B301" s="3">
        <v>66150</v>
      </c>
    </row>
    <row r="302" spans="1:2" ht="10.95" customHeight="1" x14ac:dyDescent="0.2">
      <c r="A302" s="2" t="s">
        <v>301</v>
      </c>
      <c r="B302" s="3">
        <v>153580</v>
      </c>
    </row>
    <row r="303" spans="1:2" ht="10.95" customHeight="1" x14ac:dyDescent="0.2">
      <c r="A303" s="2" t="s">
        <v>302</v>
      </c>
      <c r="B303" s="3">
        <v>87140</v>
      </c>
    </row>
    <row r="304" spans="1:2" ht="10.95" customHeight="1" x14ac:dyDescent="0.2">
      <c r="A304" s="2" t="s">
        <v>303</v>
      </c>
      <c r="B304" s="3">
        <v>946345</v>
      </c>
    </row>
    <row r="305" spans="1:2" ht="10.95" customHeight="1" x14ac:dyDescent="0.2">
      <c r="A305" s="2" t="s">
        <v>304</v>
      </c>
      <c r="B305" s="3">
        <v>134447</v>
      </c>
    </row>
    <row r="306" spans="1:2" ht="10.95" customHeight="1" x14ac:dyDescent="0.2">
      <c r="A306" s="2" t="s">
        <v>305</v>
      </c>
      <c r="B306" s="3">
        <v>20280</v>
      </c>
    </row>
    <row r="307" spans="1:2" ht="10.95" customHeight="1" x14ac:dyDescent="0.2">
      <c r="A307" s="2" t="s">
        <v>306</v>
      </c>
      <c r="B307" s="3">
        <v>88260</v>
      </c>
    </row>
    <row r="308" spans="1:2" ht="10.95" customHeight="1" x14ac:dyDescent="0.2">
      <c r="A308" s="2" t="s">
        <v>307</v>
      </c>
      <c r="B308" s="3">
        <v>158320</v>
      </c>
    </row>
    <row r="309" spans="1:2" ht="10.95" customHeight="1" x14ac:dyDescent="0.2">
      <c r="A309" s="2" t="s">
        <v>308</v>
      </c>
      <c r="B309" s="3">
        <v>295890</v>
      </c>
    </row>
    <row r="310" spans="1:2" ht="10.95" customHeight="1" x14ac:dyDescent="0.2">
      <c r="A310" s="2" t="s">
        <v>309</v>
      </c>
      <c r="B310" s="3">
        <v>367755</v>
      </c>
    </row>
    <row r="311" spans="1:2" ht="10.95" customHeight="1" x14ac:dyDescent="0.2">
      <c r="A311" s="2" t="s">
        <v>310</v>
      </c>
      <c r="B311" s="3">
        <v>145993</v>
      </c>
    </row>
    <row r="312" spans="1:2" ht="10.95" customHeight="1" x14ac:dyDescent="0.2">
      <c r="A312" s="2" t="s">
        <v>311</v>
      </c>
      <c r="B312" s="3">
        <v>27920</v>
      </c>
    </row>
    <row r="313" spans="1:2" ht="10.95" customHeight="1" x14ac:dyDescent="0.2">
      <c r="A313" s="2" t="s">
        <v>312</v>
      </c>
      <c r="B313" s="3">
        <v>36620</v>
      </c>
    </row>
    <row r="314" spans="1:2" ht="10.95" customHeight="1" x14ac:dyDescent="0.2">
      <c r="A314" s="2" t="s">
        <v>313</v>
      </c>
      <c r="B314" s="3">
        <v>15960</v>
      </c>
    </row>
    <row r="315" spans="1:2" ht="10.95" customHeight="1" x14ac:dyDescent="0.2">
      <c r="A315" s="2" t="s">
        <v>314</v>
      </c>
      <c r="B315" s="3">
        <v>118700</v>
      </c>
    </row>
    <row r="316" spans="1:2" ht="10.95" customHeight="1" x14ac:dyDescent="0.2">
      <c r="A316" s="2" t="s">
        <v>315</v>
      </c>
      <c r="B316" s="3">
        <v>70190</v>
      </c>
    </row>
    <row r="317" spans="1:2" ht="10.95" customHeight="1" x14ac:dyDescent="0.2">
      <c r="A317" s="2" t="s">
        <v>316</v>
      </c>
      <c r="B317" s="3">
        <v>757063</v>
      </c>
    </row>
    <row r="318" spans="1:2" ht="10.95" customHeight="1" x14ac:dyDescent="0.2">
      <c r="A318" s="2" t="s">
        <v>317</v>
      </c>
      <c r="B318" s="3">
        <v>351440</v>
      </c>
    </row>
    <row r="319" spans="1:2" ht="10.95" customHeight="1" x14ac:dyDescent="0.2">
      <c r="A319" s="2" t="s">
        <v>318</v>
      </c>
      <c r="B319" s="3">
        <v>48075</v>
      </c>
    </row>
    <row r="320" spans="1:2" ht="10.95" customHeight="1" x14ac:dyDescent="0.2">
      <c r="A320" s="2" t="s">
        <v>319</v>
      </c>
      <c r="B320" s="3">
        <v>33593</v>
      </c>
    </row>
    <row r="321" spans="1:2" ht="10.95" customHeight="1" x14ac:dyDescent="0.2">
      <c r="A321" s="2" t="s">
        <v>320</v>
      </c>
      <c r="B321" s="3">
        <v>27020</v>
      </c>
    </row>
    <row r="322" spans="1:2" ht="10.95" customHeight="1" x14ac:dyDescent="0.2">
      <c r="A322" s="2" t="s">
        <v>321</v>
      </c>
      <c r="B322" s="3">
        <v>97180</v>
      </c>
    </row>
    <row r="323" spans="1:2" ht="10.95" customHeight="1" x14ac:dyDescent="0.2">
      <c r="A323" s="2" t="s">
        <v>322</v>
      </c>
      <c r="B323" s="3">
        <v>54890</v>
      </c>
    </row>
    <row r="324" spans="1:2" ht="10.95" customHeight="1" x14ac:dyDescent="0.2">
      <c r="A324" s="2" t="s">
        <v>323</v>
      </c>
      <c r="B324" s="3">
        <v>3459710</v>
      </c>
    </row>
    <row r="325" spans="1:2" ht="10.95" customHeight="1" x14ac:dyDescent="0.2">
      <c r="A325" s="2" t="s">
        <v>324</v>
      </c>
      <c r="B325" s="3">
        <v>62450</v>
      </c>
    </row>
    <row r="326" spans="1:2" ht="10.95" customHeight="1" x14ac:dyDescent="0.2">
      <c r="A326" s="2" t="s">
        <v>325</v>
      </c>
      <c r="B326" s="3">
        <v>166710</v>
      </c>
    </row>
    <row r="327" spans="1:2" ht="10.95" customHeight="1" x14ac:dyDescent="0.2">
      <c r="A327" s="2" t="s">
        <v>326</v>
      </c>
      <c r="B327" s="3">
        <v>16200</v>
      </c>
    </row>
    <row r="328" spans="1:2" ht="10.95" customHeight="1" x14ac:dyDescent="0.2">
      <c r="A328" s="2" t="s">
        <v>327</v>
      </c>
      <c r="B328" s="3">
        <v>79450</v>
      </c>
    </row>
    <row r="329" spans="1:2" ht="10.95" customHeight="1" x14ac:dyDescent="0.2">
      <c r="A329" s="2" t="s">
        <v>328</v>
      </c>
      <c r="B329" s="3">
        <v>-348660</v>
      </c>
    </row>
    <row r="330" spans="1:2" ht="10.95" customHeight="1" x14ac:dyDescent="0.2">
      <c r="A330" s="2" t="s">
        <v>329</v>
      </c>
      <c r="B330" s="3">
        <v>68550</v>
      </c>
    </row>
    <row r="331" spans="1:2" ht="10.95" customHeight="1" x14ac:dyDescent="0.2">
      <c r="A331" s="2" t="s">
        <v>330</v>
      </c>
      <c r="B331" s="3">
        <v>464000</v>
      </c>
    </row>
    <row r="332" spans="1:2" ht="10.95" customHeight="1" x14ac:dyDescent="0.2">
      <c r="A332" s="2" t="s">
        <v>331</v>
      </c>
      <c r="B332" s="3">
        <v>81520</v>
      </c>
    </row>
    <row r="333" spans="1:2" ht="10.95" customHeight="1" x14ac:dyDescent="0.2">
      <c r="A333" s="2" t="s">
        <v>332</v>
      </c>
      <c r="B333" s="3">
        <v>7820</v>
      </c>
    </row>
    <row r="334" spans="1:2" ht="10.95" customHeight="1" x14ac:dyDescent="0.2">
      <c r="A334" s="2" t="s">
        <v>333</v>
      </c>
      <c r="B334" s="3">
        <v>58520</v>
      </c>
    </row>
    <row r="335" spans="1:2" ht="10.95" customHeight="1" x14ac:dyDescent="0.2">
      <c r="A335" s="2" t="s">
        <v>334</v>
      </c>
      <c r="B335" s="3">
        <v>744680</v>
      </c>
    </row>
    <row r="336" spans="1:2" ht="10.95" customHeight="1" x14ac:dyDescent="0.2">
      <c r="A336" s="2" t="s">
        <v>335</v>
      </c>
      <c r="B336" s="3">
        <v>617386</v>
      </c>
    </row>
    <row r="337" spans="1:2" ht="10.95" customHeight="1" x14ac:dyDescent="0.2">
      <c r="A337" s="2" t="s">
        <v>336</v>
      </c>
      <c r="B337" s="3">
        <v>611380</v>
      </c>
    </row>
    <row r="338" spans="1:2" ht="10.95" customHeight="1" x14ac:dyDescent="0.2">
      <c r="A338" s="2" t="s">
        <v>337</v>
      </c>
      <c r="B338" s="3">
        <v>33480</v>
      </c>
    </row>
    <row r="339" spans="1:2" ht="10.95" customHeight="1" x14ac:dyDescent="0.2">
      <c r="A339" s="2" t="s">
        <v>338</v>
      </c>
      <c r="B339" s="3">
        <v>36590</v>
      </c>
    </row>
    <row r="340" spans="1:2" ht="10.95" customHeight="1" x14ac:dyDescent="0.2">
      <c r="A340" s="2" t="s">
        <v>339</v>
      </c>
      <c r="B340" s="3">
        <v>10800</v>
      </c>
    </row>
    <row r="341" spans="1:2" ht="10.95" customHeight="1" x14ac:dyDescent="0.2">
      <c r="A341" s="2" t="s">
        <v>340</v>
      </c>
      <c r="B341" s="3">
        <v>147210</v>
      </c>
    </row>
    <row r="342" spans="1:2" ht="10.95" customHeight="1" x14ac:dyDescent="0.2">
      <c r="A342" s="2" t="s">
        <v>341</v>
      </c>
      <c r="B342" s="3">
        <v>103080</v>
      </c>
    </row>
    <row r="343" spans="1:2" ht="10.95" customHeight="1" x14ac:dyDescent="0.2">
      <c r="A343" s="2" t="s">
        <v>342</v>
      </c>
      <c r="B343" s="3">
        <v>34800</v>
      </c>
    </row>
    <row r="344" spans="1:2" ht="10.95" customHeight="1" x14ac:dyDescent="0.2">
      <c r="A344" s="2" t="s">
        <v>343</v>
      </c>
      <c r="B344" s="3">
        <v>271860</v>
      </c>
    </row>
    <row r="345" spans="1:2" ht="10.95" customHeight="1" x14ac:dyDescent="0.2">
      <c r="A345" s="2" t="s">
        <v>344</v>
      </c>
      <c r="B345" s="3">
        <v>82900</v>
      </c>
    </row>
    <row r="346" spans="1:2" ht="10.95" customHeight="1" x14ac:dyDescent="0.2">
      <c r="A346" s="2" t="s">
        <v>345</v>
      </c>
      <c r="B346" s="3">
        <v>36960</v>
      </c>
    </row>
    <row r="347" spans="1:2" ht="10.95" customHeight="1" x14ac:dyDescent="0.2">
      <c r="A347" s="2" t="s">
        <v>346</v>
      </c>
      <c r="B347" s="3">
        <v>31500</v>
      </c>
    </row>
    <row r="348" spans="1:2" ht="10.95" customHeight="1" x14ac:dyDescent="0.2">
      <c r="A348" s="2" t="s">
        <v>347</v>
      </c>
      <c r="B348" s="3">
        <v>85850</v>
      </c>
    </row>
    <row r="349" spans="1:2" ht="10.95" customHeight="1" x14ac:dyDescent="0.2">
      <c r="A349" s="2" t="s">
        <v>348</v>
      </c>
      <c r="B349" s="3">
        <v>215065</v>
      </c>
    </row>
    <row r="350" spans="1:2" ht="10.95" customHeight="1" x14ac:dyDescent="0.2">
      <c r="A350" s="2" t="s">
        <v>349</v>
      </c>
      <c r="B350" s="3">
        <v>25040</v>
      </c>
    </row>
    <row r="351" spans="1:2" ht="10.95" customHeight="1" x14ac:dyDescent="0.2">
      <c r="A351" s="2" t="s">
        <v>350</v>
      </c>
      <c r="B351" s="3">
        <v>1352605</v>
      </c>
    </row>
    <row r="352" spans="1:2" ht="10.95" customHeight="1" x14ac:dyDescent="0.2">
      <c r="A352" s="2" t="s">
        <v>351</v>
      </c>
      <c r="B352" s="3">
        <v>48940</v>
      </c>
    </row>
    <row r="353" spans="1:2" ht="10.95" customHeight="1" x14ac:dyDescent="0.2">
      <c r="A353" s="2" t="s">
        <v>352</v>
      </c>
      <c r="B353" s="3">
        <v>101180</v>
      </c>
    </row>
    <row r="354" spans="1:2" ht="10.95" customHeight="1" x14ac:dyDescent="0.2">
      <c r="A354" s="2" t="s">
        <v>353</v>
      </c>
      <c r="B354" s="3">
        <v>49940</v>
      </c>
    </row>
    <row r="355" spans="1:2" ht="10.95" customHeight="1" x14ac:dyDescent="0.2">
      <c r="A355" s="2" t="s">
        <v>354</v>
      </c>
      <c r="B355" s="3">
        <v>99270</v>
      </c>
    </row>
    <row r="356" spans="1:2" ht="10.95" customHeight="1" x14ac:dyDescent="0.2">
      <c r="A356" s="2" t="s">
        <v>355</v>
      </c>
      <c r="B356" s="3">
        <v>58110</v>
      </c>
    </row>
    <row r="357" spans="1:2" ht="10.95" customHeight="1" x14ac:dyDescent="0.2">
      <c r="A357" s="2" t="s">
        <v>356</v>
      </c>
      <c r="B357" s="3">
        <v>374840</v>
      </c>
    </row>
    <row r="358" spans="1:2" ht="10.95" customHeight="1" x14ac:dyDescent="0.2">
      <c r="A358" s="2" t="s">
        <v>357</v>
      </c>
      <c r="B358" s="3">
        <v>122590</v>
      </c>
    </row>
    <row r="359" spans="1:2" ht="10.95" customHeight="1" x14ac:dyDescent="0.2">
      <c r="A359" s="2" t="s">
        <v>358</v>
      </c>
      <c r="B359" s="3">
        <v>132280</v>
      </c>
    </row>
    <row r="360" spans="1:2" ht="10.95" customHeight="1" x14ac:dyDescent="0.2">
      <c r="A360" s="2" t="s">
        <v>359</v>
      </c>
      <c r="B360" s="3">
        <v>86462</v>
      </c>
    </row>
    <row r="361" spans="1:2" ht="10.95" customHeight="1" x14ac:dyDescent="0.2">
      <c r="A361" s="2" t="s">
        <v>360</v>
      </c>
      <c r="B361" s="3">
        <v>273651</v>
      </c>
    </row>
    <row r="362" spans="1:2" ht="10.95" customHeight="1" x14ac:dyDescent="0.2">
      <c r="A362" s="2" t="s">
        <v>361</v>
      </c>
      <c r="B362" s="3">
        <v>87800</v>
      </c>
    </row>
    <row r="363" spans="1:2" ht="10.95" customHeight="1" x14ac:dyDescent="0.2">
      <c r="A363" s="2" t="s">
        <v>362</v>
      </c>
      <c r="B363" s="3">
        <v>99745</v>
      </c>
    </row>
    <row r="364" spans="1:2" ht="10.95" customHeight="1" x14ac:dyDescent="0.2">
      <c r="A364" s="2" t="s">
        <v>363</v>
      </c>
      <c r="B364" s="3">
        <v>94930</v>
      </c>
    </row>
    <row r="365" spans="1:2" ht="10.95" customHeight="1" x14ac:dyDescent="0.2">
      <c r="A365" s="2" t="s">
        <v>364</v>
      </c>
      <c r="B365" s="3">
        <v>105480</v>
      </c>
    </row>
    <row r="366" spans="1:2" ht="10.95" customHeight="1" x14ac:dyDescent="0.2">
      <c r="A366" s="2" t="s">
        <v>365</v>
      </c>
      <c r="B366" s="3">
        <v>396160</v>
      </c>
    </row>
    <row r="367" spans="1:2" ht="10.95" customHeight="1" x14ac:dyDescent="0.2">
      <c r="A367" s="2" t="s">
        <v>366</v>
      </c>
      <c r="B367" s="3">
        <v>5000</v>
      </c>
    </row>
    <row r="368" spans="1:2" ht="10.95" customHeight="1" x14ac:dyDescent="0.2">
      <c r="A368" s="2" t="s">
        <v>367</v>
      </c>
      <c r="B368" s="3">
        <v>370860</v>
      </c>
    </row>
    <row r="369" spans="1:2" ht="10.95" customHeight="1" x14ac:dyDescent="0.2">
      <c r="A369" s="2" t="s">
        <v>368</v>
      </c>
      <c r="B369" s="3">
        <v>6820</v>
      </c>
    </row>
    <row r="370" spans="1:2" ht="10.95" customHeight="1" x14ac:dyDescent="0.2">
      <c r="A370" s="2" t="s">
        <v>369</v>
      </c>
      <c r="B370" s="3">
        <v>10000</v>
      </c>
    </row>
    <row r="371" spans="1:2" ht="10.95" customHeight="1" x14ac:dyDescent="0.2">
      <c r="A371" s="2" t="s">
        <v>370</v>
      </c>
      <c r="B371" s="3">
        <v>43820</v>
      </c>
    </row>
    <row r="372" spans="1:2" ht="10.95" customHeight="1" x14ac:dyDescent="0.2">
      <c r="A372" s="2" t="s">
        <v>371</v>
      </c>
      <c r="B372" s="3">
        <v>6883431</v>
      </c>
    </row>
    <row r="373" spans="1:2" ht="10.95" customHeight="1" x14ac:dyDescent="0.2">
      <c r="A373" s="2" t="s">
        <v>372</v>
      </c>
      <c r="B373" s="3">
        <v>123160</v>
      </c>
    </row>
    <row r="374" spans="1:2" ht="10.95" customHeight="1" x14ac:dyDescent="0.2">
      <c r="A374" s="2" t="s">
        <v>373</v>
      </c>
      <c r="B374" s="3">
        <v>194240</v>
      </c>
    </row>
    <row r="375" spans="1:2" ht="10.95" customHeight="1" x14ac:dyDescent="0.2">
      <c r="A375" s="2" t="s">
        <v>374</v>
      </c>
      <c r="B375" s="3">
        <v>135870</v>
      </c>
    </row>
    <row r="376" spans="1:2" ht="10.95" customHeight="1" x14ac:dyDescent="0.2">
      <c r="A376" s="2" t="s">
        <v>375</v>
      </c>
      <c r="B376" s="3">
        <v>47915</v>
      </c>
    </row>
    <row r="377" spans="1:2" ht="10.95" customHeight="1" x14ac:dyDescent="0.2">
      <c r="A377" s="2" t="s">
        <v>376</v>
      </c>
      <c r="B377" s="3">
        <v>86455</v>
      </c>
    </row>
    <row r="378" spans="1:2" ht="10.95" customHeight="1" x14ac:dyDescent="0.2">
      <c r="A378" s="2" t="s">
        <v>377</v>
      </c>
      <c r="B378" s="3">
        <v>517045</v>
      </c>
    </row>
    <row r="379" spans="1:2" ht="10.95" customHeight="1" x14ac:dyDescent="0.2">
      <c r="A379" s="2" t="s">
        <v>378</v>
      </c>
      <c r="B379" s="3">
        <v>11520</v>
      </c>
    </row>
    <row r="380" spans="1:2" ht="10.95" customHeight="1" x14ac:dyDescent="0.2">
      <c r="A380" s="2" t="s">
        <v>379</v>
      </c>
      <c r="B380" s="3">
        <v>106460</v>
      </c>
    </row>
    <row r="381" spans="1:2" ht="10.95" customHeight="1" x14ac:dyDescent="0.2">
      <c r="A381" s="2" t="s">
        <v>380</v>
      </c>
      <c r="B381" s="3">
        <v>162295</v>
      </c>
    </row>
    <row r="382" spans="1:2" ht="10.95" customHeight="1" x14ac:dyDescent="0.2">
      <c r="A382" s="2" t="s">
        <v>381</v>
      </c>
      <c r="B382" s="3">
        <v>133270</v>
      </c>
    </row>
    <row r="383" spans="1:2" ht="10.95" customHeight="1" x14ac:dyDescent="0.2">
      <c r="A383" s="2" t="s">
        <v>382</v>
      </c>
      <c r="B383" s="3">
        <v>143995</v>
      </c>
    </row>
    <row r="384" spans="1:2" ht="10.95" customHeight="1" x14ac:dyDescent="0.2">
      <c r="A384" s="2" t="s">
        <v>383</v>
      </c>
      <c r="B384" s="3">
        <v>43590</v>
      </c>
    </row>
    <row r="385" spans="1:2" ht="10.95" customHeight="1" x14ac:dyDescent="0.2">
      <c r="A385" s="2" t="s">
        <v>384</v>
      </c>
      <c r="B385" s="3">
        <v>53286</v>
      </c>
    </row>
    <row r="386" spans="1:2" ht="10.95" customHeight="1" x14ac:dyDescent="0.2">
      <c r="A386" s="2" t="s">
        <v>385</v>
      </c>
      <c r="B386" s="3">
        <v>1302194</v>
      </c>
    </row>
    <row r="387" spans="1:2" ht="10.95" customHeight="1" x14ac:dyDescent="0.2">
      <c r="A387" s="2" t="s">
        <v>386</v>
      </c>
      <c r="B387" s="3">
        <v>36000</v>
      </c>
    </row>
    <row r="388" spans="1:2" ht="10.95" customHeight="1" x14ac:dyDescent="0.2">
      <c r="A388" s="2" t="s">
        <v>387</v>
      </c>
      <c r="B388" s="3">
        <v>15890</v>
      </c>
    </row>
    <row r="389" spans="1:2" ht="10.95" customHeight="1" x14ac:dyDescent="0.2">
      <c r="A389" s="2" t="s">
        <v>388</v>
      </c>
      <c r="B389" s="3">
        <v>33800</v>
      </c>
    </row>
    <row r="390" spans="1:2" ht="10.95" customHeight="1" x14ac:dyDescent="0.2">
      <c r="A390" s="2" t="s">
        <v>389</v>
      </c>
      <c r="B390" s="3">
        <v>97950</v>
      </c>
    </row>
    <row r="391" spans="1:2" ht="10.95" customHeight="1" x14ac:dyDescent="0.2">
      <c r="A391" s="2" t="s">
        <v>390</v>
      </c>
      <c r="B391" s="3">
        <v>162840</v>
      </c>
    </row>
    <row r="392" spans="1:2" ht="10.95" customHeight="1" x14ac:dyDescent="0.2">
      <c r="A392" s="2" t="s">
        <v>391</v>
      </c>
      <c r="B392" s="3">
        <v>21220</v>
      </c>
    </row>
    <row r="393" spans="1:2" ht="10.95" customHeight="1" x14ac:dyDescent="0.2">
      <c r="A393" s="2" t="s">
        <v>392</v>
      </c>
      <c r="B393" s="3">
        <v>88260</v>
      </c>
    </row>
    <row r="394" spans="1:2" ht="10.95" customHeight="1" x14ac:dyDescent="0.2">
      <c r="A394" s="2" t="s">
        <v>393</v>
      </c>
      <c r="B394" s="3">
        <v>24500</v>
      </c>
    </row>
    <row r="395" spans="1:2" ht="10.95" customHeight="1" x14ac:dyDescent="0.2">
      <c r="A395" s="2" t="s">
        <v>394</v>
      </c>
      <c r="B395" s="3">
        <v>19270</v>
      </c>
    </row>
    <row r="396" spans="1:2" ht="10.95" customHeight="1" x14ac:dyDescent="0.2">
      <c r="A396" s="2" t="s">
        <v>395</v>
      </c>
      <c r="B396" s="3">
        <v>43460</v>
      </c>
    </row>
    <row r="397" spans="1:2" ht="10.95" customHeight="1" x14ac:dyDescent="0.2">
      <c r="A397" s="2" t="s">
        <v>396</v>
      </c>
      <c r="B397" s="3">
        <v>94280</v>
      </c>
    </row>
    <row r="398" spans="1:2" ht="10.95" customHeight="1" x14ac:dyDescent="0.2">
      <c r="A398" s="2" t="s">
        <v>397</v>
      </c>
      <c r="B398" s="3">
        <v>1523126</v>
      </c>
    </row>
    <row r="399" spans="1:2" ht="10.95" customHeight="1" x14ac:dyDescent="0.2">
      <c r="A399" s="2" t="s">
        <v>398</v>
      </c>
      <c r="B399" s="3">
        <v>821904</v>
      </c>
    </row>
    <row r="400" spans="1:2" ht="10.95" customHeight="1" x14ac:dyDescent="0.2">
      <c r="A400" s="2" t="s">
        <v>399</v>
      </c>
      <c r="B400" s="3">
        <v>20520</v>
      </c>
    </row>
    <row r="401" spans="1:2" ht="10.95" customHeight="1" x14ac:dyDescent="0.2">
      <c r="A401" s="2" t="s">
        <v>400</v>
      </c>
      <c r="B401" s="3">
        <v>10750</v>
      </c>
    </row>
    <row r="402" spans="1:2" ht="10.95" customHeight="1" x14ac:dyDescent="0.2">
      <c r="A402" s="2" t="s">
        <v>401</v>
      </c>
      <c r="B402" s="3">
        <v>121843</v>
      </c>
    </row>
    <row r="403" spans="1:2" ht="10.95" customHeight="1" x14ac:dyDescent="0.2">
      <c r="A403" s="2" t="s">
        <v>402</v>
      </c>
      <c r="B403" s="3">
        <v>350173</v>
      </c>
    </row>
    <row r="404" spans="1:2" ht="10.95" customHeight="1" x14ac:dyDescent="0.2">
      <c r="A404" s="2" t="s">
        <v>403</v>
      </c>
      <c r="B404" s="3">
        <v>459640</v>
      </c>
    </row>
    <row r="405" spans="1:2" ht="10.95" customHeight="1" x14ac:dyDescent="0.2">
      <c r="A405" s="2" t="s">
        <v>404</v>
      </c>
      <c r="B405" s="3">
        <v>10300</v>
      </c>
    </row>
    <row r="406" spans="1:2" ht="10.95" customHeight="1" x14ac:dyDescent="0.2">
      <c r="A406" s="2" t="s">
        <v>405</v>
      </c>
      <c r="B406" s="3">
        <v>263583</v>
      </c>
    </row>
    <row r="407" spans="1:2" ht="10.95" customHeight="1" x14ac:dyDescent="0.2">
      <c r="A407" s="2" t="s">
        <v>406</v>
      </c>
      <c r="B407" s="3">
        <v>75140</v>
      </c>
    </row>
    <row r="408" spans="1:2" ht="10.95" customHeight="1" x14ac:dyDescent="0.2">
      <c r="A408" s="2" t="s">
        <v>407</v>
      </c>
      <c r="B408" s="3">
        <v>7519</v>
      </c>
    </row>
    <row r="409" spans="1:2" ht="10.95" customHeight="1" x14ac:dyDescent="0.2">
      <c r="A409" s="2" t="s">
        <v>408</v>
      </c>
      <c r="B409" s="3">
        <v>12540</v>
      </c>
    </row>
    <row r="410" spans="1:2" ht="10.95" customHeight="1" x14ac:dyDescent="0.2">
      <c r="A410" s="2" t="s">
        <v>409</v>
      </c>
      <c r="B410" s="3">
        <v>64790</v>
      </c>
    </row>
    <row r="411" spans="1:2" ht="10.95" customHeight="1" x14ac:dyDescent="0.2">
      <c r="A411" s="2" t="s">
        <v>410</v>
      </c>
      <c r="B411" s="3">
        <v>55150</v>
      </c>
    </row>
    <row r="412" spans="1:2" ht="10.95" customHeight="1" x14ac:dyDescent="0.2">
      <c r="A412" s="2" t="s">
        <v>411</v>
      </c>
      <c r="B412" s="3">
        <v>323590</v>
      </c>
    </row>
    <row r="413" spans="1:2" ht="10.95" customHeight="1" x14ac:dyDescent="0.2">
      <c r="A413" s="2" t="s">
        <v>412</v>
      </c>
      <c r="B413" s="3">
        <v>17980</v>
      </c>
    </row>
    <row r="414" spans="1:2" ht="10.95" customHeight="1" x14ac:dyDescent="0.2">
      <c r="A414" s="2" t="s">
        <v>413</v>
      </c>
      <c r="B414" s="3">
        <v>15235</v>
      </c>
    </row>
    <row r="415" spans="1:2" ht="10.95" customHeight="1" x14ac:dyDescent="0.2">
      <c r="A415" s="2" t="s">
        <v>414</v>
      </c>
      <c r="B415" s="3">
        <v>64450</v>
      </c>
    </row>
    <row r="416" spans="1:2" ht="10.95" customHeight="1" x14ac:dyDescent="0.2">
      <c r="A416" s="2" t="s">
        <v>415</v>
      </c>
      <c r="B416" s="3">
        <v>276225</v>
      </c>
    </row>
    <row r="417" spans="1:2" ht="10.95" customHeight="1" x14ac:dyDescent="0.2">
      <c r="A417" s="2" t="s">
        <v>416</v>
      </c>
      <c r="B417" s="3">
        <v>25520</v>
      </c>
    </row>
    <row r="418" spans="1:2" ht="10.95" customHeight="1" x14ac:dyDescent="0.2">
      <c r="A418" s="2" t="s">
        <v>417</v>
      </c>
      <c r="B418" s="3">
        <v>153255</v>
      </c>
    </row>
    <row r="419" spans="1:2" ht="10.95" customHeight="1" x14ac:dyDescent="0.2">
      <c r="A419" s="2" t="s">
        <v>418</v>
      </c>
      <c r="B419" s="3">
        <v>682863</v>
      </c>
    </row>
    <row r="420" spans="1:2" ht="10.95" customHeight="1" x14ac:dyDescent="0.2">
      <c r="A420" s="2" t="s">
        <v>419</v>
      </c>
      <c r="B420" s="3">
        <v>135312</v>
      </c>
    </row>
    <row r="421" spans="1:2" ht="10.95" customHeight="1" x14ac:dyDescent="0.2">
      <c r="A421" s="2" t="s">
        <v>420</v>
      </c>
      <c r="B421" s="3">
        <v>20600</v>
      </c>
    </row>
    <row r="422" spans="1:2" ht="10.95" customHeight="1" x14ac:dyDescent="0.2">
      <c r="A422" s="2" t="s">
        <v>421</v>
      </c>
      <c r="B422" s="3">
        <v>-380896</v>
      </c>
    </row>
    <row r="423" spans="1:2" ht="10.95" customHeight="1" x14ac:dyDescent="0.2">
      <c r="A423" s="2" t="s">
        <v>422</v>
      </c>
      <c r="B423" s="3">
        <v>12990</v>
      </c>
    </row>
    <row r="424" spans="1:2" ht="10.95" customHeight="1" x14ac:dyDescent="0.2">
      <c r="A424" s="2" t="s">
        <v>423</v>
      </c>
      <c r="B424" s="3">
        <v>210760</v>
      </c>
    </row>
    <row r="425" spans="1:2" ht="10.95" customHeight="1" x14ac:dyDescent="0.2">
      <c r="A425" s="2" t="s">
        <v>424</v>
      </c>
      <c r="B425" s="3">
        <v>170810</v>
      </c>
    </row>
    <row r="426" spans="1:2" ht="10.95" customHeight="1" x14ac:dyDescent="0.2">
      <c r="A426" s="2" t="s">
        <v>425</v>
      </c>
      <c r="B426" s="3">
        <v>38970</v>
      </c>
    </row>
    <row r="427" spans="1:2" ht="10.95" customHeight="1" x14ac:dyDescent="0.2">
      <c r="A427" s="2" t="s">
        <v>426</v>
      </c>
      <c r="B427" s="3">
        <v>694360</v>
      </c>
    </row>
    <row r="428" spans="1:2" ht="10.95" customHeight="1" x14ac:dyDescent="0.2">
      <c r="A428" s="2" t="s">
        <v>427</v>
      </c>
      <c r="B428" s="3">
        <v>17865</v>
      </c>
    </row>
    <row r="429" spans="1:2" ht="10.95" customHeight="1" x14ac:dyDescent="0.2">
      <c r="A429" s="2" t="s">
        <v>428</v>
      </c>
      <c r="B429" s="3">
        <v>46420</v>
      </c>
    </row>
    <row r="430" spans="1:2" ht="10.95" customHeight="1" x14ac:dyDescent="0.2">
      <c r="A430" s="2" t="s">
        <v>429</v>
      </c>
      <c r="B430" s="3">
        <v>3910</v>
      </c>
    </row>
    <row r="431" spans="1:2" ht="10.95" customHeight="1" x14ac:dyDescent="0.2">
      <c r="A431" s="2" t="s">
        <v>430</v>
      </c>
      <c r="B431" s="3">
        <v>35490</v>
      </c>
    </row>
    <row r="432" spans="1:2" ht="10.95" customHeight="1" x14ac:dyDescent="0.2">
      <c r="A432" s="2" t="s">
        <v>431</v>
      </c>
      <c r="B432" s="3">
        <v>46750</v>
      </c>
    </row>
    <row r="433" spans="1:2" ht="10.95" customHeight="1" x14ac:dyDescent="0.2">
      <c r="A433" s="2" t="s">
        <v>432</v>
      </c>
      <c r="B433" s="3">
        <v>188135</v>
      </c>
    </row>
    <row r="434" spans="1:2" ht="10.95" customHeight="1" x14ac:dyDescent="0.2">
      <c r="A434" s="2" t="s">
        <v>433</v>
      </c>
      <c r="B434" s="3">
        <v>28830</v>
      </c>
    </row>
    <row r="435" spans="1:2" ht="10.95" customHeight="1" x14ac:dyDescent="0.2">
      <c r="A435" s="2" t="s">
        <v>434</v>
      </c>
      <c r="B435" s="3">
        <v>491130</v>
      </c>
    </row>
    <row r="436" spans="1:2" ht="10.95" customHeight="1" x14ac:dyDescent="0.2">
      <c r="A436" s="2" t="s">
        <v>435</v>
      </c>
      <c r="B436" s="3">
        <v>122280</v>
      </c>
    </row>
    <row r="437" spans="1:2" ht="10.95" customHeight="1" x14ac:dyDescent="0.2">
      <c r="A437" s="2" t="s">
        <v>436</v>
      </c>
      <c r="B437" s="3">
        <v>62095</v>
      </c>
    </row>
    <row r="438" spans="1:2" ht="10.95" customHeight="1" x14ac:dyDescent="0.2">
      <c r="A438" s="2" t="s">
        <v>437</v>
      </c>
      <c r="B438" s="3">
        <v>121453</v>
      </c>
    </row>
    <row r="439" spans="1:2" ht="10.95" customHeight="1" x14ac:dyDescent="0.2">
      <c r="A439" s="2" t="s">
        <v>438</v>
      </c>
      <c r="B439" s="3">
        <v>19800</v>
      </c>
    </row>
    <row r="440" spans="1:2" ht="10.95" customHeight="1" x14ac:dyDescent="0.2">
      <c r="A440" s="2" t="s">
        <v>439</v>
      </c>
      <c r="B440" s="3">
        <v>16250</v>
      </c>
    </row>
    <row r="441" spans="1:2" ht="10.95" customHeight="1" x14ac:dyDescent="0.2">
      <c r="A441" s="2" t="s">
        <v>440</v>
      </c>
      <c r="B441" s="3">
        <v>124260</v>
      </c>
    </row>
    <row r="442" spans="1:2" ht="10.95" customHeight="1" x14ac:dyDescent="0.2">
      <c r="A442" s="2" t="s">
        <v>441</v>
      </c>
      <c r="B442" s="3">
        <v>50060</v>
      </c>
    </row>
    <row r="443" spans="1:2" ht="10.95" customHeight="1" x14ac:dyDescent="0.2">
      <c r="A443" s="2" t="s">
        <v>442</v>
      </c>
      <c r="B443" s="3">
        <v>123535</v>
      </c>
    </row>
    <row r="444" spans="1:2" ht="10.95" customHeight="1" x14ac:dyDescent="0.2">
      <c r="A444" s="2" t="s">
        <v>443</v>
      </c>
      <c r="B444" s="3">
        <v>146950</v>
      </c>
    </row>
    <row r="445" spans="1:2" ht="10.95" customHeight="1" x14ac:dyDescent="0.2">
      <c r="A445" s="2" t="s">
        <v>444</v>
      </c>
      <c r="B445" s="3">
        <v>51120</v>
      </c>
    </row>
    <row r="446" spans="1:2" ht="10.95" customHeight="1" x14ac:dyDescent="0.2">
      <c r="A446" s="2" t="s">
        <v>445</v>
      </c>
      <c r="B446" s="3">
        <v>51311</v>
      </c>
    </row>
    <row r="447" spans="1:2" ht="10.95" customHeight="1" x14ac:dyDescent="0.2">
      <c r="A447" s="2" t="s">
        <v>446</v>
      </c>
      <c r="B447" s="3">
        <v>12990</v>
      </c>
    </row>
    <row r="448" spans="1:2" ht="10.95" customHeight="1" x14ac:dyDescent="0.2">
      <c r="A448" s="2" t="s">
        <v>447</v>
      </c>
      <c r="B448" s="3">
        <v>185710</v>
      </c>
    </row>
    <row r="449" spans="1:2" ht="10.95" customHeight="1" x14ac:dyDescent="0.2">
      <c r="A449" s="2" t="s">
        <v>448</v>
      </c>
      <c r="B449" s="3">
        <v>209093</v>
      </c>
    </row>
    <row r="450" spans="1:2" ht="10.95" customHeight="1" x14ac:dyDescent="0.2">
      <c r="A450" s="2" t="s">
        <v>449</v>
      </c>
      <c r="B450" s="3">
        <v>7600</v>
      </c>
    </row>
    <row r="451" spans="1:2" ht="10.95" customHeight="1" x14ac:dyDescent="0.2">
      <c r="A451" s="2" t="s">
        <v>450</v>
      </c>
      <c r="B451" s="3">
        <v>43566</v>
      </c>
    </row>
    <row r="452" spans="1:2" ht="10.95" customHeight="1" x14ac:dyDescent="0.2">
      <c r="A452" s="2" t="s">
        <v>451</v>
      </c>
      <c r="B452" s="3">
        <v>183090</v>
      </c>
    </row>
    <row r="453" spans="1:2" ht="10.95" customHeight="1" x14ac:dyDescent="0.2">
      <c r="A453" s="2" t="s">
        <v>452</v>
      </c>
      <c r="B453" s="3">
        <v>1654015.5</v>
      </c>
    </row>
    <row r="454" spans="1:2" ht="10.95" customHeight="1" x14ac:dyDescent="0.2">
      <c r="A454" s="2" t="s">
        <v>453</v>
      </c>
      <c r="B454" s="3">
        <v>53170</v>
      </c>
    </row>
    <row r="455" spans="1:2" ht="10.95" customHeight="1" x14ac:dyDescent="0.2">
      <c r="A455" s="2" t="s">
        <v>454</v>
      </c>
      <c r="B455" s="3">
        <v>86380</v>
      </c>
    </row>
    <row r="456" spans="1:2" ht="10.95" customHeight="1" x14ac:dyDescent="0.2">
      <c r="A456" s="2" t="s">
        <v>455</v>
      </c>
      <c r="B456" s="3">
        <v>31080</v>
      </c>
    </row>
    <row r="457" spans="1:2" ht="10.95" customHeight="1" x14ac:dyDescent="0.2">
      <c r="A457" s="2" t="s">
        <v>456</v>
      </c>
      <c r="B457" s="3">
        <v>589935</v>
      </c>
    </row>
    <row r="458" spans="1:2" ht="10.95" customHeight="1" x14ac:dyDescent="0.2">
      <c r="A458" s="2" t="s">
        <v>457</v>
      </c>
      <c r="B458" s="3">
        <v>69630</v>
      </c>
    </row>
    <row r="459" spans="1:2" ht="10.95" customHeight="1" x14ac:dyDescent="0.2">
      <c r="A459" s="2" t="s">
        <v>458</v>
      </c>
      <c r="B459" s="3">
        <v>112250</v>
      </c>
    </row>
    <row r="460" spans="1:2" ht="10.95" customHeight="1" x14ac:dyDescent="0.2">
      <c r="A460" s="2" t="s">
        <v>459</v>
      </c>
      <c r="B460" s="3">
        <v>120530</v>
      </c>
    </row>
    <row r="461" spans="1:2" ht="10.95" customHeight="1" x14ac:dyDescent="0.2">
      <c r="A461" s="2" t="s">
        <v>460</v>
      </c>
      <c r="B461" s="3">
        <v>5000</v>
      </c>
    </row>
    <row r="462" spans="1:2" ht="10.95" customHeight="1" x14ac:dyDescent="0.2">
      <c r="A462" s="2" t="s">
        <v>461</v>
      </c>
      <c r="B462" s="3">
        <v>1008980</v>
      </c>
    </row>
    <row r="463" spans="1:2" ht="10.95" customHeight="1" x14ac:dyDescent="0.2">
      <c r="A463" s="2" t="s">
        <v>462</v>
      </c>
      <c r="B463" s="3">
        <v>29280</v>
      </c>
    </row>
    <row r="464" spans="1:2" ht="10.95" customHeight="1" x14ac:dyDescent="0.2">
      <c r="A464" s="2" t="s">
        <v>463</v>
      </c>
      <c r="B464" s="3">
        <v>51300</v>
      </c>
    </row>
    <row r="465" spans="1:2" ht="10.95" customHeight="1" x14ac:dyDescent="0.2">
      <c r="A465" s="2" t="s">
        <v>464</v>
      </c>
      <c r="B465" s="3">
        <v>46180</v>
      </c>
    </row>
    <row r="466" spans="1:2" ht="10.95" customHeight="1" x14ac:dyDescent="0.2">
      <c r="A466" s="2" t="s">
        <v>465</v>
      </c>
      <c r="B466" s="3">
        <v>89385</v>
      </c>
    </row>
    <row r="467" spans="1:2" ht="10.95" customHeight="1" x14ac:dyDescent="0.2">
      <c r="A467" s="2" t="s">
        <v>466</v>
      </c>
      <c r="B467" s="3">
        <v>33560</v>
      </c>
    </row>
    <row r="468" spans="1:2" ht="10.95" customHeight="1" x14ac:dyDescent="0.2">
      <c r="A468" s="2" t="s">
        <v>467</v>
      </c>
      <c r="B468" s="3">
        <v>34030</v>
      </c>
    </row>
    <row r="469" spans="1:2" ht="10.95" customHeight="1" x14ac:dyDescent="0.2">
      <c r="A469" s="2" t="s">
        <v>468</v>
      </c>
      <c r="B469" s="3">
        <v>2905339</v>
      </c>
    </row>
    <row r="470" spans="1:2" ht="10.95" customHeight="1" x14ac:dyDescent="0.2">
      <c r="A470" s="2" t="s">
        <v>469</v>
      </c>
      <c r="B470" s="3">
        <v>13540</v>
      </c>
    </row>
    <row r="471" spans="1:2" ht="10.95" customHeight="1" x14ac:dyDescent="0.2">
      <c r="A471" s="2" t="s">
        <v>470</v>
      </c>
      <c r="B471" s="3">
        <v>24930</v>
      </c>
    </row>
    <row r="472" spans="1:2" ht="10.95" customHeight="1" x14ac:dyDescent="0.2">
      <c r="A472" s="2" t="s">
        <v>471</v>
      </c>
      <c r="B472" s="3">
        <v>15840</v>
      </c>
    </row>
    <row r="473" spans="1:2" ht="10.95" customHeight="1" x14ac:dyDescent="0.2">
      <c r="A473" s="2" t="s">
        <v>472</v>
      </c>
      <c r="B473" s="3">
        <v>15720</v>
      </c>
    </row>
    <row r="474" spans="1:2" ht="10.95" customHeight="1" x14ac:dyDescent="0.2">
      <c r="A474" s="2" t="s">
        <v>473</v>
      </c>
      <c r="B474" s="3">
        <v>262900</v>
      </c>
    </row>
    <row r="475" spans="1:2" ht="10.95" customHeight="1" x14ac:dyDescent="0.2">
      <c r="A475" s="2" t="s">
        <v>474</v>
      </c>
      <c r="B475" s="3">
        <v>66490</v>
      </c>
    </row>
    <row r="476" spans="1:2" ht="10.95" customHeight="1" x14ac:dyDescent="0.2">
      <c r="A476" s="2" t="s">
        <v>475</v>
      </c>
      <c r="B476" s="3">
        <v>5805333</v>
      </c>
    </row>
    <row r="477" spans="1:2" ht="10.95" customHeight="1" x14ac:dyDescent="0.2">
      <c r="A477" s="2" t="s">
        <v>476</v>
      </c>
      <c r="B477" s="3">
        <v>21000</v>
      </c>
    </row>
    <row r="478" spans="1:2" ht="10.95" customHeight="1" x14ac:dyDescent="0.2">
      <c r="A478" s="2" t="s">
        <v>477</v>
      </c>
      <c r="B478" s="3">
        <v>497995</v>
      </c>
    </row>
    <row r="479" spans="1:2" ht="10.95" customHeight="1" x14ac:dyDescent="0.2">
      <c r="A479" s="2" t="s">
        <v>478</v>
      </c>
      <c r="B479" s="3">
        <v>112480</v>
      </c>
    </row>
    <row r="480" spans="1:2" ht="10.95" customHeight="1" x14ac:dyDescent="0.2">
      <c r="A480" s="2" t="s">
        <v>479</v>
      </c>
      <c r="B480" s="3">
        <v>50760</v>
      </c>
    </row>
    <row r="481" spans="1:2" ht="10.95" customHeight="1" x14ac:dyDescent="0.2">
      <c r="A481" s="2" t="s">
        <v>480</v>
      </c>
      <c r="B481" s="3">
        <v>13090</v>
      </c>
    </row>
    <row r="482" spans="1:2" ht="10.95" customHeight="1" x14ac:dyDescent="0.2">
      <c r="A482" s="2" t="s">
        <v>481</v>
      </c>
      <c r="B482" s="3">
        <v>126808</v>
      </c>
    </row>
    <row r="483" spans="1:2" ht="10.95" customHeight="1" x14ac:dyDescent="0.2">
      <c r="A483" s="2" t="s">
        <v>482</v>
      </c>
      <c r="B483" s="3">
        <v>110520</v>
      </c>
    </row>
    <row r="484" spans="1:2" ht="10.95" customHeight="1" x14ac:dyDescent="0.2">
      <c r="A484" s="2" t="s">
        <v>483</v>
      </c>
      <c r="B484" s="3">
        <v>150910</v>
      </c>
    </row>
    <row r="485" spans="1:2" ht="10.95" customHeight="1" x14ac:dyDescent="0.2">
      <c r="A485" s="2" t="s">
        <v>484</v>
      </c>
      <c r="B485" s="3">
        <v>802070</v>
      </c>
    </row>
    <row r="486" spans="1:2" ht="10.95" customHeight="1" x14ac:dyDescent="0.2">
      <c r="A486" s="2" t="s">
        <v>485</v>
      </c>
      <c r="B486" s="3">
        <v>41150</v>
      </c>
    </row>
    <row r="487" spans="1:2" ht="10.95" customHeight="1" x14ac:dyDescent="0.2">
      <c r="A487" s="2" t="s">
        <v>486</v>
      </c>
      <c r="B487" s="3">
        <v>73290</v>
      </c>
    </row>
    <row r="488" spans="1:2" ht="10.95" customHeight="1" x14ac:dyDescent="0.2">
      <c r="A488" s="2" t="s">
        <v>487</v>
      </c>
      <c r="B488" s="3">
        <v>495595</v>
      </c>
    </row>
    <row r="489" spans="1:2" ht="10.95" customHeight="1" x14ac:dyDescent="0.2">
      <c r="A489" s="2" t="s">
        <v>488</v>
      </c>
      <c r="B489" s="3">
        <v>737745</v>
      </c>
    </row>
    <row r="490" spans="1:2" ht="10.95" customHeight="1" x14ac:dyDescent="0.2">
      <c r="A490" s="2" t="s">
        <v>489</v>
      </c>
      <c r="B490" s="3">
        <v>309230</v>
      </c>
    </row>
    <row r="491" spans="1:2" ht="10.95" customHeight="1" x14ac:dyDescent="0.2">
      <c r="A491" s="2" t="s">
        <v>490</v>
      </c>
      <c r="B491" s="3">
        <v>37240</v>
      </c>
    </row>
    <row r="492" spans="1:2" ht="10.95" customHeight="1" x14ac:dyDescent="0.2">
      <c r="A492" s="2" t="s">
        <v>491</v>
      </c>
      <c r="B492" s="3">
        <v>28340</v>
      </c>
    </row>
    <row r="493" spans="1:2" ht="10.95" customHeight="1" x14ac:dyDescent="0.2">
      <c r="A493" s="2" t="s">
        <v>492</v>
      </c>
      <c r="B493" s="3">
        <v>2528723</v>
      </c>
    </row>
    <row r="494" spans="1:2" ht="10.95" customHeight="1" x14ac:dyDescent="0.2">
      <c r="A494" s="2" t="s">
        <v>493</v>
      </c>
      <c r="B494" s="3">
        <v>2472350</v>
      </c>
    </row>
    <row r="495" spans="1:2" ht="10.95" customHeight="1" x14ac:dyDescent="0.2">
      <c r="A495" s="2" t="s">
        <v>494</v>
      </c>
      <c r="B495" s="3">
        <v>47550</v>
      </c>
    </row>
    <row r="496" spans="1:2" ht="10.95" customHeight="1" x14ac:dyDescent="0.2">
      <c r="A496" s="2" t="s">
        <v>495</v>
      </c>
      <c r="B496" s="3">
        <v>40660</v>
      </c>
    </row>
    <row r="497" spans="1:2" ht="10.95" customHeight="1" x14ac:dyDescent="0.2">
      <c r="A497" s="2" t="s">
        <v>496</v>
      </c>
      <c r="B497" s="3">
        <v>70300</v>
      </c>
    </row>
    <row r="498" spans="1:2" ht="10.95" customHeight="1" x14ac:dyDescent="0.2">
      <c r="A498" s="2" t="s">
        <v>497</v>
      </c>
      <c r="B498" s="3">
        <v>25600</v>
      </c>
    </row>
    <row r="499" spans="1:2" ht="10.95" customHeight="1" x14ac:dyDescent="0.2">
      <c r="A499" s="2" t="s">
        <v>498</v>
      </c>
      <c r="B499" s="3">
        <v>13080</v>
      </c>
    </row>
    <row r="500" spans="1:2" ht="10.95" customHeight="1" x14ac:dyDescent="0.2">
      <c r="A500" s="2" t="s">
        <v>499</v>
      </c>
      <c r="B500" s="3">
        <v>368520</v>
      </c>
    </row>
    <row r="501" spans="1:2" ht="10.95" customHeight="1" x14ac:dyDescent="0.2">
      <c r="A501" s="2" t="s">
        <v>500</v>
      </c>
      <c r="B501" s="3">
        <v>21760</v>
      </c>
    </row>
    <row r="502" spans="1:2" ht="10.95" customHeight="1" x14ac:dyDescent="0.2">
      <c r="A502" s="2" t="s">
        <v>501</v>
      </c>
      <c r="B502" s="3">
        <v>711580</v>
      </c>
    </row>
    <row r="503" spans="1:2" ht="10.95" customHeight="1" x14ac:dyDescent="0.2">
      <c r="A503" s="2" t="s">
        <v>502</v>
      </c>
      <c r="B503" s="3">
        <v>402676</v>
      </c>
    </row>
    <row r="504" spans="1:2" ht="10.95" customHeight="1" x14ac:dyDescent="0.2">
      <c r="A504" s="2" t="s">
        <v>503</v>
      </c>
      <c r="B504" s="3">
        <v>29170</v>
      </c>
    </row>
    <row r="505" spans="1:2" ht="10.95" customHeight="1" x14ac:dyDescent="0.2">
      <c r="A505" s="2" t="s">
        <v>504</v>
      </c>
      <c r="B505" s="3">
        <v>13900</v>
      </c>
    </row>
    <row r="506" spans="1:2" ht="10.95" customHeight="1" x14ac:dyDescent="0.2">
      <c r="A506" s="2" t="s">
        <v>505</v>
      </c>
      <c r="B506" s="3">
        <v>85760</v>
      </c>
    </row>
    <row r="507" spans="1:2" ht="10.95" customHeight="1" x14ac:dyDescent="0.2">
      <c r="A507" s="2" t="s">
        <v>506</v>
      </c>
      <c r="B507" s="3">
        <v>-841626</v>
      </c>
    </row>
    <row r="508" spans="1:2" ht="10.95" customHeight="1" x14ac:dyDescent="0.2">
      <c r="A508" s="2" t="s">
        <v>507</v>
      </c>
      <c r="B508" s="3">
        <v>58570</v>
      </c>
    </row>
    <row r="509" spans="1:2" ht="10.95" customHeight="1" x14ac:dyDescent="0.2">
      <c r="A509" s="2" t="s">
        <v>508</v>
      </c>
      <c r="B509" s="3">
        <v>5150</v>
      </c>
    </row>
    <row r="510" spans="1:2" ht="10.95" customHeight="1" x14ac:dyDescent="0.2">
      <c r="A510" s="2" t="s">
        <v>509</v>
      </c>
      <c r="B510" s="3">
        <v>72080</v>
      </c>
    </row>
    <row r="511" spans="1:2" ht="10.95" customHeight="1" x14ac:dyDescent="0.2">
      <c r="A511" s="2" t="s">
        <v>510</v>
      </c>
      <c r="B511" s="3">
        <v>58655</v>
      </c>
    </row>
    <row r="512" spans="1:2" ht="10.95" customHeight="1" x14ac:dyDescent="0.2">
      <c r="A512" s="2" t="s">
        <v>511</v>
      </c>
      <c r="B512" s="3">
        <v>151130</v>
      </c>
    </row>
    <row r="513" spans="1:2" ht="10.95" customHeight="1" x14ac:dyDescent="0.2">
      <c r="A513" s="2" t="s">
        <v>512</v>
      </c>
      <c r="B513" s="3">
        <v>53100</v>
      </c>
    </row>
    <row r="514" spans="1:2" ht="10.95" customHeight="1" x14ac:dyDescent="0.2">
      <c r="A514" s="2" t="s">
        <v>513</v>
      </c>
      <c r="B514" s="3">
        <v>26850</v>
      </c>
    </row>
    <row r="515" spans="1:2" ht="10.95" customHeight="1" x14ac:dyDescent="0.2">
      <c r="A515" s="2" t="s">
        <v>514</v>
      </c>
      <c r="B515" s="3">
        <v>70300</v>
      </c>
    </row>
    <row r="516" spans="1:2" ht="10.95" customHeight="1" x14ac:dyDescent="0.2">
      <c r="A516" s="2" t="s">
        <v>515</v>
      </c>
      <c r="B516" s="3">
        <v>201120</v>
      </c>
    </row>
    <row r="517" spans="1:2" ht="10.95" customHeight="1" x14ac:dyDescent="0.2">
      <c r="A517" s="2" t="s">
        <v>516</v>
      </c>
      <c r="B517" s="3">
        <v>175000</v>
      </c>
    </row>
    <row r="518" spans="1:2" ht="10.95" customHeight="1" x14ac:dyDescent="0.2">
      <c r="A518" s="2" t="s">
        <v>517</v>
      </c>
      <c r="B518" s="3">
        <v>230810</v>
      </c>
    </row>
    <row r="519" spans="1:2" ht="10.95" customHeight="1" x14ac:dyDescent="0.2">
      <c r="A519" s="2" t="s">
        <v>518</v>
      </c>
      <c r="B519" s="3">
        <v>155580</v>
      </c>
    </row>
    <row r="520" spans="1:2" ht="10.95" customHeight="1" x14ac:dyDescent="0.2">
      <c r="A520" s="2" t="s">
        <v>519</v>
      </c>
      <c r="B520" s="3">
        <v>467066</v>
      </c>
    </row>
    <row r="521" spans="1:2" ht="10.95" customHeight="1" x14ac:dyDescent="0.2">
      <c r="A521" s="2" t="s">
        <v>520</v>
      </c>
      <c r="B521" s="3">
        <v>79430</v>
      </c>
    </row>
    <row r="522" spans="1:2" ht="10.95" customHeight="1" x14ac:dyDescent="0.2">
      <c r="A522" s="2" t="s">
        <v>521</v>
      </c>
      <c r="B522" s="3">
        <v>49370</v>
      </c>
    </row>
    <row r="523" spans="1:2" ht="10.95" customHeight="1" x14ac:dyDescent="0.2">
      <c r="A523" s="2" t="s">
        <v>522</v>
      </c>
      <c r="B523" s="3">
        <v>76000</v>
      </c>
    </row>
    <row r="524" spans="1:2" ht="10.95" customHeight="1" x14ac:dyDescent="0.2">
      <c r="A524" s="2" t="s">
        <v>523</v>
      </c>
      <c r="B524" s="3">
        <v>178310</v>
      </c>
    </row>
    <row r="525" spans="1:2" ht="10.95" customHeight="1" x14ac:dyDescent="0.2">
      <c r="A525" s="2" t="s">
        <v>524</v>
      </c>
      <c r="B525" s="3">
        <v>288710</v>
      </c>
    </row>
    <row r="526" spans="1:2" ht="10.95" customHeight="1" x14ac:dyDescent="0.2">
      <c r="A526" s="2" t="s">
        <v>525</v>
      </c>
      <c r="B526" s="3">
        <v>45410</v>
      </c>
    </row>
    <row r="527" spans="1:2" ht="10.95" customHeight="1" x14ac:dyDescent="0.2">
      <c r="A527" s="2" t="s">
        <v>526</v>
      </c>
      <c r="B527" s="3">
        <v>50425</v>
      </c>
    </row>
    <row r="528" spans="1:2" ht="10.95" customHeight="1" x14ac:dyDescent="0.2">
      <c r="A528" s="2" t="s">
        <v>527</v>
      </c>
      <c r="B528" s="3">
        <v>179990</v>
      </c>
    </row>
    <row r="529" spans="1:2" ht="10.95" customHeight="1" x14ac:dyDescent="0.2">
      <c r="A529" s="2" t="s">
        <v>528</v>
      </c>
      <c r="B529" s="3">
        <v>9400</v>
      </c>
    </row>
    <row r="530" spans="1:2" ht="10.95" customHeight="1" x14ac:dyDescent="0.2">
      <c r="A530" s="2" t="s">
        <v>529</v>
      </c>
      <c r="B530" s="3">
        <v>21200</v>
      </c>
    </row>
    <row r="531" spans="1:2" ht="10.95" customHeight="1" x14ac:dyDescent="0.2">
      <c r="A531" s="2" t="s">
        <v>530</v>
      </c>
      <c r="B531" s="3">
        <v>220050</v>
      </c>
    </row>
    <row r="532" spans="1:2" ht="10.95" customHeight="1" x14ac:dyDescent="0.2">
      <c r="A532" s="2" t="s">
        <v>531</v>
      </c>
      <c r="B532" s="3">
        <v>210080</v>
      </c>
    </row>
    <row r="533" spans="1:2" ht="10.95" customHeight="1" x14ac:dyDescent="0.2">
      <c r="A533" s="2" t="s">
        <v>532</v>
      </c>
      <c r="B533" s="3">
        <v>20250</v>
      </c>
    </row>
    <row r="534" spans="1:2" ht="10.95" customHeight="1" x14ac:dyDescent="0.2">
      <c r="A534" s="2" t="s">
        <v>533</v>
      </c>
      <c r="B534" s="3">
        <v>107880</v>
      </c>
    </row>
    <row r="535" spans="1:2" ht="10.95" customHeight="1" x14ac:dyDescent="0.2">
      <c r="A535" s="2" t="s">
        <v>534</v>
      </c>
      <c r="B535" s="3">
        <v>140175</v>
      </c>
    </row>
    <row r="536" spans="1:2" ht="10.95" customHeight="1" x14ac:dyDescent="0.2">
      <c r="A536" s="2" t="s">
        <v>535</v>
      </c>
      <c r="B536" s="3">
        <v>20000</v>
      </c>
    </row>
    <row r="537" spans="1:2" ht="10.95" customHeight="1" x14ac:dyDescent="0.2">
      <c r="A537" s="2" t="s">
        <v>536</v>
      </c>
      <c r="B537" s="3">
        <v>56740</v>
      </c>
    </row>
    <row r="538" spans="1:2" ht="10.95" customHeight="1" x14ac:dyDescent="0.2">
      <c r="A538" s="2" t="s">
        <v>537</v>
      </c>
      <c r="B538" s="3">
        <v>124150</v>
      </c>
    </row>
    <row r="539" spans="1:2" ht="10.95" customHeight="1" x14ac:dyDescent="0.2">
      <c r="A539" s="2" t="s">
        <v>538</v>
      </c>
      <c r="B539" s="3">
        <v>361751</v>
      </c>
    </row>
    <row r="540" spans="1:2" ht="10.95" customHeight="1" x14ac:dyDescent="0.2">
      <c r="A540" s="2" t="s">
        <v>539</v>
      </c>
      <c r="B540" s="3">
        <v>214200</v>
      </c>
    </row>
    <row r="541" spans="1:2" ht="10.95" customHeight="1" x14ac:dyDescent="0.2">
      <c r="A541" s="2" t="s">
        <v>540</v>
      </c>
      <c r="B541" s="3">
        <v>19850</v>
      </c>
    </row>
    <row r="542" spans="1:2" ht="10.95" customHeight="1" x14ac:dyDescent="0.2">
      <c r="A542" s="2" t="s">
        <v>541</v>
      </c>
      <c r="B542" s="3">
        <v>64000</v>
      </c>
    </row>
    <row r="543" spans="1:2" ht="10.95" customHeight="1" x14ac:dyDescent="0.2">
      <c r="A543" s="2" t="s">
        <v>542</v>
      </c>
      <c r="B543" s="3">
        <v>57530</v>
      </c>
    </row>
    <row r="544" spans="1:2" ht="10.95" customHeight="1" x14ac:dyDescent="0.2">
      <c r="A544" s="2" t="s">
        <v>543</v>
      </c>
      <c r="B544" s="3">
        <v>12460</v>
      </c>
    </row>
    <row r="545" spans="1:2" ht="10.95" customHeight="1" x14ac:dyDescent="0.2">
      <c r="A545" s="2" t="s">
        <v>544</v>
      </c>
      <c r="B545" s="3">
        <v>13050</v>
      </c>
    </row>
    <row r="546" spans="1:2" ht="10.95" customHeight="1" x14ac:dyDescent="0.2">
      <c r="A546" s="2" t="s">
        <v>545</v>
      </c>
      <c r="B546" s="3">
        <v>359060</v>
      </c>
    </row>
    <row r="547" spans="1:2" ht="10.95" customHeight="1" x14ac:dyDescent="0.2">
      <c r="A547" s="2" t="s">
        <v>546</v>
      </c>
      <c r="B547" s="3">
        <v>13800</v>
      </c>
    </row>
    <row r="548" spans="1:2" ht="10.95" customHeight="1" x14ac:dyDescent="0.2">
      <c r="A548" s="2" t="s">
        <v>547</v>
      </c>
      <c r="B548" s="3">
        <v>171680</v>
      </c>
    </row>
    <row r="549" spans="1:2" ht="10.95" customHeight="1" x14ac:dyDescent="0.2">
      <c r="A549" s="2" t="s">
        <v>548</v>
      </c>
      <c r="B549" s="3">
        <v>168420</v>
      </c>
    </row>
    <row r="550" spans="1:2" ht="10.95" customHeight="1" x14ac:dyDescent="0.2">
      <c r="A550" s="2" t="s">
        <v>549</v>
      </c>
      <c r="B550" s="3">
        <v>327610</v>
      </c>
    </row>
    <row r="551" spans="1:2" ht="10.95" customHeight="1" x14ac:dyDescent="0.2">
      <c r="A551" s="2" t="s">
        <v>550</v>
      </c>
      <c r="B551" s="3">
        <v>1178210</v>
      </c>
    </row>
    <row r="552" spans="1:2" ht="10.95" customHeight="1" x14ac:dyDescent="0.2">
      <c r="A552" s="2" t="s">
        <v>551</v>
      </c>
      <c r="B552" s="3">
        <v>85360</v>
      </c>
    </row>
    <row r="553" spans="1:2" ht="10.95" customHeight="1" x14ac:dyDescent="0.2">
      <c r="A553" s="2" t="s">
        <v>552</v>
      </c>
      <c r="B553" s="3">
        <v>15940</v>
      </c>
    </row>
    <row r="554" spans="1:2" ht="10.95" customHeight="1" x14ac:dyDescent="0.2">
      <c r="A554" s="2" t="s">
        <v>553</v>
      </c>
      <c r="B554" s="3">
        <v>82150</v>
      </c>
    </row>
    <row r="555" spans="1:2" ht="10.95" customHeight="1" x14ac:dyDescent="0.2">
      <c r="A555" s="2" t="s">
        <v>554</v>
      </c>
      <c r="B555" s="3">
        <v>93430</v>
      </c>
    </row>
    <row r="556" spans="1:2" ht="10.95" customHeight="1" x14ac:dyDescent="0.2">
      <c r="A556" s="2" t="s">
        <v>555</v>
      </c>
      <c r="B556" s="3">
        <v>183540</v>
      </c>
    </row>
    <row r="557" spans="1:2" ht="10.95" customHeight="1" x14ac:dyDescent="0.2">
      <c r="A557" s="2" t="s">
        <v>556</v>
      </c>
      <c r="B557" s="3">
        <v>474210</v>
      </c>
    </row>
    <row r="558" spans="1:2" ht="10.95" customHeight="1" x14ac:dyDescent="0.2">
      <c r="A558" s="2" t="s">
        <v>557</v>
      </c>
      <c r="B558" s="3">
        <v>13800</v>
      </c>
    </row>
    <row r="559" spans="1:2" ht="10.95" customHeight="1" x14ac:dyDescent="0.2">
      <c r="A559" s="2" t="s">
        <v>558</v>
      </c>
      <c r="B559" s="3">
        <v>42515</v>
      </c>
    </row>
    <row r="560" spans="1:2" ht="10.95" customHeight="1" x14ac:dyDescent="0.2">
      <c r="A560" s="2" t="s">
        <v>559</v>
      </c>
      <c r="B560" s="3">
        <v>23690</v>
      </c>
    </row>
    <row r="561" spans="1:2" ht="10.95" customHeight="1" x14ac:dyDescent="0.2">
      <c r="A561" s="2" t="s">
        <v>560</v>
      </c>
      <c r="B561" s="3">
        <v>69570</v>
      </c>
    </row>
    <row r="562" spans="1:2" ht="10.95" customHeight="1" x14ac:dyDescent="0.2">
      <c r="A562" s="2" t="s">
        <v>561</v>
      </c>
      <c r="B562" s="3">
        <v>241320</v>
      </c>
    </row>
    <row r="563" spans="1:2" ht="10.95" customHeight="1" x14ac:dyDescent="0.2">
      <c r="A563" s="2" t="s">
        <v>562</v>
      </c>
      <c r="B563" s="3">
        <v>40840</v>
      </c>
    </row>
    <row r="564" spans="1:2" ht="10.95" customHeight="1" x14ac:dyDescent="0.2">
      <c r="A564" s="2" t="s">
        <v>563</v>
      </c>
      <c r="B564" s="3">
        <v>85770</v>
      </c>
    </row>
    <row r="565" spans="1:2" ht="10.95" customHeight="1" x14ac:dyDescent="0.2">
      <c r="A565" s="2" t="s">
        <v>564</v>
      </c>
      <c r="B565" s="3">
        <v>19950</v>
      </c>
    </row>
    <row r="566" spans="1:2" ht="10.95" customHeight="1" x14ac:dyDescent="0.2">
      <c r="A566" s="2" t="s">
        <v>565</v>
      </c>
      <c r="B566" s="3">
        <v>42050</v>
      </c>
    </row>
    <row r="567" spans="1:2" ht="10.95" customHeight="1" x14ac:dyDescent="0.2">
      <c r="A567" s="2" t="s">
        <v>566</v>
      </c>
      <c r="B567" s="3">
        <v>24700</v>
      </c>
    </row>
    <row r="568" spans="1:2" ht="10.95" customHeight="1" x14ac:dyDescent="0.2">
      <c r="A568" s="2" t="s">
        <v>567</v>
      </c>
      <c r="B568" s="3">
        <v>613320</v>
      </c>
    </row>
    <row r="569" spans="1:2" ht="10.95" customHeight="1" x14ac:dyDescent="0.2">
      <c r="A569" s="2" t="s">
        <v>568</v>
      </c>
      <c r="B569" s="3">
        <v>18300</v>
      </c>
    </row>
    <row r="570" spans="1:2" ht="10.95" customHeight="1" x14ac:dyDescent="0.2">
      <c r="A570" s="2" t="s">
        <v>569</v>
      </c>
      <c r="B570" s="3">
        <v>311200</v>
      </c>
    </row>
    <row r="571" spans="1:2" ht="10.95" customHeight="1" x14ac:dyDescent="0.2">
      <c r="A571" s="2" t="s">
        <v>570</v>
      </c>
      <c r="B571" s="3">
        <v>80760</v>
      </c>
    </row>
    <row r="572" spans="1:2" ht="10.95" customHeight="1" x14ac:dyDescent="0.2">
      <c r="A572" s="2" t="s">
        <v>571</v>
      </c>
      <c r="B572" s="3">
        <v>119280</v>
      </c>
    </row>
    <row r="573" spans="1:2" ht="10.95" customHeight="1" x14ac:dyDescent="0.2">
      <c r="A573" s="2" t="s">
        <v>572</v>
      </c>
      <c r="B573" s="3">
        <v>114090</v>
      </c>
    </row>
    <row r="574" spans="1:2" ht="10.95" customHeight="1" x14ac:dyDescent="0.2">
      <c r="A574" s="2" t="s">
        <v>573</v>
      </c>
      <c r="B574" s="3">
        <v>49690</v>
      </c>
    </row>
    <row r="575" spans="1:2" ht="10.95" customHeight="1" x14ac:dyDescent="0.2">
      <c r="A575" s="2" t="s">
        <v>574</v>
      </c>
      <c r="B575" s="3">
        <v>100700</v>
      </c>
    </row>
    <row r="576" spans="1:2" ht="10.95" customHeight="1" x14ac:dyDescent="0.2">
      <c r="A576" s="2" t="s">
        <v>575</v>
      </c>
      <c r="B576" s="3">
        <v>19954</v>
      </c>
    </row>
    <row r="577" spans="1:2" ht="10.95" customHeight="1" x14ac:dyDescent="0.2">
      <c r="A577" s="2" t="s">
        <v>576</v>
      </c>
      <c r="B577" s="3">
        <v>160780</v>
      </c>
    </row>
    <row r="578" spans="1:2" ht="10.95" customHeight="1" x14ac:dyDescent="0.2">
      <c r="A578" s="2" t="s">
        <v>577</v>
      </c>
      <c r="B578" s="3">
        <v>221893</v>
      </c>
    </row>
    <row r="579" spans="1:2" ht="10.95" customHeight="1" x14ac:dyDescent="0.2">
      <c r="A579" s="2" t="s">
        <v>578</v>
      </c>
      <c r="B579" s="3">
        <v>42680</v>
      </c>
    </row>
    <row r="580" spans="1:2" ht="10.95" customHeight="1" x14ac:dyDescent="0.2">
      <c r="A580" s="2" t="s">
        <v>579</v>
      </c>
      <c r="B580" s="3">
        <v>213786</v>
      </c>
    </row>
    <row r="581" spans="1:2" ht="10.95" customHeight="1" x14ac:dyDescent="0.2">
      <c r="A581" s="2" t="s">
        <v>580</v>
      </c>
      <c r="B581" s="3">
        <v>29800</v>
      </c>
    </row>
    <row r="582" spans="1:2" ht="10.95" customHeight="1" x14ac:dyDescent="0.2">
      <c r="A582" s="2" t="s">
        <v>581</v>
      </c>
      <c r="B582" s="3">
        <v>106290</v>
      </c>
    </row>
    <row r="583" spans="1:2" ht="10.95" customHeight="1" x14ac:dyDescent="0.2">
      <c r="A583" s="2" t="s">
        <v>582</v>
      </c>
      <c r="B583" s="3">
        <v>112980</v>
      </c>
    </row>
    <row r="584" spans="1:2" ht="10.95" customHeight="1" x14ac:dyDescent="0.2">
      <c r="A584" s="2" t="s">
        <v>583</v>
      </c>
      <c r="B584" s="3">
        <v>18924</v>
      </c>
    </row>
    <row r="585" spans="1:2" ht="10.95" customHeight="1" x14ac:dyDescent="0.2">
      <c r="A585" s="2" t="s">
        <v>584</v>
      </c>
      <c r="B585" s="3">
        <v>262650</v>
      </c>
    </row>
    <row r="586" spans="1:2" ht="10.95" customHeight="1" x14ac:dyDescent="0.2">
      <c r="A586" s="2" t="s">
        <v>585</v>
      </c>
      <c r="B586" s="3">
        <v>181321</v>
      </c>
    </row>
    <row r="587" spans="1:2" ht="10.95" customHeight="1" x14ac:dyDescent="0.2">
      <c r="A587" s="2" t="s">
        <v>586</v>
      </c>
      <c r="B587" s="3">
        <v>601383</v>
      </c>
    </row>
    <row r="588" spans="1:2" ht="10.95" customHeight="1" x14ac:dyDescent="0.2">
      <c r="A588" s="2" t="s">
        <v>587</v>
      </c>
      <c r="B588" s="3">
        <v>64900</v>
      </c>
    </row>
    <row r="589" spans="1:2" ht="10.95" customHeight="1" x14ac:dyDescent="0.2">
      <c r="A589" s="2" t="s">
        <v>588</v>
      </c>
      <c r="B589" s="3">
        <v>35720</v>
      </c>
    </row>
    <row r="590" spans="1:2" ht="10.95" customHeight="1" x14ac:dyDescent="0.2">
      <c r="A590" s="2" t="s">
        <v>589</v>
      </c>
      <c r="B590" s="3">
        <v>446405</v>
      </c>
    </row>
    <row r="591" spans="1:2" ht="10.95" customHeight="1" x14ac:dyDescent="0.2">
      <c r="A591" s="2" t="s">
        <v>590</v>
      </c>
      <c r="B591" s="3">
        <v>125910</v>
      </c>
    </row>
    <row r="592" spans="1:2" ht="10.95" customHeight="1" x14ac:dyDescent="0.2">
      <c r="A592" s="2" t="s">
        <v>591</v>
      </c>
      <c r="B592" s="3">
        <v>45340</v>
      </c>
    </row>
    <row r="593" spans="1:2" ht="10.95" customHeight="1" x14ac:dyDescent="0.2">
      <c r="A593" s="2" t="s">
        <v>592</v>
      </c>
      <c r="B593" s="3">
        <v>222663</v>
      </c>
    </row>
    <row r="594" spans="1:2" ht="10.95" customHeight="1" x14ac:dyDescent="0.2">
      <c r="A594" s="2" t="s">
        <v>593</v>
      </c>
      <c r="B594" s="3">
        <v>168390</v>
      </c>
    </row>
    <row r="595" spans="1:2" ht="10.95" customHeight="1" x14ac:dyDescent="0.2">
      <c r="A595" s="2" t="s">
        <v>594</v>
      </c>
      <c r="B595" s="3">
        <v>411440</v>
      </c>
    </row>
    <row r="596" spans="1:2" ht="10.95" customHeight="1" x14ac:dyDescent="0.2">
      <c r="A596" s="2" t="s">
        <v>595</v>
      </c>
      <c r="B596" s="3">
        <v>301260</v>
      </c>
    </row>
    <row r="597" spans="1:2" ht="10.95" customHeight="1" x14ac:dyDescent="0.2">
      <c r="A597" s="2" t="s">
        <v>596</v>
      </c>
      <c r="B597" s="3">
        <v>25660</v>
      </c>
    </row>
    <row r="598" spans="1:2" ht="10.95" customHeight="1" x14ac:dyDescent="0.2">
      <c r="A598" s="2" t="s">
        <v>597</v>
      </c>
      <c r="B598" s="3">
        <v>28820</v>
      </c>
    </row>
    <row r="599" spans="1:2" ht="10.95" customHeight="1" x14ac:dyDescent="0.2">
      <c r="A599" s="2" t="s">
        <v>598</v>
      </c>
      <c r="B599" s="3">
        <v>2939655</v>
      </c>
    </row>
    <row r="600" spans="1:2" ht="10.95" customHeight="1" x14ac:dyDescent="0.2">
      <c r="A600" s="2" t="s">
        <v>599</v>
      </c>
      <c r="B600" s="3">
        <v>36010</v>
      </c>
    </row>
    <row r="601" spans="1:2" ht="10.95" customHeight="1" x14ac:dyDescent="0.2">
      <c r="A601" s="2" t="s">
        <v>600</v>
      </c>
      <c r="B601" s="3">
        <v>170850</v>
      </c>
    </row>
    <row r="602" spans="1:2" ht="10.95" customHeight="1" x14ac:dyDescent="0.2">
      <c r="A602" s="2" t="s">
        <v>601</v>
      </c>
      <c r="B602" s="3">
        <v>193855</v>
      </c>
    </row>
    <row r="603" spans="1:2" ht="10.95" customHeight="1" x14ac:dyDescent="0.2">
      <c r="A603" s="2" t="s">
        <v>602</v>
      </c>
      <c r="B603" s="3">
        <v>90280</v>
      </c>
    </row>
    <row r="604" spans="1:2" ht="10.95" customHeight="1" x14ac:dyDescent="0.2">
      <c r="A604" s="2" t="s">
        <v>603</v>
      </c>
      <c r="B604" s="3">
        <v>88750</v>
      </c>
    </row>
    <row r="605" spans="1:2" ht="10.95" customHeight="1" x14ac:dyDescent="0.2">
      <c r="A605" s="2" t="s">
        <v>604</v>
      </c>
      <c r="B605" s="3">
        <v>77620</v>
      </c>
    </row>
    <row r="606" spans="1:2" ht="10.95" customHeight="1" x14ac:dyDescent="0.2">
      <c r="A606" s="2" t="s">
        <v>605</v>
      </c>
      <c r="B606" s="3">
        <v>17864</v>
      </c>
    </row>
    <row r="607" spans="1:2" ht="10.95" customHeight="1" x14ac:dyDescent="0.2">
      <c r="A607" s="2" t="s">
        <v>606</v>
      </c>
      <c r="B607" s="3">
        <v>920065</v>
      </c>
    </row>
    <row r="608" spans="1:2" ht="10.95" customHeight="1" x14ac:dyDescent="0.2">
      <c r="A608" s="2" t="s">
        <v>607</v>
      </c>
      <c r="B608" s="3">
        <v>82880</v>
      </c>
    </row>
    <row r="609" spans="1:2" ht="10.95" customHeight="1" x14ac:dyDescent="0.2">
      <c r="A609" s="2" t="s">
        <v>608</v>
      </c>
      <c r="B609" s="3">
        <v>187820</v>
      </c>
    </row>
    <row r="610" spans="1:2" ht="10.95" customHeight="1" x14ac:dyDescent="0.2">
      <c r="A610" s="2" t="s">
        <v>609</v>
      </c>
      <c r="B610" s="3">
        <v>1705522</v>
      </c>
    </row>
    <row r="611" spans="1:2" ht="10.95" customHeight="1" x14ac:dyDescent="0.2">
      <c r="A611" s="2" t="s">
        <v>610</v>
      </c>
      <c r="B611" s="3">
        <v>160660</v>
      </c>
    </row>
    <row r="612" spans="1:2" ht="10.95" customHeight="1" x14ac:dyDescent="0.2">
      <c r="A612" s="2" t="s">
        <v>611</v>
      </c>
      <c r="B612" s="3">
        <v>44460</v>
      </c>
    </row>
    <row r="613" spans="1:2" ht="10.95" customHeight="1" x14ac:dyDescent="0.2">
      <c r="A613" s="2" t="s">
        <v>612</v>
      </c>
      <c r="B613" s="3">
        <v>146233</v>
      </c>
    </row>
    <row r="614" spans="1:2" ht="10.95" customHeight="1" x14ac:dyDescent="0.2">
      <c r="A614" s="2" t="s">
        <v>613</v>
      </c>
      <c r="B614" s="3">
        <v>22580</v>
      </c>
    </row>
    <row r="615" spans="1:2" ht="10.95" customHeight="1" x14ac:dyDescent="0.2">
      <c r="A615" s="2" t="s">
        <v>614</v>
      </c>
      <c r="B615" s="3">
        <v>10400</v>
      </c>
    </row>
    <row r="616" spans="1:2" ht="10.95" customHeight="1" x14ac:dyDescent="0.2">
      <c r="A616" s="2" t="s">
        <v>615</v>
      </c>
      <c r="B616" s="3">
        <v>12350</v>
      </c>
    </row>
    <row r="617" spans="1:2" ht="10.95" customHeight="1" x14ac:dyDescent="0.2">
      <c r="A617" s="2" t="s">
        <v>616</v>
      </c>
      <c r="B617" s="3">
        <v>10800</v>
      </c>
    </row>
    <row r="618" spans="1:2" ht="10.95" customHeight="1" x14ac:dyDescent="0.2">
      <c r="A618" s="2" t="s">
        <v>617</v>
      </c>
      <c r="B618" s="3">
        <v>43520</v>
      </c>
    </row>
    <row r="619" spans="1:2" ht="10.95" customHeight="1" x14ac:dyDescent="0.2">
      <c r="A619" s="2" t="s">
        <v>618</v>
      </c>
      <c r="B619" s="3">
        <v>209011</v>
      </c>
    </row>
    <row r="620" spans="1:2" ht="10.95" customHeight="1" x14ac:dyDescent="0.2">
      <c r="A620" s="2" t="s">
        <v>619</v>
      </c>
      <c r="B620" s="3">
        <v>148930</v>
      </c>
    </row>
    <row r="621" spans="1:2" ht="10.95" customHeight="1" x14ac:dyDescent="0.2">
      <c r="A621" s="2" t="s">
        <v>620</v>
      </c>
      <c r="B621" s="3">
        <v>67800</v>
      </c>
    </row>
    <row r="622" spans="1:2" ht="10.95" customHeight="1" x14ac:dyDescent="0.2">
      <c r="A622" s="2" t="s">
        <v>621</v>
      </c>
      <c r="B622" s="3">
        <v>244100</v>
      </c>
    </row>
    <row r="623" spans="1:2" ht="10.95" customHeight="1" x14ac:dyDescent="0.2">
      <c r="A623" s="2" t="s">
        <v>622</v>
      </c>
      <c r="B623" s="3">
        <v>24040</v>
      </c>
    </row>
    <row r="624" spans="1:2" ht="10.95" customHeight="1" x14ac:dyDescent="0.2">
      <c r="A624" s="2" t="s">
        <v>623</v>
      </c>
      <c r="B624" s="3">
        <v>18000</v>
      </c>
    </row>
    <row r="625" spans="1:2" ht="10.95" customHeight="1" x14ac:dyDescent="0.2">
      <c r="A625" s="2" t="s">
        <v>624</v>
      </c>
      <c r="B625" s="3">
        <v>131755</v>
      </c>
    </row>
    <row r="626" spans="1:2" ht="10.95" customHeight="1" x14ac:dyDescent="0.2">
      <c r="A626" s="2" t="s">
        <v>625</v>
      </c>
      <c r="B626" s="3">
        <v>94547</v>
      </c>
    </row>
    <row r="627" spans="1:2" ht="10.95" customHeight="1" x14ac:dyDescent="0.2">
      <c r="A627" s="2" t="s">
        <v>626</v>
      </c>
      <c r="B627" s="3">
        <v>27910</v>
      </c>
    </row>
    <row r="628" spans="1:2" ht="10.95" customHeight="1" x14ac:dyDescent="0.2">
      <c r="A628" s="2" t="s">
        <v>627</v>
      </c>
      <c r="B628" s="3">
        <v>36430</v>
      </c>
    </row>
    <row r="629" spans="1:2" ht="10.95" customHeight="1" x14ac:dyDescent="0.2">
      <c r="A629" s="2" t="s">
        <v>628</v>
      </c>
      <c r="B629" s="3">
        <v>49750</v>
      </c>
    </row>
    <row r="630" spans="1:2" ht="10.95" customHeight="1" x14ac:dyDescent="0.2">
      <c r="A630" s="2" t="s">
        <v>628</v>
      </c>
      <c r="B630" s="3">
        <v>30000</v>
      </c>
    </row>
    <row r="631" spans="1:2" ht="10.95" customHeight="1" x14ac:dyDescent="0.2">
      <c r="A631" s="2" t="s">
        <v>629</v>
      </c>
      <c r="B631" s="3">
        <v>67790</v>
      </c>
    </row>
    <row r="632" spans="1:2" ht="10.95" customHeight="1" x14ac:dyDescent="0.2">
      <c r="A632" s="2" t="s">
        <v>630</v>
      </c>
      <c r="B632" s="3">
        <v>28060</v>
      </c>
    </row>
    <row r="633" spans="1:2" ht="10.95" customHeight="1" x14ac:dyDescent="0.2">
      <c r="A633" s="2" t="s">
        <v>631</v>
      </c>
      <c r="B633" s="3">
        <v>221640</v>
      </c>
    </row>
    <row r="634" spans="1:2" ht="10.95" customHeight="1" x14ac:dyDescent="0.2">
      <c r="A634" s="2" t="s">
        <v>632</v>
      </c>
      <c r="B634" s="3">
        <v>36720</v>
      </c>
    </row>
    <row r="635" spans="1:2" ht="10.95" customHeight="1" x14ac:dyDescent="0.2">
      <c r="A635" s="2" t="s">
        <v>633</v>
      </c>
      <c r="B635" s="3">
        <v>62760</v>
      </c>
    </row>
    <row r="636" spans="1:2" ht="10.95" customHeight="1" x14ac:dyDescent="0.2">
      <c r="A636" s="2" t="s">
        <v>634</v>
      </c>
      <c r="B636" s="3">
        <v>176010</v>
      </c>
    </row>
    <row r="637" spans="1:2" ht="10.95" customHeight="1" x14ac:dyDescent="0.2">
      <c r="A637" s="2" t="s">
        <v>635</v>
      </c>
      <c r="B637" s="3">
        <v>40760</v>
      </c>
    </row>
    <row r="638" spans="1:2" ht="10.95" customHeight="1" x14ac:dyDescent="0.2">
      <c r="A638" s="2" t="s">
        <v>636</v>
      </c>
      <c r="B638" s="3">
        <v>26620</v>
      </c>
    </row>
    <row r="639" spans="1:2" ht="10.95" customHeight="1" x14ac:dyDescent="0.2">
      <c r="A639" s="2" t="s">
        <v>637</v>
      </c>
      <c r="B639" s="3">
        <v>216060</v>
      </c>
    </row>
    <row r="640" spans="1:2" ht="10.95" customHeight="1" x14ac:dyDescent="0.2">
      <c r="A640" s="2" t="s">
        <v>638</v>
      </c>
      <c r="B640" s="3">
        <v>23350</v>
      </c>
    </row>
    <row r="641" spans="1:2" ht="10.95" customHeight="1" x14ac:dyDescent="0.2">
      <c r="A641" s="2" t="s">
        <v>639</v>
      </c>
      <c r="B641" s="3">
        <v>27030</v>
      </c>
    </row>
    <row r="642" spans="1:2" ht="10.95" customHeight="1" x14ac:dyDescent="0.2">
      <c r="A642" s="2" t="s">
        <v>640</v>
      </c>
      <c r="B642" s="3">
        <v>273290</v>
      </c>
    </row>
    <row r="643" spans="1:2" ht="10.95" customHeight="1" x14ac:dyDescent="0.2">
      <c r="A643" s="2" t="s">
        <v>641</v>
      </c>
      <c r="B643" s="3">
        <v>320933</v>
      </c>
    </row>
    <row r="644" spans="1:2" ht="10.95" customHeight="1" x14ac:dyDescent="0.2">
      <c r="A644" s="2" t="s">
        <v>642</v>
      </c>
      <c r="B644" s="3">
        <v>26530</v>
      </c>
    </row>
    <row r="645" spans="1:2" ht="10.95" customHeight="1" x14ac:dyDescent="0.2">
      <c r="A645" s="2" t="s">
        <v>643</v>
      </c>
      <c r="B645" s="3">
        <v>98746</v>
      </c>
    </row>
    <row r="646" spans="1:2" ht="10.95" customHeight="1" x14ac:dyDescent="0.2">
      <c r="A646" s="2" t="s">
        <v>644</v>
      </c>
      <c r="B646" s="3">
        <v>18190</v>
      </c>
    </row>
    <row r="647" spans="1:2" ht="10.95" customHeight="1" x14ac:dyDescent="0.2">
      <c r="A647" s="2" t="s">
        <v>645</v>
      </c>
      <c r="B647" s="3">
        <v>286573</v>
      </c>
    </row>
    <row r="648" spans="1:2" ht="10.95" customHeight="1" x14ac:dyDescent="0.2">
      <c r="A648" s="2" t="s">
        <v>646</v>
      </c>
      <c r="B648" s="3">
        <v>136783</v>
      </c>
    </row>
    <row r="649" spans="1:2" ht="10.95" customHeight="1" x14ac:dyDescent="0.2">
      <c r="A649" s="2" t="s">
        <v>647</v>
      </c>
      <c r="B649" s="3">
        <v>970418</v>
      </c>
    </row>
    <row r="650" spans="1:2" ht="10.95" customHeight="1" x14ac:dyDescent="0.2">
      <c r="A650" s="2" t="s">
        <v>648</v>
      </c>
      <c r="B650" s="3">
        <v>34600</v>
      </c>
    </row>
    <row r="651" spans="1:2" ht="10.95" customHeight="1" x14ac:dyDescent="0.2">
      <c r="A651" s="2" t="s">
        <v>649</v>
      </c>
      <c r="B651" s="3">
        <v>380965</v>
      </c>
    </row>
    <row r="652" spans="1:2" ht="10.95" customHeight="1" x14ac:dyDescent="0.2">
      <c r="A652" s="2" t="s">
        <v>650</v>
      </c>
      <c r="B652" s="3">
        <v>126500</v>
      </c>
    </row>
    <row r="653" spans="1:2" ht="10.95" customHeight="1" x14ac:dyDescent="0.2">
      <c r="A653" s="2" t="s">
        <v>651</v>
      </c>
      <c r="B653" s="3">
        <v>46640</v>
      </c>
    </row>
    <row r="654" spans="1:2" ht="10.95" customHeight="1" x14ac:dyDescent="0.2">
      <c r="A654" s="2" t="s">
        <v>652</v>
      </c>
      <c r="B654" s="3">
        <v>13860</v>
      </c>
    </row>
    <row r="655" spans="1:2" ht="10.95" customHeight="1" x14ac:dyDescent="0.2">
      <c r="A655" s="2" t="s">
        <v>653</v>
      </c>
      <c r="B655" s="3">
        <v>263489</v>
      </c>
    </row>
    <row r="656" spans="1:2" ht="10.95" customHeight="1" x14ac:dyDescent="0.2">
      <c r="A656" s="2" t="s">
        <v>654</v>
      </c>
      <c r="B656" s="3">
        <v>15750</v>
      </c>
    </row>
    <row r="657" spans="1:2" ht="10.95" customHeight="1" x14ac:dyDescent="0.2">
      <c r="A657" s="2" t="s">
        <v>655</v>
      </c>
      <c r="B657" s="3">
        <v>322995</v>
      </c>
    </row>
    <row r="658" spans="1:2" ht="10.95" customHeight="1" x14ac:dyDescent="0.2">
      <c r="A658" s="2" t="s">
        <v>656</v>
      </c>
      <c r="B658" s="3">
        <v>21400</v>
      </c>
    </row>
    <row r="659" spans="1:2" ht="10.95" customHeight="1" x14ac:dyDescent="0.2">
      <c r="A659" s="2" t="s">
        <v>657</v>
      </c>
      <c r="B659" s="3">
        <v>26630</v>
      </c>
    </row>
    <row r="660" spans="1:2" ht="10.95" customHeight="1" x14ac:dyDescent="0.2">
      <c r="A660" s="2" t="s">
        <v>658</v>
      </c>
      <c r="B660" s="3">
        <v>407097</v>
      </c>
    </row>
    <row r="661" spans="1:2" ht="22.95" customHeight="1" x14ac:dyDescent="0.2">
      <c r="A661" s="2" t="s">
        <v>659</v>
      </c>
      <c r="B661" s="3">
        <v>4000</v>
      </c>
    </row>
    <row r="662" spans="1:2" ht="10.95" customHeight="1" x14ac:dyDescent="0.2">
      <c r="A662" s="2" t="s">
        <v>660</v>
      </c>
      <c r="B662" s="3">
        <v>786450</v>
      </c>
    </row>
    <row r="663" spans="1:2" ht="10.95" customHeight="1" x14ac:dyDescent="0.2">
      <c r="A663" s="2" t="s">
        <v>661</v>
      </c>
      <c r="B663" s="3">
        <v>57860</v>
      </c>
    </row>
    <row r="664" spans="1:2" ht="10.95" customHeight="1" x14ac:dyDescent="0.2">
      <c r="A664" s="2" t="s">
        <v>662</v>
      </c>
      <c r="B664" s="3">
        <v>11450</v>
      </c>
    </row>
    <row r="665" spans="1:2" ht="10.95" customHeight="1" x14ac:dyDescent="0.2">
      <c r="A665" s="2" t="s">
        <v>663</v>
      </c>
      <c r="B665" s="3">
        <v>132867</v>
      </c>
    </row>
    <row r="666" spans="1:2" ht="10.95" customHeight="1" x14ac:dyDescent="0.2">
      <c r="A666" s="2" t="s">
        <v>664</v>
      </c>
      <c r="B666" s="3">
        <v>34506</v>
      </c>
    </row>
    <row r="667" spans="1:2" ht="10.95" customHeight="1" x14ac:dyDescent="0.2">
      <c r="A667" s="2" t="s">
        <v>665</v>
      </c>
      <c r="B667" s="3">
        <v>340320</v>
      </c>
    </row>
    <row r="668" spans="1:2" ht="10.95" customHeight="1" x14ac:dyDescent="0.2">
      <c r="A668" s="2" t="s">
        <v>666</v>
      </c>
      <c r="B668" s="3">
        <v>165780</v>
      </c>
    </row>
    <row r="669" spans="1:2" ht="10.95" customHeight="1" x14ac:dyDescent="0.2">
      <c r="A669" s="2" t="s">
        <v>667</v>
      </c>
      <c r="B669" s="3">
        <v>109215</v>
      </c>
    </row>
    <row r="670" spans="1:2" ht="10.95" customHeight="1" x14ac:dyDescent="0.2">
      <c r="A670" s="2" t="s">
        <v>668</v>
      </c>
      <c r="B670" s="3">
        <v>114840</v>
      </c>
    </row>
    <row r="671" spans="1:2" ht="10.95" customHeight="1" x14ac:dyDescent="0.2">
      <c r="A671" s="2" t="s">
        <v>669</v>
      </c>
      <c r="B671" s="3">
        <v>85580</v>
      </c>
    </row>
    <row r="672" spans="1:2" ht="10.95" customHeight="1" x14ac:dyDescent="0.2">
      <c r="A672" s="2" t="s">
        <v>670</v>
      </c>
      <c r="B672" s="3">
        <v>314510</v>
      </c>
    </row>
    <row r="673" spans="1:2" ht="10.95" customHeight="1" x14ac:dyDescent="0.2">
      <c r="A673" s="2" t="s">
        <v>671</v>
      </c>
      <c r="B673" s="3">
        <v>7730</v>
      </c>
    </row>
    <row r="674" spans="1:2" ht="10.95" customHeight="1" x14ac:dyDescent="0.2">
      <c r="A674" s="2" t="s">
        <v>672</v>
      </c>
      <c r="B674" s="3">
        <v>253585</v>
      </c>
    </row>
    <row r="675" spans="1:2" ht="10.95" customHeight="1" x14ac:dyDescent="0.2">
      <c r="A675" s="2" t="s">
        <v>673</v>
      </c>
      <c r="B675" s="3">
        <v>381381</v>
      </c>
    </row>
    <row r="676" spans="1:2" ht="10.95" customHeight="1" x14ac:dyDescent="0.2">
      <c r="A676" s="2" t="s">
        <v>674</v>
      </c>
      <c r="B676" s="3">
        <v>43610</v>
      </c>
    </row>
    <row r="677" spans="1:2" ht="10.95" customHeight="1" x14ac:dyDescent="0.2">
      <c r="A677" s="2" t="s">
        <v>675</v>
      </c>
      <c r="B677" s="3">
        <v>41240</v>
      </c>
    </row>
    <row r="678" spans="1:2" ht="10.95" customHeight="1" x14ac:dyDescent="0.2">
      <c r="A678" s="2" t="s">
        <v>676</v>
      </c>
      <c r="B678" s="3">
        <v>221536</v>
      </c>
    </row>
    <row r="679" spans="1:2" ht="10.95" customHeight="1" x14ac:dyDescent="0.2">
      <c r="A679" s="2" t="s">
        <v>677</v>
      </c>
      <c r="B679" s="3">
        <v>371320</v>
      </c>
    </row>
    <row r="680" spans="1:2" ht="10.95" customHeight="1" x14ac:dyDescent="0.2">
      <c r="A680" s="2" t="s">
        <v>678</v>
      </c>
      <c r="B680" s="3">
        <v>78440</v>
      </c>
    </row>
    <row r="681" spans="1:2" ht="10.95" customHeight="1" x14ac:dyDescent="0.2">
      <c r="A681" s="2" t="s">
        <v>679</v>
      </c>
      <c r="B681" s="3">
        <v>391320</v>
      </c>
    </row>
    <row r="682" spans="1:2" ht="10.95" customHeight="1" x14ac:dyDescent="0.2">
      <c r="A682" s="2" t="s">
        <v>680</v>
      </c>
      <c r="B682" s="3">
        <v>2050</v>
      </c>
    </row>
    <row r="683" spans="1:2" ht="10.95" customHeight="1" x14ac:dyDescent="0.2">
      <c r="A683" s="2" t="s">
        <v>681</v>
      </c>
      <c r="B683" s="3">
        <v>218320</v>
      </c>
    </row>
    <row r="684" spans="1:2" ht="10.95" customHeight="1" x14ac:dyDescent="0.2">
      <c r="A684" s="2" t="s">
        <v>682</v>
      </c>
      <c r="B684" s="3">
        <v>95750</v>
      </c>
    </row>
    <row r="685" spans="1:2" ht="10.95" customHeight="1" x14ac:dyDescent="0.2">
      <c r="A685" s="2" t="s">
        <v>683</v>
      </c>
      <c r="B685" s="3">
        <v>49950</v>
      </c>
    </row>
    <row r="686" spans="1:2" ht="10.95" customHeight="1" x14ac:dyDescent="0.2">
      <c r="A686" s="2" t="s">
        <v>684</v>
      </c>
      <c r="B686" s="3">
        <v>77310</v>
      </c>
    </row>
    <row r="687" spans="1:2" ht="10.95" customHeight="1" x14ac:dyDescent="0.2">
      <c r="A687" s="2" t="s">
        <v>685</v>
      </c>
      <c r="B687" s="3">
        <v>41450</v>
      </c>
    </row>
    <row r="688" spans="1:2" ht="10.95" customHeight="1" x14ac:dyDescent="0.2">
      <c r="A688" s="2" t="s">
        <v>686</v>
      </c>
      <c r="B688" s="3">
        <v>23950</v>
      </c>
    </row>
    <row r="689" spans="1:2" ht="10.95" customHeight="1" x14ac:dyDescent="0.2">
      <c r="A689" s="2" t="s">
        <v>687</v>
      </c>
      <c r="B689" s="3">
        <v>191210</v>
      </c>
    </row>
    <row r="690" spans="1:2" ht="10.95" customHeight="1" x14ac:dyDescent="0.2">
      <c r="A690" s="2" t="s">
        <v>688</v>
      </c>
      <c r="B690" s="3">
        <v>35080</v>
      </c>
    </row>
    <row r="691" spans="1:2" ht="10.95" customHeight="1" x14ac:dyDescent="0.2">
      <c r="A691" s="2" t="s">
        <v>689</v>
      </c>
      <c r="B691" s="3">
        <v>42890</v>
      </c>
    </row>
    <row r="692" spans="1:2" ht="10.95" customHeight="1" x14ac:dyDescent="0.2">
      <c r="A692" s="2" t="s">
        <v>690</v>
      </c>
      <c r="B692" s="3">
        <v>103310</v>
      </c>
    </row>
    <row r="693" spans="1:2" ht="10.95" customHeight="1" x14ac:dyDescent="0.2">
      <c r="A693" s="2" t="s">
        <v>691</v>
      </c>
      <c r="B693" s="3">
        <v>186525</v>
      </c>
    </row>
    <row r="694" spans="1:2" ht="10.95" customHeight="1" x14ac:dyDescent="0.2">
      <c r="A694" s="2" t="s">
        <v>692</v>
      </c>
      <c r="B694" s="3">
        <v>4000</v>
      </c>
    </row>
    <row r="695" spans="1:2" ht="10.95" customHeight="1" x14ac:dyDescent="0.2">
      <c r="A695" s="2" t="s">
        <v>693</v>
      </c>
      <c r="B695" s="3">
        <v>208905</v>
      </c>
    </row>
    <row r="696" spans="1:2" ht="10.95" customHeight="1" x14ac:dyDescent="0.2">
      <c r="A696" s="2" t="s">
        <v>694</v>
      </c>
      <c r="B696" s="3">
        <v>195550</v>
      </c>
    </row>
    <row r="697" spans="1:2" ht="10.95" customHeight="1" x14ac:dyDescent="0.2">
      <c r="A697" s="2" t="s">
        <v>695</v>
      </c>
      <c r="B697" s="3">
        <v>141480</v>
      </c>
    </row>
    <row r="698" spans="1:2" ht="10.95" customHeight="1" x14ac:dyDescent="0.2">
      <c r="A698" s="2" t="s">
        <v>696</v>
      </c>
      <c r="B698" s="3">
        <v>317695</v>
      </c>
    </row>
    <row r="699" spans="1:2" ht="10.95" customHeight="1" x14ac:dyDescent="0.2">
      <c r="A699" s="2" t="s">
        <v>697</v>
      </c>
      <c r="B699" s="3">
        <v>1980590</v>
      </c>
    </row>
    <row r="700" spans="1:2" ht="10.95" customHeight="1" x14ac:dyDescent="0.2">
      <c r="A700" s="2" t="s">
        <v>698</v>
      </c>
      <c r="B700" s="3">
        <v>899610</v>
      </c>
    </row>
    <row r="701" spans="1:2" ht="10.95" customHeight="1" x14ac:dyDescent="0.2">
      <c r="A701" s="2" t="s">
        <v>699</v>
      </c>
      <c r="B701" s="3">
        <v>538686</v>
      </c>
    </row>
    <row r="702" spans="1:2" ht="10.95" customHeight="1" x14ac:dyDescent="0.2">
      <c r="A702" s="2" t="s">
        <v>700</v>
      </c>
      <c r="B702" s="3">
        <v>64150</v>
      </c>
    </row>
    <row r="703" spans="1:2" ht="10.95" customHeight="1" x14ac:dyDescent="0.2">
      <c r="A703" s="2" t="s">
        <v>701</v>
      </c>
      <c r="B703" s="3">
        <v>56980</v>
      </c>
    </row>
    <row r="704" spans="1:2" ht="10.95" customHeight="1" x14ac:dyDescent="0.2">
      <c r="A704" s="2" t="s">
        <v>702</v>
      </c>
      <c r="B704" s="3">
        <v>27470</v>
      </c>
    </row>
    <row r="705" spans="1:2" ht="10.95" customHeight="1" x14ac:dyDescent="0.2">
      <c r="A705" s="2" t="s">
        <v>703</v>
      </c>
      <c r="B705" s="3">
        <v>45887</v>
      </c>
    </row>
    <row r="706" spans="1:2" ht="10.95" customHeight="1" x14ac:dyDescent="0.2">
      <c r="A706" s="2" t="s">
        <v>704</v>
      </c>
      <c r="B706" s="3">
        <v>58660</v>
      </c>
    </row>
    <row r="707" spans="1:2" ht="10.95" customHeight="1" x14ac:dyDescent="0.2">
      <c r="A707" s="2" t="s">
        <v>705</v>
      </c>
      <c r="B707" s="3">
        <v>150675</v>
      </c>
    </row>
    <row r="708" spans="1:2" ht="10.95" customHeight="1" x14ac:dyDescent="0.2">
      <c r="A708" s="2" t="s">
        <v>706</v>
      </c>
      <c r="B708" s="3">
        <v>25322</v>
      </c>
    </row>
    <row r="709" spans="1:2" ht="10.95" customHeight="1" x14ac:dyDescent="0.2">
      <c r="A709" s="2" t="s">
        <v>707</v>
      </c>
      <c r="B709" s="3">
        <v>142450</v>
      </c>
    </row>
    <row r="710" spans="1:2" ht="10.95" customHeight="1" x14ac:dyDescent="0.2">
      <c r="A710" s="2" t="s">
        <v>708</v>
      </c>
      <c r="B710" s="3">
        <v>324240</v>
      </c>
    </row>
    <row r="711" spans="1:2" ht="10.95" customHeight="1" x14ac:dyDescent="0.2">
      <c r="A711" s="2" t="s">
        <v>709</v>
      </c>
      <c r="B711" s="3">
        <v>55715</v>
      </c>
    </row>
    <row r="712" spans="1:2" ht="10.95" customHeight="1" x14ac:dyDescent="0.2">
      <c r="A712" s="2" t="s">
        <v>710</v>
      </c>
      <c r="B712" s="3">
        <v>70750</v>
      </c>
    </row>
    <row r="713" spans="1:2" ht="10.95" customHeight="1" x14ac:dyDescent="0.2">
      <c r="A713" s="2" t="s">
        <v>711</v>
      </c>
      <c r="B713" s="3">
        <v>20400</v>
      </c>
    </row>
    <row r="714" spans="1:2" ht="10.95" customHeight="1" x14ac:dyDescent="0.2">
      <c r="A714" s="2" t="s">
        <v>712</v>
      </c>
      <c r="B714" s="3">
        <v>55690</v>
      </c>
    </row>
    <row r="715" spans="1:2" ht="10.95" customHeight="1" x14ac:dyDescent="0.2">
      <c r="A715" s="2" t="s">
        <v>713</v>
      </c>
      <c r="B715" s="3">
        <v>13980</v>
      </c>
    </row>
    <row r="716" spans="1:2" ht="10.95" customHeight="1" x14ac:dyDescent="0.2">
      <c r="A716" s="2" t="s">
        <v>714</v>
      </c>
      <c r="B716" s="3">
        <v>66060</v>
      </c>
    </row>
    <row r="717" spans="1:2" ht="10.95" customHeight="1" x14ac:dyDescent="0.2">
      <c r="A717" s="2" t="s">
        <v>715</v>
      </c>
      <c r="B717" s="3">
        <v>1002840</v>
      </c>
    </row>
    <row r="718" spans="1:2" ht="10.95" customHeight="1" x14ac:dyDescent="0.2">
      <c r="A718" s="2" t="s">
        <v>716</v>
      </c>
      <c r="B718" s="3">
        <v>52250</v>
      </c>
    </row>
    <row r="719" spans="1:2" ht="10.95" customHeight="1" x14ac:dyDescent="0.2">
      <c r="A719" s="2" t="s">
        <v>717</v>
      </c>
      <c r="B719" s="3">
        <v>16440</v>
      </c>
    </row>
    <row r="720" spans="1:2" ht="10.95" customHeight="1" x14ac:dyDescent="0.2">
      <c r="A720" s="2" t="s">
        <v>718</v>
      </c>
      <c r="B720" s="3">
        <v>10000</v>
      </c>
    </row>
    <row r="721" spans="1:2" ht="10.95" customHeight="1" x14ac:dyDescent="0.2">
      <c r="A721" s="2" t="s">
        <v>719</v>
      </c>
      <c r="B721" s="3">
        <v>2922883</v>
      </c>
    </row>
    <row r="722" spans="1:2" ht="10.95" customHeight="1" x14ac:dyDescent="0.2">
      <c r="A722" s="2" t="s">
        <v>720</v>
      </c>
      <c r="B722" s="3">
        <v>96370</v>
      </c>
    </row>
    <row r="723" spans="1:2" ht="10.95" customHeight="1" x14ac:dyDescent="0.2">
      <c r="A723" s="2" t="s">
        <v>721</v>
      </c>
      <c r="B723" s="3">
        <v>38455</v>
      </c>
    </row>
    <row r="724" spans="1:2" ht="10.95" customHeight="1" x14ac:dyDescent="0.2">
      <c r="A724" s="2" t="s">
        <v>722</v>
      </c>
      <c r="B724" s="3">
        <v>519673</v>
      </c>
    </row>
    <row r="725" spans="1:2" ht="10.95" customHeight="1" x14ac:dyDescent="0.2">
      <c r="A725" s="2" t="s">
        <v>723</v>
      </c>
      <c r="B725" s="3">
        <v>24890</v>
      </c>
    </row>
    <row r="726" spans="1:2" ht="10.95" customHeight="1" x14ac:dyDescent="0.2">
      <c r="A726" s="2" t="s">
        <v>724</v>
      </c>
      <c r="B726" s="3">
        <v>17950</v>
      </c>
    </row>
    <row r="727" spans="1:2" ht="10.95" customHeight="1" x14ac:dyDescent="0.2">
      <c r="A727" s="2" t="s">
        <v>725</v>
      </c>
      <c r="B727" s="3">
        <v>123173</v>
      </c>
    </row>
    <row r="728" spans="1:2" ht="10.95" customHeight="1" x14ac:dyDescent="0.2">
      <c r="A728" s="2" t="s">
        <v>726</v>
      </c>
      <c r="B728" s="3">
        <v>205863</v>
      </c>
    </row>
    <row r="729" spans="1:2" ht="10.95" customHeight="1" x14ac:dyDescent="0.2">
      <c r="A729" s="2" t="s">
        <v>727</v>
      </c>
      <c r="B729" s="3">
        <v>295540</v>
      </c>
    </row>
    <row r="730" spans="1:2" ht="10.95" customHeight="1" x14ac:dyDescent="0.2">
      <c r="A730" s="2" t="s">
        <v>728</v>
      </c>
      <c r="B730" s="3">
        <v>45650</v>
      </c>
    </row>
    <row r="731" spans="1:2" ht="10.95" customHeight="1" x14ac:dyDescent="0.2">
      <c r="A731" s="2" t="s">
        <v>729</v>
      </c>
      <c r="B731" s="3">
        <v>34870</v>
      </c>
    </row>
    <row r="732" spans="1:2" ht="10.95" customHeight="1" x14ac:dyDescent="0.2">
      <c r="A732" s="2" t="s">
        <v>730</v>
      </c>
      <c r="B732" s="3">
        <v>149510</v>
      </c>
    </row>
    <row r="733" spans="1:2" ht="10.95" customHeight="1" x14ac:dyDescent="0.2">
      <c r="A733" s="2" t="s">
        <v>731</v>
      </c>
      <c r="B733" s="3">
        <v>311330</v>
      </c>
    </row>
    <row r="734" spans="1:2" ht="10.95" customHeight="1" x14ac:dyDescent="0.2">
      <c r="A734" s="2" t="s">
        <v>732</v>
      </c>
      <c r="B734" s="3">
        <v>24200</v>
      </c>
    </row>
    <row r="735" spans="1:2" ht="10.95" customHeight="1" x14ac:dyDescent="0.2">
      <c r="A735" s="2" t="s">
        <v>733</v>
      </c>
      <c r="B735" s="3">
        <v>8630</v>
      </c>
    </row>
    <row r="736" spans="1:2" ht="10.95" customHeight="1" x14ac:dyDescent="0.2">
      <c r="A736" s="2" t="s">
        <v>734</v>
      </c>
      <c r="B736" s="3">
        <v>175280</v>
      </c>
    </row>
    <row r="737" spans="1:2" ht="10.95" customHeight="1" x14ac:dyDescent="0.2">
      <c r="A737" s="2" t="s">
        <v>735</v>
      </c>
      <c r="B737" s="3">
        <v>477809</v>
      </c>
    </row>
    <row r="738" spans="1:2" ht="10.95" customHeight="1" x14ac:dyDescent="0.2">
      <c r="A738" s="2" t="s">
        <v>736</v>
      </c>
      <c r="B738" s="3">
        <v>113430</v>
      </c>
    </row>
    <row r="739" spans="1:2" ht="10.95" customHeight="1" x14ac:dyDescent="0.2">
      <c r="A739" s="2" t="s">
        <v>737</v>
      </c>
      <c r="B739" s="3">
        <v>25580</v>
      </c>
    </row>
    <row r="740" spans="1:2" ht="10.95" customHeight="1" x14ac:dyDescent="0.2">
      <c r="A740" s="2" t="s">
        <v>738</v>
      </c>
      <c r="B740" s="3">
        <v>49046</v>
      </c>
    </row>
    <row r="741" spans="1:2" ht="10.95" customHeight="1" x14ac:dyDescent="0.2">
      <c r="A741" s="2" t="s">
        <v>739</v>
      </c>
      <c r="B741" s="3">
        <v>10480</v>
      </c>
    </row>
    <row r="742" spans="1:2" ht="10.95" customHeight="1" x14ac:dyDescent="0.2">
      <c r="A742" s="2" t="s">
        <v>740</v>
      </c>
      <c r="B742" s="3">
        <v>96430</v>
      </c>
    </row>
    <row r="743" spans="1:2" ht="10.95" customHeight="1" x14ac:dyDescent="0.2">
      <c r="A743" s="2" t="s">
        <v>741</v>
      </c>
      <c r="B743" s="3">
        <v>35400</v>
      </c>
    </row>
    <row r="744" spans="1:2" ht="10.95" customHeight="1" x14ac:dyDescent="0.2">
      <c r="A744" s="2" t="s">
        <v>742</v>
      </c>
      <c r="B744" s="3">
        <v>30552</v>
      </c>
    </row>
    <row r="745" spans="1:2" ht="10.95" customHeight="1" x14ac:dyDescent="0.2">
      <c r="A745" s="2" t="s">
        <v>743</v>
      </c>
      <c r="B745" s="3">
        <v>21945</v>
      </c>
    </row>
    <row r="746" spans="1:2" ht="10.95" customHeight="1" x14ac:dyDescent="0.2">
      <c r="A746" s="2" t="s">
        <v>744</v>
      </c>
      <c r="B746" s="3">
        <v>12300</v>
      </c>
    </row>
    <row r="747" spans="1:2" ht="10.95" customHeight="1" x14ac:dyDescent="0.2">
      <c r="A747" s="2" t="s">
        <v>745</v>
      </c>
      <c r="B747" s="3">
        <v>286815</v>
      </c>
    </row>
    <row r="748" spans="1:2" ht="10.95" customHeight="1" x14ac:dyDescent="0.2">
      <c r="A748" s="2" t="s">
        <v>746</v>
      </c>
      <c r="B748" s="3">
        <v>45880</v>
      </c>
    </row>
    <row r="749" spans="1:2" ht="10.95" customHeight="1" x14ac:dyDescent="0.2">
      <c r="A749" s="2" t="s">
        <v>747</v>
      </c>
      <c r="B749" s="3">
        <v>99635</v>
      </c>
    </row>
    <row r="750" spans="1:2" ht="10.95" customHeight="1" x14ac:dyDescent="0.2">
      <c r="A750" s="2" t="s">
        <v>748</v>
      </c>
      <c r="B750" s="3">
        <v>156520</v>
      </c>
    </row>
    <row r="751" spans="1:2" ht="10.95" customHeight="1" x14ac:dyDescent="0.2">
      <c r="A751" s="2" t="s">
        <v>749</v>
      </c>
      <c r="B751" s="3">
        <v>29045</v>
      </c>
    </row>
    <row r="752" spans="1:2" ht="10.95" customHeight="1" x14ac:dyDescent="0.2">
      <c r="A752" s="2" t="s">
        <v>750</v>
      </c>
      <c r="B752" s="3">
        <v>1999180</v>
      </c>
    </row>
    <row r="753" spans="1:2" ht="10.95" customHeight="1" x14ac:dyDescent="0.2">
      <c r="A753" s="2" t="s">
        <v>751</v>
      </c>
      <c r="B753" s="3">
        <v>292790</v>
      </c>
    </row>
    <row r="754" spans="1:2" ht="10.95" customHeight="1" x14ac:dyDescent="0.2">
      <c r="A754" s="2" t="s">
        <v>752</v>
      </c>
      <c r="B754" s="3">
        <v>8300</v>
      </c>
    </row>
    <row r="755" spans="1:2" ht="10.95" customHeight="1" x14ac:dyDescent="0.2">
      <c r="A755" s="2" t="s">
        <v>753</v>
      </c>
      <c r="B755" s="3">
        <v>31910</v>
      </c>
    </row>
    <row r="756" spans="1:2" ht="10.95" customHeight="1" x14ac:dyDescent="0.2">
      <c r="A756" s="2" t="s">
        <v>754</v>
      </c>
      <c r="B756" s="3">
        <v>101820</v>
      </c>
    </row>
    <row r="757" spans="1:2" ht="10.95" customHeight="1" x14ac:dyDescent="0.2">
      <c r="A757" s="2" t="s">
        <v>755</v>
      </c>
      <c r="B757" s="3">
        <v>26200</v>
      </c>
    </row>
    <row r="758" spans="1:2" ht="10.95" customHeight="1" x14ac:dyDescent="0.2">
      <c r="A758" s="2" t="s">
        <v>756</v>
      </c>
      <c r="B758" s="3">
        <v>45490</v>
      </c>
    </row>
    <row r="759" spans="1:2" ht="10.95" customHeight="1" x14ac:dyDescent="0.2">
      <c r="A759" s="2" t="s">
        <v>757</v>
      </c>
      <c r="B759" s="3">
        <v>75090</v>
      </c>
    </row>
    <row r="760" spans="1:2" ht="22.95" customHeight="1" x14ac:dyDescent="0.2">
      <c r="A760" s="2" t="s">
        <v>758</v>
      </c>
      <c r="B760" s="3">
        <v>113290</v>
      </c>
    </row>
    <row r="761" spans="1:2" ht="10.95" customHeight="1" x14ac:dyDescent="0.2">
      <c r="A761" s="2" t="s">
        <v>759</v>
      </c>
      <c r="B761" s="3">
        <v>521325</v>
      </c>
    </row>
    <row r="762" spans="1:2" ht="10.95" customHeight="1" x14ac:dyDescent="0.2">
      <c r="A762" s="2" t="s">
        <v>760</v>
      </c>
      <c r="B762" s="3">
        <v>192510</v>
      </c>
    </row>
    <row r="763" spans="1:2" ht="10.95" customHeight="1" x14ac:dyDescent="0.2">
      <c r="A763" s="2" t="s">
        <v>761</v>
      </c>
      <c r="B763" s="3">
        <v>1340733</v>
      </c>
    </row>
    <row r="764" spans="1:2" ht="10.95" customHeight="1" x14ac:dyDescent="0.2">
      <c r="A764" s="2" t="s">
        <v>762</v>
      </c>
      <c r="B764" s="3">
        <v>742970</v>
      </c>
    </row>
    <row r="765" spans="1:2" ht="10.95" customHeight="1" x14ac:dyDescent="0.2">
      <c r="A765" s="2" t="s">
        <v>763</v>
      </c>
      <c r="B765" s="3">
        <v>65510</v>
      </c>
    </row>
    <row r="766" spans="1:2" ht="10.95" customHeight="1" x14ac:dyDescent="0.2">
      <c r="A766" s="2" t="s">
        <v>764</v>
      </c>
      <c r="B766" s="3">
        <v>395055</v>
      </c>
    </row>
    <row r="767" spans="1:2" ht="10.95" customHeight="1" x14ac:dyDescent="0.2">
      <c r="A767" s="2" t="s">
        <v>765</v>
      </c>
      <c r="B767" s="3">
        <v>412845</v>
      </c>
    </row>
    <row r="768" spans="1:2" ht="10.95" customHeight="1" x14ac:dyDescent="0.2">
      <c r="A768" s="2" t="s">
        <v>766</v>
      </c>
      <c r="B768" s="3">
        <v>13200</v>
      </c>
    </row>
    <row r="769" spans="1:2" ht="10.95" customHeight="1" x14ac:dyDescent="0.2">
      <c r="A769" s="2" t="s">
        <v>767</v>
      </c>
      <c r="B769" s="3">
        <v>175160</v>
      </c>
    </row>
    <row r="770" spans="1:2" ht="10.95" customHeight="1" x14ac:dyDescent="0.2">
      <c r="A770" s="2" t="s">
        <v>768</v>
      </c>
      <c r="B770" s="3">
        <v>50300</v>
      </c>
    </row>
    <row r="771" spans="1:2" ht="10.95" customHeight="1" x14ac:dyDescent="0.2">
      <c r="A771" s="2" t="s">
        <v>769</v>
      </c>
      <c r="B771" s="3">
        <v>13160</v>
      </c>
    </row>
    <row r="772" spans="1:2" ht="10.95" customHeight="1" x14ac:dyDescent="0.2">
      <c r="A772" s="2" t="s">
        <v>770</v>
      </c>
      <c r="B772" s="3">
        <v>71040</v>
      </c>
    </row>
    <row r="773" spans="1:2" ht="10.95" customHeight="1" x14ac:dyDescent="0.2">
      <c r="A773" s="2" t="s">
        <v>771</v>
      </c>
      <c r="B773" s="3">
        <v>76556</v>
      </c>
    </row>
    <row r="774" spans="1:2" ht="10.95" customHeight="1" x14ac:dyDescent="0.2">
      <c r="A774" s="2" t="s">
        <v>772</v>
      </c>
      <c r="B774" s="3">
        <v>567740</v>
      </c>
    </row>
    <row r="775" spans="1:2" ht="10.95" customHeight="1" x14ac:dyDescent="0.2">
      <c r="A775" s="2" t="s">
        <v>773</v>
      </c>
      <c r="B775" s="3">
        <v>117000</v>
      </c>
    </row>
    <row r="776" spans="1:2" ht="10.95" customHeight="1" x14ac:dyDescent="0.2">
      <c r="A776" s="2" t="s">
        <v>774</v>
      </c>
      <c r="B776" s="3">
        <v>56100</v>
      </c>
    </row>
    <row r="777" spans="1:2" ht="10.95" customHeight="1" x14ac:dyDescent="0.2">
      <c r="A777" s="2" t="s">
        <v>775</v>
      </c>
      <c r="B777" s="3">
        <v>401610</v>
      </c>
    </row>
    <row r="778" spans="1:2" ht="10.95" customHeight="1" x14ac:dyDescent="0.2">
      <c r="A778" s="2" t="s">
        <v>776</v>
      </c>
      <c r="B778" s="3">
        <v>91170</v>
      </c>
    </row>
    <row r="779" spans="1:2" ht="10.95" customHeight="1" x14ac:dyDescent="0.2">
      <c r="A779" s="2" t="s">
        <v>777</v>
      </c>
      <c r="B779" s="3">
        <v>52275</v>
      </c>
    </row>
    <row r="780" spans="1:2" ht="10.95" customHeight="1" x14ac:dyDescent="0.2">
      <c r="A780" s="2" t="s">
        <v>778</v>
      </c>
      <c r="B780" s="3">
        <v>387243</v>
      </c>
    </row>
    <row r="781" spans="1:2" ht="10.95" customHeight="1" x14ac:dyDescent="0.2">
      <c r="A781" s="2" t="s">
        <v>779</v>
      </c>
      <c r="B781" s="3">
        <v>103960</v>
      </c>
    </row>
    <row r="782" spans="1:2" ht="10.95" customHeight="1" x14ac:dyDescent="0.2">
      <c r="A782" s="2" t="s">
        <v>780</v>
      </c>
      <c r="B782" s="3">
        <v>22960</v>
      </c>
    </row>
    <row r="783" spans="1:2" ht="10.95" customHeight="1" x14ac:dyDescent="0.2">
      <c r="A783" s="2" t="s">
        <v>781</v>
      </c>
      <c r="B783" s="3">
        <v>78430</v>
      </c>
    </row>
    <row r="784" spans="1:2" ht="10.95" customHeight="1" x14ac:dyDescent="0.2">
      <c r="A784" s="2" t="s">
        <v>782</v>
      </c>
      <c r="B784" s="3">
        <v>241705</v>
      </c>
    </row>
    <row r="785" spans="1:2" ht="10.95" customHeight="1" x14ac:dyDescent="0.2">
      <c r="A785" s="2" t="s">
        <v>783</v>
      </c>
      <c r="B785" s="3">
        <v>52840</v>
      </c>
    </row>
    <row r="786" spans="1:2" ht="10.95" customHeight="1" x14ac:dyDescent="0.2">
      <c r="A786" s="2" t="s">
        <v>784</v>
      </c>
      <c r="B786" s="3">
        <v>59840</v>
      </c>
    </row>
    <row r="787" spans="1:2" ht="10.95" customHeight="1" x14ac:dyDescent="0.2">
      <c r="A787" s="2" t="s">
        <v>785</v>
      </c>
      <c r="B787" s="3">
        <v>9990</v>
      </c>
    </row>
    <row r="788" spans="1:2" ht="10.95" customHeight="1" x14ac:dyDescent="0.2">
      <c r="A788" s="2" t="s">
        <v>786</v>
      </c>
      <c r="B788" s="3">
        <v>47010</v>
      </c>
    </row>
    <row r="789" spans="1:2" ht="10.95" customHeight="1" x14ac:dyDescent="0.2">
      <c r="A789" s="2" t="s">
        <v>787</v>
      </c>
      <c r="B789" s="3">
        <v>1093190</v>
      </c>
    </row>
    <row r="790" spans="1:2" ht="10.95" customHeight="1" x14ac:dyDescent="0.2">
      <c r="A790" s="2" t="s">
        <v>788</v>
      </c>
      <c r="B790" s="3">
        <v>114810</v>
      </c>
    </row>
    <row r="791" spans="1:2" ht="10.95" customHeight="1" x14ac:dyDescent="0.2">
      <c r="A791" s="2" t="s">
        <v>789</v>
      </c>
      <c r="B791" s="3">
        <v>1648954</v>
      </c>
    </row>
    <row r="792" spans="1:2" ht="10.95" customHeight="1" x14ac:dyDescent="0.2">
      <c r="A792" s="2" t="s">
        <v>790</v>
      </c>
      <c r="B792" s="3">
        <v>350240</v>
      </c>
    </row>
    <row r="793" spans="1:2" ht="10.95" customHeight="1" x14ac:dyDescent="0.2">
      <c r="A793" s="2" t="s">
        <v>791</v>
      </c>
      <c r="B793" s="3">
        <v>1088948</v>
      </c>
    </row>
    <row r="794" spans="1:2" ht="10.95" customHeight="1" x14ac:dyDescent="0.2">
      <c r="A794" s="2" t="s">
        <v>792</v>
      </c>
      <c r="B794" s="3">
        <v>1210880</v>
      </c>
    </row>
    <row r="795" spans="1:2" ht="10.95" customHeight="1" x14ac:dyDescent="0.2">
      <c r="A795" s="2" t="s">
        <v>793</v>
      </c>
      <c r="B795" s="3">
        <v>109150</v>
      </c>
    </row>
    <row r="796" spans="1:2" ht="10.95" customHeight="1" x14ac:dyDescent="0.2">
      <c r="A796" s="2" t="s">
        <v>794</v>
      </c>
      <c r="B796" s="3">
        <v>261510</v>
      </c>
    </row>
    <row r="797" spans="1:2" ht="10.95" customHeight="1" x14ac:dyDescent="0.2">
      <c r="A797" s="2" t="s">
        <v>795</v>
      </c>
      <c r="B797" s="3">
        <v>1006115</v>
      </c>
    </row>
    <row r="798" spans="1:2" ht="10.95" customHeight="1" x14ac:dyDescent="0.2">
      <c r="A798" s="2" t="s">
        <v>796</v>
      </c>
      <c r="B798" s="3">
        <v>99340</v>
      </c>
    </row>
    <row r="799" spans="1:2" ht="10.95" customHeight="1" x14ac:dyDescent="0.2">
      <c r="A799" s="2" t="s">
        <v>797</v>
      </c>
      <c r="B799" s="3">
        <v>13030</v>
      </c>
    </row>
    <row r="800" spans="1:2" ht="10.95" customHeight="1" x14ac:dyDescent="0.2">
      <c r="A800" s="2" t="s">
        <v>798</v>
      </c>
      <c r="B800" s="3">
        <v>29420</v>
      </c>
    </row>
    <row r="801" spans="1:2" ht="10.95" customHeight="1" x14ac:dyDescent="0.2">
      <c r="A801" s="2" t="s">
        <v>799</v>
      </c>
      <c r="B801" s="3">
        <v>219230</v>
      </c>
    </row>
    <row r="802" spans="1:2" ht="10.95" customHeight="1" x14ac:dyDescent="0.2">
      <c r="A802" s="2" t="s">
        <v>800</v>
      </c>
      <c r="B802" s="3">
        <v>64220</v>
      </c>
    </row>
    <row r="803" spans="1:2" ht="10.95" customHeight="1" x14ac:dyDescent="0.2">
      <c r="A803" s="2" t="s">
        <v>801</v>
      </c>
      <c r="B803" s="3">
        <v>18220</v>
      </c>
    </row>
    <row r="804" spans="1:2" ht="10.95" customHeight="1" x14ac:dyDescent="0.2">
      <c r="A804" s="2" t="s">
        <v>802</v>
      </c>
      <c r="B804" s="3">
        <v>16105</v>
      </c>
    </row>
    <row r="805" spans="1:2" ht="10.95" customHeight="1" x14ac:dyDescent="0.2">
      <c r="A805" s="2" t="s">
        <v>803</v>
      </c>
      <c r="B805" s="3">
        <v>161940</v>
      </c>
    </row>
    <row r="806" spans="1:2" ht="10.95" customHeight="1" x14ac:dyDescent="0.2">
      <c r="A806" s="2" t="s">
        <v>804</v>
      </c>
      <c r="B806" s="3">
        <v>79450</v>
      </c>
    </row>
    <row r="807" spans="1:2" ht="10.95" customHeight="1" x14ac:dyDescent="0.2">
      <c r="A807" s="2" t="s">
        <v>805</v>
      </c>
      <c r="B807" s="3">
        <v>182640</v>
      </c>
    </row>
    <row r="808" spans="1:2" ht="10.95" customHeight="1" x14ac:dyDescent="0.2">
      <c r="A808" s="2" t="s">
        <v>806</v>
      </c>
      <c r="B808" s="3">
        <v>222780</v>
      </c>
    </row>
    <row r="809" spans="1:2" ht="10.95" customHeight="1" x14ac:dyDescent="0.2">
      <c r="A809" s="2" t="s">
        <v>807</v>
      </c>
      <c r="B809" s="3">
        <v>31750</v>
      </c>
    </row>
    <row r="810" spans="1:2" ht="10.95" customHeight="1" x14ac:dyDescent="0.2">
      <c r="A810" s="2" t="s">
        <v>808</v>
      </c>
      <c r="B810" s="3">
        <v>100800</v>
      </c>
    </row>
    <row r="811" spans="1:2" ht="10.95" customHeight="1" x14ac:dyDescent="0.2">
      <c r="A811" s="2" t="s">
        <v>809</v>
      </c>
      <c r="B811" s="3">
        <v>6910</v>
      </c>
    </row>
    <row r="812" spans="1:2" ht="10.95" customHeight="1" x14ac:dyDescent="0.2">
      <c r="A812" s="2" t="s">
        <v>810</v>
      </c>
      <c r="B812" s="3">
        <v>75030</v>
      </c>
    </row>
    <row r="813" spans="1:2" ht="10.95" customHeight="1" x14ac:dyDescent="0.2">
      <c r="A813" s="2" t="s">
        <v>811</v>
      </c>
      <c r="B813" s="3">
        <v>2000</v>
      </c>
    </row>
    <row r="814" spans="1:2" ht="10.95" customHeight="1" x14ac:dyDescent="0.2">
      <c r="A814" s="2" t="s">
        <v>812</v>
      </c>
      <c r="B814" s="3">
        <v>50300</v>
      </c>
    </row>
    <row r="815" spans="1:2" ht="10.95" customHeight="1" x14ac:dyDescent="0.2">
      <c r="A815" s="2" t="s">
        <v>813</v>
      </c>
      <c r="B815" s="3">
        <v>2600</v>
      </c>
    </row>
    <row r="816" spans="1:2" ht="10.95" customHeight="1" x14ac:dyDescent="0.2">
      <c r="A816" s="2" t="s">
        <v>814</v>
      </c>
      <c r="B816" s="3">
        <v>105530</v>
      </c>
    </row>
    <row r="817" spans="1:2" ht="10.95" customHeight="1" x14ac:dyDescent="0.2">
      <c r="A817" s="2" t="s">
        <v>815</v>
      </c>
      <c r="B817" s="3">
        <v>20450</v>
      </c>
    </row>
    <row r="818" spans="1:2" ht="10.95" customHeight="1" x14ac:dyDescent="0.2">
      <c r="A818" s="2" t="s">
        <v>816</v>
      </c>
      <c r="B818" s="3">
        <v>110160</v>
      </c>
    </row>
    <row r="819" spans="1:2" ht="10.95" customHeight="1" x14ac:dyDescent="0.2">
      <c r="A819" s="2" t="s">
        <v>817</v>
      </c>
      <c r="B819" s="3">
        <v>11300</v>
      </c>
    </row>
    <row r="820" spans="1:2" ht="10.95" customHeight="1" x14ac:dyDescent="0.2">
      <c r="A820" s="2" t="s">
        <v>818</v>
      </c>
      <c r="B820" s="3">
        <v>91780</v>
      </c>
    </row>
    <row r="821" spans="1:2" ht="10.95" customHeight="1" x14ac:dyDescent="0.2">
      <c r="A821" s="2" t="s">
        <v>819</v>
      </c>
      <c r="B821" s="3">
        <v>14997540</v>
      </c>
    </row>
    <row r="822" spans="1:2" ht="10.95" customHeight="1" x14ac:dyDescent="0.2">
      <c r="A822" s="2" t="s">
        <v>820</v>
      </c>
      <c r="B822" s="3">
        <v>526084</v>
      </c>
    </row>
    <row r="823" spans="1:2" ht="10.95" customHeight="1" x14ac:dyDescent="0.2">
      <c r="A823" s="2" t="s">
        <v>821</v>
      </c>
      <c r="B823" s="3">
        <v>456971</v>
      </c>
    </row>
    <row r="824" spans="1:2" ht="10.95" customHeight="1" x14ac:dyDescent="0.2">
      <c r="A824" s="2" t="s">
        <v>822</v>
      </c>
      <c r="B824" s="3">
        <v>1522373</v>
      </c>
    </row>
    <row r="825" spans="1:2" ht="10.95" customHeight="1" x14ac:dyDescent="0.2">
      <c r="A825" s="2" t="s">
        <v>823</v>
      </c>
      <c r="B825" s="3">
        <v>345150</v>
      </c>
    </row>
    <row r="826" spans="1:2" ht="10.95" customHeight="1" x14ac:dyDescent="0.2">
      <c r="A826" s="2" t="s">
        <v>824</v>
      </c>
      <c r="B826" s="3">
        <v>153405</v>
      </c>
    </row>
    <row r="827" spans="1:2" ht="10.95" customHeight="1" x14ac:dyDescent="0.2">
      <c r="A827" s="2" t="s">
        <v>825</v>
      </c>
      <c r="B827" s="3">
        <v>57830</v>
      </c>
    </row>
    <row r="828" spans="1:2" ht="10.95" customHeight="1" x14ac:dyDescent="0.2">
      <c r="A828" s="2" t="s">
        <v>826</v>
      </c>
      <c r="B828" s="3">
        <v>62170</v>
      </c>
    </row>
    <row r="829" spans="1:2" ht="10.95" customHeight="1" x14ac:dyDescent="0.2">
      <c r="A829" s="2" t="s">
        <v>827</v>
      </c>
      <c r="B829" s="3">
        <v>301800</v>
      </c>
    </row>
    <row r="830" spans="1:2" ht="10.95" customHeight="1" x14ac:dyDescent="0.2">
      <c r="A830" s="2" t="s">
        <v>828</v>
      </c>
      <c r="B830" s="3">
        <v>1155821</v>
      </c>
    </row>
    <row r="831" spans="1:2" ht="10.95" customHeight="1" x14ac:dyDescent="0.2">
      <c r="A831" s="2" t="s">
        <v>829</v>
      </c>
      <c r="B831" s="3">
        <v>96420</v>
      </c>
    </row>
    <row r="832" spans="1:2" ht="10.95" customHeight="1" x14ac:dyDescent="0.2">
      <c r="A832" s="2" t="s">
        <v>830</v>
      </c>
      <c r="B832" s="3">
        <v>92360</v>
      </c>
    </row>
    <row r="833" spans="1:2" ht="10.95" customHeight="1" x14ac:dyDescent="0.2">
      <c r="A833" s="2" t="s">
        <v>831</v>
      </c>
      <c r="B833" s="3">
        <v>112980</v>
      </c>
    </row>
    <row r="834" spans="1:2" ht="10.95" customHeight="1" x14ac:dyDescent="0.2">
      <c r="A834" s="2" t="s">
        <v>832</v>
      </c>
      <c r="B834" s="3">
        <v>96990</v>
      </c>
    </row>
    <row r="835" spans="1:2" ht="10.95" customHeight="1" x14ac:dyDescent="0.2">
      <c r="A835" s="2" t="s">
        <v>833</v>
      </c>
      <c r="B835" s="3">
        <v>344575</v>
      </c>
    </row>
    <row r="836" spans="1:2" ht="10.95" customHeight="1" x14ac:dyDescent="0.2">
      <c r="A836" s="2" t="s">
        <v>834</v>
      </c>
      <c r="B836" s="3">
        <v>14250</v>
      </c>
    </row>
    <row r="837" spans="1:2" ht="10.95" customHeight="1" x14ac:dyDescent="0.2">
      <c r="A837" s="2" t="s">
        <v>835</v>
      </c>
      <c r="B837" s="3">
        <v>36660</v>
      </c>
    </row>
    <row r="838" spans="1:2" ht="10.95" customHeight="1" x14ac:dyDescent="0.2">
      <c r="A838" s="2" t="s">
        <v>836</v>
      </c>
      <c r="B838" s="3">
        <v>12460</v>
      </c>
    </row>
    <row r="839" spans="1:2" ht="10.95" customHeight="1" x14ac:dyDescent="0.2">
      <c r="A839" s="2" t="s">
        <v>837</v>
      </c>
      <c r="B839" s="3">
        <v>64220</v>
      </c>
    </row>
    <row r="840" spans="1:2" ht="10.95" customHeight="1" x14ac:dyDescent="0.2">
      <c r="A840" s="2" t="s">
        <v>838</v>
      </c>
      <c r="B840" s="3">
        <v>23170</v>
      </c>
    </row>
    <row r="841" spans="1:2" ht="10.95" customHeight="1" x14ac:dyDescent="0.2">
      <c r="A841" s="2" t="s">
        <v>839</v>
      </c>
      <c r="B841" s="3">
        <v>1241721</v>
      </c>
    </row>
    <row r="842" spans="1:2" ht="10.95" customHeight="1" x14ac:dyDescent="0.2">
      <c r="A842" s="2" t="s">
        <v>840</v>
      </c>
      <c r="B842" s="3">
        <v>41510</v>
      </c>
    </row>
    <row r="843" spans="1:2" ht="10.95" customHeight="1" x14ac:dyDescent="0.2">
      <c r="A843" s="2" t="s">
        <v>841</v>
      </c>
      <c r="B843" s="3">
        <v>55430</v>
      </c>
    </row>
    <row r="844" spans="1:2" ht="10.95" customHeight="1" x14ac:dyDescent="0.2">
      <c r="A844" s="2" t="s">
        <v>842</v>
      </c>
      <c r="B844" s="3">
        <v>20470</v>
      </c>
    </row>
    <row r="845" spans="1:2" ht="10.95" customHeight="1" x14ac:dyDescent="0.2">
      <c r="A845" s="2" t="s">
        <v>843</v>
      </c>
      <c r="B845" s="3">
        <v>434730</v>
      </c>
    </row>
    <row r="846" spans="1:2" ht="10.95" customHeight="1" x14ac:dyDescent="0.2">
      <c r="A846" s="2" t="s">
        <v>844</v>
      </c>
      <c r="B846" s="3">
        <v>110780</v>
      </c>
    </row>
    <row r="847" spans="1:2" ht="10.95" customHeight="1" x14ac:dyDescent="0.2">
      <c r="A847" s="2" t="s">
        <v>845</v>
      </c>
      <c r="B847" s="3">
        <v>52880</v>
      </c>
    </row>
    <row r="848" spans="1:2" ht="10.95" customHeight="1" x14ac:dyDescent="0.2">
      <c r="A848" s="2" t="s">
        <v>846</v>
      </c>
      <c r="B848" s="3">
        <v>350560</v>
      </c>
    </row>
    <row r="849" spans="1:2" ht="10.95" customHeight="1" x14ac:dyDescent="0.2">
      <c r="A849" s="2" t="s">
        <v>847</v>
      </c>
      <c r="B849" s="3">
        <v>9360</v>
      </c>
    </row>
    <row r="850" spans="1:2" ht="10.95" customHeight="1" x14ac:dyDescent="0.2">
      <c r="A850" s="2" t="s">
        <v>848</v>
      </c>
      <c r="B850" s="3">
        <v>238220</v>
      </c>
    </row>
    <row r="851" spans="1:2" ht="10.95" customHeight="1" x14ac:dyDescent="0.2">
      <c r="A851" s="2" t="s">
        <v>849</v>
      </c>
      <c r="B851" s="3">
        <v>30750</v>
      </c>
    </row>
    <row r="852" spans="1:2" ht="10.95" customHeight="1" x14ac:dyDescent="0.2">
      <c r="A852" s="2" t="s">
        <v>850</v>
      </c>
      <c r="B852" s="3">
        <v>25000</v>
      </c>
    </row>
    <row r="853" spans="1:2" ht="10.95" customHeight="1" x14ac:dyDescent="0.2">
      <c r="A853" s="2" t="s">
        <v>851</v>
      </c>
      <c r="B853" s="3">
        <v>1838890</v>
      </c>
    </row>
    <row r="854" spans="1:2" ht="10.95" customHeight="1" x14ac:dyDescent="0.2">
      <c r="A854" s="2" t="s">
        <v>852</v>
      </c>
      <c r="B854" s="3">
        <v>81200</v>
      </c>
    </row>
    <row r="855" spans="1:2" ht="10.95" customHeight="1" x14ac:dyDescent="0.2">
      <c r="A855" s="2" t="s">
        <v>853</v>
      </c>
      <c r="B855" s="3">
        <v>218590</v>
      </c>
    </row>
    <row r="856" spans="1:2" ht="10.95" customHeight="1" x14ac:dyDescent="0.2">
      <c r="A856" s="2" t="s">
        <v>854</v>
      </c>
      <c r="B856" s="3">
        <v>22000</v>
      </c>
    </row>
    <row r="857" spans="1:2" ht="10.95" customHeight="1" x14ac:dyDescent="0.2">
      <c r="A857" s="2" t="s">
        <v>855</v>
      </c>
      <c r="B857" s="3">
        <v>355451</v>
      </c>
    </row>
    <row r="858" spans="1:2" ht="10.95" customHeight="1" x14ac:dyDescent="0.2">
      <c r="A858" s="2" t="s">
        <v>856</v>
      </c>
      <c r="B858" s="3">
        <v>232726</v>
      </c>
    </row>
    <row r="859" spans="1:2" ht="10.95" customHeight="1" x14ac:dyDescent="0.2">
      <c r="A859" s="2" t="s">
        <v>857</v>
      </c>
      <c r="B859" s="3">
        <v>156040</v>
      </c>
    </row>
    <row r="860" spans="1:2" ht="10.95" customHeight="1" x14ac:dyDescent="0.2">
      <c r="A860" s="2" t="s">
        <v>858</v>
      </c>
      <c r="B860" s="3">
        <v>72940</v>
      </c>
    </row>
    <row r="861" spans="1:2" ht="13.05" customHeight="1" x14ac:dyDescent="0.2">
      <c r="A861" s="6" t="s">
        <v>859</v>
      </c>
      <c r="B861" s="7">
        <v>222870688.5</v>
      </c>
    </row>
  </sheetData>
  <pageMargins left="0.19685039370078741" right="0.19685039370078741" top="0.39370078740157483" bottom="0.39370078740157483" header="0" footer="0"/>
  <pageSetup paperSize="9" fitToHeight="0" pageOrder="overThenDown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022A-EA80-4D87-A4A8-CD4CFAA1DFBD}">
  <sheetPr>
    <outlinePr summaryBelow="0" summaryRight="0"/>
    <pageSetUpPr autoPageBreaks="0" fitToPage="1"/>
  </sheetPr>
  <dimension ref="A1:D893"/>
  <sheetViews>
    <sheetView tabSelected="1" topLeftCell="A789" workbookViewId="0">
      <selection activeCell="B874" sqref="B874"/>
    </sheetView>
  </sheetViews>
  <sheetFormatPr defaultColWidth="10.42578125" defaultRowHeight="11.4" customHeight="1" x14ac:dyDescent="0.2"/>
  <cols>
    <col min="1" max="1" width="51" style="1" bestFit="1" customWidth="1"/>
    <col min="2" max="2" width="44.42578125" style="1" customWidth="1"/>
    <col min="3" max="3" width="57.140625" style="1" customWidth="1"/>
    <col min="4" max="4" width="18.85546875" bestFit="1" customWidth="1"/>
  </cols>
  <sheetData>
    <row r="1" spans="1:4" s="1" customFormat="1" ht="1.95" customHeight="1" x14ac:dyDescent="0.2"/>
    <row r="2" spans="1:4" ht="40.049999999999997" customHeight="1" x14ac:dyDescent="0.2">
      <c r="A2" s="8" t="s">
        <v>0</v>
      </c>
      <c r="B2" s="8" t="s">
        <v>1</v>
      </c>
      <c r="C2" s="9" t="s">
        <v>1144</v>
      </c>
      <c r="D2" s="9" t="s">
        <v>1145</v>
      </c>
    </row>
    <row r="3" spans="1:4" ht="10.95" customHeight="1" x14ac:dyDescent="0.2">
      <c r="A3" s="2" t="s">
        <v>3</v>
      </c>
      <c r="B3" s="3">
        <v>162730</v>
      </c>
      <c r="C3" s="1">
        <f>IFERROR(VLOOKUP(Таблица2[[#This Row],[Контрагент]],Таблица1[],2,0),0)</f>
        <v>154170</v>
      </c>
      <c r="D3" s="10">
        <f>Таблица2[[#This Row],[Декабрь]]-Таблица2[[#This Row],[Сумма реализации (с возвратами)]]</f>
        <v>-8560</v>
      </c>
    </row>
    <row r="4" spans="1:4" ht="10.95" customHeight="1" x14ac:dyDescent="0.2">
      <c r="A4" s="2" t="s">
        <v>5</v>
      </c>
      <c r="B4" s="3">
        <v>115530</v>
      </c>
      <c r="C4" s="1">
        <f>IFERROR(VLOOKUP(Таблица2[[#This Row],[Контрагент]],Таблица1[],2,0),0)</f>
        <v>50655</v>
      </c>
      <c r="D4" s="10">
        <f>Таблица2[[#This Row],[Декабрь]]-Таблица2[[#This Row],[Сумма реализации (с возвратами)]]</f>
        <v>-64875</v>
      </c>
    </row>
    <row r="5" spans="1:4" ht="10.95" customHeight="1" x14ac:dyDescent="0.2">
      <c r="A5" s="2" t="s">
        <v>6</v>
      </c>
      <c r="B5" s="3">
        <v>33190</v>
      </c>
      <c r="C5" s="1">
        <f>IFERROR(VLOOKUP(Таблица2[[#This Row],[Контрагент]],Таблица1[],2,0),0)</f>
        <v>49320</v>
      </c>
      <c r="D5" s="10">
        <f>Таблица2[[#This Row],[Декабрь]]-Таблица2[[#This Row],[Сумма реализации (с возвратами)]]</f>
        <v>16130</v>
      </c>
    </row>
    <row r="6" spans="1:4" ht="10.95" customHeight="1" x14ac:dyDescent="0.2">
      <c r="A6" s="2" t="s">
        <v>7</v>
      </c>
      <c r="B6" s="3">
        <v>70030</v>
      </c>
      <c r="C6" s="1">
        <f>IFERROR(VLOOKUP(Таблица2[[#This Row],[Контрагент]],Таблица1[],2,0),0)</f>
        <v>95755</v>
      </c>
      <c r="D6" s="10">
        <f>Таблица2[[#This Row],[Декабрь]]-Таблица2[[#This Row],[Сумма реализации (с возвратами)]]</f>
        <v>25725</v>
      </c>
    </row>
    <row r="7" spans="1:4" ht="10.95" customHeight="1" x14ac:dyDescent="0.2">
      <c r="A7" s="2" t="s">
        <v>9</v>
      </c>
      <c r="B7" s="3">
        <v>150135</v>
      </c>
      <c r="C7" s="1">
        <f>IFERROR(VLOOKUP(Таблица2[[#This Row],[Контрагент]],Таблица1[],2,0),0)</f>
        <v>35900</v>
      </c>
      <c r="D7" s="10">
        <f>Таблица2[[#This Row],[Декабрь]]-Таблица2[[#This Row],[Сумма реализации (с возвратами)]]</f>
        <v>-114235</v>
      </c>
    </row>
    <row r="8" spans="1:4" ht="10.95" customHeight="1" x14ac:dyDescent="0.2">
      <c r="A8" s="2" t="s">
        <v>860</v>
      </c>
      <c r="B8" s="3">
        <v>39730</v>
      </c>
      <c r="C8" s="1">
        <f>IFERROR(VLOOKUP(Таблица2[[#This Row],[Контрагент]],Таблица1[],2,0),0)</f>
        <v>0</v>
      </c>
      <c r="D8" s="10">
        <f>Таблица2[[#This Row],[Декабрь]]-Таблица2[[#This Row],[Сумма реализации (с возвратами)]]</f>
        <v>-39730</v>
      </c>
    </row>
    <row r="9" spans="1:4" ht="10.95" customHeight="1" x14ac:dyDescent="0.2">
      <c r="A9" s="2" t="s">
        <v>12</v>
      </c>
      <c r="B9" s="3">
        <v>1224230</v>
      </c>
      <c r="C9" s="1">
        <f>IFERROR(VLOOKUP(Таблица2[[#This Row],[Контрагент]],Таблица1[],2,0),0)</f>
        <v>1073910</v>
      </c>
      <c r="D9" s="10">
        <f>Таблица2[[#This Row],[Декабрь]]-Таблица2[[#This Row],[Сумма реализации (с возвратами)]]</f>
        <v>-150320</v>
      </c>
    </row>
    <row r="10" spans="1:4" ht="10.95" customHeight="1" x14ac:dyDescent="0.2">
      <c r="A10" s="2" t="s">
        <v>13</v>
      </c>
      <c r="B10" s="3">
        <v>37135</v>
      </c>
      <c r="C10" s="1">
        <f>IFERROR(VLOOKUP(Таблица2[[#This Row],[Контрагент]],Таблица1[],2,0),0)</f>
        <v>76600</v>
      </c>
      <c r="D10" s="10">
        <f>Таблица2[[#This Row],[Декабрь]]-Таблица2[[#This Row],[Сумма реализации (с возвратами)]]</f>
        <v>39465</v>
      </c>
    </row>
    <row r="11" spans="1:4" ht="10.95" customHeight="1" x14ac:dyDescent="0.2">
      <c r="A11" s="2" t="s">
        <v>14</v>
      </c>
      <c r="B11" s="3">
        <v>60020</v>
      </c>
      <c r="C11" s="1">
        <f>IFERROR(VLOOKUP(Таблица2[[#This Row],[Контрагент]],Таблица1[],2,0),0)</f>
        <v>89050</v>
      </c>
      <c r="D11" s="10">
        <f>Таблица2[[#This Row],[Декабрь]]-Таблица2[[#This Row],[Сумма реализации (с возвратами)]]</f>
        <v>29030</v>
      </c>
    </row>
    <row r="12" spans="1:4" ht="10.95" customHeight="1" x14ac:dyDescent="0.2">
      <c r="A12" s="2" t="s">
        <v>861</v>
      </c>
      <c r="B12" s="3">
        <v>34500</v>
      </c>
      <c r="C12" s="1">
        <f>IFERROR(VLOOKUP(Таблица2[[#This Row],[Контрагент]],Таблица1[],2,0),0)</f>
        <v>0</v>
      </c>
      <c r="D12" s="10">
        <f>Таблица2[[#This Row],[Декабрь]]-Таблица2[[#This Row],[Сумма реализации (с возвратами)]]</f>
        <v>-34500</v>
      </c>
    </row>
    <row r="13" spans="1:4" s="1" customFormat="1" ht="10.95" customHeight="1" x14ac:dyDescent="0.2">
      <c r="A13" s="2" t="s">
        <v>15</v>
      </c>
      <c r="B13" s="3">
        <v>172750</v>
      </c>
      <c r="C13" s="1">
        <f>IFERROR(VLOOKUP(Таблица2[[#This Row],[Контрагент]],Таблица1[],2,0),0)</f>
        <v>302040</v>
      </c>
      <c r="D13" s="10">
        <f>Таблица2[[#This Row],[Декабрь]]-Таблица2[[#This Row],[Сумма реализации (с возвратами)]]</f>
        <v>129290</v>
      </c>
    </row>
    <row r="14" spans="1:4" s="1" customFormat="1" ht="10.95" customHeight="1" x14ac:dyDescent="0.2">
      <c r="A14" s="2" t="s">
        <v>16</v>
      </c>
      <c r="B14" s="3">
        <v>63400</v>
      </c>
      <c r="C14" s="1">
        <f>IFERROR(VLOOKUP(Таблица2[[#This Row],[Контрагент]],Таблица1[],2,0),0)</f>
        <v>48190</v>
      </c>
      <c r="D14" s="10">
        <f>Таблица2[[#This Row],[Декабрь]]-Таблица2[[#This Row],[Сумма реализации (с возвратами)]]</f>
        <v>-15210</v>
      </c>
    </row>
    <row r="15" spans="1:4" s="1" customFormat="1" ht="10.95" customHeight="1" x14ac:dyDescent="0.2">
      <c r="A15" s="2" t="s">
        <v>17</v>
      </c>
      <c r="B15" s="3">
        <v>185860</v>
      </c>
      <c r="C15" s="1">
        <f>IFERROR(VLOOKUP(Таблица2[[#This Row],[Контрагент]],Таблица1[],2,0),0)</f>
        <v>300280</v>
      </c>
      <c r="D15" s="10">
        <f>Таблица2[[#This Row],[Декабрь]]-Таблица2[[#This Row],[Сумма реализации (с возвратами)]]</f>
        <v>114420</v>
      </c>
    </row>
    <row r="16" spans="1:4" s="1" customFormat="1" ht="10.95" customHeight="1" x14ac:dyDescent="0.2">
      <c r="A16" s="2" t="s">
        <v>18</v>
      </c>
      <c r="B16" s="3">
        <v>83610</v>
      </c>
      <c r="C16" s="1">
        <f>IFERROR(VLOOKUP(Таблица2[[#This Row],[Контрагент]],Таблица1[],2,0),0)</f>
        <v>55940</v>
      </c>
      <c r="D16" s="10">
        <f>Таблица2[[#This Row],[Декабрь]]-Таблица2[[#This Row],[Сумма реализации (с возвратами)]]</f>
        <v>-27670</v>
      </c>
    </row>
    <row r="17" spans="1:4" s="1" customFormat="1" ht="10.95" customHeight="1" x14ac:dyDescent="0.2">
      <c r="A17" s="2" t="s">
        <v>23</v>
      </c>
      <c r="B17" s="3">
        <v>4351497</v>
      </c>
      <c r="C17" s="1">
        <f>IFERROR(VLOOKUP(Таблица2[[#This Row],[Контрагент]],Таблица1[],2,0),0)</f>
        <v>1030166</v>
      </c>
      <c r="D17" s="10">
        <f>Таблица2[[#This Row],[Декабрь]]-Таблица2[[#This Row],[Сумма реализации (с возвратами)]]</f>
        <v>-3321331</v>
      </c>
    </row>
    <row r="18" spans="1:4" s="1" customFormat="1" ht="10.95" customHeight="1" x14ac:dyDescent="0.2">
      <c r="A18" s="2" t="s">
        <v>862</v>
      </c>
      <c r="B18" s="3">
        <v>1317082</v>
      </c>
      <c r="C18" s="1">
        <f>IFERROR(VLOOKUP(Таблица2[[#This Row],[Контрагент]],Таблица1[],2,0),0)</f>
        <v>0</v>
      </c>
      <c r="D18" s="10">
        <f>Таблица2[[#This Row],[Декабрь]]-Таблица2[[#This Row],[Сумма реализации (с возвратами)]]</f>
        <v>-1317082</v>
      </c>
    </row>
    <row r="19" spans="1:4" s="1" customFormat="1" ht="10.95" customHeight="1" x14ac:dyDescent="0.2">
      <c r="A19" s="2" t="s">
        <v>24</v>
      </c>
      <c r="B19" s="3">
        <v>3258868</v>
      </c>
      <c r="C19" s="1">
        <f>IFERROR(VLOOKUP(Таблица2[[#This Row],[Контрагент]],Таблица1[],2,0),0)</f>
        <v>2954987</v>
      </c>
      <c r="D19" s="10">
        <f>Таблица2[[#This Row],[Декабрь]]-Таблица2[[#This Row],[Сумма реализации (с возвратами)]]</f>
        <v>-303881</v>
      </c>
    </row>
    <row r="20" spans="1:4" s="1" customFormat="1" ht="10.95" customHeight="1" x14ac:dyDescent="0.2">
      <c r="A20" s="2" t="s">
        <v>25</v>
      </c>
      <c r="B20" s="3">
        <v>4372695</v>
      </c>
      <c r="C20" s="1">
        <f>IFERROR(VLOOKUP(Таблица2[[#This Row],[Контрагент]],Таблица1[],2,0),0)</f>
        <v>4106784</v>
      </c>
      <c r="D20" s="10">
        <f>Таблица2[[#This Row],[Декабрь]]-Таблица2[[#This Row],[Сумма реализации (с возвратами)]]</f>
        <v>-265911</v>
      </c>
    </row>
    <row r="21" spans="1:4" s="1" customFormat="1" ht="10.95" customHeight="1" x14ac:dyDescent="0.2">
      <c r="A21" s="2" t="s">
        <v>26</v>
      </c>
      <c r="B21" s="3">
        <v>957076</v>
      </c>
      <c r="C21" s="1">
        <f>IFERROR(VLOOKUP(Таблица2[[#This Row],[Контрагент]],Таблица1[],2,0),0)</f>
        <v>493258</v>
      </c>
      <c r="D21" s="10">
        <f>Таблица2[[#This Row],[Декабрь]]-Таблица2[[#This Row],[Сумма реализации (с возвратами)]]</f>
        <v>-463818</v>
      </c>
    </row>
    <row r="22" spans="1:4" s="1" customFormat="1" ht="10.95" customHeight="1" x14ac:dyDescent="0.2">
      <c r="A22" s="2" t="s">
        <v>27</v>
      </c>
      <c r="B22" s="3">
        <v>5077126</v>
      </c>
      <c r="C22" s="1">
        <f>IFERROR(VLOOKUP(Таблица2[[#This Row],[Контрагент]],Таблица1[],2,0),0)</f>
        <v>3243334</v>
      </c>
      <c r="D22" s="10">
        <f>Таблица2[[#This Row],[Декабрь]]-Таблица2[[#This Row],[Сумма реализации (с возвратами)]]</f>
        <v>-1833792</v>
      </c>
    </row>
    <row r="23" spans="1:4" s="1" customFormat="1" ht="10.95" customHeight="1" x14ac:dyDescent="0.2">
      <c r="A23" s="2" t="s">
        <v>863</v>
      </c>
      <c r="B23" s="3">
        <v>71800</v>
      </c>
      <c r="C23" s="1">
        <f>IFERROR(VLOOKUP(Таблица2[[#This Row],[Контрагент]],Таблица1[],2,0),0)</f>
        <v>0</v>
      </c>
      <c r="D23" s="10">
        <f>Таблица2[[#This Row],[Декабрь]]-Таблица2[[#This Row],[Сумма реализации (с возвратами)]]</f>
        <v>-71800</v>
      </c>
    </row>
    <row r="24" spans="1:4" s="1" customFormat="1" ht="10.95" customHeight="1" x14ac:dyDescent="0.2">
      <c r="A24" s="2" t="s">
        <v>28</v>
      </c>
      <c r="B24" s="3">
        <v>116000</v>
      </c>
      <c r="C24" s="1">
        <f>IFERROR(VLOOKUP(Таблица2[[#This Row],[Контрагент]],Таблица1[],2,0),0)</f>
        <v>23750</v>
      </c>
      <c r="D24" s="10">
        <f>Таблица2[[#This Row],[Декабрь]]-Таблица2[[#This Row],[Сумма реализации (с возвратами)]]</f>
        <v>-92250</v>
      </c>
    </row>
    <row r="25" spans="1:4" s="1" customFormat="1" ht="10.95" customHeight="1" x14ac:dyDescent="0.2">
      <c r="A25" s="2" t="s">
        <v>29</v>
      </c>
      <c r="B25" s="3">
        <v>151600</v>
      </c>
      <c r="C25" s="1">
        <f>IFERROR(VLOOKUP(Таблица2[[#This Row],[Контрагент]],Таблица1[],2,0),0)</f>
        <v>505043</v>
      </c>
      <c r="D25" s="10">
        <f>Таблица2[[#This Row],[Декабрь]]-Таблица2[[#This Row],[Сумма реализации (с возвратами)]]</f>
        <v>353443</v>
      </c>
    </row>
    <row r="26" spans="1:4" s="1" customFormat="1" ht="10.95" customHeight="1" x14ac:dyDescent="0.2">
      <c r="A26" s="2" t="s">
        <v>30</v>
      </c>
      <c r="B26" s="3">
        <v>1222540</v>
      </c>
      <c r="C26" s="1">
        <f>IFERROR(VLOOKUP(Таблица2[[#This Row],[Контрагент]],Таблица1[],2,0),0)</f>
        <v>1100760</v>
      </c>
      <c r="D26" s="10">
        <f>Таблица2[[#This Row],[Декабрь]]-Таблица2[[#This Row],[Сумма реализации (с возвратами)]]</f>
        <v>-121780</v>
      </c>
    </row>
    <row r="27" spans="1:4" s="1" customFormat="1" ht="10.95" customHeight="1" x14ac:dyDescent="0.2">
      <c r="A27" s="2" t="s">
        <v>864</v>
      </c>
      <c r="B27" s="3">
        <v>22730</v>
      </c>
      <c r="C27" s="1">
        <f>IFERROR(VLOOKUP(Таблица2[[#This Row],[Контрагент]],Таблица1[],2,0),0)</f>
        <v>0</v>
      </c>
      <c r="D27" s="10">
        <f>Таблица2[[#This Row],[Декабрь]]-Таблица2[[#This Row],[Сумма реализации (с возвратами)]]</f>
        <v>-22730</v>
      </c>
    </row>
    <row r="28" spans="1:4" s="1" customFormat="1" ht="10.95" customHeight="1" x14ac:dyDescent="0.2">
      <c r="A28" s="2" t="s">
        <v>865</v>
      </c>
      <c r="B28" s="3">
        <v>83580</v>
      </c>
      <c r="C28" s="1">
        <f>IFERROR(VLOOKUP(Таблица2[[#This Row],[Контрагент]],Таблица1[],2,0),0)</f>
        <v>0</v>
      </c>
      <c r="D28" s="10">
        <f>Таблица2[[#This Row],[Декабрь]]-Таблица2[[#This Row],[Сумма реализации (с возвратами)]]</f>
        <v>-83580</v>
      </c>
    </row>
    <row r="29" spans="1:4" s="1" customFormat="1" ht="10.95" customHeight="1" x14ac:dyDescent="0.2">
      <c r="A29" s="2" t="s">
        <v>866</v>
      </c>
      <c r="B29" s="3">
        <v>7350</v>
      </c>
      <c r="C29" s="1">
        <f>IFERROR(VLOOKUP(Таблица2[[#This Row],[Контрагент]],Таблица1[],2,0),0)</f>
        <v>0</v>
      </c>
      <c r="D29" s="10">
        <f>Таблица2[[#This Row],[Декабрь]]-Таблица2[[#This Row],[Сумма реализации (с возвратами)]]</f>
        <v>-7350</v>
      </c>
    </row>
    <row r="30" spans="1:4" s="1" customFormat="1" ht="10.95" customHeight="1" x14ac:dyDescent="0.2">
      <c r="A30" s="2" t="s">
        <v>867</v>
      </c>
      <c r="B30" s="3">
        <v>119000</v>
      </c>
      <c r="C30" s="1">
        <f>IFERROR(VLOOKUP(Таблица2[[#This Row],[Контрагент]],Таблица1[],2,0),0)</f>
        <v>0</v>
      </c>
      <c r="D30" s="10">
        <f>Таблица2[[#This Row],[Декабрь]]-Таблица2[[#This Row],[Сумма реализации (с возвратами)]]</f>
        <v>-119000</v>
      </c>
    </row>
    <row r="31" spans="1:4" s="1" customFormat="1" ht="10.95" customHeight="1" x14ac:dyDescent="0.2">
      <c r="A31" s="2" t="s">
        <v>868</v>
      </c>
      <c r="B31" s="3">
        <v>23760</v>
      </c>
      <c r="C31" s="1">
        <f>IFERROR(VLOOKUP(Таблица2[[#This Row],[Контрагент]],Таблица1[],2,0),0)</f>
        <v>0</v>
      </c>
      <c r="D31" s="10">
        <f>Таблица2[[#This Row],[Декабрь]]-Таблица2[[#This Row],[Сумма реализации (с возвратами)]]</f>
        <v>-23760</v>
      </c>
    </row>
    <row r="32" spans="1:4" s="1" customFormat="1" ht="10.95" customHeight="1" x14ac:dyDescent="0.2">
      <c r="A32" s="2" t="s">
        <v>869</v>
      </c>
      <c r="B32" s="3">
        <v>52570</v>
      </c>
      <c r="C32" s="1">
        <f>IFERROR(VLOOKUP(Таблица2[[#This Row],[Контрагент]],Таблица1[],2,0),0)</f>
        <v>0</v>
      </c>
      <c r="D32" s="10">
        <f>Таблица2[[#This Row],[Декабрь]]-Таблица2[[#This Row],[Сумма реализации (с возвратами)]]</f>
        <v>-52570</v>
      </c>
    </row>
    <row r="33" spans="1:4" s="1" customFormat="1" ht="10.95" customHeight="1" x14ac:dyDescent="0.2">
      <c r="A33" s="2" t="s">
        <v>33</v>
      </c>
      <c r="B33" s="3">
        <v>50655</v>
      </c>
      <c r="C33" s="1">
        <f>IFERROR(VLOOKUP(Таблица2[[#This Row],[Контрагент]],Таблица1[],2,0),0)</f>
        <v>249025</v>
      </c>
      <c r="D33" s="10">
        <f>Таблица2[[#This Row],[Декабрь]]-Таблица2[[#This Row],[Сумма реализации (с возвратами)]]</f>
        <v>198370</v>
      </c>
    </row>
    <row r="34" spans="1:4" s="1" customFormat="1" ht="10.95" customHeight="1" x14ac:dyDescent="0.2">
      <c r="A34" s="2" t="s">
        <v>34</v>
      </c>
      <c r="B34" s="3">
        <v>122270</v>
      </c>
      <c r="C34" s="1">
        <f>IFERROR(VLOOKUP(Таблица2[[#This Row],[Контрагент]],Таблица1[],2,0),0)</f>
        <v>35910</v>
      </c>
      <c r="D34" s="10">
        <f>Таблица2[[#This Row],[Декабрь]]-Таблица2[[#This Row],[Сумма реализации (с возвратами)]]</f>
        <v>-86360</v>
      </c>
    </row>
    <row r="35" spans="1:4" s="1" customFormat="1" ht="10.95" customHeight="1" x14ac:dyDescent="0.2">
      <c r="A35" s="2" t="s">
        <v>35</v>
      </c>
      <c r="B35" s="3">
        <v>783034</v>
      </c>
      <c r="C35" s="1">
        <f>IFERROR(VLOOKUP(Таблица2[[#This Row],[Контрагент]],Таблица1[],2,0),0)</f>
        <v>949013</v>
      </c>
      <c r="D35" s="10">
        <f>Таблица2[[#This Row],[Декабрь]]-Таблица2[[#This Row],[Сумма реализации (с возвратами)]]</f>
        <v>165979</v>
      </c>
    </row>
    <row r="36" spans="1:4" s="1" customFormat="1" ht="10.95" customHeight="1" x14ac:dyDescent="0.2">
      <c r="A36" s="2" t="s">
        <v>36</v>
      </c>
      <c r="B36" s="3">
        <v>2592882</v>
      </c>
      <c r="C36" s="1">
        <f>IFERROR(VLOOKUP(Таблица2[[#This Row],[Контрагент]],Таблица1[],2,0),0)</f>
        <v>2688000</v>
      </c>
      <c r="D36" s="10">
        <f>Таблица2[[#This Row],[Декабрь]]-Таблица2[[#This Row],[Сумма реализации (с возвратами)]]</f>
        <v>95118</v>
      </c>
    </row>
    <row r="37" spans="1:4" s="1" customFormat="1" ht="10.95" customHeight="1" x14ac:dyDescent="0.2">
      <c r="A37" s="2" t="s">
        <v>870</v>
      </c>
      <c r="B37" s="3">
        <v>153270</v>
      </c>
      <c r="C37" s="1">
        <f>IFERROR(VLOOKUP(Таблица2[[#This Row],[Контрагент]],Таблица1[],2,0),0)</f>
        <v>0</v>
      </c>
      <c r="D37" s="10">
        <f>Таблица2[[#This Row],[Декабрь]]-Таблица2[[#This Row],[Сумма реализации (с возвратами)]]</f>
        <v>-153270</v>
      </c>
    </row>
    <row r="38" spans="1:4" s="1" customFormat="1" ht="10.95" customHeight="1" x14ac:dyDescent="0.2">
      <c r="A38" s="2" t="s">
        <v>37</v>
      </c>
      <c r="B38" s="3">
        <v>35640</v>
      </c>
      <c r="C38" s="1">
        <f>IFERROR(VLOOKUP(Таблица2[[#This Row],[Контрагент]],Таблица1[],2,0),0)</f>
        <v>16660</v>
      </c>
      <c r="D38" s="10">
        <f>Таблица2[[#This Row],[Декабрь]]-Таблица2[[#This Row],[Сумма реализации (с возвратами)]]</f>
        <v>-18980</v>
      </c>
    </row>
    <row r="39" spans="1:4" s="1" customFormat="1" ht="10.95" customHeight="1" x14ac:dyDescent="0.2">
      <c r="A39" s="2" t="s">
        <v>871</v>
      </c>
      <c r="B39" s="3">
        <v>15000</v>
      </c>
      <c r="C39" s="1">
        <f>IFERROR(VLOOKUP(Таблица2[[#This Row],[Контрагент]],Таблица1[],2,0),0)</f>
        <v>0</v>
      </c>
      <c r="D39" s="10">
        <f>Таблица2[[#This Row],[Декабрь]]-Таблица2[[#This Row],[Сумма реализации (с возвратами)]]</f>
        <v>-15000</v>
      </c>
    </row>
    <row r="40" spans="1:4" s="1" customFormat="1" ht="10.95" customHeight="1" x14ac:dyDescent="0.2">
      <c r="A40" s="2" t="s">
        <v>39</v>
      </c>
      <c r="B40" s="3">
        <v>262770</v>
      </c>
      <c r="C40" s="1">
        <f>IFERROR(VLOOKUP(Таблица2[[#This Row],[Контрагент]],Таблица1[],2,0),0)</f>
        <v>394360</v>
      </c>
      <c r="D40" s="10">
        <f>Таблица2[[#This Row],[Декабрь]]-Таблица2[[#This Row],[Сумма реализации (с возвратами)]]</f>
        <v>131590</v>
      </c>
    </row>
    <row r="41" spans="1:4" s="1" customFormat="1" ht="10.95" customHeight="1" x14ac:dyDescent="0.2">
      <c r="A41" s="2" t="s">
        <v>40</v>
      </c>
      <c r="B41" s="3">
        <v>230380</v>
      </c>
      <c r="C41" s="1">
        <f>IFERROR(VLOOKUP(Таблица2[[#This Row],[Контрагент]],Таблица1[],2,0),0)</f>
        <v>123140</v>
      </c>
      <c r="D41" s="10">
        <f>Таблица2[[#This Row],[Декабрь]]-Таблица2[[#This Row],[Сумма реализации (с возвратами)]]</f>
        <v>-107240</v>
      </c>
    </row>
    <row r="42" spans="1:4" s="1" customFormat="1" ht="10.95" customHeight="1" x14ac:dyDescent="0.2">
      <c r="A42" s="2" t="s">
        <v>41</v>
      </c>
      <c r="B42" s="3">
        <v>972175</v>
      </c>
      <c r="C42" s="1">
        <f>IFERROR(VLOOKUP(Таблица2[[#This Row],[Контрагент]],Таблица1[],2,0),0)</f>
        <v>966290</v>
      </c>
      <c r="D42" s="10">
        <f>Таблица2[[#This Row],[Декабрь]]-Таблица2[[#This Row],[Сумма реализации (с возвратами)]]</f>
        <v>-5885</v>
      </c>
    </row>
    <row r="43" spans="1:4" s="1" customFormat="1" ht="10.95" customHeight="1" x14ac:dyDescent="0.2">
      <c r="A43" s="2" t="s">
        <v>42</v>
      </c>
      <c r="B43" s="3">
        <v>40610</v>
      </c>
      <c r="C43" s="1">
        <f>IFERROR(VLOOKUP(Таблица2[[#This Row],[Контрагент]],Таблица1[],2,0),0)</f>
        <v>197260</v>
      </c>
      <c r="D43" s="10">
        <f>Таблица2[[#This Row],[Декабрь]]-Таблица2[[#This Row],[Сумма реализации (с возвратами)]]</f>
        <v>156650</v>
      </c>
    </row>
    <row r="44" spans="1:4" s="1" customFormat="1" ht="10.95" customHeight="1" x14ac:dyDescent="0.2">
      <c r="A44" s="2" t="s">
        <v>43</v>
      </c>
      <c r="B44" s="3">
        <v>23950</v>
      </c>
      <c r="C44" s="1">
        <f>IFERROR(VLOOKUP(Таблица2[[#This Row],[Контрагент]],Таблица1[],2,0),0)</f>
        <v>140280</v>
      </c>
      <c r="D44" s="10">
        <f>Таблица2[[#This Row],[Декабрь]]-Таблица2[[#This Row],[Сумма реализации (с возвратами)]]</f>
        <v>116330</v>
      </c>
    </row>
    <row r="45" spans="1:4" s="1" customFormat="1" ht="10.95" customHeight="1" x14ac:dyDescent="0.2">
      <c r="A45" s="2" t="s">
        <v>44</v>
      </c>
      <c r="B45" s="3">
        <v>24340</v>
      </c>
      <c r="C45" s="1">
        <f>IFERROR(VLOOKUP(Таблица2[[#This Row],[Контрагент]],Таблица1[],2,0),0)</f>
        <v>92810</v>
      </c>
      <c r="D45" s="10">
        <f>Таблица2[[#This Row],[Декабрь]]-Таблица2[[#This Row],[Сумма реализации (с возвратами)]]</f>
        <v>68470</v>
      </c>
    </row>
    <row r="46" spans="1:4" s="1" customFormat="1" ht="10.95" customHeight="1" x14ac:dyDescent="0.2">
      <c r="A46" s="2" t="s">
        <v>46</v>
      </c>
      <c r="B46" s="3">
        <v>16480</v>
      </c>
      <c r="C46" s="1">
        <f>IFERROR(VLOOKUP(Таблица2[[#This Row],[Контрагент]],Таблица1[],2,0),0)</f>
        <v>132010</v>
      </c>
      <c r="D46" s="10">
        <f>Таблица2[[#This Row],[Декабрь]]-Таблица2[[#This Row],[Сумма реализации (с возвратами)]]</f>
        <v>115530</v>
      </c>
    </row>
    <row r="47" spans="1:4" s="1" customFormat="1" ht="10.95" customHeight="1" x14ac:dyDescent="0.2">
      <c r="A47" s="2" t="s">
        <v>49</v>
      </c>
      <c r="B47" s="3">
        <v>21200</v>
      </c>
      <c r="C47" s="1">
        <f>IFERROR(VLOOKUP(Таблица2[[#This Row],[Контрагент]],Таблица1[],2,0),0)</f>
        <v>193265</v>
      </c>
      <c r="D47" s="10">
        <f>Таблица2[[#This Row],[Декабрь]]-Таблица2[[#This Row],[Сумма реализации (с возвратами)]]</f>
        <v>172065</v>
      </c>
    </row>
    <row r="48" spans="1:4" s="1" customFormat="1" ht="10.95" customHeight="1" x14ac:dyDescent="0.2">
      <c r="A48" s="2" t="s">
        <v>50</v>
      </c>
      <c r="B48" s="3">
        <v>53820</v>
      </c>
      <c r="C48" s="1">
        <f>IFERROR(VLOOKUP(Таблица2[[#This Row],[Контрагент]],Таблица1[],2,0),0)</f>
        <v>26590</v>
      </c>
      <c r="D48" s="10">
        <f>Таблица2[[#This Row],[Декабрь]]-Таблица2[[#This Row],[Сумма реализации (с возвратами)]]</f>
        <v>-27230</v>
      </c>
    </row>
    <row r="49" spans="1:4" s="1" customFormat="1" ht="10.95" customHeight="1" x14ac:dyDescent="0.2">
      <c r="A49" s="2" t="s">
        <v>872</v>
      </c>
      <c r="B49" s="3">
        <v>21830</v>
      </c>
      <c r="C49" s="1">
        <f>IFERROR(VLOOKUP(Таблица2[[#This Row],[Контрагент]],Таблица1[],2,0),0)</f>
        <v>0</v>
      </c>
      <c r="D49" s="10">
        <f>Таблица2[[#This Row],[Декабрь]]-Таблица2[[#This Row],[Сумма реализации (с возвратами)]]</f>
        <v>-21830</v>
      </c>
    </row>
    <row r="50" spans="1:4" s="1" customFormat="1" ht="10.95" customHeight="1" x14ac:dyDescent="0.2">
      <c r="A50" s="2" t="s">
        <v>51</v>
      </c>
      <c r="B50" s="3">
        <v>123860</v>
      </c>
      <c r="C50" s="1">
        <f>IFERROR(VLOOKUP(Таблица2[[#This Row],[Контрагент]],Таблица1[],2,0),0)</f>
        <v>122113</v>
      </c>
      <c r="D50" s="10">
        <f>Таблица2[[#This Row],[Декабрь]]-Таблица2[[#This Row],[Сумма реализации (с возвратами)]]</f>
        <v>-1747</v>
      </c>
    </row>
    <row r="51" spans="1:4" s="1" customFormat="1" ht="10.95" customHeight="1" x14ac:dyDescent="0.2">
      <c r="A51" s="2" t="s">
        <v>52</v>
      </c>
      <c r="B51" s="3">
        <v>1005860</v>
      </c>
      <c r="C51" s="1">
        <f>IFERROR(VLOOKUP(Таблица2[[#This Row],[Контрагент]],Таблица1[],2,0),0)</f>
        <v>393264</v>
      </c>
      <c r="D51" s="10">
        <f>Таблица2[[#This Row],[Декабрь]]-Таблица2[[#This Row],[Сумма реализации (с возвратами)]]</f>
        <v>-612596</v>
      </c>
    </row>
    <row r="52" spans="1:4" s="1" customFormat="1" ht="10.95" customHeight="1" x14ac:dyDescent="0.2">
      <c r="A52" s="2" t="s">
        <v>873</v>
      </c>
      <c r="B52" s="3">
        <v>97470</v>
      </c>
      <c r="C52" s="1">
        <f>IFERROR(VLOOKUP(Таблица2[[#This Row],[Контрагент]],Таблица1[],2,0),0)</f>
        <v>0</v>
      </c>
      <c r="D52" s="10">
        <f>Таблица2[[#This Row],[Декабрь]]-Таблица2[[#This Row],[Сумма реализации (с возвратами)]]</f>
        <v>-97470</v>
      </c>
    </row>
    <row r="53" spans="1:4" s="1" customFormat="1" ht="10.95" customHeight="1" x14ac:dyDescent="0.2">
      <c r="A53" s="2" t="s">
        <v>874</v>
      </c>
      <c r="B53" s="3">
        <v>36260</v>
      </c>
      <c r="C53" s="1">
        <f>IFERROR(VLOOKUP(Таблица2[[#This Row],[Контрагент]],Таблица1[],2,0),0)</f>
        <v>0</v>
      </c>
      <c r="D53" s="10">
        <f>Таблица2[[#This Row],[Декабрь]]-Таблица2[[#This Row],[Сумма реализации (с возвратами)]]</f>
        <v>-36260</v>
      </c>
    </row>
    <row r="54" spans="1:4" s="1" customFormat="1" ht="10.95" customHeight="1" x14ac:dyDescent="0.2">
      <c r="A54" s="2" t="s">
        <v>54</v>
      </c>
      <c r="B54" s="3">
        <v>73200</v>
      </c>
      <c r="C54" s="1">
        <f>IFERROR(VLOOKUP(Таблица2[[#This Row],[Контрагент]],Таблица1[],2,0),0)</f>
        <v>75050</v>
      </c>
      <c r="D54" s="10">
        <f>Таблица2[[#This Row],[Декабрь]]-Таблица2[[#This Row],[Сумма реализации (с возвратами)]]</f>
        <v>1850</v>
      </c>
    </row>
    <row r="55" spans="1:4" s="1" customFormat="1" ht="10.95" customHeight="1" x14ac:dyDescent="0.2">
      <c r="A55" s="2" t="s">
        <v>875</v>
      </c>
      <c r="B55" s="3">
        <v>153360</v>
      </c>
      <c r="C55" s="1">
        <f>IFERROR(VLOOKUP(Таблица2[[#This Row],[Контрагент]],Таблица1[],2,0),0)</f>
        <v>0</v>
      </c>
      <c r="D55" s="10">
        <f>Таблица2[[#This Row],[Декабрь]]-Таблица2[[#This Row],[Сумма реализации (с возвратами)]]</f>
        <v>-153360</v>
      </c>
    </row>
    <row r="56" spans="1:4" s="1" customFormat="1" ht="10.95" customHeight="1" x14ac:dyDescent="0.2">
      <c r="A56" s="2" t="s">
        <v>876</v>
      </c>
      <c r="B56" s="3">
        <v>96470</v>
      </c>
      <c r="C56" s="1">
        <f>IFERROR(VLOOKUP(Таблица2[[#This Row],[Контрагент]],Таблица1[],2,0),0)</f>
        <v>0</v>
      </c>
      <c r="D56" s="10">
        <f>Таблица2[[#This Row],[Декабрь]]-Таблица2[[#This Row],[Сумма реализации (с возвратами)]]</f>
        <v>-96470</v>
      </c>
    </row>
    <row r="57" spans="1:4" s="1" customFormat="1" ht="10.95" customHeight="1" x14ac:dyDescent="0.2">
      <c r="A57" s="2" t="s">
        <v>877</v>
      </c>
      <c r="B57" s="3">
        <v>99150</v>
      </c>
      <c r="C57" s="1">
        <f>IFERROR(VLOOKUP(Таблица2[[#This Row],[Контрагент]],Таблица1[],2,0),0)</f>
        <v>0</v>
      </c>
      <c r="D57" s="10">
        <f>Таблица2[[#This Row],[Декабрь]]-Таблица2[[#This Row],[Сумма реализации (с возвратами)]]</f>
        <v>-99150</v>
      </c>
    </row>
    <row r="58" spans="1:4" s="1" customFormat="1" ht="10.95" customHeight="1" x14ac:dyDescent="0.2">
      <c r="A58" s="2" t="s">
        <v>59</v>
      </c>
      <c r="B58" s="3">
        <v>35850</v>
      </c>
      <c r="C58" s="1">
        <f>IFERROR(VLOOKUP(Таблица2[[#This Row],[Контрагент]],Таблица1[],2,0),0)</f>
        <v>106395</v>
      </c>
      <c r="D58" s="10">
        <f>Таблица2[[#This Row],[Декабрь]]-Таблица2[[#This Row],[Сумма реализации (с возвратами)]]</f>
        <v>70545</v>
      </c>
    </row>
    <row r="59" spans="1:4" s="1" customFormat="1" ht="10.95" customHeight="1" x14ac:dyDescent="0.2">
      <c r="A59" s="2" t="s">
        <v>60</v>
      </c>
      <c r="B59" s="3">
        <v>140140</v>
      </c>
      <c r="C59" s="1">
        <f>IFERROR(VLOOKUP(Таблица2[[#This Row],[Контрагент]],Таблица1[],2,0),0)</f>
        <v>102460</v>
      </c>
      <c r="D59" s="10">
        <f>Таблица2[[#This Row],[Декабрь]]-Таблица2[[#This Row],[Сумма реализации (с возвратами)]]</f>
        <v>-37680</v>
      </c>
    </row>
    <row r="60" spans="1:4" s="1" customFormat="1" ht="10.95" customHeight="1" x14ac:dyDescent="0.2">
      <c r="A60" s="2" t="s">
        <v>64</v>
      </c>
      <c r="B60" s="3">
        <v>194353</v>
      </c>
      <c r="C60" s="1">
        <f>IFERROR(VLOOKUP(Таблица2[[#This Row],[Контрагент]],Таблица1[],2,0),0)</f>
        <v>333303</v>
      </c>
      <c r="D60" s="10">
        <f>Таблица2[[#This Row],[Декабрь]]-Таблица2[[#This Row],[Сумма реализации (с возвратами)]]</f>
        <v>138950</v>
      </c>
    </row>
    <row r="61" spans="1:4" s="1" customFormat="1" ht="10.95" customHeight="1" x14ac:dyDescent="0.2">
      <c r="A61" s="2" t="s">
        <v>66</v>
      </c>
      <c r="B61" s="3">
        <v>29480</v>
      </c>
      <c r="C61" s="1">
        <f>IFERROR(VLOOKUP(Таблица2[[#This Row],[Контрагент]],Таблица1[],2,0),0)</f>
        <v>117600</v>
      </c>
      <c r="D61" s="10">
        <f>Таблица2[[#This Row],[Декабрь]]-Таблица2[[#This Row],[Сумма реализации (с возвратами)]]</f>
        <v>88120</v>
      </c>
    </row>
    <row r="62" spans="1:4" s="1" customFormat="1" ht="10.95" customHeight="1" x14ac:dyDescent="0.2">
      <c r="A62" s="2" t="s">
        <v>878</v>
      </c>
      <c r="B62" s="3">
        <v>178575</v>
      </c>
      <c r="C62" s="1">
        <f>IFERROR(VLOOKUP(Таблица2[[#This Row],[Контрагент]],Таблица1[],2,0),0)</f>
        <v>0</v>
      </c>
      <c r="D62" s="10">
        <f>Таблица2[[#This Row],[Декабрь]]-Таблица2[[#This Row],[Сумма реализации (с возвратами)]]</f>
        <v>-178575</v>
      </c>
    </row>
    <row r="63" spans="1:4" s="1" customFormat="1" ht="10.95" customHeight="1" x14ac:dyDescent="0.2">
      <c r="A63" s="2" t="s">
        <v>68</v>
      </c>
      <c r="B63" s="3">
        <v>30840</v>
      </c>
      <c r="C63" s="1">
        <f>IFERROR(VLOOKUP(Таблица2[[#This Row],[Контрагент]],Таблица1[],2,0),0)</f>
        <v>79840</v>
      </c>
      <c r="D63" s="10">
        <f>Таблица2[[#This Row],[Декабрь]]-Таблица2[[#This Row],[Сумма реализации (с возвратами)]]</f>
        <v>49000</v>
      </c>
    </row>
    <row r="64" spans="1:4" s="1" customFormat="1" ht="10.95" customHeight="1" x14ac:dyDescent="0.2">
      <c r="A64" s="2" t="s">
        <v>69</v>
      </c>
      <c r="B64" s="3">
        <v>443335</v>
      </c>
      <c r="C64" s="1">
        <f>IFERROR(VLOOKUP(Таблица2[[#This Row],[Контрагент]],Таблица1[],2,0),0)</f>
        <v>530195</v>
      </c>
      <c r="D64" s="10">
        <f>Таблица2[[#This Row],[Декабрь]]-Таблица2[[#This Row],[Сумма реализации (с возвратами)]]</f>
        <v>86860</v>
      </c>
    </row>
    <row r="65" spans="1:4" s="1" customFormat="1" ht="10.95" customHeight="1" x14ac:dyDescent="0.2">
      <c r="A65" s="2" t="s">
        <v>70</v>
      </c>
      <c r="B65" s="3">
        <v>331927</v>
      </c>
      <c r="C65" s="1">
        <f>IFERROR(VLOOKUP(Таблица2[[#This Row],[Контрагент]],Таблица1[],2,0),0)</f>
        <v>323184</v>
      </c>
      <c r="D65" s="10">
        <f>Таблица2[[#This Row],[Декабрь]]-Таблица2[[#This Row],[Сумма реализации (с возвратами)]]</f>
        <v>-8743</v>
      </c>
    </row>
    <row r="66" spans="1:4" s="1" customFormat="1" ht="10.95" customHeight="1" x14ac:dyDescent="0.2">
      <c r="A66" s="2" t="s">
        <v>71</v>
      </c>
      <c r="B66" s="3">
        <v>117900</v>
      </c>
      <c r="C66" s="1">
        <f>IFERROR(VLOOKUP(Таблица2[[#This Row],[Контрагент]],Таблица1[],2,0),0)</f>
        <v>63840</v>
      </c>
      <c r="D66" s="10">
        <f>Таблица2[[#This Row],[Декабрь]]-Таблица2[[#This Row],[Сумма реализации (с возвратами)]]</f>
        <v>-54060</v>
      </c>
    </row>
    <row r="67" spans="1:4" s="1" customFormat="1" ht="10.95" customHeight="1" x14ac:dyDescent="0.2">
      <c r="A67" s="2" t="s">
        <v>879</v>
      </c>
      <c r="B67" s="3">
        <v>29030</v>
      </c>
      <c r="C67" s="1">
        <f>IFERROR(VLOOKUP(Таблица2[[#This Row],[Контрагент]],Таблица1[],2,0),0)</f>
        <v>0</v>
      </c>
      <c r="D67" s="10">
        <f>Таблица2[[#This Row],[Декабрь]]-Таблица2[[#This Row],[Сумма реализации (с возвратами)]]</f>
        <v>-29030</v>
      </c>
    </row>
    <row r="68" spans="1:4" s="1" customFormat="1" ht="10.95" customHeight="1" x14ac:dyDescent="0.2">
      <c r="A68" s="2" t="s">
        <v>76</v>
      </c>
      <c r="B68" s="3">
        <v>32125</v>
      </c>
      <c r="C68" s="1">
        <f>IFERROR(VLOOKUP(Таблица2[[#This Row],[Контрагент]],Таблица1[],2,0),0)</f>
        <v>57200</v>
      </c>
      <c r="D68" s="10">
        <f>Таблица2[[#This Row],[Декабрь]]-Таблица2[[#This Row],[Сумма реализации (с возвратами)]]</f>
        <v>25075</v>
      </c>
    </row>
    <row r="69" spans="1:4" s="1" customFormat="1" ht="10.95" customHeight="1" x14ac:dyDescent="0.2">
      <c r="A69" s="2" t="s">
        <v>77</v>
      </c>
      <c r="B69" s="3">
        <v>69830</v>
      </c>
      <c r="C69" s="1">
        <f>IFERROR(VLOOKUP(Таблица2[[#This Row],[Контрагент]],Таблица1[],2,0),0)</f>
        <v>61320</v>
      </c>
      <c r="D69" s="10">
        <f>Таблица2[[#This Row],[Декабрь]]-Таблица2[[#This Row],[Сумма реализации (с возвратами)]]</f>
        <v>-8510</v>
      </c>
    </row>
    <row r="70" spans="1:4" s="1" customFormat="1" ht="10.95" customHeight="1" x14ac:dyDescent="0.2">
      <c r="A70" s="2" t="s">
        <v>78</v>
      </c>
      <c r="B70" s="3">
        <v>82330</v>
      </c>
      <c r="C70" s="1">
        <f>IFERROR(VLOOKUP(Таблица2[[#This Row],[Контрагент]],Таблица1[],2,0),0)</f>
        <v>24640</v>
      </c>
      <c r="D70" s="10">
        <f>Таблица2[[#This Row],[Декабрь]]-Таблица2[[#This Row],[Сумма реализации (с возвратами)]]</f>
        <v>-57690</v>
      </c>
    </row>
    <row r="71" spans="1:4" s="1" customFormat="1" ht="10.95" customHeight="1" x14ac:dyDescent="0.2">
      <c r="A71" s="2" t="s">
        <v>880</v>
      </c>
      <c r="B71" s="3">
        <v>93450</v>
      </c>
      <c r="C71" s="1">
        <f>IFERROR(VLOOKUP(Таблица2[[#This Row],[Контрагент]],Таблица1[],2,0),0)</f>
        <v>0</v>
      </c>
      <c r="D71" s="10">
        <f>Таблица2[[#This Row],[Декабрь]]-Таблица2[[#This Row],[Сумма реализации (с возвратами)]]</f>
        <v>-93450</v>
      </c>
    </row>
    <row r="72" spans="1:4" s="1" customFormat="1" ht="10.95" customHeight="1" x14ac:dyDescent="0.2">
      <c r="A72" s="2" t="s">
        <v>881</v>
      </c>
      <c r="B72" s="3">
        <v>9050</v>
      </c>
      <c r="C72" s="1">
        <f>IFERROR(VLOOKUP(Таблица2[[#This Row],[Контрагент]],Таблица1[],2,0),0)</f>
        <v>0</v>
      </c>
      <c r="D72" s="10">
        <f>Таблица2[[#This Row],[Декабрь]]-Таблица2[[#This Row],[Сумма реализации (с возвратами)]]</f>
        <v>-9050</v>
      </c>
    </row>
    <row r="73" spans="1:4" s="1" customFormat="1" ht="10.95" customHeight="1" x14ac:dyDescent="0.2">
      <c r="A73" s="2" t="s">
        <v>80</v>
      </c>
      <c r="B73" s="3">
        <v>157975</v>
      </c>
      <c r="C73" s="1">
        <f>IFERROR(VLOOKUP(Таблица2[[#This Row],[Контрагент]],Таблица1[],2,0),0)</f>
        <v>102620</v>
      </c>
      <c r="D73" s="10">
        <f>Таблица2[[#This Row],[Декабрь]]-Таблица2[[#This Row],[Сумма реализации (с возвратами)]]</f>
        <v>-55355</v>
      </c>
    </row>
    <row r="74" spans="1:4" s="1" customFormat="1" ht="10.95" customHeight="1" x14ac:dyDescent="0.2">
      <c r="A74" s="2" t="s">
        <v>882</v>
      </c>
      <c r="B74" s="3">
        <v>19130</v>
      </c>
      <c r="C74" s="1">
        <f>IFERROR(VLOOKUP(Таблица2[[#This Row],[Контрагент]],Таблица1[],2,0),0)</f>
        <v>0</v>
      </c>
      <c r="D74" s="10">
        <f>Таблица2[[#This Row],[Декабрь]]-Таблица2[[#This Row],[Сумма реализации (с возвратами)]]</f>
        <v>-19130</v>
      </c>
    </row>
    <row r="75" spans="1:4" s="1" customFormat="1" ht="10.95" customHeight="1" x14ac:dyDescent="0.2">
      <c r="A75" s="2" t="s">
        <v>81</v>
      </c>
      <c r="B75" s="3">
        <v>35020</v>
      </c>
      <c r="C75" s="1">
        <f>IFERROR(VLOOKUP(Таблица2[[#This Row],[Контрагент]],Таблица1[],2,0),0)</f>
        <v>10000</v>
      </c>
      <c r="D75" s="10">
        <f>Таблица2[[#This Row],[Декабрь]]-Таблица2[[#This Row],[Сумма реализации (с возвратами)]]</f>
        <v>-25020</v>
      </c>
    </row>
    <row r="76" spans="1:4" s="1" customFormat="1" ht="10.95" customHeight="1" x14ac:dyDescent="0.2">
      <c r="A76" s="2" t="s">
        <v>82</v>
      </c>
      <c r="B76" s="3">
        <v>49240</v>
      </c>
      <c r="C76" s="1">
        <f>IFERROR(VLOOKUP(Таблица2[[#This Row],[Контрагент]],Таблица1[],2,0),0)</f>
        <v>36160</v>
      </c>
      <c r="D76" s="10">
        <f>Таблица2[[#This Row],[Декабрь]]-Таблица2[[#This Row],[Сумма реализации (с возвратами)]]</f>
        <v>-13080</v>
      </c>
    </row>
    <row r="77" spans="1:4" s="1" customFormat="1" ht="10.95" customHeight="1" x14ac:dyDescent="0.2">
      <c r="A77" s="2" t="s">
        <v>883</v>
      </c>
      <c r="B77" s="3">
        <v>115350</v>
      </c>
      <c r="C77" s="1">
        <f>IFERROR(VLOOKUP(Таблица2[[#This Row],[Контрагент]],Таблица1[],2,0),0)</f>
        <v>0</v>
      </c>
      <c r="D77" s="10">
        <f>Таблица2[[#This Row],[Декабрь]]-Таблица2[[#This Row],[Сумма реализации (с возвратами)]]</f>
        <v>-115350</v>
      </c>
    </row>
    <row r="78" spans="1:4" s="1" customFormat="1" ht="10.95" customHeight="1" x14ac:dyDescent="0.2">
      <c r="A78" s="2" t="s">
        <v>86</v>
      </c>
      <c r="B78" s="3">
        <v>15820</v>
      </c>
      <c r="C78" s="1">
        <f>IFERROR(VLOOKUP(Таблица2[[#This Row],[Контрагент]],Таблица1[],2,0),0)</f>
        <v>22580</v>
      </c>
      <c r="D78" s="10">
        <f>Таблица2[[#This Row],[Декабрь]]-Таблица2[[#This Row],[Сумма реализации (с возвратами)]]</f>
        <v>6760</v>
      </c>
    </row>
    <row r="79" spans="1:4" s="1" customFormat="1" ht="10.95" customHeight="1" x14ac:dyDescent="0.2">
      <c r="A79" s="2" t="s">
        <v>884</v>
      </c>
      <c r="B79" s="3">
        <v>1842476</v>
      </c>
      <c r="C79" s="1">
        <f>IFERROR(VLOOKUP(Таблица2[[#This Row],[Контрагент]],Таблица1[],2,0),0)</f>
        <v>0</v>
      </c>
      <c r="D79" s="10">
        <f>Таблица2[[#This Row],[Декабрь]]-Таблица2[[#This Row],[Сумма реализации (с возвратами)]]</f>
        <v>-1842476</v>
      </c>
    </row>
    <row r="80" spans="1:4" s="1" customFormat="1" ht="10.95" customHeight="1" x14ac:dyDescent="0.2">
      <c r="A80" s="2" t="s">
        <v>87</v>
      </c>
      <c r="B80" s="3">
        <v>57150</v>
      </c>
      <c r="C80" s="1">
        <f>IFERROR(VLOOKUP(Таблица2[[#This Row],[Контрагент]],Таблица1[],2,0),0)</f>
        <v>20000</v>
      </c>
      <c r="D80" s="10">
        <f>Таблица2[[#This Row],[Декабрь]]-Таблица2[[#This Row],[Сумма реализации (с возвратами)]]</f>
        <v>-37150</v>
      </c>
    </row>
    <row r="81" spans="1:4" s="1" customFormat="1" ht="10.95" customHeight="1" x14ac:dyDescent="0.2">
      <c r="A81" s="2" t="s">
        <v>88</v>
      </c>
      <c r="B81" s="3">
        <v>81505</v>
      </c>
      <c r="C81" s="1">
        <f>IFERROR(VLOOKUP(Таблица2[[#This Row],[Контрагент]],Таблица1[],2,0),0)</f>
        <v>101215</v>
      </c>
      <c r="D81" s="10">
        <f>Таблица2[[#This Row],[Декабрь]]-Таблица2[[#This Row],[Сумма реализации (с возвратами)]]</f>
        <v>19710</v>
      </c>
    </row>
    <row r="82" spans="1:4" s="1" customFormat="1" ht="10.95" customHeight="1" x14ac:dyDescent="0.2">
      <c r="A82" s="2" t="s">
        <v>885</v>
      </c>
      <c r="B82" s="3">
        <v>114070</v>
      </c>
      <c r="C82" s="1">
        <f>IFERROR(VLOOKUP(Таблица2[[#This Row],[Контрагент]],Таблица1[],2,0),0)</f>
        <v>0</v>
      </c>
      <c r="D82" s="10">
        <f>Таблица2[[#This Row],[Декабрь]]-Таблица2[[#This Row],[Сумма реализации (с возвратами)]]</f>
        <v>-114070</v>
      </c>
    </row>
    <row r="83" spans="1:4" s="1" customFormat="1" ht="10.95" customHeight="1" x14ac:dyDescent="0.2">
      <c r="A83" s="2" t="s">
        <v>90</v>
      </c>
      <c r="B83" s="3">
        <v>55873</v>
      </c>
      <c r="C83" s="1">
        <f>IFERROR(VLOOKUP(Таблица2[[#This Row],[Контрагент]],Таблица1[],2,0),0)</f>
        <v>69515</v>
      </c>
      <c r="D83" s="10">
        <f>Таблица2[[#This Row],[Декабрь]]-Таблица2[[#This Row],[Сумма реализации (с возвратами)]]</f>
        <v>13642</v>
      </c>
    </row>
    <row r="84" spans="1:4" s="1" customFormat="1" ht="10.95" customHeight="1" x14ac:dyDescent="0.2">
      <c r="A84" s="2" t="s">
        <v>886</v>
      </c>
      <c r="B84" s="3">
        <v>57240</v>
      </c>
      <c r="C84" s="1">
        <f>IFERROR(VLOOKUP(Таблица2[[#This Row],[Контрагент]],Таблица1[],2,0),0)</f>
        <v>0</v>
      </c>
      <c r="D84" s="10">
        <f>Таблица2[[#This Row],[Декабрь]]-Таблица2[[#This Row],[Сумма реализации (с возвратами)]]</f>
        <v>-57240</v>
      </c>
    </row>
    <row r="85" spans="1:4" s="1" customFormat="1" ht="10.95" customHeight="1" x14ac:dyDescent="0.2">
      <c r="A85" s="2" t="s">
        <v>887</v>
      </c>
      <c r="B85" s="3">
        <v>102500</v>
      </c>
      <c r="C85" s="1">
        <f>IFERROR(VLOOKUP(Таблица2[[#This Row],[Контрагент]],Таблица1[],2,0),0)</f>
        <v>0</v>
      </c>
      <c r="D85" s="10">
        <f>Таблица2[[#This Row],[Декабрь]]-Таблица2[[#This Row],[Сумма реализации (с возвратами)]]</f>
        <v>-102500</v>
      </c>
    </row>
    <row r="86" spans="1:4" s="1" customFormat="1" ht="10.95" customHeight="1" x14ac:dyDescent="0.2">
      <c r="A86" s="2" t="s">
        <v>888</v>
      </c>
      <c r="B86" s="3">
        <v>12360</v>
      </c>
      <c r="C86" s="1">
        <f>IFERROR(VLOOKUP(Таблица2[[#This Row],[Контрагент]],Таблица1[],2,0),0)</f>
        <v>0</v>
      </c>
      <c r="D86" s="10">
        <f>Таблица2[[#This Row],[Декабрь]]-Таблица2[[#This Row],[Сумма реализации (с возвратами)]]</f>
        <v>-12360</v>
      </c>
    </row>
    <row r="87" spans="1:4" s="1" customFormat="1" ht="10.95" customHeight="1" x14ac:dyDescent="0.2">
      <c r="A87" s="2" t="s">
        <v>91</v>
      </c>
      <c r="B87" s="3">
        <v>269910</v>
      </c>
      <c r="C87" s="1">
        <f>IFERROR(VLOOKUP(Таблица2[[#This Row],[Контрагент]],Таблица1[],2,0),0)</f>
        <v>1028420</v>
      </c>
      <c r="D87" s="10">
        <f>Таблица2[[#This Row],[Декабрь]]-Таблица2[[#This Row],[Сумма реализации (с возвратами)]]</f>
        <v>758510</v>
      </c>
    </row>
    <row r="88" spans="1:4" s="1" customFormat="1" ht="10.95" customHeight="1" x14ac:dyDescent="0.2">
      <c r="A88" s="2" t="s">
        <v>92</v>
      </c>
      <c r="B88" s="3">
        <v>45300</v>
      </c>
      <c r="C88" s="1">
        <f>IFERROR(VLOOKUP(Таблица2[[#This Row],[Контрагент]],Таблица1[],2,0),0)</f>
        <v>47400</v>
      </c>
      <c r="D88" s="10">
        <f>Таблица2[[#This Row],[Декабрь]]-Таблица2[[#This Row],[Сумма реализации (с возвратами)]]</f>
        <v>2100</v>
      </c>
    </row>
    <row r="89" spans="1:4" s="1" customFormat="1" ht="10.95" customHeight="1" x14ac:dyDescent="0.2">
      <c r="A89" s="2" t="s">
        <v>889</v>
      </c>
      <c r="B89" s="3">
        <v>159485</v>
      </c>
      <c r="C89" s="1">
        <f>IFERROR(VLOOKUP(Таблица2[[#This Row],[Контрагент]],Таблица1[],2,0),0)</f>
        <v>0</v>
      </c>
      <c r="D89" s="10">
        <f>Таблица2[[#This Row],[Декабрь]]-Таблица2[[#This Row],[Сумма реализации (с возвратами)]]</f>
        <v>-159485</v>
      </c>
    </row>
    <row r="90" spans="1:4" s="1" customFormat="1" ht="10.95" customHeight="1" x14ac:dyDescent="0.2">
      <c r="A90" s="2" t="s">
        <v>94</v>
      </c>
      <c r="B90" s="3">
        <v>118445</v>
      </c>
      <c r="C90" s="1">
        <f>IFERROR(VLOOKUP(Таблица2[[#This Row],[Контрагент]],Таблица1[],2,0),0)</f>
        <v>108440</v>
      </c>
      <c r="D90" s="10">
        <f>Таблица2[[#This Row],[Декабрь]]-Таблица2[[#This Row],[Сумма реализации (с возвратами)]]</f>
        <v>-10005</v>
      </c>
    </row>
    <row r="91" spans="1:4" s="1" customFormat="1" ht="10.95" customHeight="1" x14ac:dyDescent="0.2">
      <c r="A91" s="2" t="s">
        <v>95</v>
      </c>
      <c r="B91" s="3">
        <v>139330</v>
      </c>
      <c r="C91" s="1">
        <f>IFERROR(VLOOKUP(Таблица2[[#This Row],[Контрагент]],Таблица1[],2,0),0)</f>
        <v>91520</v>
      </c>
      <c r="D91" s="10">
        <f>Таблица2[[#This Row],[Декабрь]]-Таблица2[[#This Row],[Сумма реализации (с возвратами)]]</f>
        <v>-47810</v>
      </c>
    </row>
    <row r="92" spans="1:4" s="1" customFormat="1" ht="10.95" customHeight="1" x14ac:dyDescent="0.2">
      <c r="A92" s="2" t="s">
        <v>96</v>
      </c>
      <c r="B92" s="3">
        <v>254165</v>
      </c>
      <c r="C92" s="1">
        <f>IFERROR(VLOOKUP(Таблица2[[#This Row],[Контрагент]],Таблица1[],2,0),0)</f>
        <v>290408</v>
      </c>
      <c r="D92" s="10">
        <f>Таблица2[[#This Row],[Декабрь]]-Таблица2[[#This Row],[Сумма реализации (с возвратами)]]</f>
        <v>36243</v>
      </c>
    </row>
    <row r="93" spans="1:4" s="1" customFormat="1" ht="10.95" customHeight="1" x14ac:dyDescent="0.2">
      <c r="A93" s="2" t="s">
        <v>890</v>
      </c>
      <c r="B93" s="3">
        <v>88065</v>
      </c>
      <c r="C93" s="1">
        <f>IFERROR(VLOOKUP(Таблица2[[#This Row],[Контрагент]],Таблица1[],2,0),0)</f>
        <v>0</v>
      </c>
      <c r="D93" s="10">
        <f>Таблица2[[#This Row],[Декабрь]]-Таблица2[[#This Row],[Сумма реализации (с возвратами)]]</f>
        <v>-88065</v>
      </c>
    </row>
    <row r="94" spans="1:4" s="1" customFormat="1" ht="10.95" customHeight="1" x14ac:dyDescent="0.2">
      <c r="A94" s="2" t="s">
        <v>98</v>
      </c>
      <c r="B94" s="3">
        <v>45000</v>
      </c>
      <c r="C94" s="1">
        <f>IFERROR(VLOOKUP(Таблица2[[#This Row],[Контрагент]],Таблица1[],2,0),0)</f>
        <v>44400</v>
      </c>
      <c r="D94" s="10">
        <f>Таблица2[[#This Row],[Декабрь]]-Таблица2[[#This Row],[Сумма реализации (с возвратами)]]</f>
        <v>-600</v>
      </c>
    </row>
    <row r="95" spans="1:4" s="1" customFormat="1" ht="10.95" customHeight="1" x14ac:dyDescent="0.2">
      <c r="A95" s="2" t="s">
        <v>99</v>
      </c>
      <c r="B95" s="3">
        <v>23690</v>
      </c>
      <c r="C95" s="1">
        <f>IFERROR(VLOOKUP(Таблица2[[#This Row],[Контрагент]],Таблица1[],2,0),0)</f>
        <v>9600</v>
      </c>
      <c r="D95" s="10">
        <f>Таблица2[[#This Row],[Декабрь]]-Таблица2[[#This Row],[Сумма реализации (с возвратами)]]</f>
        <v>-14090</v>
      </c>
    </row>
    <row r="96" spans="1:4" s="1" customFormat="1" ht="10.95" customHeight="1" x14ac:dyDescent="0.2">
      <c r="A96" s="2" t="s">
        <v>100</v>
      </c>
      <c r="B96" s="3">
        <v>28080</v>
      </c>
      <c r="C96" s="1">
        <f>IFERROR(VLOOKUP(Таблица2[[#This Row],[Контрагент]],Таблица1[],2,0),0)</f>
        <v>17830</v>
      </c>
      <c r="D96" s="10">
        <f>Таблица2[[#This Row],[Декабрь]]-Таблица2[[#This Row],[Сумма реализации (с возвратами)]]</f>
        <v>-10250</v>
      </c>
    </row>
    <row r="97" spans="1:4" s="1" customFormat="1" ht="10.95" customHeight="1" x14ac:dyDescent="0.2">
      <c r="A97" s="2" t="s">
        <v>101</v>
      </c>
      <c r="B97" s="3">
        <v>268463</v>
      </c>
      <c r="C97" s="1">
        <f>IFERROR(VLOOKUP(Таблица2[[#This Row],[Контрагент]],Таблица1[],2,0),0)</f>
        <v>231532</v>
      </c>
      <c r="D97" s="10">
        <f>Таблица2[[#This Row],[Декабрь]]-Таблица2[[#This Row],[Сумма реализации (с возвратами)]]</f>
        <v>-36931</v>
      </c>
    </row>
    <row r="98" spans="1:4" s="1" customFormat="1" ht="10.95" customHeight="1" x14ac:dyDescent="0.2">
      <c r="A98" s="2" t="s">
        <v>102</v>
      </c>
      <c r="B98" s="3">
        <v>65690</v>
      </c>
      <c r="C98" s="1">
        <f>IFERROR(VLOOKUP(Таблица2[[#This Row],[Контрагент]],Таблица1[],2,0),0)</f>
        <v>154720</v>
      </c>
      <c r="D98" s="10">
        <f>Таблица2[[#This Row],[Декабрь]]-Таблица2[[#This Row],[Сумма реализации (с возвратами)]]</f>
        <v>89030</v>
      </c>
    </row>
    <row r="99" spans="1:4" s="1" customFormat="1" ht="10.95" customHeight="1" x14ac:dyDescent="0.2">
      <c r="A99" s="2" t="s">
        <v>891</v>
      </c>
      <c r="B99" s="3">
        <v>73230</v>
      </c>
      <c r="C99" s="1">
        <f>IFERROR(VLOOKUP(Таблица2[[#This Row],[Контрагент]],Таблица1[],2,0),0)</f>
        <v>0</v>
      </c>
      <c r="D99" s="10">
        <f>Таблица2[[#This Row],[Декабрь]]-Таблица2[[#This Row],[Сумма реализации (с возвратами)]]</f>
        <v>-73230</v>
      </c>
    </row>
    <row r="100" spans="1:4" s="1" customFormat="1" ht="10.95" customHeight="1" x14ac:dyDescent="0.2">
      <c r="A100" s="2" t="s">
        <v>892</v>
      </c>
      <c r="B100" s="3">
        <v>152656</v>
      </c>
      <c r="C100" s="1">
        <f>IFERROR(VLOOKUP(Таблица2[[#This Row],[Контрагент]],Таблица1[],2,0),0)</f>
        <v>0</v>
      </c>
      <c r="D100" s="10">
        <f>Таблица2[[#This Row],[Декабрь]]-Таблица2[[#This Row],[Сумма реализации (с возвратами)]]</f>
        <v>-152656</v>
      </c>
    </row>
    <row r="101" spans="1:4" s="1" customFormat="1" ht="10.95" customHeight="1" x14ac:dyDescent="0.2">
      <c r="A101" s="2" t="s">
        <v>893</v>
      </c>
      <c r="B101" s="3">
        <v>66400</v>
      </c>
      <c r="C101" s="1">
        <f>IFERROR(VLOOKUP(Таблица2[[#This Row],[Контрагент]],Таблица1[],2,0),0)</f>
        <v>0</v>
      </c>
      <c r="D101" s="10">
        <f>Таблица2[[#This Row],[Декабрь]]-Таблица2[[#This Row],[Сумма реализации (с возвратами)]]</f>
        <v>-66400</v>
      </c>
    </row>
    <row r="102" spans="1:4" s="1" customFormat="1" ht="10.95" customHeight="1" x14ac:dyDescent="0.2">
      <c r="A102" s="2" t="s">
        <v>894</v>
      </c>
      <c r="B102" s="3">
        <v>14800</v>
      </c>
      <c r="C102" s="1">
        <f>IFERROR(VLOOKUP(Таблица2[[#This Row],[Контрагент]],Таблица1[],2,0),0)</f>
        <v>0</v>
      </c>
      <c r="D102" s="10">
        <f>Таблица2[[#This Row],[Декабрь]]-Таблица2[[#This Row],[Сумма реализации (с возвратами)]]</f>
        <v>-14800</v>
      </c>
    </row>
    <row r="103" spans="1:4" s="1" customFormat="1" ht="10.95" customHeight="1" x14ac:dyDescent="0.2">
      <c r="A103" s="2" t="s">
        <v>105</v>
      </c>
      <c r="B103" s="3">
        <v>109260</v>
      </c>
      <c r="C103" s="1">
        <f>IFERROR(VLOOKUP(Таблица2[[#This Row],[Контрагент]],Таблица1[],2,0),0)</f>
        <v>137785</v>
      </c>
      <c r="D103" s="10">
        <f>Таблица2[[#This Row],[Декабрь]]-Таблица2[[#This Row],[Сумма реализации (с возвратами)]]</f>
        <v>28525</v>
      </c>
    </row>
    <row r="104" spans="1:4" s="1" customFormat="1" ht="10.95" customHeight="1" x14ac:dyDescent="0.2">
      <c r="A104" s="2" t="s">
        <v>107</v>
      </c>
      <c r="B104" s="3">
        <v>113440</v>
      </c>
      <c r="C104" s="1">
        <f>IFERROR(VLOOKUP(Таблица2[[#This Row],[Контрагент]],Таблица1[],2,0),0)</f>
        <v>83300</v>
      </c>
      <c r="D104" s="10">
        <f>Таблица2[[#This Row],[Декабрь]]-Таблица2[[#This Row],[Сумма реализации (с возвратами)]]</f>
        <v>-30140</v>
      </c>
    </row>
    <row r="105" spans="1:4" s="1" customFormat="1" ht="10.95" customHeight="1" x14ac:dyDescent="0.2">
      <c r="A105" s="2" t="s">
        <v>895</v>
      </c>
      <c r="B105" s="3">
        <v>8660</v>
      </c>
      <c r="C105" s="1">
        <f>IFERROR(VLOOKUP(Таблица2[[#This Row],[Контрагент]],Таблица1[],2,0),0)</f>
        <v>0</v>
      </c>
      <c r="D105" s="10">
        <f>Таблица2[[#This Row],[Декабрь]]-Таблица2[[#This Row],[Сумма реализации (с возвратами)]]</f>
        <v>-8660</v>
      </c>
    </row>
    <row r="106" spans="1:4" s="1" customFormat="1" ht="10.95" customHeight="1" x14ac:dyDescent="0.2">
      <c r="A106" s="2" t="s">
        <v>108</v>
      </c>
      <c r="B106" s="3">
        <v>776385</v>
      </c>
      <c r="C106" s="1">
        <f>IFERROR(VLOOKUP(Таблица2[[#This Row],[Контрагент]],Таблица1[],2,0),0)</f>
        <v>599930</v>
      </c>
      <c r="D106" s="10">
        <f>Таблица2[[#This Row],[Декабрь]]-Таблица2[[#This Row],[Сумма реализации (с возвратами)]]</f>
        <v>-176455</v>
      </c>
    </row>
    <row r="107" spans="1:4" s="1" customFormat="1" ht="10.95" customHeight="1" x14ac:dyDescent="0.2">
      <c r="A107" s="2" t="s">
        <v>896</v>
      </c>
      <c r="B107" s="4">
        <v>190</v>
      </c>
      <c r="C107" s="1">
        <f>IFERROR(VLOOKUP(Таблица2[[#This Row],[Контрагент]],Таблица1[],2,0),0)</f>
        <v>0</v>
      </c>
      <c r="D107" s="10">
        <f>Таблица2[[#This Row],[Декабрь]]-Таблица2[[#This Row],[Сумма реализации (с возвратами)]]</f>
        <v>-190</v>
      </c>
    </row>
    <row r="108" spans="1:4" s="1" customFormat="1" ht="10.95" customHeight="1" x14ac:dyDescent="0.2">
      <c r="A108" s="2" t="s">
        <v>109</v>
      </c>
      <c r="B108" s="3">
        <v>34075</v>
      </c>
      <c r="C108" s="1">
        <f>IFERROR(VLOOKUP(Таблица2[[#This Row],[Контрагент]],Таблица1[],2,0),0)</f>
        <v>66831</v>
      </c>
      <c r="D108" s="10">
        <f>Таблица2[[#This Row],[Декабрь]]-Таблица2[[#This Row],[Сумма реализации (с возвратами)]]</f>
        <v>32756</v>
      </c>
    </row>
    <row r="109" spans="1:4" s="1" customFormat="1" ht="10.95" customHeight="1" x14ac:dyDescent="0.2">
      <c r="A109" s="2" t="s">
        <v>110</v>
      </c>
      <c r="B109" s="3">
        <v>3294</v>
      </c>
      <c r="C109" s="1">
        <f>IFERROR(VLOOKUP(Таблица2[[#This Row],[Контрагент]],Таблица1[],2,0),0)</f>
        <v>62230</v>
      </c>
      <c r="D109" s="10">
        <f>Таблица2[[#This Row],[Декабрь]]-Таблица2[[#This Row],[Сумма реализации (с возвратами)]]</f>
        <v>58936</v>
      </c>
    </row>
    <row r="110" spans="1:4" s="1" customFormat="1" ht="10.95" customHeight="1" x14ac:dyDescent="0.2">
      <c r="A110" s="2" t="s">
        <v>111</v>
      </c>
      <c r="B110" s="3">
        <v>8643053</v>
      </c>
      <c r="C110" s="1">
        <f>IFERROR(VLOOKUP(Таблица2[[#This Row],[Контрагент]],Таблица1[],2,0),0)</f>
        <v>9770958</v>
      </c>
      <c r="D110" s="10">
        <f>Таблица2[[#This Row],[Декабрь]]-Таблица2[[#This Row],[Сумма реализации (с возвратами)]]</f>
        <v>1127905</v>
      </c>
    </row>
    <row r="111" spans="1:4" s="1" customFormat="1" ht="10.95" customHeight="1" x14ac:dyDescent="0.2">
      <c r="A111" s="2" t="s">
        <v>897</v>
      </c>
      <c r="B111" s="3">
        <v>70600</v>
      </c>
      <c r="C111" s="1">
        <f>IFERROR(VLOOKUP(Таблица2[[#This Row],[Контрагент]],Таблица1[],2,0),0)</f>
        <v>0</v>
      </c>
      <c r="D111" s="10">
        <f>Таблица2[[#This Row],[Декабрь]]-Таблица2[[#This Row],[Сумма реализации (с возвратами)]]</f>
        <v>-70600</v>
      </c>
    </row>
    <row r="112" spans="1:4" s="1" customFormat="1" ht="10.95" customHeight="1" x14ac:dyDescent="0.2">
      <c r="A112" s="2" t="s">
        <v>898</v>
      </c>
      <c r="B112" s="3">
        <v>51275</v>
      </c>
      <c r="C112" s="1">
        <f>IFERROR(VLOOKUP(Таблица2[[#This Row],[Контрагент]],Таблица1[],2,0),0)</f>
        <v>0</v>
      </c>
      <c r="D112" s="10">
        <f>Таблица2[[#This Row],[Декабрь]]-Таблица2[[#This Row],[Сумма реализации (с возвратами)]]</f>
        <v>-51275</v>
      </c>
    </row>
    <row r="113" spans="1:4" s="1" customFormat="1" ht="10.95" customHeight="1" x14ac:dyDescent="0.2">
      <c r="A113" s="2" t="s">
        <v>899</v>
      </c>
      <c r="B113" s="3">
        <v>399672</v>
      </c>
      <c r="C113" s="1">
        <f>IFERROR(VLOOKUP(Таблица2[[#This Row],[Контрагент]],Таблица1[],2,0),0)</f>
        <v>0</v>
      </c>
      <c r="D113" s="10">
        <f>Таблица2[[#This Row],[Декабрь]]-Таблица2[[#This Row],[Сумма реализации (с возвратами)]]</f>
        <v>-399672</v>
      </c>
    </row>
    <row r="114" spans="1:4" s="1" customFormat="1" ht="10.95" customHeight="1" x14ac:dyDescent="0.2">
      <c r="A114" s="2" t="s">
        <v>112</v>
      </c>
      <c r="B114" s="3">
        <v>239630</v>
      </c>
      <c r="C114" s="1">
        <f>IFERROR(VLOOKUP(Таблица2[[#This Row],[Контрагент]],Таблица1[],2,0),0)</f>
        <v>246880</v>
      </c>
      <c r="D114" s="10">
        <f>Таблица2[[#This Row],[Декабрь]]-Таблица2[[#This Row],[Сумма реализации (с возвратами)]]</f>
        <v>7250</v>
      </c>
    </row>
    <row r="115" spans="1:4" s="1" customFormat="1" ht="10.95" customHeight="1" x14ac:dyDescent="0.2">
      <c r="A115" s="2" t="s">
        <v>113</v>
      </c>
      <c r="B115" s="3">
        <v>273840</v>
      </c>
      <c r="C115" s="1">
        <f>IFERROR(VLOOKUP(Таблица2[[#This Row],[Контрагент]],Таблица1[],2,0),0)</f>
        <v>584710</v>
      </c>
      <c r="D115" s="10">
        <f>Таблица2[[#This Row],[Декабрь]]-Таблица2[[#This Row],[Сумма реализации (с возвратами)]]</f>
        <v>310870</v>
      </c>
    </row>
    <row r="116" spans="1:4" s="1" customFormat="1" ht="10.95" customHeight="1" x14ac:dyDescent="0.2">
      <c r="A116" s="2" t="s">
        <v>114</v>
      </c>
      <c r="B116" s="3">
        <v>419520</v>
      </c>
      <c r="C116" s="1">
        <f>IFERROR(VLOOKUP(Таблица2[[#This Row],[Контрагент]],Таблица1[],2,0),0)</f>
        <v>107280</v>
      </c>
      <c r="D116" s="10">
        <f>Таблица2[[#This Row],[Декабрь]]-Таблица2[[#This Row],[Сумма реализации (с возвратами)]]</f>
        <v>-312240</v>
      </c>
    </row>
    <row r="117" spans="1:4" s="1" customFormat="1" ht="10.95" customHeight="1" x14ac:dyDescent="0.2">
      <c r="A117" s="2" t="s">
        <v>900</v>
      </c>
      <c r="B117" s="3">
        <v>128000</v>
      </c>
      <c r="C117" s="1">
        <f>IFERROR(VLOOKUP(Таблица2[[#This Row],[Контрагент]],Таблица1[],2,0),0)</f>
        <v>0</v>
      </c>
      <c r="D117" s="10">
        <f>Таблица2[[#This Row],[Декабрь]]-Таблица2[[#This Row],[Сумма реализации (с возвратами)]]</f>
        <v>-128000</v>
      </c>
    </row>
    <row r="118" spans="1:4" s="1" customFormat="1" ht="10.95" customHeight="1" x14ac:dyDescent="0.2">
      <c r="A118" s="2" t="s">
        <v>116</v>
      </c>
      <c r="B118" s="3">
        <v>30570</v>
      </c>
      <c r="C118" s="1">
        <f>IFERROR(VLOOKUP(Таблица2[[#This Row],[Контрагент]],Таблица1[],2,0),0)</f>
        <v>23350</v>
      </c>
      <c r="D118" s="10">
        <f>Таблица2[[#This Row],[Декабрь]]-Таблица2[[#This Row],[Сумма реализации (с возвратами)]]</f>
        <v>-7220</v>
      </c>
    </row>
    <row r="119" spans="1:4" s="1" customFormat="1" ht="10.95" customHeight="1" x14ac:dyDescent="0.2">
      <c r="A119" s="2" t="s">
        <v>117</v>
      </c>
      <c r="B119" s="3">
        <v>141345</v>
      </c>
      <c r="C119" s="1">
        <f>IFERROR(VLOOKUP(Таблица2[[#This Row],[Контрагент]],Таблица1[],2,0),0)</f>
        <v>322900</v>
      </c>
      <c r="D119" s="10">
        <f>Таблица2[[#This Row],[Декабрь]]-Таблица2[[#This Row],[Сумма реализации (с возвратами)]]</f>
        <v>181555</v>
      </c>
    </row>
    <row r="120" spans="1:4" s="1" customFormat="1" ht="10.95" customHeight="1" x14ac:dyDescent="0.2">
      <c r="A120" s="2" t="s">
        <v>118</v>
      </c>
      <c r="B120" s="3">
        <v>1649291</v>
      </c>
      <c r="C120" s="1">
        <f>IFERROR(VLOOKUP(Таблица2[[#This Row],[Контрагент]],Таблица1[],2,0),0)</f>
        <v>1261439</v>
      </c>
      <c r="D120" s="10">
        <f>Таблица2[[#This Row],[Декабрь]]-Таблица2[[#This Row],[Сумма реализации (с возвратами)]]</f>
        <v>-387852</v>
      </c>
    </row>
    <row r="121" spans="1:4" s="1" customFormat="1" ht="10.95" customHeight="1" x14ac:dyDescent="0.2">
      <c r="A121" s="2" t="s">
        <v>901</v>
      </c>
      <c r="B121" s="3">
        <v>28720</v>
      </c>
      <c r="C121" s="1">
        <f>IFERROR(VLOOKUP(Таблица2[[#This Row],[Контрагент]],Таблица1[],2,0),0)</f>
        <v>0</v>
      </c>
      <c r="D121" s="10">
        <f>Таблица2[[#This Row],[Декабрь]]-Таблица2[[#This Row],[Сумма реализации (с возвратами)]]</f>
        <v>-28720</v>
      </c>
    </row>
    <row r="122" spans="1:4" s="1" customFormat="1" ht="10.95" customHeight="1" x14ac:dyDescent="0.2">
      <c r="A122" s="2" t="s">
        <v>119</v>
      </c>
      <c r="B122" s="3">
        <v>330900</v>
      </c>
      <c r="C122" s="1">
        <f>IFERROR(VLOOKUP(Таблица2[[#This Row],[Контрагент]],Таблица1[],2,0),0)</f>
        <v>60105</v>
      </c>
      <c r="D122" s="10">
        <f>Таблица2[[#This Row],[Декабрь]]-Таблица2[[#This Row],[Сумма реализации (с возвратами)]]</f>
        <v>-270795</v>
      </c>
    </row>
    <row r="123" spans="1:4" s="1" customFormat="1" ht="10.95" customHeight="1" x14ac:dyDescent="0.2">
      <c r="A123" s="2" t="s">
        <v>120</v>
      </c>
      <c r="B123" s="3">
        <v>53040</v>
      </c>
      <c r="C123" s="1">
        <f>IFERROR(VLOOKUP(Таблица2[[#This Row],[Контрагент]],Таблица1[],2,0),0)</f>
        <v>14880</v>
      </c>
      <c r="D123" s="10">
        <f>Таблица2[[#This Row],[Декабрь]]-Таблица2[[#This Row],[Сумма реализации (с возвратами)]]</f>
        <v>-38160</v>
      </c>
    </row>
    <row r="124" spans="1:4" s="1" customFormat="1" ht="10.95" customHeight="1" x14ac:dyDescent="0.2">
      <c r="A124" s="2" t="s">
        <v>902</v>
      </c>
      <c r="B124" s="3">
        <v>103710</v>
      </c>
      <c r="C124" s="1">
        <f>IFERROR(VLOOKUP(Таблица2[[#This Row],[Контрагент]],Таблица1[],2,0),0)</f>
        <v>0</v>
      </c>
      <c r="D124" s="10">
        <f>Таблица2[[#This Row],[Декабрь]]-Таблица2[[#This Row],[Сумма реализации (с возвратами)]]</f>
        <v>-103710</v>
      </c>
    </row>
    <row r="125" spans="1:4" s="1" customFormat="1" ht="10.95" customHeight="1" x14ac:dyDescent="0.2">
      <c r="A125" s="2" t="s">
        <v>122</v>
      </c>
      <c r="B125" s="3">
        <v>15880</v>
      </c>
      <c r="C125" s="1">
        <f>IFERROR(VLOOKUP(Таблица2[[#This Row],[Контрагент]],Таблица1[],2,0),0)</f>
        <v>36610</v>
      </c>
      <c r="D125" s="10">
        <f>Таблица2[[#This Row],[Декабрь]]-Таблица2[[#This Row],[Сумма реализации (с возвратами)]]</f>
        <v>20730</v>
      </c>
    </row>
    <row r="126" spans="1:4" s="1" customFormat="1" ht="10.95" customHeight="1" x14ac:dyDescent="0.2">
      <c r="A126" s="2" t="s">
        <v>903</v>
      </c>
      <c r="B126" s="3">
        <v>58380</v>
      </c>
      <c r="C126" s="1">
        <f>IFERROR(VLOOKUP(Таблица2[[#This Row],[Контрагент]],Таблица1[],2,0),0)</f>
        <v>0</v>
      </c>
      <c r="D126" s="10">
        <f>Таблица2[[#This Row],[Декабрь]]-Таблица2[[#This Row],[Сумма реализации (с возвратами)]]</f>
        <v>-58380</v>
      </c>
    </row>
    <row r="127" spans="1:4" s="1" customFormat="1" ht="10.95" customHeight="1" x14ac:dyDescent="0.2">
      <c r="A127" s="2" t="s">
        <v>904</v>
      </c>
      <c r="B127" s="3">
        <v>72014</v>
      </c>
      <c r="C127" s="1">
        <f>IFERROR(VLOOKUP(Таблица2[[#This Row],[Контрагент]],Таблица1[],2,0),0)</f>
        <v>0</v>
      </c>
      <c r="D127" s="10">
        <f>Таблица2[[#This Row],[Декабрь]]-Таблица2[[#This Row],[Сумма реализации (с возвратами)]]</f>
        <v>-72014</v>
      </c>
    </row>
    <row r="128" spans="1:4" s="1" customFormat="1" ht="10.95" customHeight="1" x14ac:dyDescent="0.2">
      <c r="A128" s="2" t="s">
        <v>125</v>
      </c>
      <c r="B128" s="3">
        <v>85573</v>
      </c>
      <c r="C128" s="1">
        <f>IFERROR(VLOOKUP(Таблица2[[#This Row],[Контрагент]],Таблица1[],2,0),0)</f>
        <v>25800</v>
      </c>
      <c r="D128" s="10">
        <f>Таблица2[[#This Row],[Декабрь]]-Таблица2[[#This Row],[Сумма реализации (с возвратами)]]</f>
        <v>-59773</v>
      </c>
    </row>
    <row r="129" spans="1:4" s="1" customFormat="1" ht="10.95" customHeight="1" x14ac:dyDescent="0.2">
      <c r="A129" s="2" t="s">
        <v>126</v>
      </c>
      <c r="B129" s="3">
        <v>65750</v>
      </c>
      <c r="C129" s="1">
        <f>IFERROR(VLOOKUP(Таблица2[[#This Row],[Контрагент]],Таблица1[],2,0),0)</f>
        <v>92480</v>
      </c>
      <c r="D129" s="10">
        <f>Таблица2[[#This Row],[Декабрь]]-Таблица2[[#This Row],[Сумма реализации (с возвратами)]]</f>
        <v>26730</v>
      </c>
    </row>
    <row r="130" spans="1:4" s="1" customFormat="1" ht="10.95" customHeight="1" x14ac:dyDescent="0.2">
      <c r="A130" s="2" t="s">
        <v>129</v>
      </c>
      <c r="B130" s="3">
        <v>142049</v>
      </c>
      <c r="C130" s="1">
        <f>IFERROR(VLOOKUP(Таблица2[[#This Row],[Контрагент]],Таблица1[],2,0),0)</f>
        <v>27155</v>
      </c>
      <c r="D130" s="10">
        <f>Таблица2[[#This Row],[Декабрь]]-Таблица2[[#This Row],[Сумма реализации (с возвратами)]]</f>
        <v>-114894</v>
      </c>
    </row>
    <row r="131" spans="1:4" s="1" customFormat="1" ht="10.95" customHeight="1" x14ac:dyDescent="0.2">
      <c r="A131" s="2" t="s">
        <v>130</v>
      </c>
      <c r="B131" s="3">
        <v>55140</v>
      </c>
      <c r="C131" s="1">
        <f>IFERROR(VLOOKUP(Таблица2[[#This Row],[Контрагент]],Таблица1[],2,0),0)</f>
        <v>73790</v>
      </c>
      <c r="D131" s="10">
        <f>Таблица2[[#This Row],[Декабрь]]-Таблица2[[#This Row],[Сумма реализации (с возвратами)]]</f>
        <v>18650</v>
      </c>
    </row>
    <row r="132" spans="1:4" s="1" customFormat="1" ht="10.95" customHeight="1" x14ac:dyDescent="0.2">
      <c r="A132" s="2" t="s">
        <v>134</v>
      </c>
      <c r="B132" s="3">
        <v>136645</v>
      </c>
      <c r="C132" s="1">
        <f>IFERROR(VLOOKUP(Таблица2[[#This Row],[Контрагент]],Таблица1[],2,0),0)</f>
        <v>24000</v>
      </c>
      <c r="D132" s="10">
        <f>Таблица2[[#This Row],[Декабрь]]-Таблица2[[#This Row],[Сумма реализации (с возвратами)]]</f>
        <v>-112645</v>
      </c>
    </row>
    <row r="133" spans="1:4" s="1" customFormat="1" ht="10.95" customHeight="1" x14ac:dyDescent="0.2">
      <c r="A133" s="2" t="s">
        <v>139</v>
      </c>
      <c r="B133" s="3">
        <v>204275</v>
      </c>
      <c r="C133" s="1">
        <f>IFERROR(VLOOKUP(Таблица2[[#This Row],[Контрагент]],Таблица1[],2,0),0)</f>
        <v>134875</v>
      </c>
      <c r="D133" s="10">
        <f>Таблица2[[#This Row],[Декабрь]]-Таблица2[[#This Row],[Сумма реализации (с возвратами)]]</f>
        <v>-69400</v>
      </c>
    </row>
    <row r="134" spans="1:4" s="1" customFormat="1" ht="10.95" customHeight="1" x14ac:dyDescent="0.2">
      <c r="A134" s="2" t="s">
        <v>141</v>
      </c>
      <c r="B134" s="3">
        <v>28490</v>
      </c>
      <c r="C134" s="1">
        <f>IFERROR(VLOOKUP(Таблица2[[#This Row],[Контрагент]],Таблица1[],2,0),0)</f>
        <v>16680</v>
      </c>
      <c r="D134" s="10">
        <f>Таблица2[[#This Row],[Декабрь]]-Таблица2[[#This Row],[Сумма реализации (с возвратами)]]</f>
        <v>-11810</v>
      </c>
    </row>
    <row r="135" spans="1:4" s="1" customFormat="1" ht="10.95" customHeight="1" x14ac:dyDescent="0.2">
      <c r="A135" s="2" t="s">
        <v>142</v>
      </c>
      <c r="B135" s="3">
        <v>49320</v>
      </c>
      <c r="C135" s="1">
        <f>IFERROR(VLOOKUP(Таблица2[[#This Row],[Контрагент]],Таблица1[],2,0),0)</f>
        <v>37490</v>
      </c>
      <c r="D135" s="10">
        <f>Таблица2[[#This Row],[Декабрь]]-Таблица2[[#This Row],[Сумма реализации (с возвратами)]]</f>
        <v>-11830</v>
      </c>
    </row>
    <row r="136" spans="1:4" s="1" customFormat="1" ht="10.95" customHeight="1" x14ac:dyDescent="0.2">
      <c r="A136" s="2" t="s">
        <v>143</v>
      </c>
      <c r="B136" s="3">
        <v>123028</v>
      </c>
      <c r="C136" s="1">
        <f>IFERROR(VLOOKUP(Таблица2[[#This Row],[Контрагент]],Таблица1[],2,0),0)</f>
        <v>157290</v>
      </c>
      <c r="D136" s="10">
        <f>Таблица2[[#This Row],[Декабрь]]-Таблица2[[#This Row],[Сумма реализации (с возвратами)]]</f>
        <v>34262</v>
      </c>
    </row>
    <row r="137" spans="1:4" s="1" customFormat="1" ht="10.95" customHeight="1" x14ac:dyDescent="0.2">
      <c r="A137" s="2" t="s">
        <v>905</v>
      </c>
      <c r="B137" s="3">
        <v>22660</v>
      </c>
      <c r="C137" s="1">
        <f>IFERROR(VLOOKUP(Таблица2[[#This Row],[Контрагент]],Таблица1[],2,0),0)</f>
        <v>0</v>
      </c>
      <c r="D137" s="10">
        <f>Таблица2[[#This Row],[Декабрь]]-Таблица2[[#This Row],[Сумма реализации (с возвратами)]]</f>
        <v>-22660</v>
      </c>
    </row>
    <row r="138" spans="1:4" s="1" customFormat="1" ht="10.95" customHeight="1" x14ac:dyDescent="0.2">
      <c r="A138" s="2" t="s">
        <v>906</v>
      </c>
      <c r="B138" s="3">
        <v>459880</v>
      </c>
      <c r="C138" s="1">
        <f>IFERROR(VLOOKUP(Таблица2[[#This Row],[Контрагент]],Таблица1[],2,0),0)</f>
        <v>0</v>
      </c>
      <c r="D138" s="10">
        <f>Таблица2[[#This Row],[Декабрь]]-Таблица2[[#This Row],[Сумма реализации (с возвратами)]]</f>
        <v>-459880</v>
      </c>
    </row>
    <row r="139" spans="1:4" s="1" customFormat="1" ht="10.95" customHeight="1" x14ac:dyDescent="0.2">
      <c r="A139" s="2" t="s">
        <v>907</v>
      </c>
      <c r="B139" s="3">
        <v>14940</v>
      </c>
      <c r="C139" s="1">
        <f>IFERROR(VLOOKUP(Таблица2[[#This Row],[Контрагент]],Таблица1[],2,0),0)</f>
        <v>0</v>
      </c>
      <c r="D139" s="10">
        <f>Таблица2[[#This Row],[Декабрь]]-Таблица2[[#This Row],[Сумма реализации (с возвратами)]]</f>
        <v>-14940</v>
      </c>
    </row>
    <row r="140" spans="1:4" s="1" customFormat="1" ht="10.95" customHeight="1" x14ac:dyDescent="0.2">
      <c r="A140" s="2" t="s">
        <v>146</v>
      </c>
      <c r="B140" s="3">
        <v>34220</v>
      </c>
      <c r="C140" s="1">
        <f>IFERROR(VLOOKUP(Таблица2[[#This Row],[Контрагент]],Таблица1[],2,0),0)</f>
        <v>174380</v>
      </c>
      <c r="D140" s="10">
        <f>Таблица2[[#This Row],[Декабрь]]-Таблица2[[#This Row],[Сумма реализации (с возвратами)]]</f>
        <v>140160</v>
      </c>
    </row>
    <row r="141" spans="1:4" s="1" customFormat="1" ht="10.95" customHeight="1" x14ac:dyDescent="0.2">
      <c r="A141" s="2" t="s">
        <v>149</v>
      </c>
      <c r="B141" s="3">
        <v>102250</v>
      </c>
      <c r="C141" s="1">
        <f>IFERROR(VLOOKUP(Таблица2[[#This Row],[Контрагент]],Таблица1[],2,0),0)</f>
        <v>121480</v>
      </c>
      <c r="D141" s="10">
        <f>Таблица2[[#This Row],[Декабрь]]-Таблица2[[#This Row],[Сумма реализации (с возвратами)]]</f>
        <v>19230</v>
      </c>
    </row>
    <row r="142" spans="1:4" s="1" customFormat="1" ht="10.95" customHeight="1" x14ac:dyDescent="0.2">
      <c r="A142" s="2" t="s">
        <v>908</v>
      </c>
      <c r="B142" s="3">
        <v>710130</v>
      </c>
      <c r="C142" s="1">
        <f>IFERROR(VLOOKUP(Таблица2[[#This Row],[Контрагент]],Таблица1[],2,0),0)</f>
        <v>0</v>
      </c>
      <c r="D142" s="10">
        <f>Таблица2[[#This Row],[Декабрь]]-Таблица2[[#This Row],[Сумма реализации (с возвратами)]]</f>
        <v>-710130</v>
      </c>
    </row>
    <row r="143" spans="1:4" s="1" customFormat="1" ht="10.95" customHeight="1" x14ac:dyDescent="0.2">
      <c r="A143" s="2" t="s">
        <v>150</v>
      </c>
      <c r="B143" s="3">
        <v>303315</v>
      </c>
      <c r="C143" s="1">
        <f>IFERROR(VLOOKUP(Таблица2[[#This Row],[Контрагент]],Таблица1[],2,0),0)</f>
        <v>1051492</v>
      </c>
      <c r="D143" s="10">
        <f>Таблица2[[#This Row],[Декабрь]]-Таблица2[[#This Row],[Сумма реализации (с возвратами)]]</f>
        <v>748177</v>
      </c>
    </row>
    <row r="144" spans="1:4" s="1" customFormat="1" ht="10.95" customHeight="1" x14ac:dyDescent="0.2">
      <c r="A144" s="2" t="s">
        <v>909</v>
      </c>
      <c r="B144" s="3">
        <v>58575</v>
      </c>
      <c r="C144" s="1">
        <f>IFERROR(VLOOKUP(Таблица2[[#This Row],[Контрагент]],Таблица1[],2,0),0)</f>
        <v>0</v>
      </c>
      <c r="D144" s="10">
        <f>Таблица2[[#This Row],[Декабрь]]-Таблица2[[#This Row],[Сумма реализации (с возвратами)]]</f>
        <v>-58575</v>
      </c>
    </row>
    <row r="145" spans="1:4" s="1" customFormat="1" ht="10.95" customHeight="1" x14ac:dyDescent="0.2">
      <c r="A145" s="2" t="s">
        <v>151</v>
      </c>
      <c r="B145" s="3">
        <v>10970</v>
      </c>
      <c r="C145" s="1">
        <f>IFERROR(VLOOKUP(Таблица2[[#This Row],[Контрагент]],Таблица1[],2,0),0)</f>
        <v>12510</v>
      </c>
      <c r="D145" s="10">
        <f>Таблица2[[#This Row],[Декабрь]]-Таблица2[[#This Row],[Сумма реализации (с возвратами)]]</f>
        <v>1540</v>
      </c>
    </row>
    <row r="146" spans="1:4" s="1" customFormat="1" ht="10.95" customHeight="1" x14ac:dyDescent="0.2">
      <c r="A146" s="2" t="s">
        <v>152</v>
      </c>
      <c r="B146" s="3">
        <v>64700</v>
      </c>
      <c r="C146" s="1">
        <f>IFERROR(VLOOKUP(Таблица2[[#This Row],[Контрагент]],Таблица1[],2,0),0)</f>
        <v>11020</v>
      </c>
      <c r="D146" s="10">
        <f>Таблица2[[#This Row],[Декабрь]]-Таблица2[[#This Row],[Сумма реализации (с возвратами)]]</f>
        <v>-53680</v>
      </c>
    </row>
    <row r="147" spans="1:4" s="1" customFormat="1" ht="10.95" customHeight="1" x14ac:dyDescent="0.2">
      <c r="A147" s="2" t="s">
        <v>153</v>
      </c>
      <c r="B147" s="3">
        <v>1367675</v>
      </c>
      <c r="C147" s="1">
        <f>IFERROR(VLOOKUP(Таблица2[[#This Row],[Контрагент]],Таблица1[],2,0),0)</f>
        <v>1006503</v>
      </c>
      <c r="D147" s="10">
        <f>Таблица2[[#This Row],[Декабрь]]-Таблица2[[#This Row],[Сумма реализации (с возвратами)]]</f>
        <v>-361172</v>
      </c>
    </row>
    <row r="148" spans="1:4" s="1" customFormat="1" ht="10.95" customHeight="1" x14ac:dyDescent="0.2">
      <c r="A148" s="2" t="s">
        <v>910</v>
      </c>
      <c r="B148" s="3">
        <v>257746</v>
      </c>
      <c r="C148" s="1">
        <f>IFERROR(VLOOKUP(Таблица2[[#This Row],[Контрагент]],Таблица1[],2,0),0)</f>
        <v>0</v>
      </c>
      <c r="D148" s="10">
        <f>Таблица2[[#This Row],[Декабрь]]-Таблица2[[#This Row],[Сумма реализации (с возвратами)]]</f>
        <v>-257746</v>
      </c>
    </row>
    <row r="149" spans="1:4" s="1" customFormat="1" ht="10.95" customHeight="1" x14ac:dyDescent="0.2">
      <c r="A149" s="2" t="s">
        <v>911</v>
      </c>
      <c r="B149" s="3">
        <v>17410</v>
      </c>
      <c r="C149" s="1">
        <f>IFERROR(VLOOKUP(Таблица2[[#This Row],[Контрагент]],Таблица1[],2,0),0)</f>
        <v>0</v>
      </c>
      <c r="D149" s="10">
        <f>Таблица2[[#This Row],[Декабрь]]-Таблица2[[#This Row],[Сумма реализации (с возвратами)]]</f>
        <v>-17410</v>
      </c>
    </row>
    <row r="150" spans="1:4" s="1" customFormat="1" ht="10.95" customHeight="1" x14ac:dyDescent="0.2">
      <c r="A150" s="2" t="s">
        <v>912</v>
      </c>
      <c r="B150" s="3">
        <v>22190</v>
      </c>
      <c r="C150" s="1">
        <f>IFERROR(VLOOKUP(Таблица2[[#This Row],[Контрагент]],Таблица1[],2,0),0)</f>
        <v>0</v>
      </c>
      <c r="D150" s="10">
        <f>Таблица2[[#This Row],[Декабрь]]-Таблица2[[#This Row],[Сумма реализации (с возвратами)]]</f>
        <v>-22190</v>
      </c>
    </row>
    <row r="151" spans="1:4" s="1" customFormat="1" ht="10.95" customHeight="1" x14ac:dyDescent="0.2">
      <c r="A151" s="2" t="s">
        <v>913</v>
      </c>
      <c r="B151" s="3">
        <v>88800</v>
      </c>
      <c r="C151" s="1">
        <f>IFERROR(VLOOKUP(Таблица2[[#This Row],[Контрагент]],Таблица1[],2,0),0)</f>
        <v>0</v>
      </c>
      <c r="D151" s="10">
        <f>Таблица2[[#This Row],[Декабрь]]-Таблица2[[#This Row],[Сумма реализации (с возвратами)]]</f>
        <v>-88800</v>
      </c>
    </row>
    <row r="152" spans="1:4" s="1" customFormat="1" ht="10.95" customHeight="1" x14ac:dyDescent="0.2">
      <c r="A152" s="2" t="s">
        <v>914</v>
      </c>
      <c r="B152" s="3">
        <v>64175</v>
      </c>
      <c r="C152" s="1">
        <f>IFERROR(VLOOKUP(Таблица2[[#This Row],[Контрагент]],Таблица1[],2,0),0)</f>
        <v>0</v>
      </c>
      <c r="D152" s="10">
        <f>Таблица2[[#This Row],[Декабрь]]-Таблица2[[#This Row],[Сумма реализации (с возвратами)]]</f>
        <v>-64175</v>
      </c>
    </row>
    <row r="153" spans="1:4" s="1" customFormat="1" ht="10.95" customHeight="1" x14ac:dyDescent="0.2">
      <c r="A153" s="2" t="s">
        <v>157</v>
      </c>
      <c r="B153" s="3">
        <v>157390</v>
      </c>
      <c r="C153" s="1">
        <f>IFERROR(VLOOKUP(Таблица2[[#This Row],[Контрагент]],Таблица1[],2,0),0)</f>
        <v>142960</v>
      </c>
      <c r="D153" s="10">
        <f>Таблица2[[#This Row],[Декабрь]]-Таблица2[[#This Row],[Сумма реализации (с возвратами)]]</f>
        <v>-14430</v>
      </c>
    </row>
    <row r="154" spans="1:4" s="1" customFormat="1" ht="10.95" customHeight="1" x14ac:dyDescent="0.2">
      <c r="A154" s="2" t="s">
        <v>915</v>
      </c>
      <c r="B154" s="3">
        <v>54340</v>
      </c>
      <c r="C154" s="1">
        <f>IFERROR(VLOOKUP(Таблица2[[#This Row],[Контрагент]],Таблица1[],2,0),0)</f>
        <v>0</v>
      </c>
      <c r="D154" s="10">
        <f>Таблица2[[#This Row],[Декабрь]]-Таблица2[[#This Row],[Сумма реализации (с возвратами)]]</f>
        <v>-54340</v>
      </c>
    </row>
    <row r="155" spans="1:4" s="1" customFormat="1" ht="10.95" customHeight="1" x14ac:dyDescent="0.2">
      <c r="A155" s="2" t="s">
        <v>159</v>
      </c>
      <c r="B155" s="3">
        <v>790376</v>
      </c>
      <c r="C155" s="1">
        <f>IFERROR(VLOOKUP(Таблица2[[#This Row],[Контрагент]],Таблица1[],2,0),0)</f>
        <v>432333</v>
      </c>
      <c r="D155" s="10">
        <f>Таблица2[[#This Row],[Декабрь]]-Таблица2[[#This Row],[Сумма реализации (с возвратами)]]</f>
        <v>-358043</v>
      </c>
    </row>
    <row r="156" spans="1:4" s="1" customFormat="1" ht="10.95" customHeight="1" x14ac:dyDescent="0.2">
      <c r="A156" s="2" t="s">
        <v>916</v>
      </c>
      <c r="B156" s="3">
        <v>26580</v>
      </c>
      <c r="C156" s="1">
        <f>IFERROR(VLOOKUP(Таблица2[[#This Row],[Контрагент]],Таблица1[],2,0),0)</f>
        <v>0</v>
      </c>
      <c r="D156" s="10">
        <f>Таблица2[[#This Row],[Декабрь]]-Таблица2[[#This Row],[Сумма реализации (с возвратами)]]</f>
        <v>-26580</v>
      </c>
    </row>
    <row r="157" spans="1:4" s="1" customFormat="1" ht="10.95" customHeight="1" x14ac:dyDescent="0.2">
      <c r="A157" s="2" t="s">
        <v>917</v>
      </c>
      <c r="B157" s="3">
        <v>31375</v>
      </c>
      <c r="C157" s="1">
        <f>IFERROR(VLOOKUP(Таблица2[[#This Row],[Контрагент]],Таблица1[],2,0),0)</f>
        <v>0</v>
      </c>
      <c r="D157" s="10">
        <f>Таблица2[[#This Row],[Декабрь]]-Таблица2[[#This Row],[Сумма реализации (с возвратами)]]</f>
        <v>-31375</v>
      </c>
    </row>
    <row r="158" spans="1:4" s="1" customFormat="1" ht="10.95" customHeight="1" x14ac:dyDescent="0.2">
      <c r="A158" s="2" t="s">
        <v>163</v>
      </c>
      <c r="B158" s="3">
        <v>240800</v>
      </c>
      <c r="C158" s="1">
        <f>IFERROR(VLOOKUP(Таблица2[[#This Row],[Контрагент]],Таблица1[],2,0),0)</f>
        <v>46300</v>
      </c>
      <c r="D158" s="10">
        <f>Таблица2[[#This Row],[Декабрь]]-Таблица2[[#This Row],[Сумма реализации (с возвратами)]]</f>
        <v>-194500</v>
      </c>
    </row>
    <row r="159" spans="1:4" s="1" customFormat="1" ht="10.95" customHeight="1" x14ac:dyDescent="0.2">
      <c r="A159" s="2" t="s">
        <v>918</v>
      </c>
      <c r="B159" s="3">
        <v>90330</v>
      </c>
      <c r="C159" s="1">
        <f>IFERROR(VLOOKUP(Таблица2[[#This Row],[Контрагент]],Таблица1[],2,0),0)</f>
        <v>0</v>
      </c>
      <c r="D159" s="10">
        <f>Таблица2[[#This Row],[Декабрь]]-Таблица2[[#This Row],[Сумма реализации (с возвратами)]]</f>
        <v>-90330</v>
      </c>
    </row>
    <row r="160" spans="1:4" s="1" customFormat="1" ht="10.95" customHeight="1" x14ac:dyDescent="0.2">
      <c r="A160" s="2" t="s">
        <v>165</v>
      </c>
      <c r="B160" s="3">
        <v>72363</v>
      </c>
      <c r="C160" s="1">
        <f>IFERROR(VLOOKUP(Таблица2[[#This Row],[Контрагент]],Таблица1[],2,0),0)</f>
        <v>136105</v>
      </c>
      <c r="D160" s="10">
        <f>Таблица2[[#This Row],[Декабрь]]-Таблица2[[#This Row],[Сумма реализации (с возвратами)]]</f>
        <v>63742</v>
      </c>
    </row>
    <row r="161" spans="1:4" s="1" customFormat="1" ht="10.95" customHeight="1" x14ac:dyDescent="0.2">
      <c r="A161" s="2" t="s">
        <v>919</v>
      </c>
      <c r="B161" s="3">
        <v>34920</v>
      </c>
      <c r="C161" s="1">
        <f>IFERROR(VLOOKUP(Таблица2[[#This Row],[Контрагент]],Таблица1[],2,0),0)</f>
        <v>0</v>
      </c>
      <c r="D161" s="10">
        <f>Таблица2[[#This Row],[Декабрь]]-Таблица2[[#This Row],[Сумма реализации (с возвратами)]]</f>
        <v>-34920</v>
      </c>
    </row>
    <row r="162" spans="1:4" s="1" customFormat="1" ht="10.95" customHeight="1" x14ac:dyDescent="0.2">
      <c r="A162" s="2" t="s">
        <v>166</v>
      </c>
      <c r="B162" s="3">
        <v>115320</v>
      </c>
      <c r="C162" s="1">
        <f>IFERROR(VLOOKUP(Таблица2[[#This Row],[Контрагент]],Таблица1[],2,0),0)</f>
        <v>121600</v>
      </c>
      <c r="D162" s="10">
        <f>Таблица2[[#This Row],[Декабрь]]-Таблица2[[#This Row],[Сумма реализации (с возвратами)]]</f>
        <v>6280</v>
      </c>
    </row>
    <row r="163" spans="1:4" s="1" customFormat="1" ht="10.95" customHeight="1" x14ac:dyDescent="0.2">
      <c r="A163" s="2" t="s">
        <v>169</v>
      </c>
      <c r="B163" s="3">
        <v>186165</v>
      </c>
      <c r="C163" s="1">
        <f>IFERROR(VLOOKUP(Таблица2[[#This Row],[Контрагент]],Таблица1[],2,0),0)</f>
        <v>131005</v>
      </c>
      <c r="D163" s="10">
        <f>Таблица2[[#This Row],[Декабрь]]-Таблица2[[#This Row],[Сумма реализации (с возвратами)]]</f>
        <v>-55160</v>
      </c>
    </row>
    <row r="164" spans="1:4" s="1" customFormat="1" ht="10.95" customHeight="1" x14ac:dyDescent="0.2">
      <c r="A164" s="2" t="s">
        <v>920</v>
      </c>
      <c r="B164" s="3">
        <v>50310</v>
      </c>
      <c r="C164" s="1">
        <f>IFERROR(VLOOKUP(Таблица2[[#This Row],[Контрагент]],Таблица1[],2,0),0)</f>
        <v>0</v>
      </c>
      <c r="D164" s="10">
        <f>Таблица2[[#This Row],[Декабрь]]-Таблица2[[#This Row],[Сумма реализации (с возвратами)]]</f>
        <v>-50310</v>
      </c>
    </row>
    <row r="165" spans="1:4" s="1" customFormat="1" ht="10.95" customHeight="1" x14ac:dyDescent="0.2">
      <c r="A165" s="2" t="s">
        <v>170</v>
      </c>
      <c r="B165" s="3">
        <v>140425</v>
      </c>
      <c r="C165" s="1">
        <f>IFERROR(VLOOKUP(Таблица2[[#This Row],[Контрагент]],Таблица1[],2,0),0)</f>
        <v>173790</v>
      </c>
      <c r="D165" s="10">
        <f>Таблица2[[#This Row],[Декабрь]]-Таблица2[[#This Row],[Сумма реализации (с возвратами)]]</f>
        <v>33365</v>
      </c>
    </row>
    <row r="166" spans="1:4" s="1" customFormat="1" ht="10.95" customHeight="1" x14ac:dyDescent="0.2">
      <c r="A166" s="2" t="s">
        <v>171</v>
      </c>
      <c r="B166" s="3">
        <v>1143148</v>
      </c>
      <c r="C166" s="1">
        <f>IFERROR(VLOOKUP(Таблица2[[#This Row],[Контрагент]],Таблица1[],2,0),0)</f>
        <v>1209995.5</v>
      </c>
      <c r="D166" s="10">
        <f>Таблица2[[#This Row],[Декабрь]]-Таблица2[[#This Row],[Сумма реализации (с возвратами)]]</f>
        <v>66847.5</v>
      </c>
    </row>
    <row r="167" spans="1:4" s="1" customFormat="1" ht="10.95" customHeight="1" x14ac:dyDescent="0.2">
      <c r="A167" s="2" t="s">
        <v>172</v>
      </c>
      <c r="B167" s="3">
        <v>105530</v>
      </c>
      <c r="C167" s="1">
        <f>IFERROR(VLOOKUP(Таблица2[[#This Row],[Контрагент]],Таблица1[],2,0),0)</f>
        <v>119810</v>
      </c>
      <c r="D167" s="10">
        <f>Таблица2[[#This Row],[Декабрь]]-Таблица2[[#This Row],[Сумма реализации (с возвратами)]]</f>
        <v>14280</v>
      </c>
    </row>
    <row r="168" spans="1:4" s="1" customFormat="1" ht="10.95" customHeight="1" x14ac:dyDescent="0.2">
      <c r="A168" s="2" t="s">
        <v>173</v>
      </c>
      <c r="B168" s="3">
        <v>128570</v>
      </c>
      <c r="C168" s="1">
        <f>IFERROR(VLOOKUP(Таблица2[[#This Row],[Контрагент]],Таблица1[],2,0),0)</f>
        <v>97993</v>
      </c>
      <c r="D168" s="10">
        <f>Таблица2[[#This Row],[Декабрь]]-Таблица2[[#This Row],[Сумма реализации (с возвратами)]]</f>
        <v>-30577</v>
      </c>
    </row>
    <row r="169" spans="1:4" s="1" customFormat="1" ht="10.95" customHeight="1" x14ac:dyDescent="0.2">
      <c r="A169" s="2" t="s">
        <v>174</v>
      </c>
      <c r="B169" s="3">
        <v>68550</v>
      </c>
      <c r="C169" s="1">
        <f>IFERROR(VLOOKUP(Таблица2[[#This Row],[Контрагент]],Таблица1[],2,0),0)</f>
        <v>156670</v>
      </c>
      <c r="D169" s="10">
        <f>Таблица2[[#This Row],[Декабрь]]-Таблица2[[#This Row],[Сумма реализации (с возвратами)]]</f>
        <v>88120</v>
      </c>
    </row>
    <row r="170" spans="1:4" s="1" customFormat="1" ht="10.95" customHeight="1" x14ac:dyDescent="0.2">
      <c r="A170" s="2" t="s">
        <v>921</v>
      </c>
      <c r="B170" s="3">
        <v>95595</v>
      </c>
      <c r="C170" s="1">
        <f>IFERROR(VLOOKUP(Таблица2[[#This Row],[Контрагент]],Таблица1[],2,0),0)</f>
        <v>0</v>
      </c>
      <c r="D170" s="10">
        <f>Таблица2[[#This Row],[Декабрь]]-Таблица2[[#This Row],[Сумма реализации (с возвратами)]]</f>
        <v>-95595</v>
      </c>
    </row>
    <row r="171" spans="1:4" s="1" customFormat="1" ht="10.95" customHeight="1" x14ac:dyDescent="0.2">
      <c r="A171" s="2" t="s">
        <v>922</v>
      </c>
      <c r="B171" s="3">
        <v>16450</v>
      </c>
      <c r="C171" s="1">
        <f>IFERROR(VLOOKUP(Таблица2[[#This Row],[Контрагент]],Таблица1[],2,0),0)</f>
        <v>0</v>
      </c>
      <c r="D171" s="10">
        <f>Таблица2[[#This Row],[Декабрь]]-Таблица2[[#This Row],[Сумма реализации (с возвратами)]]</f>
        <v>-16450</v>
      </c>
    </row>
    <row r="172" spans="1:4" s="1" customFormat="1" ht="10.95" customHeight="1" x14ac:dyDescent="0.2">
      <c r="A172" s="2" t="s">
        <v>176</v>
      </c>
      <c r="B172" s="3">
        <v>820885</v>
      </c>
      <c r="C172" s="1">
        <f>IFERROR(VLOOKUP(Таблица2[[#This Row],[Контрагент]],Таблица1[],2,0),0)</f>
        <v>107380</v>
      </c>
      <c r="D172" s="10">
        <f>Таблица2[[#This Row],[Декабрь]]-Таблица2[[#This Row],[Сумма реализации (с возвратами)]]</f>
        <v>-713505</v>
      </c>
    </row>
    <row r="173" spans="1:4" s="1" customFormat="1" ht="10.95" customHeight="1" x14ac:dyDescent="0.2">
      <c r="A173" s="2" t="s">
        <v>177</v>
      </c>
      <c r="B173" s="3">
        <v>105155</v>
      </c>
      <c r="C173" s="1">
        <f>IFERROR(VLOOKUP(Таблица2[[#This Row],[Контрагент]],Таблица1[],2,0),0)</f>
        <v>18030</v>
      </c>
      <c r="D173" s="10">
        <f>Таблица2[[#This Row],[Декабрь]]-Таблица2[[#This Row],[Сумма реализации (с возвратами)]]</f>
        <v>-87125</v>
      </c>
    </row>
    <row r="174" spans="1:4" s="1" customFormat="1" ht="10.95" customHeight="1" x14ac:dyDescent="0.2">
      <c r="A174" s="2" t="s">
        <v>180</v>
      </c>
      <c r="B174" s="3">
        <v>81273</v>
      </c>
      <c r="C174" s="1">
        <f>IFERROR(VLOOKUP(Таблица2[[#This Row],[Контрагент]],Таблица1[],2,0),0)</f>
        <v>69760</v>
      </c>
      <c r="D174" s="10">
        <f>Таблица2[[#This Row],[Декабрь]]-Таблица2[[#This Row],[Сумма реализации (с возвратами)]]</f>
        <v>-11513</v>
      </c>
    </row>
    <row r="175" spans="1:4" s="1" customFormat="1" ht="10.95" customHeight="1" x14ac:dyDescent="0.2">
      <c r="A175" s="2" t="s">
        <v>182</v>
      </c>
      <c r="B175" s="3">
        <v>17190</v>
      </c>
      <c r="C175" s="1">
        <f>IFERROR(VLOOKUP(Таблица2[[#This Row],[Контрагент]],Таблица1[],2,0),0)</f>
        <v>15720</v>
      </c>
      <c r="D175" s="10">
        <f>Таблица2[[#This Row],[Декабрь]]-Таблица2[[#This Row],[Сумма реализации (с возвратами)]]</f>
        <v>-1470</v>
      </c>
    </row>
    <row r="176" spans="1:4" s="1" customFormat="1" ht="10.95" customHeight="1" x14ac:dyDescent="0.2">
      <c r="A176" s="2" t="s">
        <v>183</v>
      </c>
      <c r="B176" s="3">
        <v>39440</v>
      </c>
      <c r="C176" s="1">
        <f>IFERROR(VLOOKUP(Таблица2[[#This Row],[Контрагент]],Таблица1[],2,0),0)</f>
        <v>44120</v>
      </c>
      <c r="D176" s="10">
        <f>Таблица2[[#This Row],[Декабрь]]-Таблица2[[#This Row],[Сумма реализации (с возвратами)]]</f>
        <v>4680</v>
      </c>
    </row>
    <row r="177" spans="1:4" s="1" customFormat="1" ht="10.95" customHeight="1" x14ac:dyDescent="0.2">
      <c r="A177" s="2" t="s">
        <v>184</v>
      </c>
      <c r="B177" s="3">
        <v>17760</v>
      </c>
      <c r="C177" s="1">
        <f>IFERROR(VLOOKUP(Таблица2[[#This Row],[Контрагент]],Таблица1[],2,0),0)</f>
        <v>11230</v>
      </c>
      <c r="D177" s="10">
        <f>Таблица2[[#This Row],[Декабрь]]-Таблица2[[#This Row],[Сумма реализации (с возвратами)]]</f>
        <v>-6530</v>
      </c>
    </row>
    <row r="178" spans="1:4" s="1" customFormat="1" ht="10.95" customHeight="1" x14ac:dyDescent="0.2">
      <c r="A178" s="2" t="s">
        <v>923</v>
      </c>
      <c r="B178" s="3">
        <v>87440</v>
      </c>
      <c r="C178" s="1">
        <f>IFERROR(VLOOKUP(Таблица2[[#This Row],[Контрагент]],Таблица1[],2,0),0)</f>
        <v>0</v>
      </c>
      <c r="D178" s="10">
        <f>Таблица2[[#This Row],[Декабрь]]-Таблица2[[#This Row],[Сумма реализации (с возвратами)]]</f>
        <v>-87440</v>
      </c>
    </row>
    <row r="179" spans="1:4" s="1" customFormat="1" ht="10.95" customHeight="1" x14ac:dyDescent="0.2">
      <c r="A179" s="2" t="s">
        <v>186</v>
      </c>
      <c r="B179" s="3">
        <v>61510</v>
      </c>
      <c r="C179" s="1">
        <f>IFERROR(VLOOKUP(Таблица2[[#This Row],[Контрагент]],Таблица1[],2,0),0)</f>
        <v>50635</v>
      </c>
      <c r="D179" s="10">
        <f>Таблица2[[#This Row],[Декабрь]]-Таблица2[[#This Row],[Сумма реализации (с возвратами)]]</f>
        <v>-10875</v>
      </c>
    </row>
    <row r="180" spans="1:4" s="1" customFormat="1" ht="10.95" customHeight="1" x14ac:dyDescent="0.2">
      <c r="A180" s="2" t="s">
        <v>188</v>
      </c>
      <c r="B180" s="3">
        <v>17590</v>
      </c>
      <c r="C180" s="1">
        <f>IFERROR(VLOOKUP(Таблица2[[#This Row],[Контрагент]],Таблица1[],2,0),0)</f>
        <v>35585</v>
      </c>
      <c r="D180" s="10">
        <f>Таблица2[[#This Row],[Декабрь]]-Таблица2[[#This Row],[Сумма реализации (с возвратами)]]</f>
        <v>17995</v>
      </c>
    </row>
    <row r="181" spans="1:4" s="1" customFormat="1" ht="10.95" customHeight="1" x14ac:dyDescent="0.2">
      <c r="A181" s="2" t="s">
        <v>189</v>
      </c>
      <c r="B181" s="3">
        <v>642229</v>
      </c>
      <c r="C181" s="1">
        <f>IFERROR(VLOOKUP(Таблица2[[#This Row],[Контрагент]],Таблица1[],2,0),0)</f>
        <v>198869</v>
      </c>
      <c r="D181" s="10">
        <f>Таблица2[[#This Row],[Декабрь]]-Таблица2[[#This Row],[Сумма реализации (с возвратами)]]</f>
        <v>-443360</v>
      </c>
    </row>
    <row r="182" spans="1:4" s="1" customFormat="1" ht="10.95" customHeight="1" x14ac:dyDescent="0.2">
      <c r="A182" s="2" t="s">
        <v>190</v>
      </c>
      <c r="B182" s="3">
        <v>58020</v>
      </c>
      <c r="C182" s="1">
        <f>IFERROR(VLOOKUP(Таблица2[[#This Row],[Контрагент]],Таблица1[],2,0),0)</f>
        <v>13460</v>
      </c>
      <c r="D182" s="10">
        <f>Таблица2[[#This Row],[Декабрь]]-Таблица2[[#This Row],[Сумма реализации (с возвратами)]]</f>
        <v>-44560</v>
      </c>
    </row>
    <row r="183" spans="1:4" s="1" customFormat="1" ht="10.95" customHeight="1" x14ac:dyDescent="0.2">
      <c r="A183" s="2" t="s">
        <v>924</v>
      </c>
      <c r="B183" s="3">
        <v>146363</v>
      </c>
      <c r="C183" s="1">
        <f>IFERROR(VLOOKUP(Таблица2[[#This Row],[Контрагент]],Таблица1[],2,0),0)</f>
        <v>0</v>
      </c>
      <c r="D183" s="10">
        <f>Таблица2[[#This Row],[Декабрь]]-Таблица2[[#This Row],[Сумма реализации (с возвратами)]]</f>
        <v>-146363</v>
      </c>
    </row>
    <row r="184" spans="1:4" s="1" customFormat="1" ht="10.95" customHeight="1" x14ac:dyDescent="0.2">
      <c r="A184" s="2" t="s">
        <v>191</v>
      </c>
      <c r="B184" s="3">
        <v>27810</v>
      </c>
      <c r="C184" s="1">
        <f>IFERROR(VLOOKUP(Таблица2[[#This Row],[Контрагент]],Таблица1[],2,0),0)</f>
        <v>55850</v>
      </c>
      <c r="D184" s="10">
        <f>Таблица2[[#This Row],[Декабрь]]-Таблица2[[#This Row],[Сумма реализации (с возвратами)]]</f>
        <v>28040</v>
      </c>
    </row>
    <row r="185" spans="1:4" s="1" customFormat="1" ht="10.95" customHeight="1" x14ac:dyDescent="0.2">
      <c r="A185" s="2" t="s">
        <v>192</v>
      </c>
      <c r="B185" s="3">
        <v>53340</v>
      </c>
      <c r="C185" s="1">
        <f>IFERROR(VLOOKUP(Таблица2[[#This Row],[Контрагент]],Таблица1[],2,0),0)</f>
        <v>37245</v>
      </c>
      <c r="D185" s="10">
        <f>Таблица2[[#This Row],[Декабрь]]-Таблица2[[#This Row],[Сумма реализации (с возвратами)]]</f>
        <v>-16095</v>
      </c>
    </row>
    <row r="186" spans="1:4" s="1" customFormat="1" ht="10.95" customHeight="1" x14ac:dyDescent="0.2">
      <c r="A186" s="2" t="s">
        <v>925</v>
      </c>
      <c r="B186" s="3">
        <v>1084470</v>
      </c>
      <c r="C186" s="1">
        <f>IFERROR(VLOOKUP(Таблица2[[#This Row],[Контрагент]],Таблица1[],2,0),0)</f>
        <v>0</v>
      </c>
      <c r="D186" s="10">
        <f>Таблица2[[#This Row],[Декабрь]]-Таблица2[[#This Row],[Сумма реализации (с возвратами)]]</f>
        <v>-1084470</v>
      </c>
    </row>
    <row r="187" spans="1:4" s="1" customFormat="1" ht="10.95" customHeight="1" x14ac:dyDescent="0.2">
      <c r="A187" s="2" t="s">
        <v>193</v>
      </c>
      <c r="B187" s="3">
        <v>74670</v>
      </c>
      <c r="C187" s="1">
        <f>IFERROR(VLOOKUP(Таблица2[[#This Row],[Контрагент]],Таблица1[],2,0),0)</f>
        <v>279150</v>
      </c>
      <c r="D187" s="10">
        <f>Таблица2[[#This Row],[Декабрь]]-Таблица2[[#This Row],[Сумма реализации (с возвратами)]]</f>
        <v>204480</v>
      </c>
    </row>
    <row r="188" spans="1:4" s="1" customFormat="1" ht="10.95" customHeight="1" x14ac:dyDescent="0.2">
      <c r="A188" s="2" t="s">
        <v>194</v>
      </c>
      <c r="B188" s="3">
        <v>481900</v>
      </c>
      <c r="C188" s="1">
        <f>IFERROR(VLOOKUP(Таблица2[[#This Row],[Контрагент]],Таблица1[],2,0),0)</f>
        <v>373260</v>
      </c>
      <c r="D188" s="10">
        <f>Таблица2[[#This Row],[Декабрь]]-Таблица2[[#This Row],[Сумма реализации (с возвратами)]]</f>
        <v>-108640</v>
      </c>
    </row>
    <row r="189" spans="1:4" s="1" customFormat="1" ht="10.95" customHeight="1" x14ac:dyDescent="0.2">
      <c r="A189" s="2" t="s">
        <v>195</v>
      </c>
      <c r="B189" s="3">
        <v>13640</v>
      </c>
      <c r="C189" s="1">
        <f>IFERROR(VLOOKUP(Таблица2[[#This Row],[Контрагент]],Таблица1[],2,0),0)</f>
        <v>54800</v>
      </c>
      <c r="D189" s="10">
        <f>Таблица2[[#This Row],[Декабрь]]-Таблица2[[#This Row],[Сумма реализации (с возвратами)]]</f>
        <v>41160</v>
      </c>
    </row>
    <row r="190" spans="1:4" s="1" customFormat="1" ht="10.95" customHeight="1" x14ac:dyDescent="0.2">
      <c r="A190" s="2" t="s">
        <v>926</v>
      </c>
      <c r="B190" s="3">
        <v>58630</v>
      </c>
      <c r="C190" s="1">
        <f>IFERROR(VLOOKUP(Таблица2[[#This Row],[Контрагент]],Таблица1[],2,0),0)</f>
        <v>0</v>
      </c>
      <c r="D190" s="10">
        <f>Таблица2[[#This Row],[Декабрь]]-Таблица2[[#This Row],[Сумма реализации (с возвратами)]]</f>
        <v>-58630</v>
      </c>
    </row>
    <row r="191" spans="1:4" s="1" customFormat="1" ht="10.95" customHeight="1" x14ac:dyDescent="0.2">
      <c r="A191" s="2" t="s">
        <v>196</v>
      </c>
      <c r="B191" s="3">
        <v>1876181</v>
      </c>
      <c r="C191" s="1">
        <f>IFERROR(VLOOKUP(Таблица2[[#This Row],[Контрагент]],Таблица1[],2,0),0)</f>
        <v>771160</v>
      </c>
      <c r="D191" s="10">
        <f>Таблица2[[#This Row],[Декабрь]]-Таблица2[[#This Row],[Сумма реализации (с возвратами)]]</f>
        <v>-1105021</v>
      </c>
    </row>
    <row r="192" spans="1:4" s="1" customFormat="1" ht="10.95" customHeight="1" x14ac:dyDescent="0.2">
      <c r="A192" s="2" t="s">
        <v>198</v>
      </c>
      <c r="B192" s="3">
        <v>46220</v>
      </c>
      <c r="C192" s="1">
        <f>IFERROR(VLOOKUP(Таблица2[[#This Row],[Контрагент]],Таблица1[],2,0),0)</f>
        <v>60580</v>
      </c>
      <c r="D192" s="10">
        <f>Таблица2[[#This Row],[Декабрь]]-Таблица2[[#This Row],[Сумма реализации (с возвратами)]]</f>
        <v>14360</v>
      </c>
    </row>
    <row r="193" spans="1:4" s="1" customFormat="1" ht="10.95" customHeight="1" x14ac:dyDescent="0.2">
      <c r="A193" s="2" t="s">
        <v>199</v>
      </c>
      <c r="B193" s="3">
        <v>59920</v>
      </c>
      <c r="C193" s="1">
        <f>IFERROR(VLOOKUP(Таблица2[[#This Row],[Контрагент]],Таблица1[],2,0),0)</f>
        <v>88900</v>
      </c>
      <c r="D193" s="10">
        <f>Таблица2[[#This Row],[Декабрь]]-Таблица2[[#This Row],[Сумма реализации (с возвратами)]]</f>
        <v>28980</v>
      </c>
    </row>
    <row r="194" spans="1:4" s="1" customFormat="1" ht="10.95" customHeight="1" x14ac:dyDescent="0.2">
      <c r="A194" s="2" t="s">
        <v>200</v>
      </c>
      <c r="B194" s="3">
        <v>38678</v>
      </c>
      <c r="C194" s="1">
        <f>IFERROR(VLOOKUP(Таблица2[[#This Row],[Контрагент]],Таблица1[],2,0),0)</f>
        <v>225343</v>
      </c>
      <c r="D194" s="10">
        <f>Таблица2[[#This Row],[Декабрь]]-Таблица2[[#This Row],[Сумма реализации (с возвратами)]]</f>
        <v>186665</v>
      </c>
    </row>
    <row r="195" spans="1:4" s="1" customFormat="1" ht="10.95" customHeight="1" x14ac:dyDescent="0.2">
      <c r="A195" s="2" t="s">
        <v>202</v>
      </c>
      <c r="B195" s="3">
        <v>212520</v>
      </c>
      <c r="C195" s="1">
        <f>IFERROR(VLOOKUP(Таблица2[[#This Row],[Контрагент]],Таблица1[],2,0),0)</f>
        <v>22200</v>
      </c>
      <c r="D195" s="10">
        <f>Таблица2[[#This Row],[Декабрь]]-Таблица2[[#This Row],[Сумма реализации (с возвратами)]]</f>
        <v>-190320</v>
      </c>
    </row>
    <row r="196" spans="1:4" s="1" customFormat="1" ht="10.95" customHeight="1" x14ac:dyDescent="0.2">
      <c r="A196" s="2" t="s">
        <v>203</v>
      </c>
      <c r="B196" s="3">
        <v>85570</v>
      </c>
      <c r="C196" s="1">
        <f>IFERROR(VLOOKUP(Таблица2[[#This Row],[Контрагент]],Таблица1[],2,0),0)</f>
        <v>124650</v>
      </c>
      <c r="D196" s="10">
        <f>Таблица2[[#This Row],[Декабрь]]-Таблица2[[#This Row],[Сумма реализации (с возвратами)]]</f>
        <v>39080</v>
      </c>
    </row>
    <row r="197" spans="1:4" s="1" customFormat="1" ht="10.95" customHeight="1" x14ac:dyDescent="0.2">
      <c r="A197" s="2" t="s">
        <v>204</v>
      </c>
      <c r="B197" s="3">
        <v>31650</v>
      </c>
      <c r="C197" s="1">
        <f>IFERROR(VLOOKUP(Таблица2[[#This Row],[Контрагент]],Таблица1[],2,0),0)</f>
        <v>10500</v>
      </c>
      <c r="D197" s="10">
        <f>Таблица2[[#This Row],[Декабрь]]-Таблица2[[#This Row],[Сумма реализации (с возвратами)]]</f>
        <v>-21150</v>
      </c>
    </row>
    <row r="198" spans="1:4" s="1" customFormat="1" ht="10.95" customHeight="1" x14ac:dyDescent="0.2">
      <c r="A198" s="2" t="s">
        <v>205</v>
      </c>
      <c r="B198" s="3">
        <v>128210</v>
      </c>
      <c r="C198" s="1">
        <f>IFERROR(VLOOKUP(Таблица2[[#This Row],[Контрагент]],Таблица1[],2,0),0)</f>
        <v>40900</v>
      </c>
      <c r="D198" s="10">
        <f>Таблица2[[#This Row],[Декабрь]]-Таблица2[[#This Row],[Сумма реализации (с возвратами)]]</f>
        <v>-87310</v>
      </c>
    </row>
    <row r="199" spans="1:4" s="1" customFormat="1" ht="10.95" customHeight="1" x14ac:dyDescent="0.2">
      <c r="A199" s="2" t="s">
        <v>207</v>
      </c>
      <c r="B199" s="3">
        <v>48910</v>
      </c>
      <c r="C199" s="1">
        <f>IFERROR(VLOOKUP(Таблица2[[#This Row],[Контрагент]],Таблица1[],2,0),0)</f>
        <v>43155</v>
      </c>
      <c r="D199" s="10">
        <f>Таблица2[[#This Row],[Декабрь]]-Таблица2[[#This Row],[Сумма реализации (с возвратами)]]</f>
        <v>-5755</v>
      </c>
    </row>
    <row r="200" spans="1:4" s="1" customFormat="1" ht="10.95" customHeight="1" x14ac:dyDescent="0.2">
      <c r="A200" s="2" t="s">
        <v>208</v>
      </c>
      <c r="B200" s="3">
        <v>87000</v>
      </c>
      <c r="C200" s="1">
        <f>IFERROR(VLOOKUP(Таблица2[[#This Row],[Контрагент]],Таблица1[],2,0),0)</f>
        <v>134160</v>
      </c>
      <c r="D200" s="10">
        <f>Таблица2[[#This Row],[Декабрь]]-Таблица2[[#This Row],[Сумма реализации (с возвратами)]]</f>
        <v>47160</v>
      </c>
    </row>
    <row r="201" spans="1:4" s="1" customFormat="1" ht="10.95" customHeight="1" x14ac:dyDescent="0.2">
      <c r="A201" s="2" t="s">
        <v>209</v>
      </c>
      <c r="B201" s="3">
        <v>33040</v>
      </c>
      <c r="C201" s="1">
        <f>IFERROR(VLOOKUP(Таблица2[[#This Row],[Контрагент]],Таблица1[],2,0),0)</f>
        <v>25020</v>
      </c>
      <c r="D201" s="10">
        <f>Таблица2[[#This Row],[Декабрь]]-Таблица2[[#This Row],[Сумма реализации (с возвратами)]]</f>
        <v>-8020</v>
      </c>
    </row>
    <row r="202" spans="1:4" s="1" customFormat="1" ht="10.95" customHeight="1" x14ac:dyDescent="0.2">
      <c r="A202" s="2" t="s">
        <v>927</v>
      </c>
      <c r="B202" s="3">
        <v>86400</v>
      </c>
      <c r="C202" s="1">
        <f>IFERROR(VLOOKUP(Таблица2[[#This Row],[Контрагент]],Таблица1[],2,0),0)</f>
        <v>0</v>
      </c>
      <c r="D202" s="10">
        <f>Таблица2[[#This Row],[Декабрь]]-Таблица2[[#This Row],[Сумма реализации (с возвратами)]]</f>
        <v>-86400</v>
      </c>
    </row>
    <row r="203" spans="1:4" s="1" customFormat="1" ht="10.95" customHeight="1" x14ac:dyDescent="0.2">
      <c r="A203" s="2" t="s">
        <v>928</v>
      </c>
      <c r="B203" s="3">
        <v>32955</v>
      </c>
      <c r="C203" s="1">
        <f>IFERROR(VLOOKUP(Таблица2[[#This Row],[Контрагент]],Таблица1[],2,0),0)</f>
        <v>0</v>
      </c>
      <c r="D203" s="10">
        <f>Таблица2[[#This Row],[Декабрь]]-Таблица2[[#This Row],[Сумма реализации (с возвратами)]]</f>
        <v>-32955</v>
      </c>
    </row>
    <row r="204" spans="1:4" s="1" customFormat="1" ht="10.95" customHeight="1" x14ac:dyDescent="0.2">
      <c r="A204" s="2" t="s">
        <v>211</v>
      </c>
      <c r="B204" s="3">
        <v>112490</v>
      </c>
      <c r="C204" s="1">
        <f>IFERROR(VLOOKUP(Таблица2[[#This Row],[Контрагент]],Таблица1[],2,0),0)</f>
        <v>149960</v>
      </c>
      <c r="D204" s="10">
        <f>Таблица2[[#This Row],[Декабрь]]-Таблица2[[#This Row],[Сумма реализации (с возвратами)]]</f>
        <v>37470</v>
      </c>
    </row>
    <row r="205" spans="1:4" s="1" customFormat="1" ht="10.95" customHeight="1" x14ac:dyDescent="0.2">
      <c r="A205" s="2" t="s">
        <v>212</v>
      </c>
      <c r="B205" s="3">
        <v>86610</v>
      </c>
      <c r="C205" s="1">
        <f>IFERROR(VLOOKUP(Таблица2[[#This Row],[Контрагент]],Таблица1[],2,0),0)</f>
        <v>90300</v>
      </c>
      <c r="D205" s="10">
        <f>Таблица2[[#This Row],[Декабрь]]-Таблица2[[#This Row],[Сумма реализации (с возвратами)]]</f>
        <v>3690</v>
      </c>
    </row>
    <row r="206" spans="1:4" s="1" customFormat="1" ht="10.95" customHeight="1" x14ac:dyDescent="0.2">
      <c r="A206" s="2" t="s">
        <v>929</v>
      </c>
      <c r="B206" s="3">
        <v>145540</v>
      </c>
      <c r="C206" s="1">
        <f>IFERROR(VLOOKUP(Таблица2[[#This Row],[Контрагент]],Таблица1[],2,0),0)</f>
        <v>0</v>
      </c>
      <c r="D206" s="10">
        <f>Таблица2[[#This Row],[Декабрь]]-Таблица2[[#This Row],[Сумма реализации (с возвратами)]]</f>
        <v>-145540</v>
      </c>
    </row>
    <row r="207" spans="1:4" s="1" customFormat="1" ht="10.95" customHeight="1" x14ac:dyDescent="0.2">
      <c r="A207" s="2" t="s">
        <v>215</v>
      </c>
      <c r="B207" s="3">
        <v>68100</v>
      </c>
      <c r="C207" s="1">
        <f>IFERROR(VLOOKUP(Таблица2[[#This Row],[Контрагент]],Таблица1[],2,0),0)</f>
        <v>78720</v>
      </c>
      <c r="D207" s="10">
        <f>Таблица2[[#This Row],[Декабрь]]-Таблица2[[#This Row],[Сумма реализации (с возвратами)]]</f>
        <v>10620</v>
      </c>
    </row>
    <row r="208" spans="1:4" s="1" customFormat="1" ht="10.95" customHeight="1" x14ac:dyDescent="0.2">
      <c r="A208" s="2" t="s">
        <v>216</v>
      </c>
      <c r="B208" s="3">
        <v>73130</v>
      </c>
      <c r="C208" s="1">
        <f>IFERROR(VLOOKUP(Таблица2[[#This Row],[Контрагент]],Таблица1[],2,0),0)</f>
        <v>209480</v>
      </c>
      <c r="D208" s="10">
        <f>Таблица2[[#This Row],[Декабрь]]-Таблица2[[#This Row],[Сумма реализации (с возвратами)]]</f>
        <v>136350</v>
      </c>
    </row>
    <row r="209" spans="1:4" s="1" customFormat="1" ht="10.95" customHeight="1" x14ac:dyDescent="0.2">
      <c r="A209" s="2" t="s">
        <v>930</v>
      </c>
      <c r="B209" s="3">
        <v>25920</v>
      </c>
      <c r="C209" s="1">
        <f>IFERROR(VLOOKUP(Таблица2[[#This Row],[Контрагент]],Таблица1[],2,0),0)</f>
        <v>0</v>
      </c>
      <c r="D209" s="10">
        <f>Таблица2[[#This Row],[Декабрь]]-Таблица2[[#This Row],[Сумма реализации (с возвратами)]]</f>
        <v>-25920</v>
      </c>
    </row>
    <row r="210" spans="1:4" s="1" customFormat="1" ht="10.95" customHeight="1" x14ac:dyDescent="0.2">
      <c r="A210" s="2" t="s">
        <v>931</v>
      </c>
      <c r="B210" s="3">
        <v>34160</v>
      </c>
      <c r="C210" s="1">
        <f>IFERROR(VLOOKUP(Таблица2[[#This Row],[Контрагент]],Таблица1[],2,0),0)</f>
        <v>0</v>
      </c>
      <c r="D210" s="10">
        <f>Таблица2[[#This Row],[Декабрь]]-Таблица2[[#This Row],[Сумма реализации (с возвратами)]]</f>
        <v>-34160</v>
      </c>
    </row>
    <row r="211" spans="1:4" s="1" customFormat="1" ht="10.95" customHeight="1" x14ac:dyDescent="0.2">
      <c r="A211" s="2" t="s">
        <v>218</v>
      </c>
      <c r="B211" s="3">
        <v>398590</v>
      </c>
      <c r="C211" s="1">
        <f>IFERROR(VLOOKUP(Таблица2[[#This Row],[Контрагент]],Таблица1[],2,0),0)</f>
        <v>1113585</v>
      </c>
      <c r="D211" s="10">
        <f>Таблица2[[#This Row],[Декабрь]]-Таблица2[[#This Row],[Сумма реализации (с возвратами)]]</f>
        <v>714995</v>
      </c>
    </row>
    <row r="212" spans="1:4" s="1" customFormat="1" ht="10.95" customHeight="1" x14ac:dyDescent="0.2">
      <c r="A212" s="2" t="s">
        <v>932</v>
      </c>
      <c r="B212" s="3">
        <v>31410</v>
      </c>
      <c r="C212" s="1">
        <f>IFERROR(VLOOKUP(Таблица2[[#This Row],[Контрагент]],Таблица1[],2,0),0)</f>
        <v>0</v>
      </c>
      <c r="D212" s="10">
        <f>Таблица2[[#This Row],[Декабрь]]-Таблица2[[#This Row],[Сумма реализации (с возвратами)]]</f>
        <v>-31410</v>
      </c>
    </row>
    <row r="213" spans="1:4" s="1" customFormat="1" ht="10.95" customHeight="1" x14ac:dyDescent="0.2">
      <c r="A213" s="2" t="s">
        <v>933</v>
      </c>
      <c r="B213" s="3">
        <v>38150</v>
      </c>
      <c r="C213" s="1">
        <f>IFERROR(VLOOKUP(Таблица2[[#This Row],[Контрагент]],Таблица1[],2,0),0)</f>
        <v>0</v>
      </c>
      <c r="D213" s="10">
        <f>Таблица2[[#This Row],[Декабрь]]-Таблица2[[#This Row],[Сумма реализации (с возвратами)]]</f>
        <v>-38150</v>
      </c>
    </row>
    <row r="214" spans="1:4" s="1" customFormat="1" ht="10.95" customHeight="1" x14ac:dyDescent="0.2">
      <c r="A214" s="2" t="s">
        <v>934</v>
      </c>
      <c r="B214" s="3">
        <v>41200</v>
      </c>
      <c r="C214" s="1">
        <f>IFERROR(VLOOKUP(Таблица2[[#This Row],[Контрагент]],Таблица1[],2,0),0)</f>
        <v>0</v>
      </c>
      <c r="D214" s="10">
        <f>Таблица2[[#This Row],[Декабрь]]-Таблица2[[#This Row],[Сумма реализации (с возвратами)]]</f>
        <v>-41200</v>
      </c>
    </row>
    <row r="215" spans="1:4" s="1" customFormat="1" ht="10.95" customHeight="1" x14ac:dyDescent="0.2">
      <c r="A215" s="2" t="s">
        <v>220</v>
      </c>
      <c r="B215" s="3">
        <v>823653</v>
      </c>
      <c r="C215" s="1">
        <f>IFERROR(VLOOKUP(Таблица2[[#This Row],[Контрагент]],Таблица1[],2,0),0)</f>
        <v>2298230</v>
      </c>
      <c r="D215" s="10">
        <f>Таблица2[[#This Row],[Декабрь]]-Таблица2[[#This Row],[Сумма реализации (с возвратами)]]</f>
        <v>1474577</v>
      </c>
    </row>
    <row r="216" spans="1:4" s="1" customFormat="1" ht="10.95" customHeight="1" x14ac:dyDescent="0.2">
      <c r="A216" s="2" t="s">
        <v>935</v>
      </c>
      <c r="B216" s="3">
        <v>30285</v>
      </c>
      <c r="C216" s="1">
        <f>IFERROR(VLOOKUP(Таблица2[[#This Row],[Контрагент]],Таблица1[],2,0),0)</f>
        <v>0</v>
      </c>
      <c r="D216" s="10">
        <f>Таблица2[[#This Row],[Декабрь]]-Таблица2[[#This Row],[Сумма реализации (с возвратами)]]</f>
        <v>-30285</v>
      </c>
    </row>
    <row r="217" spans="1:4" s="1" customFormat="1" ht="10.95" customHeight="1" x14ac:dyDescent="0.2">
      <c r="A217" s="2" t="s">
        <v>936</v>
      </c>
      <c r="B217" s="3">
        <v>33200</v>
      </c>
      <c r="C217" s="1">
        <f>IFERROR(VLOOKUP(Таблица2[[#This Row],[Контрагент]],Таблица1[],2,0),0)</f>
        <v>0</v>
      </c>
      <c r="D217" s="10">
        <f>Таблица2[[#This Row],[Декабрь]]-Таблица2[[#This Row],[Сумма реализации (с возвратами)]]</f>
        <v>-33200</v>
      </c>
    </row>
    <row r="218" spans="1:4" s="1" customFormat="1" ht="10.95" customHeight="1" x14ac:dyDescent="0.2">
      <c r="A218" s="2" t="s">
        <v>221</v>
      </c>
      <c r="B218" s="3">
        <v>69620</v>
      </c>
      <c r="C218" s="1">
        <f>IFERROR(VLOOKUP(Таблица2[[#This Row],[Контрагент]],Таблица1[],2,0),0)</f>
        <v>228120</v>
      </c>
      <c r="D218" s="10">
        <f>Таблица2[[#This Row],[Декабрь]]-Таблица2[[#This Row],[Сумма реализации (с возвратами)]]</f>
        <v>158500</v>
      </c>
    </row>
    <row r="219" spans="1:4" s="1" customFormat="1" ht="10.95" customHeight="1" x14ac:dyDescent="0.2">
      <c r="A219" s="2" t="s">
        <v>222</v>
      </c>
      <c r="B219" s="3">
        <v>122510</v>
      </c>
      <c r="C219" s="1">
        <f>IFERROR(VLOOKUP(Таблица2[[#This Row],[Контрагент]],Таблица1[],2,0),0)</f>
        <v>91430</v>
      </c>
      <c r="D219" s="10">
        <f>Таблица2[[#This Row],[Декабрь]]-Таблица2[[#This Row],[Сумма реализации (с возвратами)]]</f>
        <v>-31080</v>
      </c>
    </row>
    <row r="220" spans="1:4" s="1" customFormat="1" ht="10.95" customHeight="1" x14ac:dyDescent="0.2">
      <c r="A220" s="2" t="s">
        <v>223</v>
      </c>
      <c r="B220" s="3">
        <v>108370</v>
      </c>
      <c r="C220" s="1">
        <f>IFERROR(VLOOKUP(Таблица2[[#This Row],[Контрагент]],Таблица1[],2,0),0)</f>
        <v>92740</v>
      </c>
      <c r="D220" s="10">
        <f>Таблица2[[#This Row],[Декабрь]]-Таблица2[[#This Row],[Сумма реализации (с возвратами)]]</f>
        <v>-15630</v>
      </c>
    </row>
    <row r="221" spans="1:4" s="1" customFormat="1" ht="10.95" customHeight="1" x14ac:dyDescent="0.2">
      <c r="A221" s="2" t="s">
        <v>225</v>
      </c>
      <c r="B221" s="3">
        <v>68890</v>
      </c>
      <c r="C221" s="1">
        <f>IFERROR(VLOOKUP(Таблица2[[#This Row],[Контрагент]],Таблица1[],2,0),0)</f>
        <v>163690</v>
      </c>
      <c r="D221" s="10">
        <f>Таблица2[[#This Row],[Декабрь]]-Таблица2[[#This Row],[Сумма реализации (с возвратами)]]</f>
        <v>94800</v>
      </c>
    </row>
    <row r="222" spans="1:4" s="1" customFormat="1" ht="10.95" customHeight="1" x14ac:dyDescent="0.2">
      <c r="A222" s="2" t="s">
        <v>937</v>
      </c>
      <c r="B222" s="3">
        <v>77720</v>
      </c>
      <c r="C222" s="1">
        <f>IFERROR(VLOOKUP(Таблица2[[#This Row],[Контрагент]],Таблица1[],2,0),0)</f>
        <v>0</v>
      </c>
      <c r="D222" s="10">
        <f>Таблица2[[#This Row],[Декабрь]]-Таблица2[[#This Row],[Сумма реализации (с возвратами)]]</f>
        <v>-77720</v>
      </c>
    </row>
    <row r="223" spans="1:4" s="1" customFormat="1" ht="10.95" customHeight="1" x14ac:dyDescent="0.2">
      <c r="A223" s="2" t="s">
        <v>226</v>
      </c>
      <c r="B223" s="3">
        <v>97530</v>
      </c>
      <c r="C223" s="1">
        <f>IFERROR(VLOOKUP(Таблица2[[#This Row],[Контрагент]],Таблица1[],2,0),0)</f>
        <v>21720</v>
      </c>
      <c r="D223" s="10">
        <f>Таблица2[[#This Row],[Декабрь]]-Таблица2[[#This Row],[Сумма реализации (с возвратами)]]</f>
        <v>-75810</v>
      </c>
    </row>
    <row r="224" spans="1:4" s="1" customFormat="1" ht="10.95" customHeight="1" x14ac:dyDescent="0.2">
      <c r="A224" s="2" t="s">
        <v>227</v>
      </c>
      <c r="B224" s="3">
        <v>48910</v>
      </c>
      <c r="C224" s="1">
        <f>IFERROR(VLOOKUP(Таблица2[[#This Row],[Контрагент]],Таблица1[],2,0),0)</f>
        <v>78180</v>
      </c>
      <c r="D224" s="10">
        <f>Таблица2[[#This Row],[Декабрь]]-Таблица2[[#This Row],[Сумма реализации (с возвратами)]]</f>
        <v>29270</v>
      </c>
    </row>
    <row r="225" spans="1:4" s="1" customFormat="1" ht="10.95" customHeight="1" x14ac:dyDescent="0.2">
      <c r="A225" s="2" t="s">
        <v>228</v>
      </c>
      <c r="B225" s="3">
        <v>10820</v>
      </c>
      <c r="C225" s="1">
        <f>IFERROR(VLOOKUP(Таблица2[[#This Row],[Контрагент]],Таблица1[],2,0),0)</f>
        <v>33320</v>
      </c>
      <c r="D225" s="10">
        <f>Таблица2[[#This Row],[Декабрь]]-Таблица2[[#This Row],[Сумма реализации (с возвратами)]]</f>
        <v>22500</v>
      </c>
    </row>
    <row r="226" spans="1:4" s="1" customFormat="1" ht="10.95" customHeight="1" x14ac:dyDescent="0.2">
      <c r="A226" s="2" t="s">
        <v>229</v>
      </c>
      <c r="B226" s="3">
        <v>63923</v>
      </c>
      <c r="C226" s="1">
        <f>IFERROR(VLOOKUP(Таблица2[[#This Row],[Контрагент]],Таблица1[],2,0),0)</f>
        <v>26363</v>
      </c>
      <c r="D226" s="10">
        <f>Таблица2[[#This Row],[Декабрь]]-Таблица2[[#This Row],[Сумма реализации (с возвратами)]]</f>
        <v>-37560</v>
      </c>
    </row>
    <row r="227" spans="1:4" s="1" customFormat="1" ht="10.95" customHeight="1" x14ac:dyDescent="0.2">
      <c r="A227" s="2" t="s">
        <v>938</v>
      </c>
      <c r="B227" s="3">
        <v>5480</v>
      </c>
      <c r="C227" s="1">
        <f>IFERROR(VLOOKUP(Таблица2[[#This Row],[Контрагент]],Таблица1[],2,0),0)</f>
        <v>0</v>
      </c>
      <c r="D227" s="10">
        <f>Таблица2[[#This Row],[Декабрь]]-Таблица2[[#This Row],[Сумма реализации (с возвратами)]]</f>
        <v>-5480</v>
      </c>
    </row>
    <row r="228" spans="1:4" s="1" customFormat="1" ht="10.95" customHeight="1" x14ac:dyDescent="0.2">
      <c r="A228" s="2" t="s">
        <v>232</v>
      </c>
      <c r="B228" s="3">
        <v>10000</v>
      </c>
      <c r="C228" s="1">
        <f>IFERROR(VLOOKUP(Таблица2[[#This Row],[Контрагент]],Таблица1[],2,0),0)</f>
        <v>18500</v>
      </c>
      <c r="D228" s="10">
        <f>Таблица2[[#This Row],[Декабрь]]-Таблица2[[#This Row],[Сумма реализации (с возвратами)]]</f>
        <v>8500</v>
      </c>
    </row>
    <row r="229" spans="1:4" s="1" customFormat="1" ht="10.95" customHeight="1" x14ac:dyDescent="0.2">
      <c r="A229" s="2" t="s">
        <v>233</v>
      </c>
      <c r="B229" s="3">
        <v>178970</v>
      </c>
      <c r="C229" s="1">
        <f>IFERROR(VLOOKUP(Таблица2[[#This Row],[Контрагент]],Таблица1[],2,0),0)</f>
        <v>159890</v>
      </c>
      <c r="D229" s="10">
        <f>Таблица2[[#This Row],[Декабрь]]-Таблица2[[#This Row],[Сумма реализации (с возвратами)]]</f>
        <v>-19080</v>
      </c>
    </row>
    <row r="230" spans="1:4" s="1" customFormat="1" ht="10.95" customHeight="1" x14ac:dyDescent="0.2">
      <c r="A230" s="2" t="s">
        <v>939</v>
      </c>
      <c r="B230" s="3">
        <v>52930</v>
      </c>
      <c r="C230" s="1">
        <f>IFERROR(VLOOKUP(Таблица2[[#This Row],[Контрагент]],Таблица1[],2,0),0)</f>
        <v>0</v>
      </c>
      <c r="D230" s="10">
        <f>Таблица2[[#This Row],[Декабрь]]-Таблица2[[#This Row],[Сумма реализации (с возвратами)]]</f>
        <v>-52930</v>
      </c>
    </row>
    <row r="231" spans="1:4" s="1" customFormat="1" ht="10.95" customHeight="1" x14ac:dyDescent="0.2">
      <c r="A231" s="2" t="s">
        <v>940</v>
      </c>
      <c r="B231" s="4">
        <v>330</v>
      </c>
      <c r="C231" s="1">
        <f>IFERROR(VLOOKUP(Таблица2[[#This Row],[Контрагент]],Таблица1[],2,0),0)</f>
        <v>0</v>
      </c>
      <c r="D231" s="10">
        <f>Таблица2[[#This Row],[Декабрь]]-Таблица2[[#This Row],[Сумма реализации (с возвратами)]]</f>
        <v>-330</v>
      </c>
    </row>
    <row r="232" spans="1:4" s="1" customFormat="1" ht="10.95" customHeight="1" x14ac:dyDescent="0.2">
      <c r="A232" s="2" t="s">
        <v>234</v>
      </c>
      <c r="B232" s="3">
        <v>16180</v>
      </c>
      <c r="C232" s="1">
        <f>IFERROR(VLOOKUP(Таблица2[[#This Row],[Контрагент]],Таблица1[],2,0),0)</f>
        <v>18430</v>
      </c>
      <c r="D232" s="10">
        <f>Таблица2[[#This Row],[Декабрь]]-Таблица2[[#This Row],[Сумма реализации (с возвратами)]]</f>
        <v>2250</v>
      </c>
    </row>
    <row r="233" spans="1:4" s="1" customFormat="1" ht="10.95" customHeight="1" x14ac:dyDescent="0.2">
      <c r="A233" s="2" t="s">
        <v>235</v>
      </c>
      <c r="B233" s="3">
        <v>135570</v>
      </c>
      <c r="C233" s="1">
        <f>IFERROR(VLOOKUP(Таблица2[[#This Row],[Контрагент]],Таблица1[],2,0),0)</f>
        <v>56900</v>
      </c>
      <c r="D233" s="10">
        <f>Таблица2[[#This Row],[Декабрь]]-Таблица2[[#This Row],[Сумма реализации (с возвратами)]]</f>
        <v>-78670</v>
      </c>
    </row>
    <row r="234" spans="1:4" s="1" customFormat="1" ht="10.95" customHeight="1" x14ac:dyDescent="0.2">
      <c r="A234" s="2" t="s">
        <v>941</v>
      </c>
      <c r="B234" s="3">
        <v>-6400</v>
      </c>
      <c r="C234" s="1">
        <f>IFERROR(VLOOKUP(Таблица2[[#This Row],[Контрагент]],Таблица1[],2,0),0)</f>
        <v>0</v>
      </c>
      <c r="D234" s="10">
        <f>Таблица2[[#This Row],[Декабрь]]-Таблица2[[#This Row],[Сумма реализации (с возвратами)]]</f>
        <v>6400</v>
      </c>
    </row>
    <row r="235" spans="1:4" s="1" customFormat="1" ht="10.95" customHeight="1" x14ac:dyDescent="0.2">
      <c r="A235" s="2" t="s">
        <v>236</v>
      </c>
      <c r="B235" s="3">
        <v>314480</v>
      </c>
      <c r="C235" s="1">
        <f>IFERROR(VLOOKUP(Таблица2[[#This Row],[Контрагент]],Таблица1[],2,0),0)</f>
        <v>133300</v>
      </c>
      <c r="D235" s="10">
        <f>Таблица2[[#This Row],[Декабрь]]-Таблица2[[#This Row],[Сумма реализации (с возвратами)]]</f>
        <v>-181180</v>
      </c>
    </row>
    <row r="236" spans="1:4" s="1" customFormat="1" ht="10.95" customHeight="1" x14ac:dyDescent="0.2">
      <c r="A236" s="2" t="s">
        <v>237</v>
      </c>
      <c r="B236" s="3">
        <v>96340</v>
      </c>
      <c r="C236" s="1">
        <f>IFERROR(VLOOKUP(Таблица2[[#This Row],[Контрагент]],Таблица1[],2,0),0)</f>
        <v>23210</v>
      </c>
      <c r="D236" s="10">
        <f>Таблица2[[#This Row],[Декабрь]]-Таблица2[[#This Row],[Сумма реализации (с возвратами)]]</f>
        <v>-73130</v>
      </c>
    </row>
    <row r="237" spans="1:4" s="1" customFormat="1" ht="10.95" customHeight="1" x14ac:dyDescent="0.2">
      <c r="A237" s="2" t="s">
        <v>942</v>
      </c>
      <c r="B237" s="3">
        <v>45838</v>
      </c>
      <c r="C237" s="1">
        <f>IFERROR(VLOOKUP(Таблица2[[#This Row],[Контрагент]],Таблица1[],2,0),0)</f>
        <v>0</v>
      </c>
      <c r="D237" s="10">
        <f>Таблица2[[#This Row],[Декабрь]]-Таблица2[[#This Row],[Сумма реализации (с возвратами)]]</f>
        <v>-45838</v>
      </c>
    </row>
    <row r="238" spans="1:4" s="1" customFormat="1" ht="10.95" customHeight="1" x14ac:dyDescent="0.2">
      <c r="A238" s="2" t="s">
        <v>238</v>
      </c>
      <c r="B238" s="3">
        <v>86520</v>
      </c>
      <c r="C238" s="1">
        <f>IFERROR(VLOOKUP(Таблица2[[#This Row],[Контрагент]],Таблица1[],2,0),0)</f>
        <v>410720</v>
      </c>
      <c r="D238" s="10">
        <f>Таблица2[[#This Row],[Декабрь]]-Таблица2[[#This Row],[Сумма реализации (с возвратами)]]</f>
        <v>324200</v>
      </c>
    </row>
    <row r="239" spans="1:4" s="1" customFormat="1" ht="10.95" customHeight="1" x14ac:dyDescent="0.2">
      <c r="A239" s="2" t="s">
        <v>239</v>
      </c>
      <c r="B239" s="3">
        <v>44920</v>
      </c>
      <c r="C239" s="1">
        <f>IFERROR(VLOOKUP(Таблица2[[#This Row],[Контрагент]],Таблица1[],2,0),0)</f>
        <v>61290</v>
      </c>
      <c r="D239" s="10">
        <f>Таблица2[[#This Row],[Декабрь]]-Таблица2[[#This Row],[Сумма реализации (с возвратами)]]</f>
        <v>16370</v>
      </c>
    </row>
    <row r="240" spans="1:4" s="1" customFormat="1" ht="10.95" customHeight="1" x14ac:dyDescent="0.2">
      <c r="A240" s="2" t="s">
        <v>240</v>
      </c>
      <c r="B240" s="3">
        <v>26620</v>
      </c>
      <c r="C240" s="1">
        <f>IFERROR(VLOOKUP(Таблица2[[#This Row],[Контрагент]],Таблица1[],2,0),0)</f>
        <v>50640</v>
      </c>
      <c r="D240" s="10">
        <f>Таблица2[[#This Row],[Декабрь]]-Таблица2[[#This Row],[Сумма реализации (с возвратами)]]</f>
        <v>24020</v>
      </c>
    </row>
    <row r="241" spans="1:4" s="1" customFormat="1" ht="10.95" customHeight="1" x14ac:dyDescent="0.2">
      <c r="A241" s="2" t="s">
        <v>241</v>
      </c>
      <c r="B241" s="3">
        <v>17485</v>
      </c>
      <c r="C241" s="1">
        <f>IFERROR(VLOOKUP(Таблица2[[#This Row],[Контрагент]],Таблица1[],2,0),0)</f>
        <v>28630</v>
      </c>
      <c r="D241" s="10">
        <f>Таблица2[[#This Row],[Декабрь]]-Таблица2[[#This Row],[Сумма реализации (с возвратами)]]</f>
        <v>11145</v>
      </c>
    </row>
    <row r="242" spans="1:4" s="1" customFormat="1" ht="10.95" customHeight="1" x14ac:dyDescent="0.2">
      <c r="A242" s="2" t="s">
        <v>242</v>
      </c>
      <c r="B242" s="3">
        <v>811756</v>
      </c>
      <c r="C242" s="1">
        <f>IFERROR(VLOOKUP(Таблица2[[#This Row],[Контрагент]],Таблица1[],2,0),0)</f>
        <v>927408.5</v>
      </c>
      <c r="D242" s="10">
        <f>Таблица2[[#This Row],[Декабрь]]-Таблица2[[#This Row],[Сумма реализации (с возвратами)]]</f>
        <v>115652.5</v>
      </c>
    </row>
    <row r="243" spans="1:4" s="1" customFormat="1" ht="10.95" customHeight="1" x14ac:dyDescent="0.2">
      <c r="A243" s="2" t="s">
        <v>243</v>
      </c>
      <c r="B243" s="3">
        <v>200980</v>
      </c>
      <c r="C243" s="1">
        <f>IFERROR(VLOOKUP(Таблица2[[#This Row],[Контрагент]],Таблица1[],2,0),0)</f>
        <v>199430</v>
      </c>
      <c r="D243" s="10">
        <f>Таблица2[[#This Row],[Декабрь]]-Таблица2[[#This Row],[Сумма реализации (с возвратами)]]</f>
        <v>-1550</v>
      </c>
    </row>
    <row r="244" spans="1:4" s="1" customFormat="1" ht="10.95" customHeight="1" x14ac:dyDescent="0.2">
      <c r="A244" s="2" t="s">
        <v>943</v>
      </c>
      <c r="B244" s="3">
        <v>6180</v>
      </c>
      <c r="C244" s="1">
        <f>IFERROR(VLOOKUP(Таблица2[[#This Row],[Контрагент]],Таблица1[],2,0),0)</f>
        <v>0</v>
      </c>
      <c r="D244" s="10">
        <f>Таблица2[[#This Row],[Декабрь]]-Таблица2[[#This Row],[Сумма реализации (с возвратами)]]</f>
        <v>-6180</v>
      </c>
    </row>
    <row r="245" spans="1:4" s="1" customFormat="1" ht="10.95" customHeight="1" x14ac:dyDescent="0.2">
      <c r="A245" s="2" t="s">
        <v>244</v>
      </c>
      <c r="B245" s="3">
        <v>319870</v>
      </c>
      <c r="C245" s="1">
        <f>IFERROR(VLOOKUP(Таблица2[[#This Row],[Контрагент]],Таблица1[],2,0),0)</f>
        <v>348710</v>
      </c>
      <c r="D245" s="10">
        <f>Таблица2[[#This Row],[Декабрь]]-Таблица2[[#This Row],[Сумма реализации (с возвратами)]]</f>
        <v>28840</v>
      </c>
    </row>
    <row r="246" spans="1:4" s="1" customFormat="1" ht="10.95" customHeight="1" x14ac:dyDescent="0.2">
      <c r="A246" s="2" t="s">
        <v>245</v>
      </c>
      <c r="B246" s="3">
        <v>142690</v>
      </c>
      <c r="C246" s="1">
        <f>IFERROR(VLOOKUP(Таблица2[[#This Row],[Контрагент]],Таблица1[],2,0),0)</f>
        <v>110070</v>
      </c>
      <c r="D246" s="10">
        <f>Таблица2[[#This Row],[Декабрь]]-Таблица2[[#This Row],[Сумма реализации (с возвратами)]]</f>
        <v>-32620</v>
      </c>
    </row>
    <row r="247" spans="1:4" s="1" customFormat="1" ht="10.95" customHeight="1" x14ac:dyDescent="0.2">
      <c r="A247" s="2" t="s">
        <v>246</v>
      </c>
      <c r="B247" s="3">
        <v>235800</v>
      </c>
      <c r="C247" s="1">
        <f>IFERROR(VLOOKUP(Таблица2[[#This Row],[Контрагент]],Таблица1[],2,0),0)</f>
        <v>595728</v>
      </c>
      <c r="D247" s="10">
        <f>Таблица2[[#This Row],[Декабрь]]-Таблица2[[#This Row],[Сумма реализации (с возвратами)]]</f>
        <v>359928</v>
      </c>
    </row>
    <row r="248" spans="1:4" s="1" customFormat="1" ht="10.95" customHeight="1" x14ac:dyDescent="0.2">
      <c r="A248" s="2" t="s">
        <v>247</v>
      </c>
      <c r="B248" s="3">
        <v>828344</v>
      </c>
      <c r="C248" s="1">
        <f>IFERROR(VLOOKUP(Таблица2[[#This Row],[Контрагент]],Таблица1[],2,0),0)</f>
        <v>301083</v>
      </c>
      <c r="D248" s="10">
        <f>Таблица2[[#This Row],[Декабрь]]-Таблица2[[#This Row],[Сумма реализации (с возвратами)]]</f>
        <v>-527261</v>
      </c>
    </row>
    <row r="249" spans="1:4" s="1" customFormat="1" ht="10.95" customHeight="1" x14ac:dyDescent="0.2">
      <c r="A249" s="2" t="s">
        <v>944</v>
      </c>
      <c r="B249" s="3">
        <v>68540</v>
      </c>
      <c r="C249" s="1">
        <f>IFERROR(VLOOKUP(Таблица2[[#This Row],[Контрагент]],Таблица1[],2,0),0)</f>
        <v>0</v>
      </c>
      <c r="D249" s="10">
        <f>Таблица2[[#This Row],[Декабрь]]-Таблица2[[#This Row],[Сумма реализации (с возвратами)]]</f>
        <v>-68540</v>
      </c>
    </row>
    <row r="250" spans="1:4" s="1" customFormat="1" ht="10.95" customHeight="1" x14ac:dyDescent="0.2">
      <c r="A250" s="2" t="s">
        <v>945</v>
      </c>
      <c r="B250" s="3">
        <v>17385</v>
      </c>
      <c r="C250" s="1">
        <f>IFERROR(VLOOKUP(Таблица2[[#This Row],[Контрагент]],Таблица1[],2,0),0)</f>
        <v>0</v>
      </c>
      <c r="D250" s="10">
        <f>Таблица2[[#This Row],[Декабрь]]-Таблица2[[#This Row],[Сумма реализации (с возвратами)]]</f>
        <v>-17385</v>
      </c>
    </row>
    <row r="251" spans="1:4" s="1" customFormat="1" ht="10.95" customHeight="1" x14ac:dyDescent="0.2">
      <c r="A251" s="2" t="s">
        <v>248</v>
      </c>
      <c r="B251" s="3">
        <v>18540</v>
      </c>
      <c r="C251" s="1">
        <f>IFERROR(VLOOKUP(Таблица2[[#This Row],[Контрагент]],Таблица1[],2,0),0)</f>
        <v>43310</v>
      </c>
      <c r="D251" s="10">
        <f>Таблица2[[#This Row],[Декабрь]]-Таблица2[[#This Row],[Сумма реализации (с возвратами)]]</f>
        <v>24770</v>
      </c>
    </row>
    <row r="252" spans="1:4" s="1" customFormat="1" ht="10.95" customHeight="1" x14ac:dyDescent="0.2">
      <c r="A252" s="2" t="s">
        <v>249</v>
      </c>
      <c r="B252" s="3">
        <v>40980</v>
      </c>
      <c r="C252" s="1">
        <f>IFERROR(VLOOKUP(Таблица2[[#This Row],[Контрагент]],Таблица1[],2,0),0)</f>
        <v>60950</v>
      </c>
      <c r="D252" s="10">
        <f>Таблица2[[#This Row],[Декабрь]]-Таблица2[[#This Row],[Сумма реализации (с возвратами)]]</f>
        <v>19970</v>
      </c>
    </row>
    <row r="253" spans="1:4" s="1" customFormat="1" ht="10.95" customHeight="1" x14ac:dyDescent="0.2">
      <c r="A253" s="2" t="s">
        <v>250</v>
      </c>
      <c r="B253" s="3">
        <v>734774</v>
      </c>
      <c r="C253" s="1">
        <f>IFERROR(VLOOKUP(Таблица2[[#This Row],[Контрагент]],Таблица1[],2,0),0)</f>
        <v>499892</v>
      </c>
      <c r="D253" s="10">
        <f>Таблица2[[#This Row],[Декабрь]]-Таблица2[[#This Row],[Сумма реализации (с возвратами)]]</f>
        <v>-234882</v>
      </c>
    </row>
    <row r="254" spans="1:4" s="1" customFormat="1" ht="10.95" customHeight="1" x14ac:dyDescent="0.2">
      <c r="A254" s="2" t="s">
        <v>251</v>
      </c>
      <c r="B254" s="3">
        <v>265360</v>
      </c>
      <c r="C254" s="1">
        <f>IFERROR(VLOOKUP(Таблица2[[#This Row],[Контрагент]],Таблица1[],2,0),0)</f>
        <v>39220</v>
      </c>
      <c r="D254" s="10">
        <f>Таблица2[[#This Row],[Декабрь]]-Таблица2[[#This Row],[Сумма реализации (с возвратами)]]</f>
        <v>-226140</v>
      </c>
    </row>
    <row r="255" spans="1:4" s="1" customFormat="1" ht="10.95" customHeight="1" x14ac:dyDescent="0.2">
      <c r="A255" s="2" t="s">
        <v>253</v>
      </c>
      <c r="B255" s="3">
        <v>161960</v>
      </c>
      <c r="C255" s="1">
        <f>IFERROR(VLOOKUP(Таблица2[[#This Row],[Контрагент]],Таблица1[],2,0),0)</f>
        <v>183460</v>
      </c>
      <c r="D255" s="10">
        <f>Таблица2[[#This Row],[Декабрь]]-Таблица2[[#This Row],[Сумма реализации (с возвратами)]]</f>
        <v>21500</v>
      </c>
    </row>
    <row r="256" spans="1:4" s="1" customFormat="1" ht="10.95" customHeight="1" x14ac:dyDescent="0.2">
      <c r="A256" s="2" t="s">
        <v>254</v>
      </c>
      <c r="B256" s="3">
        <v>102690</v>
      </c>
      <c r="C256" s="1">
        <f>IFERROR(VLOOKUP(Таблица2[[#This Row],[Контрагент]],Таблица1[],2,0),0)</f>
        <v>97503</v>
      </c>
      <c r="D256" s="10">
        <f>Таблица2[[#This Row],[Декабрь]]-Таблица2[[#This Row],[Сумма реализации (с возвратами)]]</f>
        <v>-5187</v>
      </c>
    </row>
    <row r="257" spans="1:4" s="1" customFormat="1" ht="10.95" customHeight="1" x14ac:dyDescent="0.2">
      <c r="A257" s="2" t="s">
        <v>255</v>
      </c>
      <c r="B257" s="3">
        <v>495150</v>
      </c>
      <c r="C257" s="1">
        <f>IFERROR(VLOOKUP(Таблица2[[#This Row],[Контрагент]],Таблица1[],2,0),0)</f>
        <v>229615</v>
      </c>
      <c r="D257" s="10">
        <f>Таблица2[[#This Row],[Декабрь]]-Таблица2[[#This Row],[Сумма реализации (с возвратами)]]</f>
        <v>-265535</v>
      </c>
    </row>
    <row r="258" spans="1:4" s="1" customFormat="1" ht="10.95" customHeight="1" x14ac:dyDescent="0.2">
      <c r="A258" s="2" t="s">
        <v>256</v>
      </c>
      <c r="B258" s="3">
        <v>213213</v>
      </c>
      <c r="C258" s="1">
        <f>IFERROR(VLOOKUP(Таблица2[[#This Row],[Контрагент]],Таблица1[],2,0),0)</f>
        <v>211800</v>
      </c>
      <c r="D258" s="10">
        <f>Таблица2[[#This Row],[Декабрь]]-Таблица2[[#This Row],[Сумма реализации (с возвратами)]]</f>
        <v>-1413</v>
      </c>
    </row>
    <row r="259" spans="1:4" s="1" customFormat="1" ht="10.95" customHeight="1" x14ac:dyDescent="0.2">
      <c r="A259" s="2" t="s">
        <v>257</v>
      </c>
      <c r="B259" s="3">
        <v>199615</v>
      </c>
      <c r="C259" s="1">
        <f>IFERROR(VLOOKUP(Таблица2[[#This Row],[Контрагент]],Таблица1[],2,0),0)</f>
        <v>41000</v>
      </c>
      <c r="D259" s="10">
        <f>Таблица2[[#This Row],[Декабрь]]-Таблица2[[#This Row],[Сумма реализации (с возвратами)]]</f>
        <v>-158615</v>
      </c>
    </row>
    <row r="260" spans="1:4" s="1" customFormat="1" ht="10.95" customHeight="1" x14ac:dyDescent="0.2">
      <c r="A260" s="2" t="s">
        <v>258</v>
      </c>
      <c r="B260" s="3">
        <v>89453</v>
      </c>
      <c r="C260" s="1">
        <f>IFERROR(VLOOKUP(Таблица2[[#This Row],[Контрагент]],Таблица1[],2,0),0)</f>
        <v>49460</v>
      </c>
      <c r="D260" s="10">
        <f>Таблица2[[#This Row],[Декабрь]]-Таблица2[[#This Row],[Сумма реализации (с возвратами)]]</f>
        <v>-39993</v>
      </c>
    </row>
    <row r="261" spans="1:4" s="1" customFormat="1" ht="10.95" customHeight="1" x14ac:dyDescent="0.2">
      <c r="A261" s="2" t="s">
        <v>946</v>
      </c>
      <c r="B261" s="3">
        <v>60150</v>
      </c>
      <c r="C261" s="1">
        <f>IFERROR(VLOOKUP(Таблица2[[#This Row],[Контрагент]],Таблица1[],2,0),0)</f>
        <v>0</v>
      </c>
      <c r="D261" s="10">
        <f>Таблица2[[#This Row],[Декабрь]]-Таблица2[[#This Row],[Сумма реализации (с возвратами)]]</f>
        <v>-60150</v>
      </c>
    </row>
    <row r="262" spans="1:4" s="1" customFormat="1" ht="10.95" customHeight="1" x14ac:dyDescent="0.2">
      <c r="A262" s="2" t="s">
        <v>259</v>
      </c>
      <c r="B262" s="3">
        <v>100540</v>
      </c>
      <c r="C262" s="1">
        <f>IFERROR(VLOOKUP(Таблица2[[#This Row],[Контрагент]],Таблица1[],2,0),0)</f>
        <v>75860</v>
      </c>
      <c r="D262" s="10">
        <f>Таблица2[[#This Row],[Декабрь]]-Таблица2[[#This Row],[Сумма реализации (с возвратами)]]</f>
        <v>-24680</v>
      </c>
    </row>
    <row r="263" spans="1:4" s="1" customFormat="1" ht="10.95" customHeight="1" x14ac:dyDescent="0.2">
      <c r="A263" s="2" t="s">
        <v>947</v>
      </c>
      <c r="B263" s="3">
        <v>41280</v>
      </c>
      <c r="C263" s="1">
        <f>IFERROR(VLOOKUP(Таблица2[[#This Row],[Контрагент]],Таблица1[],2,0),0)</f>
        <v>0</v>
      </c>
      <c r="D263" s="10">
        <f>Таблица2[[#This Row],[Декабрь]]-Таблица2[[#This Row],[Сумма реализации (с возвратами)]]</f>
        <v>-41280</v>
      </c>
    </row>
    <row r="264" spans="1:4" s="1" customFormat="1" ht="10.95" customHeight="1" x14ac:dyDescent="0.2">
      <c r="A264" s="2" t="s">
        <v>260</v>
      </c>
      <c r="B264" s="3">
        <v>89660</v>
      </c>
      <c r="C264" s="1">
        <f>IFERROR(VLOOKUP(Таблица2[[#This Row],[Контрагент]],Таблица1[],2,0),0)</f>
        <v>97890</v>
      </c>
      <c r="D264" s="10">
        <f>Таблица2[[#This Row],[Декабрь]]-Таблица2[[#This Row],[Сумма реализации (с возвратами)]]</f>
        <v>8230</v>
      </c>
    </row>
    <row r="265" spans="1:4" s="1" customFormat="1" ht="10.95" customHeight="1" x14ac:dyDescent="0.2">
      <c r="A265" s="2" t="s">
        <v>261</v>
      </c>
      <c r="B265" s="3">
        <v>177820</v>
      </c>
      <c r="C265" s="1">
        <f>IFERROR(VLOOKUP(Таблица2[[#This Row],[Контрагент]],Таблица1[],2,0),0)</f>
        <v>179140</v>
      </c>
      <c r="D265" s="10">
        <f>Таблица2[[#This Row],[Декабрь]]-Таблица2[[#This Row],[Сумма реализации (с возвратами)]]</f>
        <v>1320</v>
      </c>
    </row>
    <row r="266" spans="1:4" s="1" customFormat="1" ht="10.95" customHeight="1" x14ac:dyDescent="0.2">
      <c r="A266" s="2" t="s">
        <v>263</v>
      </c>
      <c r="B266" s="3">
        <v>19300</v>
      </c>
      <c r="C266" s="1">
        <f>IFERROR(VLOOKUP(Таблица2[[#This Row],[Контрагент]],Таблица1[],2,0),0)</f>
        <v>181995</v>
      </c>
      <c r="D266" s="10">
        <f>Таблица2[[#This Row],[Декабрь]]-Таблица2[[#This Row],[Сумма реализации (с возвратами)]]</f>
        <v>162695</v>
      </c>
    </row>
    <row r="267" spans="1:4" s="1" customFormat="1" ht="10.95" customHeight="1" x14ac:dyDescent="0.2">
      <c r="A267" s="2" t="s">
        <v>264</v>
      </c>
      <c r="B267" s="3">
        <v>102745</v>
      </c>
      <c r="C267" s="1">
        <f>IFERROR(VLOOKUP(Таблица2[[#This Row],[Контрагент]],Таблица1[],2,0),0)</f>
        <v>1142770</v>
      </c>
      <c r="D267" s="10">
        <f>Таблица2[[#This Row],[Декабрь]]-Таблица2[[#This Row],[Сумма реализации (с возвратами)]]</f>
        <v>1040025</v>
      </c>
    </row>
    <row r="268" spans="1:4" s="1" customFormat="1" ht="10.95" customHeight="1" x14ac:dyDescent="0.2">
      <c r="A268" s="2" t="s">
        <v>265</v>
      </c>
      <c r="B268" s="3">
        <v>301990</v>
      </c>
      <c r="C268" s="1">
        <f>IFERROR(VLOOKUP(Таблица2[[#This Row],[Контрагент]],Таблица1[],2,0),0)</f>
        <v>244020</v>
      </c>
      <c r="D268" s="10">
        <f>Таблица2[[#This Row],[Декабрь]]-Таблица2[[#This Row],[Сумма реализации (с возвратами)]]</f>
        <v>-57970</v>
      </c>
    </row>
    <row r="269" spans="1:4" s="1" customFormat="1" ht="10.95" customHeight="1" x14ac:dyDescent="0.2">
      <c r="A269" s="2" t="s">
        <v>948</v>
      </c>
      <c r="B269" s="3">
        <v>77970</v>
      </c>
      <c r="C269" s="1">
        <f>IFERROR(VLOOKUP(Таблица2[[#This Row],[Контрагент]],Таблица1[],2,0),0)</f>
        <v>0</v>
      </c>
      <c r="D269" s="10">
        <f>Таблица2[[#This Row],[Декабрь]]-Таблица2[[#This Row],[Сумма реализации (с возвратами)]]</f>
        <v>-77970</v>
      </c>
    </row>
    <row r="270" spans="1:4" s="1" customFormat="1" ht="10.95" customHeight="1" x14ac:dyDescent="0.2">
      <c r="A270" s="2" t="s">
        <v>266</v>
      </c>
      <c r="B270" s="3">
        <v>149990</v>
      </c>
      <c r="C270" s="1">
        <f>IFERROR(VLOOKUP(Таблица2[[#This Row],[Контрагент]],Таблица1[],2,0),0)</f>
        <v>155170</v>
      </c>
      <c r="D270" s="10">
        <f>Таблица2[[#This Row],[Декабрь]]-Таблица2[[#This Row],[Сумма реализации (с возвратами)]]</f>
        <v>5180</v>
      </c>
    </row>
    <row r="271" spans="1:4" s="1" customFormat="1" ht="10.95" customHeight="1" x14ac:dyDescent="0.2">
      <c r="A271" s="2" t="s">
        <v>267</v>
      </c>
      <c r="B271" s="3">
        <v>44020</v>
      </c>
      <c r="C271" s="1">
        <f>IFERROR(VLOOKUP(Таблица2[[#This Row],[Контрагент]],Таблица1[],2,0),0)</f>
        <v>48250</v>
      </c>
      <c r="D271" s="10">
        <f>Таблица2[[#This Row],[Декабрь]]-Таблица2[[#This Row],[Сумма реализации (с возвратами)]]</f>
        <v>4230</v>
      </c>
    </row>
    <row r="272" spans="1:4" s="1" customFormat="1" ht="10.95" customHeight="1" x14ac:dyDescent="0.2">
      <c r="A272" s="2" t="s">
        <v>949</v>
      </c>
      <c r="B272" s="3">
        <v>13200</v>
      </c>
      <c r="C272" s="1">
        <f>IFERROR(VLOOKUP(Таблица2[[#This Row],[Контрагент]],Таблица1[],2,0),0)</f>
        <v>0</v>
      </c>
      <c r="D272" s="10">
        <f>Таблица2[[#This Row],[Декабрь]]-Таблица2[[#This Row],[Сумма реализации (с возвратами)]]</f>
        <v>-13200</v>
      </c>
    </row>
    <row r="273" spans="1:4" s="1" customFormat="1" ht="10.95" customHeight="1" x14ac:dyDescent="0.2">
      <c r="A273" s="2" t="s">
        <v>270</v>
      </c>
      <c r="B273" s="3">
        <v>937796</v>
      </c>
      <c r="C273" s="1">
        <f>IFERROR(VLOOKUP(Таблица2[[#This Row],[Контрагент]],Таблица1[],2,0),0)</f>
        <v>501690</v>
      </c>
      <c r="D273" s="10">
        <f>Таблица2[[#This Row],[Декабрь]]-Таблица2[[#This Row],[Сумма реализации (с возвратами)]]</f>
        <v>-436106</v>
      </c>
    </row>
    <row r="274" spans="1:4" s="1" customFormat="1" ht="10.95" customHeight="1" x14ac:dyDescent="0.2">
      <c r="A274" s="2" t="s">
        <v>950</v>
      </c>
      <c r="B274" s="3">
        <v>84600</v>
      </c>
      <c r="C274" s="1">
        <f>IFERROR(VLOOKUP(Таблица2[[#This Row],[Контрагент]],Таблица1[],2,0),0)</f>
        <v>0</v>
      </c>
      <c r="D274" s="10">
        <f>Таблица2[[#This Row],[Декабрь]]-Таблица2[[#This Row],[Сумма реализации (с возвратами)]]</f>
        <v>-84600</v>
      </c>
    </row>
    <row r="275" spans="1:4" s="1" customFormat="1" ht="10.95" customHeight="1" x14ac:dyDescent="0.2">
      <c r="A275" s="2" t="s">
        <v>272</v>
      </c>
      <c r="B275" s="3">
        <v>57200</v>
      </c>
      <c r="C275" s="1">
        <f>IFERROR(VLOOKUP(Таблица2[[#This Row],[Контрагент]],Таблица1[],2,0),0)</f>
        <v>56300</v>
      </c>
      <c r="D275" s="10">
        <f>Таблица2[[#This Row],[Декабрь]]-Таблица2[[#This Row],[Сумма реализации (с возвратами)]]</f>
        <v>-900</v>
      </c>
    </row>
    <row r="276" spans="1:4" s="1" customFormat="1" ht="10.95" customHeight="1" x14ac:dyDescent="0.2">
      <c r="A276" s="2" t="s">
        <v>273</v>
      </c>
      <c r="B276" s="3">
        <v>126130</v>
      </c>
      <c r="C276" s="1">
        <f>IFERROR(VLOOKUP(Таблица2[[#This Row],[Контрагент]],Таблица1[],2,0),0)</f>
        <v>36250</v>
      </c>
      <c r="D276" s="10">
        <f>Таблица2[[#This Row],[Декабрь]]-Таблица2[[#This Row],[Сумма реализации (с возвратами)]]</f>
        <v>-89880</v>
      </c>
    </row>
    <row r="277" spans="1:4" s="1" customFormat="1" ht="10.95" customHeight="1" x14ac:dyDescent="0.2">
      <c r="A277" s="2" t="s">
        <v>951</v>
      </c>
      <c r="B277" s="3">
        <v>17920</v>
      </c>
      <c r="C277" s="1">
        <f>IFERROR(VLOOKUP(Таблица2[[#This Row],[Контрагент]],Таблица1[],2,0),0)</f>
        <v>0</v>
      </c>
      <c r="D277" s="10">
        <f>Таблица2[[#This Row],[Декабрь]]-Таблица2[[#This Row],[Сумма реализации (с возвратами)]]</f>
        <v>-17920</v>
      </c>
    </row>
    <row r="278" spans="1:4" s="1" customFormat="1" ht="10.95" customHeight="1" x14ac:dyDescent="0.2">
      <c r="A278" s="2" t="s">
        <v>274</v>
      </c>
      <c r="B278" s="3">
        <v>59455</v>
      </c>
      <c r="C278" s="1">
        <f>IFERROR(VLOOKUP(Таблица2[[#This Row],[Контрагент]],Таблица1[],2,0),0)</f>
        <v>26910</v>
      </c>
      <c r="D278" s="10">
        <f>Таблица2[[#This Row],[Декабрь]]-Таблица2[[#This Row],[Сумма реализации (с возвратами)]]</f>
        <v>-32545</v>
      </c>
    </row>
    <row r="279" spans="1:4" s="1" customFormat="1" ht="10.95" customHeight="1" x14ac:dyDescent="0.2">
      <c r="A279" s="2" t="s">
        <v>275</v>
      </c>
      <c r="B279" s="3">
        <v>296643</v>
      </c>
      <c r="C279" s="1">
        <f>IFERROR(VLOOKUP(Таблица2[[#This Row],[Контрагент]],Таблица1[],2,0),0)</f>
        <v>193978</v>
      </c>
      <c r="D279" s="10">
        <f>Таблица2[[#This Row],[Декабрь]]-Таблица2[[#This Row],[Сумма реализации (с возвратами)]]</f>
        <v>-102665</v>
      </c>
    </row>
    <row r="280" spans="1:4" s="1" customFormat="1" ht="10.95" customHeight="1" x14ac:dyDescent="0.2">
      <c r="A280" s="2" t="s">
        <v>276</v>
      </c>
      <c r="B280" s="3">
        <v>442330</v>
      </c>
      <c r="C280" s="1">
        <f>IFERROR(VLOOKUP(Таблица2[[#This Row],[Контрагент]],Таблица1[],2,0),0)</f>
        <v>667760</v>
      </c>
      <c r="D280" s="10">
        <f>Таблица2[[#This Row],[Декабрь]]-Таблица2[[#This Row],[Сумма реализации (с возвратами)]]</f>
        <v>225430</v>
      </c>
    </row>
    <row r="281" spans="1:4" s="1" customFormat="1" ht="10.95" customHeight="1" x14ac:dyDescent="0.2">
      <c r="A281" s="2" t="s">
        <v>278</v>
      </c>
      <c r="B281" s="3">
        <v>40770</v>
      </c>
      <c r="C281" s="1">
        <f>IFERROR(VLOOKUP(Таблица2[[#This Row],[Контрагент]],Таблица1[],2,0),0)</f>
        <v>79120</v>
      </c>
      <c r="D281" s="10">
        <f>Таблица2[[#This Row],[Декабрь]]-Таблица2[[#This Row],[Сумма реализации (с возвратами)]]</f>
        <v>38350</v>
      </c>
    </row>
    <row r="282" spans="1:4" s="1" customFormat="1" ht="10.95" customHeight="1" x14ac:dyDescent="0.2">
      <c r="A282" s="2" t="s">
        <v>952</v>
      </c>
      <c r="B282" s="3">
        <v>157030</v>
      </c>
      <c r="C282" s="1">
        <f>IFERROR(VLOOKUP(Таблица2[[#This Row],[Контрагент]],Таблица1[],2,0),0)</f>
        <v>0</v>
      </c>
      <c r="D282" s="10">
        <f>Таблица2[[#This Row],[Декабрь]]-Таблица2[[#This Row],[Сумма реализации (с возвратами)]]</f>
        <v>-157030</v>
      </c>
    </row>
    <row r="283" spans="1:4" s="1" customFormat="1" ht="10.95" customHeight="1" x14ac:dyDescent="0.2">
      <c r="A283" s="2" t="s">
        <v>279</v>
      </c>
      <c r="B283" s="3">
        <v>57395</v>
      </c>
      <c r="C283" s="1">
        <f>IFERROR(VLOOKUP(Таблица2[[#This Row],[Контрагент]],Таблица1[],2,0),0)</f>
        <v>15360</v>
      </c>
      <c r="D283" s="10">
        <f>Таблица2[[#This Row],[Декабрь]]-Таблица2[[#This Row],[Сумма реализации (с возвратами)]]</f>
        <v>-42035</v>
      </c>
    </row>
    <row r="284" spans="1:4" s="1" customFormat="1" ht="10.95" customHeight="1" x14ac:dyDescent="0.2">
      <c r="A284" s="2" t="s">
        <v>953</v>
      </c>
      <c r="B284" s="3">
        <v>43950</v>
      </c>
      <c r="C284" s="1">
        <f>IFERROR(VLOOKUP(Таблица2[[#This Row],[Контрагент]],Таблица1[],2,0),0)</f>
        <v>0</v>
      </c>
      <c r="D284" s="10">
        <f>Таблица2[[#This Row],[Декабрь]]-Таблица2[[#This Row],[Сумма реализации (с возвратами)]]</f>
        <v>-43950</v>
      </c>
    </row>
    <row r="285" spans="1:4" s="1" customFormat="1" ht="10.95" customHeight="1" x14ac:dyDescent="0.2">
      <c r="A285" s="2" t="s">
        <v>281</v>
      </c>
      <c r="B285" s="3">
        <v>10300</v>
      </c>
      <c r="C285" s="1">
        <f>IFERROR(VLOOKUP(Таблица2[[#This Row],[Контрагент]],Таблица1[],2,0),0)</f>
        <v>51950</v>
      </c>
      <c r="D285" s="10">
        <f>Таблица2[[#This Row],[Декабрь]]-Таблица2[[#This Row],[Сумма реализации (с возвратами)]]</f>
        <v>41650</v>
      </c>
    </row>
    <row r="286" spans="1:4" s="1" customFormat="1" ht="10.95" customHeight="1" x14ac:dyDescent="0.2">
      <c r="A286" s="2" t="s">
        <v>282</v>
      </c>
      <c r="B286" s="3">
        <v>124890</v>
      </c>
      <c r="C286" s="1">
        <f>IFERROR(VLOOKUP(Таблица2[[#This Row],[Контрагент]],Таблица1[],2,0),0)</f>
        <v>340930</v>
      </c>
      <c r="D286" s="10">
        <f>Таблица2[[#This Row],[Декабрь]]-Таблица2[[#This Row],[Сумма реализации (с возвратами)]]</f>
        <v>216040</v>
      </c>
    </row>
    <row r="287" spans="1:4" s="1" customFormat="1" ht="10.95" customHeight="1" x14ac:dyDescent="0.2">
      <c r="A287" s="2" t="s">
        <v>283</v>
      </c>
      <c r="B287" s="3">
        <v>106970</v>
      </c>
      <c r="C287" s="1">
        <f>IFERROR(VLOOKUP(Таблица2[[#This Row],[Контрагент]],Таблица1[],2,0),0)</f>
        <v>132360</v>
      </c>
      <c r="D287" s="10">
        <f>Таблица2[[#This Row],[Декабрь]]-Таблица2[[#This Row],[Сумма реализации (с возвратами)]]</f>
        <v>25390</v>
      </c>
    </row>
    <row r="288" spans="1:4" s="1" customFormat="1" ht="10.95" customHeight="1" x14ac:dyDescent="0.2">
      <c r="A288" s="2" t="s">
        <v>954</v>
      </c>
      <c r="B288" s="3">
        <v>1392748</v>
      </c>
      <c r="C288" s="1">
        <f>IFERROR(VLOOKUP(Таблица2[[#This Row],[Контрагент]],Таблица1[],2,0),0)</f>
        <v>0</v>
      </c>
      <c r="D288" s="10">
        <f>Таблица2[[#This Row],[Декабрь]]-Таблица2[[#This Row],[Сумма реализации (с возвратами)]]</f>
        <v>-1392748</v>
      </c>
    </row>
    <row r="289" spans="1:4" s="1" customFormat="1" ht="10.95" customHeight="1" x14ac:dyDescent="0.2">
      <c r="A289" s="2" t="s">
        <v>284</v>
      </c>
      <c r="B289" s="3">
        <v>590690</v>
      </c>
      <c r="C289" s="1">
        <f>IFERROR(VLOOKUP(Таблица2[[#This Row],[Контрагент]],Таблица1[],2,0),0)</f>
        <v>909319</v>
      </c>
      <c r="D289" s="10">
        <f>Таблица2[[#This Row],[Декабрь]]-Таблица2[[#This Row],[Сумма реализации (с возвратами)]]</f>
        <v>318629</v>
      </c>
    </row>
    <row r="290" spans="1:4" s="1" customFormat="1" ht="10.95" customHeight="1" x14ac:dyDescent="0.2">
      <c r="A290" s="2" t="s">
        <v>286</v>
      </c>
      <c r="B290" s="3">
        <v>197890</v>
      </c>
      <c r="C290" s="1">
        <f>IFERROR(VLOOKUP(Таблица2[[#This Row],[Контрагент]],Таблица1[],2,0),0)</f>
        <v>466005</v>
      </c>
      <c r="D290" s="10">
        <f>Таблица2[[#This Row],[Декабрь]]-Таблица2[[#This Row],[Сумма реализации (с возвратами)]]</f>
        <v>268115</v>
      </c>
    </row>
    <row r="291" spans="1:4" s="1" customFormat="1" ht="10.95" customHeight="1" x14ac:dyDescent="0.2">
      <c r="A291" s="2" t="s">
        <v>287</v>
      </c>
      <c r="B291" s="3">
        <v>735140</v>
      </c>
      <c r="C291" s="1">
        <f>IFERROR(VLOOKUP(Таблица2[[#This Row],[Контрагент]],Таблица1[],2,0),0)</f>
        <v>572530</v>
      </c>
      <c r="D291" s="10">
        <f>Таблица2[[#This Row],[Декабрь]]-Таблица2[[#This Row],[Сумма реализации (с возвратами)]]</f>
        <v>-162610</v>
      </c>
    </row>
    <row r="292" spans="1:4" s="1" customFormat="1" ht="10.95" customHeight="1" x14ac:dyDescent="0.2">
      <c r="A292" s="2" t="s">
        <v>955</v>
      </c>
      <c r="B292" s="3">
        <v>20300</v>
      </c>
      <c r="C292" s="1">
        <f>IFERROR(VLOOKUP(Таблица2[[#This Row],[Контрагент]],Таблица1[],2,0),0)</f>
        <v>0</v>
      </c>
      <c r="D292" s="10">
        <f>Таблица2[[#This Row],[Декабрь]]-Таблица2[[#This Row],[Сумма реализации (с возвратами)]]</f>
        <v>-20300</v>
      </c>
    </row>
    <row r="293" spans="1:4" s="1" customFormat="1" ht="10.95" customHeight="1" x14ac:dyDescent="0.2">
      <c r="A293" s="2" t="s">
        <v>956</v>
      </c>
      <c r="B293" s="3">
        <v>28130</v>
      </c>
      <c r="C293" s="1">
        <f>IFERROR(VLOOKUP(Таблица2[[#This Row],[Контрагент]],Таблица1[],2,0),0)</f>
        <v>0</v>
      </c>
      <c r="D293" s="10">
        <f>Таблица2[[#This Row],[Декабрь]]-Таблица2[[#This Row],[Сумма реализации (с возвратами)]]</f>
        <v>-28130</v>
      </c>
    </row>
    <row r="294" spans="1:4" s="1" customFormat="1" ht="10.95" customHeight="1" x14ac:dyDescent="0.2">
      <c r="A294" s="2" t="s">
        <v>290</v>
      </c>
      <c r="B294" s="3">
        <v>97580</v>
      </c>
      <c r="C294" s="1">
        <f>IFERROR(VLOOKUP(Таблица2[[#This Row],[Контрагент]],Таблица1[],2,0),0)</f>
        <v>68860</v>
      </c>
      <c r="D294" s="10">
        <f>Таблица2[[#This Row],[Декабрь]]-Таблица2[[#This Row],[Сумма реализации (с возвратами)]]</f>
        <v>-28720</v>
      </c>
    </row>
    <row r="295" spans="1:4" s="1" customFormat="1" ht="10.95" customHeight="1" x14ac:dyDescent="0.2">
      <c r="A295" s="2" t="s">
        <v>291</v>
      </c>
      <c r="B295" s="3">
        <v>318856</v>
      </c>
      <c r="C295" s="1">
        <f>IFERROR(VLOOKUP(Таблица2[[#This Row],[Контрагент]],Таблица1[],2,0),0)</f>
        <v>201260</v>
      </c>
      <c r="D295" s="10">
        <f>Таблица2[[#This Row],[Декабрь]]-Таблица2[[#This Row],[Сумма реализации (с возвратами)]]</f>
        <v>-117596</v>
      </c>
    </row>
    <row r="296" spans="1:4" s="1" customFormat="1" ht="10.95" customHeight="1" x14ac:dyDescent="0.2">
      <c r="A296" s="2" t="s">
        <v>292</v>
      </c>
      <c r="B296" s="3">
        <v>61940</v>
      </c>
      <c r="C296" s="1">
        <f>IFERROR(VLOOKUP(Таблица2[[#This Row],[Контрагент]],Таблица1[],2,0),0)</f>
        <v>100810</v>
      </c>
      <c r="D296" s="10">
        <f>Таблица2[[#This Row],[Декабрь]]-Таблица2[[#This Row],[Сумма реализации (с возвратами)]]</f>
        <v>38870</v>
      </c>
    </row>
    <row r="297" spans="1:4" s="1" customFormat="1" ht="10.95" customHeight="1" x14ac:dyDescent="0.2">
      <c r="A297" s="2" t="s">
        <v>293</v>
      </c>
      <c r="B297" s="3">
        <v>57263</v>
      </c>
      <c r="C297" s="1">
        <f>IFERROR(VLOOKUP(Таблица2[[#This Row],[Контрагент]],Таблица1[],2,0),0)</f>
        <v>58600</v>
      </c>
      <c r="D297" s="10">
        <f>Таблица2[[#This Row],[Декабрь]]-Таблица2[[#This Row],[Сумма реализации (с возвратами)]]</f>
        <v>1337</v>
      </c>
    </row>
    <row r="298" spans="1:4" s="1" customFormat="1" ht="10.95" customHeight="1" x14ac:dyDescent="0.2">
      <c r="A298" s="2" t="s">
        <v>957</v>
      </c>
      <c r="B298" s="3">
        <v>224900</v>
      </c>
      <c r="C298" s="1">
        <f>IFERROR(VLOOKUP(Таблица2[[#This Row],[Контрагент]],Таблица1[],2,0),0)</f>
        <v>0</v>
      </c>
      <c r="D298" s="10">
        <f>Таблица2[[#This Row],[Декабрь]]-Таблица2[[#This Row],[Сумма реализации (с возвратами)]]</f>
        <v>-224900</v>
      </c>
    </row>
    <row r="299" spans="1:4" s="1" customFormat="1" ht="10.95" customHeight="1" x14ac:dyDescent="0.2">
      <c r="A299" s="2" t="s">
        <v>958</v>
      </c>
      <c r="B299" s="3">
        <v>184940</v>
      </c>
      <c r="C299" s="1">
        <f>IFERROR(VLOOKUP(Таблица2[[#This Row],[Контрагент]],Таблица1[],2,0),0)</f>
        <v>0</v>
      </c>
      <c r="D299" s="10">
        <f>Таблица2[[#This Row],[Декабрь]]-Таблица2[[#This Row],[Сумма реализации (с возвратами)]]</f>
        <v>-184940</v>
      </c>
    </row>
    <row r="300" spans="1:4" s="1" customFormat="1" ht="10.95" customHeight="1" x14ac:dyDescent="0.2">
      <c r="A300" s="2" t="s">
        <v>295</v>
      </c>
      <c r="B300" s="3">
        <v>105770</v>
      </c>
      <c r="C300" s="1">
        <f>IFERROR(VLOOKUP(Таблица2[[#This Row],[Контрагент]],Таблица1[],2,0),0)</f>
        <v>257750</v>
      </c>
      <c r="D300" s="10">
        <f>Таблица2[[#This Row],[Декабрь]]-Таблица2[[#This Row],[Сумма реализации (с возвратами)]]</f>
        <v>151980</v>
      </c>
    </row>
    <row r="301" spans="1:4" s="1" customFormat="1" ht="10.95" customHeight="1" x14ac:dyDescent="0.2">
      <c r="A301" s="2" t="s">
        <v>296</v>
      </c>
      <c r="B301" s="3">
        <v>54720</v>
      </c>
      <c r="C301" s="1">
        <f>IFERROR(VLOOKUP(Таблица2[[#This Row],[Контрагент]],Таблица1[],2,0),0)</f>
        <v>303440</v>
      </c>
      <c r="D301" s="10">
        <f>Таблица2[[#This Row],[Декабрь]]-Таблица2[[#This Row],[Сумма реализации (с возвратами)]]</f>
        <v>248720</v>
      </c>
    </row>
    <row r="302" spans="1:4" s="1" customFormat="1" ht="10.95" customHeight="1" x14ac:dyDescent="0.2">
      <c r="A302" s="2" t="s">
        <v>297</v>
      </c>
      <c r="B302" s="3">
        <v>126670</v>
      </c>
      <c r="C302" s="1">
        <f>IFERROR(VLOOKUP(Таблица2[[#This Row],[Контрагент]],Таблица1[],2,0),0)</f>
        <v>58660</v>
      </c>
      <c r="D302" s="10">
        <f>Таблица2[[#This Row],[Декабрь]]-Таблица2[[#This Row],[Сумма реализации (с возвратами)]]</f>
        <v>-68010</v>
      </c>
    </row>
    <row r="303" spans="1:4" s="1" customFormat="1" ht="10.95" customHeight="1" x14ac:dyDescent="0.2">
      <c r="A303" s="2" t="s">
        <v>298</v>
      </c>
      <c r="B303" s="3">
        <v>66910</v>
      </c>
      <c r="C303" s="1">
        <f>IFERROR(VLOOKUP(Таблица2[[#This Row],[Контрагент]],Таблица1[],2,0),0)</f>
        <v>125140</v>
      </c>
      <c r="D303" s="10">
        <f>Таблица2[[#This Row],[Декабрь]]-Таблица2[[#This Row],[Сумма реализации (с возвратами)]]</f>
        <v>58230</v>
      </c>
    </row>
    <row r="304" spans="1:4" s="1" customFormat="1" ht="10.95" customHeight="1" x14ac:dyDescent="0.2">
      <c r="A304" s="2" t="s">
        <v>299</v>
      </c>
      <c r="B304" s="3">
        <v>424825</v>
      </c>
      <c r="C304" s="1">
        <f>IFERROR(VLOOKUP(Таблица2[[#This Row],[Контрагент]],Таблица1[],2,0),0)</f>
        <v>820365</v>
      </c>
      <c r="D304" s="10">
        <f>Таблица2[[#This Row],[Декабрь]]-Таблица2[[#This Row],[Сумма реализации (с возвратами)]]</f>
        <v>395540</v>
      </c>
    </row>
    <row r="305" spans="1:4" s="1" customFormat="1" ht="10.95" customHeight="1" x14ac:dyDescent="0.2">
      <c r="A305" s="2" t="s">
        <v>959</v>
      </c>
      <c r="B305" s="3">
        <v>22120</v>
      </c>
      <c r="C305" s="1">
        <f>IFERROR(VLOOKUP(Таблица2[[#This Row],[Контрагент]],Таблица1[],2,0),0)</f>
        <v>0</v>
      </c>
      <c r="D305" s="10">
        <f>Таблица2[[#This Row],[Декабрь]]-Таблица2[[#This Row],[Сумма реализации (с возвратами)]]</f>
        <v>-22120</v>
      </c>
    </row>
    <row r="306" spans="1:4" s="1" customFormat="1" ht="10.95" customHeight="1" x14ac:dyDescent="0.2">
      <c r="A306" s="2" t="s">
        <v>960</v>
      </c>
      <c r="B306" s="3">
        <v>20600</v>
      </c>
      <c r="C306" s="1">
        <f>IFERROR(VLOOKUP(Таблица2[[#This Row],[Контрагент]],Таблица1[],2,0),0)</f>
        <v>0</v>
      </c>
      <c r="D306" s="10">
        <f>Таблица2[[#This Row],[Декабрь]]-Таблица2[[#This Row],[Сумма реализации (с возвратами)]]</f>
        <v>-20600</v>
      </c>
    </row>
    <row r="307" spans="1:4" s="1" customFormat="1" ht="10.95" customHeight="1" x14ac:dyDescent="0.2">
      <c r="A307" s="2" t="s">
        <v>961</v>
      </c>
      <c r="B307" s="3">
        <v>177195</v>
      </c>
      <c r="C307" s="1">
        <f>IFERROR(VLOOKUP(Таблица2[[#This Row],[Контрагент]],Таблица1[],2,0),0)</f>
        <v>0</v>
      </c>
      <c r="D307" s="10">
        <f>Таблица2[[#This Row],[Декабрь]]-Таблица2[[#This Row],[Сумма реализации (с возвратами)]]</f>
        <v>-177195</v>
      </c>
    </row>
    <row r="308" spans="1:4" s="1" customFormat="1" ht="10.95" customHeight="1" x14ac:dyDescent="0.2">
      <c r="A308" s="2" t="s">
        <v>300</v>
      </c>
      <c r="B308" s="3">
        <v>152640</v>
      </c>
      <c r="C308" s="1">
        <f>IFERROR(VLOOKUP(Таблица2[[#This Row],[Контрагент]],Таблица1[],2,0),0)</f>
        <v>66150</v>
      </c>
      <c r="D308" s="10">
        <f>Таблица2[[#This Row],[Декабрь]]-Таблица2[[#This Row],[Сумма реализации (с возвратами)]]</f>
        <v>-86490</v>
      </c>
    </row>
    <row r="309" spans="1:4" s="1" customFormat="1" ht="10.95" customHeight="1" x14ac:dyDescent="0.2">
      <c r="A309" s="2" t="s">
        <v>301</v>
      </c>
      <c r="B309" s="3">
        <v>82350</v>
      </c>
      <c r="C309" s="1">
        <f>IFERROR(VLOOKUP(Таблица2[[#This Row],[Контрагент]],Таблица1[],2,0),0)</f>
        <v>153580</v>
      </c>
      <c r="D309" s="10">
        <f>Таблица2[[#This Row],[Декабрь]]-Таблица2[[#This Row],[Сумма реализации (с возвратами)]]</f>
        <v>71230</v>
      </c>
    </row>
    <row r="310" spans="1:4" s="1" customFormat="1" ht="10.95" customHeight="1" x14ac:dyDescent="0.2">
      <c r="A310" s="2" t="s">
        <v>302</v>
      </c>
      <c r="B310" s="3">
        <v>374850</v>
      </c>
      <c r="C310" s="1">
        <f>IFERROR(VLOOKUP(Таблица2[[#This Row],[Контрагент]],Таблица1[],2,0),0)</f>
        <v>87140</v>
      </c>
      <c r="D310" s="10">
        <f>Таблица2[[#This Row],[Декабрь]]-Таблица2[[#This Row],[Сумма реализации (с возвратами)]]</f>
        <v>-287710</v>
      </c>
    </row>
    <row r="311" spans="1:4" s="1" customFormat="1" ht="10.95" customHeight="1" x14ac:dyDescent="0.2">
      <c r="A311" s="2" t="s">
        <v>962</v>
      </c>
      <c r="B311" s="3">
        <v>158670</v>
      </c>
      <c r="C311" s="1">
        <f>IFERROR(VLOOKUP(Таблица2[[#This Row],[Контрагент]],Таблица1[],2,0),0)</f>
        <v>0</v>
      </c>
      <c r="D311" s="10">
        <f>Таблица2[[#This Row],[Декабрь]]-Таблица2[[#This Row],[Сумма реализации (с возвратами)]]</f>
        <v>-158670</v>
      </c>
    </row>
    <row r="312" spans="1:4" s="1" customFormat="1" ht="10.95" customHeight="1" x14ac:dyDescent="0.2">
      <c r="A312" s="2" t="s">
        <v>963</v>
      </c>
      <c r="B312" s="3">
        <v>58940</v>
      </c>
      <c r="C312" s="1">
        <f>IFERROR(VLOOKUP(Таблица2[[#This Row],[Контрагент]],Таблица1[],2,0),0)</f>
        <v>0</v>
      </c>
      <c r="D312" s="10">
        <f>Таблица2[[#This Row],[Декабрь]]-Таблица2[[#This Row],[Сумма реализации (с возвратами)]]</f>
        <v>-58940</v>
      </c>
    </row>
    <row r="313" spans="1:4" s="1" customFormat="1" ht="10.95" customHeight="1" x14ac:dyDescent="0.2">
      <c r="A313" s="2" t="s">
        <v>303</v>
      </c>
      <c r="B313" s="3">
        <v>557485</v>
      </c>
      <c r="C313" s="1">
        <f>IFERROR(VLOOKUP(Таблица2[[#This Row],[Контрагент]],Таблица1[],2,0),0)</f>
        <v>946345</v>
      </c>
      <c r="D313" s="10">
        <f>Таблица2[[#This Row],[Декабрь]]-Таблица2[[#This Row],[Сумма реализации (с возвратами)]]</f>
        <v>388860</v>
      </c>
    </row>
    <row r="314" spans="1:4" s="1" customFormat="1" ht="10.95" customHeight="1" x14ac:dyDescent="0.2">
      <c r="A314" s="2" t="s">
        <v>964</v>
      </c>
      <c r="B314" s="3">
        <v>22300</v>
      </c>
      <c r="C314" s="1">
        <f>IFERROR(VLOOKUP(Таблица2[[#This Row],[Контрагент]],Таблица1[],2,0),0)</f>
        <v>0</v>
      </c>
      <c r="D314" s="10">
        <f>Таблица2[[#This Row],[Декабрь]]-Таблица2[[#This Row],[Сумма реализации (с возвратами)]]</f>
        <v>-22300</v>
      </c>
    </row>
    <row r="315" spans="1:4" s="1" customFormat="1" ht="10.95" customHeight="1" x14ac:dyDescent="0.2">
      <c r="A315" s="2" t="s">
        <v>965</v>
      </c>
      <c r="B315" s="3">
        <v>58000</v>
      </c>
      <c r="C315" s="1">
        <f>IFERROR(VLOOKUP(Таблица2[[#This Row],[Контрагент]],Таблица1[],2,0),0)</f>
        <v>0</v>
      </c>
      <c r="D315" s="10">
        <f>Таблица2[[#This Row],[Декабрь]]-Таблица2[[#This Row],[Сумма реализации (с возвратами)]]</f>
        <v>-58000</v>
      </c>
    </row>
    <row r="316" spans="1:4" s="1" customFormat="1" ht="10.95" customHeight="1" x14ac:dyDescent="0.2">
      <c r="A316" s="2" t="s">
        <v>304</v>
      </c>
      <c r="B316" s="3">
        <v>61035</v>
      </c>
      <c r="C316" s="1">
        <f>IFERROR(VLOOKUP(Таблица2[[#This Row],[Контрагент]],Таблица1[],2,0),0)</f>
        <v>134447</v>
      </c>
      <c r="D316" s="10">
        <f>Таблица2[[#This Row],[Декабрь]]-Таблица2[[#This Row],[Сумма реализации (с возвратами)]]</f>
        <v>73412</v>
      </c>
    </row>
    <row r="317" spans="1:4" s="1" customFormat="1" ht="10.95" customHeight="1" x14ac:dyDescent="0.2">
      <c r="A317" s="2" t="s">
        <v>966</v>
      </c>
      <c r="B317" s="3">
        <v>38000</v>
      </c>
      <c r="C317" s="1">
        <f>IFERROR(VLOOKUP(Таблица2[[#This Row],[Контрагент]],Таблица1[],2,0),0)</f>
        <v>0</v>
      </c>
      <c r="D317" s="10">
        <f>Таблица2[[#This Row],[Декабрь]]-Таблица2[[#This Row],[Сумма реализации (с возвратами)]]</f>
        <v>-38000</v>
      </c>
    </row>
    <row r="318" spans="1:4" s="1" customFormat="1" ht="10.95" customHeight="1" x14ac:dyDescent="0.2">
      <c r="A318" s="2" t="s">
        <v>305</v>
      </c>
      <c r="B318" s="3">
        <v>22070</v>
      </c>
      <c r="C318" s="1">
        <f>IFERROR(VLOOKUP(Таблица2[[#This Row],[Контрагент]],Таблица1[],2,0),0)</f>
        <v>20280</v>
      </c>
      <c r="D318" s="10">
        <f>Таблица2[[#This Row],[Декабрь]]-Таблица2[[#This Row],[Сумма реализации (с возвратами)]]</f>
        <v>-1790</v>
      </c>
    </row>
    <row r="319" spans="1:4" s="1" customFormat="1" ht="10.95" customHeight="1" x14ac:dyDescent="0.2">
      <c r="A319" s="2" t="s">
        <v>306</v>
      </c>
      <c r="B319" s="3">
        <v>72960</v>
      </c>
      <c r="C319" s="1">
        <f>IFERROR(VLOOKUP(Таблица2[[#This Row],[Контрагент]],Таблица1[],2,0),0)</f>
        <v>88260</v>
      </c>
      <c r="D319" s="10">
        <f>Таблица2[[#This Row],[Декабрь]]-Таблица2[[#This Row],[Сумма реализации (с возвратами)]]</f>
        <v>15300</v>
      </c>
    </row>
    <row r="320" spans="1:4" s="1" customFormat="1" ht="10.95" customHeight="1" x14ac:dyDescent="0.2">
      <c r="A320" s="2" t="s">
        <v>308</v>
      </c>
      <c r="B320" s="3">
        <v>416790</v>
      </c>
      <c r="C320" s="1">
        <f>IFERROR(VLOOKUP(Таблица2[[#This Row],[Контрагент]],Таблица1[],2,0),0)</f>
        <v>295890</v>
      </c>
      <c r="D320" s="10">
        <f>Таблица2[[#This Row],[Декабрь]]-Таблица2[[#This Row],[Сумма реализации (с возвратами)]]</f>
        <v>-120900</v>
      </c>
    </row>
    <row r="321" spans="1:4" s="1" customFormat="1" ht="10.95" customHeight="1" x14ac:dyDescent="0.2">
      <c r="A321" s="2" t="s">
        <v>967</v>
      </c>
      <c r="B321" s="3">
        <v>392607</v>
      </c>
      <c r="C321" s="1">
        <f>IFERROR(VLOOKUP(Таблица2[[#This Row],[Контрагент]],Таблица1[],2,0),0)</f>
        <v>0</v>
      </c>
      <c r="D321" s="10">
        <f>Таблица2[[#This Row],[Декабрь]]-Таблица2[[#This Row],[Сумма реализации (с возвратами)]]</f>
        <v>-392607</v>
      </c>
    </row>
    <row r="322" spans="1:4" s="1" customFormat="1" ht="10.95" customHeight="1" x14ac:dyDescent="0.2">
      <c r="A322" s="2" t="s">
        <v>310</v>
      </c>
      <c r="B322" s="3">
        <v>129479</v>
      </c>
      <c r="C322" s="1">
        <f>IFERROR(VLOOKUP(Таблица2[[#This Row],[Контрагент]],Таблица1[],2,0),0)</f>
        <v>145993</v>
      </c>
      <c r="D322" s="10">
        <f>Таблица2[[#This Row],[Декабрь]]-Таблица2[[#This Row],[Сумма реализации (с возвратами)]]</f>
        <v>16514</v>
      </c>
    </row>
    <row r="323" spans="1:4" s="1" customFormat="1" ht="10.95" customHeight="1" x14ac:dyDescent="0.2">
      <c r="A323" s="2" t="s">
        <v>311</v>
      </c>
      <c r="B323" s="3">
        <v>77785</v>
      </c>
      <c r="C323" s="1">
        <f>IFERROR(VLOOKUP(Таблица2[[#This Row],[Контрагент]],Таблица1[],2,0),0)</f>
        <v>27920</v>
      </c>
      <c r="D323" s="10">
        <f>Таблица2[[#This Row],[Декабрь]]-Таблица2[[#This Row],[Сумма реализации (с возвратами)]]</f>
        <v>-49865</v>
      </c>
    </row>
    <row r="324" spans="1:4" s="1" customFormat="1" ht="10.95" customHeight="1" x14ac:dyDescent="0.2">
      <c r="A324" s="2" t="s">
        <v>312</v>
      </c>
      <c r="B324" s="3">
        <v>38395</v>
      </c>
      <c r="C324" s="1">
        <f>IFERROR(VLOOKUP(Таблица2[[#This Row],[Контрагент]],Таблица1[],2,0),0)</f>
        <v>36620</v>
      </c>
      <c r="D324" s="10">
        <f>Таблица2[[#This Row],[Декабрь]]-Таблица2[[#This Row],[Сумма реализации (с возвратами)]]</f>
        <v>-1775</v>
      </c>
    </row>
    <row r="325" spans="1:4" s="1" customFormat="1" ht="10.95" customHeight="1" x14ac:dyDescent="0.2">
      <c r="A325" s="2" t="s">
        <v>313</v>
      </c>
      <c r="B325" s="3">
        <v>8560</v>
      </c>
      <c r="C325" s="1">
        <f>IFERROR(VLOOKUP(Таблица2[[#This Row],[Контрагент]],Таблица1[],2,0),0)</f>
        <v>15960</v>
      </c>
      <c r="D325" s="10">
        <f>Таблица2[[#This Row],[Декабрь]]-Таблица2[[#This Row],[Сумма реализации (с возвратами)]]</f>
        <v>7400</v>
      </c>
    </row>
    <row r="326" spans="1:4" s="1" customFormat="1" ht="10.95" customHeight="1" x14ac:dyDescent="0.2">
      <c r="A326" s="2" t="s">
        <v>968</v>
      </c>
      <c r="B326" s="3">
        <v>63380</v>
      </c>
      <c r="C326" s="1">
        <f>IFERROR(VLOOKUP(Таблица2[[#This Row],[Контрагент]],Таблица1[],2,0),0)</f>
        <v>0</v>
      </c>
      <c r="D326" s="10">
        <f>Таблица2[[#This Row],[Декабрь]]-Таблица2[[#This Row],[Сумма реализации (с возвратами)]]</f>
        <v>-63380</v>
      </c>
    </row>
    <row r="327" spans="1:4" s="1" customFormat="1" ht="10.95" customHeight="1" x14ac:dyDescent="0.2">
      <c r="A327" s="2" t="s">
        <v>314</v>
      </c>
      <c r="B327" s="3">
        <v>53350</v>
      </c>
      <c r="C327" s="1">
        <f>IFERROR(VLOOKUP(Таблица2[[#This Row],[Контрагент]],Таблица1[],2,0),0)</f>
        <v>118700</v>
      </c>
      <c r="D327" s="10">
        <f>Таблица2[[#This Row],[Декабрь]]-Таблица2[[#This Row],[Сумма реализации (с возвратами)]]</f>
        <v>65350</v>
      </c>
    </row>
    <row r="328" spans="1:4" s="1" customFormat="1" ht="10.95" customHeight="1" x14ac:dyDescent="0.2">
      <c r="A328" s="2" t="s">
        <v>315</v>
      </c>
      <c r="B328" s="3">
        <v>87575</v>
      </c>
      <c r="C328" s="1">
        <f>IFERROR(VLOOKUP(Таблица2[[#This Row],[Контрагент]],Таблица1[],2,0),0)</f>
        <v>70190</v>
      </c>
      <c r="D328" s="10">
        <f>Таблица2[[#This Row],[Декабрь]]-Таблица2[[#This Row],[Сумма реализации (с возвратами)]]</f>
        <v>-17385</v>
      </c>
    </row>
    <row r="329" spans="1:4" s="1" customFormat="1" ht="10.95" customHeight="1" x14ac:dyDescent="0.2">
      <c r="A329" s="2" t="s">
        <v>316</v>
      </c>
      <c r="B329" s="3">
        <v>590283</v>
      </c>
      <c r="C329" s="1">
        <f>IFERROR(VLOOKUP(Таблица2[[#This Row],[Контрагент]],Таблица1[],2,0),0)</f>
        <v>757063</v>
      </c>
      <c r="D329" s="10">
        <f>Таблица2[[#This Row],[Декабрь]]-Таблица2[[#This Row],[Сумма реализации (с возвратами)]]</f>
        <v>166780</v>
      </c>
    </row>
    <row r="330" spans="1:4" s="1" customFormat="1" ht="10.95" customHeight="1" x14ac:dyDescent="0.2">
      <c r="A330" s="2" t="s">
        <v>317</v>
      </c>
      <c r="B330" s="3">
        <v>349355</v>
      </c>
      <c r="C330" s="1">
        <f>IFERROR(VLOOKUP(Таблица2[[#This Row],[Контрагент]],Таблица1[],2,0),0)</f>
        <v>351440</v>
      </c>
      <c r="D330" s="10">
        <f>Таблица2[[#This Row],[Декабрь]]-Таблица2[[#This Row],[Сумма реализации (с возвратами)]]</f>
        <v>2085</v>
      </c>
    </row>
    <row r="331" spans="1:4" s="1" customFormat="1" ht="10.95" customHeight="1" x14ac:dyDescent="0.2">
      <c r="A331" s="2" t="s">
        <v>318</v>
      </c>
      <c r="B331" s="3">
        <v>108348</v>
      </c>
      <c r="C331" s="1">
        <f>IFERROR(VLOOKUP(Таблица2[[#This Row],[Контрагент]],Таблица1[],2,0),0)</f>
        <v>48075</v>
      </c>
      <c r="D331" s="10">
        <f>Таблица2[[#This Row],[Декабрь]]-Таблица2[[#This Row],[Сумма реализации (с возвратами)]]</f>
        <v>-60273</v>
      </c>
    </row>
    <row r="332" spans="1:4" s="1" customFormat="1" ht="10.95" customHeight="1" x14ac:dyDescent="0.2">
      <c r="A332" s="2" t="s">
        <v>319</v>
      </c>
      <c r="B332" s="3">
        <v>21560</v>
      </c>
      <c r="C332" s="1">
        <f>IFERROR(VLOOKUP(Таблица2[[#This Row],[Контрагент]],Таблица1[],2,0),0)</f>
        <v>33593</v>
      </c>
      <c r="D332" s="10">
        <f>Таблица2[[#This Row],[Декабрь]]-Таблица2[[#This Row],[Сумма реализации (с возвратами)]]</f>
        <v>12033</v>
      </c>
    </row>
    <row r="333" spans="1:4" s="1" customFormat="1" ht="10.95" customHeight="1" x14ac:dyDescent="0.2">
      <c r="A333" s="2" t="s">
        <v>320</v>
      </c>
      <c r="B333" s="3">
        <v>46220</v>
      </c>
      <c r="C333" s="1">
        <f>IFERROR(VLOOKUP(Таблица2[[#This Row],[Контрагент]],Таблица1[],2,0),0)</f>
        <v>27020</v>
      </c>
      <c r="D333" s="10">
        <f>Таблица2[[#This Row],[Декабрь]]-Таблица2[[#This Row],[Сумма реализации (с возвратами)]]</f>
        <v>-19200</v>
      </c>
    </row>
    <row r="334" spans="1:4" s="1" customFormat="1" ht="10.95" customHeight="1" x14ac:dyDescent="0.2">
      <c r="A334" s="2" t="s">
        <v>321</v>
      </c>
      <c r="B334" s="3">
        <v>234960</v>
      </c>
      <c r="C334" s="1">
        <f>IFERROR(VLOOKUP(Таблица2[[#This Row],[Контрагент]],Таблица1[],2,0),0)</f>
        <v>97180</v>
      </c>
      <c r="D334" s="10">
        <f>Таблица2[[#This Row],[Декабрь]]-Таблица2[[#This Row],[Сумма реализации (с возвратами)]]</f>
        <v>-137780</v>
      </c>
    </row>
    <row r="335" spans="1:4" s="1" customFormat="1" ht="10.95" customHeight="1" x14ac:dyDescent="0.2">
      <c r="A335" s="2" t="s">
        <v>969</v>
      </c>
      <c r="B335" s="3">
        <v>39400</v>
      </c>
      <c r="C335" s="1">
        <f>IFERROR(VLOOKUP(Таблица2[[#This Row],[Контрагент]],Таблица1[],2,0),0)</f>
        <v>0</v>
      </c>
      <c r="D335" s="10">
        <f>Таблица2[[#This Row],[Декабрь]]-Таблица2[[#This Row],[Сумма реализации (с возвратами)]]</f>
        <v>-39400</v>
      </c>
    </row>
    <row r="336" spans="1:4" s="1" customFormat="1" ht="10.95" customHeight="1" x14ac:dyDescent="0.2">
      <c r="A336" s="2" t="s">
        <v>322</v>
      </c>
      <c r="B336" s="3">
        <v>32810</v>
      </c>
      <c r="C336" s="1">
        <f>IFERROR(VLOOKUP(Таблица2[[#This Row],[Контрагент]],Таблица1[],2,0),0)</f>
        <v>54890</v>
      </c>
      <c r="D336" s="10">
        <f>Таблица2[[#This Row],[Декабрь]]-Таблица2[[#This Row],[Сумма реализации (с возвратами)]]</f>
        <v>22080</v>
      </c>
    </row>
    <row r="337" spans="1:4" s="1" customFormat="1" ht="10.95" customHeight="1" x14ac:dyDescent="0.2">
      <c r="A337" s="2" t="s">
        <v>323</v>
      </c>
      <c r="B337" s="3">
        <v>3406465</v>
      </c>
      <c r="C337" s="1">
        <f>IFERROR(VLOOKUP(Таблица2[[#This Row],[Контрагент]],Таблица1[],2,0),0)</f>
        <v>3459710</v>
      </c>
      <c r="D337" s="10">
        <f>Таблица2[[#This Row],[Декабрь]]-Таблица2[[#This Row],[Сумма реализации (с возвратами)]]</f>
        <v>53245</v>
      </c>
    </row>
    <row r="338" spans="1:4" s="1" customFormat="1" ht="10.95" customHeight="1" x14ac:dyDescent="0.2">
      <c r="A338" s="2" t="s">
        <v>326</v>
      </c>
      <c r="B338" s="3">
        <v>17120</v>
      </c>
      <c r="C338" s="1">
        <f>IFERROR(VLOOKUP(Таблица2[[#This Row],[Контрагент]],Таблица1[],2,0),0)</f>
        <v>16200</v>
      </c>
      <c r="D338" s="10">
        <f>Таблица2[[#This Row],[Декабрь]]-Таблица2[[#This Row],[Сумма реализации (с возвратами)]]</f>
        <v>-920</v>
      </c>
    </row>
    <row r="339" spans="1:4" s="1" customFormat="1" ht="10.95" customHeight="1" x14ac:dyDescent="0.2">
      <c r="A339" s="2" t="s">
        <v>328</v>
      </c>
      <c r="B339" s="3">
        <v>580885</v>
      </c>
      <c r="C339" s="1">
        <f>IFERROR(VLOOKUP(Таблица2[[#This Row],[Контрагент]],Таблица1[],2,0),0)</f>
        <v>-348660</v>
      </c>
      <c r="D339" s="10">
        <f>Таблица2[[#This Row],[Декабрь]]-Таблица2[[#This Row],[Сумма реализации (с возвратами)]]</f>
        <v>-929545</v>
      </c>
    </row>
    <row r="340" spans="1:4" s="1" customFormat="1" ht="10.95" customHeight="1" x14ac:dyDescent="0.2">
      <c r="A340" s="2" t="s">
        <v>970</v>
      </c>
      <c r="B340" s="3">
        <v>31430</v>
      </c>
      <c r="C340" s="1">
        <f>IFERROR(VLOOKUP(Таблица2[[#This Row],[Контрагент]],Таблица1[],2,0),0)</f>
        <v>0</v>
      </c>
      <c r="D340" s="10">
        <f>Таблица2[[#This Row],[Декабрь]]-Таблица2[[#This Row],[Сумма реализации (с возвратами)]]</f>
        <v>-31430</v>
      </c>
    </row>
    <row r="341" spans="1:4" s="1" customFormat="1" ht="10.95" customHeight="1" x14ac:dyDescent="0.2">
      <c r="A341" s="2" t="s">
        <v>329</v>
      </c>
      <c r="B341" s="3">
        <v>63893</v>
      </c>
      <c r="C341" s="1">
        <f>IFERROR(VLOOKUP(Таблица2[[#This Row],[Контрагент]],Таблица1[],2,0),0)</f>
        <v>68550</v>
      </c>
      <c r="D341" s="10">
        <f>Таблица2[[#This Row],[Декабрь]]-Таблица2[[#This Row],[Сумма реализации (с возвратами)]]</f>
        <v>4657</v>
      </c>
    </row>
    <row r="342" spans="1:4" s="1" customFormat="1" ht="10.95" customHeight="1" x14ac:dyDescent="0.2">
      <c r="A342" s="2" t="s">
        <v>971</v>
      </c>
      <c r="B342" s="3">
        <v>12900</v>
      </c>
      <c r="C342" s="1">
        <f>IFERROR(VLOOKUP(Таблица2[[#This Row],[Контрагент]],Таблица1[],2,0),0)</f>
        <v>0</v>
      </c>
      <c r="D342" s="10">
        <f>Таблица2[[#This Row],[Декабрь]]-Таблица2[[#This Row],[Сумма реализации (с возвратами)]]</f>
        <v>-12900</v>
      </c>
    </row>
    <row r="343" spans="1:4" s="1" customFormat="1" ht="10.95" customHeight="1" x14ac:dyDescent="0.2">
      <c r="A343" s="2" t="s">
        <v>331</v>
      </c>
      <c r="B343" s="3">
        <v>78680</v>
      </c>
      <c r="C343" s="1">
        <f>IFERROR(VLOOKUP(Таблица2[[#This Row],[Контрагент]],Таблица1[],2,0),0)</f>
        <v>81520</v>
      </c>
      <c r="D343" s="10">
        <f>Таблица2[[#This Row],[Декабрь]]-Таблица2[[#This Row],[Сумма реализации (с возвратами)]]</f>
        <v>2840</v>
      </c>
    </row>
    <row r="344" spans="1:4" s="1" customFormat="1" ht="10.95" customHeight="1" x14ac:dyDescent="0.2">
      <c r="A344" s="2" t="s">
        <v>972</v>
      </c>
      <c r="B344" s="3">
        <v>13320</v>
      </c>
      <c r="C344" s="1">
        <f>IFERROR(VLOOKUP(Таблица2[[#This Row],[Контрагент]],Таблица1[],2,0),0)</f>
        <v>0</v>
      </c>
      <c r="D344" s="10">
        <f>Таблица2[[#This Row],[Декабрь]]-Таблица2[[#This Row],[Сумма реализации (с возвратами)]]</f>
        <v>-13320</v>
      </c>
    </row>
    <row r="345" spans="1:4" s="1" customFormat="1" ht="10.95" customHeight="1" x14ac:dyDescent="0.2">
      <c r="A345" s="2" t="s">
        <v>332</v>
      </c>
      <c r="B345" s="3">
        <v>7200</v>
      </c>
      <c r="C345" s="1">
        <f>IFERROR(VLOOKUP(Таблица2[[#This Row],[Контрагент]],Таблица1[],2,0),0)</f>
        <v>7820</v>
      </c>
      <c r="D345" s="10">
        <f>Таблица2[[#This Row],[Декабрь]]-Таблица2[[#This Row],[Сумма реализации (с возвратами)]]</f>
        <v>620</v>
      </c>
    </row>
    <row r="346" spans="1:4" s="1" customFormat="1" ht="10.95" customHeight="1" x14ac:dyDescent="0.2">
      <c r="A346" s="2" t="s">
        <v>333</v>
      </c>
      <c r="B346" s="3">
        <v>18560</v>
      </c>
      <c r="C346" s="1">
        <f>IFERROR(VLOOKUP(Таблица2[[#This Row],[Контрагент]],Таблица1[],2,0),0)</f>
        <v>58520</v>
      </c>
      <c r="D346" s="10">
        <f>Таблица2[[#This Row],[Декабрь]]-Таблица2[[#This Row],[Сумма реализации (с возвратами)]]</f>
        <v>39960</v>
      </c>
    </row>
    <row r="347" spans="1:4" s="1" customFormat="1" ht="10.95" customHeight="1" x14ac:dyDescent="0.2">
      <c r="A347" s="2" t="s">
        <v>334</v>
      </c>
      <c r="B347" s="3">
        <v>73960</v>
      </c>
      <c r="C347" s="1">
        <f>IFERROR(VLOOKUP(Таблица2[[#This Row],[Контрагент]],Таблица1[],2,0),0)</f>
        <v>744680</v>
      </c>
      <c r="D347" s="10">
        <f>Таблица2[[#This Row],[Декабрь]]-Таблица2[[#This Row],[Сумма реализации (с возвратами)]]</f>
        <v>670720</v>
      </c>
    </row>
    <row r="348" spans="1:4" s="1" customFormat="1" ht="10.95" customHeight="1" x14ac:dyDescent="0.2">
      <c r="A348" s="2" t="s">
        <v>337</v>
      </c>
      <c r="B348" s="3">
        <v>26800</v>
      </c>
      <c r="C348" s="1">
        <f>IFERROR(VLOOKUP(Таблица2[[#This Row],[Контрагент]],Таблица1[],2,0),0)</f>
        <v>33480</v>
      </c>
      <c r="D348" s="10">
        <f>Таблица2[[#This Row],[Декабрь]]-Таблица2[[#This Row],[Сумма реализации (с возвратами)]]</f>
        <v>6680</v>
      </c>
    </row>
    <row r="349" spans="1:4" s="1" customFormat="1" ht="10.95" customHeight="1" x14ac:dyDescent="0.2">
      <c r="A349" s="2" t="s">
        <v>338</v>
      </c>
      <c r="B349" s="3">
        <v>110570</v>
      </c>
      <c r="C349" s="1">
        <f>IFERROR(VLOOKUP(Таблица2[[#This Row],[Контрагент]],Таблица1[],2,0),0)</f>
        <v>36590</v>
      </c>
      <c r="D349" s="10">
        <f>Таблица2[[#This Row],[Декабрь]]-Таблица2[[#This Row],[Сумма реализации (с возвратами)]]</f>
        <v>-73980</v>
      </c>
    </row>
    <row r="350" spans="1:4" s="1" customFormat="1" ht="10.95" customHeight="1" x14ac:dyDescent="0.2">
      <c r="A350" s="2" t="s">
        <v>973</v>
      </c>
      <c r="B350" s="3">
        <v>55490</v>
      </c>
      <c r="C350" s="1">
        <f>IFERROR(VLOOKUP(Таблица2[[#This Row],[Контрагент]],Таблица1[],2,0),0)</f>
        <v>0</v>
      </c>
      <c r="D350" s="10">
        <f>Таблица2[[#This Row],[Декабрь]]-Таблица2[[#This Row],[Сумма реализации (с возвратами)]]</f>
        <v>-55490</v>
      </c>
    </row>
    <row r="351" spans="1:4" s="1" customFormat="1" ht="10.95" customHeight="1" x14ac:dyDescent="0.2">
      <c r="A351" s="2" t="s">
        <v>340</v>
      </c>
      <c r="B351" s="3">
        <v>136310</v>
      </c>
      <c r="C351" s="1">
        <f>IFERROR(VLOOKUP(Таблица2[[#This Row],[Контрагент]],Таблица1[],2,0),0)</f>
        <v>147210</v>
      </c>
      <c r="D351" s="10">
        <f>Таблица2[[#This Row],[Декабрь]]-Таблица2[[#This Row],[Сумма реализации (с возвратами)]]</f>
        <v>10900</v>
      </c>
    </row>
    <row r="352" spans="1:4" s="1" customFormat="1" ht="10.95" customHeight="1" x14ac:dyDescent="0.2">
      <c r="A352" s="2" t="s">
        <v>974</v>
      </c>
      <c r="B352" s="3">
        <v>11970</v>
      </c>
      <c r="C352" s="1">
        <f>IFERROR(VLOOKUP(Таблица2[[#This Row],[Контрагент]],Таблица1[],2,0),0)</f>
        <v>0</v>
      </c>
      <c r="D352" s="10">
        <f>Таблица2[[#This Row],[Декабрь]]-Таблица2[[#This Row],[Сумма реализации (с возвратами)]]</f>
        <v>-11970</v>
      </c>
    </row>
    <row r="353" spans="1:4" s="1" customFormat="1" ht="10.95" customHeight="1" x14ac:dyDescent="0.2">
      <c r="A353" s="2" t="s">
        <v>975</v>
      </c>
      <c r="B353" s="3">
        <v>67900</v>
      </c>
      <c r="C353" s="1">
        <f>IFERROR(VLOOKUP(Таблица2[[#This Row],[Контрагент]],Таблица1[],2,0),0)</f>
        <v>0</v>
      </c>
      <c r="D353" s="10">
        <f>Таблица2[[#This Row],[Декабрь]]-Таблица2[[#This Row],[Сумма реализации (с возвратами)]]</f>
        <v>-67900</v>
      </c>
    </row>
    <row r="354" spans="1:4" s="1" customFormat="1" ht="10.95" customHeight="1" x14ac:dyDescent="0.2">
      <c r="A354" s="2" t="s">
        <v>343</v>
      </c>
      <c r="B354" s="3">
        <v>77850</v>
      </c>
      <c r="C354" s="1">
        <f>IFERROR(VLOOKUP(Таблица2[[#This Row],[Контрагент]],Таблица1[],2,0),0)</f>
        <v>271860</v>
      </c>
      <c r="D354" s="10">
        <f>Таблица2[[#This Row],[Декабрь]]-Таблица2[[#This Row],[Сумма реализации (с возвратами)]]</f>
        <v>194010</v>
      </c>
    </row>
    <row r="355" spans="1:4" s="1" customFormat="1" ht="10.95" customHeight="1" x14ac:dyDescent="0.2">
      <c r="A355" s="2" t="s">
        <v>344</v>
      </c>
      <c r="B355" s="3">
        <v>29060</v>
      </c>
      <c r="C355" s="1">
        <f>IFERROR(VLOOKUP(Таблица2[[#This Row],[Контрагент]],Таблица1[],2,0),0)</f>
        <v>82900</v>
      </c>
      <c r="D355" s="10">
        <f>Таблица2[[#This Row],[Декабрь]]-Таблица2[[#This Row],[Сумма реализации (с возвратами)]]</f>
        <v>53840</v>
      </c>
    </row>
    <row r="356" spans="1:4" s="1" customFormat="1" ht="10.95" customHeight="1" x14ac:dyDescent="0.2">
      <c r="A356" s="2" t="s">
        <v>345</v>
      </c>
      <c r="B356" s="3">
        <v>33090</v>
      </c>
      <c r="C356" s="1">
        <f>IFERROR(VLOOKUP(Таблица2[[#This Row],[Контрагент]],Таблица1[],2,0),0)</f>
        <v>36960</v>
      </c>
      <c r="D356" s="10">
        <f>Таблица2[[#This Row],[Декабрь]]-Таблица2[[#This Row],[Сумма реализации (с возвратами)]]</f>
        <v>3870</v>
      </c>
    </row>
    <row r="357" spans="1:4" s="1" customFormat="1" ht="10.95" customHeight="1" x14ac:dyDescent="0.2">
      <c r="A357" s="2" t="s">
        <v>346</v>
      </c>
      <c r="B357" s="3">
        <v>75350</v>
      </c>
      <c r="C357" s="1">
        <f>IFERROR(VLOOKUP(Таблица2[[#This Row],[Контрагент]],Таблица1[],2,0),0)</f>
        <v>31500</v>
      </c>
      <c r="D357" s="10">
        <f>Таблица2[[#This Row],[Декабрь]]-Таблица2[[#This Row],[Сумма реализации (с возвратами)]]</f>
        <v>-43850</v>
      </c>
    </row>
    <row r="358" spans="1:4" s="1" customFormat="1" ht="10.95" customHeight="1" x14ac:dyDescent="0.2">
      <c r="A358" s="2" t="s">
        <v>347</v>
      </c>
      <c r="B358" s="3">
        <v>73715</v>
      </c>
      <c r="C358" s="1">
        <f>IFERROR(VLOOKUP(Таблица2[[#This Row],[Контрагент]],Таблица1[],2,0),0)</f>
        <v>85850</v>
      </c>
      <c r="D358" s="10">
        <f>Таблица2[[#This Row],[Декабрь]]-Таблица2[[#This Row],[Сумма реализации (с возвратами)]]</f>
        <v>12135</v>
      </c>
    </row>
    <row r="359" spans="1:4" s="1" customFormat="1" ht="10.95" customHeight="1" x14ac:dyDescent="0.2">
      <c r="A359" s="2" t="s">
        <v>348</v>
      </c>
      <c r="B359" s="3">
        <v>177540</v>
      </c>
      <c r="C359" s="1">
        <f>IFERROR(VLOOKUP(Таблица2[[#This Row],[Контрагент]],Таблица1[],2,0),0)</f>
        <v>215065</v>
      </c>
      <c r="D359" s="10">
        <f>Таблица2[[#This Row],[Декабрь]]-Таблица2[[#This Row],[Сумма реализации (с возвратами)]]</f>
        <v>37525</v>
      </c>
    </row>
    <row r="360" spans="1:4" s="1" customFormat="1" ht="10.95" customHeight="1" x14ac:dyDescent="0.2">
      <c r="A360" s="2" t="s">
        <v>976</v>
      </c>
      <c r="B360" s="3">
        <v>41236</v>
      </c>
      <c r="C360" s="1">
        <f>IFERROR(VLOOKUP(Таблица2[[#This Row],[Контрагент]],Таблица1[],2,0),0)</f>
        <v>0</v>
      </c>
      <c r="D360" s="10">
        <f>Таблица2[[#This Row],[Декабрь]]-Таблица2[[#This Row],[Сумма реализации (с возвратами)]]</f>
        <v>-41236</v>
      </c>
    </row>
    <row r="361" spans="1:4" s="1" customFormat="1" ht="10.95" customHeight="1" x14ac:dyDescent="0.2">
      <c r="A361" s="2" t="s">
        <v>349</v>
      </c>
      <c r="B361" s="3">
        <v>10000</v>
      </c>
      <c r="C361" s="1">
        <f>IFERROR(VLOOKUP(Таблица2[[#This Row],[Контрагент]],Таблица1[],2,0),0)</f>
        <v>25040</v>
      </c>
      <c r="D361" s="10">
        <f>Таблица2[[#This Row],[Декабрь]]-Таблица2[[#This Row],[Сумма реализации (с возвратами)]]</f>
        <v>15040</v>
      </c>
    </row>
    <row r="362" spans="1:4" s="1" customFormat="1" ht="10.95" customHeight="1" x14ac:dyDescent="0.2">
      <c r="A362" s="2" t="s">
        <v>350</v>
      </c>
      <c r="B362" s="3">
        <v>43950</v>
      </c>
      <c r="C362" s="1">
        <f>IFERROR(VLOOKUP(Таблица2[[#This Row],[Контрагент]],Таблица1[],2,0),0)</f>
        <v>1352605</v>
      </c>
      <c r="D362" s="10">
        <f>Таблица2[[#This Row],[Декабрь]]-Таблица2[[#This Row],[Сумма реализации (с возвратами)]]</f>
        <v>1308655</v>
      </c>
    </row>
    <row r="363" spans="1:4" s="1" customFormat="1" ht="10.95" customHeight="1" x14ac:dyDescent="0.2">
      <c r="A363" s="2" t="s">
        <v>351</v>
      </c>
      <c r="B363" s="3">
        <v>14760</v>
      </c>
      <c r="C363" s="1">
        <f>IFERROR(VLOOKUP(Таблица2[[#This Row],[Контрагент]],Таблица1[],2,0),0)</f>
        <v>48940</v>
      </c>
      <c r="D363" s="10">
        <f>Таблица2[[#This Row],[Декабрь]]-Таблица2[[#This Row],[Сумма реализации (с возвратами)]]</f>
        <v>34180</v>
      </c>
    </row>
    <row r="364" spans="1:4" s="1" customFormat="1" ht="10.95" customHeight="1" x14ac:dyDescent="0.2">
      <c r="A364" s="2" t="s">
        <v>352</v>
      </c>
      <c r="B364" s="3">
        <v>150460</v>
      </c>
      <c r="C364" s="1">
        <f>IFERROR(VLOOKUP(Таблица2[[#This Row],[Контрагент]],Таблица1[],2,0),0)</f>
        <v>101180</v>
      </c>
      <c r="D364" s="10">
        <f>Таблица2[[#This Row],[Декабрь]]-Таблица2[[#This Row],[Сумма реализации (с возвратами)]]</f>
        <v>-49280</v>
      </c>
    </row>
    <row r="365" spans="1:4" s="1" customFormat="1" ht="10.95" customHeight="1" x14ac:dyDescent="0.2">
      <c r="A365" s="2" t="s">
        <v>977</v>
      </c>
      <c r="B365" s="3">
        <v>5760</v>
      </c>
      <c r="C365" s="1">
        <f>IFERROR(VLOOKUP(Таблица2[[#This Row],[Контрагент]],Таблица1[],2,0),0)</f>
        <v>0</v>
      </c>
      <c r="D365" s="10">
        <f>Таблица2[[#This Row],[Декабрь]]-Таблица2[[#This Row],[Сумма реализации (с возвратами)]]</f>
        <v>-5760</v>
      </c>
    </row>
    <row r="366" spans="1:4" s="1" customFormat="1" ht="10.95" customHeight="1" x14ac:dyDescent="0.2">
      <c r="A366" s="2" t="s">
        <v>353</v>
      </c>
      <c r="B366" s="3">
        <v>26980</v>
      </c>
      <c r="C366" s="1">
        <f>IFERROR(VLOOKUP(Таблица2[[#This Row],[Контрагент]],Таблица1[],2,0),0)</f>
        <v>49940</v>
      </c>
      <c r="D366" s="10">
        <f>Таблица2[[#This Row],[Декабрь]]-Таблица2[[#This Row],[Сумма реализации (с возвратами)]]</f>
        <v>22960</v>
      </c>
    </row>
    <row r="367" spans="1:4" s="1" customFormat="1" ht="10.95" customHeight="1" x14ac:dyDescent="0.2">
      <c r="A367" s="2" t="s">
        <v>354</v>
      </c>
      <c r="B367" s="3">
        <v>134990</v>
      </c>
      <c r="C367" s="1">
        <f>IFERROR(VLOOKUP(Таблица2[[#This Row],[Контрагент]],Таблица1[],2,0),0)</f>
        <v>99270</v>
      </c>
      <c r="D367" s="10">
        <f>Таблица2[[#This Row],[Декабрь]]-Таблица2[[#This Row],[Сумма реализации (с возвратами)]]</f>
        <v>-35720</v>
      </c>
    </row>
    <row r="368" spans="1:4" s="1" customFormat="1" ht="10.95" customHeight="1" x14ac:dyDescent="0.2">
      <c r="A368" s="2" t="s">
        <v>978</v>
      </c>
      <c r="B368" s="3">
        <v>7161</v>
      </c>
      <c r="C368" s="1">
        <f>IFERROR(VLOOKUP(Таблица2[[#This Row],[Контрагент]],Таблица1[],2,0),0)</f>
        <v>0</v>
      </c>
      <c r="D368" s="10">
        <f>Таблица2[[#This Row],[Декабрь]]-Таблица2[[#This Row],[Сумма реализации (с возвратами)]]</f>
        <v>-7161</v>
      </c>
    </row>
    <row r="369" spans="1:4" s="1" customFormat="1" ht="10.95" customHeight="1" x14ac:dyDescent="0.2">
      <c r="A369" s="2" t="s">
        <v>355</v>
      </c>
      <c r="B369" s="3">
        <v>10550</v>
      </c>
      <c r="C369" s="1">
        <f>IFERROR(VLOOKUP(Таблица2[[#This Row],[Контрагент]],Таблица1[],2,0),0)</f>
        <v>58110</v>
      </c>
      <c r="D369" s="10">
        <f>Таблица2[[#This Row],[Декабрь]]-Таблица2[[#This Row],[Сумма реализации (с возвратами)]]</f>
        <v>47560</v>
      </c>
    </row>
    <row r="370" spans="1:4" s="1" customFormat="1" ht="10.95" customHeight="1" x14ac:dyDescent="0.2">
      <c r="A370" s="2" t="s">
        <v>356</v>
      </c>
      <c r="B370" s="3">
        <v>310530</v>
      </c>
      <c r="C370" s="1">
        <f>IFERROR(VLOOKUP(Таблица2[[#This Row],[Контрагент]],Таблица1[],2,0),0)</f>
        <v>374840</v>
      </c>
      <c r="D370" s="10">
        <f>Таблица2[[#This Row],[Декабрь]]-Таблица2[[#This Row],[Сумма реализации (с возвратами)]]</f>
        <v>64310</v>
      </c>
    </row>
    <row r="371" spans="1:4" s="1" customFormat="1" ht="10.95" customHeight="1" x14ac:dyDescent="0.2">
      <c r="A371" s="2" t="s">
        <v>979</v>
      </c>
      <c r="B371" s="3">
        <v>92670</v>
      </c>
      <c r="C371" s="1">
        <f>IFERROR(VLOOKUP(Таблица2[[#This Row],[Контрагент]],Таблица1[],2,0),0)</f>
        <v>0</v>
      </c>
      <c r="D371" s="10">
        <f>Таблица2[[#This Row],[Декабрь]]-Таблица2[[#This Row],[Сумма реализации (с возвратами)]]</f>
        <v>-92670</v>
      </c>
    </row>
    <row r="372" spans="1:4" s="1" customFormat="1" ht="10.95" customHeight="1" x14ac:dyDescent="0.2">
      <c r="A372" s="2" t="s">
        <v>980</v>
      </c>
      <c r="B372" s="3">
        <v>5000</v>
      </c>
      <c r="C372" s="1">
        <f>IFERROR(VLOOKUP(Таблица2[[#This Row],[Контрагент]],Таблица1[],2,0),0)</f>
        <v>0</v>
      </c>
      <c r="D372" s="10">
        <f>Таблица2[[#This Row],[Декабрь]]-Таблица2[[#This Row],[Сумма реализации (с возвратами)]]</f>
        <v>-5000</v>
      </c>
    </row>
    <row r="373" spans="1:4" s="1" customFormat="1" ht="10.95" customHeight="1" x14ac:dyDescent="0.2">
      <c r="A373" s="2" t="s">
        <v>357</v>
      </c>
      <c r="B373" s="3">
        <v>167790</v>
      </c>
      <c r="C373" s="1">
        <f>IFERROR(VLOOKUP(Таблица2[[#This Row],[Контрагент]],Таблица1[],2,0),0)</f>
        <v>122590</v>
      </c>
      <c r="D373" s="10">
        <f>Таблица2[[#This Row],[Декабрь]]-Таблица2[[#This Row],[Сумма реализации (с возвратами)]]</f>
        <v>-45200</v>
      </c>
    </row>
    <row r="374" spans="1:4" s="1" customFormat="1" ht="10.95" customHeight="1" x14ac:dyDescent="0.2">
      <c r="A374" s="2" t="s">
        <v>358</v>
      </c>
      <c r="B374" s="3">
        <v>73240</v>
      </c>
      <c r="C374" s="1">
        <f>IFERROR(VLOOKUP(Таблица2[[#This Row],[Контрагент]],Таблица1[],2,0),0)</f>
        <v>132280</v>
      </c>
      <c r="D374" s="10">
        <f>Таблица2[[#This Row],[Декабрь]]-Таблица2[[#This Row],[Сумма реализации (с возвратами)]]</f>
        <v>59040</v>
      </c>
    </row>
    <row r="375" spans="1:4" s="1" customFormat="1" ht="10.95" customHeight="1" x14ac:dyDescent="0.2">
      <c r="A375" s="2" t="s">
        <v>981</v>
      </c>
      <c r="B375" s="3">
        <v>9680</v>
      </c>
      <c r="C375" s="1">
        <f>IFERROR(VLOOKUP(Таблица2[[#This Row],[Контрагент]],Таблица1[],2,0),0)</f>
        <v>0</v>
      </c>
      <c r="D375" s="10">
        <f>Таблица2[[#This Row],[Декабрь]]-Таблица2[[#This Row],[Сумма реализации (с возвратами)]]</f>
        <v>-9680</v>
      </c>
    </row>
    <row r="376" spans="1:4" s="1" customFormat="1" ht="10.95" customHeight="1" x14ac:dyDescent="0.2">
      <c r="A376" s="2" t="s">
        <v>982</v>
      </c>
      <c r="B376" s="3">
        <v>123293</v>
      </c>
      <c r="C376" s="1">
        <f>IFERROR(VLOOKUP(Таблица2[[#This Row],[Контрагент]],Таблица1[],2,0),0)</f>
        <v>0</v>
      </c>
      <c r="D376" s="10">
        <f>Таблица2[[#This Row],[Декабрь]]-Таблица2[[#This Row],[Сумма реализации (с возвратами)]]</f>
        <v>-123293</v>
      </c>
    </row>
    <row r="377" spans="1:4" s="1" customFormat="1" ht="10.95" customHeight="1" x14ac:dyDescent="0.2">
      <c r="A377" s="2" t="s">
        <v>359</v>
      </c>
      <c r="B377" s="3">
        <v>182690</v>
      </c>
      <c r="C377" s="1">
        <f>IFERROR(VLOOKUP(Таблица2[[#This Row],[Контрагент]],Таблица1[],2,0),0)</f>
        <v>86462</v>
      </c>
      <c r="D377" s="10">
        <f>Таблица2[[#This Row],[Декабрь]]-Таблица2[[#This Row],[Сумма реализации (с возвратами)]]</f>
        <v>-96228</v>
      </c>
    </row>
    <row r="378" spans="1:4" s="1" customFormat="1" ht="10.95" customHeight="1" x14ac:dyDescent="0.2">
      <c r="A378" s="2" t="s">
        <v>360</v>
      </c>
      <c r="B378" s="3">
        <v>148463</v>
      </c>
      <c r="C378" s="1">
        <f>IFERROR(VLOOKUP(Таблица2[[#This Row],[Контрагент]],Таблица1[],2,0),0)</f>
        <v>273651</v>
      </c>
      <c r="D378" s="10">
        <f>Таблица2[[#This Row],[Декабрь]]-Таблица2[[#This Row],[Сумма реализации (с возвратами)]]</f>
        <v>125188</v>
      </c>
    </row>
    <row r="379" spans="1:4" s="1" customFormat="1" ht="10.95" customHeight="1" x14ac:dyDescent="0.2">
      <c r="A379" s="2" t="s">
        <v>361</v>
      </c>
      <c r="B379" s="3">
        <v>39580</v>
      </c>
      <c r="C379" s="1">
        <f>IFERROR(VLOOKUP(Таблица2[[#This Row],[Контрагент]],Таблица1[],2,0),0)</f>
        <v>87800</v>
      </c>
      <c r="D379" s="10">
        <f>Таблица2[[#This Row],[Декабрь]]-Таблица2[[#This Row],[Сумма реализации (с возвратами)]]</f>
        <v>48220</v>
      </c>
    </row>
    <row r="380" spans="1:4" s="1" customFormat="1" ht="10.95" customHeight="1" x14ac:dyDescent="0.2">
      <c r="A380" s="2" t="s">
        <v>983</v>
      </c>
      <c r="B380" s="3">
        <v>47870</v>
      </c>
      <c r="C380" s="1">
        <f>IFERROR(VLOOKUP(Таблица2[[#This Row],[Контрагент]],Таблица1[],2,0),0)</f>
        <v>0</v>
      </c>
      <c r="D380" s="10">
        <f>Таблица2[[#This Row],[Декабрь]]-Таблица2[[#This Row],[Сумма реализации (с возвратами)]]</f>
        <v>-47870</v>
      </c>
    </row>
    <row r="381" spans="1:4" s="1" customFormat="1" ht="10.95" customHeight="1" x14ac:dyDescent="0.2">
      <c r="A381" s="2" t="s">
        <v>362</v>
      </c>
      <c r="B381" s="3">
        <v>112675</v>
      </c>
      <c r="C381" s="1">
        <f>IFERROR(VLOOKUP(Таблица2[[#This Row],[Контрагент]],Таблица1[],2,0),0)</f>
        <v>99745</v>
      </c>
      <c r="D381" s="10">
        <f>Таблица2[[#This Row],[Декабрь]]-Таблица2[[#This Row],[Сумма реализации (с возвратами)]]</f>
        <v>-12930</v>
      </c>
    </row>
    <row r="382" spans="1:4" s="1" customFormat="1" ht="10.95" customHeight="1" x14ac:dyDescent="0.2">
      <c r="A382" s="2" t="s">
        <v>363</v>
      </c>
      <c r="B382" s="3">
        <v>201400</v>
      </c>
      <c r="C382" s="1">
        <f>IFERROR(VLOOKUP(Таблица2[[#This Row],[Контрагент]],Таблица1[],2,0),0)</f>
        <v>94930</v>
      </c>
      <c r="D382" s="10">
        <f>Таблица2[[#This Row],[Декабрь]]-Таблица2[[#This Row],[Сумма реализации (с возвратами)]]</f>
        <v>-106470</v>
      </c>
    </row>
    <row r="383" spans="1:4" s="1" customFormat="1" ht="10.95" customHeight="1" x14ac:dyDescent="0.2">
      <c r="A383" s="2" t="s">
        <v>984</v>
      </c>
      <c r="B383" s="3">
        <v>10020</v>
      </c>
      <c r="C383" s="1">
        <f>IFERROR(VLOOKUP(Таблица2[[#This Row],[Контрагент]],Таблица1[],2,0),0)</f>
        <v>0</v>
      </c>
      <c r="D383" s="10">
        <f>Таблица2[[#This Row],[Декабрь]]-Таблица2[[#This Row],[Сумма реализации (с возвратами)]]</f>
        <v>-10020</v>
      </c>
    </row>
    <row r="384" spans="1:4" s="1" customFormat="1" ht="10.95" customHeight="1" x14ac:dyDescent="0.2">
      <c r="A384" s="2" t="s">
        <v>364</v>
      </c>
      <c r="B384" s="3">
        <v>228920</v>
      </c>
      <c r="C384" s="1">
        <f>IFERROR(VLOOKUP(Таблица2[[#This Row],[Контрагент]],Таблица1[],2,0),0)</f>
        <v>105480</v>
      </c>
      <c r="D384" s="10">
        <f>Таблица2[[#This Row],[Декабрь]]-Таблица2[[#This Row],[Сумма реализации (с возвратами)]]</f>
        <v>-123440</v>
      </c>
    </row>
    <row r="385" spans="1:4" s="1" customFormat="1" ht="10.95" customHeight="1" x14ac:dyDescent="0.2">
      <c r="A385" s="2" t="s">
        <v>985</v>
      </c>
      <c r="B385" s="3">
        <v>920198</v>
      </c>
      <c r="C385" s="1">
        <f>IFERROR(VLOOKUP(Таблица2[[#This Row],[Контрагент]],Таблица1[],2,0),0)</f>
        <v>0</v>
      </c>
      <c r="D385" s="10">
        <f>Таблица2[[#This Row],[Декабрь]]-Таблица2[[#This Row],[Сумма реализации (с возвратами)]]</f>
        <v>-920198</v>
      </c>
    </row>
    <row r="386" spans="1:4" s="1" customFormat="1" ht="10.95" customHeight="1" x14ac:dyDescent="0.2">
      <c r="A386" s="2" t="s">
        <v>368</v>
      </c>
      <c r="B386" s="3">
        <v>116393</v>
      </c>
      <c r="C386" s="1">
        <f>IFERROR(VLOOKUP(Таблица2[[#This Row],[Контрагент]],Таблица1[],2,0),0)</f>
        <v>6820</v>
      </c>
      <c r="D386" s="10">
        <f>Таблица2[[#This Row],[Декабрь]]-Таблица2[[#This Row],[Сумма реализации (с возвратами)]]</f>
        <v>-109573</v>
      </c>
    </row>
    <row r="387" spans="1:4" s="1" customFormat="1" ht="10.95" customHeight="1" x14ac:dyDescent="0.2">
      <c r="A387" s="2" t="s">
        <v>986</v>
      </c>
      <c r="B387" s="3">
        <v>7120</v>
      </c>
      <c r="C387" s="1">
        <f>IFERROR(VLOOKUP(Таблица2[[#This Row],[Контрагент]],Таблица1[],2,0),0)</f>
        <v>0</v>
      </c>
      <c r="D387" s="10">
        <f>Таблица2[[#This Row],[Декабрь]]-Таблица2[[#This Row],[Сумма реализации (с возвратами)]]</f>
        <v>-7120</v>
      </c>
    </row>
    <row r="388" spans="1:4" s="1" customFormat="1" ht="10.95" customHeight="1" x14ac:dyDescent="0.2">
      <c r="A388" s="2" t="s">
        <v>369</v>
      </c>
      <c r="B388" s="3">
        <v>11820</v>
      </c>
      <c r="C388" s="1">
        <f>IFERROR(VLOOKUP(Таблица2[[#This Row],[Контрагент]],Таблица1[],2,0),0)</f>
        <v>10000</v>
      </c>
      <c r="D388" s="10">
        <f>Таблица2[[#This Row],[Декабрь]]-Таблица2[[#This Row],[Сумма реализации (с возвратами)]]</f>
        <v>-1820</v>
      </c>
    </row>
    <row r="389" spans="1:4" s="1" customFormat="1" ht="10.95" customHeight="1" x14ac:dyDescent="0.2">
      <c r="A389" s="2" t="s">
        <v>370</v>
      </c>
      <c r="B389" s="3">
        <v>12160</v>
      </c>
      <c r="C389" s="1">
        <f>IFERROR(VLOOKUP(Таблица2[[#This Row],[Контрагент]],Таблица1[],2,0),0)</f>
        <v>43820</v>
      </c>
      <c r="D389" s="10">
        <f>Таблица2[[#This Row],[Декабрь]]-Таблица2[[#This Row],[Сумма реализации (с возвратами)]]</f>
        <v>31660</v>
      </c>
    </row>
    <row r="390" spans="1:4" s="1" customFormat="1" ht="10.95" customHeight="1" x14ac:dyDescent="0.2">
      <c r="A390" s="2" t="s">
        <v>371</v>
      </c>
      <c r="B390" s="3">
        <v>7961110</v>
      </c>
      <c r="C390" s="1">
        <f>IFERROR(VLOOKUP(Таблица2[[#This Row],[Контрагент]],Таблица1[],2,0),0)</f>
        <v>6883431</v>
      </c>
      <c r="D390" s="10">
        <f>Таблица2[[#This Row],[Декабрь]]-Таблица2[[#This Row],[Сумма реализации (с возвратами)]]</f>
        <v>-1077679</v>
      </c>
    </row>
    <row r="391" spans="1:4" s="1" customFormat="1" ht="10.95" customHeight="1" x14ac:dyDescent="0.2">
      <c r="A391" s="2" t="s">
        <v>374</v>
      </c>
      <c r="B391" s="3">
        <v>162932</v>
      </c>
      <c r="C391" s="1">
        <f>IFERROR(VLOOKUP(Таблица2[[#This Row],[Контрагент]],Таблица1[],2,0),0)</f>
        <v>135870</v>
      </c>
      <c r="D391" s="10">
        <f>Таблица2[[#This Row],[Декабрь]]-Таблица2[[#This Row],[Сумма реализации (с возвратами)]]</f>
        <v>-27062</v>
      </c>
    </row>
    <row r="392" spans="1:4" s="1" customFormat="1" ht="10.95" customHeight="1" x14ac:dyDescent="0.2">
      <c r="A392" s="2" t="s">
        <v>376</v>
      </c>
      <c r="B392" s="3">
        <v>141975</v>
      </c>
      <c r="C392" s="1">
        <f>IFERROR(VLOOKUP(Таблица2[[#This Row],[Контрагент]],Таблица1[],2,0),0)</f>
        <v>86455</v>
      </c>
      <c r="D392" s="10">
        <f>Таблица2[[#This Row],[Декабрь]]-Таблица2[[#This Row],[Сумма реализации (с возвратами)]]</f>
        <v>-55520</v>
      </c>
    </row>
    <row r="393" spans="1:4" s="1" customFormat="1" ht="10.95" customHeight="1" x14ac:dyDescent="0.2">
      <c r="A393" s="2" t="s">
        <v>377</v>
      </c>
      <c r="B393" s="3">
        <v>369350</v>
      </c>
      <c r="C393" s="1">
        <f>IFERROR(VLOOKUP(Таблица2[[#This Row],[Контрагент]],Таблица1[],2,0),0)</f>
        <v>517045</v>
      </c>
      <c r="D393" s="10">
        <f>Таблица2[[#This Row],[Декабрь]]-Таблица2[[#This Row],[Сумма реализации (с возвратами)]]</f>
        <v>147695</v>
      </c>
    </row>
    <row r="394" spans="1:4" s="1" customFormat="1" ht="10.95" customHeight="1" x14ac:dyDescent="0.2">
      <c r="A394" s="2" t="s">
        <v>987</v>
      </c>
      <c r="B394" s="3">
        <v>76540</v>
      </c>
      <c r="C394" s="1">
        <f>IFERROR(VLOOKUP(Таблица2[[#This Row],[Контрагент]],Таблица1[],2,0),0)</f>
        <v>0</v>
      </c>
      <c r="D394" s="10">
        <f>Таблица2[[#This Row],[Декабрь]]-Таблица2[[#This Row],[Сумма реализации (с возвратами)]]</f>
        <v>-76540</v>
      </c>
    </row>
    <row r="395" spans="1:4" s="1" customFormat="1" ht="10.95" customHeight="1" x14ac:dyDescent="0.2">
      <c r="A395" s="2" t="s">
        <v>988</v>
      </c>
      <c r="B395" s="3">
        <v>45650</v>
      </c>
      <c r="C395" s="1">
        <f>IFERROR(VLOOKUP(Таблица2[[#This Row],[Контрагент]],Таблица1[],2,0),0)</f>
        <v>0</v>
      </c>
      <c r="D395" s="10">
        <f>Таблица2[[#This Row],[Декабрь]]-Таблица2[[#This Row],[Сумма реализации (с возвратами)]]</f>
        <v>-45650</v>
      </c>
    </row>
    <row r="396" spans="1:4" s="1" customFormat="1" ht="10.95" customHeight="1" x14ac:dyDescent="0.2">
      <c r="A396" s="2" t="s">
        <v>378</v>
      </c>
      <c r="B396" s="3">
        <v>11310</v>
      </c>
      <c r="C396" s="1">
        <f>IFERROR(VLOOKUP(Таблица2[[#This Row],[Контрагент]],Таблица1[],2,0),0)</f>
        <v>11520</v>
      </c>
      <c r="D396" s="10">
        <f>Таблица2[[#This Row],[Декабрь]]-Таблица2[[#This Row],[Сумма реализации (с возвратами)]]</f>
        <v>210</v>
      </c>
    </row>
    <row r="397" spans="1:4" s="1" customFormat="1" ht="10.95" customHeight="1" x14ac:dyDescent="0.2">
      <c r="A397" s="2" t="s">
        <v>989</v>
      </c>
      <c r="B397" s="3">
        <v>84310</v>
      </c>
      <c r="C397" s="1">
        <f>IFERROR(VLOOKUP(Таблица2[[#This Row],[Контрагент]],Таблица1[],2,0),0)</f>
        <v>0</v>
      </c>
      <c r="D397" s="10">
        <f>Таблица2[[#This Row],[Декабрь]]-Таблица2[[#This Row],[Сумма реализации (с возвратами)]]</f>
        <v>-84310</v>
      </c>
    </row>
    <row r="398" spans="1:4" s="1" customFormat="1" ht="10.95" customHeight="1" x14ac:dyDescent="0.2">
      <c r="A398" s="2" t="s">
        <v>379</v>
      </c>
      <c r="B398" s="3">
        <v>118120</v>
      </c>
      <c r="C398" s="1">
        <f>IFERROR(VLOOKUP(Таблица2[[#This Row],[Контрагент]],Таблица1[],2,0),0)</f>
        <v>106460</v>
      </c>
      <c r="D398" s="10">
        <f>Таблица2[[#This Row],[Декабрь]]-Таблица2[[#This Row],[Сумма реализации (с возвратами)]]</f>
        <v>-11660</v>
      </c>
    </row>
    <row r="399" spans="1:4" s="1" customFormat="1" ht="10.95" customHeight="1" x14ac:dyDescent="0.2">
      <c r="A399" s="2" t="s">
        <v>380</v>
      </c>
      <c r="B399" s="3">
        <v>135323</v>
      </c>
      <c r="C399" s="1">
        <f>IFERROR(VLOOKUP(Таблица2[[#This Row],[Контрагент]],Таблица1[],2,0),0)</f>
        <v>162295</v>
      </c>
      <c r="D399" s="10">
        <f>Таблица2[[#This Row],[Декабрь]]-Таблица2[[#This Row],[Сумма реализации (с возвратами)]]</f>
        <v>26972</v>
      </c>
    </row>
    <row r="400" spans="1:4" s="1" customFormat="1" ht="10.95" customHeight="1" x14ac:dyDescent="0.2">
      <c r="A400" s="2" t="s">
        <v>381</v>
      </c>
      <c r="B400" s="3">
        <v>59321</v>
      </c>
      <c r="C400" s="1">
        <f>IFERROR(VLOOKUP(Таблица2[[#This Row],[Контрагент]],Таблица1[],2,0),0)</f>
        <v>133270</v>
      </c>
      <c r="D400" s="10">
        <f>Таблица2[[#This Row],[Декабрь]]-Таблица2[[#This Row],[Сумма реализации (с возвратами)]]</f>
        <v>73949</v>
      </c>
    </row>
    <row r="401" spans="1:4" s="1" customFormat="1" ht="10.95" customHeight="1" x14ac:dyDescent="0.2">
      <c r="A401" s="2" t="s">
        <v>382</v>
      </c>
      <c r="B401" s="3">
        <v>63844</v>
      </c>
      <c r="C401" s="1">
        <f>IFERROR(VLOOKUP(Таблица2[[#This Row],[Контрагент]],Таблица1[],2,0),0)</f>
        <v>143995</v>
      </c>
      <c r="D401" s="10">
        <f>Таблица2[[#This Row],[Декабрь]]-Таблица2[[#This Row],[Сумма реализации (с возвратами)]]</f>
        <v>80151</v>
      </c>
    </row>
    <row r="402" spans="1:4" s="1" customFormat="1" ht="10.95" customHeight="1" x14ac:dyDescent="0.2">
      <c r="A402" s="2" t="s">
        <v>383</v>
      </c>
      <c r="B402" s="3">
        <v>28110</v>
      </c>
      <c r="C402" s="1">
        <f>IFERROR(VLOOKUP(Таблица2[[#This Row],[Контрагент]],Таблица1[],2,0),0)</f>
        <v>43590</v>
      </c>
      <c r="D402" s="10">
        <f>Таблица2[[#This Row],[Декабрь]]-Таблица2[[#This Row],[Сумма реализации (с возвратами)]]</f>
        <v>15480</v>
      </c>
    </row>
    <row r="403" spans="1:4" s="1" customFormat="1" ht="10.95" customHeight="1" x14ac:dyDescent="0.2">
      <c r="A403" s="2" t="s">
        <v>384</v>
      </c>
      <c r="B403" s="3">
        <v>54284</v>
      </c>
      <c r="C403" s="1">
        <f>IFERROR(VLOOKUP(Таблица2[[#This Row],[Контрагент]],Таблица1[],2,0),0)</f>
        <v>53286</v>
      </c>
      <c r="D403" s="10">
        <f>Таблица2[[#This Row],[Декабрь]]-Таблица2[[#This Row],[Сумма реализации (с возвратами)]]</f>
        <v>-998</v>
      </c>
    </row>
    <row r="404" spans="1:4" s="1" customFormat="1" ht="10.95" customHeight="1" x14ac:dyDescent="0.2">
      <c r="A404" s="2" t="s">
        <v>990</v>
      </c>
      <c r="B404" s="3">
        <v>18910</v>
      </c>
      <c r="C404" s="1">
        <f>IFERROR(VLOOKUP(Таблица2[[#This Row],[Контрагент]],Таблица1[],2,0),0)</f>
        <v>0</v>
      </c>
      <c r="D404" s="10">
        <f>Таблица2[[#This Row],[Декабрь]]-Таблица2[[#This Row],[Сумма реализации (с возвратами)]]</f>
        <v>-18910</v>
      </c>
    </row>
    <row r="405" spans="1:4" s="1" customFormat="1" ht="10.95" customHeight="1" x14ac:dyDescent="0.2">
      <c r="A405" s="2" t="s">
        <v>991</v>
      </c>
      <c r="B405" s="3">
        <v>37454</v>
      </c>
      <c r="C405" s="1">
        <f>IFERROR(VLOOKUP(Таблица2[[#This Row],[Контрагент]],Таблица1[],2,0),0)</f>
        <v>0</v>
      </c>
      <c r="D405" s="10">
        <f>Таблица2[[#This Row],[Декабрь]]-Таблица2[[#This Row],[Сумма реализации (с возвратами)]]</f>
        <v>-37454</v>
      </c>
    </row>
    <row r="406" spans="1:4" s="1" customFormat="1" ht="10.95" customHeight="1" x14ac:dyDescent="0.2">
      <c r="A406" s="2" t="s">
        <v>385</v>
      </c>
      <c r="B406" s="3">
        <v>1122380</v>
      </c>
      <c r="C406" s="1">
        <f>IFERROR(VLOOKUP(Таблица2[[#This Row],[Контрагент]],Таблица1[],2,0),0)</f>
        <v>1302194</v>
      </c>
      <c r="D406" s="10">
        <f>Таблица2[[#This Row],[Декабрь]]-Таблица2[[#This Row],[Сумма реализации (с возвратами)]]</f>
        <v>179814</v>
      </c>
    </row>
    <row r="407" spans="1:4" s="1" customFormat="1" ht="10.95" customHeight="1" x14ac:dyDescent="0.2">
      <c r="A407" s="2" t="s">
        <v>992</v>
      </c>
      <c r="B407" s="3">
        <v>28270</v>
      </c>
      <c r="C407" s="1">
        <f>IFERROR(VLOOKUP(Таблица2[[#This Row],[Контрагент]],Таблица1[],2,0),0)</f>
        <v>0</v>
      </c>
      <c r="D407" s="10">
        <f>Таблица2[[#This Row],[Декабрь]]-Таблица2[[#This Row],[Сумма реализации (с возвратами)]]</f>
        <v>-28270</v>
      </c>
    </row>
    <row r="408" spans="1:4" s="1" customFormat="1" ht="10.95" customHeight="1" x14ac:dyDescent="0.2">
      <c r="A408" s="2" t="s">
        <v>386</v>
      </c>
      <c r="B408" s="3">
        <v>31910</v>
      </c>
      <c r="C408" s="1">
        <f>IFERROR(VLOOKUP(Таблица2[[#This Row],[Контрагент]],Таблица1[],2,0),0)</f>
        <v>36000</v>
      </c>
      <c r="D408" s="10">
        <f>Таблица2[[#This Row],[Декабрь]]-Таблица2[[#This Row],[Сумма реализации (с возвратами)]]</f>
        <v>4090</v>
      </c>
    </row>
    <row r="409" spans="1:4" s="1" customFormat="1" ht="10.95" customHeight="1" x14ac:dyDescent="0.2">
      <c r="A409" s="2" t="s">
        <v>388</v>
      </c>
      <c r="B409" s="3">
        <v>15060</v>
      </c>
      <c r="C409" s="1">
        <f>IFERROR(VLOOKUP(Таблица2[[#This Row],[Контрагент]],Таблица1[],2,0),0)</f>
        <v>33800</v>
      </c>
      <c r="D409" s="10">
        <f>Таблица2[[#This Row],[Декабрь]]-Таблица2[[#This Row],[Сумма реализации (с возвратами)]]</f>
        <v>18740</v>
      </c>
    </row>
    <row r="410" spans="1:4" s="1" customFormat="1" ht="10.95" customHeight="1" x14ac:dyDescent="0.2">
      <c r="A410" s="2" t="s">
        <v>391</v>
      </c>
      <c r="B410" s="3">
        <v>9540</v>
      </c>
      <c r="C410" s="1">
        <f>IFERROR(VLOOKUP(Таблица2[[#This Row],[Контрагент]],Таблица1[],2,0),0)</f>
        <v>21220</v>
      </c>
      <c r="D410" s="10">
        <f>Таблица2[[#This Row],[Декабрь]]-Таблица2[[#This Row],[Сумма реализации (с возвратами)]]</f>
        <v>11680</v>
      </c>
    </row>
    <row r="411" spans="1:4" s="1" customFormat="1" ht="10.95" customHeight="1" x14ac:dyDescent="0.2">
      <c r="A411" s="2" t="s">
        <v>394</v>
      </c>
      <c r="B411" s="3">
        <v>3700</v>
      </c>
      <c r="C411" s="1">
        <f>IFERROR(VLOOKUP(Таблица2[[#This Row],[Контрагент]],Таблица1[],2,0),0)</f>
        <v>19270</v>
      </c>
      <c r="D411" s="10">
        <f>Таблица2[[#This Row],[Декабрь]]-Таблица2[[#This Row],[Сумма реализации (с возвратами)]]</f>
        <v>15570</v>
      </c>
    </row>
    <row r="412" spans="1:4" s="1" customFormat="1" ht="10.95" customHeight="1" x14ac:dyDescent="0.2">
      <c r="A412" s="2" t="s">
        <v>993</v>
      </c>
      <c r="B412" s="3">
        <v>75840</v>
      </c>
      <c r="C412" s="1">
        <f>IFERROR(VLOOKUP(Таблица2[[#This Row],[Контрагент]],Таблица1[],2,0),0)</f>
        <v>0</v>
      </c>
      <c r="D412" s="10">
        <f>Таблица2[[#This Row],[Декабрь]]-Таблица2[[#This Row],[Сумма реализации (с возвратами)]]</f>
        <v>-75840</v>
      </c>
    </row>
    <row r="413" spans="1:4" s="1" customFormat="1" ht="10.95" customHeight="1" x14ac:dyDescent="0.2">
      <c r="A413" s="2" t="s">
        <v>994</v>
      </c>
      <c r="B413" s="3">
        <v>277255</v>
      </c>
      <c r="C413" s="1">
        <f>IFERROR(VLOOKUP(Таблица2[[#This Row],[Контрагент]],Таблица1[],2,0),0)</f>
        <v>0</v>
      </c>
      <c r="D413" s="10">
        <f>Таблица2[[#This Row],[Декабрь]]-Таблица2[[#This Row],[Сумма реализации (с возвратами)]]</f>
        <v>-277255</v>
      </c>
    </row>
    <row r="414" spans="1:4" s="1" customFormat="1" ht="10.95" customHeight="1" x14ac:dyDescent="0.2">
      <c r="A414" s="2" t="s">
        <v>396</v>
      </c>
      <c r="B414" s="3">
        <v>120400</v>
      </c>
      <c r="C414" s="1">
        <f>IFERROR(VLOOKUP(Таблица2[[#This Row],[Контрагент]],Таблица1[],2,0),0)</f>
        <v>94280</v>
      </c>
      <c r="D414" s="10">
        <f>Таблица2[[#This Row],[Декабрь]]-Таблица2[[#This Row],[Сумма реализации (с возвратами)]]</f>
        <v>-26120</v>
      </c>
    </row>
    <row r="415" spans="1:4" s="1" customFormat="1" ht="10.95" customHeight="1" x14ac:dyDescent="0.2">
      <c r="A415" s="2" t="s">
        <v>397</v>
      </c>
      <c r="B415" s="3">
        <v>1399122</v>
      </c>
      <c r="C415" s="1">
        <f>IFERROR(VLOOKUP(Таблица2[[#This Row],[Контрагент]],Таблица1[],2,0),0)</f>
        <v>1523126</v>
      </c>
      <c r="D415" s="10">
        <f>Таблица2[[#This Row],[Декабрь]]-Таблица2[[#This Row],[Сумма реализации (с возвратами)]]</f>
        <v>124004</v>
      </c>
    </row>
    <row r="416" spans="1:4" s="1" customFormat="1" ht="10.95" customHeight="1" x14ac:dyDescent="0.2">
      <c r="A416" s="2" t="s">
        <v>398</v>
      </c>
      <c r="B416" s="3">
        <v>1108623</v>
      </c>
      <c r="C416" s="1">
        <f>IFERROR(VLOOKUP(Таблица2[[#This Row],[Контрагент]],Таблица1[],2,0),0)</f>
        <v>821904</v>
      </c>
      <c r="D416" s="10">
        <f>Таблица2[[#This Row],[Декабрь]]-Таблица2[[#This Row],[Сумма реализации (с возвратами)]]</f>
        <v>-286719</v>
      </c>
    </row>
    <row r="417" spans="1:4" s="1" customFormat="1" ht="10.95" customHeight="1" x14ac:dyDescent="0.2">
      <c r="A417" s="2" t="s">
        <v>399</v>
      </c>
      <c r="B417" s="3">
        <v>67800</v>
      </c>
      <c r="C417" s="1">
        <f>IFERROR(VLOOKUP(Таблица2[[#This Row],[Контрагент]],Таблица1[],2,0),0)</f>
        <v>20520</v>
      </c>
      <c r="D417" s="10">
        <f>Таблица2[[#This Row],[Декабрь]]-Таблица2[[#This Row],[Сумма реализации (с возвратами)]]</f>
        <v>-47280</v>
      </c>
    </row>
    <row r="418" spans="1:4" s="1" customFormat="1" ht="10.95" customHeight="1" x14ac:dyDescent="0.2">
      <c r="A418" s="2" t="s">
        <v>400</v>
      </c>
      <c r="B418" s="3">
        <v>12825</v>
      </c>
      <c r="C418" s="1">
        <f>IFERROR(VLOOKUP(Таблица2[[#This Row],[Контрагент]],Таблица1[],2,0),0)</f>
        <v>10750</v>
      </c>
      <c r="D418" s="10">
        <f>Таблица2[[#This Row],[Декабрь]]-Таблица2[[#This Row],[Сумма реализации (с возвратами)]]</f>
        <v>-2075</v>
      </c>
    </row>
    <row r="419" spans="1:4" s="1" customFormat="1" ht="10.95" customHeight="1" x14ac:dyDescent="0.2">
      <c r="A419" s="2" t="s">
        <v>995</v>
      </c>
      <c r="B419" s="3">
        <v>67820</v>
      </c>
      <c r="C419" s="1">
        <f>IFERROR(VLOOKUP(Таблица2[[#This Row],[Контрагент]],Таблица1[],2,0),0)</f>
        <v>0</v>
      </c>
      <c r="D419" s="10">
        <f>Таблица2[[#This Row],[Декабрь]]-Таблица2[[#This Row],[Сумма реализации (с возвратами)]]</f>
        <v>-67820</v>
      </c>
    </row>
    <row r="420" spans="1:4" s="1" customFormat="1" ht="10.95" customHeight="1" x14ac:dyDescent="0.2">
      <c r="A420" s="2" t="s">
        <v>996</v>
      </c>
      <c r="B420" s="3">
        <v>13340</v>
      </c>
      <c r="C420" s="1">
        <f>IFERROR(VLOOKUP(Таблица2[[#This Row],[Контрагент]],Таблица1[],2,0),0)</f>
        <v>0</v>
      </c>
      <c r="D420" s="10">
        <f>Таблица2[[#This Row],[Декабрь]]-Таблица2[[#This Row],[Сумма реализации (с возвратами)]]</f>
        <v>-13340</v>
      </c>
    </row>
    <row r="421" spans="1:4" s="1" customFormat="1" ht="10.95" customHeight="1" x14ac:dyDescent="0.2">
      <c r="A421" s="2" t="s">
        <v>997</v>
      </c>
      <c r="B421" s="3">
        <v>10680</v>
      </c>
      <c r="C421" s="1">
        <f>IFERROR(VLOOKUP(Таблица2[[#This Row],[Контрагент]],Таблица1[],2,0),0)</f>
        <v>0</v>
      </c>
      <c r="D421" s="10">
        <f>Таблица2[[#This Row],[Декабрь]]-Таблица2[[#This Row],[Сумма реализации (с возвратами)]]</f>
        <v>-10680</v>
      </c>
    </row>
    <row r="422" spans="1:4" s="1" customFormat="1" ht="10.95" customHeight="1" x14ac:dyDescent="0.2">
      <c r="A422" s="2" t="s">
        <v>401</v>
      </c>
      <c r="B422" s="3">
        <v>118760</v>
      </c>
      <c r="C422" s="1">
        <f>IFERROR(VLOOKUP(Таблица2[[#This Row],[Контрагент]],Таблица1[],2,0),0)</f>
        <v>121843</v>
      </c>
      <c r="D422" s="10">
        <f>Таблица2[[#This Row],[Декабрь]]-Таблица2[[#This Row],[Сумма реализации (с возвратами)]]</f>
        <v>3083</v>
      </c>
    </row>
    <row r="423" spans="1:4" s="1" customFormat="1" ht="10.95" customHeight="1" x14ac:dyDescent="0.2">
      <c r="A423" s="2" t="s">
        <v>402</v>
      </c>
      <c r="B423" s="3">
        <v>193793</v>
      </c>
      <c r="C423" s="1">
        <f>IFERROR(VLOOKUP(Таблица2[[#This Row],[Контрагент]],Таблица1[],2,0),0)</f>
        <v>350173</v>
      </c>
      <c r="D423" s="10">
        <f>Таблица2[[#This Row],[Декабрь]]-Таблица2[[#This Row],[Сумма реализации (с возвратами)]]</f>
        <v>156380</v>
      </c>
    </row>
    <row r="424" spans="1:4" s="1" customFormat="1" ht="10.95" customHeight="1" x14ac:dyDescent="0.2">
      <c r="A424" s="2" t="s">
        <v>403</v>
      </c>
      <c r="B424" s="3">
        <v>371580</v>
      </c>
      <c r="C424" s="1">
        <f>IFERROR(VLOOKUP(Таблица2[[#This Row],[Контрагент]],Таблица1[],2,0),0)</f>
        <v>459640</v>
      </c>
      <c r="D424" s="10">
        <f>Таблица2[[#This Row],[Декабрь]]-Таблица2[[#This Row],[Сумма реализации (с возвратами)]]</f>
        <v>88060</v>
      </c>
    </row>
    <row r="425" spans="1:4" s="1" customFormat="1" ht="10.95" customHeight="1" x14ac:dyDescent="0.2">
      <c r="A425" s="2" t="s">
        <v>998</v>
      </c>
      <c r="B425" s="3">
        <v>85585</v>
      </c>
      <c r="C425" s="1">
        <f>IFERROR(VLOOKUP(Таблица2[[#This Row],[Контрагент]],Таблица1[],2,0),0)</f>
        <v>0</v>
      </c>
      <c r="D425" s="10">
        <f>Таблица2[[#This Row],[Декабрь]]-Таблица2[[#This Row],[Сумма реализации (с возвратами)]]</f>
        <v>-85585</v>
      </c>
    </row>
    <row r="426" spans="1:4" s="1" customFormat="1" ht="10.95" customHeight="1" x14ac:dyDescent="0.2">
      <c r="A426" s="2" t="s">
        <v>999</v>
      </c>
      <c r="B426" s="3">
        <v>45650</v>
      </c>
      <c r="C426" s="1">
        <f>IFERROR(VLOOKUP(Таблица2[[#This Row],[Контрагент]],Таблица1[],2,0),0)</f>
        <v>0</v>
      </c>
      <c r="D426" s="10">
        <f>Таблица2[[#This Row],[Декабрь]]-Таблица2[[#This Row],[Сумма реализации (с возвратами)]]</f>
        <v>-45650</v>
      </c>
    </row>
    <row r="427" spans="1:4" s="1" customFormat="1" ht="10.95" customHeight="1" x14ac:dyDescent="0.2">
      <c r="A427" s="2" t="s">
        <v>406</v>
      </c>
      <c r="B427" s="3">
        <v>70620</v>
      </c>
      <c r="C427" s="1">
        <f>IFERROR(VLOOKUP(Таблица2[[#This Row],[Контрагент]],Таблица1[],2,0),0)</f>
        <v>75140</v>
      </c>
      <c r="D427" s="10">
        <f>Таблица2[[#This Row],[Декабрь]]-Таблица2[[#This Row],[Сумма реализации (с возвратами)]]</f>
        <v>4520</v>
      </c>
    </row>
    <row r="428" spans="1:4" s="1" customFormat="1" ht="10.95" customHeight="1" x14ac:dyDescent="0.2">
      <c r="A428" s="2" t="s">
        <v>1000</v>
      </c>
      <c r="B428" s="3">
        <v>136550</v>
      </c>
      <c r="C428" s="1">
        <f>IFERROR(VLOOKUP(Таблица2[[#This Row],[Контрагент]],Таблица1[],2,0),0)</f>
        <v>0</v>
      </c>
      <c r="D428" s="10">
        <f>Таблица2[[#This Row],[Декабрь]]-Таблица2[[#This Row],[Сумма реализации (с возвратами)]]</f>
        <v>-136550</v>
      </c>
    </row>
    <row r="429" spans="1:4" s="1" customFormat="1" ht="10.95" customHeight="1" x14ac:dyDescent="0.2">
      <c r="A429" s="2" t="s">
        <v>407</v>
      </c>
      <c r="B429" s="3">
        <v>7940</v>
      </c>
      <c r="C429" s="1">
        <f>IFERROR(VLOOKUP(Таблица2[[#This Row],[Контрагент]],Таблица1[],2,0),0)</f>
        <v>7519</v>
      </c>
      <c r="D429" s="10">
        <f>Таблица2[[#This Row],[Декабрь]]-Таблица2[[#This Row],[Сумма реализации (с возвратами)]]</f>
        <v>-421</v>
      </c>
    </row>
    <row r="430" spans="1:4" s="1" customFormat="1" ht="10.95" customHeight="1" x14ac:dyDescent="0.2">
      <c r="A430" s="2" t="s">
        <v>408</v>
      </c>
      <c r="B430" s="3">
        <v>15430</v>
      </c>
      <c r="C430" s="1">
        <f>IFERROR(VLOOKUP(Таблица2[[#This Row],[Контрагент]],Таблица1[],2,0),0)</f>
        <v>12540</v>
      </c>
      <c r="D430" s="10">
        <f>Таблица2[[#This Row],[Декабрь]]-Таблица2[[#This Row],[Сумма реализации (с возвратами)]]</f>
        <v>-2890</v>
      </c>
    </row>
    <row r="431" spans="1:4" s="1" customFormat="1" ht="10.95" customHeight="1" x14ac:dyDescent="0.2">
      <c r="A431" s="2" t="s">
        <v>409</v>
      </c>
      <c r="B431" s="3">
        <v>43380</v>
      </c>
      <c r="C431" s="1">
        <f>IFERROR(VLOOKUP(Таблица2[[#This Row],[Контрагент]],Таблица1[],2,0),0)</f>
        <v>64790</v>
      </c>
      <c r="D431" s="10">
        <f>Таблица2[[#This Row],[Декабрь]]-Таблица2[[#This Row],[Сумма реализации (с возвратами)]]</f>
        <v>21410</v>
      </c>
    </row>
    <row r="432" spans="1:4" s="1" customFormat="1" ht="10.95" customHeight="1" x14ac:dyDescent="0.2">
      <c r="A432" s="2" t="s">
        <v>410</v>
      </c>
      <c r="B432" s="3">
        <v>33710</v>
      </c>
      <c r="C432" s="1">
        <f>IFERROR(VLOOKUP(Таблица2[[#This Row],[Контрагент]],Таблица1[],2,0),0)</f>
        <v>55150</v>
      </c>
      <c r="D432" s="10">
        <f>Таблица2[[#This Row],[Декабрь]]-Таблица2[[#This Row],[Сумма реализации (с возвратами)]]</f>
        <v>21440</v>
      </c>
    </row>
    <row r="433" spans="1:4" s="1" customFormat="1" ht="10.95" customHeight="1" x14ac:dyDescent="0.2">
      <c r="A433" s="2" t="s">
        <v>411</v>
      </c>
      <c r="B433" s="3">
        <v>190640</v>
      </c>
      <c r="C433" s="1">
        <f>IFERROR(VLOOKUP(Таблица2[[#This Row],[Контрагент]],Таблица1[],2,0),0)</f>
        <v>323590</v>
      </c>
      <c r="D433" s="10">
        <f>Таблица2[[#This Row],[Декабрь]]-Таблица2[[#This Row],[Сумма реализации (с возвратами)]]</f>
        <v>132950</v>
      </c>
    </row>
    <row r="434" spans="1:4" s="1" customFormat="1" ht="10.95" customHeight="1" x14ac:dyDescent="0.2">
      <c r="A434" s="2" t="s">
        <v>412</v>
      </c>
      <c r="B434" s="3">
        <v>57870</v>
      </c>
      <c r="C434" s="1">
        <f>IFERROR(VLOOKUP(Таблица2[[#This Row],[Контрагент]],Таблица1[],2,0),0)</f>
        <v>17980</v>
      </c>
      <c r="D434" s="10">
        <f>Таблица2[[#This Row],[Декабрь]]-Таблица2[[#This Row],[Сумма реализации (с возвратами)]]</f>
        <v>-39890</v>
      </c>
    </row>
    <row r="435" spans="1:4" s="1" customFormat="1" ht="10.95" customHeight="1" x14ac:dyDescent="0.2">
      <c r="A435" s="2" t="s">
        <v>414</v>
      </c>
      <c r="B435" s="3">
        <v>99350</v>
      </c>
      <c r="C435" s="1">
        <f>IFERROR(VLOOKUP(Таблица2[[#This Row],[Контрагент]],Таблица1[],2,0),0)</f>
        <v>64450</v>
      </c>
      <c r="D435" s="10">
        <f>Таблица2[[#This Row],[Декабрь]]-Таблица2[[#This Row],[Сумма реализации (с возвратами)]]</f>
        <v>-34900</v>
      </c>
    </row>
    <row r="436" spans="1:4" s="1" customFormat="1" ht="10.95" customHeight="1" x14ac:dyDescent="0.2">
      <c r="A436" s="2" t="s">
        <v>1001</v>
      </c>
      <c r="B436" s="3">
        <v>11320</v>
      </c>
      <c r="C436" s="1">
        <f>IFERROR(VLOOKUP(Таблица2[[#This Row],[Контрагент]],Таблица1[],2,0),0)</f>
        <v>0</v>
      </c>
      <c r="D436" s="10">
        <f>Таблица2[[#This Row],[Декабрь]]-Таблица2[[#This Row],[Сумма реализации (с возвратами)]]</f>
        <v>-11320</v>
      </c>
    </row>
    <row r="437" spans="1:4" s="1" customFormat="1" ht="10.95" customHeight="1" x14ac:dyDescent="0.2">
      <c r="A437" s="2" t="s">
        <v>1002</v>
      </c>
      <c r="B437" s="3">
        <v>115943</v>
      </c>
      <c r="C437" s="1">
        <f>IFERROR(VLOOKUP(Таблица2[[#This Row],[Контрагент]],Таблица1[],2,0),0)</f>
        <v>0</v>
      </c>
      <c r="D437" s="10">
        <f>Таблица2[[#This Row],[Декабрь]]-Таблица2[[#This Row],[Сумма реализации (с возвратами)]]</f>
        <v>-115943</v>
      </c>
    </row>
    <row r="438" spans="1:4" s="1" customFormat="1" ht="10.95" customHeight="1" x14ac:dyDescent="0.2">
      <c r="A438" s="2" t="s">
        <v>415</v>
      </c>
      <c r="B438" s="3">
        <v>284880</v>
      </c>
      <c r="C438" s="1">
        <f>IFERROR(VLOOKUP(Таблица2[[#This Row],[Контрагент]],Таблица1[],2,0),0)</f>
        <v>276225</v>
      </c>
      <c r="D438" s="10">
        <f>Таблица2[[#This Row],[Декабрь]]-Таблица2[[#This Row],[Сумма реализации (с возвратами)]]</f>
        <v>-8655</v>
      </c>
    </row>
    <row r="439" spans="1:4" s="1" customFormat="1" ht="10.95" customHeight="1" x14ac:dyDescent="0.2">
      <c r="A439" s="2" t="s">
        <v>417</v>
      </c>
      <c r="B439" s="3">
        <v>22000</v>
      </c>
      <c r="C439" s="1">
        <f>IFERROR(VLOOKUP(Таблица2[[#This Row],[Контрагент]],Таблица1[],2,0),0)</f>
        <v>153255</v>
      </c>
      <c r="D439" s="10">
        <f>Таблица2[[#This Row],[Декабрь]]-Таблица2[[#This Row],[Сумма реализации (с возвратами)]]</f>
        <v>131255</v>
      </c>
    </row>
    <row r="440" spans="1:4" s="1" customFormat="1" ht="10.95" customHeight="1" x14ac:dyDescent="0.2">
      <c r="A440" s="2" t="s">
        <v>419</v>
      </c>
      <c r="B440" s="3">
        <v>230533</v>
      </c>
      <c r="C440" s="1">
        <f>IFERROR(VLOOKUP(Таблица2[[#This Row],[Контрагент]],Таблица1[],2,0),0)</f>
        <v>135312</v>
      </c>
      <c r="D440" s="10">
        <f>Таблица2[[#This Row],[Декабрь]]-Таблица2[[#This Row],[Сумма реализации (с возвратами)]]</f>
        <v>-95221</v>
      </c>
    </row>
    <row r="441" spans="1:4" s="1" customFormat="1" ht="10.95" customHeight="1" x14ac:dyDescent="0.2">
      <c r="A441" s="2" t="s">
        <v>420</v>
      </c>
      <c r="B441" s="3">
        <v>20000</v>
      </c>
      <c r="C441" s="1">
        <f>IFERROR(VLOOKUP(Таблица2[[#This Row],[Контрагент]],Таблица1[],2,0),0)</f>
        <v>20600</v>
      </c>
      <c r="D441" s="10">
        <f>Таблица2[[#This Row],[Декабрь]]-Таблица2[[#This Row],[Сумма реализации (с возвратами)]]</f>
        <v>600</v>
      </c>
    </row>
    <row r="442" spans="1:4" s="1" customFormat="1" ht="10.95" customHeight="1" x14ac:dyDescent="0.2">
      <c r="A442" s="2" t="s">
        <v>1003</v>
      </c>
      <c r="B442" s="3">
        <v>28595</v>
      </c>
      <c r="C442" s="1">
        <f>IFERROR(VLOOKUP(Таблица2[[#This Row],[Контрагент]],Таблица1[],2,0),0)</f>
        <v>0</v>
      </c>
      <c r="D442" s="10">
        <f>Таблица2[[#This Row],[Декабрь]]-Таблица2[[#This Row],[Сумма реализации (с возвратами)]]</f>
        <v>-28595</v>
      </c>
    </row>
    <row r="443" spans="1:4" s="1" customFormat="1" ht="10.95" customHeight="1" x14ac:dyDescent="0.2">
      <c r="A443" s="2" t="s">
        <v>421</v>
      </c>
      <c r="B443" s="3">
        <v>1834126</v>
      </c>
      <c r="C443" s="1">
        <f>IFERROR(VLOOKUP(Таблица2[[#This Row],[Контрагент]],Таблица1[],2,0),0)</f>
        <v>-380896</v>
      </c>
      <c r="D443" s="10">
        <f>Таблица2[[#This Row],[Декабрь]]-Таблица2[[#This Row],[Сумма реализации (с возвратами)]]</f>
        <v>-2215022</v>
      </c>
    </row>
    <row r="444" spans="1:4" s="1" customFormat="1" ht="10.95" customHeight="1" x14ac:dyDescent="0.2">
      <c r="A444" s="2" t="s">
        <v>1004</v>
      </c>
      <c r="B444" s="3">
        <v>293950</v>
      </c>
      <c r="C444" s="1">
        <f>IFERROR(VLOOKUP(Таблица2[[#This Row],[Контрагент]],Таблица1[],2,0),0)</f>
        <v>0</v>
      </c>
      <c r="D444" s="10">
        <f>Таблица2[[#This Row],[Декабрь]]-Таблица2[[#This Row],[Сумма реализации (с возвратами)]]</f>
        <v>-293950</v>
      </c>
    </row>
    <row r="445" spans="1:4" s="1" customFormat="1" ht="10.95" customHeight="1" x14ac:dyDescent="0.2">
      <c r="A445" s="2" t="s">
        <v>424</v>
      </c>
      <c r="B445" s="3">
        <v>57080</v>
      </c>
      <c r="C445" s="1">
        <f>IFERROR(VLOOKUP(Таблица2[[#This Row],[Контрагент]],Таблица1[],2,0),0)</f>
        <v>170810</v>
      </c>
      <c r="D445" s="10">
        <f>Таблица2[[#This Row],[Декабрь]]-Таблица2[[#This Row],[Сумма реализации (с возвратами)]]</f>
        <v>113730</v>
      </c>
    </row>
    <row r="446" spans="1:4" s="1" customFormat="1" ht="10.95" customHeight="1" x14ac:dyDescent="0.2">
      <c r="A446" s="2" t="s">
        <v>425</v>
      </c>
      <c r="B446" s="3">
        <v>162455</v>
      </c>
      <c r="C446" s="1">
        <f>IFERROR(VLOOKUP(Таблица2[[#This Row],[Контрагент]],Таблица1[],2,0),0)</f>
        <v>38970</v>
      </c>
      <c r="D446" s="10">
        <f>Таблица2[[#This Row],[Декабрь]]-Таблица2[[#This Row],[Сумма реализации (с возвратами)]]</f>
        <v>-123485</v>
      </c>
    </row>
    <row r="447" spans="1:4" s="1" customFormat="1" ht="10.95" customHeight="1" x14ac:dyDescent="0.2">
      <c r="A447" s="2" t="s">
        <v>1005</v>
      </c>
      <c r="B447" s="3">
        <v>23420</v>
      </c>
      <c r="C447" s="1">
        <f>IFERROR(VLOOKUP(Таблица2[[#This Row],[Контрагент]],Таблица1[],2,0),0)</f>
        <v>0</v>
      </c>
      <c r="D447" s="10">
        <f>Таблица2[[#This Row],[Декабрь]]-Таблица2[[#This Row],[Сумма реализации (с возвратами)]]</f>
        <v>-23420</v>
      </c>
    </row>
    <row r="448" spans="1:4" s="1" customFormat="1" ht="10.95" customHeight="1" x14ac:dyDescent="0.2">
      <c r="A448" s="2" t="s">
        <v>426</v>
      </c>
      <c r="B448" s="3">
        <v>639821</v>
      </c>
      <c r="C448" s="1">
        <f>IFERROR(VLOOKUP(Таблица2[[#This Row],[Контрагент]],Таблица1[],2,0),0)</f>
        <v>694360</v>
      </c>
      <c r="D448" s="10">
        <f>Таблица2[[#This Row],[Декабрь]]-Таблица2[[#This Row],[Сумма реализации (с возвратами)]]</f>
        <v>54539</v>
      </c>
    </row>
    <row r="449" spans="1:4" s="1" customFormat="1" ht="10.95" customHeight="1" x14ac:dyDescent="0.2">
      <c r="A449" s="2" t="s">
        <v>1006</v>
      </c>
      <c r="B449" s="3">
        <v>85803</v>
      </c>
      <c r="C449" s="1">
        <f>IFERROR(VLOOKUP(Таблица2[[#This Row],[Контрагент]],Таблица1[],2,0),0)</f>
        <v>0</v>
      </c>
      <c r="D449" s="10">
        <f>Таблица2[[#This Row],[Декабрь]]-Таблица2[[#This Row],[Сумма реализации (с возвратами)]]</f>
        <v>-85803</v>
      </c>
    </row>
    <row r="450" spans="1:4" s="1" customFormat="1" ht="10.95" customHeight="1" x14ac:dyDescent="0.2">
      <c r="A450" s="2" t="s">
        <v>1007</v>
      </c>
      <c r="B450" s="3">
        <v>72135</v>
      </c>
      <c r="C450" s="1">
        <f>IFERROR(VLOOKUP(Таблица2[[#This Row],[Контрагент]],Таблица1[],2,0),0)</f>
        <v>0</v>
      </c>
      <c r="D450" s="10">
        <f>Таблица2[[#This Row],[Декабрь]]-Таблица2[[#This Row],[Сумма реализации (с возвратами)]]</f>
        <v>-72135</v>
      </c>
    </row>
    <row r="451" spans="1:4" s="1" customFormat="1" ht="10.95" customHeight="1" x14ac:dyDescent="0.2">
      <c r="A451" s="2" t="s">
        <v>430</v>
      </c>
      <c r="B451" s="3">
        <v>135750</v>
      </c>
      <c r="C451" s="1">
        <f>IFERROR(VLOOKUP(Таблица2[[#This Row],[Контрагент]],Таблица1[],2,0),0)</f>
        <v>35490</v>
      </c>
      <c r="D451" s="10">
        <f>Таблица2[[#This Row],[Декабрь]]-Таблица2[[#This Row],[Сумма реализации (с возвратами)]]</f>
        <v>-100260</v>
      </c>
    </row>
    <row r="452" spans="1:4" s="1" customFormat="1" ht="10.95" customHeight="1" x14ac:dyDescent="0.2">
      <c r="A452" s="2" t="s">
        <v>1008</v>
      </c>
      <c r="B452" s="3">
        <v>53990</v>
      </c>
      <c r="C452" s="1">
        <f>IFERROR(VLOOKUP(Таблица2[[#This Row],[Контрагент]],Таблица1[],2,0),0)</f>
        <v>0</v>
      </c>
      <c r="D452" s="10">
        <f>Таблица2[[#This Row],[Декабрь]]-Таблица2[[#This Row],[Сумма реализации (с возвратами)]]</f>
        <v>-53990</v>
      </c>
    </row>
    <row r="453" spans="1:4" s="1" customFormat="1" ht="10.95" customHeight="1" x14ac:dyDescent="0.2">
      <c r="A453" s="2" t="s">
        <v>431</v>
      </c>
      <c r="B453" s="3">
        <v>37080</v>
      </c>
      <c r="C453" s="1">
        <f>IFERROR(VLOOKUP(Таблица2[[#This Row],[Контрагент]],Таблица1[],2,0),0)</f>
        <v>46750</v>
      </c>
      <c r="D453" s="10">
        <f>Таблица2[[#This Row],[Декабрь]]-Таблица2[[#This Row],[Сумма реализации (с возвратами)]]</f>
        <v>9670</v>
      </c>
    </row>
    <row r="454" spans="1:4" s="1" customFormat="1" ht="10.95" customHeight="1" x14ac:dyDescent="0.2">
      <c r="A454" s="2" t="s">
        <v>432</v>
      </c>
      <c r="B454" s="3">
        <v>42600</v>
      </c>
      <c r="C454" s="1">
        <f>IFERROR(VLOOKUP(Таблица2[[#This Row],[Контрагент]],Таблица1[],2,0),0)</f>
        <v>188135</v>
      </c>
      <c r="D454" s="10">
        <f>Таблица2[[#This Row],[Декабрь]]-Таблица2[[#This Row],[Сумма реализации (с возвратами)]]</f>
        <v>145535</v>
      </c>
    </row>
    <row r="455" spans="1:4" s="1" customFormat="1" ht="10.95" customHeight="1" x14ac:dyDescent="0.2">
      <c r="A455" s="2" t="s">
        <v>433</v>
      </c>
      <c r="B455" s="3">
        <v>46670</v>
      </c>
      <c r="C455" s="1">
        <f>IFERROR(VLOOKUP(Таблица2[[#This Row],[Контрагент]],Таблица1[],2,0),0)</f>
        <v>28830</v>
      </c>
      <c r="D455" s="10">
        <f>Таблица2[[#This Row],[Декабрь]]-Таблица2[[#This Row],[Сумма реализации (с возвратами)]]</f>
        <v>-17840</v>
      </c>
    </row>
    <row r="456" spans="1:4" s="1" customFormat="1" ht="10.95" customHeight="1" x14ac:dyDescent="0.2">
      <c r="A456" s="2" t="s">
        <v>434</v>
      </c>
      <c r="B456" s="3">
        <v>232610</v>
      </c>
      <c r="C456" s="1">
        <f>IFERROR(VLOOKUP(Таблица2[[#This Row],[Контрагент]],Таблица1[],2,0),0)</f>
        <v>491130</v>
      </c>
      <c r="D456" s="10">
        <f>Таблица2[[#This Row],[Декабрь]]-Таблица2[[#This Row],[Сумма реализации (с возвратами)]]</f>
        <v>258520</v>
      </c>
    </row>
    <row r="457" spans="1:4" s="1" customFormat="1" ht="10.95" customHeight="1" x14ac:dyDescent="0.2">
      <c r="A457" s="2" t="s">
        <v>435</v>
      </c>
      <c r="B457" s="3">
        <v>136525</v>
      </c>
      <c r="C457" s="1">
        <f>IFERROR(VLOOKUP(Таблица2[[#This Row],[Контрагент]],Таблица1[],2,0),0)</f>
        <v>122280</v>
      </c>
      <c r="D457" s="10">
        <f>Таблица2[[#This Row],[Декабрь]]-Таблица2[[#This Row],[Сумма реализации (с возвратами)]]</f>
        <v>-14245</v>
      </c>
    </row>
    <row r="458" spans="1:4" s="1" customFormat="1" ht="10.95" customHeight="1" x14ac:dyDescent="0.2">
      <c r="A458" s="2" t="s">
        <v>436</v>
      </c>
      <c r="B458" s="3">
        <v>28280</v>
      </c>
      <c r="C458" s="1">
        <f>IFERROR(VLOOKUP(Таблица2[[#This Row],[Контрагент]],Таблица1[],2,0),0)</f>
        <v>62095</v>
      </c>
      <c r="D458" s="10">
        <f>Таблица2[[#This Row],[Декабрь]]-Таблица2[[#This Row],[Сумма реализации (с возвратами)]]</f>
        <v>33815</v>
      </c>
    </row>
    <row r="459" spans="1:4" s="1" customFormat="1" ht="10.95" customHeight="1" x14ac:dyDescent="0.2">
      <c r="A459" s="2" t="s">
        <v>437</v>
      </c>
      <c r="B459" s="3">
        <v>127340</v>
      </c>
      <c r="C459" s="1">
        <f>IFERROR(VLOOKUP(Таблица2[[#This Row],[Контрагент]],Таблица1[],2,0),0)</f>
        <v>121453</v>
      </c>
      <c r="D459" s="10">
        <f>Таблица2[[#This Row],[Декабрь]]-Таблица2[[#This Row],[Сумма реализации (с возвратами)]]</f>
        <v>-5887</v>
      </c>
    </row>
    <row r="460" spans="1:4" s="1" customFormat="1" ht="10.95" customHeight="1" x14ac:dyDescent="0.2">
      <c r="A460" s="2" t="s">
        <v>1009</v>
      </c>
      <c r="B460" s="3">
        <v>55965</v>
      </c>
      <c r="C460" s="1">
        <f>IFERROR(VLOOKUP(Таблица2[[#This Row],[Контрагент]],Таблица1[],2,0),0)</f>
        <v>0</v>
      </c>
      <c r="D460" s="10">
        <f>Таблица2[[#This Row],[Декабрь]]-Таблица2[[#This Row],[Сумма реализации (с возвратами)]]</f>
        <v>-55965</v>
      </c>
    </row>
    <row r="461" spans="1:4" s="1" customFormat="1" ht="10.95" customHeight="1" x14ac:dyDescent="0.2">
      <c r="A461" s="2" t="s">
        <v>442</v>
      </c>
      <c r="B461" s="3">
        <v>246375</v>
      </c>
      <c r="C461" s="1">
        <f>IFERROR(VLOOKUP(Таблица2[[#This Row],[Контрагент]],Таблица1[],2,0),0)</f>
        <v>123535</v>
      </c>
      <c r="D461" s="10">
        <f>Таблица2[[#This Row],[Декабрь]]-Таблица2[[#This Row],[Сумма реализации (с возвратами)]]</f>
        <v>-122840</v>
      </c>
    </row>
    <row r="462" spans="1:4" s="1" customFormat="1" ht="10.95" customHeight="1" x14ac:dyDescent="0.2">
      <c r="A462" s="2" t="s">
        <v>443</v>
      </c>
      <c r="B462" s="3">
        <v>361600</v>
      </c>
      <c r="C462" s="1">
        <f>IFERROR(VLOOKUP(Таблица2[[#This Row],[Контрагент]],Таблица1[],2,0),0)</f>
        <v>146950</v>
      </c>
      <c r="D462" s="10">
        <f>Таблица2[[#This Row],[Декабрь]]-Таблица2[[#This Row],[Сумма реализации (с возвратами)]]</f>
        <v>-214650</v>
      </c>
    </row>
    <row r="463" spans="1:4" s="1" customFormat="1" ht="10.95" customHeight="1" x14ac:dyDescent="0.2">
      <c r="A463" s="2" t="s">
        <v>445</v>
      </c>
      <c r="B463" s="3">
        <v>79930</v>
      </c>
      <c r="C463" s="1">
        <f>IFERROR(VLOOKUP(Таблица2[[#This Row],[Контрагент]],Таблица1[],2,0),0)</f>
        <v>51311</v>
      </c>
      <c r="D463" s="10">
        <f>Таблица2[[#This Row],[Декабрь]]-Таблица2[[#This Row],[Сумма реализации (с возвратами)]]</f>
        <v>-28619</v>
      </c>
    </row>
    <row r="464" spans="1:4" s="1" customFormat="1" ht="10.95" customHeight="1" x14ac:dyDescent="0.2">
      <c r="A464" s="2" t="s">
        <v>448</v>
      </c>
      <c r="B464" s="3">
        <v>404434</v>
      </c>
      <c r="C464" s="1">
        <f>IFERROR(VLOOKUP(Таблица2[[#This Row],[Контрагент]],Таблица1[],2,0),0)</f>
        <v>209093</v>
      </c>
      <c r="D464" s="10">
        <f>Таблица2[[#This Row],[Декабрь]]-Таблица2[[#This Row],[Сумма реализации (с возвратами)]]</f>
        <v>-195341</v>
      </c>
    </row>
    <row r="465" spans="1:4" s="1" customFormat="1" ht="10.95" customHeight="1" x14ac:dyDescent="0.2">
      <c r="A465" s="2" t="s">
        <v>451</v>
      </c>
      <c r="B465" s="3">
        <v>147290</v>
      </c>
      <c r="C465" s="1">
        <f>IFERROR(VLOOKUP(Таблица2[[#This Row],[Контрагент]],Таблица1[],2,0),0)</f>
        <v>183090</v>
      </c>
      <c r="D465" s="10">
        <f>Таблица2[[#This Row],[Декабрь]]-Таблица2[[#This Row],[Сумма реализации (с возвратами)]]</f>
        <v>35800</v>
      </c>
    </row>
    <row r="466" spans="1:4" s="1" customFormat="1" ht="10.95" customHeight="1" x14ac:dyDescent="0.2">
      <c r="A466" s="2" t="s">
        <v>452</v>
      </c>
      <c r="B466" s="3">
        <v>2607558.5</v>
      </c>
      <c r="C466" s="1">
        <f>IFERROR(VLOOKUP(Таблица2[[#This Row],[Контрагент]],Таблица1[],2,0),0)</f>
        <v>1654015.5</v>
      </c>
      <c r="D466" s="10">
        <f>Таблица2[[#This Row],[Декабрь]]-Таблица2[[#This Row],[Сумма реализации (с возвратами)]]</f>
        <v>-953543</v>
      </c>
    </row>
    <row r="467" spans="1:4" s="1" customFormat="1" ht="10.95" customHeight="1" x14ac:dyDescent="0.2">
      <c r="A467" s="2" t="s">
        <v>1010</v>
      </c>
      <c r="B467" s="3">
        <v>19875</v>
      </c>
      <c r="C467" s="1">
        <f>IFERROR(VLOOKUP(Таблица2[[#This Row],[Контрагент]],Таблица1[],2,0),0)</f>
        <v>0</v>
      </c>
      <c r="D467" s="10">
        <f>Таблица2[[#This Row],[Декабрь]]-Таблица2[[#This Row],[Сумма реализации (с возвратами)]]</f>
        <v>-19875</v>
      </c>
    </row>
    <row r="468" spans="1:4" s="1" customFormat="1" ht="10.95" customHeight="1" x14ac:dyDescent="0.2">
      <c r="A468" s="2" t="s">
        <v>1011</v>
      </c>
      <c r="B468" s="3">
        <v>22000</v>
      </c>
      <c r="C468" s="1">
        <f>IFERROR(VLOOKUP(Таблица2[[#This Row],[Контрагент]],Таблица1[],2,0),0)</f>
        <v>0</v>
      </c>
      <c r="D468" s="10">
        <f>Таблица2[[#This Row],[Декабрь]]-Таблица2[[#This Row],[Сумма реализации (с возвратами)]]</f>
        <v>-22000</v>
      </c>
    </row>
    <row r="469" spans="1:4" s="1" customFormat="1" ht="10.95" customHeight="1" x14ac:dyDescent="0.2">
      <c r="A469" s="2" t="s">
        <v>1012</v>
      </c>
      <c r="B469" s="3">
        <v>68530</v>
      </c>
      <c r="C469" s="1">
        <f>IFERROR(VLOOKUP(Таблица2[[#This Row],[Контрагент]],Таблица1[],2,0),0)</f>
        <v>0</v>
      </c>
      <c r="D469" s="10">
        <f>Таблица2[[#This Row],[Декабрь]]-Таблица2[[#This Row],[Сумма реализации (с возвратами)]]</f>
        <v>-68530</v>
      </c>
    </row>
    <row r="470" spans="1:4" s="1" customFormat="1" ht="10.95" customHeight="1" x14ac:dyDescent="0.2">
      <c r="A470" s="2" t="s">
        <v>453</v>
      </c>
      <c r="B470" s="3">
        <v>10605</v>
      </c>
      <c r="C470" s="1">
        <f>IFERROR(VLOOKUP(Таблица2[[#This Row],[Контрагент]],Таблица1[],2,0),0)</f>
        <v>53170</v>
      </c>
      <c r="D470" s="10">
        <f>Таблица2[[#This Row],[Декабрь]]-Таблица2[[#This Row],[Сумма реализации (с возвратами)]]</f>
        <v>42565</v>
      </c>
    </row>
    <row r="471" spans="1:4" s="1" customFormat="1" ht="10.95" customHeight="1" x14ac:dyDescent="0.2">
      <c r="A471" s="2" t="s">
        <v>454</v>
      </c>
      <c r="B471" s="3">
        <v>9300</v>
      </c>
      <c r="C471" s="1">
        <f>IFERROR(VLOOKUP(Таблица2[[#This Row],[Контрагент]],Таблица1[],2,0),0)</f>
        <v>86380</v>
      </c>
      <c r="D471" s="10">
        <f>Таблица2[[#This Row],[Декабрь]]-Таблица2[[#This Row],[Сумма реализации (с возвратами)]]</f>
        <v>77080</v>
      </c>
    </row>
    <row r="472" spans="1:4" s="1" customFormat="1" ht="10.95" customHeight="1" x14ac:dyDescent="0.2">
      <c r="A472" s="2" t="s">
        <v>455</v>
      </c>
      <c r="B472" s="3">
        <v>61520</v>
      </c>
      <c r="C472" s="1">
        <f>IFERROR(VLOOKUP(Таблица2[[#This Row],[Контрагент]],Таблица1[],2,0),0)</f>
        <v>31080</v>
      </c>
      <c r="D472" s="10">
        <f>Таблица2[[#This Row],[Декабрь]]-Таблица2[[#This Row],[Сумма реализации (с возвратами)]]</f>
        <v>-30440</v>
      </c>
    </row>
    <row r="473" spans="1:4" s="1" customFormat="1" ht="10.95" customHeight="1" x14ac:dyDescent="0.2">
      <c r="A473" s="2" t="s">
        <v>456</v>
      </c>
      <c r="B473" s="3">
        <v>1787795</v>
      </c>
      <c r="C473" s="1">
        <f>IFERROR(VLOOKUP(Таблица2[[#This Row],[Контрагент]],Таблица1[],2,0),0)</f>
        <v>589935</v>
      </c>
      <c r="D473" s="10">
        <f>Таблица2[[#This Row],[Декабрь]]-Таблица2[[#This Row],[Сумма реализации (с возвратами)]]</f>
        <v>-1197860</v>
      </c>
    </row>
    <row r="474" spans="1:4" s="1" customFormat="1" ht="10.95" customHeight="1" x14ac:dyDescent="0.2">
      <c r="A474" s="2" t="s">
        <v>458</v>
      </c>
      <c r="B474" s="3">
        <v>22980</v>
      </c>
      <c r="C474" s="1">
        <f>IFERROR(VLOOKUP(Таблица2[[#This Row],[Контрагент]],Таблица1[],2,0),0)</f>
        <v>112250</v>
      </c>
      <c r="D474" s="10">
        <f>Таблица2[[#This Row],[Декабрь]]-Таблица2[[#This Row],[Сумма реализации (с возвратами)]]</f>
        <v>89270</v>
      </c>
    </row>
    <row r="475" spans="1:4" s="1" customFormat="1" ht="10.95" customHeight="1" x14ac:dyDescent="0.2">
      <c r="A475" s="2" t="s">
        <v>1013</v>
      </c>
      <c r="B475" s="3">
        <v>133230</v>
      </c>
      <c r="C475" s="1">
        <f>IFERROR(VLOOKUP(Таблица2[[#This Row],[Контрагент]],Таблица1[],2,0),0)</f>
        <v>0</v>
      </c>
      <c r="D475" s="10">
        <f>Таблица2[[#This Row],[Декабрь]]-Таблица2[[#This Row],[Сумма реализации (с возвратами)]]</f>
        <v>-133230</v>
      </c>
    </row>
    <row r="476" spans="1:4" s="1" customFormat="1" ht="10.95" customHeight="1" x14ac:dyDescent="0.2">
      <c r="A476" s="2" t="s">
        <v>461</v>
      </c>
      <c r="B476" s="3">
        <v>1007490</v>
      </c>
      <c r="C476" s="1">
        <f>IFERROR(VLOOKUP(Таблица2[[#This Row],[Контрагент]],Таблица1[],2,0),0)</f>
        <v>1008980</v>
      </c>
      <c r="D476" s="10">
        <f>Таблица2[[#This Row],[Декабрь]]-Таблица2[[#This Row],[Сумма реализации (с возвратами)]]</f>
        <v>1490</v>
      </c>
    </row>
    <row r="477" spans="1:4" s="1" customFormat="1" ht="10.95" customHeight="1" x14ac:dyDescent="0.2">
      <c r="A477" s="2" t="s">
        <v>463</v>
      </c>
      <c r="B477" s="3">
        <v>147960</v>
      </c>
      <c r="C477" s="1">
        <f>IFERROR(VLOOKUP(Таблица2[[#This Row],[Контрагент]],Таблица1[],2,0),0)</f>
        <v>51300</v>
      </c>
      <c r="D477" s="10">
        <f>Таблица2[[#This Row],[Декабрь]]-Таблица2[[#This Row],[Сумма реализации (с возвратами)]]</f>
        <v>-96660</v>
      </c>
    </row>
    <row r="478" spans="1:4" s="1" customFormat="1" ht="10.95" customHeight="1" x14ac:dyDescent="0.2">
      <c r="A478" s="2" t="s">
        <v>1014</v>
      </c>
      <c r="B478" s="3">
        <v>133670</v>
      </c>
      <c r="C478" s="1">
        <f>IFERROR(VLOOKUP(Таблица2[[#This Row],[Контрагент]],Таблица1[],2,0),0)</f>
        <v>0</v>
      </c>
      <c r="D478" s="10">
        <f>Таблица2[[#This Row],[Декабрь]]-Таблица2[[#This Row],[Сумма реализации (с возвратами)]]</f>
        <v>-133670</v>
      </c>
    </row>
    <row r="479" spans="1:4" s="1" customFormat="1" ht="10.95" customHeight="1" x14ac:dyDescent="0.2">
      <c r="A479" s="2" t="s">
        <v>465</v>
      </c>
      <c r="B479" s="3">
        <v>122490</v>
      </c>
      <c r="C479" s="1">
        <f>IFERROR(VLOOKUP(Таблица2[[#This Row],[Контрагент]],Таблица1[],2,0),0)</f>
        <v>89385</v>
      </c>
      <c r="D479" s="10">
        <f>Таблица2[[#This Row],[Декабрь]]-Таблица2[[#This Row],[Сумма реализации (с возвратами)]]</f>
        <v>-33105</v>
      </c>
    </row>
    <row r="480" spans="1:4" s="1" customFormat="1" ht="10.95" customHeight="1" x14ac:dyDescent="0.2">
      <c r="A480" s="2" t="s">
        <v>1015</v>
      </c>
      <c r="B480" s="3">
        <v>8430</v>
      </c>
      <c r="C480" s="1">
        <f>IFERROR(VLOOKUP(Таблица2[[#This Row],[Контрагент]],Таблица1[],2,0),0)</f>
        <v>0</v>
      </c>
      <c r="D480" s="10">
        <f>Таблица2[[#This Row],[Декабрь]]-Таблица2[[#This Row],[Сумма реализации (с возвратами)]]</f>
        <v>-8430</v>
      </c>
    </row>
    <row r="481" spans="1:4" s="1" customFormat="1" ht="10.95" customHeight="1" x14ac:dyDescent="0.2">
      <c r="A481" s="2" t="s">
        <v>1016</v>
      </c>
      <c r="B481" s="3">
        <v>214200</v>
      </c>
      <c r="C481" s="1">
        <f>IFERROR(VLOOKUP(Таблица2[[#This Row],[Контрагент]],Таблица1[],2,0),0)</f>
        <v>0</v>
      </c>
      <c r="D481" s="10">
        <f>Таблица2[[#This Row],[Декабрь]]-Таблица2[[#This Row],[Сумма реализации (с возвратами)]]</f>
        <v>-214200</v>
      </c>
    </row>
    <row r="482" spans="1:4" s="1" customFormat="1" ht="10.95" customHeight="1" x14ac:dyDescent="0.2">
      <c r="A482" s="2" t="s">
        <v>467</v>
      </c>
      <c r="B482" s="3">
        <v>39110</v>
      </c>
      <c r="C482" s="1">
        <f>IFERROR(VLOOKUP(Таблица2[[#This Row],[Контрагент]],Таблица1[],2,0),0)</f>
        <v>34030</v>
      </c>
      <c r="D482" s="10">
        <f>Таблица2[[#This Row],[Декабрь]]-Таблица2[[#This Row],[Сумма реализации (с возвратами)]]</f>
        <v>-5080</v>
      </c>
    </row>
    <row r="483" spans="1:4" s="1" customFormat="1" ht="10.95" customHeight="1" x14ac:dyDescent="0.2">
      <c r="A483" s="2" t="s">
        <v>1017</v>
      </c>
      <c r="B483" s="3">
        <v>130625</v>
      </c>
      <c r="C483" s="1">
        <f>IFERROR(VLOOKUP(Таблица2[[#This Row],[Контрагент]],Таблица1[],2,0),0)</f>
        <v>0</v>
      </c>
      <c r="D483" s="10">
        <f>Таблица2[[#This Row],[Декабрь]]-Таблица2[[#This Row],[Сумма реализации (с возвратами)]]</f>
        <v>-130625</v>
      </c>
    </row>
    <row r="484" spans="1:4" s="1" customFormat="1" ht="10.95" customHeight="1" x14ac:dyDescent="0.2">
      <c r="A484" s="2" t="s">
        <v>468</v>
      </c>
      <c r="B484" s="3">
        <v>1582455</v>
      </c>
      <c r="C484" s="1">
        <f>IFERROR(VLOOKUP(Таблица2[[#This Row],[Контрагент]],Таблица1[],2,0),0)</f>
        <v>2905339</v>
      </c>
      <c r="D484" s="10">
        <f>Таблица2[[#This Row],[Декабрь]]-Таблица2[[#This Row],[Сумма реализации (с возвратами)]]</f>
        <v>1322884</v>
      </c>
    </row>
    <row r="485" spans="1:4" s="1" customFormat="1" ht="10.95" customHeight="1" x14ac:dyDescent="0.2">
      <c r="A485" s="2" t="s">
        <v>469</v>
      </c>
      <c r="B485" s="3">
        <v>258520</v>
      </c>
      <c r="C485" s="1">
        <f>IFERROR(VLOOKUP(Таблица2[[#This Row],[Контрагент]],Таблица1[],2,0),0)</f>
        <v>13540</v>
      </c>
      <c r="D485" s="10">
        <f>Таблица2[[#This Row],[Декабрь]]-Таблица2[[#This Row],[Сумма реализации (с возвратами)]]</f>
        <v>-244980</v>
      </c>
    </row>
    <row r="486" spans="1:4" s="1" customFormat="1" ht="10.95" customHeight="1" x14ac:dyDescent="0.2">
      <c r="A486" s="2" t="s">
        <v>1018</v>
      </c>
      <c r="B486" s="3">
        <v>90514</v>
      </c>
      <c r="C486" s="1">
        <f>IFERROR(VLOOKUP(Таблица2[[#This Row],[Контрагент]],Таблица1[],2,0),0)</f>
        <v>0</v>
      </c>
      <c r="D486" s="10">
        <f>Таблица2[[#This Row],[Декабрь]]-Таблица2[[#This Row],[Сумма реализации (с возвратами)]]</f>
        <v>-90514</v>
      </c>
    </row>
    <row r="487" spans="1:4" s="1" customFormat="1" ht="10.95" customHeight="1" x14ac:dyDescent="0.2">
      <c r="A487" s="2" t="s">
        <v>470</v>
      </c>
      <c r="B487" s="3">
        <v>90370</v>
      </c>
      <c r="C487" s="1">
        <f>IFERROR(VLOOKUP(Таблица2[[#This Row],[Контрагент]],Таблица1[],2,0),0)</f>
        <v>24930</v>
      </c>
      <c r="D487" s="10">
        <f>Таблица2[[#This Row],[Декабрь]]-Таблица2[[#This Row],[Сумма реализации (с возвратами)]]</f>
        <v>-65440</v>
      </c>
    </row>
    <row r="488" spans="1:4" s="1" customFormat="1" ht="10.95" customHeight="1" x14ac:dyDescent="0.2">
      <c r="A488" s="2" t="s">
        <v>472</v>
      </c>
      <c r="B488" s="3">
        <v>141013</v>
      </c>
      <c r="C488" s="1">
        <f>IFERROR(VLOOKUP(Таблица2[[#This Row],[Контрагент]],Таблица1[],2,0),0)</f>
        <v>15720</v>
      </c>
      <c r="D488" s="10">
        <f>Таблица2[[#This Row],[Декабрь]]-Таблица2[[#This Row],[Сумма реализации (с возвратами)]]</f>
        <v>-125293</v>
      </c>
    </row>
    <row r="489" spans="1:4" s="1" customFormat="1" ht="10.95" customHeight="1" x14ac:dyDescent="0.2">
      <c r="A489" s="2" t="s">
        <v>474</v>
      </c>
      <c r="B489" s="3">
        <v>40730</v>
      </c>
      <c r="C489" s="1">
        <f>IFERROR(VLOOKUP(Таблица2[[#This Row],[Контрагент]],Таблица1[],2,0),0)</f>
        <v>66490</v>
      </c>
      <c r="D489" s="10">
        <f>Таблица2[[#This Row],[Декабрь]]-Таблица2[[#This Row],[Сумма реализации (с возвратами)]]</f>
        <v>25760</v>
      </c>
    </row>
    <row r="490" spans="1:4" s="1" customFormat="1" ht="10.95" customHeight="1" x14ac:dyDescent="0.2">
      <c r="A490" s="2" t="s">
        <v>1019</v>
      </c>
      <c r="B490" s="3">
        <v>-104680</v>
      </c>
      <c r="C490" s="1">
        <f>IFERROR(VLOOKUP(Таблица2[[#This Row],[Контрагент]],Таблица1[],2,0),0)</f>
        <v>0</v>
      </c>
      <c r="D490" s="10">
        <f>Таблица2[[#This Row],[Декабрь]]-Таблица2[[#This Row],[Сумма реализации (с возвратами)]]</f>
        <v>104680</v>
      </c>
    </row>
    <row r="491" spans="1:4" s="1" customFormat="1" ht="10.95" customHeight="1" x14ac:dyDescent="0.2">
      <c r="A491" s="2" t="s">
        <v>475</v>
      </c>
      <c r="B491" s="3">
        <v>20030750</v>
      </c>
      <c r="C491" s="1">
        <f>IFERROR(VLOOKUP(Таблица2[[#This Row],[Контрагент]],Таблица1[],2,0),0)</f>
        <v>5805333</v>
      </c>
      <c r="D491" s="10">
        <f>Таблица2[[#This Row],[Декабрь]]-Таблица2[[#This Row],[Сумма реализации (с возвратами)]]</f>
        <v>-14225417</v>
      </c>
    </row>
    <row r="492" spans="1:4" s="1" customFormat="1" ht="10.95" customHeight="1" x14ac:dyDescent="0.2">
      <c r="A492" s="2" t="s">
        <v>1020</v>
      </c>
      <c r="B492" s="3">
        <v>28850</v>
      </c>
      <c r="C492" s="1">
        <f>IFERROR(VLOOKUP(Таблица2[[#This Row],[Контрагент]],Таблица1[],2,0),0)</f>
        <v>0</v>
      </c>
      <c r="D492" s="10">
        <f>Таблица2[[#This Row],[Декабрь]]-Таблица2[[#This Row],[Сумма реализации (с возвратами)]]</f>
        <v>-28850</v>
      </c>
    </row>
    <row r="493" spans="1:4" s="1" customFormat="1" ht="10.95" customHeight="1" x14ac:dyDescent="0.2">
      <c r="A493" s="2" t="s">
        <v>477</v>
      </c>
      <c r="B493" s="3">
        <v>383430</v>
      </c>
      <c r="C493" s="1">
        <f>IFERROR(VLOOKUP(Таблица2[[#This Row],[Контрагент]],Таблица1[],2,0),0)</f>
        <v>497995</v>
      </c>
      <c r="D493" s="10">
        <f>Таблица2[[#This Row],[Декабрь]]-Таблица2[[#This Row],[Сумма реализации (с возвратами)]]</f>
        <v>114565</v>
      </c>
    </row>
    <row r="494" spans="1:4" s="1" customFormat="1" ht="10.95" customHeight="1" x14ac:dyDescent="0.2">
      <c r="A494" s="2" t="s">
        <v>1021</v>
      </c>
      <c r="B494" s="3">
        <v>122130</v>
      </c>
      <c r="C494" s="1">
        <f>IFERROR(VLOOKUP(Таблица2[[#This Row],[Контрагент]],Таблица1[],2,0),0)</f>
        <v>0</v>
      </c>
      <c r="D494" s="10">
        <f>Таблица2[[#This Row],[Декабрь]]-Таблица2[[#This Row],[Сумма реализации (с возвратами)]]</f>
        <v>-122130</v>
      </c>
    </row>
    <row r="495" spans="1:4" s="1" customFormat="1" ht="10.95" customHeight="1" x14ac:dyDescent="0.2">
      <c r="A495" s="2" t="s">
        <v>1022</v>
      </c>
      <c r="B495" s="3">
        <v>125750</v>
      </c>
      <c r="C495" s="1">
        <f>IFERROR(VLOOKUP(Таблица2[[#This Row],[Контрагент]],Таблица1[],2,0),0)</f>
        <v>0</v>
      </c>
      <c r="D495" s="10">
        <f>Таблица2[[#This Row],[Декабрь]]-Таблица2[[#This Row],[Сумма реализации (с возвратами)]]</f>
        <v>-125750</v>
      </c>
    </row>
    <row r="496" spans="1:4" s="1" customFormat="1" ht="10.95" customHeight="1" x14ac:dyDescent="0.2">
      <c r="A496" s="2" t="s">
        <v>479</v>
      </c>
      <c r="B496" s="3">
        <v>62155</v>
      </c>
      <c r="C496" s="1">
        <f>IFERROR(VLOOKUP(Таблица2[[#This Row],[Контрагент]],Таблица1[],2,0),0)</f>
        <v>50760</v>
      </c>
      <c r="D496" s="10">
        <f>Таблица2[[#This Row],[Декабрь]]-Таблица2[[#This Row],[Сумма реализации (с возвратами)]]</f>
        <v>-11395</v>
      </c>
    </row>
    <row r="497" spans="1:4" s="1" customFormat="1" ht="10.95" customHeight="1" x14ac:dyDescent="0.2">
      <c r="A497" s="2" t="s">
        <v>480</v>
      </c>
      <c r="B497" s="3">
        <v>147710</v>
      </c>
      <c r="C497" s="1">
        <f>IFERROR(VLOOKUP(Таблица2[[#This Row],[Контрагент]],Таблица1[],2,0),0)</f>
        <v>13090</v>
      </c>
      <c r="D497" s="10">
        <f>Таблица2[[#This Row],[Декабрь]]-Таблица2[[#This Row],[Сумма реализации (с возвратами)]]</f>
        <v>-134620</v>
      </c>
    </row>
    <row r="498" spans="1:4" s="1" customFormat="1" ht="10.95" customHeight="1" x14ac:dyDescent="0.2">
      <c r="A498" s="2" t="s">
        <v>481</v>
      </c>
      <c r="B498" s="3">
        <v>152881</v>
      </c>
      <c r="C498" s="1">
        <f>IFERROR(VLOOKUP(Таблица2[[#This Row],[Контрагент]],Таблица1[],2,0),0)</f>
        <v>126808</v>
      </c>
      <c r="D498" s="10">
        <f>Таблица2[[#This Row],[Декабрь]]-Таблица2[[#This Row],[Сумма реализации (с возвратами)]]</f>
        <v>-26073</v>
      </c>
    </row>
    <row r="499" spans="1:4" s="1" customFormat="1" ht="10.95" customHeight="1" x14ac:dyDescent="0.2">
      <c r="A499" s="2" t="s">
        <v>482</v>
      </c>
      <c r="B499" s="3">
        <v>144430</v>
      </c>
      <c r="C499" s="1">
        <f>IFERROR(VLOOKUP(Таблица2[[#This Row],[Контрагент]],Таблица1[],2,0),0)</f>
        <v>110520</v>
      </c>
      <c r="D499" s="10">
        <f>Таблица2[[#This Row],[Декабрь]]-Таблица2[[#This Row],[Сумма реализации (с возвратами)]]</f>
        <v>-33910</v>
      </c>
    </row>
    <row r="500" spans="1:4" s="1" customFormat="1" ht="10.95" customHeight="1" x14ac:dyDescent="0.2">
      <c r="A500" s="2" t="s">
        <v>483</v>
      </c>
      <c r="B500" s="3">
        <v>136750</v>
      </c>
      <c r="C500" s="1">
        <f>IFERROR(VLOOKUP(Таблица2[[#This Row],[Контрагент]],Таблица1[],2,0),0)</f>
        <v>150910</v>
      </c>
      <c r="D500" s="10">
        <f>Таблица2[[#This Row],[Декабрь]]-Таблица2[[#This Row],[Сумма реализации (с возвратами)]]</f>
        <v>14160</v>
      </c>
    </row>
    <row r="501" spans="1:4" s="1" customFormat="1" ht="10.95" customHeight="1" x14ac:dyDescent="0.2">
      <c r="A501" s="2" t="s">
        <v>484</v>
      </c>
      <c r="B501" s="3">
        <v>858392</v>
      </c>
      <c r="C501" s="1">
        <f>IFERROR(VLOOKUP(Таблица2[[#This Row],[Контрагент]],Таблица1[],2,0),0)</f>
        <v>802070</v>
      </c>
      <c r="D501" s="10">
        <f>Таблица2[[#This Row],[Декабрь]]-Таблица2[[#This Row],[Сумма реализации (с возвратами)]]</f>
        <v>-56322</v>
      </c>
    </row>
    <row r="502" spans="1:4" s="1" customFormat="1" ht="10.95" customHeight="1" x14ac:dyDescent="0.2">
      <c r="A502" s="2" t="s">
        <v>1023</v>
      </c>
      <c r="B502" s="3">
        <v>215786</v>
      </c>
      <c r="C502" s="1">
        <f>IFERROR(VLOOKUP(Таблица2[[#This Row],[Контрагент]],Таблица1[],2,0),0)</f>
        <v>0</v>
      </c>
      <c r="D502" s="10">
        <f>Таблица2[[#This Row],[Декабрь]]-Таблица2[[#This Row],[Сумма реализации (с возвратами)]]</f>
        <v>-215786</v>
      </c>
    </row>
    <row r="503" spans="1:4" s="1" customFormat="1" ht="10.95" customHeight="1" x14ac:dyDescent="0.2">
      <c r="A503" s="2" t="s">
        <v>485</v>
      </c>
      <c r="B503" s="3">
        <v>26200</v>
      </c>
      <c r="C503" s="1">
        <f>IFERROR(VLOOKUP(Таблица2[[#This Row],[Контрагент]],Таблица1[],2,0),0)</f>
        <v>41150</v>
      </c>
      <c r="D503" s="10">
        <f>Таблица2[[#This Row],[Декабрь]]-Таблица2[[#This Row],[Сумма реализации (с возвратами)]]</f>
        <v>14950</v>
      </c>
    </row>
    <row r="504" spans="1:4" s="1" customFormat="1" ht="10.95" customHeight="1" x14ac:dyDescent="0.2">
      <c r="A504" s="2" t="s">
        <v>486</v>
      </c>
      <c r="B504" s="3">
        <v>27600</v>
      </c>
      <c r="C504" s="1">
        <f>IFERROR(VLOOKUP(Таблица2[[#This Row],[Контрагент]],Таблица1[],2,0),0)</f>
        <v>73290</v>
      </c>
      <c r="D504" s="10">
        <f>Таблица2[[#This Row],[Декабрь]]-Таблица2[[#This Row],[Сумма реализации (с возвратами)]]</f>
        <v>45690</v>
      </c>
    </row>
    <row r="505" spans="1:4" s="1" customFormat="1" ht="10.95" customHeight="1" x14ac:dyDescent="0.2">
      <c r="A505" s="2" t="s">
        <v>488</v>
      </c>
      <c r="B505" s="3">
        <v>983015</v>
      </c>
      <c r="C505" s="1">
        <f>IFERROR(VLOOKUP(Таблица2[[#This Row],[Контрагент]],Таблица1[],2,0),0)</f>
        <v>737745</v>
      </c>
      <c r="D505" s="10">
        <f>Таблица2[[#This Row],[Декабрь]]-Таблица2[[#This Row],[Сумма реализации (с возвратами)]]</f>
        <v>-245270</v>
      </c>
    </row>
    <row r="506" spans="1:4" s="1" customFormat="1" ht="10.95" customHeight="1" x14ac:dyDescent="0.2">
      <c r="A506" s="2" t="s">
        <v>492</v>
      </c>
      <c r="B506" s="3">
        <v>3258439</v>
      </c>
      <c r="C506" s="1">
        <f>IFERROR(VLOOKUP(Таблица2[[#This Row],[Контрагент]],Таблица1[],2,0),0)</f>
        <v>2528723</v>
      </c>
      <c r="D506" s="10">
        <f>Таблица2[[#This Row],[Декабрь]]-Таблица2[[#This Row],[Сумма реализации (с возвратами)]]</f>
        <v>-729716</v>
      </c>
    </row>
    <row r="507" spans="1:4" s="1" customFormat="1" ht="10.95" customHeight="1" x14ac:dyDescent="0.2">
      <c r="A507" s="2" t="s">
        <v>1024</v>
      </c>
      <c r="B507" s="3">
        <v>5000</v>
      </c>
      <c r="C507" s="1">
        <f>IFERROR(VLOOKUP(Таблица2[[#This Row],[Контрагент]],Таблица1[],2,0),0)</f>
        <v>0</v>
      </c>
      <c r="D507" s="10">
        <f>Таблица2[[#This Row],[Декабрь]]-Таблица2[[#This Row],[Сумма реализации (с возвратами)]]</f>
        <v>-5000</v>
      </c>
    </row>
    <row r="508" spans="1:4" s="1" customFormat="1" ht="10.95" customHeight="1" x14ac:dyDescent="0.2">
      <c r="A508" s="2" t="s">
        <v>1025</v>
      </c>
      <c r="B508" s="3">
        <v>20535</v>
      </c>
      <c r="C508" s="1">
        <f>IFERROR(VLOOKUP(Таблица2[[#This Row],[Контрагент]],Таблица1[],2,0),0)</f>
        <v>0</v>
      </c>
      <c r="D508" s="10">
        <f>Таблица2[[#This Row],[Декабрь]]-Таблица2[[#This Row],[Сумма реализации (с возвратами)]]</f>
        <v>-20535</v>
      </c>
    </row>
    <row r="509" spans="1:4" s="1" customFormat="1" ht="10.95" customHeight="1" x14ac:dyDescent="0.2">
      <c r="A509" s="2" t="s">
        <v>1026</v>
      </c>
      <c r="B509" s="3">
        <v>354241</v>
      </c>
      <c r="C509" s="1">
        <f>IFERROR(VLOOKUP(Таблица2[[#This Row],[Контрагент]],Таблица1[],2,0),0)</f>
        <v>0</v>
      </c>
      <c r="D509" s="10">
        <f>Таблица2[[#This Row],[Декабрь]]-Таблица2[[#This Row],[Сумма реализации (с возвратами)]]</f>
        <v>-354241</v>
      </c>
    </row>
    <row r="510" spans="1:4" s="1" customFormat="1" ht="10.95" customHeight="1" x14ac:dyDescent="0.2">
      <c r="A510" s="2" t="s">
        <v>496</v>
      </c>
      <c r="B510" s="3">
        <v>59580</v>
      </c>
      <c r="C510" s="1">
        <f>IFERROR(VLOOKUP(Таблица2[[#This Row],[Контрагент]],Таблица1[],2,0),0)</f>
        <v>70300</v>
      </c>
      <c r="D510" s="10">
        <f>Таблица2[[#This Row],[Декабрь]]-Таблица2[[#This Row],[Сумма реализации (с возвратами)]]</f>
        <v>10720</v>
      </c>
    </row>
    <row r="511" spans="1:4" s="1" customFormat="1" ht="10.95" customHeight="1" x14ac:dyDescent="0.2">
      <c r="A511" s="2" t="s">
        <v>1027</v>
      </c>
      <c r="B511" s="3">
        <v>20000</v>
      </c>
      <c r="C511" s="1">
        <f>IFERROR(VLOOKUP(Таблица2[[#This Row],[Контрагент]],Таблица1[],2,0),0)</f>
        <v>0</v>
      </c>
      <c r="D511" s="10">
        <f>Таблица2[[#This Row],[Декабрь]]-Таблица2[[#This Row],[Сумма реализации (с возвратами)]]</f>
        <v>-20000</v>
      </c>
    </row>
    <row r="512" spans="1:4" s="1" customFormat="1" ht="10.95" customHeight="1" x14ac:dyDescent="0.2">
      <c r="A512" s="2" t="s">
        <v>1028</v>
      </c>
      <c r="B512" s="3">
        <v>66000</v>
      </c>
      <c r="C512" s="1">
        <f>IFERROR(VLOOKUP(Таблица2[[#This Row],[Контрагент]],Таблица1[],2,0),0)</f>
        <v>0</v>
      </c>
      <c r="D512" s="10">
        <f>Таблица2[[#This Row],[Декабрь]]-Таблица2[[#This Row],[Сумма реализации (с возвратами)]]</f>
        <v>-66000</v>
      </c>
    </row>
    <row r="513" spans="1:4" s="1" customFormat="1" ht="10.95" customHeight="1" x14ac:dyDescent="0.2">
      <c r="A513" s="2" t="s">
        <v>1029</v>
      </c>
      <c r="B513" s="3">
        <v>50000</v>
      </c>
      <c r="C513" s="1">
        <f>IFERROR(VLOOKUP(Таблица2[[#This Row],[Контрагент]],Таблица1[],2,0),0)</f>
        <v>0</v>
      </c>
      <c r="D513" s="10">
        <f>Таблица2[[#This Row],[Декабрь]]-Таблица2[[#This Row],[Сумма реализации (с возвратами)]]</f>
        <v>-50000</v>
      </c>
    </row>
    <row r="514" spans="1:4" s="1" customFormat="1" ht="10.95" customHeight="1" x14ac:dyDescent="0.2">
      <c r="A514" s="2" t="s">
        <v>1030</v>
      </c>
      <c r="B514" s="3">
        <v>7500</v>
      </c>
      <c r="C514" s="1">
        <f>IFERROR(VLOOKUP(Таблица2[[#This Row],[Контрагент]],Таблица1[],2,0),0)</f>
        <v>0</v>
      </c>
      <c r="D514" s="10">
        <f>Таблица2[[#This Row],[Декабрь]]-Таблица2[[#This Row],[Сумма реализации (с возвратами)]]</f>
        <v>-7500</v>
      </c>
    </row>
    <row r="515" spans="1:4" s="1" customFormat="1" ht="10.95" customHeight="1" x14ac:dyDescent="0.2">
      <c r="A515" s="2" t="s">
        <v>497</v>
      </c>
      <c r="B515" s="3">
        <v>9570</v>
      </c>
      <c r="C515" s="1">
        <f>IFERROR(VLOOKUP(Таблица2[[#This Row],[Контрагент]],Таблица1[],2,0),0)</f>
        <v>25600</v>
      </c>
      <c r="D515" s="10">
        <f>Таблица2[[#This Row],[Декабрь]]-Таблица2[[#This Row],[Сумма реализации (с возвратами)]]</f>
        <v>16030</v>
      </c>
    </row>
    <row r="516" spans="1:4" s="1" customFormat="1" ht="10.95" customHeight="1" x14ac:dyDescent="0.2">
      <c r="A516" s="2" t="s">
        <v>498</v>
      </c>
      <c r="B516" s="3">
        <v>40980</v>
      </c>
      <c r="C516" s="1">
        <f>IFERROR(VLOOKUP(Таблица2[[#This Row],[Контрагент]],Таблица1[],2,0),0)</f>
        <v>13080</v>
      </c>
      <c r="D516" s="10">
        <f>Таблица2[[#This Row],[Декабрь]]-Таблица2[[#This Row],[Сумма реализации (с возвратами)]]</f>
        <v>-27900</v>
      </c>
    </row>
    <row r="517" spans="1:4" s="1" customFormat="1" ht="10.95" customHeight="1" x14ac:dyDescent="0.2">
      <c r="A517" s="2" t="s">
        <v>499</v>
      </c>
      <c r="B517" s="3">
        <v>808760</v>
      </c>
      <c r="C517" s="1">
        <f>IFERROR(VLOOKUP(Таблица2[[#This Row],[Контрагент]],Таблица1[],2,0),0)</f>
        <v>368520</v>
      </c>
      <c r="D517" s="10">
        <f>Таблица2[[#This Row],[Декабрь]]-Таблица2[[#This Row],[Сумма реализации (с возвратами)]]</f>
        <v>-440240</v>
      </c>
    </row>
    <row r="518" spans="1:4" s="1" customFormat="1" ht="10.95" customHeight="1" x14ac:dyDescent="0.2">
      <c r="A518" s="2" t="s">
        <v>501</v>
      </c>
      <c r="B518" s="3">
        <v>1580974</v>
      </c>
      <c r="C518" s="1">
        <f>IFERROR(VLOOKUP(Таблица2[[#This Row],[Контрагент]],Таблица1[],2,0),0)</f>
        <v>711580</v>
      </c>
      <c r="D518" s="10">
        <f>Таблица2[[#This Row],[Декабрь]]-Таблица2[[#This Row],[Сумма реализации (с возвратами)]]</f>
        <v>-869394</v>
      </c>
    </row>
    <row r="519" spans="1:4" s="1" customFormat="1" ht="10.95" customHeight="1" x14ac:dyDescent="0.2">
      <c r="A519" s="2" t="s">
        <v>502</v>
      </c>
      <c r="B519" s="3">
        <v>220785</v>
      </c>
      <c r="C519" s="1">
        <f>IFERROR(VLOOKUP(Таблица2[[#This Row],[Контрагент]],Таблица1[],2,0),0)</f>
        <v>402676</v>
      </c>
      <c r="D519" s="10">
        <f>Таблица2[[#This Row],[Декабрь]]-Таблица2[[#This Row],[Сумма реализации (с возвратами)]]</f>
        <v>181891</v>
      </c>
    </row>
    <row r="520" spans="1:4" s="1" customFormat="1" ht="10.95" customHeight="1" x14ac:dyDescent="0.2">
      <c r="A520" s="2" t="s">
        <v>1031</v>
      </c>
      <c r="B520" s="3">
        <v>137880</v>
      </c>
      <c r="C520" s="1">
        <f>IFERROR(VLOOKUP(Таблица2[[#This Row],[Контрагент]],Таблица1[],2,0),0)</f>
        <v>0</v>
      </c>
      <c r="D520" s="10">
        <f>Таблица2[[#This Row],[Декабрь]]-Таблица2[[#This Row],[Сумма реализации (с возвратами)]]</f>
        <v>-137880</v>
      </c>
    </row>
    <row r="521" spans="1:4" s="1" customFormat="1" ht="10.95" customHeight="1" x14ac:dyDescent="0.2">
      <c r="A521" s="2" t="s">
        <v>1032</v>
      </c>
      <c r="B521" s="3">
        <v>78170</v>
      </c>
      <c r="C521" s="1">
        <f>IFERROR(VLOOKUP(Таблица2[[#This Row],[Контрагент]],Таблица1[],2,0),0)</f>
        <v>0</v>
      </c>
      <c r="D521" s="10">
        <f>Таблица2[[#This Row],[Декабрь]]-Таблица2[[#This Row],[Сумма реализации (с возвратами)]]</f>
        <v>-78170</v>
      </c>
    </row>
    <row r="522" spans="1:4" s="1" customFormat="1" ht="10.95" customHeight="1" x14ac:dyDescent="0.2">
      <c r="A522" s="2" t="s">
        <v>1033</v>
      </c>
      <c r="B522" s="3">
        <v>99000</v>
      </c>
      <c r="C522" s="1">
        <f>IFERROR(VLOOKUP(Таблица2[[#This Row],[Контрагент]],Таблица1[],2,0),0)</f>
        <v>0</v>
      </c>
      <c r="D522" s="10">
        <f>Таблица2[[#This Row],[Декабрь]]-Таблица2[[#This Row],[Сумма реализации (с возвратами)]]</f>
        <v>-99000</v>
      </c>
    </row>
    <row r="523" spans="1:4" s="1" customFormat="1" ht="10.95" customHeight="1" x14ac:dyDescent="0.2">
      <c r="A523" s="2" t="s">
        <v>1034</v>
      </c>
      <c r="B523" s="3">
        <v>7380</v>
      </c>
      <c r="C523" s="1">
        <f>IFERROR(VLOOKUP(Таблица2[[#This Row],[Контрагент]],Таблица1[],2,0),0)</f>
        <v>0</v>
      </c>
      <c r="D523" s="10">
        <f>Таблица2[[#This Row],[Декабрь]]-Таблица2[[#This Row],[Сумма реализации (с возвратами)]]</f>
        <v>-7380</v>
      </c>
    </row>
    <row r="524" spans="1:4" s="1" customFormat="1" ht="10.95" customHeight="1" x14ac:dyDescent="0.2">
      <c r="A524" s="2" t="s">
        <v>503</v>
      </c>
      <c r="B524" s="3">
        <v>47540</v>
      </c>
      <c r="C524" s="1">
        <f>IFERROR(VLOOKUP(Таблица2[[#This Row],[Контрагент]],Таблица1[],2,0),0)</f>
        <v>29170</v>
      </c>
      <c r="D524" s="10">
        <f>Таблица2[[#This Row],[Декабрь]]-Таблица2[[#This Row],[Сумма реализации (с возвратами)]]</f>
        <v>-18370</v>
      </c>
    </row>
    <row r="525" spans="1:4" s="1" customFormat="1" ht="10.95" customHeight="1" x14ac:dyDescent="0.2">
      <c r="A525" s="2" t="s">
        <v>504</v>
      </c>
      <c r="B525" s="3">
        <v>125300</v>
      </c>
      <c r="C525" s="1">
        <f>IFERROR(VLOOKUP(Таблица2[[#This Row],[Контрагент]],Таблица1[],2,0),0)</f>
        <v>13900</v>
      </c>
      <c r="D525" s="10">
        <f>Таблица2[[#This Row],[Декабрь]]-Таблица2[[#This Row],[Сумма реализации (с возвратами)]]</f>
        <v>-111400</v>
      </c>
    </row>
    <row r="526" spans="1:4" s="1" customFormat="1" ht="10.95" customHeight="1" x14ac:dyDescent="0.2">
      <c r="A526" s="2" t="s">
        <v>505</v>
      </c>
      <c r="B526" s="3">
        <v>18640</v>
      </c>
      <c r="C526" s="1">
        <f>IFERROR(VLOOKUP(Таблица2[[#This Row],[Контрагент]],Таблица1[],2,0),0)</f>
        <v>85760</v>
      </c>
      <c r="D526" s="10">
        <f>Таблица2[[#This Row],[Декабрь]]-Таблица2[[#This Row],[Сумма реализации (с возвратами)]]</f>
        <v>67120</v>
      </c>
    </row>
    <row r="527" spans="1:4" s="1" customFormat="1" ht="10.95" customHeight="1" x14ac:dyDescent="0.2">
      <c r="A527" s="2" t="s">
        <v>506</v>
      </c>
      <c r="B527" s="3">
        <v>1245800</v>
      </c>
      <c r="C527" s="1">
        <f>IFERROR(VLOOKUP(Таблица2[[#This Row],[Контрагент]],Таблица1[],2,0),0)</f>
        <v>-841626</v>
      </c>
      <c r="D527" s="10">
        <f>Таблица2[[#This Row],[Декабрь]]-Таблица2[[#This Row],[Сумма реализации (с возвратами)]]</f>
        <v>-2087426</v>
      </c>
    </row>
    <row r="528" spans="1:4" s="1" customFormat="1" ht="10.95" customHeight="1" x14ac:dyDescent="0.2">
      <c r="A528" s="2" t="s">
        <v>508</v>
      </c>
      <c r="B528" s="3">
        <v>14410</v>
      </c>
      <c r="C528" s="1">
        <f>IFERROR(VLOOKUP(Таблица2[[#This Row],[Контрагент]],Таблица1[],2,0),0)</f>
        <v>5150</v>
      </c>
      <c r="D528" s="10">
        <f>Таблица2[[#This Row],[Декабрь]]-Таблица2[[#This Row],[Сумма реализации (с возвратами)]]</f>
        <v>-9260</v>
      </c>
    </row>
    <row r="529" spans="1:4" s="1" customFormat="1" ht="10.95" customHeight="1" x14ac:dyDescent="0.2">
      <c r="A529" s="2" t="s">
        <v>509</v>
      </c>
      <c r="B529" s="3">
        <v>88630</v>
      </c>
      <c r="C529" s="1">
        <f>IFERROR(VLOOKUP(Таблица2[[#This Row],[Контрагент]],Таблица1[],2,0),0)</f>
        <v>72080</v>
      </c>
      <c r="D529" s="10">
        <f>Таблица2[[#This Row],[Декабрь]]-Таблица2[[#This Row],[Сумма реализации (с возвратами)]]</f>
        <v>-16550</v>
      </c>
    </row>
    <row r="530" spans="1:4" s="1" customFormat="1" ht="10.95" customHeight="1" x14ac:dyDescent="0.2">
      <c r="A530" s="2" t="s">
        <v>510</v>
      </c>
      <c r="B530" s="3">
        <v>72340</v>
      </c>
      <c r="C530" s="1">
        <f>IFERROR(VLOOKUP(Таблица2[[#This Row],[Контрагент]],Таблица1[],2,0),0)</f>
        <v>58655</v>
      </c>
      <c r="D530" s="10">
        <f>Таблица2[[#This Row],[Декабрь]]-Таблица2[[#This Row],[Сумма реализации (с возвратами)]]</f>
        <v>-13685</v>
      </c>
    </row>
    <row r="531" spans="1:4" s="1" customFormat="1" ht="10.95" customHeight="1" x14ac:dyDescent="0.2">
      <c r="A531" s="2" t="s">
        <v>513</v>
      </c>
      <c r="B531" s="3">
        <v>13040</v>
      </c>
      <c r="C531" s="1">
        <f>IFERROR(VLOOKUP(Таблица2[[#This Row],[Контрагент]],Таблица1[],2,0),0)</f>
        <v>26850</v>
      </c>
      <c r="D531" s="10">
        <f>Таблица2[[#This Row],[Декабрь]]-Таблица2[[#This Row],[Сумма реализации (с возвратами)]]</f>
        <v>13810</v>
      </c>
    </row>
    <row r="532" spans="1:4" s="1" customFormat="1" ht="10.95" customHeight="1" x14ac:dyDescent="0.2">
      <c r="A532" s="2" t="s">
        <v>1035</v>
      </c>
      <c r="B532" s="3">
        <v>121800</v>
      </c>
      <c r="C532" s="1">
        <f>IFERROR(VLOOKUP(Таблица2[[#This Row],[Контрагент]],Таблица1[],2,0),0)</f>
        <v>0</v>
      </c>
      <c r="D532" s="10">
        <f>Таблица2[[#This Row],[Декабрь]]-Таблица2[[#This Row],[Сумма реализации (с возвратами)]]</f>
        <v>-121800</v>
      </c>
    </row>
    <row r="533" spans="1:4" s="1" customFormat="1" ht="10.95" customHeight="1" x14ac:dyDescent="0.2">
      <c r="A533" s="2" t="s">
        <v>515</v>
      </c>
      <c r="B533" s="3">
        <v>142300</v>
      </c>
      <c r="C533" s="1">
        <f>IFERROR(VLOOKUP(Таблица2[[#This Row],[Контрагент]],Таблица1[],2,0),0)</f>
        <v>201120</v>
      </c>
      <c r="D533" s="10">
        <f>Таблица2[[#This Row],[Декабрь]]-Таблица2[[#This Row],[Сумма реализации (с возвратами)]]</f>
        <v>58820</v>
      </c>
    </row>
    <row r="534" spans="1:4" s="1" customFormat="1" ht="10.95" customHeight="1" x14ac:dyDescent="0.2">
      <c r="A534" s="2" t="s">
        <v>1036</v>
      </c>
      <c r="B534" s="3">
        <v>8280</v>
      </c>
      <c r="C534" s="1">
        <f>IFERROR(VLOOKUP(Таблица2[[#This Row],[Контрагент]],Таблица1[],2,0),0)</f>
        <v>0</v>
      </c>
      <c r="D534" s="10">
        <f>Таблица2[[#This Row],[Декабрь]]-Таблица2[[#This Row],[Сумма реализации (с возвратами)]]</f>
        <v>-8280</v>
      </c>
    </row>
    <row r="535" spans="1:4" s="1" customFormat="1" ht="10.95" customHeight="1" x14ac:dyDescent="0.2">
      <c r="A535" s="2" t="s">
        <v>517</v>
      </c>
      <c r="B535" s="3">
        <v>60400</v>
      </c>
      <c r="C535" s="1">
        <f>IFERROR(VLOOKUP(Таблица2[[#This Row],[Контрагент]],Таблица1[],2,0),0)</f>
        <v>230810</v>
      </c>
      <c r="D535" s="10">
        <f>Таблица2[[#This Row],[Декабрь]]-Таблица2[[#This Row],[Сумма реализации (с возвратами)]]</f>
        <v>170410</v>
      </c>
    </row>
    <row r="536" spans="1:4" s="1" customFormat="1" ht="10.95" customHeight="1" x14ac:dyDescent="0.2">
      <c r="A536" s="2" t="s">
        <v>518</v>
      </c>
      <c r="B536" s="3">
        <v>45800</v>
      </c>
      <c r="C536" s="1">
        <f>IFERROR(VLOOKUP(Таблица2[[#This Row],[Контрагент]],Таблица1[],2,0),0)</f>
        <v>155580</v>
      </c>
      <c r="D536" s="10">
        <f>Таблица2[[#This Row],[Декабрь]]-Таблица2[[#This Row],[Сумма реализации (с возвратами)]]</f>
        <v>109780</v>
      </c>
    </row>
    <row r="537" spans="1:4" s="1" customFormat="1" ht="10.95" customHeight="1" x14ac:dyDescent="0.2">
      <c r="A537" s="2" t="s">
        <v>519</v>
      </c>
      <c r="B537" s="3">
        <v>62300</v>
      </c>
      <c r="C537" s="1">
        <f>IFERROR(VLOOKUP(Таблица2[[#This Row],[Контрагент]],Таблица1[],2,0),0)</f>
        <v>467066</v>
      </c>
      <c r="D537" s="10">
        <f>Таблица2[[#This Row],[Декабрь]]-Таблица2[[#This Row],[Сумма реализации (с возвратами)]]</f>
        <v>404766</v>
      </c>
    </row>
    <row r="538" spans="1:4" s="1" customFormat="1" ht="10.95" customHeight="1" x14ac:dyDescent="0.2">
      <c r="A538" s="2" t="s">
        <v>522</v>
      </c>
      <c r="B538" s="3">
        <v>1235760</v>
      </c>
      <c r="C538" s="1">
        <f>IFERROR(VLOOKUP(Таблица2[[#This Row],[Контрагент]],Таблица1[],2,0),0)</f>
        <v>76000</v>
      </c>
      <c r="D538" s="10">
        <f>Таблица2[[#This Row],[Декабрь]]-Таблица2[[#This Row],[Сумма реализации (с возвратами)]]</f>
        <v>-1159760</v>
      </c>
    </row>
    <row r="539" spans="1:4" s="1" customFormat="1" ht="10.95" customHeight="1" x14ac:dyDescent="0.2">
      <c r="A539" s="2" t="s">
        <v>523</v>
      </c>
      <c r="B539" s="3">
        <v>105145</v>
      </c>
      <c r="C539" s="1">
        <f>IFERROR(VLOOKUP(Таблица2[[#This Row],[Контрагент]],Таблица1[],2,0),0)</f>
        <v>178310</v>
      </c>
      <c r="D539" s="10">
        <f>Таблица2[[#This Row],[Декабрь]]-Таблица2[[#This Row],[Сумма реализации (с возвратами)]]</f>
        <v>73165</v>
      </c>
    </row>
    <row r="540" spans="1:4" s="1" customFormat="1" ht="10.95" customHeight="1" x14ac:dyDescent="0.2">
      <c r="A540" s="2" t="s">
        <v>526</v>
      </c>
      <c r="B540" s="3">
        <v>49755</v>
      </c>
      <c r="C540" s="1">
        <f>IFERROR(VLOOKUP(Таблица2[[#This Row],[Контрагент]],Таблица1[],2,0),0)</f>
        <v>50425</v>
      </c>
      <c r="D540" s="10">
        <f>Таблица2[[#This Row],[Декабрь]]-Таблица2[[#This Row],[Сумма реализации (с возвратами)]]</f>
        <v>670</v>
      </c>
    </row>
    <row r="541" spans="1:4" s="1" customFormat="1" ht="10.95" customHeight="1" x14ac:dyDescent="0.2">
      <c r="A541" s="2" t="s">
        <v>527</v>
      </c>
      <c r="B541" s="3">
        <v>120533</v>
      </c>
      <c r="C541" s="1">
        <f>IFERROR(VLOOKUP(Таблица2[[#This Row],[Контрагент]],Таблица1[],2,0),0)</f>
        <v>179990</v>
      </c>
      <c r="D541" s="10">
        <f>Таблица2[[#This Row],[Декабрь]]-Таблица2[[#This Row],[Сумма реализации (с возвратами)]]</f>
        <v>59457</v>
      </c>
    </row>
    <row r="542" spans="1:4" s="1" customFormat="1" ht="10.95" customHeight="1" x14ac:dyDescent="0.2">
      <c r="A542" s="2" t="s">
        <v>528</v>
      </c>
      <c r="B542" s="3">
        <v>238820</v>
      </c>
      <c r="C542" s="1">
        <f>IFERROR(VLOOKUP(Таблица2[[#This Row],[Контрагент]],Таблица1[],2,0),0)</f>
        <v>9400</v>
      </c>
      <c r="D542" s="10">
        <f>Таблица2[[#This Row],[Декабрь]]-Таблица2[[#This Row],[Сумма реализации (с возвратами)]]</f>
        <v>-229420</v>
      </c>
    </row>
    <row r="543" spans="1:4" s="1" customFormat="1" ht="10.95" customHeight="1" x14ac:dyDescent="0.2">
      <c r="A543" s="2" t="s">
        <v>531</v>
      </c>
      <c r="B543" s="3">
        <v>173090</v>
      </c>
      <c r="C543" s="1">
        <f>IFERROR(VLOOKUP(Таблица2[[#This Row],[Контрагент]],Таблица1[],2,0),0)</f>
        <v>210080</v>
      </c>
      <c r="D543" s="10">
        <f>Таблица2[[#This Row],[Декабрь]]-Таблица2[[#This Row],[Сумма реализации (с возвратами)]]</f>
        <v>36990</v>
      </c>
    </row>
    <row r="544" spans="1:4" s="1" customFormat="1" ht="10.95" customHeight="1" x14ac:dyDescent="0.2">
      <c r="A544" s="2" t="s">
        <v>532</v>
      </c>
      <c r="B544" s="3">
        <v>14300</v>
      </c>
      <c r="C544" s="1">
        <f>IFERROR(VLOOKUP(Таблица2[[#This Row],[Контрагент]],Таблица1[],2,0),0)</f>
        <v>20250</v>
      </c>
      <c r="D544" s="10">
        <f>Таблица2[[#This Row],[Декабрь]]-Таблица2[[#This Row],[Сумма реализации (с возвратами)]]</f>
        <v>5950</v>
      </c>
    </row>
    <row r="545" spans="1:4" s="1" customFormat="1" ht="10.95" customHeight="1" x14ac:dyDescent="0.2">
      <c r="A545" s="2" t="s">
        <v>1037</v>
      </c>
      <c r="B545" s="3">
        <v>195845</v>
      </c>
      <c r="C545" s="1">
        <f>IFERROR(VLOOKUP(Таблица2[[#This Row],[Контрагент]],Таблица1[],2,0),0)</f>
        <v>0</v>
      </c>
      <c r="D545" s="10">
        <f>Таблица2[[#This Row],[Декабрь]]-Таблица2[[#This Row],[Сумма реализации (с возвратами)]]</f>
        <v>-195845</v>
      </c>
    </row>
    <row r="546" spans="1:4" s="1" customFormat="1" ht="10.95" customHeight="1" x14ac:dyDescent="0.2">
      <c r="A546" s="2" t="s">
        <v>1038</v>
      </c>
      <c r="B546" s="3">
        <v>55390</v>
      </c>
      <c r="C546" s="1">
        <f>IFERROR(VLOOKUP(Таблица2[[#This Row],[Контрагент]],Таблица1[],2,0),0)</f>
        <v>0</v>
      </c>
      <c r="D546" s="10">
        <f>Таблица2[[#This Row],[Декабрь]]-Таблица2[[#This Row],[Сумма реализации (с возвратами)]]</f>
        <v>-55390</v>
      </c>
    </row>
    <row r="547" spans="1:4" s="1" customFormat="1" ht="10.95" customHeight="1" x14ac:dyDescent="0.2">
      <c r="A547" s="2" t="s">
        <v>1039</v>
      </c>
      <c r="B547" s="3">
        <v>21200</v>
      </c>
      <c r="C547" s="1">
        <f>IFERROR(VLOOKUP(Таблица2[[#This Row],[Контрагент]],Таблица1[],2,0),0)</f>
        <v>0</v>
      </c>
      <c r="D547" s="10">
        <f>Таблица2[[#This Row],[Декабрь]]-Таблица2[[#This Row],[Сумма реализации (с возвратами)]]</f>
        <v>-21200</v>
      </c>
    </row>
    <row r="548" spans="1:4" s="1" customFormat="1" ht="10.95" customHeight="1" x14ac:dyDescent="0.2">
      <c r="A548" s="2" t="s">
        <v>533</v>
      </c>
      <c r="B548" s="3">
        <v>18550</v>
      </c>
      <c r="C548" s="1">
        <f>IFERROR(VLOOKUP(Таблица2[[#This Row],[Контрагент]],Таблица1[],2,0),0)</f>
        <v>107880</v>
      </c>
      <c r="D548" s="10">
        <f>Таблица2[[#This Row],[Декабрь]]-Таблица2[[#This Row],[Сумма реализации (с возвратами)]]</f>
        <v>89330</v>
      </c>
    </row>
    <row r="549" spans="1:4" s="1" customFormat="1" ht="10.95" customHeight="1" x14ac:dyDescent="0.2">
      <c r="A549" s="2" t="s">
        <v>534</v>
      </c>
      <c r="B549" s="3">
        <v>119646</v>
      </c>
      <c r="C549" s="1">
        <f>IFERROR(VLOOKUP(Таблица2[[#This Row],[Контрагент]],Таблица1[],2,0),0)</f>
        <v>140175</v>
      </c>
      <c r="D549" s="10">
        <f>Таблица2[[#This Row],[Декабрь]]-Таблица2[[#This Row],[Сумма реализации (с возвратами)]]</f>
        <v>20529</v>
      </c>
    </row>
    <row r="550" spans="1:4" s="1" customFormat="1" ht="10.95" customHeight="1" x14ac:dyDescent="0.2">
      <c r="A550" s="2" t="s">
        <v>1040</v>
      </c>
      <c r="B550" s="3">
        <v>65940</v>
      </c>
      <c r="C550" s="1">
        <f>IFERROR(VLOOKUP(Таблица2[[#This Row],[Контрагент]],Таблица1[],2,0),0)</f>
        <v>0</v>
      </c>
      <c r="D550" s="10">
        <f>Таблица2[[#This Row],[Декабрь]]-Таблица2[[#This Row],[Сумма реализации (с возвратами)]]</f>
        <v>-65940</v>
      </c>
    </row>
    <row r="551" spans="1:4" s="1" customFormat="1" ht="10.95" customHeight="1" x14ac:dyDescent="0.2">
      <c r="A551" s="2" t="s">
        <v>536</v>
      </c>
      <c r="B551" s="3">
        <v>111673</v>
      </c>
      <c r="C551" s="1">
        <f>IFERROR(VLOOKUP(Таблица2[[#This Row],[Контрагент]],Таблица1[],2,0),0)</f>
        <v>56740</v>
      </c>
      <c r="D551" s="10">
        <f>Таблица2[[#This Row],[Декабрь]]-Таблица2[[#This Row],[Сумма реализации (с возвратами)]]</f>
        <v>-54933</v>
      </c>
    </row>
    <row r="552" spans="1:4" s="1" customFormat="1" ht="10.95" customHeight="1" x14ac:dyDescent="0.2">
      <c r="A552" s="2" t="s">
        <v>537</v>
      </c>
      <c r="B552" s="3">
        <v>181160</v>
      </c>
      <c r="C552" s="1">
        <f>IFERROR(VLOOKUP(Таблица2[[#This Row],[Контрагент]],Таблица1[],2,0),0)</f>
        <v>124150</v>
      </c>
      <c r="D552" s="10">
        <f>Таблица2[[#This Row],[Декабрь]]-Таблица2[[#This Row],[Сумма реализации (с возвратами)]]</f>
        <v>-57010</v>
      </c>
    </row>
    <row r="553" spans="1:4" s="1" customFormat="1" ht="10.95" customHeight="1" x14ac:dyDescent="0.2">
      <c r="A553" s="2" t="s">
        <v>1041</v>
      </c>
      <c r="B553" s="3">
        <v>5360</v>
      </c>
      <c r="C553" s="1">
        <f>IFERROR(VLOOKUP(Таблица2[[#This Row],[Контрагент]],Таблица1[],2,0),0)</f>
        <v>0</v>
      </c>
      <c r="D553" s="10">
        <f>Таблица2[[#This Row],[Декабрь]]-Таблица2[[#This Row],[Сумма реализации (с возвратами)]]</f>
        <v>-5360</v>
      </c>
    </row>
    <row r="554" spans="1:4" s="1" customFormat="1" ht="10.95" customHeight="1" x14ac:dyDescent="0.2">
      <c r="A554" s="2" t="s">
        <v>538</v>
      </c>
      <c r="B554" s="3">
        <v>480687</v>
      </c>
      <c r="C554" s="1">
        <f>IFERROR(VLOOKUP(Таблица2[[#This Row],[Контрагент]],Таблица1[],2,0),0)</f>
        <v>361751</v>
      </c>
      <c r="D554" s="10">
        <f>Таблица2[[#This Row],[Декабрь]]-Таблица2[[#This Row],[Сумма реализации (с возвратами)]]</f>
        <v>-118936</v>
      </c>
    </row>
    <row r="555" spans="1:4" s="1" customFormat="1" ht="10.95" customHeight="1" x14ac:dyDescent="0.2">
      <c r="A555" s="2" t="s">
        <v>539</v>
      </c>
      <c r="B555" s="3">
        <v>96345</v>
      </c>
      <c r="C555" s="1">
        <f>IFERROR(VLOOKUP(Таблица2[[#This Row],[Контрагент]],Таблица1[],2,0),0)</f>
        <v>214200</v>
      </c>
      <c r="D555" s="10">
        <f>Таблица2[[#This Row],[Декабрь]]-Таблица2[[#This Row],[Сумма реализации (с возвратами)]]</f>
        <v>117855</v>
      </c>
    </row>
    <row r="556" spans="1:4" s="1" customFormat="1" ht="10.95" customHeight="1" x14ac:dyDescent="0.2">
      <c r="A556" s="2" t="s">
        <v>541</v>
      </c>
      <c r="B556" s="3">
        <v>31840</v>
      </c>
      <c r="C556" s="1">
        <f>IFERROR(VLOOKUP(Таблица2[[#This Row],[Контрагент]],Таблица1[],2,0),0)</f>
        <v>64000</v>
      </c>
      <c r="D556" s="10">
        <f>Таблица2[[#This Row],[Декабрь]]-Таблица2[[#This Row],[Сумма реализации (с возвратами)]]</f>
        <v>32160</v>
      </c>
    </row>
    <row r="557" spans="1:4" s="1" customFormat="1" ht="10.95" customHeight="1" x14ac:dyDescent="0.2">
      <c r="A557" s="2" t="s">
        <v>542</v>
      </c>
      <c r="B557" s="3">
        <v>58560</v>
      </c>
      <c r="C557" s="1">
        <f>IFERROR(VLOOKUP(Таблица2[[#This Row],[Контрагент]],Таблица1[],2,0),0)</f>
        <v>57530</v>
      </c>
      <c r="D557" s="10">
        <f>Таблица2[[#This Row],[Декабрь]]-Таблица2[[#This Row],[Сумма реализации (с возвратами)]]</f>
        <v>-1030</v>
      </c>
    </row>
    <row r="558" spans="1:4" s="1" customFormat="1" ht="10.95" customHeight="1" x14ac:dyDescent="0.2">
      <c r="A558" s="2" t="s">
        <v>1042</v>
      </c>
      <c r="B558" s="3">
        <v>247930</v>
      </c>
      <c r="C558" s="1">
        <f>IFERROR(VLOOKUP(Таблица2[[#This Row],[Контрагент]],Таблица1[],2,0),0)</f>
        <v>0</v>
      </c>
      <c r="D558" s="10">
        <f>Таблица2[[#This Row],[Декабрь]]-Таблица2[[#This Row],[Сумма реализации (с возвратами)]]</f>
        <v>-247930</v>
      </c>
    </row>
    <row r="559" spans="1:4" s="1" customFormat="1" ht="10.95" customHeight="1" x14ac:dyDescent="0.2">
      <c r="A559" s="2" t="s">
        <v>544</v>
      </c>
      <c r="B559" s="3">
        <v>15500</v>
      </c>
      <c r="C559" s="1">
        <f>IFERROR(VLOOKUP(Таблица2[[#This Row],[Контрагент]],Таблица1[],2,0),0)</f>
        <v>13050</v>
      </c>
      <c r="D559" s="10">
        <f>Таблица2[[#This Row],[Декабрь]]-Таблица2[[#This Row],[Сумма реализации (с возвратами)]]</f>
        <v>-2450</v>
      </c>
    </row>
    <row r="560" spans="1:4" s="1" customFormat="1" ht="10.95" customHeight="1" x14ac:dyDescent="0.2">
      <c r="A560" s="2" t="s">
        <v>545</v>
      </c>
      <c r="B560" s="3">
        <v>238135</v>
      </c>
      <c r="C560" s="1">
        <f>IFERROR(VLOOKUP(Таблица2[[#This Row],[Контрагент]],Таблица1[],2,0),0)</f>
        <v>359060</v>
      </c>
      <c r="D560" s="10">
        <f>Таблица2[[#This Row],[Декабрь]]-Таблица2[[#This Row],[Сумма реализации (с возвратами)]]</f>
        <v>120925</v>
      </c>
    </row>
    <row r="561" spans="1:4" s="1" customFormat="1" ht="10.95" customHeight="1" x14ac:dyDescent="0.2">
      <c r="A561" s="2" t="s">
        <v>547</v>
      </c>
      <c r="B561" s="3">
        <v>104083</v>
      </c>
      <c r="C561" s="1">
        <f>IFERROR(VLOOKUP(Таблица2[[#This Row],[Контрагент]],Таблица1[],2,0),0)</f>
        <v>171680</v>
      </c>
      <c r="D561" s="10">
        <f>Таблица2[[#This Row],[Декабрь]]-Таблица2[[#This Row],[Сумма реализации (с возвратами)]]</f>
        <v>67597</v>
      </c>
    </row>
    <row r="562" spans="1:4" s="1" customFormat="1" ht="10.95" customHeight="1" x14ac:dyDescent="0.2">
      <c r="A562" s="2" t="s">
        <v>548</v>
      </c>
      <c r="B562" s="3">
        <v>193925</v>
      </c>
      <c r="C562" s="1">
        <f>IFERROR(VLOOKUP(Таблица2[[#This Row],[Контрагент]],Таблица1[],2,0),0)</f>
        <v>168420</v>
      </c>
      <c r="D562" s="10">
        <f>Таблица2[[#This Row],[Декабрь]]-Таблица2[[#This Row],[Сумма реализации (с возвратами)]]</f>
        <v>-25505</v>
      </c>
    </row>
    <row r="563" spans="1:4" s="1" customFormat="1" ht="10.95" customHeight="1" x14ac:dyDescent="0.2">
      <c r="A563" s="2" t="s">
        <v>549</v>
      </c>
      <c r="B563" s="3">
        <v>197635</v>
      </c>
      <c r="C563" s="1">
        <f>IFERROR(VLOOKUP(Таблица2[[#This Row],[Контрагент]],Таблица1[],2,0),0)</f>
        <v>327610</v>
      </c>
      <c r="D563" s="10">
        <f>Таблица2[[#This Row],[Декабрь]]-Таблица2[[#This Row],[Сумма реализации (с возвратами)]]</f>
        <v>129975</v>
      </c>
    </row>
    <row r="564" spans="1:4" s="1" customFormat="1" ht="10.95" customHeight="1" x14ac:dyDescent="0.2">
      <c r="A564" s="2" t="s">
        <v>550</v>
      </c>
      <c r="B564" s="3">
        <v>4020379</v>
      </c>
      <c r="C564" s="1">
        <f>IFERROR(VLOOKUP(Таблица2[[#This Row],[Контрагент]],Таблица1[],2,0),0)</f>
        <v>1178210</v>
      </c>
      <c r="D564" s="10">
        <f>Таблица2[[#This Row],[Декабрь]]-Таблица2[[#This Row],[Сумма реализации (с возвратами)]]</f>
        <v>-2842169</v>
      </c>
    </row>
    <row r="565" spans="1:4" s="1" customFormat="1" ht="10.95" customHeight="1" x14ac:dyDescent="0.2">
      <c r="A565" s="2" t="s">
        <v>551</v>
      </c>
      <c r="B565" s="3">
        <v>104720</v>
      </c>
      <c r="C565" s="1">
        <f>IFERROR(VLOOKUP(Таблица2[[#This Row],[Контрагент]],Таблица1[],2,0),0)</f>
        <v>85360</v>
      </c>
      <c r="D565" s="10">
        <f>Таблица2[[#This Row],[Декабрь]]-Таблица2[[#This Row],[Сумма реализации (с возвратами)]]</f>
        <v>-19360</v>
      </c>
    </row>
    <row r="566" spans="1:4" s="1" customFormat="1" ht="10.95" customHeight="1" x14ac:dyDescent="0.2">
      <c r="A566" s="2" t="s">
        <v>1043</v>
      </c>
      <c r="B566" s="3">
        <v>100580</v>
      </c>
      <c r="C566" s="1">
        <f>IFERROR(VLOOKUP(Таблица2[[#This Row],[Контрагент]],Таблица1[],2,0),0)</f>
        <v>0</v>
      </c>
      <c r="D566" s="10">
        <f>Таблица2[[#This Row],[Декабрь]]-Таблица2[[#This Row],[Сумма реализации (с возвратами)]]</f>
        <v>-100580</v>
      </c>
    </row>
    <row r="567" spans="1:4" s="1" customFormat="1" ht="10.95" customHeight="1" x14ac:dyDescent="0.2">
      <c r="A567" s="2" t="s">
        <v>1044</v>
      </c>
      <c r="B567" s="3">
        <v>102360</v>
      </c>
      <c r="C567" s="1">
        <f>IFERROR(VLOOKUP(Таблица2[[#This Row],[Контрагент]],Таблица1[],2,0),0)</f>
        <v>0</v>
      </c>
      <c r="D567" s="10">
        <f>Таблица2[[#This Row],[Декабрь]]-Таблица2[[#This Row],[Сумма реализации (с возвратами)]]</f>
        <v>-102360</v>
      </c>
    </row>
    <row r="568" spans="1:4" s="1" customFormat="1" ht="10.95" customHeight="1" x14ac:dyDescent="0.2">
      <c r="A568" s="2" t="s">
        <v>553</v>
      </c>
      <c r="B568" s="3">
        <v>10820</v>
      </c>
      <c r="C568" s="1">
        <f>IFERROR(VLOOKUP(Таблица2[[#This Row],[Контрагент]],Таблица1[],2,0),0)</f>
        <v>82150</v>
      </c>
      <c r="D568" s="10">
        <f>Таблица2[[#This Row],[Декабрь]]-Таблица2[[#This Row],[Сумма реализации (с возвратами)]]</f>
        <v>71330</v>
      </c>
    </row>
    <row r="569" spans="1:4" s="1" customFormat="1" ht="10.95" customHeight="1" x14ac:dyDescent="0.2">
      <c r="A569" s="2" t="s">
        <v>554</v>
      </c>
      <c r="B569" s="3">
        <v>20400</v>
      </c>
      <c r="C569" s="1">
        <f>IFERROR(VLOOKUP(Таблица2[[#This Row],[Контрагент]],Таблица1[],2,0),0)</f>
        <v>93430</v>
      </c>
      <c r="D569" s="10">
        <f>Таблица2[[#This Row],[Декабрь]]-Таблица2[[#This Row],[Сумма реализации (с возвратами)]]</f>
        <v>73030</v>
      </c>
    </row>
    <row r="570" spans="1:4" s="1" customFormat="1" ht="10.95" customHeight="1" x14ac:dyDescent="0.2">
      <c r="A570" s="2" t="s">
        <v>555</v>
      </c>
      <c r="B570" s="3">
        <v>25910</v>
      </c>
      <c r="C570" s="1">
        <f>IFERROR(VLOOKUP(Таблица2[[#This Row],[Контрагент]],Таблица1[],2,0),0)</f>
        <v>183540</v>
      </c>
      <c r="D570" s="10">
        <f>Таблица2[[#This Row],[Декабрь]]-Таблица2[[#This Row],[Сумма реализации (с возвратами)]]</f>
        <v>157630</v>
      </c>
    </row>
    <row r="571" spans="1:4" s="1" customFormat="1" ht="10.95" customHeight="1" x14ac:dyDescent="0.2">
      <c r="A571" s="2" t="s">
        <v>556</v>
      </c>
      <c r="B571" s="3">
        <v>396445</v>
      </c>
      <c r="C571" s="1">
        <f>IFERROR(VLOOKUP(Таблица2[[#This Row],[Контрагент]],Таблица1[],2,0),0)</f>
        <v>474210</v>
      </c>
      <c r="D571" s="10">
        <f>Таблица2[[#This Row],[Декабрь]]-Таблица2[[#This Row],[Сумма реализации (с возвратами)]]</f>
        <v>77765</v>
      </c>
    </row>
    <row r="572" spans="1:4" s="1" customFormat="1" ht="10.95" customHeight="1" x14ac:dyDescent="0.2">
      <c r="A572" s="2" t="s">
        <v>1045</v>
      </c>
      <c r="B572" s="3">
        <v>68700</v>
      </c>
      <c r="C572" s="1">
        <f>IFERROR(VLOOKUP(Таблица2[[#This Row],[Контрагент]],Таблица1[],2,0),0)</f>
        <v>0</v>
      </c>
      <c r="D572" s="10">
        <f>Таблица2[[#This Row],[Декабрь]]-Таблица2[[#This Row],[Сумма реализации (с возвратами)]]</f>
        <v>-68700</v>
      </c>
    </row>
    <row r="573" spans="1:4" s="1" customFormat="1" ht="10.95" customHeight="1" x14ac:dyDescent="0.2">
      <c r="A573" s="2" t="s">
        <v>1046</v>
      </c>
      <c r="B573" s="3">
        <v>50650</v>
      </c>
      <c r="C573" s="1">
        <f>IFERROR(VLOOKUP(Таблица2[[#This Row],[Контрагент]],Таблица1[],2,0),0)</f>
        <v>0</v>
      </c>
      <c r="D573" s="10">
        <f>Таблица2[[#This Row],[Декабрь]]-Таблица2[[#This Row],[Сумма реализации (с возвратами)]]</f>
        <v>-50650</v>
      </c>
    </row>
    <row r="574" spans="1:4" s="1" customFormat="1" ht="10.95" customHeight="1" x14ac:dyDescent="0.2">
      <c r="A574" s="2" t="s">
        <v>558</v>
      </c>
      <c r="B574" s="3">
        <v>40900</v>
      </c>
      <c r="C574" s="1">
        <f>IFERROR(VLOOKUP(Таблица2[[#This Row],[Контрагент]],Таблица1[],2,0),0)</f>
        <v>42515</v>
      </c>
      <c r="D574" s="10">
        <f>Таблица2[[#This Row],[Декабрь]]-Таблица2[[#This Row],[Сумма реализации (с возвратами)]]</f>
        <v>1615</v>
      </c>
    </row>
    <row r="575" spans="1:4" s="1" customFormat="1" ht="10.95" customHeight="1" x14ac:dyDescent="0.2">
      <c r="A575" s="2" t="s">
        <v>559</v>
      </c>
      <c r="B575" s="3">
        <v>44340</v>
      </c>
      <c r="C575" s="1">
        <f>IFERROR(VLOOKUP(Таблица2[[#This Row],[Контрагент]],Таблица1[],2,0),0)</f>
        <v>23690</v>
      </c>
      <c r="D575" s="10">
        <f>Таблица2[[#This Row],[Декабрь]]-Таблица2[[#This Row],[Сумма реализации (с возвратами)]]</f>
        <v>-20650</v>
      </c>
    </row>
    <row r="576" spans="1:4" s="1" customFormat="1" ht="10.95" customHeight="1" x14ac:dyDescent="0.2">
      <c r="A576" s="2" t="s">
        <v>560</v>
      </c>
      <c r="B576" s="3">
        <v>220235</v>
      </c>
      <c r="C576" s="1">
        <f>IFERROR(VLOOKUP(Таблица2[[#This Row],[Контрагент]],Таблица1[],2,0),0)</f>
        <v>69570</v>
      </c>
      <c r="D576" s="10">
        <f>Таблица2[[#This Row],[Декабрь]]-Таблица2[[#This Row],[Сумма реализации (с возвратами)]]</f>
        <v>-150665</v>
      </c>
    </row>
    <row r="577" spans="1:4" s="1" customFormat="1" ht="10.95" customHeight="1" x14ac:dyDescent="0.2">
      <c r="A577" s="2" t="s">
        <v>561</v>
      </c>
      <c r="B577" s="3">
        <v>380960</v>
      </c>
      <c r="C577" s="1">
        <f>IFERROR(VLOOKUP(Таблица2[[#This Row],[Контрагент]],Таблица1[],2,0),0)</f>
        <v>241320</v>
      </c>
      <c r="D577" s="10">
        <f>Таблица2[[#This Row],[Декабрь]]-Таблица2[[#This Row],[Сумма реализации (с возвратами)]]</f>
        <v>-139640</v>
      </c>
    </row>
    <row r="578" spans="1:4" s="1" customFormat="1" ht="10.95" customHeight="1" x14ac:dyDescent="0.2">
      <c r="A578" s="2" t="s">
        <v>1047</v>
      </c>
      <c r="B578" s="3">
        <v>50470</v>
      </c>
      <c r="C578" s="1">
        <f>IFERROR(VLOOKUP(Таблица2[[#This Row],[Контрагент]],Таблица1[],2,0),0)</f>
        <v>0</v>
      </c>
      <c r="D578" s="10">
        <f>Таблица2[[#This Row],[Декабрь]]-Таблица2[[#This Row],[Сумма реализации (с возвратами)]]</f>
        <v>-50470</v>
      </c>
    </row>
    <row r="579" spans="1:4" s="1" customFormat="1" ht="10.95" customHeight="1" x14ac:dyDescent="0.2">
      <c r="A579" s="2" t="s">
        <v>563</v>
      </c>
      <c r="B579" s="3">
        <v>37540</v>
      </c>
      <c r="C579" s="1">
        <f>IFERROR(VLOOKUP(Таблица2[[#This Row],[Контрагент]],Таблица1[],2,0),0)</f>
        <v>85770</v>
      </c>
      <c r="D579" s="10">
        <f>Таблица2[[#This Row],[Декабрь]]-Таблица2[[#This Row],[Сумма реализации (с возвратами)]]</f>
        <v>48230</v>
      </c>
    </row>
    <row r="580" spans="1:4" s="1" customFormat="1" ht="10.95" customHeight="1" x14ac:dyDescent="0.2">
      <c r="A580" s="2" t="s">
        <v>1048</v>
      </c>
      <c r="B580" s="3">
        <v>409630</v>
      </c>
      <c r="C580" s="1">
        <f>IFERROR(VLOOKUP(Таблица2[[#This Row],[Контрагент]],Таблица1[],2,0),0)</f>
        <v>0</v>
      </c>
      <c r="D580" s="10">
        <f>Таблица2[[#This Row],[Декабрь]]-Таблица2[[#This Row],[Сумма реализации (с возвратами)]]</f>
        <v>-409630</v>
      </c>
    </row>
    <row r="581" spans="1:4" s="1" customFormat="1" ht="10.95" customHeight="1" x14ac:dyDescent="0.2">
      <c r="A581" s="2" t="s">
        <v>564</v>
      </c>
      <c r="B581" s="3">
        <v>10430</v>
      </c>
      <c r="C581" s="1">
        <f>IFERROR(VLOOKUP(Таблица2[[#This Row],[Контрагент]],Таблица1[],2,0),0)</f>
        <v>19950</v>
      </c>
      <c r="D581" s="10">
        <f>Таблица2[[#This Row],[Декабрь]]-Таблица2[[#This Row],[Сумма реализации (с возвратами)]]</f>
        <v>9520</v>
      </c>
    </row>
    <row r="582" spans="1:4" s="1" customFormat="1" ht="10.95" customHeight="1" x14ac:dyDescent="0.2">
      <c r="A582" s="2" t="s">
        <v>1049</v>
      </c>
      <c r="B582" s="3">
        <v>148350</v>
      </c>
      <c r="C582" s="1">
        <f>IFERROR(VLOOKUP(Таблица2[[#This Row],[Контрагент]],Таблица1[],2,0),0)</f>
        <v>0</v>
      </c>
      <c r="D582" s="10">
        <f>Таблица2[[#This Row],[Декабрь]]-Таблица2[[#This Row],[Сумма реализации (с возвратами)]]</f>
        <v>-148350</v>
      </c>
    </row>
    <row r="583" spans="1:4" s="1" customFormat="1" ht="10.95" customHeight="1" x14ac:dyDescent="0.2">
      <c r="A583" s="2" t="s">
        <v>1050</v>
      </c>
      <c r="B583" s="3">
        <v>27520</v>
      </c>
      <c r="C583" s="1">
        <f>IFERROR(VLOOKUP(Таблица2[[#This Row],[Контрагент]],Таблица1[],2,0),0)</f>
        <v>0</v>
      </c>
      <c r="D583" s="10">
        <f>Таблица2[[#This Row],[Декабрь]]-Таблица2[[#This Row],[Сумма реализации (с возвратами)]]</f>
        <v>-27520</v>
      </c>
    </row>
    <row r="584" spans="1:4" s="1" customFormat="1" ht="10.95" customHeight="1" x14ac:dyDescent="0.2">
      <c r="A584" s="2" t="s">
        <v>569</v>
      </c>
      <c r="B584" s="3">
        <v>461960</v>
      </c>
      <c r="C584" s="1">
        <f>IFERROR(VLOOKUP(Таблица2[[#This Row],[Контрагент]],Таблица1[],2,0),0)</f>
        <v>311200</v>
      </c>
      <c r="D584" s="10">
        <f>Таблица2[[#This Row],[Декабрь]]-Таблица2[[#This Row],[Сумма реализации (с возвратами)]]</f>
        <v>-150760</v>
      </c>
    </row>
    <row r="585" spans="1:4" s="1" customFormat="1" ht="10.95" customHeight="1" x14ac:dyDescent="0.2">
      <c r="A585" s="2" t="s">
        <v>1051</v>
      </c>
      <c r="B585" s="3">
        <v>187481</v>
      </c>
      <c r="C585" s="1">
        <f>IFERROR(VLOOKUP(Таблица2[[#This Row],[Контрагент]],Таблица1[],2,0),0)</f>
        <v>0</v>
      </c>
      <c r="D585" s="10">
        <f>Таблица2[[#This Row],[Декабрь]]-Таблица2[[#This Row],[Сумма реализации (с возвратами)]]</f>
        <v>-187481</v>
      </c>
    </row>
    <row r="586" spans="1:4" s="1" customFormat="1" ht="10.95" customHeight="1" x14ac:dyDescent="0.2">
      <c r="A586" s="2" t="s">
        <v>570</v>
      </c>
      <c r="B586" s="3">
        <v>12480</v>
      </c>
      <c r="C586" s="1">
        <f>IFERROR(VLOOKUP(Таблица2[[#This Row],[Контрагент]],Таблица1[],2,0),0)</f>
        <v>80760</v>
      </c>
      <c r="D586" s="10">
        <f>Таблица2[[#This Row],[Декабрь]]-Таблица2[[#This Row],[Сумма реализации (с возвратами)]]</f>
        <v>68280</v>
      </c>
    </row>
    <row r="587" spans="1:4" s="1" customFormat="1" ht="10.95" customHeight="1" x14ac:dyDescent="0.2">
      <c r="A587" s="2" t="s">
        <v>571</v>
      </c>
      <c r="B587" s="3">
        <v>224700</v>
      </c>
      <c r="C587" s="1">
        <f>IFERROR(VLOOKUP(Таблица2[[#This Row],[Контрагент]],Таблица1[],2,0),0)</f>
        <v>119280</v>
      </c>
      <c r="D587" s="10">
        <f>Таблица2[[#This Row],[Декабрь]]-Таблица2[[#This Row],[Сумма реализации (с возвратами)]]</f>
        <v>-105420</v>
      </c>
    </row>
    <row r="588" spans="1:4" s="1" customFormat="1" ht="10.95" customHeight="1" x14ac:dyDescent="0.2">
      <c r="A588" s="2" t="s">
        <v>572</v>
      </c>
      <c r="B588" s="3">
        <v>152160</v>
      </c>
      <c r="C588" s="1">
        <f>IFERROR(VLOOKUP(Таблица2[[#This Row],[Контрагент]],Таблица1[],2,0),0)</f>
        <v>114090</v>
      </c>
      <c r="D588" s="10">
        <f>Таблица2[[#This Row],[Декабрь]]-Таблица2[[#This Row],[Сумма реализации (с возвратами)]]</f>
        <v>-38070</v>
      </c>
    </row>
    <row r="589" spans="1:4" s="1" customFormat="1" ht="10.95" customHeight="1" x14ac:dyDescent="0.2">
      <c r="A589" s="2" t="s">
        <v>574</v>
      </c>
      <c r="B589" s="3">
        <v>26220</v>
      </c>
      <c r="C589" s="1">
        <f>IFERROR(VLOOKUP(Таблица2[[#This Row],[Контрагент]],Таблица1[],2,0),0)</f>
        <v>100700</v>
      </c>
      <c r="D589" s="10">
        <f>Таблица2[[#This Row],[Декабрь]]-Таблица2[[#This Row],[Сумма реализации (с возвратами)]]</f>
        <v>74480</v>
      </c>
    </row>
    <row r="590" spans="1:4" s="1" customFormat="1" ht="10.95" customHeight="1" x14ac:dyDescent="0.2">
      <c r="A590" s="2" t="s">
        <v>1052</v>
      </c>
      <c r="B590" s="3">
        <v>38230</v>
      </c>
      <c r="C590" s="1">
        <f>IFERROR(VLOOKUP(Таблица2[[#This Row],[Контрагент]],Таблица1[],2,0),0)</f>
        <v>0</v>
      </c>
      <c r="D590" s="10">
        <f>Таблица2[[#This Row],[Декабрь]]-Таблица2[[#This Row],[Сумма реализации (с возвратами)]]</f>
        <v>-38230</v>
      </c>
    </row>
    <row r="591" spans="1:4" s="1" customFormat="1" ht="10.95" customHeight="1" x14ac:dyDescent="0.2">
      <c r="A591" s="2" t="s">
        <v>1053</v>
      </c>
      <c r="B591" s="3">
        <v>51450</v>
      </c>
      <c r="C591" s="1">
        <f>IFERROR(VLOOKUP(Таблица2[[#This Row],[Контрагент]],Таблица1[],2,0),0)</f>
        <v>0</v>
      </c>
      <c r="D591" s="10">
        <f>Таблица2[[#This Row],[Декабрь]]-Таблица2[[#This Row],[Сумма реализации (с возвратами)]]</f>
        <v>-51450</v>
      </c>
    </row>
    <row r="592" spans="1:4" s="1" customFormat="1" ht="10.95" customHeight="1" x14ac:dyDescent="0.2">
      <c r="A592" s="2" t="s">
        <v>575</v>
      </c>
      <c r="B592" s="3">
        <v>6352.5</v>
      </c>
      <c r="C592" s="1">
        <f>IFERROR(VLOOKUP(Таблица2[[#This Row],[Контрагент]],Таблица1[],2,0),0)</f>
        <v>19954</v>
      </c>
      <c r="D592" s="10">
        <f>Таблица2[[#This Row],[Декабрь]]-Таблица2[[#This Row],[Сумма реализации (с возвратами)]]</f>
        <v>13601.5</v>
      </c>
    </row>
    <row r="593" spans="1:4" s="1" customFormat="1" ht="10.95" customHeight="1" x14ac:dyDescent="0.2">
      <c r="A593" s="2" t="s">
        <v>1054</v>
      </c>
      <c r="B593" s="3">
        <v>70400</v>
      </c>
      <c r="C593" s="1">
        <f>IFERROR(VLOOKUP(Таблица2[[#This Row],[Контрагент]],Таблица1[],2,0),0)</f>
        <v>0</v>
      </c>
      <c r="D593" s="10">
        <f>Таблица2[[#This Row],[Декабрь]]-Таблица2[[#This Row],[Сумма реализации (с возвратами)]]</f>
        <v>-70400</v>
      </c>
    </row>
    <row r="594" spans="1:4" s="1" customFormat="1" ht="10.95" customHeight="1" x14ac:dyDescent="0.2">
      <c r="A594" s="2" t="s">
        <v>577</v>
      </c>
      <c r="B594" s="3">
        <v>237915</v>
      </c>
      <c r="C594" s="1">
        <f>IFERROR(VLOOKUP(Таблица2[[#This Row],[Контрагент]],Таблица1[],2,0),0)</f>
        <v>221893</v>
      </c>
      <c r="D594" s="10">
        <f>Таблица2[[#This Row],[Декабрь]]-Таблица2[[#This Row],[Сумма реализации (с возвратами)]]</f>
        <v>-16022</v>
      </c>
    </row>
    <row r="595" spans="1:4" s="1" customFormat="1" ht="10.95" customHeight="1" x14ac:dyDescent="0.2">
      <c r="A595" s="2" t="s">
        <v>578</v>
      </c>
      <c r="B595" s="3">
        <v>6820</v>
      </c>
      <c r="C595" s="1">
        <f>IFERROR(VLOOKUP(Таблица2[[#This Row],[Контрагент]],Таблица1[],2,0),0)</f>
        <v>42680</v>
      </c>
      <c r="D595" s="10">
        <f>Таблица2[[#This Row],[Декабрь]]-Таблица2[[#This Row],[Сумма реализации (с возвратами)]]</f>
        <v>35860</v>
      </c>
    </row>
    <row r="596" spans="1:4" s="1" customFormat="1" ht="10.95" customHeight="1" x14ac:dyDescent="0.2">
      <c r="A596" s="2" t="s">
        <v>1055</v>
      </c>
      <c r="B596" s="3">
        <v>48013</v>
      </c>
      <c r="C596" s="1">
        <f>IFERROR(VLOOKUP(Таблица2[[#This Row],[Контрагент]],Таблица1[],2,0),0)</f>
        <v>0</v>
      </c>
      <c r="D596" s="10">
        <f>Таблица2[[#This Row],[Декабрь]]-Таблица2[[#This Row],[Сумма реализации (с возвратами)]]</f>
        <v>-48013</v>
      </c>
    </row>
    <row r="597" spans="1:4" s="1" customFormat="1" ht="10.95" customHeight="1" x14ac:dyDescent="0.2">
      <c r="A597" s="2" t="s">
        <v>1056</v>
      </c>
      <c r="B597" s="3">
        <v>18640</v>
      </c>
      <c r="C597" s="1">
        <f>IFERROR(VLOOKUP(Таблица2[[#This Row],[Контрагент]],Таблица1[],2,0),0)</f>
        <v>0</v>
      </c>
      <c r="D597" s="10">
        <f>Таблица2[[#This Row],[Декабрь]]-Таблица2[[#This Row],[Сумма реализации (с возвратами)]]</f>
        <v>-18640</v>
      </c>
    </row>
    <row r="598" spans="1:4" s="1" customFormat="1" ht="10.95" customHeight="1" x14ac:dyDescent="0.2">
      <c r="A598" s="2" t="s">
        <v>579</v>
      </c>
      <c r="B598" s="3">
        <v>144080</v>
      </c>
      <c r="C598" s="1">
        <f>IFERROR(VLOOKUP(Таблица2[[#This Row],[Контрагент]],Таблица1[],2,0),0)</f>
        <v>213786</v>
      </c>
      <c r="D598" s="10">
        <f>Таблица2[[#This Row],[Декабрь]]-Таблица2[[#This Row],[Сумма реализации (с возвратами)]]</f>
        <v>69706</v>
      </c>
    </row>
    <row r="599" spans="1:4" s="1" customFormat="1" ht="10.95" customHeight="1" x14ac:dyDescent="0.2">
      <c r="A599" s="2" t="s">
        <v>580</v>
      </c>
      <c r="B599" s="3">
        <v>38990</v>
      </c>
      <c r="C599" s="1">
        <f>IFERROR(VLOOKUP(Таблица2[[#This Row],[Контрагент]],Таблица1[],2,0),0)</f>
        <v>29800</v>
      </c>
      <c r="D599" s="10">
        <f>Таблица2[[#This Row],[Декабрь]]-Таблица2[[#This Row],[Сумма реализации (с возвратами)]]</f>
        <v>-9190</v>
      </c>
    </row>
    <row r="600" spans="1:4" s="1" customFormat="1" ht="10.95" customHeight="1" x14ac:dyDescent="0.2">
      <c r="A600" s="2" t="s">
        <v>1057</v>
      </c>
      <c r="B600" s="3">
        <v>8280</v>
      </c>
      <c r="C600" s="1">
        <f>IFERROR(VLOOKUP(Таблица2[[#This Row],[Контрагент]],Таблица1[],2,0),0)</f>
        <v>0</v>
      </c>
      <c r="D600" s="10">
        <f>Таблица2[[#This Row],[Декабрь]]-Таблица2[[#This Row],[Сумма реализации (с возвратами)]]</f>
        <v>-8280</v>
      </c>
    </row>
    <row r="601" spans="1:4" s="1" customFormat="1" ht="10.95" customHeight="1" x14ac:dyDescent="0.2">
      <c r="A601" s="2" t="s">
        <v>581</v>
      </c>
      <c r="B601" s="3">
        <v>17890</v>
      </c>
      <c r="C601" s="1">
        <f>IFERROR(VLOOKUP(Таблица2[[#This Row],[Контрагент]],Таблица1[],2,0),0)</f>
        <v>106290</v>
      </c>
      <c r="D601" s="10">
        <f>Таблица2[[#This Row],[Декабрь]]-Таблица2[[#This Row],[Сумма реализации (с возвратами)]]</f>
        <v>88400</v>
      </c>
    </row>
    <row r="602" spans="1:4" s="1" customFormat="1" ht="10.95" customHeight="1" x14ac:dyDescent="0.2">
      <c r="A602" s="2" t="s">
        <v>1058</v>
      </c>
      <c r="B602" s="3">
        <v>75023</v>
      </c>
      <c r="C602" s="1">
        <f>IFERROR(VLOOKUP(Таблица2[[#This Row],[Контрагент]],Таблица1[],2,0),0)</f>
        <v>0</v>
      </c>
      <c r="D602" s="10">
        <f>Таблица2[[#This Row],[Декабрь]]-Таблица2[[#This Row],[Сумма реализации (с возвратами)]]</f>
        <v>-75023</v>
      </c>
    </row>
    <row r="603" spans="1:4" s="1" customFormat="1" ht="10.95" customHeight="1" x14ac:dyDescent="0.2">
      <c r="A603" s="2" t="s">
        <v>584</v>
      </c>
      <c r="B603" s="3">
        <v>102300</v>
      </c>
      <c r="C603" s="1">
        <f>IFERROR(VLOOKUP(Таблица2[[#This Row],[Контрагент]],Таблица1[],2,0),0)</f>
        <v>262650</v>
      </c>
      <c r="D603" s="10">
        <f>Таблица2[[#This Row],[Декабрь]]-Таблица2[[#This Row],[Сумма реализации (с возвратами)]]</f>
        <v>160350</v>
      </c>
    </row>
    <row r="604" spans="1:4" s="1" customFormat="1" ht="10.95" customHeight="1" x14ac:dyDescent="0.2">
      <c r="A604" s="2" t="s">
        <v>585</v>
      </c>
      <c r="B604" s="3">
        <v>447359</v>
      </c>
      <c r="C604" s="1">
        <f>IFERROR(VLOOKUP(Таблица2[[#This Row],[Контрагент]],Таблица1[],2,0),0)</f>
        <v>181321</v>
      </c>
      <c r="D604" s="10">
        <f>Таблица2[[#This Row],[Декабрь]]-Таблица2[[#This Row],[Сумма реализации (с возвратами)]]</f>
        <v>-266038</v>
      </c>
    </row>
    <row r="605" spans="1:4" s="1" customFormat="1" ht="10.95" customHeight="1" x14ac:dyDescent="0.2">
      <c r="A605" s="2" t="s">
        <v>586</v>
      </c>
      <c r="B605" s="3">
        <v>288955</v>
      </c>
      <c r="C605" s="1">
        <f>IFERROR(VLOOKUP(Таблица2[[#This Row],[Контрагент]],Таблица1[],2,0),0)</f>
        <v>601383</v>
      </c>
      <c r="D605" s="10">
        <f>Таблица2[[#This Row],[Декабрь]]-Таблица2[[#This Row],[Сумма реализации (с возвратами)]]</f>
        <v>312428</v>
      </c>
    </row>
    <row r="606" spans="1:4" s="1" customFormat="1" ht="10.95" customHeight="1" x14ac:dyDescent="0.2">
      <c r="A606" s="2" t="s">
        <v>1059</v>
      </c>
      <c r="B606" s="3">
        <v>101930</v>
      </c>
      <c r="C606" s="1">
        <f>IFERROR(VLOOKUP(Таблица2[[#This Row],[Контрагент]],Таблица1[],2,0),0)</f>
        <v>0</v>
      </c>
      <c r="D606" s="10">
        <f>Таблица2[[#This Row],[Декабрь]]-Таблица2[[#This Row],[Сумма реализации (с возвратами)]]</f>
        <v>-101930</v>
      </c>
    </row>
    <row r="607" spans="1:4" s="1" customFormat="1" ht="10.95" customHeight="1" x14ac:dyDescent="0.2">
      <c r="A607" s="2" t="s">
        <v>587</v>
      </c>
      <c r="B607" s="3">
        <v>176260</v>
      </c>
      <c r="C607" s="1">
        <f>IFERROR(VLOOKUP(Таблица2[[#This Row],[Контрагент]],Таблица1[],2,0),0)</f>
        <v>64900</v>
      </c>
      <c r="D607" s="10">
        <f>Таблица2[[#This Row],[Декабрь]]-Таблица2[[#This Row],[Сумма реализации (с возвратами)]]</f>
        <v>-111360</v>
      </c>
    </row>
    <row r="608" spans="1:4" s="1" customFormat="1" ht="10.95" customHeight="1" x14ac:dyDescent="0.2">
      <c r="A608" s="2" t="s">
        <v>1060</v>
      </c>
      <c r="B608" s="3">
        <v>14350</v>
      </c>
      <c r="C608" s="1">
        <f>IFERROR(VLOOKUP(Таблица2[[#This Row],[Контрагент]],Таблица1[],2,0),0)</f>
        <v>0</v>
      </c>
      <c r="D608" s="10">
        <f>Таблица2[[#This Row],[Декабрь]]-Таблица2[[#This Row],[Сумма реализации (с возвратами)]]</f>
        <v>-14350</v>
      </c>
    </row>
    <row r="609" spans="1:4" s="1" customFormat="1" ht="10.95" customHeight="1" x14ac:dyDescent="0.2">
      <c r="A609" s="2" t="s">
        <v>1061</v>
      </c>
      <c r="B609" s="3">
        <v>68360</v>
      </c>
      <c r="C609" s="1">
        <f>IFERROR(VLOOKUP(Таблица2[[#This Row],[Контрагент]],Таблица1[],2,0),0)</f>
        <v>0</v>
      </c>
      <c r="D609" s="10">
        <f>Таблица2[[#This Row],[Декабрь]]-Таблица2[[#This Row],[Сумма реализации (с возвратами)]]</f>
        <v>-68360</v>
      </c>
    </row>
    <row r="610" spans="1:4" s="1" customFormat="1" ht="10.95" customHeight="1" x14ac:dyDescent="0.2">
      <c r="A610" s="2" t="s">
        <v>588</v>
      </c>
      <c r="B610" s="3">
        <v>28370</v>
      </c>
      <c r="C610" s="1">
        <f>IFERROR(VLOOKUP(Таблица2[[#This Row],[Контрагент]],Таблица1[],2,0),0)</f>
        <v>35720</v>
      </c>
      <c r="D610" s="10">
        <f>Таблица2[[#This Row],[Декабрь]]-Таблица2[[#This Row],[Сумма реализации (с возвратами)]]</f>
        <v>7350</v>
      </c>
    </row>
    <row r="611" spans="1:4" s="1" customFormat="1" ht="10.95" customHeight="1" x14ac:dyDescent="0.2">
      <c r="A611" s="2" t="s">
        <v>589</v>
      </c>
      <c r="B611" s="3">
        <v>279900</v>
      </c>
      <c r="C611" s="1">
        <f>IFERROR(VLOOKUP(Таблица2[[#This Row],[Контрагент]],Таблица1[],2,0),0)</f>
        <v>446405</v>
      </c>
      <c r="D611" s="10">
        <f>Таблица2[[#This Row],[Декабрь]]-Таблица2[[#This Row],[Сумма реализации (с возвратами)]]</f>
        <v>166505</v>
      </c>
    </row>
    <row r="612" spans="1:4" s="1" customFormat="1" ht="10.95" customHeight="1" x14ac:dyDescent="0.2">
      <c r="A612" s="2" t="s">
        <v>590</v>
      </c>
      <c r="B612" s="3">
        <v>55550</v>
      </c>
      <c r="C612" s="1">
        <f>IFERROR(VLOOKUP(Таблица2[[#This Row],[Контрагент]],Таблица1[],2,0),0)</f>
        <v>125910</v>
      </c>
      <c r="D612" s="10">
        <f>Таблица2[[#This Row],[Декабрь]]-Таблица2[[#This Row],[Сумма реализации (с возвратами)]]</f>
        <v>70360</v>
      </c>
    </row>
    <row r="613" spans="1:4" s="1" customFormat="1" ht="10.95" customHeight="1" x14ac:dyDescent="0.2">
      <c r="A613" s="2" t="s">
        <v>592</v>
      </c>
      <c r="B613" s="3">
        <v>264542</v>
      </c>
      <c r="C613" s="1">
        <f>IFERROR(VLOOKUP(Таблица2[[#This Row],[Контрагент]],Таблица1[],2,0),0)</f>
        <v>222663</v>
      </c>
      <c r="D613" s="10">
        <f>Таблица2[[#This Row],[Декабрь]]-Таблица2[[#This Row],[Сумма реализации (с возвратами)]]</f>
        <v>-41879</v>
      </c>
    </row>
    <row r="614" spans="1:4" s="1" customFormat="1" ht="10.95" customHeight="1" x14ac:dyDescent="0.2">
      <c r="A614" s="2" t="s">
        <v>1062</v>
      </c>
      <c r="B614" s="3">
        <v>194448</v>
      </c>
      <c r="C614" s="1">
        <f>IFERROR(VLOOKUP(Таблица2[[#This Row],[Контрагент]],Таблица1[],2,0),0)</f>
        <v>0</v>
      </c>
      <c r="D614" s="10">
        <f>Таблица2[[#This Row],[Декабрь]]-Таблица2[[#This Row],[Сумма реализации (с возвратами)]]</f>
        <v>-194448</v>
      </c>
    </row>
    <row r="615" spans="1:4" s="1" customFormat="1" ht="10.95" customHeight="1" x14ac:dyDescent="0.2">
      <c r="A615" s="2" t="s">
        <v>593</v>
      </c>
      <c r="B615" s="3">
        <v>55520</v>
      </c>
      <c r="C615" s="1">
        <f>IFERROR(VLOOKUP(Таблица2[[#This Row],[Контрагент]],Таблица1[],2,0),0)</f>
        <v>168390</v>
      </c>
      <c r="D615" s="10">
        <f>Таблица2[[#This Row],[Декабрь]]-Таблица2[[#This Row],[Сумма реализации (с возвратами)]]</f>
        <v>112870</v>
      </c>
    </row>
    <row r="616" spans="1:4" s="1" customFormat="1" ht="10.95" customHeight="1" x14ac:dyDescent="0.2">
      <c r="A616" s="2" t="s">
        <v>594</v>
      </c>
      <c r="B616" s="3">
        <v>336800</v>
      </c>
      <c r="C616" s="1">
        <f>IFERROR(VLOOKUP(Таблица2[[#This Row],[Контрагент]],Таблица1[],2,0),0)</f>
        <v>411440</v>
      </c>
      <c r="D616" s="10">
        <f>Таблица2[[#This Row],[Декабрь]]-Таблица2[[#This Row],[Сумма реализации (с возвратами)]]</f>
        <v>74640</v>
      </c>
    </row>
    <row r="617" spans="1:4" s="1" customFormat="1" ht="10.95" customHeight="1" x14ac:dyDescent="0.2">
      <c r="A617" s="2" t="s">
        <v>595</v>
      </c>
      <c r="B617" s="3">
        <v>491611</v>
      </c>
      <c r="C617" s="1">
        <f>IFERROR(VLOOKUP(Таблица2[[#This Row],[Контрагент]],Таблица1[],2,0),0)</f>
        <v>301260</v>
      </c>
      <c r="D617" s="10">
        <f>Таблица2[[#This Row],[Декабрь]]-Таблица2[[#This Row],[Сумма реализации (с возвратами)]]</f>
        <v>-190351</v>
      </c>
    </row>
    <row r="618" spans="1:4" s="1" customFormat="1" ht="10.95" customHeight="1" x14ac:dyDescent="0.2">
      <c r="A618" s="2" t="s">
        <v>596</v>
      </c>
      <c r="B618" s="3">
        <v>575010</v>
      </c>
      <c r="C618" s="1">
        <f>IFERROR(VLOOKUP(Таблица2[[#This Row],[Контрагент]],Таблица1[],2,0),0)</f>
        <v>25660</v>
      </c>
      <c r="D618" s="10">
        <f>Таблица2[[#This Row],[Декабрь]]-Таблица2[[#This Row],[Сумма реализации (с возвратами)]]</f>
        <v>-549350</v>
      </c>
    </row>
    <row r="619" spans="1:4" s="1" customFormat="1" ht="10.95" customHeight="1" x14ac:dyDescent="0.2">
      <c r="A619" s="2" t="s">
        <v>597</v>
      </c>
      <c r="B619" s="3">
        <v>3960</v>
      </c>
      <c r="C619" s="1">
        <f>IFERROR(VLOOKUP(Таблица2[[#This Row],[Контрагент]],Таблица1[],2,0),0)</f>
        <v>28820</v>
      </c>
      <c r="D619" s="10">
        <f>Таблица2[[#This Row],[Декабрь]]-Таблица2[[#This Row],[Сумма реализации (с возвратами)]]</f>
        <v>24860</v>
      </c>
    </row>
    <row r="620" spans="1:4" s="1" customFormat="1" ht="10.95" customHeight="1" x14ac:dyDescent="0.2">
      <c r="A620" s="2" t="s">
        <v>1063</v>
      </c>
      <c r="B620" s="3">
        <v>12610</v>
      </c>
      <c r="C620" s="1">
        <f>IFERROR(VLOOKUP(Таблица2[[#This Row],[Контрагент]],Таблица1[],2,0),0)</f>
        <v>0</v>
      </c>
      <c r="D620" s="10">
        <f>Таблица2[[#This Row],[Декабрь]]-Таблица2[[#This Row],[Сумма реализации (с возвратами)]]</f>
        <v>-12610</v>
      </c>
    </row>
    <row r="621" spans="1:4" s="1" customFormat="1" ht="10.95" customHeight="1" x14ac:dyDescent="0.2">
      <c r="A621" s="2" t="s">
        <v>599</v>
      </c>
      <c r="B621" s="3">
        <v>66950</v>
      </c>
      <c r="C621" s="1">
        <f>IFERROR(VLOOKUP(Таблица2[[#This Row],[Контрагент]],Таблица1[],2,0),0)</f>
        <v>36010</v>
      </c>
      <c r="D621" s="10">
        <f>Таблица2[[#This Row],[Декабрь]]-Таблица2[[#This Row],[Сумма реализации (с возвратами)]]</f>
        <v>-30940</v>
      </c>
    </row>
    <row r="622" spans="1:4" s="1" customFormat="1" ht="10.95" customHeight="1" x14ac:dyDescent="0.2">
      <c r="A622" s="2" t="s">
        <v>600</v>
      </c>
      <c r="B622" s="3">
        <v>52420</v>
      </c>
      <c r="C622" s="1">
        <f>IFERROR(VLOOKUP(Таблица2[[#This Row],[Контрагент]],Таблица1[],2,0),0)</f>
        <v>170850</v>
      </c>
      <c r="D622" s="10">
        <f>Таблица2[[#This Row],[Декабрь]]-Таблица2[[#This Row],[Сумма реализации (с возвратами)]]</f>
        <v>118430</v>
      </c>
    </row>
    <row r="623" spans="1:4" s="1" customFormat="1" ht="10.95" customHeight="1" x14ac:dyDescent="0.2">
      <c r="A623" s="2" t="s">
        <v>1064</v>
      </c>
      <c r="B623" s="3">
        <v>292090</v>
      </c>
      <c r="C623" s="1">
        <f>IFERROR(VLOOKUP(Таблица2[[#This Row],[Контрагент]],Таблица1[],2,0),0)</f>
        <v>0</v>
      </c>
      <c r="D623" s="10">
        <f>Таблица2[[#This Row],[Декабрь]]-Таблица2[[#This Row],[Сумма реализации (с возвратами)]]</f>
        <v>-292090</v>
      </c>
    </row>
    <row r="624" spans="1:4" s="1" customFormat="1" ht="10.95" customHeight="1" x14ac:dyDescent="0.2">
      <c r="A624" s="2" t="s">
        <v>1065</v>
      </c>
      <c r="B624" s="3">
        <v>37290</v>
      </c>
      <c r="C624" s="1">
        <f>IFERROR(VLOOKUP(Таблица2[[#This Row],[Контрагент]],Таблица1[],2,0),0)</f>
        <v>0</v>
      </c>
      <c r="D624" s="10">
        <f>Таблица2[[#This Row],[Декабрь]]-Таблица2[[#This Row],[Сумма реализации (с возвратами)]]</f>
        <v>-37290</v>
      </c>
    </row>
    <row r="625" spans="1:4" s="1" customFormat="1" ht="10.95" customHeight="1" x14ac:dyDescent="0.2">
      <c r="A625" s="2" t="s">
        <v>601</v>
      </c>
      <c r="B625" s="3">
        <v>111020</v>
      </c>
      <c r="C625" s="1">
        <f>IFERROR(VLOOKUP(Таблица2[[#This Row],[Контрагент]],Таблица1[],2,0),0)</f>
        <v>193855</v>
      </c>
      <c r="D625" s="10">
        <f>Таблица2[[#This Row],[Декабрь]]-Таблица2[[#This Row],[Сумма реализации (с возвратами)]]</f>
        <v>82835</v>
      </c>
    </row>
    <row r="626" spans="1:4" s="1" customFormat="1" ht="10.95" customHeight="1" x14ac:dyDescent="0.2">
      <c r="A626" s="2" t="s">
        <v>606</v>
      </c>
      <c r="B626" s="3">
        <v>691153</v>
      </c>
      <c r="C626" s="1">
        <f>IFERROR(VLOOKUP(Таблица2[[#This Row],[Контрагент]],Таблица1[],2,0),0)</f>
        <v>920065</v>
      </c>
      <c r="D626" s="10">
        <f>Таблица2[[#This Row],[Декабрь]]-Таблица2[[#This Row],[Сумма реализации (с возвратами)]]</f>
        <v>228912</v>
      </c>
    </row>
    <row r="627" spans="1:4" s="1" customFormat="1" ht="10.95" customHeight="1" x14ac:dyDescent="0.2">
      <c r="A627" s="2" t="s">
        <v>607</v>
      </c>
      <c r="B627" s="3">
        <v>72725</v>
      </c>
      <c r="C627" s="1">
        <f>IFERROR(VLOOKUP(Таблица2[[#This Row],[Контрагент]],Таблица1[],2,0),0)</f>
        <v>82880</v>
      </c>
      <c r="D627" s="10">
        <f>Таблица2[[#This Row],[Декабрь]]-Таблица2[[#This Row],[Сумма реализации (с возвратами)]]</f>
        <v>10155</v>
      </c>
    </row>
    <row r="628" spans="1:4" s="1" customFormat="1" ht="10.95" customHeight="1" x14ac:dyDescent="0.2">
      <c r="A628" s="2" t="s">
        <v>608</v>
      </c>
      <c r="B628" s="3">
        <v>53705</v>
      </c>
      <c r="C628" s="1">
        <f>IFERROR(VLOOKUP(Таблица2[[#This Row],[Контрагент]],Таблица1[],2,0),0)</f>
        <v>187820</v>
      </c>
      <c r="D628" s="10">
        <f>Таблица2[[#This Row],[Декабрь]]-Таблица2[[#This Row],[Сумма реализации (с возвратами)]]</f>
        <v>134115</v>
      </c>
    </row>
    <row r="629" spans="1:4" s="1" customFormat="1" ht="10.95" customHeight="1" x14ac:dyDescent="0.2">
      <c r="A629" s="2" t="s">
        <v>609</v>
      </c>
      <c r="B629" s="3">
        <v>282937</v>
      </c>
      <c r="C629" s="1">
        <f>IFERROR(VLOOKUP(Таблица2[[#This Row],[Контрагент]],Таблица1[],2,0),0)</f>
        <v>1705522</v>
      </c>
      <c r="D629" s="10">
        <f>Таблица2[[#This Row],[Декабрь]]-Таблица2[[#This Row],[Сумма реализации (с возвратами)]]</f>
        <v>1422585</v>
      </c>
    </row>
    <row r="630" spans="1:4" s="1" customFormat="1" ht="10.95" customHeight="1" x14ac:dyDescent="0.2">
      <c r="A630" s="2" t="s">
        <v>610</v>
      </c>
      <c r="B630" s="3">
        <v>82700</v>
      </c>
      <c r="C630" s="1">
        <f>IFERROR(VLOOKUP(Таблица2[[#This Row],[Контрагент]],Таблица1[],2,0),0)</f>
        <v>160660</v>
      </c>
      <c r="D630" s="10">
        <f>Таблица2[[#This Row],[Декабрь]]-Таблица2[[#This Row],[Сумма реализации (с возвратами)]]</f>
        <v>77960</v>
      </c>
    </row>
    <row r="631" spans="1:4" s="1" customFormat="1" ht="10.95" customHeight="1" x14ac:dyDescent="0.2">
      <c r="A631" s="2" t="s">
        <v>611</v>
      </c>
      <c r="B631" s="3">
        <v>6820</v>
      </c>
      <c r="C631" s="1">
        <f>IFERROR(VLOOKUP(Таблица2[[#This Row],[Контрагент]],Таблица1[],2,0),0)</f>
        <v>44460</v>
      </c>
      <c r="D631" s="10">
        <f>Таблица2[[#This Row],[Декабрь]]-Таблица2[[#This Row],[Сумма реализации (с возвратами)]]</f>
        <v>37640</v>
      </c>
    </row>
    <row r="632" spans="1:4" s="1" customFormat="1" ht="10.95" customHeight="1" x14ac:dyDescent="0.2">
      <c r="A632" s="2" t="s">
        <v>613</v>
      </c>
      <c r="B632" s="3">
        <v>64880</v>
      </c>
      <c r="C632" s="1">
        <f>IFERROR(VLOOKUP(Таблица2[[#This Row],[Контрагент]],Таблица1[],2,0),0)</f>
        <v>22580</v>
      </c>
      <c r="D632" s="10">
        <f>Таблица2[[#This Row],[Декабрь]]-Таблица2[[#This Row],[Сумма реализации (с возвратами)]]</f>
        <v>-42300</v>
      </c>
    </row>
    <row r="633" spans="1:4" s="1" customFormat="1" ht="10.95" customHeight="1" x14ac:dyDescent="0.2">
      <c r="A633" s="2" t="s">
        <v>1066</v>
      </c>
      <c r="B633" s="3">
        <v>35770</v>
      </c>
      <c r="C633" s="1">
        <f>IFERROR(VLOOKUP(Таблица2[[#This Row],[Контрагент]],Таблица1[],2,0),0)</f>
        <v>0</v>
      </c>
      <c r="D633" s="10">
        <f>Таблица2[[#This Row],[Декабрь]]-Таблица2[[#This Row],[Сумма реализации (с возвратами)]]</f>
        <v>-35770</v>
      </c>
    </row>
    <row r="634" spans="1:4" s="1" customFormat="1" ht="10.95" customHeight="1" x14ac:dyDescent="0.2">
      <c r="A634" s="2" t="s">
        <v>617</v>
      </c>
      <c r="B634" s="3">
        <v>35440</v>
      </c>
      <c r="C634" s="1">
        <f>IFERROR(VLOOKUP(Таблица2[[#This Row],[Контрагент]],Таблица1[],2,0),0)</f>
        <v>43520</v>
      </c>
      <c r="D634" s="10">
        <f>Таблица2[[#This Row],[Декабрь]]-Таблица2[[#This Row],[Сумма реализации (с возвратами)]]</f>
        <v>8080</v>
      </c>
    </row>
    <row r="635" spans="1:4" s="1" customFormat="1" ht="10.95" customHeight="1" x14ac:dyDescent="0.2">
      <c r="A635" s="2" t="s">
        <v>618</v>
      </c>
      <c r="B635" s="3">
        <v>274346</v>
      </c>
      <c r="C635" s="1">
        <f>IFERROR(VLOOKUP(Таблица2[[#This Row],[Контрагент]],Таблица1[],2,0),0)</f>
        <v>209011</v>
      </c>
      <c r="D635" s="10">
        <f>Таблица2[[#This Row],[Декабрь]]-Таблица2[[#This Row],[Сумма реализации (с возвратами)]]</f>
        <v>-65335</v>
      </c>
    </row>
    <row r="636" spans="1:4" s="1" customFormat="1" ht="10.95" customHeight="1" x14ac:dyDescent="0.2">
      <c r="A636" s="2" t="s">
        <v>619</v>
      </c>
      <c r="B636" s="3">
        <v>8200</v>
      </c>
      <c r="C636" s="1">
        <f>IFERROR(VLOOKUP(Таблица2[[#This Row],[Контрагент]],Таблица1[],2,0),0)</f>
        <v>148930</v>
      </c>
      <c r="D636" s="10">
        <f>Таблица2[[#This Row],[Декабрь]]-Таблица2[[#This Row],[Сумма реализации (с возвратами)]]</f>
        <v>140730</v>
      </c>
    </row>
    <row r="637" spans="1:4" s="1" customFormat="1" ht="10.95" customHeight="1" x14ac:dyDescent="0.2">
      <c r="A637" s="2" t="s">
        <v>1067</v>
      </c>
      <c r="B637" s="3">
        <v>73320</v>
      </c>
      <c r="C637" s="1">
        <f>IFERROR(VLOOKUP(Таблица2[[#This Row],[Контрагент]],Таблица1[],2,0),0)</f>
        <v>0</v>
      </c>
      <c r="D637" s="10">
        <f>Таблица2[[#This Row],[Декабрь]]-Таблица2[[#This Row],[Сумма реализации (с возвратами)]]</f>
        <v>-73320</v>
      </c>
    </row>
    <row r="638" spans="1:4" s="1" customFormat="1" ht="10.95" customHeight="1" x14ac:dyDescent="0.2">
      <c r="A638" s="2" t="s">
        <v>620</v>
      </c>
      <c r="B638" s="3">
        <v>62980</v>
      </c>
      <c r="C638" s="1">
        <f>IFERROR(VLOOKUP(Таблица2[[#This Row],[Контрагент]],Таблица1[],2,0),0)</f>
        <v>67800</v>
      </c>
      <c r="D638" s="10">
        <f>Таблица2[[#This Row],[Декабрь]]-Таблица2[[#This Row],[Сумма реализации (с возвратами)]]</f>
        <v>4820</v>
      </c>
    </row>
    <row r="639" spans="1:4" s="1" customFormat="1" ht="10.95" customHeight="1" x14ac:dyDescent="0.2">
      <c r="A639" s="2" t="s">
        <v>621</v>
      </c>
      <c r="B639" s="3">
        <v>168530</v>
      </c>
      <c r="C639" s="1">
        <f>IFERROR(VLOOKUP(Таблица2[[#This Row],[Контрагент]],Таблица1[],2,0),0)</f>
        <v>244100</v>
      </c>
      <c r="D639" s="10">
        <f>Таблица2[[#This Row],[Декабрь]]-Таблица2[[#This Row],[Сумма реализации (с возвратами)]]</f>
        <v>75570</v>
      </c>
    </row>
    <row r="640" spans="1:4" s="1" customFormat="1" ht="10.95" customHeight="1" x14ac:dyDescent="0.2">
      <c r="A640" s="2" t="s">
        <v>1068</v>
      </c>
      <c r="B640" s="3">
        <v>9860</v>
      </c>
      <c r="C640" s="1">
        <f>IFERROR(VLOOKUP(Таблица2[[#This Row],[Контрагент]],Таблица1[],2,0),0)</f>
        <v>0</v>
      </c>
      <c r="D640" s="10">
        <f>Таблица2[[#This Row],[Декабрь]]-Таблица2[[#This Row],[Сумма реализации (с возвратами)]]</f>
        <v>-9860</v>
      </c>
    </row>
    <row r="641" spans="1:4" s="1" customFormat="1" ht="10.95" customHeight="1" x14ac:dyDescent="0.2">
      <c r="A641" s="2" t="s">
        <v>625</v>
      </c>
      <c r="B641" s="3">
        <v>62810</v>
      </c>
      <c r="C641" s="1">
        <f>IFERROR(VLOOKUP(Таблица2[[#This Row],[Контрагент]],Таблица1[],2,0),0)</f>
        <v>94547</v>
      </c>
      <c r="D641" s="10">
        <f>Таблица2[[#This Row],[Декабрь]]-Таблица2[[#This Row],[Сумма реализации (с возвратами)]]</f>
        <v>31737</v>
      </c>
    </row>
    <row r="642" spans="1:4" s="1" customFormat="1" ht="10.95" customHeight="1" x14ac:dyDescent="0.2">
      <c r="A642" s="2" t="s">
        <v>627</v>
      </c>
      <c r="B642" s="3">
        <v>60400</v>
      </c>
      <c r="C642" s="1">
        <f>IFERROR(VLOOKUP(Таблица2[[#This Row],[Контрагент]],Таблица1[],2,0),0)</f>
        <v>36430</v>
      </c>
      <c r="D642" s="10">
        <f>Таблица2[[#This Row],[Декабрь]]-Таблица2[[#This Row],[Сумма реализации (с возвратами)]]</f>
        <v>-23970</v>
      </c>
    </row>
    <row r="643" spans="1:4" s="1" customFormat="1" ht="10.95" customHeight="1" x14ac:dyDescent="0.2">
      <c r="A643" s="2" t="s">
        <v>630</v>
      </c>
      <c r="B643" s="3">
        <v>4510</v>
      </c>
      <c r="C643" s="1">
        <f>IFERROR(VLOOKUP(Таблица2[[#This Row],[Контрагент]],Таблица1[],2,0),0)</f>
        <v>28060</v>
      </c>
      <c r="D643" s="10">
        <f>Таблица2[[#This Row],[Декабрь]]-Таблица2[[#This Row],[Сумма реализации (с возвратами)]]</f>
        <v>23550</v>
      </c>
    </row>
    <row r="644" spans="1:4" s="1" customFormat="1" ht="10.95" customHeight="1" x14ac:dyDescent="0.2">
      <c r="A644" s="2" t="s">
        <v>631</v>
      </c>
      <c r="B644" s="3">
        <v>58360</v>
      </c>
      <c r="C644" s="1">
        <f>IFERROR(VLOOKUP(Таблица2[[#This Row],[Контрагент]],Таблица1[],2,0),0)</f>
        <v>221640</v>
      </c>
      <c r="D644" s="10">
        <f>Таблица2[[#This Row],[Декабрь]]-Таблица2[[#This Row],[Сумма реализации (с возвратами)]]</f>
        <v>163280</v>
      </c>
    </row>
    <row r="645" spans="1:4" s="1" customFormat="1" ht="10.95" customHeight="1" x14ac:dyDescent="0.2">
      <c r="A645" s="2" t="s">
        <v>632</v>
      </c>
      <c r="B645" s="3">
        <v>10000</v>
      </c>
      <c r="C645" s="1">
        <f>IFERROR(VLOOKUP(Таблица2[[#This Row],[Контрагент]],Таблица1[],2,0),0)</f>
        <v>36720</v>
      </c>
      <c r="D645" s="10">
        <f>Таблица2[[#This Row],[Декабрь]]-Таблица2[[#This Row],[Сумма реализации (с возвратами)]]</f>
        <v>26720</v>
      </c>
    </row>
    <row r="646" spans="1:4" s="1" customFormat="1" ht="10.95" customHeight="1" x14ac:dyDescent="0.2">
      <c r="A646" s="2" t="s">
        <v>633</v>
      </c>
      <c r="B646" s="3">
        <v>55730</v>
      </c>
      <c r="C646" s="1">
        <f>IFERROR(VLOOKUP(Таблица2[[#This Row],[Контрагент]],Таблица1[],2,0),0)</f>
        <v>62760</v>
      </c>
      <c r="D646" s="10">
        <f>Таблица2[[#This Row],[Декабрь]]-Таблица2[[#This Row],[Сумма реализации (с возвратами)]]</f>
        <v>7030</v>
      </c>
    </row>
    <row r="647" spans="1:4" s="1" customFormat="1" ht="10.95" customHeight="1" x14ac:dyDescent="0.2">
      <c r="A647" s="2" t="s">
        <v>635</v>
      </c>
      <c r="B647" s="3">
        <v>66660</v>
      </c>
      <c r="C647" s="1">
        <f>IFERROR(VLOOKUP(Таблица2[[#This Row],[Контрагент]],Таблица1[],2,0),0)</f>
        <v>40760</v>
      </c>
      <c r="D647" s="10">
        <f>Таблица2[[#This Row],[Декабрь]]-Таблица2[[#This Row],[Сумма реализации (с возвратами)]]</f>
        <v>-25900</v>
      </c>
    </row>
    <row r="648" spans="1:4" s="1" customFormat="1" ht="10.95" customHeight="1" x14ac:dyDescent="0.2">
      <c r="A648" s="2" t="s">
        <v>1069</v>
      </c>
      <c r="B648" s="3">
        <v>19600</v>
      </c>
      <c r="C648" s="1">
        <f>IFERROR(VLOOKUP(Таблица2[[#This Row],[Контрагент]],Таблица1[],2,0),0)</f>
        <v>0</v>
      </c>
      <c r="D648" s="10">
        <f>Таблица2[[#This Row],[Декабрь]]-Таблица2[[#This Row],[Сумма реализации (с возвратами)]]</f>
        <v>-19600</v>
      </c>
    </row>
    <row r="649" spans="1:4" s="1" customFormat="1" ht="10.95" customHeight="1" x14ac:dyDescent="0.2">
      <c r="A649" s="2" t="s">
        <v>637</v>
      </c>
      <c r="B649" s="3">
        <v>160853</v>
      </c>
      <c r="C649" s="1">
        <f>IFERROR(VLOOKUP(Таблица2[[#This Row],[Контрагент]],Таблица1[],2,0),0)</f>
        <v>216060</v>
      </c>
      <c r="D649" s="10">
        <f>Таблица2[[#This Row],[Декабрь]]-Таблица2[[#This Row],[Сумма реализации (с возвратами)]]</f>
        <v>55207</v>
      </c>
    </row>
    <row r="650" spans="1:4" s="1" customFormat="1" ht="10.95" customHeight="1" x14ac:dyDescent="0.2">
      <c r="A650" s="2" t="s">
        <v>639</v>
      </c>
      <c r="B650" s="3">
        <v>61900</v>
      </c>
      <c r="C650" s="1">
        <f>IFERROR(VLOOKUP(Таблица2[[#This Row],[Контрагент]],Таблица1[],2,0),0)</f>
        <v>27030</v>
      </c>
      <c r="D650" s="10">
        <f>Таблица2[[#This Row],[Декабрь]]-Таблица2[[#This Row],[Сумма реализации (с возвратами)]]</f>
        <v>-34870</v>
      </c>
    </row>
    <row r="651" spans="1:4" s="1" customFormat="1" ht="10.95" customHeight="1" x14ac:dyDescent="0.2">
      <c r="A651" s="2" t="s">
        <v>1070</v>
      </c>
      <c r="B651" s="3">
        <v>16290</v>
      </c>
      <c r="C651" s="1">
        <f>IFERROR(VLOOKUP(Таблица2[[#This Row],[Контрагент]],Таблица1[],2,0),0)</f>
        <v>0</v>
      </c>
      <c r="D651" s="10">
        <f>Таблица2[[#This Row],[Декабрь]]-Таблица2[[#This Row],[Сумма реализации (с возвратами)]]</f>
        <v>-16290</v>
      </c>
    </row>
    <row r="652" spans="1:4" s="1" customFormat="1" ht="10.95" customHeight="1" x14ac:dyDescent="0.2">
      <c r="A652" s="2" t="s">
        <v>640</v>
      </c>
      <c r="B652" s="3">
        <v>59400</v>
      </c>
      <c r="C652" s="1">
        <f>IFERROR(VLOOKUP(Таблица2[[#This Row],[Контрагент]],Таблица1[],2,0),0)</f>
        <v>273290</v>
      </c>
      <c r="D652" s="10">
        <f>Таблица2[[#This Row],[Декабрь]]-Таблица2[[#This Row],[Сумма реализации (с возвратами)]]</f>
        <v>213890</v>
      </c>
    </row>
    <row r="653" spans="1:4" s="1" customFormat="1" ht="10.95" customHeight="1" x14ac:dyDescent="0.2">
      <c r="A653" s="2" t="s">
        <v>641</v>
      </c>
      <c r="B653" s="3">
        <v>317560</v>
      </c>
      <c r="C653" s="1">
        <f>IFERROR(VLOOKUP(Таблица2[[#This Row],[Контрагент]],Таблица1[],2,0),0)</f>
        <v>320933</v>
      </c>
      <c r="D653" s="10">
        <f>Таблица2[[#This Row],[Декабрь]]-Таблица2[[#This Row],[Сумма реализации (с возвратами)]]</f>
        <v>3373</v>
      </c>
    </row>
    <row r="654" spans="1:4" s="1" customFormat="1" ht="10.95" customHeight="1" x14ac:dyDescent="0.2">
      <c r="A654" s="2" t="s">
        <v>642</v>
      </c>
      <c r="B654" s="3">
        <v>21810</v>
      </c>
      <c r="C654" s="1">
        <f>IFERROR(VLOOKUP(Таблица2[[#This Row],[Контрагент]],Таблица1[],2,0),0)</f>
        <v>26530</v>
      </c>
      <c r="D654" s="10">
        <f>Таблица2[[#This Row],[Декабрь]]-Таблица2[[#This Row],[Сумма реализации (с возвратами)]]</f>
        <v>4720</v>
      </c>
    </row>
    <row r="655" spans="1:4" s="1" customFormat="1" ht="10.95" customHeight="1" x14ac:dyDescent="0.2">
      <c r="A655" s="2" t="s">
        <v>1071</v>
      </c>
      <c r="B655" s="3">
        <v>72310</v>
      </c>
      <c r="C655" s="1">
        <f>IFERROR(VLOOKUP(Таблица2[[#This Row],[Контрагент]],Таблица1[],2,0),0)</f>
        <v>0</v>
      </c>
      <c r="D655" s="10">
        <f>Таблица2[[#This Row],[Декабрь]]-Таблица2[[#This Row],[Сумма реализации (с возвратами)]]</f>
        <v>-72310</v>
      </c>
    </row>
    <row r="656" spans="1:4" s="1" customFormat="1" ht="10.95" customHeight="1" x14ac:dyDescent="0.2">
      <c r="A656" s="2" t="s">
        <v>643</v>
      </c>
      <c r="B656" s="3">
        <v>10022</v>
      </c>
      <c r="C656" s="1">
        <f>IFERROR(VLOOKUP(Таблица2[[#This Row],[Контрагент]],Таблица1[],2,0),0)</f>
        <v>98746</v>
      </c>
      <c r="D656" s="10">
        <f>Таблица2[[#This Row],[Декабрь]]-Таблица2[[#This Row],[Сумма реализации (с возвратами)]]</f>
        <v>88724</v>
      </c>
    </row>
    <row r="657" spans="1:4" s="1" customFormat="1" ht="10.95" customHeight="1" x14ac:dyDescent="0.2">
      <c r="A657" s="2" t="s">
        <v>645</v>
      </c>
      <c r="B657" s="3">
        <v>136352</v>
      </c>
      <c r="C657" s="1">
        <f>IFERROR(VLOOKUP(Таблица2[[#This Row],[Контрагент]],Таблица1[],2,0),0)</f>
        <v>286573</v>
      </c>
      <c r="D657" s="10">
        <f>Таблица2[[#This Row],[Декабрь]]-Таблица2[[#This Row],[Сумма реализации (с возвратами)]]</f>
        <v>150221</v>
      </c>
    </row>
    <row r="658" spans="1:4" s="1" customFormat="1" ht="10.95" customHeight="1" x14ac:dyDescent="0.2">
      <c r="A658" s="2" t="s">
        <v>647</v>
      </c>
      <c r="B658" s="3">
        <v>952287</v>
      </c>
      <c r="C658" s="1">
        <f>IFERROR(VLOOKUP(Таблица2[[#This Row],[Контрагент]],Таблица1[],2,0),0)</f>
        <v>970418</v>
      </c>
      <c r="D658" s="10">
        <f>Таблица2[[#This Row],[Декабрь]]-Таблица2[[#This Row],[Сумма реализации (с возвратами)]]</f>
        <v>18131</v>
      </c>
    </row>
    <row r="659" spans="1:4" s="1" customFormat="1" ht="10.95" customHeight="1" x14ac:dyDescent="0.2">
      <c r="A659" s="2" t="s">
        <v>649</v>
      </c>
      <c r="B659" s="3">
        <v>356750</v>
      </c>
      <c r="C659" s="1">
        <f>IFERROR(VLOOKUP(Таблица2[[#This Row],[Контрагент]],Таблица1[],2,0),0)</f>
        <v>380965</v>
      </c>
      <c r="D659" s="10">
        <f>Таблица2[[#This Row],[Декабрь]]-Таблица2[[#This Row],[Сумма реализации (с возвратами)]]</f>
        <v>24215</v>
      </c>
    </row>
    <row r="660" spans="1:4" s="1" customFormat="1" ht="10.95" customHeight="1" x14ac:dyDescent="0.2">
      <c r="A660" s="2" t="s">
        <v>1072</v>
      </c>
      <c r="B660" s="3">
        <v>92410</v>
      </c>
      <c r="C660" s="1">
        <f>IFERROR(VLOOKUP(Таблица2[[#This Row],[Контрагент]],Таблица1[],2,0),0)</f>
        <v>0</v>
      </c>
      <c r="D660" s="10">
        <f>Таблица2[[#This Row],[Декабрь]]-Таблица2[[#This Row],[Сумма реализации (с возвратами)]]</f>
        <v>-92410</v>
      </c>
    </row>
    <row r="661" spans="1:4" s="1" customFormat="1" ht="10.95" customHeight="1" x14ac:dyDescent="0.2">
      <c r="A661" s="2" t="s">
        <v>652</v>
      </c>
      <c r="B661" s="3">
        <v>26840</v>
      </c>
      <c r="C661" s="1">
        <f>IFERROR(VLOOKUP(Таблица2[[#This Row],[Контрагент]],Таблица1[],2,0),0)</f>
        <v>13860</v>
      </c>
      <c r="D661" s="10">
        <f>Таблица2[[#This Row],[Декабрь]]-Таблица2[[#This Row],[Сумма реализации (с возвратами)]]</f>
        <v>-12980</v>
      </c>
    </row>
    <row r="662" spans="1:4" s="1" customFormat="1" ht="10.95" customHeight="1" x14ac:dyDescent="0.2">
      <c r="A662" s="2" t="s">
        <v>653</v>
      </c>
      <c r="B662" s="3">
        <v>311244</v>
      </c>
      <c r="C662" s="1">
        <f>IFERROR(VLOOKUP(Таблица2[[#This Row],[Контрагент]],Таблица1[],2,0),0)</f>
        <v>263489</v>
      </c>
      <c r="D662" s="10">
        <f>Таблица2[[#This Row],[Декабрь]]-Таблица2[[#This Row],[Сумма реализации (с возвратами)]]</f>
        <v>-47755</v>
      </c>
    </row>
    <row r="663" spans="1:4" s="1" customFormat="1" ht="10.95" customHeight="1" x14ac:dyDescent="0.2">
      <c r="A663" s="2" t="s">
        <v>1073</v>
      </c>
      <c r="B663" s="3">
        <v>93346</v>
      </c>
      <c r="C663" s="1">
        <f>IFERROR(VLOOKUP(Таблица2[[#This Row],[Контрагент]],Таблица1[],2,0),0)</f>
        <v>0</v>
      </c>
      <c r="D663" s="10">
        <f>Таблица2[[#This Row],[Декабрь]]-Таблица2[[#This Row],[Сумма реализации (с возвратами)]]</f>
        <v>-93346</v>
      </c>
    </row>
    <row r="664" spans="1:4" s="1" customFormat="1" ht="10.95" customHeight="1" x14ac:dyDescent="0.2">
      <c r="A664" s="2" t="s">
        <v>654</v>
      </c>
      <c r="B664" s="3">
        <v>10820</v>
      </c>
      <c r="C664" s="1">
        <f>IFERROR(VLOOKUP(Таблица2[[#This Row],[Контрагент]],Таблица1[],2,0),0)</f>
        <v>15750</v>
      </c>
      <c r="D664" s="10">
        <f>Таблица2[[#This Row],[Декабрь]]-Таблица2[[#This Row],[Сумма реализации (с возвратами)]]</f>
        <v>4930</v>
      </c>
    </row>
    <row r="665" spans="1:4" s="1" customFormat="1" ht="10.95" customHeight="1" x14ac:dyDescent="0.2">
      <c r="A665" s="2" t="s">
        <v>655</v>
      </c>
      <c r="B665" s="3">
        <v>30730</v>
      </c>
      <c r="C665" s="1">
        <f>IFERROR(VLOOKUP(Таблица2[[#This Row],[Контрагент]],Таблица1[],2,0),0)</f>
        <v>322995</v>
      </c>
      <c r="D665" s="10">
        <f>Таблица2[[#This Row],[Декабрь]]-Таблица2[[#This Row],[Сумма реализации (с возвратами)]]</f>
        <v>292265</v>
      </c>
    </row>
    <row r="666" spans="1:4" s="1" customFormat="1" ht="10.95" customHeight="1" x14ac:dyDescent="0.2">
      <c r="A666" s="2" t="s">
        <v>656</v>
      </c>
      <c r="B666" s="3">
        <v>28040</v>
      </c>
      <c r="C666" s="1">
        <f>IFERROR(VLOOKUP(Таблица2[[#This Row],[Контрагент]],Таблица1[],2,0),0)</f>
        <v>21400</v>
      </c>
      <c r="D666" s="10">
        <f>Таблица2[[#This Row],[Декабрь]]-Таблица2[[#This Row],[Сумма реализации (с возвратами)]]</f>
        <v>-6640</v>
      </c>
    </row>
    <row r="667" spans="1:4" s="1" customFormat="1" ht="10.95" customHeight="1" x14ac:dyDescent="0.2">
      <c r="A667" s="2" t="s">
        <v>657</v>
      </c>
      <c r="B667" s="3">
        <v>56430</v>
      </c>
      <c r="C667" s="1">
        <f>IFERROR(VLOOKUP(Таблица2[[#This Row],[Контрагент]],Таблица1[],2,0),0)</f>
        <v>26630</v>
      </c>
      <c r="D667" s="10">
        <f>Таблица2[[#This Row],[Декабрь]]-Таблица2[[#This Row],[Сумма реализации (с возвратами)]]</f>
        <v>-29800</v>
      </c>
    </row>
    <row r="668" spans="1:4" s="1" customFormat="1" ht="10.95" customHeight="1" x14ac:dyDescent="0.2">
      <c r="A668" s="2" t="s">
        <v>658</v>
      </c>
      <c r="B668" s="3">
        <v>358395</v>
      </c>
      <c r="C668" s="1">
        <f>IFERROR(VLOOKUP(Таблица2[[#This Row],[Контрагент]],Таблица1[],2,0),0)</f>
        <v>407097</v>
      </c>
      <c r="D668" s="10">
        <f>Таблица2[[#This Row],[Декабрь]]-Таблица2[[#This Row],[Сумма реализации (с возвратами)]]</f>
        <v>48702</v>
      </c>
    </row>
    <row r="669" spans="1:4" s="1" customFormat="1" ht="10.95" customHeight="1" x14ac:dyDescent="0.2">
      <c r="A669" s="2" t="s">
        <v>660</v>
      </c>
      <c r="B669" s="3">
        <v>238650</v>
      </c>
      <c r="C669" s="1">
        <f>IFERROR(VLOOKUP(Таблица2[[#This Row],[Контрагент]],Таблица1[],2,0),0)</f>
        <v>786450</v>
      </c>
      <c r="D669" s="10">
        <f>Таблица2[[#This Row],[Декабрь]]-Таблица2[[#This Row],[Сумма реализации (с возвратами)]]</f>
        <v>547800</v>
      </c>
    </row>
    <row r="670" spans="1:4" s="1" customFormat="1" ht="10.95" customHeight="1" x14ac:dyDescent="0.2">
      <c r="A670" s="2" t="s">
        <v>664</v>
      </c>
      <c r="B670" s="3">
        <v>35477</v>
      </c>
      <c r="C670" s="1">
        <f>IFERROR(VLOOKUP(Таблица2[[#This Row],[Контрагент]],Таблица1[],2,0),0)</f>
        <v>34506</v>
      </c>
      <c r="D670" s="10">
        <f>Таблица2[[#This Row],[Декабрь]]-Таблица2[[#This Row],[Сумма реализации (с возвратами)]]</f>
        <v>-971</v>
      </c>
    </row>
    <row r="671" spans="1:4" s="1" customFormat="1" ht="10.95" customHeight="1" x14ac:dyDescent="0.2">
      <c r="A671" s="2" t="s">
        <v>665</v>
      </c>
      <c r="B671" s="3">
        <v>117865</v>
      </c>
      <c r="C671" s="1">
        <f>IFERROR(VLOOKUP(Таблица2[[#This Row],[Контрагент]],Таблица1[],2,0),0)</f>
        <v>340320</v>
      </c>
      <c r="D671" s="10">
        <f>Таблица2[[#This Row],[Декабрь]]-Таблица2[[#This Row],[Сумма реализации (с возвратами)]]</f>
        <v>222455</v>
      </c>
    </row>
    <row r="672" spans="1:4" s="1" customFormat="1" ht="10.95" customHeight="1" x14ac:dyDescent="0.2">
      <c r="A672" s="2" t="s">
        <v>1074</v>
      </c>
      <c r="B672" s="3">
        <v>388693</v>
      </c>
      <c r="C672" s="1">
        <f>IFERROR(VLOOKUP(Таблица2[[#This Row],[Контрагент]],Таблица1[],2,0),0)</f>
        <v>0</v>
      </c>
      <c r="D672" s="10">
        <f>Таблица2[[#This Row],[Декабрь]]-Таблица2[[#This Row],[Сумма реализации (с возвратами)]]</f>
        <v>-388693</v>
      </c>
    </row>
    <row r="673" spans="1:4" s="1" customFormat="1" ht="10.95" customHeight="1" x14ac:dyDescent="0.2">
      <c r="A673" s="2" t="s">
        <v>666</v>
      </c>
      <c r="B673" s="3">
        <v>165770</v>
      </c>
      <c r="C673" s="1">
        <f>IFERROR(VLOOKUP(Таблица2[[#This Row],[Контрагент]],Таблица1[],2,0),0)</f>
        <v>165780</v>
      </c>
      <c r="D673" s="10">
        <f>Таблица2[[#This Row],[Декабрь]]-Таблица2[[#This Row],[Сумма реализации (с возвратами)]]</f>
        <v>10</v>
      </c>
    </row>
    <row r="674" spans="1:4" s="1" customFormat="1" ht="10.95" customHeight="1" x14ac:dyDescent="0.2">
      <c r="A674" s="2" t="s">
        <v>667</v>
      </c>
      <c r="B674" s="3">
        <v>85280</v>
      </c>
      <c r="C674" s="1">
        <f>IFERROR(VLOOKUP(Таблица2[[#This Row],[Контрагент]],Таблица1[],2,0),0)</f>
        <v>109215</v>
      </c>
      <c r="D674" s="10">
        <f>Таблица2[[#This Row],[Декабрь]]-Таблица2[[#This Row],[Сумма реализации (с возвратами)]]</f>
        <v>23935</v>
      </c>
    </row>
    <row r="675" spans="1:4" s="1" customFormat="1" ht="10.95" customHeight="1" x14ac:dyDescent="0.2">
      <c r="A675" s="2" t="s">
        <v>668</v>
      </c>
      <c r="B675" s="3">
        <v>88420</v>
      </c>
      <c r="C675" s="1">
        <f>IFERROR(VLOOKUP(Таблица2[[#This Row],[Контрагент]],Таблица1[],2,0),0)</f>
        <v>114840</v>
      </c>
      <c r="D675" s="10">
        <f>Таблица2[[#This Row],[Декабрь]]-Таблица2[[#This Row],[Сумма реализации (с возвратами)]]</f>
        <v>26420</v>
      </c>
    </row>
    <row r="676" spans="1:4" s="1" customFormat="1" ht="10.95" customHeight="1" x14ac:dyDescent="0.2">
      <c r="A676" s="2" t="s">
        <v>1075</v>
      </c>
      <c r="B676" s="3">
        <v>577360</v>
      </c>
      <c r="C676" s="1">
        <f>IFERROR(VLOOKUP(Таблица2[[#This Row],[Контрагент]],Таблица1[],2,0),0)</f>
        <v>0</v>
      </c>
      <c r="D676" s="10">
        <f>Таблица2[[#This Row],[Декабрь]]-Таблица2[[#This Row],[Сумма реализации (с возвратами)]]</f>
        <v>-577360</v>
      </c>
    </row>
    <row r="677" spans="1:4" s="1" customFormat="1" ht="10.95" customHeight="1" x14ac:dyDescent="0.2">
      <c r="A677" s="2" t="s">
        <v>669</v>
      </c>
      <c r="B677" s="3">
        <v>129070</v>
      </c>
      <c r="C677" s="1">
        <f>IFERROR(VLOOKUP(Таблица2[[#This Row],[Контрагент]],Таблица1[],2,0),0)</f>
        <v>85580</v>
      </c>
      <c r="D677" s="10">
        <f>Таблица2[[#This Row],[Декабрь]]-Таблица2[[#This Row],[Сумма реализации (с возвратами)]]</f>
        <v>-43490</v>
      </c>
    </row>
    <row r="678" spans="1:4" s="1" customFormat="1" ht="10.95" customHeight="1" x14ac:dyDescent="0.2">
      <c r="A678" s="2" t="s">
        <v>1076</v>
      </c>
      <c r="B678" s="3">
        <v>40900</v>
      </c>
      <c r="C678" s="1">
        <f>IFERROR(VLOOKUP(Таблица2[[#This Row],[Контрагент]],Таблица1[],2,0),0)</f>
        <v>0</v>
      </c>
      <c r="D678" s="10">
        <f>Таблица2[[#This Row],[Декабрь]]-Таблица2[[#This Row],[Сумма реализации (с возвратами)]]</f>
        <v>-40900</v>
      </c>
    </row>
    <row r="679" spans="1:4" s="1" customFormat="1" ht="10.95" customHeight="1" x14ac:dyDescent="0.2">
      <c r="A679" s="2" t="s">
        <v>1077</v>
      </c>
      <c r="B679" s="3">
        <v>366470</v>
      </c>
      <c r="C679" s="1">
        <f>IFERROR(VLOOKUP(Таблица2[[#This Row],[Контрагент]],Таблица1[],2,0),0)</f>
        <v>0</v>
      </c>
      <c r="D679" s="10">
        <f>Таблица2[[#This Row],[Декабрь]]-Таблица2[[#This Row],[Сумма реализации (с возвратами)]]</f>
        <v>-366470</v>
      </c>
    </row>
    <row r="680" spans="1:4" s="1" customFormat="1" ht="10.95" customHeight="1" x14ac:dyDescent="0.2">
      <c r="A680" s="2" t="s">
        <v>1078</v>
      </c>
      <c r="B680" s="3">
        <v>5580</v>
      </c>
      <c r="C680" s="1">
        <f>IFERROR(VLOOKUP(Таблица2[[#This Row],[Контрагент]],Таблица1[],2,0),0)</f>
        <v>0</v>
      </c>
      <c r="D680" s="10">
        <f>Таблица2[[#This Row],[Декабрь]]-Таблица2[[#This Row],[Сумма реализации (с возвратами)]]</f>
        <v>-5580</v>
      </c>
    </row>
    <row r="681" spans="1:4" s="1" customFormat="1" ht="10.95" customHeight="1" x14ac:dyDescent="0.2">
      <c r="A681" s="2" t="s">
        <v>670</v>
      </c>
      <c r="B681" s="3">
        <v>67910</v>
      </c>
      <c r="C681" s="1">
        <f>IFERROR(VLOOKUP(Таблица2[[#This Row],[Контрагент]],Таблица1[],2,0),0)</f>
        <v>314510</v>
      </c>
      <c r="D681" s="10">
        <f>Таблица2[[#This Row],[Декабрь]]-Таблица2[[#This Row],[Сумма реализации (с возвратами)]]</f>
        <v>246600</v>
      </c>
    </row>
    <row r="682" spans="1:4" s="1" customFormat="1" ht="10.95" customHeight="1" x14ac:dyDescent="0.2">
      <c r="A682" s="2" t="s">
        <v>671</v>
      </c>
      <c r="B682" s="3">
        <v>29240</v>
      </c>
      <c r="C682" s="1">
        <f>IFERROR(VLOOKUP(Таблица2[[#This Row],[Контрагент]],Таблица1[],2,0),0)</f>
        <v>7730</v>
      </c>
      <c r="D682" s="10">
        <f>Таблица2[[#This Row],[Декабрь]]-Таблица2[[#This Row],[Сумма реализации (с возвратами)]]</f>
        <v>-21510</v>
      </c>
    </row>
    <row r="683" spans="1:4" s="1" customFormat="1" ht="10.95" customHeight="1" x14ac:dyDescent="0.2">
      <c r="A683" s="2" t="s">
        <v>672</v>
      </c>
      <c r="B683" s="3">
        <v>691576</v>
      </c>
      <c r="C683" s="1">
        <f>IFERROR(VLOOKUP(Таблица2[[#This Row],[Контрагент]],Таблица1[],2,0),0)</f>
        <v>253585</v>
      </c>
      <c r="D683" s="10">
        <f>Таблица2[[#This Row],[Декабрь]]-Таблица2[[#This Row],[Сумма реализации (с возвратами)]]</f>
        <v>-437991</v>
      </c>
    </row>
    <row r="684" spans="1:4" s="1" customFormat="1" ht="10.95" customHeight="1" x14ac:dyDescent="0.2">
      <c r="A684" s="2" t="s">
        <v>1079</v>
      </c>
      <c r="B684" s="3">
        <v>42300</v>
      </c>
      <c r="C684" s="1">
        <f>IFERROR(VLOOKUP(Таблица2[[#This Row],[Контрагент]],Таблица1[],2,0),0)</f>
        <v>0</v>
      </c>
      <c r="D684" s="10">
        <f>Таблица2[[#This Row],[Декабрь]]-Таблица2[[#This Row],[Сумма реализации (с возвратами)]]</f>
        <v>-42300</v>
      </c>
    </row>
    <row r="685" spans="1:4" s="1" customFormat="1" ht="10.95" customHeight="1" x14ac:dyDescent="0.2">
      <c r="A685" s="2" t="s">
        <v>673</v>
      </c>
      <c r="B685" s="3">
        <v>420512</v>
      </c>
      <c r="C685" s="1">
        <f>IFERROR(VLOOKUP(Таблица2[[#This Row],[Контрагент]],Таблица1[],2,0),0)</f>
        <v>381381</v>
      </c>
      <c r="D685" s="10">
        <f>Таблица2[[#This Row],[Декабрь]]-Таблица2[[#This Row],[Сумма реализации (с возвратами)]]</f>
        <v>-39131</v>
      </c>
    </row>
    <row r="686" spans="1:4" s="1" customFormat="1" ht="10.95" customHeight="1" x14ac:dyDescent="0.2">
      <c r="A686" s="2" t="s">
        <v>674</v>
      </c>
      <c r="B686" s="3">
        <v>169470</v>
      </c>
      <c r="C686" s="1">
        <f>IFERROR(VLOOKUP(Таблица2[[#This Row],[Контрагент]],Таблица1[],2,0),0)</f>
        <v>43610</v>
      </c>
      <c r="D686" s="10">
        <f>Таблица2[[#This Row],[Декабрь]]-Таблица2[[#This Row],[Сумма реализации (с возвратами)]]</f>
        <v>-125860</v>
      </c>
    </row>
    <row r="687" spans="1:4" s="1" customFormat="1" ht="10.95" customHeight="1" x14ac:dyDescent="0.2">
      <c r="A687" s="2" t="s">
        <v>1080</v>
      </c>
      <c r="B687" s="3">
        <v>171145</v>
      </c>
      <c r="C687" s="1">
        <f>IFERROR(VLOOKUP(Таблица2[[#This Row],[Контрагент]],Таблица1[],2,0),0)</f>
        <v>0</v>
      </c>
      <c r="D687" s="10">
        <f>Таблица2[[#This Row],[Декабрь]]-Таблица2[[#This Row],[Сумма реализации (с возвратами)]]</f>
        <v>-171145</v>
      </c>
    </row>
    <row r="688" spans="1:4" s="1" customFormat="1" ht="10.95" customHeight="1" x14ac:dyDescent="0.2">
      <c r="A688" s="2" t="s">
        <v>1081</v>
      </c>
      <c r="B688" s="3">
        <v>1002436</v>
      </c>
      <c r="C688" s="1">
        <f>IFERROR(VLOOKUP(Таблица2[[#This Row],[Контрагент]],Таблица1[],2,0),0)</f>
        <v>0</v>
      </c>
      <c r="D688" s="10">
        <f>Таблица2[[#This Row],[Декабрь]]-Таблица2[[#This Row],[Сумма реализации (с возвратами)]]</f>
        <v>-1002436</v>
      </c>
    </row>
    <row r="689" spans="1:4" s="1" customFormat="1" ht="10.95" customHeight="1" x14ac:dyDescent="0.2">
      <c r="A689" s="2" t="s">
        <v>675</v>
      </c>
      <c r="B689" s="3">
        <v>301155</v>
      </c>
      <c r="C689" s="1">
        <f>IFERROR(VLOOKUP(Таблица2[[#This Row],[Контрагент]],Таблица1[],2,0),0)</f>
        <v>41240</v>
      </c>
      <c r="D689" s="10">
        <f>Таблица2[[#This Row],[Декабрь]]-Таблица2[[#This Row],[Сумма реализации (с возвратами)]]</f>
        <v>-259915</v>
      </c>
    </row>
    <row r="690" spans="1:4" s="1" customFormat="1" ht="10.95" customHeight="1" x14ac:dyDescent="0.2">
      <c r="A690" s="2" t="s">
        <v>676</v>
      </c>
      <c r="B690" s="3">
        <v>345670</v>
      </c>
      <c r="C690" s="1">
        <f>IFERROR(VLOOKUP(Таблица2[[#This Row],[Контрагент]],Таблица1[],2,0),0)</f>
        <v>221536</v>
      </c>
      <c r="D690" s="10">
        <f>Таблица2[[#This Row],[Декабрь]]-Таблица2[[#This Row],[Сумма реализации (с возвратами)]]</f>
        <v>-124134</v>
      </c>
    </row>
    <row r="691" spans="1:4" s="1" customFormat="1" ht="10.95" customHeight="1" x14ac:dyDescent="0.2">
      <c r="A691" s="2" t="s">
        <v>677</v>
      </c>
      <c r="B691" s="3">
        <v>16400</v>
      </c>
      <c r="C691" s="1">
        <f>IFERROR(VLOOKUP(Таблица2[[#This Row],[Контрагент]],Таблица1[],2,0),0)</f>
        <v>371320</v>
      </c>
      <c r="D691" s="10">
        <f>Таблица2[[#This Row],[Декабрь]]-Таблица2[[#This Row],[Сумма реализации (с возвратами)]]</f>
        <v>354920</v>
      </c>
    </row>
    <row r="692" spans="1:4" s="1" customFormat="1" ht="10.95" customHeight="1" x14ac:dyDescent="0.2">
      <c r="A692" s="2" t="s">
        <v>678</v>
      </c>
      <c r="B692" s="3">
        <v>45840</v>
      </c>
      <c r="C692" s="1">
        <f>IFERROR(VLOOKUP(Таблица2[[#This Row],[Контрагент]],Таблица1[],2,0),0)</f>
        <v>78440</v>
      </c>
      <c r="D692" s="10">
        <f>Таблица2[[#This Row],[Декабрь]]-Таблица2[[#This Row],[Сумма реализации (с возвратами)]]</f>
        <v>32600</v>
      </c>
    </row>
    <row r="693" spans="1:4" s="1" customFormat="1" ht="10.95" customHeight="1" x14ac:dyDescent="0.2">
      <c r="A693" s="2" t="s">
        <v>679</v>
      </c>
      <c r="B693" s="3">
        <v>40550</v>
      </c>
      <c r="C693" s="1">
        <f>IFERROR(VLOOKUP(Таблица2[[#This Row],[Контрагент]],Таблица1[],2,0),0)</f>
        <v>391320</v>
      </c>
      <c r="D693" s="10">
        <f>Таблица2[[#This Row],[Декабрь]]-Таблица2[[#This Row],[Сумма реализации (с возвратами)]]</f>
        <v>350770</v>
      </c>
    </row>
    <row r="694" spans="1:4" s="1" customFormat="1" ht="10.95" customHeight="1" x14ac:dyDescent="0.2">
      <c r="A694" s="2" t="s">
        <v>1082</v>
      </c>
      <c r="B694" s="3">
        <v>13200</v>
      </c>
      <c r="C694" s="1">
        <f>IFERROR(VLOOKUP(Таблица2[[#This Row],[Контрагент]],Таблица1[],2,0),0)</f>
        <v>0</v>
      </c>
      <c r="D694" s="10">
        <f>Таблица2[[#This Row],[Декабрь]]-Таблица2[[#This Row],[Сумма реализации (с возвратами)]]</f>
        <v>-13200</v>
      </c>
    </row>
    <row r="695" spans="1:4" s="1" customFormat="1" ht="10.95" customHeight="1" x14ac:dyDescent="0.2">
      <c r="A695" s="2" t="s">
        <v>682</v>
      </c>
      <c r="B695" s="3">
        <v>749425</v>
      </c>
      <c r="C695" s="1">
        <f>IFERROR(VLOOKUP(Таблица2[[#This Row],[Контрагент]],Таблица1[],2,0),0)</f>
        <v>95750</v>
      </c>
      <c r="D695" s="10">
        <f>Таблица2[[#This Row],[Декабрь]]-Таблица2[[#This Row],[Сумма реализации (с возвратами)]]</f>
        <v>-653675</v>
      </c>
    </row>
    <row r="696" spans="1:4" s="1" customFormat="1" ht="10.95" customHeight="1" x14ac:dyDescent="0.2">
      <c r="A696" s="2" t="s">
        <v>683</v>
      </c>
      <c r="B696" s="3">
        <v>181265</v>
      </c>
      <c r="C696" s="1">
        <f>IFERROR(VLOOKUP(Таблица2[[#This Row],[Контрагент]],Таблица1[],2,0),0)</f>
        <v>49950</v>
      </c>
      <c r="D696" s="10">
        <f>Таблица2[[#This Row],[Декабрь]]-Таблица2[[#This Row],[Сумма реализации (с возвратами)]]</f>
        <v>-131315</v>
      </c>
    </row>
    <row r="697" spans="1:4" s="1" customFormat="1" ht="10.95" customHeight="1" x14ac:dyDescent="0.2">
      <c r="A697" s="2" t="s">
        <v>685</v>
      </c>
      <c r="B697" s="3">
        <v>26400</v>
      </c>
      <c r="C697" s="1">
        <f>IFERROR(VLOOKUP(Таблица2[[#This Row],[Контрагент]],Таблица1[],2,0),0)</f>
        <v>41450</v>
      </c>
      <c r="D697" s="10">
        <f>Таблица2[[#This Row],[Декабрь]]-Таблица2[[#This Row],[Сумма реализации (с возвратами)]]</f>
        <v>15050</v>
      </c>
    </row>
    <row r="698" spans="1:4" s="1" customFormat="1" ht="10.95" customHeight="1" x14ac:dyDescent="0.2">
      <c r="A698" s="2" t="s">
        <v>687</v>
      </c>
      <c r="B698" s="3">
        <v>173570</v>
      </c>
      <c r="C698" s="1">
        <f>IFERROR(VLOOKUP(Таблица2[[#This Row],[Контрагент]],Таблица1[],2,0),0)</f>
        <v>191210</v>
      </c>
      <c r="D698" s="10">
        <f>Таблица2[[#This Row],[Декабрь]]-Таблица2[[#This Row],[Сумма реализации (с возвратами)]]</f>
        <v>17640</v>
      </c>
    </row>
    <row r="699" spans="1:4" s="1" customFormat="1" ht="10.95" customHeight="1" x14ac:dyDescent="0.2">
      <c r="A699" s="2" t="s">
        <v>688</v>
      </c>
      <c r="B699" s="3">
        <v>51700</v>
      </c>
      <c r="C699" s="1">
        <f>IFERROR(VLOOKUP(Таблица2[[#This Row],[Контрагент]],Таблица1[],2,0),0)</f>
        <v>35080</v>
      </c>
      <c r="D699" s="10">
        <f>Таблица2[[#This Row],[Декабрь]]-Таблица2[[#This Row],[Сумма реализации (с возвратами)]]</f>
        <v>-16620</v>
      </c>
    </row>
    <row r="700" spans="1:4" s="1" customFormat="1" ht="10.95" customHeight="1" x14ac:dyDescent="0.2">
      <c r="A700" s="2" t="s">
        <v>689</v>
      </c>
      <c r="B700" s="3">
        <v>111230</v>
      </c>
      <c r="C700" s="1">
        <f>IFERROR(VLOOKUP(Таблица2[[#This Row],[Контрагент]],Таблица1[],2,0),0)</f>
        <v>42890</v>
      </c>
      <c r="D700" s="10">
        <f>Таблица2[[#This Row],[Декабрь]]-Таблица2[[#This Row],[Сумма реализации (с возвратами)]]</f>
        <v>-68340</v>
      </c>
    </row>
    <row r="701" spans="1:4" s="1" customFormat="1" ht="10.95" customHeight="1" x14ac:dyDescent="0.2">
      <c r="A701" s="2" t="s">
        <v>690</v>
      </c>
      <c r="B701" s="3">
        <v>187975</v>
      </c>
      <c r="C701" s="1">
        <f>IFERROR(VLOOKUP(Таблица2[[#This Row],[Контрагент]],Таблица1[],2,0),0)</f>
        <v>103310</v>
      </c>
      <c r="D701" s="10">
        <f>Таблица2[[#This Row],[Декабрь]]-Таблица2[[#This Row],[Сумма реализации (с возвратами)]]</f>
        <v>-84665</v>
      </c>
    </row>
    <row r="702" spans="1:4" s="1" customFormat="1" ht="10.95" customHeight="1" x14ac:dyDescent="0.2">
      <c r="A702" s="2" t="s">
        <v>691</v>
      </c>
      <c r="B702" s="3">
        <v>73940</v>
      </c>
      <c r="C702" s="1">
        <f>IFERROR(VLOOKUP(Таблица2[[#This Row],[Контрагент]],Таблица1[],2,0),0)</f>
        <v>186525</v>
      </c>
      <c r="D702" s="10">
        <f>Таблица2[[#This Row],[Декабрь]]-Таблица2[[#This Row],[Сумма реализации (с возвратами)]]</f>
        <v>112585</v>
      </c>
    </row>
    <row r="703" spans="1:4" s="1" customFormat="1" ht="10.95" customHeight="1" x14ac:dyDescent="0.2">
      <c r="A703" s="2" t="s">
        <v>692</v>
      </c>
      <c r="B703" s="3">
        <v>1897275</v>
      </c>
      <c r="C703" s="1">
        <f>IFERROR(VLOOKUP(Таблица2[[#This Row],[Контрагент]],Таблица1[],2,0),0)</f>
        <v>4000</v>
      </c>
      <c r="D703" s="10">
        <f>Таблица2[[#This Row],[Декабрь]]-Таблица2[[#This Row],[Сумма реализации (с возвратами)]]</f>
        <v>-1893275</v>
      </c>
    </row>
    <row r="704" spans="1:4" s="1" customFormat="1" ht="10.95" customHeight="1" x14ac:dyDescent="0.2">
      <c r="A704" s="2" t="s">
        <v>693</v>
      </c>
      <c r="B704" s="3">
        <v>492055</v>
      </c>
      <c r="C704" s="1">
        <f>IFERROR(VLOOKUP(Таблица2[[#This Row],[Контрагент]],Таблица1[],2,0),0)</f>
        <v>208905</v>
      </c>
      <c r="D704" s="10">
        <f>Таблица2[[#This Row],[Декабрь]]-Таблица2[[#This Row],[Сумма реализации (с возвратами)]]</f>
        <v>-283150</v>
      </c>
    </row>
    <row r="705" spans="1:4" s="1" customFormat="1" ht="10.95" customHeight="1" x14ac:dyDescent="0.2">
      <c r="A705" s="2" t="s">
        <v>694</v>
      </c>
      <c r="B705" s="3">
        <v>628750</v>
      </c>
      <c r="C705" s="1">
        <f>IFERROR(VLOOKUP(Таблица2[[#This Row],[Контрагент]],Таблица1[],2,0),0)</f>
        <v>195550</v>
      </c>
      <c r="D705" s="10">
        <f>Таблица2[[#This Row],[Декабрь]]-Таблица2[[#This Row],[Сумма реализации (с возвратами)]]</f>
        <v>-433200</v>
      </c>
    </row>
    <row r="706" spans="1:4" s="1" customFormat="1" ht="10.95" customHeight="1" x14ac:dyDescent="0.2">
      <c r="A706" s="2" t="s">
        <v>695</v>
      </c>
      <c r="B706" s="3">
        <v>1174515</v>
      </c>
      <c r="C706" s="1">
        <f>IFERROR(VLOOKUP(Таблица2[[#This Row],[Контрагент]],Таблица1[],2,0),0)</f>
        <v>141480</v>
      </c>
      <c r="D706" s="10">
        <f>Таблица2[[#This Row],[Декабрь]]-Таблица2[[#This Row],[Сумма реализации (с возвратами)]]</f>
        <v>-1033035</v>
      </c>
    </row>
    <row r="707" spans="1:4" s="1" customFormat="1" ht="10.95" customHeight="1" x14ac:dyDescent="0.2">
      <c r="A707" s="2" t="s">
        <v>696</v>
      </c>
      <c r="B707" s="3">
        <v>415928</v>
      </c>
      <c r="C707" s="1">
        <f>IFERROR(VLOOKUP(Таблица2[[#This Row],[Контрагент]],Таблица1[],2,0),0)</f>
        <v>317695</v>
      </c>
      <c r="D707" s="10">
        <f>Таблица2[[#This Row],[Декабрь]]-Таблица2[[#This Row],[Сумма реализации (с возвратами)]]</f>
        <v>-98233</v>
      </c>
    </row>
    <row r="708" spans="1:4" s="1" customFormat="1" ht="10.95" customHeight="1" x14ac:dyDescent="0.2">
      <c r="A708" s="2" t="s">
        <v>697</v>
      </c>
      <c r="B708" s="3">
        <v>1423825</v>
      </c>
      <c r="C708" s="1">
        <f>IFERROR(VLOOKUP(Таблица2[[#This Row],[Контрагент]],Таблица1[],2,0),0)</f>
        <v>1980590</v>
      </c>
      <c r="D708" s="10">
        <f>Таблица2[[#This Row],[Декабрь]]-Таблица2[[#This Row],[Сумма реализации (с возвратами)]]</f>
        <v>556765</v>
      </c>
    </row>
    <row r="709" spans="1:4" s="1" customFormat="1" ht="10.95" customHeight="1" x14ac:dyDescent="0.2">
      <c r="A709" s="2" t="s">
        <v>698</v>
      </c>
      <c r="B709" s="3">
        <v>167435</v>
      </c>
      <c r="C709" s="1">
        <f>IFERROR(VLOOKUP(Таблица2[[#This Row],[Контрагент]],Таблица1[],2,0),0)</f>
        <v>899610</v>
      </c>
      <c r="D709" s="10">
        <f>Таблица2[[#This Row],[Декабрь]]-Таблица2[[#This Row],[Сумма реализации (с возвратами)]]</f>
        <v>732175</v>
      </c>
    </row>
    <row r="710" spans="1:4" s="1" customFormat="1" ht="10.95" customHeight="1" x14ac:dyDescent="0.2">
      <c r="A710" s="2" t="s">
        <v>1083</v>
      </c>
      <c r="B710" s="3">
        <v>17160</v>
      </c>
      <c r="C710" s="1">
        <f>IFERROR(VLOOKUP(Таблица2[[#This Row],[Контрагент]],Таблица1[],2,0),0)</f>
        <v>0</v>
      </c>
      <c r="D710" s="10">
        <f>Таблица2[[#This Row],[Декабрь]]-Таблица2[[#This Row],[Сумма реализации (с возвратами)]]</f>
        <v>-17160</v>
      </c>
    </row>
    <row r="711" spans="1:4" s="1" customFormat="1" ht="10.95" customHeight="1" x14ac:dyDescent="0.2">
      <c r="A711" s="2" t="s">
        <v>699</v>
      </c>
      <c r="B711" s="3">
        <v>419285</v>
      </c>
      <c r="C711" s="1">
        <f>IFERROR(VLOOKUP(Таблица2[[#This Row],[Контрагент]],Таблица1[],2,0),0)</f>
        <v>538686</v>
      </c>
      <c r="D711" s="10">
        <f>Таблица2[[#This Row],[Декабрь]]-Таблица2[[#This Row],[Сумма реализации (с возвратами)]]</f>
        <v>119401</v>
      </c>
    </row>
    <row r="712" spans="1:4" s="1" customFormat="1" ht="10.95" customHeight="1" x14ac:dyDescent="0.2">
      <c r="A712" s="2" t="s">
        <v>701</v>
      </c>
      <c r="B712" s="3">
        <v>34220</v>
      </c>
      <c r="C712" s="1">
        <f>IFERROR(VLOOKUP(Таблица2[[#This Row],[Контрагент]],Таблица1[],2,0),0)</f>
        <v>56980</v>
      </c>
      <c r="D712" s="10">
        <f>Таблица2[[#This Row],[Декабрь]]-Таблица2[[#This Row],[Сумма реализации (с возвратами)]]</f>
        <v>22760</v>
      </c>
    </row>
    <row r="713" spans="1:4" s="1" customFormat="1" ht="10.95" customHeight="1" x14ac:dyDescent="0.2">
      <c r="A713" s="2" t="s">
        <v>702</v>
      </c>
      <c r="B713" s="3">
        <v>33300</v>
      </c>
      <c r="C713" s="1">
        <f>IFERROR(VLOOKUP(Таблица2[[#This Row],[Контрагент]],Таблица1[],2,0),0)</f>
        <v>27470</v>
      </c>
      <c r="D713" s="10">
        <f>Таблица2[[#This Row],[Декабрь]]-Таблица2[[#This Row],[Сумма реализации (с возвратами)]]</f>
        <v>-5830</v>
      </c>
    </row>
    <row r="714" spans="1:4" s="1" customFormat="1" ht="10.95" customHeight="1" x14ac:dyDescent="0.2">
      <c r="A714" s="2" t="s">
        <v>703</v>
      </c>
      <c r="B714" s="3">
        <v>131550</v>
      </c>
      <c r="C714" s="1">
        <f>IFERROR(VLOOKUP(Таблица2[[#This Row],[Контрагент]],Таблица1[],2,0),0)</f>
        <v>45887</v>
      </c>
      <c r="D714" s="10">
        <f>Таблица2[[#This Row],[Декабрь]]-Таблица2[[#This Row],[Сумма реализации (с возвратами)]]</f>
        <v>-85663</v>
      </c>
    </row>
    <row r="715" spans="1:4" s="1" customFormat="1" ht="10.95" customHeight="1" x14ac:dyDescent="0.2">
      <c r="A715" s="2" t="s">
        <v>704</v>
      </c>
      <c r="B715" s="3">
        <v>83850</v>
      </c>
      <c r="C715" s="1">
        <f>IFERROR(VLOOKUP(Таблица2[[#This Row],[Контрагент]],Таблица1[],2,0),0)</f>
        <v>58660</v>
      </c>
      <c r="D715" s="10">
        <f>Таблица2[[#This Row],[Декабрь]]-Таблица2[[#This Row],[Сумма реализации (с возвратами)]]</f>
        <v>-25190</v>
      </c>
    </row>
    <row r="716" spans="1:4" s="1" customFormat="1" ht="10.95" customHeight="1" x14ac:dyDescent="0.2">
      <c r="A716" s="2" t="s">
        <v>1084</v>
      </c>
      <c r="B716" s="3">
        <v>85200</v>
      </c>
      <c r="C716" s="1">
        <f>IFERROR(VLOOKUP(Таблица2[[#This Row],[Контрагент]],Таблица1[],2,0),0)</f>
        <v>0</v>
      </c>
      <c r="D716" s="10">
        <f>Таблица2[[#This Row],[Декабрь]]-Таблица2[[#This Row],[Сумма реализации (с возвратами)]]</f>
        <v>-85200</v>
      </c>
    </row>
    <row r="717" spans="1:4" s="1" customFormat="1" ht="10.95" customHeight="1" x14ac:dyDescent="0.2">
      <c r="A717" s="2" t="s">
        <v>1085</v>
      </c>
      <c r="B717" s="3">
        <v>51820</v>
      </c>
      <c r="C717" s="1">
        <f>IFERROR(VLOOKUP(Таблица2[[#This Row],[Контрагент]],Таблица1[],2,0),0)</f>
        <v>0</v>
      </c>
      <c r="D717" s="10">
        <f>Таблица2[[#This Row],[Декабрь]]-Таблица2[[#This Row],[Сумма реализации (с возвратами)]]</f>
        <v>-51820</v>
      </c>
    </row>
    <row r="718" spans="1:4" s="1" customFormat="1" ht="10.95" customHeight="1" x14ac:dyDescent="0.2">
      <c r="A718" s="2" t="s">
        <v>1086</v>
      </c>
      <c r="B718" s="3">
        <v>43160</v>
      </c>
      <c r="C718" s="1">
        <f>IFERROR(VLOOKUP(Таблица2[[#This Row],[Контрагент]],Таблица1[],2,0),0)</f>
        <v>0</v>
      </c>
      <c r="D718" s="10">
        <f>Таблица2[[#This Row],[Декабрь]]-Таблица2[[#This Row],[Сумма реализации (с возвратами)]]</f>
        <v>-43160</v>
      </c>
    </row>
    <row r="719" spans="1:4" s="1" customFormat="1" ht="10.95" customHeight="1" x14ac:dyDescent="0.2">
      <c r="A719" s="2" t="s">
        <v>1087</v>
      </c>
      <c r="B719" s="3">
        <v>78180</v>
      </c>
      <c r="C719" s="1">
        <f>IFERROR(VLOOKUP(Таблица2[[#This Row],[Контрагент]],Таблица1[],2,0),0)</f>
        <v>0</v>
      </c>
      <c r="D719" s="10">
        <f>Таблица2[[#This Row],[Декабрь]]-Таблица2[[#This Row],[Сумма реализации (с возвратами)]]</f>
        <v>-78180</v>
      </c>
    </row>
    <row r="720" spans="1:4" s="1" customFormat="1" ht="10.95" customHeight="1" x14ac:dyDescent="0.2">
      <c r="A720" s="2" t="s">
        <v>706</v>
      </c>
      <c r="B720" s="3">
        <v>27770</v>
      </c>
      <c r="C720" s="1">
        <f>IFERROR(VLOOKUP(Таблица2[[#This Row],[Контрагент]],Таблица1[],2,0),0)</f>
        <v>25322</v>
      </c>
      <c r="D720" s="10">
        <f>Таблица2[[#This Row],[Декабрь]]-Таблица2[[#This Row],[Сумма реализации (с возвратами)]]</f>
        <v>-2448</v>
      </c>
    </row>
    <row r="721" spans="1:4" s="1" customFormat="1" ht="10.95" customHeight="1" x14ac:dyDescent="0.2">
      <c r="A721" s="2" t="s">
        <v>707</v>
      </c>
      <c r="B721" s="3">
        <v>292140</v>
      </c>
      <c r="C721" s="1">
        <f>IFERROR(VLOOKUP(Таблица2[[#This Row],[Контрагент]],Таблица1[],2,0),0)</f>
        <v>142450</v>
      </c>
      <c r="D721" s="10">
        <f>Таблица2[[#This Row],[Декабрь]]-Таблица2[[#This Row],[Сумма реализации (с возвратами)]]</f>
        <v>-149690</v>
      </c>
    </row>
    <row r="722" spans="1:4" s="1" customFormat="1" ht="10.95" customHeight="1" x14ac:dyDescent="0.2">
      <c r="A722" s="2" t="s">
        <v>708</v>
      </c>
      <c r="B722" s="3">
        <v>941140</v>
      </c>
      <c r="C722" s="1">
        <f>IFERROR(VLOOKUP(Таблица2[[#This Row],[Контрагент]],Таблица1[],2,0),0)</f>
        <v>324240</v>
      </c>
      <c r="D722" s="10">
        <f>Таблица2[[#This Row],[Декабрь]]-Таблица2[[#This Row],[Сумма реализации (с возвратами)]]</f>
        <v>-616900</v>
      </c>
    </row>
    <row r="723" spans="1:4" s="1" customFormat="1" ht="10.95" customHeight="1" x14ac:dyDescent="0.2">
      <c r="A723" s="2" t="s">
        <v>1088</v>
      </c>
      <c r="B723" s="3">
        <v>20780</v>
      </c>
      <c r="C723" s="1">
        <f>IFERROR(VLOOKUP(Таблица2[[#This Row],[Контрагент]],Таблица1[],2,0),0)</f>
        <v>0</v>
      </c>
      <c r="D723" s="10">
        <f>Таблица2[[#This Row],[Декабрь]]-Таблица2[[#This Row],[Сумма реализации (с возвратами)]]</f>
        <v>-20780</v>
      </c>
    </row>
    <row r="724" spans="1:4" s="1" customFormat="1" ht="10.95" customHeight="1" x14ac:dyDescent="0.2">
      <c r="A724" s="2" t="s">
        <v>709</v>
      </c>
      <c r="B724" s="3">
        <v>78730</v>
      </c>
      <c r="C724" s="1">
        <f>IFERROR(VLOOKUP(Таблица2[[#This Row],[Контрагент]],Таблица1[],2,0),0)</f>
        <v>55715</v>
      </c>
      <c r="D724" s="10">
        <f>Таблица2[[#This Row],[Декабрь]]-Таблица2[[#This Row],[Сумма реализации (с возвратами)]]</f>
        <v>-23015</v>
      </c>
    </row>
    <row r="725" spans="1:4" s="1" customFormat="1" ht="10.95" customHeight="1" x14ac:dyDescent="0.2">
      <c r="A725" s="2" t="s">
        <v>710</v>
      </c>
      <c r="B725" s="3">
        <v>85650</v>
      </c>
      <c r="C725" s="1">
        <f>IFERROR(VLOOKUP(Таблица2[[#This Row],[Контрагент]],Таблица1[],2,0),0)</f>
        <v>70750</v>
      </c>
      <c r="D725" s="10">
        <f>Таблица2[[#This Row],[Декабрь]]-Таблица2[[#This Row],[Сумма реализации (с возвратами)]]</f>
        <v>-14900</v>
      </c>
    </row>
    <row r="726" spans="1:4" s="1" customFormat="1" ht="10.95" customHeight="1" x14ac:dyDescent="0.2">
      <c r="A726" s="2" t="s">
        <v>713</v>
      </c>
      <c r="B726" s="3">
        <v>35740</v>
      </c>
      <c r="C726" s="1">
        <f>IFERROR(VLOOKUP(Таблица2[[#This Row],[Контрагент]],Таблица1[],2,0),0)</f>
        <v>13980</v>
      </c>
      <c r="D726" s="10">
        <f>Таблица2[[#This Row],[Декабрь]]-Таблица2[[#This Row],[Сумма реализации (с возвратами)]]</f>
        <v>-21760</v>
      </c>
    </row>
    <row r="727" spans="1:4" s="1" customFormat="1" ht="10.95" customHeight="1" x14ac:dyDescent="0.2">
      <c r="A727" s="2" t="s">
        <v>714</v>
      </c>
      <c r="B727" s="3">
        <v>213223</v>
      </c>
      <c r="C727" s="1">
        <f>IFERROR(VLOOKUP(Таблица2[[#This Row],[Контрагент]],Таблица1[],2,0),0)</f>
        <v>66060</v>
      </c>
      <c r="D727" s="10">
        <f>Таблица2[[#This Row],[Декабрь]]-Таблица2[[#This Row],[Сумма реализации (с возвратами)]]</f>
        <v>-147163</v>
      </c>
    </row>
    <row r="728" spans="1:4" s="1" customFormat="1" ht="10.95" customHeight="1" x14ac:dyDescent="0.2">
      <c r="A728" s="2" t="s">
        <v>1089</v>
      </c>
      <c r="B728" s="3">
        <v>27000</v>
      </c>
      <c r="C728" s="1">
        <f>IFERROR(VLOOKUP(Таблица2[[#This Row],[Контрагент]],Таблица1[],2,0),0)</f>
        <v>0</v>
      </c>
      <c r="D728" s="10">
        <f>Таблица2[[#This Row],[Декабрь]]-Таблица2[[#This Row],[Сумма реализации (с возвратами)]]</f>
        <v>-27000</v>
      </c>
    </row>
    <row r="729" spans="1:4" s="1" customFormat="1" ht="10.95" customHeight="1" x14ac:dyDescent="0.2">
      <c r="A729" s="2" t="s">
        <v>715</v>
      </c>
      <c r="B729" s="3">
        <v>328140</v>
      </c>
      <c r="C729" s="1">
        <f>IFERROR(VLOOKUP(Таблица2[[#This Row],[Контрагент]],Таблица1[],2,0),0)</f>
        <v>1002840</v>
      </c>
      <c r="D729" s="10">
        <f>Таблица2[[#This Row],[Декабрь]]-Таблица2[[#This Row],[Сумма реализации (с возвратами)]]</f>
        <v>674700</v>
      </c>
    </row>
    <row r="730" spans="1:4" s="1" customFormat="1" ht="10.95" customHeight="1" x14ac:dyDescent="0.2">
      <c r="A730" s="2" t="s">
        <v>716</v>
      </c>
      <c r="B730" s="3">
        <v>113170</v>
      </c>
      <c r="C730" s="1">
        <f>IFERROR(VLOOKUP(Таблица2[[#This Row],[Контрагент]],Таблица1[],2,0),0)</f>
        <v>52250</v>
      </c>
      <c r="D730" s="10">
        <f>Таблица2[[#This Row],[Декабрь]]-Таблица2[[#This Row],[Сумма реализации (с возвратами)]]</f>
        <v>-60920</v>
      </c>
    </row>
    <row r="731" spans="1:4" s="1" customFormat="1" ht="10.95" customHeight="1" x14ac:dyDescent="0.2">
      <c r="A731" s="2" t="s">
        <v>717</v>
      </c>
      <c r="B731" s="3">
        <v>19120</v>
      </c>
      <c r="C731" s="1">
        <f>IFERROR(VLOOKUP(Таблица2[[#This Row],[Контрагент]],Таблица1[],2,0),0)</f>
        <v>16440</v>
      </c>
      <c r="D731" s="10">
        <f>Таблица2[[#This Row],[Декабрь]]-Таблица2[[#This Row],[Сумма реализации (с возвратами)]]</f>
        <v>-2680</v>
      </c>
    </row>
    <row r="732" spans="1:4" s="1" customFormat="1" ht="10.95" customHeight="1" x14ac:dyDescent="0.2">
      <c r="A732" s="2" t="s">
        <v>719</v>
      </c>
      <c r="B732" s="3">
        <v>1952501</v>
      </c>
      <c r="C732" s="1">
        <f>IFERROR(VLOOKUP(Таблица2[[#This Row],[Контрагент]],Таблица1[],2,0),0)</f>
        <v>2922883</v>
      </c>
      <c r="D732" s="10">
        <f>Таблица2[[#This Row],[Декабрь]]-Таблица2[[#This Row],[Сумма реализации (с возвратами)]]</f>
        <v>970382</v>
      </c>
    </row>
    <row r="733" spans="1:4" s="1" customFormat="1" ht="10.95" customHeight="1" x14ac:dyDescent="0.2">
      <c r="A733" s="2" t="s">
        <v>720</v>
      </c>
      <c r="B733" s="3">
        <v>180543</v>
      </c>
      <c r="C733" s="1">
        <f>IFERROR(VLOOKUP(Таблица2[[#This Row],[Контрагент]],Таблица1[],2,0),0)</f>
        <v>96370</v>
      </c>
      <c r="D733" s="10">
        <f>Таблица2[[#This Row],[Декабрь]]-Таблица2[[#This Row],[Сумма реализации (с возвратами)]]</f>
        <v>-84173</v>
      </c>
    </row>
    <row r="734" spans="1:4" s="1" customFormat="1" ht="10.95" customHeight="1" x14ac:dyDescent="0.2">
      <c r="A734" s="2" t="s">
        <v>722</v>
      </c>
      <c r="B734" s="3">
        <v>590200</v>
      </c>
      <c r="C734" s="1">
        <f>IFERROR(VLOOKUP(Таблица2[[#This Row],[Контрагент]],Таблица1[],2,0),0)</f>
        <v>519673</v>
      </c>
      <c r="D734" s="10">
        <f>Таблица2[[#This Row],[Декабрь]]-Таблица2[[#This Row],[Сумма реализации (с возвратами)]]</f>
        <v>-70527</v>
      </c>
    </row>
    <row r="735" spans="1:4" s="1" customFormat="1" ht="10.95" customHeight="1" x14ac:dyDescent="0.2">
      <c r="A735" s="2" t="s">
        <v>724</v>
      </c>
      <c r="B735" s="3">
        <v>17620</v>
      </c>
      <c r="C735" s="1">
        <f>IFERROR(VLOOKUP(Таблица2[[#This Row],[Контрагент]],Таблица1[],2,0),0)</f>
        <v>17950</v>
      </c>
      <c r="D735" s="10">
        <f>Таблица2[[#This Row],[Декабрь]]-Таблица2[[#This Row],[Сумма реализации (с возвратами)]]</f>
        <v>330</v>
      </c>
    </row>
    <row r="736" spans="1:4" s="1" customFormat="1" ht="10.95" customHeight="1" x14ac:dyDescent="0.2">
      <c r="A736" s="2" t="s">
        <v>725</v>
      </c>
      <c r="B736" s="3">
        <v>293430</v>
      </c>
      <c r="C736" s="1">
        <f>IFERROR(VLOOKUP(Таблица2[[#This Row],[Контрагент]],Таблица1[],2,0),0)</f>
        <v>123173</v>
      </c>
      <c r="D736" s="10">
        <f>Таблица2[[#This Row],[Декабрь]]-Таблица2[[#This Row],[Сумма реализации (с возвратами)]]</f>
        <v>-170257</v>
      </c>
    </row>
    <row r="737" spans="1:4" s="1" customFormat="1" ht="10.95" customHeight="1" x14ac:dyDescent="0.2">
      <c r="A737" s="2" t="s">
        <v>1090</v>
      </c>
      <c r="B737" s="3">
        <v>21120</v>
      </c>
      <c r="C737" s="1">
        <f>IFERROR(VLOOKUP(Таблица2[[#This Row],[Контрагент]],Таблица1[],2,0),0)</f>
        <v>0</v>
      </c>
      <c r="D737" s="10">
        <f>Таблица2[[#This Row],[Декабрь]]-Таблица2[[#This Row],[Сумма реализации (с возвратами)]]</f>
        <v>-21120</v>
      </c>
    </row>
    <row r="738" spans="1:4" s="1" customFormat="1" ht="10.95" customHeight="1" x14ac:dyDescent="0.2">
      <c r="A738" s="2" t="s">
        <v>726</v>
      </c>
      <c r="B738" s="3">
        <v>137420</v>
      </c>
      <c r="C738" s="1">
        <f>IFERROR(VLOOKUP(Таблица2[[#This Row],[Контрагент]],Таблица1[],2,0),0)</f>
        <v>205863</v>
      </c>
      <c r="D738" s="10">
        <f>Таблица2[[#This Row],[Декабрь]]-Таблица2[[#This Row],[Сумма реализации (с возвратами)]]</f>
        <v>68443</v>
      </c>
    </row>
    <row r="739" spans="1:4" s="1" customFormat="1" ht="10.95" customHeight="1" x14ac:dyDescent="0.2">
      <c r="A739" s="2" t="s">
        <v>727</v>
      </c>
      <c r="B739" s="3">
        <v>240680</v>
      </c>
      <c r="C739" s="1">
        <f>IFERROR(VLOOKUP(Таблица2[[#This Row],[Контрагент]],Таблица1[],2,0),0)</f>
        <v>295540</v>
      </c>
      <c r="D739" s="10">
        <f>Таблица2[[#This Row],[Декабрь]]-Таблица2[[#This Row],[Сумма реализации (с возвратами)]]</f>
        <v>54860</v>
      </c>
    </row>
    <row r="740" spans="1:4" s="1" customFormat="1" ht="10.95" customHeight="1" x14ac:dyDescent="0.2">
      <c r="A740" s="2" t="s">
        <v>728</v>
      </c>
      <c r="B740" s="3">
        <v>12140</v>
      </c>
      <c r="C740" s="1">
        <f>IFERROR(VLOOKUP(Таблица2[[#This Row],[Контрагент]],Таблица1[],2,0),0)</f>
        <v>45650</v>
      </c>
      <c r="D740" s="10">
        <f>Таблица2[[#This Row],[Декабрь]]-Таблица2[[#This Row],[Сумма реализации (с возвратами)]]</f>
        <v>33510</v>
      </c>
    </row>
    <row r="741" spans="1:4" s="1" customFormat="1" ht="10.95" customHeight="1" x14ac:dyDescent="0.2">
      <c r="A741" s="2" t="s">
        <v>729</v>
      </c>
      <c r="B741" s="3">
        <v>26510</v>
      </c>
      <c r="C741" s="1">
        <f>IFERROR(VLOOKUP(Таблица2[[#This Row],[Контрагент]],Таблица1[],2,0),0)</f>
        <v>34870</v>
      </c>
      <c r="D741" s="10">
        <f>Таблица2[[#This Row],[Декабрь]]-Таблица2[[#This Row],[Сумма реализации (с возвратами)]]</f>
        <v>8360</v>
      </c>
    </row>
    <row r="742" spans="1:4" s="1" customFormat="1" ht="10.95" customHeight="1" x14ac:dyDescent="0.2">
      <c r="A742" s="2" t="s">
        <v>730</v>
      </c>
      <c r="B742" s="3">
        <v>100850</v>
      </c>
      <c r="C742" s="1">
        <f>IFERROR(VLOOKUP(Таблица2[[#This Row],[Контрагент]],Таблица1[],2,0),0)</f>
        <v>149510</v>
      </c>
      <c r="D742" s="10">
        <f>Таблица2[[#This Row],[Декабрь]]-Таблица2[[#This Row],[Сумма реализации (с возвратами)]]</f>
        <v>48660</v>
      </c>
    </row>
    <row r="743" spans="1:4" s="1" customFormat="1" ht="10.95" customHeight="1" x14ac:dyDescent="0.2">
      <c r="A743" s="2" t="s">
        <v>1091</v>
      </c>
      <c r="B743" s="3">
        <v>10060</v>
      </c>
      <c r="C743" s="1">
        <f>IFERROR(VLOOKUP(Таблица2[[#This Row],[Контрагент]],Таблица1[],2,0),0)</f>
        <v>0</v>
      </c>
      <c r="D743" s="10">
        <f>Таблица2[[#This Row],[Декабрь]]-Таблица2[[#This Row],[Сумма реализации (с возвратами)]]</f>
        <v>-10060</v>
      </c>
    </row>
    <row r="744" spans="1:4" s="1" customFormat="1" ht="10.95" customHeight="1" x14ac:dyDescent="0.2">
      <c r="A744" s="2" t="s">
        <v>1092</v>
      </c>
      <c r="B744" s="3">
        <v>30260</v>
      </c>
      <c r="C744" s="1">
        <f>IFERROR(VLOOKUP(Таблица2[[#This Row],[Контрагент]],Таблица1[],2,0),0)</f>
        <v>0</v>
      </c>
      <c r="D744" s="10">
        <f>Таблица2[[#This Row],[Декабрь]]-Таблица2[[#This Row],[Сумма реализации (с возвратами)]]</f>
        <v>-30260</v>
      </c>
    </row>
    <row r="745" spans="1:4" s="1" customFormat="1" ht="10.95" customHeight="1" x14ac:dyDescent="0.2">
      <c r="A745" s="2" t="s">
        <v>1093</v>
      </c>
      <c r="B745" s="3">
        <v>166515</v>
      </c>
      <c r="C745" s="1">
        <f>IFERROR(VLOOKUP(Таблица2[[#This Row],[Контрагент]],Таблица1[],2,0),0)</f>
        <v>0</v>
      </c>
      <c r="D745" s="10">
        <f>Таблица2[[#This Row],[Декабрь]]-Таблица2[[#This Row],[Сумма реализации (с возвратами)]]</f>
        <v>-166515</v>
      </c>
    </row>
    <row r="746" spans="1:4" s="1" customFormat="1" ht="10.95" customHeight="1" x14ac:dyDescent="0.2">
      <c r="A746" s="2" t="s">
        <v>731</v>
      </c>
      <c r="B746" s="3">
        <v>523030</v>
      </c>
      <c r="C746" s="1">
        <f>IFERROR(VLOOKUP(Таблица2[[#This Row],[Контрагент]],Таблица1[],2,0),0)</f>
        <v>311330</v>
      </c>
      <c r="D746" s="10">
        <f>Таблица2[[#This Row],[Декабрь]]-Таблица2[[#This Row],[Сумма реализации (с возвратами)]]</f>
        <v>-211700</v>
      </c>
    </row>
    <row r="747" spans="1:4" s="1" customFormat="1" ht="10.95" customHeight="1" x14ac:dyDescent="0.2">
      <c r="A747" s="2" t="s">
        <v>732</v>
      </c>
      <c r="B747" s="3">
        <v>13720</v>
      </c>
      <c r="C747" s="1">
        <f>IFERROR(VLOOKUP(Таблица2[[#This Row],[Контрагент]],Таблица1[],2,0),0)</f>
        <v>24200</v>
      </c>
      <c r="D747" s="10">
        <f>Таблица2[[#This Row],[Декабрь]]-Таблица2[[#This Row],[Сумма реализации (с возвратами)]]</f>
        <v>10480</v>
      </c>
    </row>
    <row r="748" spans="1:4" s="1" customFormat="1" ht="10.95" customHeight="1" x14ac:dyDescent="0.2">
      <c r="A748" s="2" t="s">
        <v>734</v>
      </c>
      <c r="B748" s="3">
        <v>510541</v>
      </c>
      <c r="C748" s="1">
        <f>IFERROR(VLOOKUP(Таблица2[[#This Row],[Контрагент]],Таблица1[],2,0),0)</f>
        <v>175280</v>
      </c>
      <c r="D748" s="10">
        <f>Таблица2[[#This Row],[Декабрь]]-Таблица2[[#This Row],[Сумма реализации (с возвратами)]]</f>
        <v>-335261</v>
      </c>
    </row>
    <row r="749" spans="1:4" s="1" customFormat="1" ht="10.95" customHeight="1" x14ac:dyDescent="0.2">
      <c r="A749" s="2" t="s">
        <v>735</v>
      </c>
      <c r="B749" s="3">
        <v>378969</v>
      </c>
      <c r="C749" s="1">
        <f>IFERROR(VLOOKUP(Таблица2[[#This Row],[Контрагент]],Таблица1[],2,0),0)</f>
        <v>477809</v>
      </c>
      <c r="D749" s="10">
        <f>Таблица2[[#This Row],[Декабрь]]-Таблица2[[#This Row],[Сумма реализации (с возвратами)]]</f>
        <v>98840</v>
      </c>
    </row>
    <row r="750" spans="1:4" s="1" customFormat="1" ht="10.95" customHeight="1" x14ac:dyDescent="0.2">
      <c r="A750" s="2" t="s">
        <v>736</v>
      </c>
      <c r="B750" s="3">
        <v>36620</v>
      </c>
      <c r="C750" s="1">
        <f>IFERROR(VLOOKUP(Таблица2[[#This Row],[Контрагент]],Таблица1[],2,0),0)</f>
        <v>113430</v>
      </c>
      <c r="D750" s="10">
        <f>Таблица2[[#This Row],[Декабрь]]-Таблица2[[#This Row],[Сумма реализации (с возвратами)]]</f>
        <v>76810</v>
      </c>
    </row>
    <row r="751" spans="1:4" s="1" customFormat="1" ht="10.95" customHeight="1" x14ac:dyDescent="0.2">
      <c r="A751" s="2" t="s">
        <v>737</v>
      </c>
      <c r="B751" s="3">
        <v>15100</v>
      </c>
      <c r="C751" s="1">
        <f>IFERROR(VLOOKUP(Таблица2[[#This Row],[Контрагент]],Таблица1[],2,0),0)</f>
        <v>25580</v>
      </c>
      <c r="D751" s="10">
        <f>Таблица2[[#This Row],[Декабрь]]-Таблица2[[#This Row],[Сумма реализации (с возвратами)]]</f>
        <v>10480</v>
      </c>
    </row>
    <row r="752" spans="1:4" s="1" customFormat="1" ht="10.95" customHeight="1" x14ac:dyDescent="0.2">
      <c r="A752" s="2" t="s">
        <v>738</v>
      </c>
      <c r="B752" s="3">
        <v>229687</v>
      </c>
      <c r="C752" s="1">
        <f>IFERROR(VLOOKUP(Таблица2[[#This Row],[Контрагент]],Таблица1[],2,0),0)</f>
        <v>49046</v>
      </c>
      <c r="D752" s="10">
        <f>Таблица2[[#This Row],[Декабрь]]-Таблица2[[#This Row],[Сумма реализации (с возвратами)]]</f>
        <v>-180641</v>
      </c>
    </row>
    <row r="753" spans="1:4" s="1" customFormat="1" ht="10.95" customHeight="1" x14ac:dyDescent="0.2">
      <c r="A753" s="2" t="s">
        <v>739</v>
      </c>
      <c r="B753" s="3">
        <v>46800</v>
      </c>
      <c r="C753" s="1">
        <f>IFERROR(VLOOKUP(Таблица2[[#This Row],[Контрагент]],Таблица1[],2,0),0)</f>
        <v>10480</v>
      </c>
      <c r="D753" s="10">
        <f>Таблица2[[#This Row],[Декабрь]]-Таблица2[[#This Row],[Сумма реализации (с возвратами)]]</f>
        <v>-36320</v>
      </c>
    </row>
    <row r="754" spans="1:4" s="1" customFormat="1" ht="10.95" customHeight="1" x14ac:dyDescent="0.2">
      <c r="A754" s="2" t="s">
        <v>1094</v>
      </c>
      <c r="B754" s="3">
        <v>30300</v>
      </c>
      <c r="C754" s="1">
        <f>IFERROR(VLOOKUP(Таблица2[[#This Row],[Контрагент]],Таблица1[],2,0),0)</f>
        <v>0</v>
      </c>
      <c r="D754" s="10">
        <f>Таблица2[[#This Row],[Декабрь]]-Таблица2[[#This Row],[Сумма реализации (с возвратами)]]</f>
        <v>-30300</v>
      </c>
    </row>
    <row r="755" spans="1:4" s="1" customFormat="1" ht="10.95" customHeight="1" x14ac:dyDescent="0.2">
      <c r="A755" s="2" t="s">
        <v>740</v>
      </c>
      <c r="B755" s="3">
        <v>150673</v>
      </c>
      <c r="C755" s="1">
        <f>IFERROR(VLOOKUP(Таблица2[[#This Row],[Контрагент]],Таблица1[],2,0),0)</f>
        <v>96430</v>
      </c>
      <c r="D755" s="10">
        <f>Таблица2[[#This Row],[Декабрь]]-Таблица2[[#This Row],[Сумма реализации (с возвратами)]]</f>
        <v>-54243</v>
      </c>
    </row>
    <row r="756" spans="1:4" s="1" customFormat="1" ht="10.95" customHeight="1" x14ac:dyDescent="0.2">
      <c r="A756" s="2" t="s">
        <v>741</v>
      </c>
      <c r="B756" s="3">
        <v>56755</v>
      </c>
      <c r="C756" s="1">
        <f>IFERROR(VLOOKUP(Таблица2[[#This Row],[Контрагент]],Таблица1[],2,0),0)</f>
        <v>35400</v>
      </c>
      <c r="D756" s="10">
        <f>Таблица2[[#This Row],[Декабрь]]-Таблица2[[#This Row],[Сумма реализации (с возвратами)]]</f>
        <v>-21355</v>
      </c>
    </row>
    <row r="757" spans="1:4" s="1" customFormat="1" ht="10.95" customHeight="1" x14ac:dyDescent="0.2">
      <c r="A757" s="2" t="s">
        <v>1095</v>
      </c>
      <c r="B757" s="3">
        <v>134050</v>
      </c>
      <c r="C757" s="1">
        <f>IFERROR(VLOOKUP(Таблица2[[#This Row],[Контрагент]],Таблица1[],2,0),0)</f>
        <v>0</v>
      </c>
      <c r="D757" s="10">
        <f>Таблица2[[#This Row],[Декабрь]]-Таблица2[[#This Row],[Сумма реализации (с возвратами)]]</f>
        <v>-134050</v>
      </c>
    </row>
    <row r="758" spans="1:4" s="1" customFormat="1" ht="10.95" customHeight="1" x14ac:dyDescent="0.2">
      <c r="A758" s="2" t="s">
        <v>742</v>
      </c>
      <c r="B758" s="3">
        <v>67882</v>
      </c>
      <c r="C758" s="1">
        <f>IFERROR(VLOOKUP(Таблица2[[#This Row],[Контрагент]],Таблица1[],2,0),0)</f>
        <v>30552</v>
      </c>
      <c r="D758" s="10">
        <f>Таблица2[[#This Row],[Декабрь]]-Таблица2[[#This Row],[Сумма реализации (с возвратами)]]</f>
        <v>-37330</v>
      </c>
    </row>
    <row r="759" spans="1:4" s="1" customFormat="1" ht="10.95" customHeight="1" x14ac:dyDescent="0.2">
      <c r="A759" s="2" t="s">
        <v>743</v>
      </c>
      <c r="B759" s="3">
        <v>83800</v>
      </c>
      <c r="C759" s="1">
        <f>IFERROR(VLOOKUP(Таблица2[[#This Row],[Контрагент]],Таблица1[],2,0),0)</f>
        <v>21945</v>
      </c>
      <c r="D759" s="10">
        <f>Таблица2[[#This Row],[Декабрь]]-Таблица2[[#This Row],[Сумма реализации (с возвратами)]]</f>
        <v>-61855</v>
      </c>
    </row>
    <row r="760" spans="1:4" s="1" customFormat="1" ht="10.95" customHeight="1" x14ac:dyDescent="0.2">
      <c r="A760" s="2" t="s">
        <v>1096</v>
      </c>
      <c r="B760" s="3">
        <v>36640</v>
      </c>
      <c r="C760" s="1">
        <f>IFERROR(VLOOKUP(Таблица2[[#This Row],[Контрагент]],Таблица1[],2,0),0)</f>
        <v>0</v>
      </c>
      <c r="D760" s="10">
        <f>Таблица2[[#This Row],[Декабрь]]-Таблица2[[#This Row],[Сумма реализации (с возвратами)]]</f>
        <v>-36640</v>
      </c>
    </row>
    <row r="761" spans="1:4" s="1" customFormat="1" ht="10.95" customHeight="1" x14ac:dyDescent="0.2">
      <c r="A761" s="2" t="s">
        <v>744</v>
      </c>
      <c r="B761" s="3">
        <v>116660</v>
      </c>
      <c r="C761" s="1">
        <f>IFERROR(VLOOKUP(Таблица2[[#This Row],[Контрагент]],Таблица1[],2,0),0)</f>
        <v>12300</v>
      </c>
      <c r="D761" s="10">
        <f>Таблица2[[#This Row],[Декабрь]]-Таблица2[[#This Row],[Сумма реализации (с возвратами)]]</f>
        <v>-104360</v>
      </c>
    </row>
    <row r="762" spans="1:4" s="1" customFormat="1" ht="10.95" customHeight="1" x14ac:dyDescent="0.2">
      <c r="A762" s="2" t="s">
        <v>745</v>
      </c>
      <c r="B762" s="3">
        <v>149390</v>
      </c>
      <c r="C762" s="1">
        <f>IFERROR(VLOOKUP(Таблица2[[#This Row],[Контрагент]],Таблица1[],2,0),0)</f>
        <v>286815</v>
      </c>
      <c r="D762" s="10">
        <f>Таблица2[[#This Row],[Декабрь]]-Таблица2[[#This Row],[Сумма реализации (с возвратами)]]</f>
        <v>137425</v>
      </c>
    </row>
    <row r="763" spans="1:4" s="1" customFormat="1" ht="10.95" customHeight="1" x14ac:dyDescent="0.2">
      <c r="A763" s="2" t="s">
        <v>746</v>
      </c>
      <c r="B763" s="3">
        <v>86550</v>
      </c>
      <c r="C763" s="1">
        <f>IFERROR(VLOOKUP(Таблица2[[#This Row],[Контрагент]],Таблица1[],2,0),0)</f>
        <v>45880</v>
      </c>
      <c r="D763" s="10">
        <f>Таблица2[[#This Row],[Декабрь]]-Таблица2[[#This Row],[Сумма реализации (с возвратами)]]</f>
        <v>-40670</v>
      </c>
    </row>
    <row r="764" spans="1:4" s="1" customFormat="1" ht="10.95" customHeight="1" x14ac:dyDescent="0.2">
      <c r="A764" s="2" t="s">
        <v>748</v>
      </c>
      <c r="B764" s="3">
        <v>182600</v>
      </c>
      <c r="C764" s="1">
        <f>IFERROR(VLOOKUP(Таблица2[[#This Row],[Контрагент]],Таблица1[],2,0),0)</f>
        <v>156520</v>
      </c>
      <c r="D764" s="10">
        <f>Таблица2[[#This Row],[Декабрь]]-Таблица2[[#This Row],[Сумма реализации (с возвратами)]]</f>
        <v>-26080</v>
      </c>
    </row>
    <row r="765" spans="1:4" s="1" customFormat="1" ht="10.95" customHeight="1" x14ac:dyDescent="0.2">
      <c r="A765" s="2" t="s">
        <v>1097</v>
      </c>
      <c r="B765" s="3">
        <v>31260</v>
      </c>
      <c r="C765" s="1">
        <f>IFERROR(VLOOKUP(Таблица2[[#This Row],[Контрагент]],Таблица1[],2,0),0)</f>
        <v>0</v>
      </c>
      <c r="D765" s="10">
        <f>Таблица2[[#This Row],[Декабрь]]-Таблица2[[#This Row],[Сумма реализации (с возвратами)]]</f>
        <v>-31260</v>
      </c>
    </row>
    <row r="766" spans="1:4" s="1" customFormat="1" ht="10.95" customHeight="1" x14ac:dyDescent="0.2">
      <c r="A766" s="2" t="s">
        <v>749</v>
      </c>
      <c r="B766" s="3">
        <v>70670</v>
      </c>
      <c r="C766" s="1">
        <f>IFERROR(VLOOKUP(Таблица2[[#This Row],[Контрагент]],Таблица1[],2,0),0)</f>
        <v>29045</v>
      </c>
      <c r="D766" s="10">
        <f>Таблица2[[#This Row],[Декабрь]]-Таблица2[[#This Row],[Сумма реализации (с возвратами)]]</f>
        <v>-41625</v>
      </c>
    </row>
    <row r="767" spans="1:4" s="1" customFormat="1" ht="10.95" customHeight="1" x14ac:dyDescent="0.2">
      <c r="A767" s="2" t="s">
        <v>750</v>
      </c>
      <c r="B767" s="3">
        <v>1622874</v>
      </c>
      <c r="C767" s="1">
        <f>IFERROR(VLOOKUP(Таблица2[[#This Row],[Контрагент]],Таблица1[],2,0),0)</f>
        <v>1999180</v>
      </c>
      <c r="D767" s="10">
        <f>Таблица2[[#This Row],[Декабрь]]-Таблица2[[#This Row],[Сумма реализации (с возвратами)]]</f>
        <v>376306</v>
      </c>
    </row>
    <row r="768" spans="1:4" s="1" customFormat="1" ht="10.95" customHeight="1" x14ac:dyDescent="0.2">
      <c r="A768" s="2" t="s">
        <v>1098</v>
      </c>
      <c r="B768" s="3">
        <v>30410</v>
      </c>
      <c r="C768" s="1">
        <f>IFERROR(VLOOKUP(Таблица2[[#This Row],[Контрагент]],Таблица1[],2,0),0)</f>
        <v>0</v>
      </c>
      <c r="D768" s="10">
        <f>Таблица2[[#This Row],[Декабрь]]-Таблица2[[#This Row],[Сумма реализации (с возвратами)]]</f>
        <v>-30410</v>
      </c>
    </row>
    <row r="769" spans="1:4" s="1" customFormat="1" ht="10.95" customHeight="1" x14ac:dyDescent="0.2">
      <c r="A769" s="2" t="s">
        <v>1099</v>
      </c>
      <c r="B769" s="3">
        <v>39790</v>
      </c>
      <c r="C769" s="1">
        <f>IFERROR(VLOOKUP(Таблица2[[#This Row],[Контрагент]],Таблица1[],2,0),0)</f>
        <v>0</v>
      </c>
      <c r="D769" s="10">
        <f>Таблица2[[#This Row],[Декабрь]]-Таблица2[[#This Row],[Сумма реализации (с возвратами)]]</f>
        <v>-39790</v>
      </c>
    </row>
    <row r="770" spans="1:4" s="1" customFormat="1" ht="10.95" customHeight="1" x14ac:dyDescent="0.2">
      <c r="A770" s="2" t="s">
        <v>751</v>
      </c>
      <c r="B770" s="3">
        <v>107275</v>
      </c>
      <c r="C770" s="1">
        <f>IFERROR(VLOOKUP(Таблица2[[#This Row],[Контрагент]],Таблица1[],2,0),0)</f>
        <v>292790</v>
      </c>
      <c r="D770" s="10">
        <f>Таблица2[[#This Row],[Декабрь]]-Таблица2[[#This Row],[Сумма реализации (с возвратами)]]</f>
        <v>185515</v>
      </c>
    </row>
    <row r="771" spans="1:4" s="1" customFormat="1" ht="10.95" customHeight="1" x14ac:dyDescent="0.2">
      <c r="A771" s="2" t="s">
        <v>1100</v>
      </c>
      <c r="B771" s="3">
        <v>31873</v>
      </c>
      <c r="C771" s="1">
        <f>IFERROR(VLOOKUP(Таблица2[[#This Row],[Контрагент]],Таблица1[],2,0),0)</f>
        <v>0</v>
      </c>
      <c r="D771" s="10">
        <f>Таблица2[[#This Row],[Декабрь]]-Таблица2[[#This Row],[Сумма реализации (с возвратами)]]</f>
        <v>-31873</v>
      </c>
    </row>
    <row r="772" spans="1:4" s="1" customFormat="1" ht="10.95" customHeight="1" x14ac:dyDescent="0.2">
      <c r="A772" s="2" t="s">
        <v>1101</v>
      </c>
      <c r="B772" s="3">
        <v>102430</v>
      </c>
      <c r="C772" s="1">
        <f>IFERROR(VLOOKUP(Таблица2[[#This Row],[Контрагент]],Таблица1[],2,0),0)</f>
        <v>0</v>
      </c>
      <c r="D772" s="10">
        <f>Таблица2[[#This Row],[Декабрь]]-Таблица2[[#This Row],[Сумма реализации (с возвратами)]]</f>
        <v>-102430</v>
      </c>
    </row>
    <row r="773" spans="1:4" s="1" customFormat="1" ht="10.95" customHeight="1" x14ac:dyDescent="0.2">
      <c r="A773" s="2" t="s">
        <v>1102</v>
      </c>
      <c r="B773" s="3">
        <v>18200</v>
      </c>
      <c r="C773" s="1">
        <f>IFERROR(VLOOKUP(Таблица2[[#This Row],[Контрагент]],Таблица1[],2,0),0)</f>
        <v>0</v>
      </c>
      <c r="D773" s="10">
        <f>Таблица2[[#This Row],[Декабрь]]-Таблица2[[#This Row],[Сумма реализации (с возвратами)]]</f>
        <v>-18200</v>
      </c>
    </row>
    <row r="774" spans="1:4" s="1" customFormat="1" ht="10.95" customHeight="1" x14ac:dyDescent="0.2">
      <c r="A774" s="2" t="s">
        <v>1103</v>
      </c>
      <c r="B774" s="3">
        <v>58052</v>
      </c>
      <c r="C774" s="1">
        <f>IFERROR(VLOOKUP(Таблица2[[#This Row],[Контрагент]],Таблица1[],2,0),0)</f>
        <v>0</v>
      </c>
      <c r="D774" s="10">
        <f>Таблица2[[#This Row],[Декабрь]]-Таблица2[[#This Row],[Сумма реализации (с возвратами)]]</f>
        <v>-58052</v>
      </c>
    </row>
    <row r="775" spans="1:4" s="1" customFormat="1" ht="10.95" customHeight="1" x14ac:dyDescent="0.2">
      <c r="A775" s="2" t="s">
        <v>753</v>
      </c>
      <c r="B775" s="3">
        <v>60670</v>
      </c>
      <c r="C775" s="1">
        <f>IFERROR(VLOOKUP(Таблица2[[#This Row],[Контрагент]],Таблица1[],2,0),0)</f>
        <v>31910</v>
      </c>
      <c r="D775" s="10">
        <f>Таблица2[[#This Row],[Декабрь]]-Таблица2[[#This Row],[Сумма реализации (с возвратами)]]</f>
        <v>-28760</v>
      </c>
    </row>
    <row r="776" spans="1:4" s="1" customFormat="1" ht="10.95" customHeight="1" x14ac:dyDescent="0.2">
      <c r="A776" s="2" t="s">
        <v>759</v>
      </c>
      <c r="B776" s="3">
        <v>555185</v>
      </c>
      <c r="C776" s="1">
        <f>IFERROR(VLOOKUP(Таблица2[[#This Row],[Контрагент]],Таблица1[],2,0),0)</f>
        <v>521325</v>
      </c>
      <c r="D776" s="10">
        <f>Таблица2[[#This Row],[Декабрь]]-Таблица2[[#This Row],[Сумма реализации (с возвратами)]]</f>
        <v>-33860</v>
      </c>
    </row>
    <row r="777" spans="1:4" s="1" customFormat="1" ht="10.95" customHeight="1" x14ac:dyDescent="0.2">
      <c r="A777" s="2" t="s">
        <v>1104</v>
      </c>
      <c r="B777" s="3">
        <v>12050</v>
      </c>
      <c r="C777" s="1">
        <f>IFERROR(VLOOKUP(Таблица2[[#This Row],[Контрагент]],Таблица1[],2,0),0)</f>
        <v>0</v>
      </c>
      <c r="D777" s="10">
        <f>Таблица2[[#This Row],[Декабрь]]-Таблица2[[#This Row],[Сумма реализации (с возвратами)]]</f>
        <v>-12050</v>
      </c>
    </row>
    <row r="778" spans="1:4" s="1" customFormat="1" ht="10.95" customHeight="1" x14ac:dyDescent="0.2">
      <c r="A778" s="2" t="s">
        <v>1105</v>
      </c>
      <c r="B778" s="3">
        <v>45800</v>
      </c>
      <c r="C778" s="1">
        <f>IFERROR(VLOOKUP(Таблица2[[#This Row],[Контрагент]],Таблица1[],2,0),0)</f>
        <v>0</v>
      </c>
      <c r="D778" s="10">
        <f>Таблица2[[#This Row],[Декабрь]]-Таблица2[[#This Row],[Сумма реализации (с возвратами)]]</f>
        <v>-45800</v>
      </c>
    </row>
    <row r="779" spans="1:4" s="1" customFormat="1" ht="10.95" customHeight="1" x14ac:dyDescent="0.2">
      <c r="A779" s="2" t="s">
        <v>760</v>
      </c>
      <c r="B779" s="3">
        <v>12160</v>
      </c>
      <c r="C779" s="1">
        <f>IFERROR(VLOOKUP(Таблица2[[#This Row],[Контрагент]],Таблица1[],2,0),0)</f>
        <v>192510</v>
      </c>
      <c r="D779" s="10">
        <f>Таблица2[[#This Row],[Декабрь]]-Таблица2[[#This Row],[Сумма реализации (с возвратами)]]</f>
        <v>180350</v>
      </c>
    </row>
    <row r="780" spans="1:4" s="1" customFormat="1" ht="10.95" customHeight="1" x14ac:dyDescent="0.2">
      <c r="A780" s="2" t="s">
        <v>1106</v>
      </c>
      <c r="B780" s="3">
        <v>51580</v>
      </c>
      <c r="C780" s="1">
        <f>IFERROR(VLOOKUP(Таблица2[[#This Row],[Контрагент]],Таблица1[],2,0),0)</f>
        <v>0</v>
      </c>
      <c r="D780" s="10">
        <f>Таблица2[[#This Row],[Декабрь]]-Таблица2[[#This Row],[Сумма реализации (с возвратами)]]</f>
        <v>-51580</v>
      </c>
    </row>
    <row r="781" spans="1:4" s="1" customFormat="1" ht="10.95" customHeight="1" x14ac:dyDescent="0.2">
      <c r="A781" s="2" t="s">
        <v>763</v>
      </c>
      <c r="B781" s="3">
        <v>130970</v>
      </c>
      <c r="C781" s="1">
        <f>IFERROR(VLOOKUP(Таблица2[[#This Row],[Контрагент]],Таблица1[],2,0),0)</f>
        <v>65510</v>
      </c>
      <c r="D781" s="10">
        <f>Таблица2[[#This Row],[Декабрь]]-Таблица2[[#This Row],[Сумма реализации (с возвратами)]]</f>
        <v>-65460</v>
      </c>
    </row>
    <row r="782" spans="1:4" s="1" customFormat="1" ht="10.95" customHeight="1" x14ac:dyDescent="0.2">
      <c r="A782" s="2" t="s">
        <v>766</v>
      </c>
      <c r="B782" s="3">
        <v>106130</v>
      </c>
      <c r="C782" s="1">
        <f>IFERROR(VLOOKUP(Таблица2[[#This Row],[Контрагент]],Таблица1[],2,0),0)</f>
        <v>13200</v>
      </c>
      <c r="D782" s="10">
        <f>Таблица2[[#This Row],[Декабрь]]-Таблица2[[#This Row],[Сумма реализации (с возвратами)]]</f>
        <v>-92930</v>
      </c>
    </row>
    <row r="783" spans="1:4" s="1" customFormat="1" ht="10.95" customHeight="1" x14ac:dyDescent="0.2">
      <c r="A783" s="2" t="s">
        <v>767</v>
      </c>
      <c r="B783" s="3">
        <v>46980</v>
      </c>
      <c r="C783" s="1">
        <f>IFERROR(VLOOKUP(Таблица2[[#This Row],[Контрагент]],Таблица1[],2,0),0)</f>
        <v>175160</v>
      </c>
      <c r="D783" s="10">
        <f>Таблица2[[#This Row],[Декабрь]]-Таблица2[[#This Row],[Сумма реализации (с возвратами)]]</f>
        <v>128180</v>
      </c>
    </row>
    <row r="784" spans="1:4" s="1" customFormat="1" ht="10.95" customHeight="1" x14ac:dyDescent="0.2">
      <c r="A784" s="2" t="s">
        <v>769</v>
      </c>
      <c r="B784" s="3">
        <v>20760</v>
      </c>
      <c r="C784" s="1">
        <f>IFERROR(VLOOKUP(Таблица2[[#This Row],[Контрагент]],Таблица1[],2,0),0)</f>
        <v>13160</v>
      </c>
      <c r="D784" s="10">
        <f>Таблица2[[#This Row],[Декабрь]]-Таблица2[[#This Row],[Сумма реализации (с возвратами)]]</f>
        <v>-7600</v>
      </c>
    </row>
    <row r="785" spans="1:4" s="1" customFormat="1" ht="10.95" customHeight="1" x14ac:dyDescent="0.2">
      <c r="A785" s="2" t="s">
        <v>770</v>
      </c>
      <c r="B785" s="3">
        <v>111730</v>
      </c>
      <c r="C785" s="1">
        <f>IFERROR(VLOOKUP(Таблица2[[#This Row],[Контрагент]],Таблица1[],2,0),0)</f>
        <v>71040</v>
      </c>
      <c r="D785" s="10">
        <f>Таблица2[[#This Row],[Декабрь]]-Таблица2[[#This Row],[Сумма реализации (с возвратами)]]</f>
        <v>-40690</v>
      </c>
    </row>
    <row r="786" spans="1:4" s="1" customFormat="1" ht="10.95" customHeight="1" x14ac:dyDescent="0.2">
      <c r="A786" s="2" t="s">
        <v>771</v>
      </c>
      <c r="B786" s="3">
        <v>17870</v>
      </c>
      <c r="C786" s="1">
        <f>IFERROR(VLOOKUP(Таблица2[[#This Row],[Контрагент]],Таблица1[],2,0),0)</f>
        <v>76556</v>
      </c>
      <c r="D786" s="10">
        <f>Таблица2[[#This Row],[Декабрь]]-Таблица2[[#This Row],[Сумма реализации (с возвратами)]]</f>
        <v>58686</v>
      </c>
    </row>
    <row r="787" spans="1:4" s="1" customFormat="1" ht="10.95" customHeight="1" x14ac:dyDescent="0.2">
      <c r="A787" s="2" t="s">
        <v>1107</v>
      </c>
      <c r="B787" s="3">
        <v>36160</v>
      </c>
      <c r="C787" s="1">
        <f>IFERROR(VLOOKUP(Таблица2[[#This Row],[Контрагент]],Таблица1[],2,0),0)</f>
        <v>0</v>
      </c>
      <c r="D787" s="10">
        <f>Таблица2[[#This Row],[Декабрь]]-Таблица2[[#This Row],[Сумма реализации (с возвратами)]]</f>
        <v>-36160</v>
      </c>
    </row>
    <row r="788" spans="1:4" s="1" customFormat="1" ht="10.95" customHeight="1" x14ac:dyDescent="0.2">
      <c r="A788" s="2" t="s">
        <v>772</v>
      </c>
      <c r="B788" s="3">
        <v>250725</v>
      </c>
      <c r="C788" s="1">
        <f>IFERROR(VLOOKUP(Таблица2[[#This Row],[Контрагент]],Таблица1[],2,0),0)</f>
        <v>567740</v>
      </c>
      <c r="D788" s="10">
        <f>Таблица2[[#This Row],[Декабрь]]-Таблица2[[#This Row],[Сумма реализации (с возвратами)]]</f>
        <v>317015</v>
      </c>
    </row>
    <row r="789" spans="1:4" s="1" customFormat="1" ht="10.95" customHeight="1" x14ac:dyDescent="0.2">
      <c r="A789" s="2" t="s">
        <v>773</v>
      </c>
      <c r="B789" s="3">
        <v>361654</v>
      </c>
      <c r="C789" s="1">
        <f>IFERROR(VLOOKUP(Таблица2[[#This Row],[Контрагент]],Таблица1[],2,0),0)</f>
        <v>117000</v>
      </c>
      <c r="D789" s="10">
        <f>Таблица2[[#This Row],[Декабрь]]-Таблица2[[#This Row],[Сумма реализации (с возвратами)]]</f>
        <v>-244654</v>
      </c>
    </row>
    <row r="790" spans="1:4" s="1" customFormat="1" ht="10.95" customHeight="1" x14ac:dyDescent="0.2">
      <c r="A790" s="2" t="s">
        <v>774</v>
      </c>
      <c r="B790" s="3">
        <v>46600</v>
      </c>
      <c r="C790" s="1">
        <f>IFERROR(VLOOKUP(Таблица2[[#This Row],[Контрагент]],Таблица1[],2,0),0)</f>
        <v>56100</v>
      </c>
      <c r="D790" s="10">
        <f>Таблица2[[#This Row],[Декабрь]]-Таблица2[[#This Row],[Сумма реализации (с возвратами)]]</f>
        <v>9500</v>
      </c>
    </row>
    <row r="791" spans="1:4" s="1" customFormat="1" ht="10.95" customHeight="1" x14ac:dyDescent="0.2">
      <c r="A791" s="2" t="s">
        <v>775</v>
      </c>
      <c r="B791" s="3">
        <v>302531</v>
      </c>
      <c r="C791" s="1">
        <f>IFERROR(VLOOKUP(Таблица2[[#This Row],[Контрагент]],Таблица1[],2,0),0)</f>
        <v>401610</v>
      </c>
      <c r="D791" s="10">
        <f>Таблица2[[#This Row],[Декабрь]]-Таблица2[[#This Row],[Сумма реализации (с возвратами)]]</f>
        <v>99079</v>
      </c>
    </row>
    <row r="792" spans="1:4" s="1" customFormat="1" ht="10.95" customHeight="1" x14ac:dyDescent="0.2">
      <c r="A792" s="2" t="s">
        <v>1108</v>
      </c>
      <c r="B792" s="3">
        <v>33180</v>
      </c>
      <c r="C792" s="1">
        <f>IFERROR(VLOOKUP(Таблица2[[#This Row],[Контрагент]],Таблица1[],2,0),0)</f>
        <v>0</v>
      </c>
      <c r="D792" s="10">
        <f>Таблица2[[#This Row],[Декабрь]]-Таблица2[[#This Row],[Сумма реализации (с возвратами)]]</f>
        <v>-33180</v>
      </c>
    </row>
    <row r="793" spans="1:4" s="1" customFormat="1" ht="10.95" customHeight="1" x14ac:dyDescent="0.2">
      <c r="A793" s="2" t="s">
        <v>776</v>
      </c>
      <c r="B793" s="4">
        <v>950</v>
      </c>
      <c r="C793" s="1">
        <f>IFERROR(VLOOKUP(Таблица2[[#This Row],[Контрагент]],Таблица1[],2,0),0)</f>
        <v>91170</v>
      </c>
      <c r="D793" s="10">
        <f>Таблица2[[#This Row],[Декабрь]]-Таблица2[[#This Row],[Сумма реализации (с возвратами)]]</f>
        <v>90220</v>
      </c>
    </row>
    <row r="794" spans="1:4" s="1" customFormat="1" ht="10.95" customHeight="1" x14ac:dyDescent="0.2">
      <c r="A794" s="2" t="s">
        <v>1109</v>
      </c>
      <c r="B794" s="3">
        <v>20610</v>
      </c>
      <c r="C794" s="1">
        <f>IFERROR(VLOOKUP(Таблица2[[#This Row],[Контрагент]],Таблица1[],2,0),0)</f>
        <v>0</v>
      </c>
      <c r="D794" s="10">
        <f>Таблица2[[#This Row],[Декабрь]]-Таблица2[[#This Row],[Сумма реализации (с возвратами)]]</f>
        <v>-20610</v>
      </c>
    </row>
    <row r="795" spans="1:4" s="1" customFormat="1" ht="10.95" customHeight="1" x14ac:dyDescent="0.2">
      <c r="A795" s="2" t="s">
        <v>1110</v>
      </c>
      <c r="B795" s="3">
        <v>165913</v>
      </c>
      <c r="C795" s="1">
        <f>IFERROR(VLOOKUP(Таблица2[[#This Row],[Контрагент]],Таблица1[],2,0),0)</f>
        <v>0</v>
      </c>
      <c r="D795" s="10">
        <f>Таблица2[[#This Row],[Декабрь]]-Таблица2[[#This Row],[Сумма реализации (с возвратами)]]</f>
        <v>-165913</v>
      </c>
    </row>
    <row r="796" spans="1:4" s="1" customFormat="1" ht="10.95" customHeight="1" x14ac:dyDescent="0.2">
      <c r="A796" s="2" t="s">
        <v>1111</v>
      </c>
      <c r="B796" s="3">
        <v>60900</v>
      </c>
      <c r="C796" s="1">
        <f>IFERROR(VLOOKUP(Таблица2[[#This Row],[Контрагент]],Таблица1[],2,0),0)</f>
        <v>0</v>
      </c>
      <c r="D796" s="10">
        <f>Таблица2[[#This Row],[Декабрь]]-Таблица2[[#This Row],[Сумма реализации (с возвратами)]]</f>
        <v>-60900</v>
      </c>
    </row>
    <row r="797" spans="1:4" s="1" customFormat="1" ht="10.95" customHeight="1" x14ac:dyDescent="0.2">
      <c r="A797" s="2" t="s">
        <v>778</v>
      </c>
      <c r="B797" s="3">
        <v>84430</v>
      </c>
      <c r="C797" s="1">
        <f>IFERROR(VLOOKUP(Таблица2[[#This Row],[Контрагент]],Таблица1[],2,0),0)</f>
        <v>387243</v>
      </c>
      <c r="D797" s="10">
        <f>Таблица2[[#This Row],[Декабрь]]-Таблица2[[#This Row],[Сумма реализации (с возвратами)]]</f>
        <v>302813</v>
      </c>
    </row>
    <row r="798" spans="1:4" s="1" customFormat="1" ht="10.95" customHeight="1" x14ac:dyDescent="0.2">
      <c r="A798" s="2" t="s">
        <v>779</v>
      </c>
      <c r="B798" s="3">
        <v>110713</v>
      </c>
      <c r="C798" s="1">
        <f>IFERROR(VLOOKUP(Таблица2[[#This Row],[Контрагент]],Таблица1[],2,0),0)</f>
        <v>103960</v>
      </c>
      <c r="D798" s="10">
        <f>Таблица2[[#This Row],[Декабрь]]-Таблица2[[#This Row],[Сумма реализации (с возвратами)]]</f>
        <v>-6753</v>
      </c>
    </row>
    <row r="799" spans="1:4" s="1" customFormat="1" ht="10.95" customHeight="1" x14ac:dyDescent="0.2">
      <c r="A799" s="2" t="s">
        <v>780</v>
      </c>
      <c r="B799" s="3">
        <v>15000</v>
      </c>
      <c r="C799" s="1">
        <f>IFERROR(VLOOKUP(Таблица2[[#This Row],[Контрагент]],Таблица1[],2,0),0)</f>
        <v>22960</v>
      </c>
      <c r="D799" s="10">
        <f>Таблица2[[#This Row],[Декабрь]]-Таблица2[[#This Row],[Сумма реализации (с возвратами)]]</f>
        <v>7960</v>
      </c>
    </row>
    <row r="800" spans="1:4" s="1" customFormat="1" ht="10.95" customHeight="1" x14ac:dyDescent="0.2">
      <c r="A800" s="2" t="s">
        <v>781</v>
      </c>
      <c r="B800" s="3">
        <v>35683</v>
      </c>
      <c r="C800" s="1">
        <f>IFERROR(VLOOKUP(Таблица2[[#This Row],[Контрагент]],Таблица1[],2,0),0)</f>
        <v>78430</v>
      </c>
      <c r="D800" s="10">
        <f>Таблица2[[#This Row],[Декабрь]]-Таблица2[[#This Row],[Сумма реализации (с возвратами)]]</f>
        <v>42747</v>
      </c>
    </row>
    <row r="801" spans="1:4" s="1" customFormat="1" ht="10.95" customHeight="1" x14ac:dyDescent="0.2">
      <c r="A801" s="2" t="s">
        <v>782</v>
      </c>
      <c r="B801" s="3">
        <v>93040</v>
      </c>
      <c r="C801" s="1">
        <f>IFERROR(VLOOKUP(Таблица2[[#This Row],[Контрагент]],Таблица1[],2,0),0)</f>
        <v>241705</v>
      </c>
      <c r="D801" s="10">
        <f>Таблица2[[#This Row],[Декабрь]]-Таблица2[[#This Row],[Сумма реализации (с возвратами)]]</f>
        <v>148665</v>
      </c>
    </row>
    <row r="802" spans="1:4" s="1" customFormat="1" ht="10.95" customHeight="1" x14ac:dyDescent="0.2">
      <c r="A802" s="2" t="s">
        <v>1112</v>
      </c>
      <c r="B802" s="3">
        <v>88230</v>
      </c>
      <c r="C802" s="1">
        <f>IFERROR(VLOOKUP(Таблица2[[#This Row],[Контрагент]],Таблица1[],2,0),0)</f>
        <v>0</v>
      </c>
      <c r="D802" s="10">
        <f>Таблица2[[#This Row],[Декабрь]]-Таблица2[[#This Row],[Сумма реализации (с возвратами)]]</f>
        <v>-88230</v>
      </c>
    </row>
    <row r="803" spans="1:4" s="1" customFormat="1" ht="10.95" customHeight="1" x14ac:dyDescent="0.2">
      <c r="A803" s="2" t="s">
        <v>783</v>
      </c>
      <c r="B803" s="3">
        <v>47670</v>
      </c>
      <c r="C803" s="1">
        <f>IFERROR(VLOOKUP(Таблица2[[#This Row],[Контрагент]],Таблица1[],2,0),0)</f>
        <v>52840</v>
      </c>
      <c r="D803" s="10">
        <f>Таблица2[[#This Row],[Декабрь]]-Таблица2[[#This Row],[Сумма реализации (с возвратами)]]</f>
        <v>5170</v>
      </c>
    </row>
    <row r="804" spans="1:4" s="1" customFormat="1" ht="10.95" customHeight="1" x14ac:dyDescent="0.2">
      <c r="A804" s="2" t="s">
        <v>1113</v>
      </c>
      <c r="B804" s="3">
        <v>98515</v>
      </c>
      <c r="C804" s="1">
        <f>IFERROR(VLOOKUP(Таблица2[[#This Row],[Контрагент]],Таблица1[],2,0),0)</f>
        <v>0</v>
      </c>
      <c r="D804" s="10">
        <f>Таблица2[[#This Row],[Декабрь]]-Таблица2[[#This Row],[Сумма реализации (с возвратами)]]</f>
        <v>-98515</v>
      </c>
    </row>
    <row r="805" spans="1:4" s="1" customFormat="1" ht="10.95" customHeight="1" x14ac:dyDescent="0.2">
      <c r="A805" s="2" t="s">
        <v>1114</v>
      </c>
      <c r="B805" s="3">
        <v>1372700</v>
      </c>
      <c r="C805" s="1">
        <f>IFERROR(VLOOKUP(Таблица2[[#This Row],[Контрагент]],Таблица1[],2,0),0)</f>
        <v>0</v>
      </c>
      <c r="D805" s="10">
        <f>Таблица2[[#This Row],[Декабрь]]-Таблица2[[#This Row],[Сумма реализации (с возвратами)]]</f>
        <v>-1372700</v>
      </c>
    </row>
    <row r="806" spans="1:4" s="1" customFormat="1" ht="10.95" customHeight="1" x14ac:dyDescent="0.2">
      <c r="A806" s="2" t="s">
        <v>786</v>
      </c>
      <c r="B806" s="3">
        <v>84070</v>
      </c>
      <c r="C806" s="1">
        <f>IFERROR(VLOOKUP(Таблица2[[#This Row],[Контрагент]],Таблица1[],2,0),0)</f>
        <v>47010</v>
      </c>
      <c r="D806" s="10">
        <f>Таблица2[[#This Row],[Декабрь]]-Таблица2[[#This Row],[Сумма реализации (с возвратами)]]</f>
        <v>-37060</v>
      </c>
    </row>
    <row r="807" spans="1:4" s="1" customFormat="1" ht="10.95" customHeight="1" x14ac:dyDescent="0.2">
      <c r="A807" s="2" t="s">
        <v>1115</v>
      </c>
      <c r="B807" s="3">
        <v>11750</v>
      </c>
      <c r="C807" s="1">
        <f>IFERROR(VLOOKUP(Таблица2[[#This Row],[Контрагент]],Таблица1[],2,0),0)</f>
        <v>0</v>
      </c>
      <c r="D807" s="10">
        <f>Таблица2[[#This Row],[Декабрь]]-Таблица2[[#This Row],[Сумма реализации (с возвратами)]]</f>
        <v>-11750</v>
      </c>
    </row>
    <row r="808" spans="1:4" s="1" customFormat="1" ht="10.95" customHeight="1" x14ac:dyDescent="0.2">
      <c r="A808" s="2" t="s">
        <v>1116</v>
      </c>
      <c r="B808" s="3">
        <v>118756</v>
      </c>
      <c r="C808" s="1">
        <f>IFERROR(VLOOKUP(Таблица2[[#This Row],[Контрагент]],Таблица1[],2,0),0)</f>
        <v>0</v>
      </c>
      <c r="D808" s="10">
        <f>Таблица2[[#This Row],[Декабрь]]-Таблица2[[#This Row],[Сумма реализации (с возвратами)]]</f>
        <v>-118756</v>
      </c>
    </row>
    <row r="809" spans="1:4" s="1" customFormat="1" ht="10.95" customHeight="1" x14ac:dyDescent="0.2">
      <c r="A809" s="2" t="s">
        <v>787</v>
      </c>
      <c r="B809" s="3">
        <v>4009161</v>
      </c>
      <c r="C809" s="1">
        <f>IFERROR(VLOOKUP(Таблица2[[#This Row],[Контрагент]],Таблица1[],2,0),0)</f>
        <v>1093190</v>
      </c>
      <c r="D809" s="10">
        <f>Таблица2[[#This Row],[Декабрь]]-Таблица2[[#This Row],[Сумма реализации (с возвратами)]]</f>
        <v>-2915971</v>
      </c>
    </row>
    <row r="810" spans="1:4" s="1" customFormat="1" ht="10.95" customHeight="1" x14ac:dyDescent="0.2">
      <c r="A810" s="2" t="s">
        <v>788</v>
      </c>
      <c r="B810" s="3">
        <v>63940</v>
      </c>
      <c r="C810" s="1">
        <f>IFERROR(VLOOKUP(Таблица2[[#This Row],[Контрагент]],Таблица1[],2,0),0)</f>
        <v>114810</v>
      </c>
      <c r="D810" s="10">
        <f>Таблица2[[#This Row],[Декабрь]]-Таблица2[[#This Row],[Сумма реализации (с возвратами)]]</f>
        <v>50870</v>
      </c>
    </row>
    <row r="811" spans="1:4" s="1" customFormat="1" ht="10.95" customHeight="1" x14ac:dyDescent="0.2">
      <c r="A811" s="2" t="s">
        <v>789</v>
      </c>
      <c r="B811" s="3">
        <v>1638996</v>
      </c>
      <c r="C811" s="1">
        <f>IFERROR(VLOOKUP(Таблица2[[#This Row],[Контрагент]],Таблица1[],2,0),0)</f>
        <v>1648954</v>
      </c>
      <c r="D811" s="10">
        <f>Таблица2[[#This Row],[Декабрь]]-Таблица2[[#This Row],[Сумма реализации (с возвратами)]]</f>
        <v>9958</v>
      </c>
    </row>
    <row r="812" spans="1:4" s="1" customFormat="1" ht="10.95" customHeight="1" x14ac:dyDescent="0.2">
      <c r="A812" s="2" t="s">
        <v>790</v>
      </c>
      <c r="B812" s="3">
        <v>239263</v>
      </c>
      <c r="C812" s="1">
        <f>IFERROR(VLOOKUP(Таблица2[[#This Row],[Контрагент]],Таблица1[],2,0),0)</f>
        <v>350240</v>
      </c>
      <c r="D812" s="10">
        <f>Таблица2[[#This Row],[Декабрь]]-Таблица2[[#This Row],[Сумма реализации (с возвратами)]]</f>
        <v>110977</v>
      </c>
    </row>
    <row r="813" spans="1:4" s="1" customFormat="1" ht="10.95" customHeight="1" x14ac:dyDescent="0.2">
      <c r="A813" s="2" t="s">
        <v>791</v>
      </c>
      <c r="B813" s="3">
        <v>680631</v>
      </c>
      <c r="C813" s="1">
        <f>IFERROR(VLOOKUP(Таблица2[[#This Row],[Контрагент]],Таблица1[],2,0),0)</f>
        <v>1088948</v>
      </c>
      <c r="D813" s="10">
        <f>Таблица2[[#This Row],[Декабрь]]-Таблица2[[#This Row],[Сумма реализации (с возвратами)]]</f>
        <v>408317</v>
      </c>
    </row>
    <row r="814" spans="1:4" s="1" customFormat="1" ht="10.95" customHeight="1" x14ac:dyDescent="0.2">
      <c r="A814" s="2" t="s">
        <v>792</v>
      </c>
      <c r="B814" s="3">
        <v>-60640</v>
      </c>
      <c r="C814" s="1">
        <f>IFERROR(VLOOKUP(Таблица2[[#This Row],[Контрагент]],Таблица1[],2,0),0)</f>
        <v>1210880</v>
      </c>
      <c r="D814" s="10">
        <f>Таблица2[[#This Row],[Декабрь]]-Таблица2[[#This Row],[Сумма реализации (с возвратами)]]</f>
        <v>1271520</v>
      </c>
    </row>
    <row r="815" spans="1:4" s="1" customFormat="1" ht="10.95" customHeight="1" x14ac:dyDescent="0.2">
      <c r="A815" s="2" t="s">
        <v>793</v>
      </c>
      <c r="B815" s="3">
        <v>112930</v>
      </c>
      <c r="C815" s="1">
        <f>IFERROR(VLOOKUP(Таблица2[[#This Row],[Контрагент]],Таблица1[],2,0),0)</f>
        <v>109150</v>
      </c>
      <c r="D815" s="10">
        <f>Таблица2[[#This Row],[Декабрь]]-Таблица2[[#This Row],[Сумма реализации (с возвратами)]]</f>
        <v>-3780</v>
      </c>
    </row>
    <row r="816" spans="1:4" s="1" customFormat="1" ht="10.95" customHeight="1" x14ac:dyDescent="0.2">
      <c r="A816" s="2" t="s">
        <v>794</v>
      </c>
      <c r="B816" s="3">
        <v>142730</v>
      </c>
      <c r="C816" s="1">
        <f>IFERROR(VLOOKUP(Таблица2[[#This Row],[Контрагент]],Таблица1[],2,0),0)</f>
        <v>261510</v>
      </c>
      <c r="D816" s="10">
        <f>Таблица2[[#This Row],[Декабрь]]-Таблица2[[#This Row],[Сумма реализации (с возвратами)]]</f>
        <v>118780</v>
      </c>
    </row>
    <row r="817" spans="1:4" s="1" customFormat="1" ht="10.95" customHeight="1" x14ac:dyDescent="0.2">
      <c r="A817" s="2" t="s">
        <v>795</v>
      </c>
      <c r="B817" s="3">
        <v>409670</v>
      </c>
      <c r="C817" s="1">
        <f>IFERROR(VLOOKUP(Таблица2[[#This Row],[Контрагент]],Таблица1[],2,0),0)</f>
        <v>1006115</v>
      </c>
      <c r="D817" s="10">
        <f>Таблица2[[#This Row],[Декабрь]]-Таблица2[[#This Row],[Сумма реализации (с возвратами)]]</f>
        <v>596445</v>
      </c>
    </row>
    <row r="818" spans="1:4" s="1" customFormat="1" ht="10.95" customHeight="1" x14ac:dyDescent="0.2">
      <c r="A818" s="2" t="s">
        <v>1117</v>
      </c>
      <c r="B818" s="3">
        <v>82585</v>
      </c>
      <c r="C818" s="1">
        <f>IFERROR(VLOOKUP(Таблица2[[#This Row],[Контрагент]],Таблица1[],2,0),0)</f>
        <v>0</v>
      </c>
      <c r="D818" s="10">
        <f>Таблица2[[#This Row],[Декабрь]]-Таблица2[[#This Row],[Сумма реализации (с возвратами)]]</f>
        <v>-82585</v>
      </c>
    </row>
    <row r="819" spans="1:4" s="1" customFormat="1" ht="10.95" customHeight="1" x14ac:dyDescent="0.2">
      <c r="A819" s="2" t="s">
        <v>796</v>
      </c>
      <c r="B819" s="3">
        <v>68480</v>
      </c>
      <c r="C819" s="1">
        <f>IFERROR(VLOOKUP(Таблица2[[#This Row],[Контрагент]],Таблица1[],2,0),0)</f>
        <v>99340</v>
      </c>
      <c r="D819" s="10">
        <f>Таблица2[[#This Row],[Декабрь]]-Таблица2[[#This Row],[Сумма реализации (с возвратами)]]</f>
        <v>30860</v>
      </c>
    </row>
    <row r="820" spans="1:4" s="1" customFormat="1" ht="10.95" customHeight="1" x14ac:dyDescent="0.2">
      <c r="A820" s="2" t="s">
        <v>1118</v>
      </c>
      <c r="B820" s="3">
        <v>18200</v>
      </c>
      <c r="C820" s="1">
        <f>IFERROR(VLOOKUP(Таблица2[[#This Row],[Контрагент]],Таблица1[],2,0),0)</f>
        <v>0</v>
      </c>
      <c r="D820" s="10">
        <f>Таблица2[[#This Row],[Декабрь]]-Таблица2[[#This Row],[Сумма реализации (с возвратами)]]</f>
        <v>-18200</v>
      </c>
    </row>
    <row r="821" spans="1:4" s="1" customFormat="1" ht="10.95" customHeight="1" x14ac:dyDescent="0.2">
      <c r="A821" s="2" t="s">
        <v>1119</v>
      </c>
      <c r="B821" s="3">
        <v>38180</v>
      </c>
      <c r="C821" s="1">
        <f>IFERROR(VLOOKUP(Таблица2[[#This Row],[Контрагент]],Таблица1[],2,0),0)</f>
        <v>0</v>
      </c>
      <c r="D821" s="10">
        <f>Таблица2[[#This Row],[Декабрь]]-Таблица2[[#This Row],[Сумма реализации (с возвратами)]]</f>
        <v>-38180</v>
      </c>
    </row>
    <row r="822" spans="1:4" s="1" customFormat="1" ht="10.95" customHeight="1" x14ac:dyDescent="0.2">
      <c r="A822" s="2" t="s">
        <v>797</v>
      </c>
      <c r="B822" s="3">
        <v>14000</v>
      </c>
      <c r="C822" s="1">
        <f>IFERROR(VLOOKUP(Таблица2[[#This Row],[Контрагент]],Таблица1[],2,0),0)</f>
        <v>13030</v>
      </c>
      <c r="D822" s="10">
        <f>Таблица2[[#This Row],[Декабрь]]-Таблица2[[#This Row],[Сумма реализации (с возвратами)]]</f>
        <v>-970</v>
      </c>
    </row>
    <row r="823" spans="1:4" s="1" customFormat="1" ht="10.95" customHeight="1" x14ac:dyDescent="0.2">
      <c r="A823" s="2" t="s">
        <v>798</v>
      </c>
      <c r="B823" s="3">
        <v>160280</v>
      </c>
      <c r="C823" s="1">
        <f>IFERROR(VLOOKUP(Таблица2[[#This Row],[Контрагент]],Таблица1[],2,0),0)</f>
        <v>29420</v>
      </c>
      <c r="D823" s="10">
        <f>Таблица2[[#This Row],[Декабрь]]-Таблица2[[#This Row],[Сумма реализации (с возвратами)]]</f>
        <v>-130860</v>
      </c>
    </row>
    <row r="824" spans="1:4" s="1" customFormat="1" ht="10.95" customHeight="1" x14ac:dyDescent="0.2">
      <c r="A824" s="2" t="s">
        <v>799</v>
      </c>
      <c r="B824" s="3">
        <v>240674</v>
      </c>
      <c r="C824" s="1">
        <f>IFERROR(VLOOKUP(Таблица2[[#This Row],[Контрагент]],Таблица1[],2,0),0)</f>
        <v>219230</v>
      </c>
      <c r="D824" s="10">
        <f>Таблица2[[#This Row],[Декабрь]]-Таблица2[[#This Row],[Сумма реализации (с возвратами)]]</f>
        <v>-21444</v>
      </c>
    </row>
    <row r="825" spans="1:4" s="1" customFormat="1" ht="10.95" customHeight="1" x14ac:dyDescent="0.2">
      <c r="A825" s="2" t="s">
        <v>1120</v>
      </c>
      <c r="B825" s="3">
        <v>22920</v>
      </c>
      <c r="C825" s="1">
        <f>IFERROR(VLOOKUP(Таблица2[[#This Row],[Контрагент]],Таблица1[],2,0),0)</f>
        <v>0</v>
      </c>
      <c r="D825" s="10">
        <f>Таблица2[[#This Row],[Декабрь]]-Таблица2[[#This Row],[Сумма реализации (с возвратами)]]</f>
        <v>-22920</v>
      </c>
    </row>
    <row r="826" spans="1:4" s="1" customFormat="1" ht="10.95" customHeight="1" x14ac:dyDescent="0.2">
      <c r="A826" s="2" t="s">
        <v>803</v>
      </c>
      <c r="B826" s="3">
        <v>30953</v>
      </c>
      <c r="C826" s="1">
        <f>IFERROR(VLOOKUP(Таблица2[[#This Row],[Контрагент]],Таблица1[],2,0),0)</f>
        <v>161940</v>
      </c>
      <c r="D826" s="10">
        <f>Таблица2[[#This Row],[Декабрь]]-Таблица2[[#This Row],[Сумма реализации (с возвратами)]]</f>
        <v>130987</v>
      </c>
    </row>
    <row r="827" spans="1:4" s="1" customFormat="1" ht="10.95" customHeight="1" x14ac:dyDescent="0.2">
      <c r="A827" s="2" t="s">
        <v>804</v>
      </c>
      <c r="B827" s="3">
        <v>76230</v>
      </c>
      <c r="C827" s="1">
        <f>IFERROR(VLOOKUP(Таблица2[[#This Row],[Контрагент]],Таблица1[],2,0),0)</f>
        <v>79450</v>
      </c>
      <c r="D827" s="10">
        <f>Таблица2[[#This Row],[Декабрь]]-Таблица2[[#This Row],[Сумма реализации (с возвратами)]]</f>
        <v>3220</v>
      </c>
    </row>
    <row r="828" spans="1:4" s="1" customFormat="1" ht="10.95" customHeight="1" x14ac:dyDescent="0.2">
      <c r="A828" s="2" t="s">
        <v>805</v>
      </c>
      <c r="B828" s="3">
        <v>318359</v>
      </c>
      <c r="C828" s="1">
        <f>IFERROR(VLOOKUP(Таблица2[[#This Row],[Контрагент]],Таблица1[],2,0),0)</f>
        <v>182640</v>
      </c>
      <c r="D828" s="10">
        <f>Таблица2[[#This Row],[Декабрь]]-Таблица2[[#This Row],[Сумма реализации (с возвратами)]]</f>
        <v>-135719</v>
      </c>
    </row>
    <row r="829" spans="1:4" s="1" customFormat="1" ht="10.95" customHeight="1" x14ac:dyDescent="0.2">
      <c r="A829" s="2" t="s">
        <v>806</v>
      </c>
      <c r="B829" s="3">
        <v>289770</v>
      </c>
      <c r="C829" s="1">
        <f>IFERROR(VLOOKUP(Таблица2[[#This Row],[Контрагент]],Таблица1[],2,0),0)</f>
        <v>222780</v>
      </c>
      <c r="D829" s="10">
        <f>Таблица2[[#This Row],[Декабрь]]-Таблица2[[#This Row],[Сумма реализации (с возвратами)]]</f>
        <v>-66990</v>
      </c>
    </row>
    <row r="830" spans="1:4" s="1" customFormat="1" ht="10.95" customHeight="1" x14ac:dyDescent="0.2">
      <c r="A830" s="2" t="s">
        <v>1121</v>
      </c>
      <c r="B830" s="3">
        <v>8590</v>
      </c>
      <c r="C830" s="1">
        <f>IFERROR(VLOOKUP(Таблица2[[#This Row],[Контрагент]],Таблица1[],2,0),0)</f>
        <v>0</v>
      </c>
      <c r="D830" s="10">
        <f>Таблица2[[#This Row],[Декабрь]]-Таблица2[[#This Row],[Сумма реализации (с возвратами)]]</f>
        <v>-8590</v>
      </c>
    </row>
    <row r="831" spans="1:4" s="1" customFormat="1" ht="10.95" customHeight="1" x14ac:dyDescent="0.2">
      <c r="A831" s="2" t="s">
        <v>808</v>
      </c>
      <c r="B831" s="3">
        <v>193270</v>
      </c>
      <c r="C831" s="1">
        <f>IFERROR(VLOOKUP(Таблица2[[#This Row],[Контрагент]],Таблица1[],2,0),0)</f>
        <v>100800</v>
      </c>
      <c r="D831" s="10">
        <f>Таблица2[[#This Row],[Декабрь]]-Таблица2[[#This Row],[Сумма реализации (с возвратами)]]</f>
        <v>-92470</v>
      </c>
    </row>
    <row r="832" spans="1:4" s="1" customFormat="1" ht="10.95" customHeight="1" x14ac:dyDescent="0.2">
      <c r="A832" s="2" t="s">
        <v>809</v>
      </c>
      <c r="B832" s="3">
        <v>43050</v>
      </c>
      <c r="C832" s="1">
        <f>IFERROR(VLOOKUP(Таблица2[[#This Row],[Контрагент]],Таблица1[],2,0),0)</f>
        <v>6910</v>
      </c>
      <c r="D832" s="10">
        <f>Таблица2[[#This Row],[Декабрь]]-Таблица2[[#This Row],[Сумма реализации (с возвратами)]]</f>
        <v>-36140</v>
      </c>
    </row>
    <row r="833" spans="1:4" s="1" customFormat="1" ht="10.95" customHeight="1" x14ac:dyDescent="0.2">
      <c r="A833" s="2" t="s">
        <v>1122</v>
      </c>
      <c r="B833" s="4">
        <v>400</v>
      </c>
      <c r="C833" s="1">
        <f>IFERROR(VLOOKUP(Таблица2[[#This Row],[Контрагент]],Таблица1[],2,0),0)</f>
        <v>0</v>
      </c>
      <c r="D833" s="10">
        <f>Таблица2[[#This Row],[Декабрь]]-Таблица2[[#This Row],[Сумма реализации (с возвратами)]]</f>
        <v>-400</v>
      </c>
    </row>
    <row r="834" spans="1:4" s="1" customFormat="1" ht="10.95" customHeight="1" x14ac:dyDescent="0.2">
      <c r="A834" s="2" t="s">
        <v>810</v>
      </c>
      <c r="B834" s="3">
        <v>35590</v>
      </c>
      <c r="C834" s="1">
        <f>IFERROR(VLOOKUP(Таблица2[[#This Row],[Контрагент]],Таблица1[],2,0),0)</f>
        <v>75030</v>
      </c>
      <c r="D834" s="10">
        <f>Таблица2[[#This Row],[Декабрь]]-Таблица2[[#This Row],[Сумма реализации (с возвратами)]]</f>
        <v>39440</v>
      </c>
    </row>
    <row r="835" spans="1:4" s="1" customFormat="1" ht="10.95" customHeight="1" x14ac:dyDescent="0.2">
      <c r="A835" s="2" t="s">
        <v>813</v>
      </c>
      <c r="B835" s="3">
        <v>16990</v>
      </c>
      <c r="C835" s="1">
        <f>IFERROR(VLOOKUP(Таблица2[[#This Row],[Контрагент]],Таблица1[],2,0),0)</f>
        <v>2600</v>
      </c>
      <c r="D835" s="10">
        <f>Таблица2[[#This Row],[Декабрь]]-Таблица2[[#This Row],[Сумма реализации (с возвратами)]]</f>
        <v>-14390</v>
      </c>
    </row>
    <row r="836" spans="1:4" s="1" customFormat="1" ht="10.95" customHeight="1" x14ac:dyDescent="0.2">
      <c r="A836" s="2" t="s">
        <v>814</v>
      </c>
      <c r="B836" s="3">
        <v>6800</v>
      </c>
      <c r="C836" s="1">
        <f>IFERROR(VLOOKUP(Таблица2[[#This Row],[Контрагент]],Таблица1[],2,0),0)</f>
        <v>105530</v>
      </c>
      <c r="D836" s="10">
        <f>Таблица2[[#This Row],[Декабрь]]-Таблица2[[#This Row],[Сумма реализации (с возвратами)]]</f>
        <v>98730</v>
      </c>
    </row>
    <row r="837" spans="1:4" s="1" customFormat="1" ht="10.95" customHeight="1" x14ac:dyDescent="0.2">
      <c r="A837" s="2" t="s">
        <v>1123</v>
      </c>
      <c r="B837" s="3">
        <v>2200</v>
      </c>
      <c r="C837" s="1">
        <f>IFERROR(VLOOKUP(Таблица2[[#This Row],[Контрагент]],Таблица1[],2,0),0)</f>
        <v>0</v>
      </c>
      <c r="D837" s="10">
        <f>Таблица2[[#This Row],[Декабрь]]-Таблица2[[#This Row],[Сумма реализации (с возвратами)]]</f>
        <v>-2200</v>
      </c>
    </row>
    <row r="838" spans="1:4" s="1" customFormat="1" ht="10.95" customHeight="1" x14ac:dyDescent="0.2">
      <c r="A838" s="2" t="s">
        <v>816</v>
      </c>
      <c r="B838" s="3">
        <v>8900</v>
      </c>
      <c r="C838" s="1">
        <f>IFERROR(VLOOKUP(Таблица2[[#This Row],[Контрагент]],Таблица1[],2,0),0)</f>
        <v>110160</v>
      </c>
      <c r="D838" s="10">
        <f>Таблица2[[#This Row],[Декабрь]]-Таблица2[[#This Row],[Сумма реализации (с возвратами)]]</f>
        <v>101260</v>
      </c>
    </row>
    <row r="839" spans="1:4" s="1" customFormat="1" ht="10.95" customHeight="1" x14ac:dyDescent="0.2">
      <c r="A839" s="2" t="s">
        <v>817</v>
      </c>
      <c r="B839" s="3">
        <v>92080</v>
      </c>
      <c r="C839" s="1">
        <f>IFERROR(VLOOKUP(Таблица2[[#This Row],[Контрагент]],Таблица1[],2,0),0)</f>
        <v>11300</v>
      </c>
      <c r="D839" s="10">
        <f>Таблица2[[#This Row],[Декабрь]]-Таблица2[[#This Row],[Сумма реализации (с возвратами)]]</f>
        <v>-80780</v>
      </c>
    </row>
    <row r="840" spans="1:4" s="1" customFormat="1" ht="10.95" customHeight="1" x14ac:dyDescent="0.2">
      <c r="A840" s="2" t="s">
        <v>818</v>
      </c>
      <c r="B840" s="3">
        <v>40200</v>
      </c>
      <c r="C840" s="1">
        <f>IFERROR(VLOOKUP(Таблица2[[#This Row],[Контрагент]],Таблица1[],2,0),0)</f>
        <v>91780</v>
      </c>
      <c r="D840" s="10">
        <f>Таблица2[[#This Row],[Декабрь]]-Таблица2[[#This Row],[Сумма реализации (с возвратами)]]</f>
        <v>51580</v>
      </c>
    </row>
    <row r="841" spans="1:4" s="1" customFormat="1" ht="10.95" customHeight="1" x14ac:dyDescent="0.2">
      <c r="A841" s="2" t="s">
        <v>819</v>
      </c>
      <c r="B841" s="3">
        <v>14037090</v>
      </c>
      <c r="C841" s="1">
        <f>IFERROR(VLOOKUP(Таблица2[[#This Row],[Контрагент]],Таблица1[],2,0),0)</f>
        <v>14997540</v>
      </c>
      <c r="D841" s="10">
        <f>Таблица2[[#This Row],[Декабрь]]-Таблица2[[#This Row],[Сумма реализации (с возвратами)]]</f>
        <v>960450</v>
      </c>
    </row>
    <row r="842" spans="1:4" s="1" customFormat="1" ht="10.95" customHeight="1" x14ac:dyDescent="0.2">
      <c r="A842" s="2" t="s">
        <v>820</v>
      </c>
      <c r="B842" s="3">
        <v>743156</v>
      </c>
      <c r="C842" s="1">
        <f>IFERROR(VLOOKUP(Таблица2[[#This Row],[Контрагент]],Таблица1[],2,0),0)</f>
        <v>526084</v>
      </c>
      <c r="D842" s="10">
        <f>Таблица2[[#This Row],[Декабрь]]-Таблица2[[#This Row],[Сумма реализации (с возвратами)]]</f>
        <v>-217072</v>
      </c>
    </row>
    <row r="843" spans="1:4" s="1" customFormat="1" ht="10.95" customHeight="1" x14ac:dyDescent="0.2">
      <c r="A843" s="2" t="s">
        <v>821</v>
      </c>
      <c r="B843" s="3">
        <v>344728</v>
      </c>
      <c r="C843" s="1">
        <f>IFERROR(VLOOKUP(Таблица2[[#This Row],[Контрагент]],Таблица1[],2,0),0)</f>
        <v>456971</v>
      </c>
      <c r="D843" s="10">
        <f>Таблица2[[#This Row],[Декабрь]]-Таблица2[[#This Row],[Сумма реализации (с возвратами)]]</f>
        <v>112243</v>
      </c>
    </row>
    <row r="844" spans="1:4" s="1" customFormat="1" ht="10.95" customHeight="1" x14ac:dyDescent="0.2">
      <c r="A844" s="2" t="s">
        <v>822</v>
      </c>
      <c r="B844" s="3">
        <v>1200472</v>
      </c>
      <c r="C844" s="1">
        <f>IFERROR(VLOOKUP(Таблица2[[#This Row],[Контрагент]],Таблица1[],2,0),0)</f>
        <v>1522373</v>
      </c>
      <c r="D844" s="10">
        <f>Таблица2[[#This Row],[Декабрь]]-Таблица2[[#This Row],[Сумма реализации (с возвратами)]]</f>
        <v>321901</v>
      </c>
    </row>
    <row r="845" spans="1:4" s="1" customFormat="1" ht="10.95" customHeight="1" x14ac:dyDescent="0.2">
      <c r="A845" s="2" t="s">
        <v>823</v>
      </c>
      <c r="B845" s="3">
        <v>182900</v>
      </c>
      <c r="C845" s="1">
        <f>IFERROR(VLOOKUP(Таблица2[[#This Row],[Контрагент]],Таблица1[],2,0),0)</f>
        <v>345150</v>
      </c>
      <c r="D845" s="10">
        <f>Таблица2[[#This Row],[Декабрь]]-Таблица2[[#This Row],[Сумма реализации (с возвратами)]]</f>
        <v>162250</v>
      </c>
    </row>
    <row r="846" spans="1:4" s="1" customFormat="1" ht="10.95" customHeight="1" x14ac:dyDescent="0.2">
      <c r="A846" s="2" t="s">
        <v>1124</v>
      </c>
      <c r="B846" s="3">
        <v>12460</v>
      </c>
      <c r="C846" s="1">
        <f>IFERROR(VLOOKUP(Таблица2[[#This Row],[Контрагент]],Таблица1[],2,0),0)</f>
        <v>0</v>
      </c>
      <c r="D846" s="10">
        <f>Таблица2[[#This Row],[Декабрь]]-Таблица2[[#This Row],[Сумма реализации (с возвратами)]]</f>
        <v>-12460</v>
      </c>
    </row>
    <row r="847" spans="1:4" s="1" customFormat="1" ht="10.95" customHeight="1" x14ac:dyDescent="0.2">
      <c r="A847" s="2" t="s">
        <v>824</v>
      </c>
      <c r="B847" s="3">
        <v>195760</v>
      </c>
      <c r="C847" s="1">
        <f>IFERROR(VLOOKUP(Таблица2[[#This Row],[Контрагент]],Таблица1[],2,0),0)</f>
        <v>153405</v>
      </c>
      <c r="D847" s="10">
        <f>Таблица2[[#This Row],[Декабрь]]-Таблица2[[#This Row],[Сумма реализации (с возвратами)]]</f>
        <v>-42355</v>
      </c>
    </row>
    <row r="848" spans="1:4" s="1" customFormat="1" ht="10.95" customHeight="1" x14ac:dyDescent="0.2">
      <c r="A848" s="2" t="s">
        <v>1125</v>
      </c>
      <c r="B848" s="3">
        <v>14130</v>
      </c>
      <c r="C848" s="1">
        <f>IFERROR(VLOOKUP(Таблица2[[#This Row],[Контрагент]],Таблица1[],2,0),0)</f>
        <v>0</v>
      </c>
      <c r="D848" s="10">
        <f>Таблица2[[#This Row],[Декабрь]]-Таблица2[[#This Row],[Сумма реализации (с возвратами)]]</f>
        <v>-14130</v>
      </c>
    </row>
    <row r="849" spans="1:4" s="1" customFormat="1" ht="10.95" customHeight="1" x14ac:dyDescent="0.2">
      <c r="A849" s="2" t="s">
        <v>825</v>
      </c>
      <c r="B849" s="3">
        <v>71300</v>
      </c>
      <c r="C849" s="1">
        <f>IFERROR(VLOOKUP(Таблица2[[#This Row],[Контрагент]],Таблица1[],2,0),0)</f>
        <v>57830</v>
      </c>
      <c r="D849" s="10">
        <f>Таблица2[[#This Row],[Декабрь]]-Таблица2[[#This Row],[Сумма реализации (с возвратами)]]</f>
        <v>-13470</v>
      </c>
    </row>
    <row r="850" spans="1:4" s="1" customFormat="1" ht="10.95" customHeight="1" x14ac:dyDescent="0.2">
      <c r="A850" s="2" t="s">
        <v>826</v>
      </c>
      <c r="B850" s="3">
        <v>103310</v>
      </c>
      <c r="C850" s="1">
        <f>IFERROR(VLOOKUP(Таблица2[[#This Row],[Контрагент]],Таблица1[],2,0),0)</f>
        <v>62170</v>
      </c>
      <c r="D850" s="10">
        <f>Таблица2[[#This Row],[Декабрь]]-Таблица2[[#This Row],[Сумма реализации (с возвратами)]]</f>
        <v>-41140</v>
      </c>
    </row>
    <row r="851" spans="1:4" s="1" customFormat="1" ht="10.95" customHeight="1" x14ac:dyDescent="0.2">
      <c r="A851" s="2" t="s">
        <v>827</v>
      </c>
      <c r="B851" s="3">
        <v>207260</v>
      </c>
      <c r="C851" s="1">
        <f>IFERROR(VLOOKUP(Таблица2[[#This Row],[Контрагент]],Таблица1[],2,0),0)</f>
        <v>301800</v>
      </c>
      <c r="D851" s="10">
        <f>Таблица2[[#This Row],[Декабрь]]-Таблица2[[#This Row],[Сумма реализации (с возвратами)]]</f>
        <v>94540</v>
      </c>
    </row>
    <row r="852" spans="1:4" s="1" customFormat="1" ht="10.95" customHeight="1" x14ac:dyDescent="0.2">
      <c r="A852" s="2" t="s">
        <v>1126</v>
      </c>
      <c r="B852" s="3">
        <v>92790</v>
      </c>
      <c r="C852" s="1">
        <f>IFERROR(VLOOKUP(Таблица2[[#This Row],[Контрагент]],Таблица1[],2,0),0)</f>
        <v>0</v>
      </c>
      <c r="D852" s="10">
        <f>Таблица2[[#This Row],[Декабрь]]-Таблица2[[#This Row],[Сумма реализации (с возвратами)]]</f>
        <v>-92790</v>
      </c>
    </row>
    <row r="853" spans="1:4" s="1" customFormat="1" ht="10.95" customHeight="1" x14ac:dyDescent="0.2">
      <c r="A853" s="2" t="s">
        <v>828</v>
      </c>
      <c r="B853" s="3">
        <v>1168020</v>
      </c>
      <c r="C853" s="1">
        <f>IFERROR(VLOOKUP(Таблица2[[#This Row],[Контрагент]],Таблица1[],2,0),0)</f>
        <v>1155821</v>
      </c>
      <c r="D853" s="10">
        <f>Таблица2[[#This Row],[Декабрь]]-Таблица2[[#This Row],[Сумма реализации (с возвратами)]]</f>
        <v>-12199</v>
      </c>
    </row>
    <row r="854" spans="1:4" s="1" customFormat="1" ht="10.95" customHeight="1" x14ac:dyDescent="0.2">
      <c r="A854" s="2" t="s">
        <v>1127</v>
      </c>
      <c r="B854" s="3">
        <v>30534</v>
      </c>
      <c r="C854" s="1">
        <f>IFERROR(VLOOKUP(Таблица2[[#This Row],[Контрагент]],Таблица1[],2,0),0)</f>
        <v>0</v>
      </c>
      <c r="D854" s="10">
        <f>Таблица2[[#This Row],[Декабрь]]-Таблица2[[#This Row],[Сумма реализации (с возвратами)]]</f>
        <v>-30534</v>
      </c>
    </row>
    <row r="855" spans="1:4" s="1" customFormat="1" ht="10.95" customHeight="1" x14ac:dyDescent="0.2">
      <c r="A855" s="2" t="s">
        <v>1128</v>
      </c>
      <c r="B855" s="3">
        <v>417600</v>
      </c>
      <c r="C855" s="1">
        <f>IFERROR(VLOOKUP(Таблица2[[#This Row],[Контрагент]],Таблица1[],2,0),0)</f>
        <v>0</v>
      </c>
      <c r="D855" s="10">
        <f>Таблица2[[#This Row],[Декабрь]]-Таблица2[[#This Row],[Сумма реализации (с возвратами)]]</f>
        <v>-417600</v>
      </c>
    </row>
    <row r="856" spans="1:4" s="1" customFormat="1" ht="10.95" customHeight="1" x14ac:dyDescent="0.2">
      <c r="A856" s="2" t="s">
        <v>1129</v>
      </c>
      <c r="B856" s="3">
        <v>10000</v>
      </c>
      <c r="C856" s="1">
        <f>IFERROR(VLOOKUP(Таблица2[[#This Row],[Контрагент]],Таблица1[],2,0),0)</f>
        <v>0</v>
      </c>
      <c r="D856" s="10">
        <f>Таблица2[[#This Row],[Декабрь]]-Таблица2[[#This Row],[Сумма реализации (с возвратами)]]</f>
        <v>-10000</v>
      </c>
    </row>
    <row r="857" spans="1:4" s="1" customFormat="1" ht="10.95" customHeight="1" x14ac:dyDescent="0.2">
      <c r="A857" s="2" t="s">
        <v>830</v>
      </c>
      <c r="B857" s="3">
        <v>60020</v>
      </c>
      <c r="C857" s="1">
        <f>IFERROR(VLOOKUP(Таблица2[[#This Row],[Контрагент]],Таблица1[],2,0),0)</f>
        <v>92360</v>
      </c>
      <c r="D857" s="10">
        <f>Таблица2[[#This Row],[Декабрь]]-Таблица2[[#This Row],[Сумма реализации (с возвратами)]]</f>
        <v>32340</v>
      </c>
    </row>
    <row r="858" spans="1:4" s="1" customFormat="1" ht="10.95" customHeight="1" x14ac:dyDescent="0.2">
      <c r="A858" s="2" t="s">
        <v>1130</v>
      </c>
      <c r="B858" s="3">
        <v>110573</v>
      </c>
      <c r="C858" s="1">
        <f>IFERROR(VLOOKUP(Таблица2[[#This Row],[Контрагент]],Таблица1[],2,0),0)</f>
        <v>0</v>
      </c>
      <c r="D858" s="10">
        <f>Таблица2[[#This Row],[Декабрь]]-Таблица2[[#This Row],[Сумма реализации (с возвратами)]]</f>
        <v>-110573</v>
      </c>
    </row>
    <row r="859" spans="1:4" s="1" customFormat="1" ht="10.95" customHeight="1" x14ac:dyDescent="0.2">
      <c r="A859" s="2" t="s">
        <v>831</v>
      </c>
      <c r="B859" s="3">
        <v>23500</v>
      </c>
      <c r="C859" s="1">
        <f>IFERROR(VLOOKUP(Таблица2[[#This Row],[Контрагент]],Таблица1[],2,0),0)</f>
        <v>112980</v>
      </c>
      <c r="D859" s="10">
        <f>Таблица2[[#This Row],[Декабрь]]-Таблица2[[#This Row],[Сумма реализации (с возвратами)]]</f>
        <v>89480</v>
      </c>
    </row>
    <row r="860" spans="1:4" s="1" customFormat="1" ht="10.95" customHeight="1" x14ac:dyDescent="0.2">
      <c r="A860" s="2" t="s">
        <v>833</v>
      </c>
      <c r="B860" s="3">
        <v>240275</v>
      </c>
      <c r="C860" s="1">
        <f>IFERROR(VLOOKUP(Таблица2[[#This Row],[Контрагент]],Таблица1[],2,0),0)</f>
        <v>344575</v>
      </c>
      <c r="D860" s="10">
        <f>Таблица2[[#This Row],[Декабрь]]-Таблица2[[#This Row],[Сумма реализации (с возвратами)]]</f>
        <v>104300</v>
      </c>
    </row>
    <row r="861" spans="1:4" s="1" customFormat="1" ht="10.95" customHeight="1" x14ac:dyDescent="0.2">
      <c r="A861" s="2" t="s">
        <v>835</v>
      </c>
      <c r="B861" s="3">
        <v>38940</v>
      </c>
      <c r="C861" s="1">
        <f>IFERROR(VLOOKUP(Таблица2[[#This Row],[Контрагент]],Таблица1[],2,0),0)</f>
        <v>36660</v>
      </c>
      <c r="D861" s="10">
        <f>Таблица2[[#This Row],[Декабрь]]-Таблица2[[#This Row],[Сумма реализации (с возвратами)]]</f>
        <v>-2280</v>
      </c>
    </row>
    <row r="862" spans="1:4" s="1" customFormat="1" ht="10.95" customHeight="1" x14ac:dyDescent="0.2">
      <c r="A862" s="2" t="s">
        <v>837</v>
      </c>
      <c r="B862" s="3">
        <v>16320</v>
      </c>
      <c r="C862" s="1">
        <f>IFERROR(VLOOKUP(Таблица2[[#This Row],[Контрагент]],Таблица1[],2,0),0)</f>
        <v>64220</v>
      </c>
      <c r="D862" s="10">
        <f>Таблица2[[#This Row],[Декабрь]]-Таблица2[[#This Row],[Сумма реализации (с возвратами)]]</f>
        <v>47900</v>
      </c>
    </row>
    <row r="863" spans="1:4" s="1" customFormat="1" ht="10.95" customHeight="1" x14ac:dyDescent="0.2">
      <c r="A863" s="2" t="s">
        <v>838</v>
      </c>
      <c r="B863" s="3">
        <v>87190</v>
      </c>
      <c r="C863" s="1">
        <f>IFERROR(VLOOKUP(Таблица2[[#This Row],[Контрагент]],Таблица1[],2,0),0)</f>
        <v>23170</v>
      </c>
      <c r="D863" s="10">
        <f>Таблица2[[#This Row],[Декабрь]]-Таблица2[[#This Row],[Сумма реализации (с возвратами)]]</f>
        <v>-64020</v>
      </c>
    </row>
    <row r="864" spans="1:4" s="1" customFormat="1" ht="10.95" customHeight="1" x14ac:dyDescent="0.2">
      <c r="A864" s="2" t="s">
        <v>1131</v>
      </c>
      <c r="B864" s="3">
        <v>1064390</v>
      </c>
      <c r="C864" s="1">
        <f>IFERROR(VLOOKUP(Таблица2[[#This Row],[Контрагент]],Таблица1[],2,0),0)</f>
        <v>0</v>
      </c>
      <c r="D864" s="10">
        <f>Таблица2[[#This Row],[Декабрь]]-Таблица2[[#This Row],[Сумма реализации (с возвратами)]]</f>
        <v>-1064390</v>
      </c>
    </row>
    <row r="865" spans="1:4" s="1" customFormat="1" ht="10.95" customHeight="1" x14ac:dyDescent="0.2">
      <c r="A865" s="2" t="s">
        <v>839</v>
      </c>
      <c r="B865" s="3">
        <v>1784382</v>
      </c>
      <c r="C865" s="1">
        <f>IFERROR(VLOOKUP(Таблица2[[#This Row],[Контрагент]],Таблица1[],2,0),0)</f>
        <v>1241721</v>
      </c>
      <c r="D865" s="10">
        <f>Таблица2[[#This Row],[Декабрь]]-Таблица2[[#This Row],[Сумма реализации (с возвратами)]]</f>
        <v>-542661</v>
      </c>
    </row>
    <row r="866" spans="1:4" s="1" customFormat="1" ht="10.95" customHeight="1" x14ac:dyDescent="0.2">
      <c r="A866" s="2" t="s">
        <v>840</v>
      </c>
      <c r="B866" s="3">
        <v>17040</v>
      </c>
      <c r="C866" s="1">
        <f>IFERROR(VLOOKUP(Таблица2[[#This Row],[Контрагент]],Таблица1[],2,0),0)</f>
        <v>41510</v>
      </c>
      <c r="D866" s="10">
        <f>Таблица2[[#This Row],[Декабрь]]-Таблица2[[#This Row],[Сумма реализации (с возвратами)]]</f>
        <v>24470</v>
      </c>
    </row>
    <row r="867" spans="1:4" s="1" customFormat="1" ht="10.95" customHeight="1" x14ac:dyDescent="0.2">
      <c r="A867" s="2" t="s">
        <v>841</v>
      </c>
      <c r="B867" s="3">
        <v>78310</v>
      </c>
      <c r="C867" s="1">
        <f>IFERROR(VLOOKUP(Таблица2[[#This Row],[Контрагент]],Таблица1[],2,0),0)</f>
        <v>55430</v>
      </c>
      <c r="D867" s="10">
        <f>Таблица2[[#This Row],[Декабрь]]-Таблица2[[#This Row],[Сумма реализации (с возвратами)]]</f>
        <v>-22880</v>
      </c>
    </row>
    <row r="868" spans="1:4" s="1" customFormat="1" ht="10.95" customHeight="1" x14ac:dyDescent="0.2">
      <c r="A868" s="2" t="s">
        <v>1132</v>
      </c>
      <c r="B868" s="3">
        <v>26400</v>
      </c>
      <c r="C868" s="1">
        <f>IFERROR(VLOOKUP(Таблица2[[#This Row],[Контрагент]],Таблица1[],2,0),0)</f>
        <v>0</v>
      </c>
      <c r="D868" s="10">
        <f>Таблица2[[#This Row],[Декабрь]]-Таблица2[[#This Row],[Сумма реализации (с возвратами)]]</f>
        <v>-26400</v>
      </c>
    </row>
    <row r="869" spans="1:4" s="1" customFormat="1" ht="10.95" customHeight="1" x14ac:dyDescent="0.2">
      <c r="A869" s="2" t="s">
        <v>1133</v>
      </c>
      <c r="B869" s="3">
        <v>-88140</v>
      </c>
      <c r="C869" s="1">
        <f>IFERROR(VLOOKUP(Таблица2[[#This Row],[Контрагент]],Таблица1[],2,0),0)</f>
        <v>0</v>
      </c>
      <c r="D869" s="10">
        <f>Таблица2[[#This Row],[Декабрь]]-Таблица2[[#This Row],[Сумма реализации (с возвратами)]]</f>
        <v>88140</v>
      </c>
    </row>
    <row r="870" spans="1:4" s="1" customFormat="1" ht="10.95" customHeight="1" x14ac:dyDescent="0.2">
      <c r="A870" s="2" t="s">
        <v>843</v>
      </c>
      <c r="B870" s="3">
        <v>260920</v>
      </c>
      <c r="C870" s="1">
        <f>IFERROR(VLOOKUP(Таблица2[[#This Row],[Контрагент]],Таблица1[],2,0),0)</f>
        <v>434730</v>
      </c>
      <c r="D870" s="10">
        <f>Таблица2[[#This Row],[Декабрь]]-Таблица2[[#This Row],[Сумма реализации (с возвратами)]]</f>
        <v>173810</v>
      </c>
    </row>
    <row r="871" spans="1:4" s="1" customFormat="1" ht="10.95" customHeight="1" x14ac:dyDescent="0.2">
      <c r="A871" s="2" t="s">
        <v>844</v>
      </c>
      <c r="B871" s="3">
        <v>82140</v>
      </c>
      <c r="C871" s="1">
        <f>IFERROR(VLOOKUP(Таблица2[[#This Row],[Контрагент]],Таблица1[],2,0),0)</f>
        <v>110780</v>
      </c>
      <c r="D871" s="10">
        <f>Таблица2[[#This Row],[Декабрь]]-Таблица2[[#This Row],[Сумма реализации (с возвратами)]]</f>
        <v>28640</v>
      </c>
    </row>
    <row r="872" spans="1:4" s="1" customFormat="1" ht="10.95" customHeight="1" x14ac:dyDescent="0.2">
      <c r="A872" s="2" t="s">
        <v>1134</v>
      </c>
      <c r="B872" s="3">
        <v>246210</v>
      </c>
      <c r="C872" s="1">
        <f>IFERROR(VLOOKUP(Таблица2[[#This Row],[Контрагент]],Таблица1[],2,0),0)</f>
        <v>0</v>
      </c>
      <c r="D872" s="10">
        <f>Таблица2[[#This Row],[Декабрь]]-Таблица2[[#This Row],[Сумма реализации (с возвратами)]]</f>
        <v>-246210</v>
      </c>
    </row>
    <row r="873" spans="1:4" s="1" customFormat="1" ht="10.95" customHeight="1" x14ac:dyDescent="0.2">
      <c r="A873" s="2" t="s">
        <v>1135</v>
      </c>
      <c r="B873" s="3">
        <v>15310</v>
      </c>
      <c r="C873" s="1">
        <f>IFERROR(VLOOKUP(Таблица2[[#This Row],[Контрагент]],Таблица1[],2,0),0)</f>
        <v>0</v>
      </c>
      <c r="D873" s="10">
        <f>Таблица2[[#This Row],[Декабрь]]-Таблица2[[#This Row],[Сумма реализации (с возвратами)]]</f>
        <v>-15310</v>
      </c>
    </row>
    <row r="874" spans="1:4" s="1" customFormat="1" ht="10.95" customHeight="1" x14ac:dyDescent="0.2">
      <c r="A874" s="2" t="s">
        <v>845</v>
      </c>
      <c r="B874" s="3">
        <v>59000</v>
      </c>
      <c r="C874" s="1">
        <f>IFERROR(VLOOKUP(Таблица2[[#This Row],[Контрагент]],Таблица1[],2,0),0)</f>
        <v>52880</v>
      </c>
      <c r="D874" s="10">
        <f>Таблица2[[#This Row],[Декабрь]]-Таблица2[[#This Row],[Сумма реализации (с возвратами)]]</f>
        <v>-6120</v>
      </c>
    </row>
    <row r="875" spans="1:4" s="1" customFormat="1" ht="10.95" customHeight="1" x14ac:dyDescent="0.2">
      <c r="A875" s="2" t="s">
        <v>1136</v>
      </c>
      <c r="B875" s="3">
        <v>-19250</v>
      </c>
      <c r="C875" s="1">
        <f>IFERROR(VLOOKUP(Таблица2[[#This Row],[Контрагент]],Таблица1[],2,0),0)</f>
        <v>0</v>
      </c>
      <c r="D875" s="10">
        <f>Таблица2[[#This Row],[Декабрь]]-Таблица2[[#This Row],[Сумма реализации (с возвратами)]]</f>
        <v>19250</v>
      </c>
    </row>
    <row r="876" spans="1:4" s="1" customFormat="1" ht="10.95" customHeight="1" x14ac:dyDescent="0.2">
      <c r="A876" s="2" t="s">
        <v>846</v>
      </c>
      <c r="B876" s="3">
        <v>150910</v>
      </c>
      <c r="C876" s="1">
        <f>IFERROR(VLOOKUP(Таблица2[[#This Row],[Контрагент]],Таблица1[],2,0),0)</f>
        <v>350560</v>
      </c>
      <c r="D876" s="10">
        <f>Таблица2[[#This Row],[Декабрь]]-Таблица2[[#This Row],[Сумма реализации (с возвратами)]]</f>
        <v>199650</v>
      </c>
    </row>
    <row r="877" spans="1:4" s="1" customFormat="1" ht="10.95" customHeight="1" x14ac:dyDescent="0.2">
      <c r="A877" s="2" t="s">
        <v>847</v>
      </c>
      <c r="B877" s="3">
        <v>17090</v>
      </c>
      <c r="C877" s="1">
        <f>IFERROR(VLOOKUP(Таблица2[[#This Row],[Контрагент]],Таблица1[],2,0),0)</f>
        <v>9360</v>
      </c>
      <c r="D877" s="10">
        <f>Таблица2[[#This Row],[Декабрь]]-Таблица2[[#This Row],[Сумма реализации (с возвратами)]]</f>
        <v>-7730</v>
      </c>
    </row>
    <row r="878" spans="1:4" s="1" customFormat="1" ht="10.95" customHeight="1" x14ac:dyDescent="0.2">
      <c r="A878" s="2" t="s">
        <v>1137</v>
      </c>
      <c r="B878" s="3">
        <v>79200</v>
      </c>
      <c r="C878" s="1">
        <f>IFERROR(VLOOKUP(Таблица2[[#This Row],[Контрагент]],Таблица1[],2,0),0)</f>
        <v>0</v>
      </c>
      <c r="D878" s="10">
        <f>Таблица2[[#This Row],[Декабрь]]-Таблица2[[#This Row],[Сумма реализации (с возвратами)]]</f>
        <v>-79200</v>
      </c>
    </row>
    <row r="879" spans="1:4" s="1" customFormat="1" ht="10.95" customHeight="1" x14ac:dyDescent="0.2">
      <c r="A879" s="2" t="s">
        <v>1138</v>
      </c>
      <c r="B879" s="3">
        <v>20340</v>
      </c>
      <c r="C879" s="1">
        <f>IFERROR(VLOOKUP(Таблица2[[#This Row],[Контрагент]],Таблица1[],2,0),0)</f>
        <v>0</v>
      </c>
      <c r="D879" s="10">
        <f>Таблица2[[#This Row],[Декабрь]]-Таблица2[[#This Row],[Сумма реализации (с возвратами)]]</f>
        <v>-20340</v>
      </c>
    </row>
    <row r="880" spans="1:4" s="1" customFormat="1" ht="10.95" customHeight="1" x14ac:dyDescent="0.2">
      <c r="A880" s="2" t="s">
        <v>848</v>
      </c>
      <c r="B880" s="3">
        <v>262490</v>
      </c>
      <c r="C880" s="1">
        <f>IFERROR(VLOOKUP(Таблица2[[#This Row],[Контрагент]],Таблица1[],2,0),0)</f>
        <v>238220</v>
      </c>
      <c r="D880" s="10">
        <f>Таблица2[[#This Row],[Декабрь]]-Таблица2[[#This Row],[Сумма реализации (с возвратами)]]</f>
        <v>-24270</v>
      </c>
    </row>
    <row r="881" spans="1:4" s="1" customFormat="1" ht="10.95" customHeight="1" x14ac:dyDescent="0.2">
      <c r="A881" s="2" t="s">
        <v>1139</v>
      </c>
      <c r="B881" s="3">
        <v>2191803</v>
      </c>
      <c r="C881" s="1">
        <f>IFERROR(VLOOKUP(Таблица2[[#This Row],[Контрагент]],Таблица1[],2,0),0)</f>
        <v>0</v>
      </c>
      <c r="D881" s="10">
        <f>Таблица2[[#This Row],[Декабрь]]-Таблица2[[#This Row],[Сумма реализации (с возвратами)]]</f>
        <v>-2191803</v>
      </c>
    </row>
    <row r="882" spans="1:4" s="1" customFormat="1" ht="10.95" customHeight="1" x14ac:dyDescent="0.2">
      <c r="A882" s="2" t="s">
        <v>849</v>
      </c>
      <c r="B882" s="3">
        <v>33740</v>
      </c>
      <c r="C882" s="1">
        <f>IFERROR(VLOOKUP(Таблица2[[#This Row],[Контрагент]],Таблица1[],2,0),0)</f>
        <v>30750</v>
      </c>
      <c r="D882" s="10">
        <f>Таблица2[[#This Row],[Декабрь]]-Таблица2[[#This Row],[Сумма реализации (с возвратами)]]</f>
        <v>-2990</v>
      </c>
    </row>
    <row r="883" spans="1:4" s="1" customFormat="1" ht="10.95" customHeight="1" x14ac:dyDescent="0.2">
      <c r="A883" s="2" t="s">
        <v>1140</v>
      </c>
      <c r="B883" s="3">
        <v>74040</v>
      </c>
      <c r="C883" s="1">
        <f>IFERROR(VLOOKUP(Таблица2[[#This Row],[Контрагент]],Таблица1[],2,0),0)</f>
        <v>0</v>
      </c>
      <c r="D883" s="10">
        <f>Таблица2[[#This Row],[Декабрь]]-Таблица2[[#This Row],[Сумма реализации (с возвратами)]]</f>
        <v>-74040</v>
      </c>
    </row>
    <row r="884" spans="1:4" s="1" customFormat="1" ht="10.95" customHeight="1" x14ac:dyDescent="0.2">
      <c r="A884" s="2" t="s">
        <v>1141</v>
      </c>
      <c r="B884" s="3">
        <v>42320</v>
      </c>
      <c r="C884" s="1">
        <f>IFERROR(VLOOKUP(Таблица2[[#This Row],[Контрагент]],Таблица1[],2,0),0)</f>
        <v>0</v>
      </c>
      <c r="D884" s="10">
        <f>Таблица2[[#This Row],[Декабрь]]-Таблица2[[#This Row],[Сумма реализации (с возвратами)]]</f>
        <v>-42320</v>
      </c>
    </row>
    <row r="885" spans="1:4" s="1" customFormat="1" ht="10.95" customHeight="1" x14ac:dyDescent="0.2">
      <c r="A885" s="2" t="s">
        <v>851</v>
      </c>
      <c r="B885" s="3">
        <v>904974</v>
      </c>
      <c r="C885" s="1">
        <f>IFERROR(VLOOKUP(Таблица2[[#This Row],[Контрагент]],Таблица1[],2,0),0)</f>
        <v>1838890</v>
      </c>
      <c r="D885" s="10">
        <f>Таблица2[[#This Row],[Декабрь]]-Таблица2[[#This Row],[Сумма реализации (с возвратами)]]</f>
        <v>933916</v>
      </c>
    </row>
    <row r="886" spans="1:4" s="1" customFormat="1" ht="10.95" customHeight="1" x14ac:dyDescent="0.2">
      <c r="A886" s="2" t="s">
        <v>852</v>
      </c>
      <c r="B886" s="3">
        <v>47950</v>
      </c>
      <c r="C886" s="1">
        <f>IFERROR(VLOOKUP(Таблица2[[#This Row],[Контрагент]],Таблица1[],2,0),0)</f>
        <v>81200</v>
      </c>
      <c r="D886" s="10">
        <f>Таблица2[[#This Row],[Декабрь]]-Таблица2[[#This Row],[Сумма реализации (с возвратами)]]</f>
        <v>33250</v>
      </c>
    </row>
    <row r="887" spans="1:4" s="1" customFormat="1" ht="10.95" customHeight="1" x14ac:dyDescent="0.2">
      <c r="A887" s="2" t="s">
        <v>853</v>
      </c>
      <c r="B887" s="3">
        <v>75170</v>
      </c>
      <c r="C887" s="1">
        <f>IFERROR(VLOOKUP(Таблица2[[#This Row],[Контрагент]],Таблица1[],2,0),0)</f>
        <v>218590</v>
      </c>
      <c r="D887" s="10">
        <f>Таблица2[[#This Row],[Декабрь]]-Таблица2[[#This Row],[Сумма реализации (с возвратами)]]</f>
        <v>143420</v>
      </c>
    </row>
    <row r="888" spans="1:4" s="1" customFormat="1" ht="10.95" customHeight="1" x14ac:dyDescent="0.2">
      <c r="A888" s="2" t="s">
        <v>855</v>
      </c>
      <c r="B888" s="3">
        <v>182092</v>
      </c>
      <c r="C888" s="1">
        <f>IFERROR(VLOOKUP(Таблица2[[#This Row],[Контрагент]],Таблица1[],2,0),0)</f>
        <v>355451</v>
      </c>
      <c r="D888" s="10">
        <f>Таблица2[[#This Row],[Декабрь]]-Таблица2[[#This Row],[Сумма реализации (с возвратами)]]</f>
        <v>173359</v>
      </c>
    </row>
    <row r="889" spans="1:4" s="1" customFormat="1" ht="10.95" customHeight="1" x14ac:dyDescent="0.2">
      <c r="A889" s="2" t="s">
        <v>856</v>
      </c>
      <c r="B889" s="3">
        <v>405576</v>
      </c>
      <c r="C889" s="1">
        <f>IFERROR(VLOOKUP(Таблица2[[#This Row],[Контрагент]],Таблица1[],2,0),0)</f>
        <v>232726</v>
      </c>
      <c r="D889" s="10">
        <f>Таблица2[[#This Row],[Декабрь]]-Таблица2[[#This Row],[Сумма реализации (с возвратами)]]</f>
        <v>-172850</v>
      </c>
    </row>
    <row r="890" spans="1:4" s="1" customFormat="1" ht="10.95" customHeight="1" x14ac:dyDescent="0.2">
      <c r="A890" s="2" t="s">
        <v>857</v>
      </c>
      <c r="B890" s="3">
        <v>29090</v>
      </c>
      <c r="C890" s="1">
        <f>IFERROR(VLOOKUP(Таблица2[[#This Row],[Контрагент]],Таблица1[],2,0),0)</f>
        <v>156040</v>
      </c>
      <c r="D890" s="10">
        <f>Таблица2[[#This Row],[Декабрь]]-Таблица2[[#This Row],[Сумма реализации (с возвратами)]]</f>
        <v>126950</v>
      </c>
    </row>
    <row r="891" spans="1:4" s="1" customFormat="1" ht="10.95" customHeight="1" x14ac:dyDescent="0.2">
      <c r="A891" s="2" t="s">
        <v>1142</v>
      </c>
      <c r="B891" s="3">
        <v>102540</v>
      </c>
      <c r="C891" s="1">
        <f>IFERROR(VLOOKUP(Таблица2[[#This Row],[Контрагент]],Таблица1[],2,0),0)</f>
        <v>0</v>
      </c>
      <c r="D891" s="10">
        <f>Таблица2[[#This Row],[Декабрь]]-Таблица2[[#This Row],[Сумма реализации (с возвратами)]]</f>
        <v>-102540</v>
      </c>
    </row>
    <row r="892" spans="1:4" s="1" customFormat="1" ht="10.95" customHeight="1" x14ac:dyDescent="0.2">
      <c r="A892" s="2" t="s">
        <v>1143</v>
      </c>
      <c r="B892" s="3">
        <v>31800</v>
      </c>
      <c r="C892" s="1">
        <f>IFERROR(VLOOKUP(Таблица2[[#This Row],[Контрагент]],Таблица1[],2,0),0)</f>
        <v>0</v>
      </c>
      <c r="D892" s="10">
        <f>Таблица2[[#This Row],[Декабрь]]-Таблица2[[#This Row],[Сумма реализации (с возвратами)]]</f>
        <v>-31800</v>
      </c>
    </row>
    <row r="893" spans="1:4" s="1" customFormat="1" ht="13.05" customHeight="1" x14ac:dyDescent="0.2">
      <c r="A893" s="6" t="s">
        <v>859</v>
      </c>
      <c r="B893" s="12">
        <f>SUBTOTAL(109,B3:B892)</f>
        <v>246250765</v>
      </c>
      <c r="C893" s="12">
        <f>SUBTOTAL(109,C3:C892)</f>
        <v>189629654.5</v>
      </c>
      <c r="D893" s="11">
        <f>Таблица2[[#This Row],[Декабрь]]-Таблица2[[#This Row],[Сумма реализации (с возвратами)]]</f>
        <v>-56621110.5</v>
      </c>
    </row>
  </sheetData>
  <conditionalFormatting sqref="D3:D893">
    <cfRule type="cellIs" dxfId="0" priority="1" operator="lessThan">
      <formula>0</formula>
    </cfRule>
  </conditionalFormatting>
  <pageMargins left="0.19685039370078741" right="0.19685039370078741" top="0.39370078740157483" bottom="0.39370078740157483" header="0" footer="0"/>
  <pageSetup paperSize="9" fitToHeight="0" pageOrder="overThenDown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Лист_1</vt:lpstr>
      <vt:lpstr>Январь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2026-01-09T09:44:35Z</dcterms:modified>
</cp:coreProperties>
</file>